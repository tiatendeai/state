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lrparente\Documents\Diversos\"/>
    </mc:Choice>
  </mc:AlternateContent>
  <bookViews>
    <workbookView xWindow="0" yWindow="0" windowWidth="11520" windowHeight="7155"/>
  </bookViews>
  <sheets>
    <sheet name="Tutorial" sheetId="9" r:id="rId1"/>
    <sheet name="Análise" sheetId="6" r:id="rId2"/>
    <sheet name="Config" sheetId="2" state="hidden" r:id="rId3"/>
    <sheet name="Cálculo" sheetId="1" r:id="rId4"/>
    <sheet name="Dados" sheetId="5" r:id="rId5"/>
  </sheets>
  <definedNames>
    <definedName name="_xlnm._FilterDatabase" localSheetId="3" hidden="1">Cálculo!$A$2:$BI$3</definedName>
    <definedName name="_xlnm._FilterDatabase" localSheetId="4" hidden="1">Dados!$A$1:$I$1001</definedName>
    <definedName name="_xlnm.Print_Area" localSheetId="3">Cálculo!$B$2:$U$3</definedName>
  </definedNames>
  <calcPr calcId="152511"/>
</workbook>
</file>

<file path=xl/calcChain.xml><?xml version="1.0" encoding="utf-8"?>
<calcChain xmlns="http://schemas.openxmlformats.org/spreadsheetml/2006/main">
  <c r="A1001" i="5" l="1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Y3" i="6" l="1"/>
  <c r="J3" i="1"/>
  <c r="C3" i="1" l="1"/>
  <c r="B3" i="1"/>
  <c r="A22" i="6" l="1"/>
  <c r="A733" i="5" l="1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BN307" i="6" l="1"/>
  <c r="BN308" i="6" s="1"/>
  <c r="BN309" i="6" s="1"/>
  <c r="BN310" i="6" s="1"/>
  <c r="BN311" i="6" s="1"/>
  <c r="BN312" i="6" s="1"/>
  <c r="BN313" i="6" s="1"/>
  <c r="BN314" i="6" s="1"/>
  <c r="BN315" i="6" s="1"/>
  <c r="BN316" i="6" s="1"/>
  <c r="BN317" i="6" s="1"/>
  <c r="BN318" i="6" s="1"/>
  <c r="BN319" i="6" s="1"/>
  <c r="BN320" i="6" s="1"/>
  <c r="BN321" i="6" s="1"/>
  <c r="BN322" i="6" s="1"/>
  <c r="BN323" i="6" s="1"/>
  <c r="BN324" i="6" s="1"/>
  <c r="BN325" i="6" s="1"/>
  <c r="BN326" i="6" s="1"/>
  <c r="BN327" i="6" s="1"/>
  <c r="BN328" i="6" s="1"/>
  <c r="BN329" i="6" s="1"/>
  <c r="BN330" i="6" s="1"/>
  <c r="BN331" i="6" s="1"/>
  <c r="BN332" i="6" s="1"/>
  <c r="BN333" i="6" s="1"/>
  <c r="BN334" i="6" s="1"/>
  <c r="BN335" i="6" s="1"/>
  <c r="BN336" i="6" s="1"/>
  <c r="BN337" i="6" s="1"/>
  <c r="BN338" i="6" s="1"/>
  <c r="BN339" i="6" s="1"/>
  <c r="BN340" i="6" s="1"/>
  <c r="BN341" i="6" s="1"/>
  <c r="BN342" i="6" s="1"/>
  <c r="BN343" i="6" s="1"/>
  <c r="BN344" i="6" s="1"/>
  <c r="BN345" i="6" s="1"/>
  <c r="BN346" i="6" s="1"/>
  <c r="BN347" i="6" s="1"/>
  <c r="BN348" i="6" s="1"/>
  <c r="BN349" i="6" s="1"/>
  <c r="BN350" i="6" s="1"/>
  <c r="BN351" i="6" s="1"/>
  <c r="BN352" i="6" s="1"/>
  <c r="BN353" i="6" s="1"/>
  <c r="BN354" i="6" s="1"/>
  <c r="BN355" i="6" s="1"/>
  <c r="BN356" i="6" s="1"/>
  <c r="BN357" i="6" s="1"/>
  <c r="BN358" i="6" s="1"/>
  <c r="BN359" i="6" s="1"/>
  <c r="BN360" i="6" s="1"/>
  <c r="BN361" i="6" s="1"/>
  <c r="BN362" i="6" s="1"/>
  <c r="BN363" i="6" s="1"/>
  <c r="BN364" i="6" s="1"/>
  <c r="BN365" i="6" s="1"/>
  <c r="BN366" i="6" s="1"/>
  <c r="BN367" i="6" s="1"/>
  <c r="BN368" i="6" s="1"/>
  <c r="BN369" i="6" s="1"/>
  <c r="BN370" i="6" s="1"/>
  <c r="BN371" i="6" s="1"/>
  <c r="BN372" i="6" s="1"/>
  <c r="BN373" i="6" s="1"/>
  <c r="BN374" i="6" s="1"/>
  <c r="BN375" i="6" s="1"/>
  <c r="BN376" i="6" s="1"/>
  <c r="BN377" i="6" s="1"/>
  <c r="BN378" i="6" s="1"/>
  <c r="BN379" i="6" s="1"/>
  <c r="BN380" i="6" s="1"/>
  <c r="BN381" i="6" s="1"/>
  <c r="BN382" i="6" s="1"/>
  <c r="BN383" i="6" s="1"/>
  <c r="BN384" i="6" s="1"/>
  <c r="BN385" i="6" s="1"/>
  <c r="BN386" i="6" s="1"/>
  <c r="BN387" i="6" s="1"/>
  <c r="BN388" i="6" s="1"/>
  <c r="BN389" i="6" s="1"/>
  <c r="BN390" i="6" s="1"/>
  <c r="BN391" i="6" s="1"/>
  <c r="BN392" i="6" s="1"/>
  <c r="BN393" i="6" s="1"/>
  <c r="BN394" i="6" s="1"/>
  <c r="BN395" i="6" s="1"/>
  <c r="BN396" i="6" s="1"/>
  <c r="BN397" i="6" s="1"/>
  <c r="BN398" i="6" s="1"/>
  <c r="BN399" i="6" s="1"/>
  <c r="BN400" i="6" s="1"/>
  <c r="BN401" i="6" s="1"/>
  <c r="BN402" i="6" s="1"/>
  <c r="BN403" i="6" s="1"/>
  <c r="BN404" i="6" s="1"/>
  <c r="BN405" i="6" s="1"/>
  <c r="BN406" i="6" s="1"/>
  <c r="BN407" i="6" s="1"/>
  <c r="BN408" i="6" s="1"/>
  <c r="BN409" i="6" s="1"/>
  <c r="BN410" i="6" s="1"/>
  <c r="BN411" i="6" s="1"/>
  <c r="BN412" i="6" s="1"/>
  <c r="BN413" i="6" s="1"/>
  <c r="BN414" i="6" s="1"/>
  <c r="BN415" i="6" s="1"/>
  <c r="BN416" i="6" s="1"/>
  <c r="BN417" i="6" s="1"/>
  <c r="BN418" i="6" s="1"/>
  <c r="BN419" i="6" s="1"/>
  <c r="BN420" i="6" s="1"/>
  <c r="BN421" i="6" s="1"/>
  <c r="BN422" i="6" s="1"/>
  <c r="BN423" i="6" s="1"/>
  <c r="BN424" i="6" s="1"/>
  <c r="BN425" i="6" s="1"/>
  <c r="BN426" i="6" s="1"/>
  <c r="BN427" i="6" s="1"/>
  <c r="BN428" i="6" s="1"/>
  <c r="BN429" i="6" s="1"/>
  <c r="BN430" i="6" s="1"/>
  <c r="BN431" i="6" s="1"/>
  <c r="BN432" i="6" s="1"/>
  <c r="BN433" i="6" s="1"/>
  <c r="BN434" i="6" s="1"/>
  <c r="BN435" i="6" s="1"/>
  <c r="BN436" i="6" s="1"/>
  <c r="BN437" i="6" s="1"/>
  <c r="BN438" i="6" s="1"/>
  <c r="BN439" i="6" s="1"/>
  <c r="BN440" i="6" s="1"/>
  <c r="BN441" i="6" s="1"/>
  <c r="BN442" i="6" s="1"/>
  <c r="BN443" i="6" s="1"/>
  <c r="BN444" i="6" s="1"/>
  <c r="BN445" i="6" s="1"/>
  <c r="BN446" i="6" s="1"/>
  <c r="BN447" i="6" s="1"/>
  <c r="BN448" i="6" s="1"/>
  <c r="BN449" i="6" s="1"/>
  <c r="BN450" i="6" s="1"/>
  <c r="BN451" i="6" s="1"/>
  <c r="BN452" i="6" s="1"/>
  <c r="BN453" i="6" s="1"/>
  <c r="BN454" i="6" s="1"/>
  <c r="BN455" i="6" s="1"/>
  <c r="BN456" i="6" s="1"/>
  <c r="BN457" i="6" s="1"/>
  <c r="BN458" i="6" s="1"/>
  <c r="BN459" i="6" s="1"/>
  <c r="BN460" i="6" s="1"/>
  <c r="BN461" i="6" s="1"/>
  <c r="BN462" i="6" s="1"/>
  <c r="BN463" i="6" s="1"/>
  <c r="BN464" i="6" s="1"/>
  <c r="BN465" i="6" s="1"/>
  <c r="BN466" i="6" s="1"/>
  <c r="BN467" i="6" s="1"/>
  <c r="BN468" i="6" s="1"/>
  <c r="BN469" i="6" s="1"/>
  <c r="BN470" i="6" s="1"/>
  <c r="BN471" i="6" s="1"/>
  <c r="BN472" i="6" s="1"/>
  <c r="BN473" i="6" s="1"/>
  <c r="BN474" i="6" s="1"/>
  <c r="BN475" i="6" s="1"/>
  <c r="BN476" i="6" s="1"/>
  <c r="BN477" i="6" s="1"/>
  <c r="BN478" i="6" s="1"/>
  <c r="BN479" i="6" s="1"/>
  <c r="BN480" i="6" s="1"/>
  <c r="BN481" i="6" s="1"/>
  <c r="BN482" i="6" s="1"/>
  <c r="BN483" i="6" s="1"/>
  <c r="BN484" i="6" s="1"/>
  <c r="BN485" i="6" s="1"/>
  <c r="BN486" i="6" s="1"/>
  <c r="BN487" i="6" s="1"/>
  <c r="BN488" i="6" s="1"/>
  <c r="BN489" i="6" s="1"/>
  <c r="BN490" i="6" s="1"/>
  <c r="BN491" i="6" s="1"/>
  <c r="BN492" i="6" s="1"/>
  <c r="BN493" i="6" s="1"/>
  <c r="BN494" i="6" s="1"/>
  <c r="BN495" i="6" s="1"/>
  <c r="BN496" i="6" s="1"/>
  <c r="BN497" i="6" s="1"/>
  <c r="BN498" i="6" s="1"/>
  <c r="BN499" i="6" s="1"/>
  <c r="BN500" i="6" s="1"/>
  <c r="BN501" i="6" s="1"/>
  <c r="BN502" i="6" s="1"/>
  <c r="BN503" i="6" s="1"/>
  <c r="BN504" i="6" s="1"/>
  <c r="BN505" i="6" s="1"/>
  <c r="BN506" i="6" s="1"/>
  <c r="BN507" i="6" s="1"/>
  <c r="BN508" i="6" s="1"/>
  <c r="BN509" i="6" s="1"/>
  <c r="BN510" i="6" s="1"/>
  <c r="BN511" i="6" s="1"/>
  <c r="BN512" i="6" s="1"/>
  <c r="BN513" i="6" s="1"/>
  <c r="BN514" i="6" s="1"/>
  <c r="BN515" i="6" s="1"/>
  <c r="BN516" i="6" s="1"/>
  <c r="BN517" i="6" s="1"/>
  <c r="BN518" i="6" s="1"/>
  <c r="BN519" i="6" s="1"/>
  <c r="BN520" i="6" s="1"/>
  <c r="BN521" i="6" s="1"/>
  <c r="BN522" i="6" s="1"/>
  <c r="BN523" i="6" s="1"/>
  <c r="BN524" i="6" s="1"/>
  <c r="BN525" i="6" s="1"/>
  <c r="BN526" i="6" s="1"/>
  <c r="BN527" i="6" s="1"/>
  <c r="BN528" i="6" s="1"/>
  <c r="BN529" i="6" s="1"/>
  <c r="BN530" i="6" s="1"/>
  <c r="BN531" i="6" s="1"/>
  <c r="BN532" i="6" s="1"/>
  <c r="BN533" i="6" s="1"/>
  <c r="BN534" i="6" s="1"/>
  <c r="BN535" i="6" s="1"/>
  <c r="BN536" i="6" s="1"/>
  <c r="BN537" i="6" s="1"/>
  <c r="BN538" i="6" s="1"/>
  <c r="BN539" i="6" s="1"/>
  <c r="BN540" i="6" s="1"/>
  <c r="BN541" i="6" s="1"/>
  <c r="BN542" i="6" s="1"/>
  <c r="BN543" i="6" s="1"/>
  <c r="BN544" i="6" s="1"/>
  <c r="BN545" i="6" s="1"/>
  <c r="BN546" i="6" s="1"/>
  <c r="BN547" i="6" s="1"/>
  <c r="BN548" i="6" s="1"/>
  <c r="BN549" i="6" s="1"/>
  <c r="BN550" i="6" s="1"/>
  <c r="BN551" i="6" s="1"/>
  <c r="BN552" i="6" s="1"/>
  <c r="BN553" i="6" s="1"/>
  <c r="BN554" i="6" s="1"/>
  <c r="BN555" i="6" s="1"/>
  <c r="BN556" i="6" s="1"/>
  <c r="BN557" i="6" s="1"/>
  <c r="BN558" i="6" s="1"/>
  <c r="BN559" i="6" s="1"/>
  <c r="BN560" i="6" s="1"/>
  <c r="BN561" i="6" s="1"/>
  <c r="BN562" i="6" s="1"/>
  <c r="BN563" i="6" s="1"/>
  <c r="BN564" i="6" s="1"/>
  <c r="BN565" i="6" s="1"/>
  <c r="BN566" i="6" s="1"/>
  <c r="BN567" i="6" s="1"/>
  <c r="BN568" i="6" s="1"/>
  <c r="BN569" i="6" s="1"/>
  <c r="BN570" i="6" s="1"/>
  <c r="BN571" i="6" s="1"/>
  <c r="BN572" i="6" s="1"/>
  <c r="BN573" i="6" s="1"/>
  <c r="BN574" i="6" s="1"/>
  <c r="BN575" i="6" s="1"/>
  <c r="BN576" i="6" s="1"/>
  <c r="BN577" i="6" s="1"/>
  <c r="BN578" i="6" s="1"/>
  <c r="BN579" i="6" s="1"/>
  <c r="BN580" i="6" s="1"/>
  <c r="BN581" i="6" s="1"/>
  <c r="BN582" i="6" s="1"/>
  <c r="BN583" i="6" s="1"/>
  <c r="BN584" i="6" s="1"/>
  <c r="BN585" i="6" s="1"/>
  <c r="BN586" i="6" s="1"/>
  <c r="BN587" i="6" s="1"/>
  <c r="BN588" i="6" s="1"/>
  <c r="BN589" i="6" s="1"/>
  <c r="BN590" i="6" s="1"/>
  <c r="BN591" i="6" s="1"/>
  <c r="BN592" i="6" s="1"/>
  <c r="BN593" i="6" s="1"/>
  <c r="BN594" i="6" s="1"/>
  <c r="BN595" i="6" s="1"/>
  <c r="BN596" i="6" s="1"/>
  <c r="BN597" i="6" s="1"/>
  <c r="BN598" i="6" s="1"/>
  <c r="BN599" i="6" s="1"/>
  <c r="BN600" i="6" s="1"/>
  <c r="BN601" i="6" s="1"/>
  <c r="BN602" i="6" s="1"/>
  <c r="BN603" i="6" s="1"/>
  <c r="BN604" i="6" s="1"/>
  <c r="BN4" i="6"/>
  <c r="BN5" i="6" s="1"/>
  <c r="BN6" i="6" s="1"/>
  <c r="BN7" i="6" s="1"/>
  <c r="BN8" i="6" s="1"/>
  <c r="BN9" i="6" s="1"/>
  <c r="BN10" i="6" s="1"/>
  <c r="BN11" i="6" s="1"/>
  <c r="BN12" i="6" s="1"/>
  <c r="BN13" i="6" s="1"/>
  <c r="BN14" i="6" s="1"/>
  <c r="BN15" i="6" s="1"/>
  <c r="BN16" i="6" s="1"/>
  <c r="BN17" i="6" s="1"/>
  <c r="BN18" i="6" s="1"/>
  <c r="BN19" i="6" s="1"/>
  <c r="BN20" i="6" s="1"/>
  <c r="BN21" i="6" s="1"/>
  <c r="BN24" i="6" s="1"/>
  <c r="BN25" i="6" s="1"/>
  <c r="BN26" i="6" s="1"/>
  <c r="BN27" i="6" s="1"/>
  <c r="BN28" i="6" s="1"/>
  <c r="BN29" i="6" s="1"/>
  <c r="BN30" i="6" s="1"/>
  <c r="BN31" i="6" s="1"/>
  <c r="BN32" i="6" s="1"/>
  <c r="BN33" i="6" s="1"/>
  <c r="BN34" i="6" s="1"/>
  <c r="BN35" i="6" s="1"/>
  <c r="BN36" i="6" s="1"/>
  <c r="BN37" i="6" s="1"/>
  <c r="BN38" i="6" s="1"/>
  <c r="BN39" i="6" s="1"/>
  <c r="BN40" i="6" s="1"/>
  <c r="BN41" i="6" s="1"/>
  <c r="BN42" i="6" s="1"/>
  <c r="BN43" i="6" s="1"/>
  <c r="BN44" i="6" s="1"/>
  <c r="BN45" i="6" s="1"/>
  <c r="BN46" i="6" s="1"/>
  <c r="BN47" i="6" s="1"/>
  <c r="BN48" i="6" s="1"/>
  <c r="BN49" i="6" s="1"/>
  <c r="BN50" i="6" s="1"/>
  <c r="BN51" i="6" s="1"/>
  <c r="BN52" i="6" s="1"/>
  <c r="BN53" i="6" s="1"/>
  <c r="BN54" i="6" s="1"/>
  <c r="BN55" i="6" s="1"/>
  <c r="BN56" i="6" s="1"/>
  <c r="BN57" i="6" s="1"/>
  <c r="BN58" i="6" s="1"/>
  <c r="BN59" i="6" s="1"/>
  <c r="BN60" i="6" s="1"/>
  <c r="BN61" i="6" s="1"/>
  <c r="BN62" i="6" s="1"/>
  <c r="BN63" i="6" s="1"/>
  <c r="BN64" i="6" s="1"/>
  <c r="BN65" i="6" s="1"/>
  <c r="BN66" i="6" s="1"/>
  <c r="BN67" i="6" s="1"/>
  <c r="BN68" i="6" s="1"/>
  <c r="BN69" i="6" s="1"/>
  <c r="BN70" i="6" s="1"/>
  <c r="BN71" i="6" s="1"/>
  <c r="BN72" i="6" s="1"/>
  <c r="BN73" i="6" s="1"/>
  <c r="BN74" i="6" s="1"/>
  <c r="BN75" i="6" s="1"/>
  <c r="BN76" i="6" s="1"/>
  <c r="BN77" i="6" s="1"/>
  <c r="BN78" i="6" s="1"/>
  <c r="BN79" i="6" s="1"/>
  <c r="BN80" i="6" s="1"/>
  <c r="BN81" i="6" s="1"/>
  <c r="BN82" i="6" s="1"/>
  <c r="BN83" i="6" s="1"/>
  <c r="BN84" i="6" s="1"/>
  <c r="BN85" i="6" s="1"/>
  <c r="BN86" i="6" s="1"/>
  <c r="BN87" i="6" s="1"/>
  <c r="BN88" i="6" s="1"/>
  <c r="BN89" i="6" s="1"/>
  <c r="BN90" i="6" s="1"/>
  <c r="BN91" i="6" s="1"/>
  <c r="BN92" i="6" s="1"/>
  <c r="BN93" i="6" s="1"/>
  <c r="BN94" i="6" s="1"/>
  <c r="BN95" i="6" s="1"/>
  <c r="BN96" i="6" s="1"/>
  <c r="BN97" i="6" s="1"/>
  <c r="BN98" i="6" s="1"/>
  <c r="BN99" i="6" s="1"/>
  <c r="BN100" i="6" s="1"/>
  <c r="BN101" i="6" s="1"/>
  <c r="BN102" i="6" s="1"/>
  <c r="BN103" i="6" s="1"/>
  <c r="BN104" i="6" s="1"/>
  <c r="BN105" i="6" s="1"/>
  <c r="BN106" i="6" s="1"/>
  <c r="BN107" i="6" s="1"/>
  <c r="BN108" i="6" s="1"/>
  <c r="BN109" i="6" s="1"/>
  <c r="BN110" i="6" s="1"/>
  <c r="BN111" i="6" s="1"/>
  <c r="BN112" i="6" s="1"/>
  <c r="BN113" i="6" s="1"/>
  <c r="BN114" i="6" s="1"/>
  <c r="BN115" i="6" s="1"/>
  <c r="BN116" i="6" s="1"/>
  <c r="BN117" i="6" s="1"/>
  <c r="BN118" i="6" s="1"/>
  <c r="BN119" i="6" s="1"/>
  <c r="BN120" i="6" s="1"/>
  <c r="BN121" i="6" s="1"/>
  <c r="BN122" i="6" s="1"/>
  <c r="BN123" i="6" s="1"/>
  <c r="BN124" i="6" s="1"/>
  <c r="BN125" i="6" s="1"/>
  <c r="BN126" i="6" s="1"/>
  <c r="BN127" i="6" s="1"/>
  <c r="BN128" i="6" s="1"/>
  <c r="BN129" i="6" s="1"/>
  <c r="BN130" i="6" s="1"/>
  <c r="BN131" i="6" s="1"/>
  <c r="BN132" i="6" s="1"/>
  <c r="BN133" i="6" s="1"/>
  <c r="BN134" i="6" s="1"/>
  <c r="BN135" i="6" s="1"/>
  <c r="BN136" i="6" s="1"/>
  <c r="BN137" i="6" s="1"/>
  <c r="BN138" i="6" s="1"/>
  <c r="BN139" i="6" s="1"/>
  <c r="BN140" i="6" s="1"/>
  <c r="BN141" i="6" s="1"/>
  <c r="BN142" i="6" s="1"/>
  <c r="BN143" i="6" s="1"/>
  <c r="BN144" i="6" s="1"/>
  <c r="BN145" i="6" s="1"/>
  <c r="BN146" i="6" s="1"/>
  <c r="BN147" i="6" s="1"/>
  <c r="BN148" i="6" s="1"/>
  <c r="BN149" i="6" s="1"/>
  <c r="BN150" i="6" s="1"/>
  <c r="BN151" i="6" s="1"/>
  <c r="BN152" i="6" s="1"/>
  <c r="BN153" i="6" s="1"/>
  <c r="BN154" i="6" s="1"/>
  <c r="BN155" i="6" s="1"/>
  <c r="BN156" i="6" s="1"/>
  <c r="BN157" i="6" s="1"/>
  <c r="BN158" i="6" s="1"/>
  <c r="BN159" i="6" s="1"/>
  <c r="BN160" i="6" s="1"/>
  <c r="BN161" i="6" s="1"/>
  <c r="BN162" i="6" s="1"/>
  <c r="BN163" i="6" s="1"/>
  <c r="BN164" i="6" s="1"/>
  <c r="BN165" i="6" s="1"/>
  <c r="BN166" i="6" s="1"/>
  <c r="BN167" i="6" s="1"/>
  <c r="BN168" i="6" s="1"/>
  <c r="BN169" i="6" s="1"/>
  <c r="BN170" i="6" s="1"/>
  <c r="BN171" i="6" s="1"/>
  <c r="BN172" i="6" s="1"/>
  <c r="BN173" i="6" s="1"/>
  <c r="BN174" i="6" s="1"/>
  <c r="BN175" i="6" s="1"/>
  <c r="BN176" i="6" s="1"/>
  <c r="BN177" i="6" s="1"/>
  <c r="BN178" i="6" s="1"/>
  <c r="BN179" i="6" s="1"/>
  <c r="BN180" i="6" s="1"/>
  <c r="BN181" i="6" s="1"/>
  <c r="BN182" i="6" s="1"/>
  <c r="BN183" i="6" s="1"/>
  <c r="BN184" i="6" s="1"/>
  <c r="BN185" i="6" s="1"/>
  <c r="BN186" i="6" s="1"/>
  <c r="BN187" i="6" s="1"/>
  <c r="BN188" i="6" s="1"/>
  <c r="BN189" i="6" s="1"/>
  <c r="BN190" i="6" s="1"/>
  <c r="BN191" i="6" s="1"/>
  <c r="BN192" i="6" s="1"/>
  <c r="BN193" i="6" s="1"/>
  <c r="BN194" i="6" s="1"/>
  <c r="BN195" i="6" s="1"/>
  <c r="BN196" i="6" s="1"/>
  <c r="BN197" i="6" s="1"/>
  <c r="BN198" i="6" s="1"/>
  <c r="BN199" i="6" s="1"/>
  <c r="BN200" i="6" s="1"/>
  <c r="BN201" i="6" s="1"/>
  <c r="BN202" i="6" s="1"/>
  <c r="BN203" i="6" s="1"/>
  <c r="BN204" i="6" s="1"/>
  <c r="BN205" i="6" s="1"/>
  <c r="BN206" i="6" s="1"/>
  <c r="BN207" i="6" s="1"/>
  <c r="BN208" i="6" s="1"/>
  <c r="BN209" i="6" s="1"/>
  <c r="BN210" i="6" s="1"/>
  <c r="BN211" i="6" s="1"/>
  <c r="BN212" i="6" s="1"/>
  <c r="BN213" i="6" s="1"/>
  <c r="BN214" i="6" s="1"/>
  <c r="BN215" i="6" s="1"/>
  <c r="BN216" i="6" s="1"/>
  <c r="BN217" i="6" s="1"/>
  <c r="BN218" i="6" s="1"/>
  <c r="BN219" i="6" s="1"/>
  <c r="BN220" i="6" s="1"/>
  <c r="BN221" i="6" s="1"/>
  <c r="BN222" i="6" s="1"/>
  <c r="BN223" i="6" s="1"/>
  <c r="BN224" i="6" s="1"/>
  <c r="BN225" i="6" s="1"/>
  <c r="BN226" i="6" s="1"/>
  <c r="BN227" i="6" s="1"/>
  <c r="BN228" i="6" s="1"/>
  <c r="BN229" i="6" s="1"/>
  <c r="BN230" i="6" s="1"/>
  <c r="BN231" i="6" s="1"/>
  <c r="BN232" i="6" s="1"/>
  <c r="BN233" i="6" s="1"/>
  <c r="BN234" i="6" s="1"/>
  <c r="BN235" i="6" s="1"/>
  <c r="BN236" i="6" s="1"/>
  <c r="BN237" i="6" s="1"/>
  <c r="BN238" i="6" s="1"/>
  <c r="BN239" i="6" s="1"/>
  <c r="BN240" i="6" s="1"/>
  <c r="BN241" i="6" s="1"/>
  <c r="BN242" i="6" s="1"/>
  <c r="BN243" i="6" s="1"/>
  <c r="BN244" i="6" s="1"/>
  <c r="BN245" i="6" s="1"/>
  <c r="BN246" i="6" s="1"/>
  <c r="BN247" i="6" s="1"/>
  <c r="BN248" i="6" s="1"/>
  <c r="BN249" i="6" s="1"/>
  <c r="BN250" i="6" s="1"/>
  <c r="BN251" i="6" s="1"/>
  <c r="BN252" i="6" s="1"/>
  <c r="BN253" i="6" s="1"/>
  <c r="BN254" i="6" s="1"/>
  <c r="BN255" i="6" s="1"/>
  <c r="BN256" i="6" s="1"/>
  <c r="BN257" i="6" s="1"/>
  <c r="BN258" i="6" s="1"/>
  <c r="BN259" i="6" s="1"/>
  <c r="BN260" i="6" s="1"/>
  <c r="BN261" i="6" s="1"/>
  <c r="BN262" i="6" s="1"/>
  <c r="BN263" i="6" s="1"/>
  <c r="BN264" i="6" s="1"/>
  <c r="BN265" i="6" s="1"/>
  <c r="BN266" i="6" s="1"/>
  <c r="BN267" i="6" s="1"/>
  <c r="BN268" i="6" s="1"/>
  <c r="BN269" i="6" s="1"/>
  <c r="BN270" i="6" s="1"/>
  <c r="BN271" i="6" s="1"/>
  <c r="BN272" i="6" s="1"/>
  <c r="BN273" i="6" s="1"/>
  <c r="BN274" i="6" s="1"/>
  <c r="BN275" i="6" s="1"/>
  <c r="BN276" i="6" s="1"/>
  <c r="BN277" i="6" s="1"/>
  <c r="BN278" i="6" s="1"/>
  <c r="BN279" i="6" s="1"/>
  <c r="BN280" i="6" s="1"/>
  <c r="BN281" i="6" s="1"/>
  <c r="BN282" i="6" s="1"/>
  <c r="BN283" i="6" s="1"/>
  <c r="BN284" i="6" s="1"/>
  <c r="BN285" i="6" s="1"/>
  <c r="BN286" i="6" s="1"/>
  <c r="BN287" i="6" s="1"/>
  <c r="BN288" i="6" s="1"/>
  <c r="BN289" i="6" s="1"/>
  <c r="BN290" i="6" s="1"/>
  <c r="BN291" i="6" s="1"/>
  <c r="BN292" i="6" s="1"/>
  <c r="BN293" i="6" s="1"/>
  <c r="BN294" i="6" s="1"/>
  <c r="BN295" i="6" s="1"/>
  <c r="BN296" i="6" s="1"/>
  <c r="BN297" i="6" s="1"/>
  <c r="BN298" i="6" s="1"/>
  <c r="BN299" i="6" s="1"/>
  <c r="BN300" i="6" s="1"/>
  <c r="BN301" i="6" s="1"/>
  <c r="BN302" i="6" s="1"/>
  <c r="BN303" i="6" s="1"/>
  <c r="BN304" i="6" s="1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6" i="6" l="1"/>
  <c r="B8" i="6"/>
  <c r="B7" i="6"/>
  <c r="H3" i="1"/>
  <c r="N3" i="1" s="1"/>
  <c r="D3" i="1"/>
  <c r="G3" i="1"/>
  <c r="F3" i="1"/>
  <c r="AH3" i="1"/>
  <c r="E3" i="1"/>
  <c r="A3" i="1"/>
  <c r="AD3" i="1"/>
  <c r="AF3" i="1"/>
  <c r="AE3" i="1"/>
  <c r="B11" i="6" l="1"/>
  <c r="B12" i="6" s="1"/>
  <c r="B10" i="6"/>
  <c r="B13" i="6"/>
  <c r="B18" i="6" s="1"/>
  <c r="AG3" i="1"/>
  <c r="BG3" i="1" s="1"/>
  <c r="BB3" i="1"/>
  <c r="B16" i="6" l="1"/>
  <c r="B17" i="6" s="1"/>
  <c r="BH3" i="1"/>
  <c r="BC3" i="1"/>
  <c r="AT3" i="1"/>
  <c r="AU3" i="1" s="1"/>
  <c r="AL3" i="1"/>
  <c r="AR3" i="1" s="1"/>
  <c r="AQ3" i="1" s="1"/>
  <c r="AI3" i="1"/>
  <c r="L3" i="1" s="1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I10" i="2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M9" i="2"/>
  <c r="M8" i="2"/>
  <c r="M7" i="2"/>
  <c r="L29" i="2" l="1"/>
  <c r="AM3" i="1"/>
  <c r="AS3" i="1"/>
  <c r="AP3" i="1" l="1"/>
  <c r="AN3" i="1" s="1"/>
  <c r="AJ3" i="1" s="1"/>
  <c r="AO3" i="1"/>
  <c r="X3" i="1" s="1"/>
  <c r="M3" i="1" l="1"/>
  <c r="B14" i="6"/>
  <c r="B20" i="6" s="1"/>
  <c r="AK3" i="1"/>
  <c r="B15" i="6" l="1"/>
  <c r="B19" i="6" s="1"/>
  <c r="B21" i="6" s="1"/>
  <c r="D5" i="6" s="1"/>
  <c r="BI3" i="1"/>
  <c r="R3" i="1" s="1"/>
  <c r="BA3" i="1"/>
  <c r="AZ3" i="1" s="1"/>
  <c r="AY3" i="1" s="1"/>
  <c r="O3" i="1" s="1"/>
  <c r="P3" i="1" s="1"/>
  <c r="AW3" i="1"/>
  <c r="AX3" i="1" s="1"/>
  <c r="AV3" i="1" s="1"/>
  <c r="D19" i="6" l="1"/>
  <c r="D13" i="6"/>
  <c r="BE3" i="1"/>
  <c r="BD3" i="1" s="1"/>
  <c r="BF3" i="1" s="1"/>
  <c r="Q3" i="1" s="1"/>
  <c r="AA3" i="1" l="1"/>
  <c r="AB3" i="1" s="1"/>
  <c r="S3" i="1" s="1"/>
  <c r="U3" i="1" s="1"/>
</calcChain>
</file>

<file path=xl/comments1.xml><?xml version="1.0" encoding="utf-8"?>
<comments xmlns="http://schemas.openxmlformats.org/spreadsheetml/2006/main">
  <authors>
    <author>Luis Ribeiro Parente</author>
  </authors>
  <commentList>
    <comment ref="Y5" authorId="0" shapeId="0">
      <text>
        <r>
          <rPr>
            <b/>
            <sz val="9"/>
            <color indexed="81"/>
            <rFont val="Segoe UI"/>
            <family val="2"/>
          </rPr>
          <t>Digite a data base de cada sindicato</t>
        </r>
      </text>
    </comment>
  </commentList>
</comments>
</file>

<file path=xl/sharedStrings.xml><?xml version="1.0" encoding="utf-8"?>
<sst xmlns="http://schemas.openxmlformats.org/spreadsheetml/2006/main" count="3763" uniqueCount="1264">
  <si>
    <t>Filial</t>
  </si>
  <si>
    <t>Matricula</t>
  </si>
  <si>
    <t>Centro Custo</t>
  </si>
  <si>
    <t>P.I.S.</t>
  </si>
  <si>
    <t>CPF</t>
  </si>
  <si>
    <t>Data Nasc.</t>
  </si>
  <si>
    <t>Data Admis.</t>
  </si>
  <si>
    <t>Cargo</t>
  </si>
  <si>
    <t>SAL + CF</t>
  </si>
  <si>
    <t>Médias</t>
  </si>
  <si>
    <t>TOTAL FGTS</t>
  </si>
  <si>
    <t>Férias Vencidas</t>
  </si>
  <si>
    <t>Saldo de Salários</t>
  </si>
  <si>
    <t>Férias Proporcionais</t>
  </si>
  <si>
    <t>1/3 Férias</t>
  </si>
  <si>
    <t>13º Salário</t>
  </si>
  <si>
    <t>Multa FGTS</t>
  </si>
  <si>
    <t>VALOR TOTAL</t>
  </si>
  <si>
    <t>Nome do colaborador</t>
  </si>
  <si>
    <t>Aviso Prévio Indenizado</t>
  </si>
  <si>
    <t>FGTS na rescisão</t>
  </si>
  <si>
    <t>Estabilidade</t>
  </si>
  <si>
    <t>Data Desligamento</t>
  </si>
  <si>
    <t>Saldo de dias trabalhados</t>
  </si>
  <si>
    <t>Tabela de contagem do acréscimo ao tempo de aviso prévio - Lei nº 12.506 de 11 de outubro de 2011</t>
  </si>
  <si>
    <t>Parâmetro:</t>
  </si>
  <si>
    <t>Ano + 1 dia</t>
  </si>
  <si>
    <t>Tempo de serviço, Ano completo</t>
  </si>
  <si>
    <t>Aviso Prévio, dias</t>
  </si>
  <si>
    <t>Tipo de Desligamento</t>
  </si>
  <si>
    <t>Dispensa sem justa causa</t>
  </si>
  <si>
    <t>Dt Projeção Aviso I</t>
  </si>
  <si>
    <t>Dt Projeção Aviso II</t>
  </si>
  <si>
    <t>Dt Projeção Aviso III</t>
  </si>
  <si>
    <t>Anos Trab. I</t>
  </si>
  <si>
    <t>Anos Trab. II</t>
  </si>
  <si>
    <t>Anos Trab. III</t>
  </si>
  <si>
    <t>Ana Atual I</t>
  </si>
  <si>
    <t>Ana Atual II</t>
  </si>
  <si>
    <t>Mese Trab. Ano I</t>
  </si>
  <si>
    <t>Mese Trab. Ano II</t>
  </si>
  <si>
    <t>Mese Trab. Ano III</t>
  </si>
  <si>
    <t>Dias Direito Aviso</t>
  </si>
  <si>
    <t>Anos Trab</t>
  </si>
  <si>
    <t>Férias Propor. I</t>
  </si>
  <si>
    <t>Férias Propor. II</t>
  </si>
  <si>
    <t>Fim mês</t>
  </si>
  <si>
    <t>Valor Dia</t>
  </si>
  <si>
    <t>Valor Mês</t>
  </si>
  <si>
    <t>13º
Meses ano</t>
  </si>
  <si>
    <t>13º
Dias</t>
  </si>
  <si>
    <t>13º
Resultado</t>
  </si>
  <si>
    <t>Validação
FÉRIAS VENCIDAS</t>
  </si>
  <si>
    <t>Multa , Lei Nº 7.238/84</t>
  </si>
  <si>
    <t>Multa Data Base</t>
  </si>
  <si>
    <t>Data Base</t>
  </si>
  <si>
    <t>Mês Data Base</t>
  </si>
  <si>
    <t>Dia Data Base</t>
  </si>
  <si>
    <t>Afastamento</t>
  </si>
  <si>
    <t>FGTS 03e04</t>
  </si>
  <si>
    <t>Chave</t>
  </si>
  <si>
    <t>Nome completo</t>
  </si>
  <si>
    <t>C. Sindicato</t>
  </si>
  <si>
    <t>Salário</t>
  </si>
  <si>
    <t>SIM</t>
  </si>
  <si>
    <t>MARIA INES DOS SANTOS</t>
  </si>
  <si>
    <t>VERA LUCIA PEREIRA</t>
  </si>
  <si>
    <t>VALIDAÇÃO DE DESLIGAMENTO 
DE ACORDO A NOVA LEI DO AVISO PRÉVIO</t>
  </si>
  <si>
    <t>Pode ser desligado</t>
  </si>
  <si>
    <t>RESULTADO</t>
  </si>
  <si>
    <t>Sind.</t>
  </si>
  <si>
    <t>Descrição Sindicato</t>
  </si>
  <si>
    <t>Matrícula</t>
  </si>
  <si>
    <t>SINDICATO DOS COMERCIARIOS DE SAO PAULO</t>
  </si>
  <si>
    <t>SINDICATO DOS EMPREG DO COM DE JUNDIAI</t>
  </si>
  <si>
    <t>SIND DOS EMP DO COM DE DUQUE DE CAXIAS</t>
  </si>
  <si>
    <t>SIND DOS EMPR NO COM DE SANTO ANDRE</t>
  </si>
  <si>
    <t>SINDICATO DOS EMPR COMERCIO DE NITEROI</t>
  </si>
  <si>
    <t>Sindicato</t>
  </si>
  <si>
    <t>SIND EMP DO COM DE SAO JOSE DO RIO PRETO</t>
  </si>
  <si>
    <t>MELHOR DATA (a partir de)</t>
  </si>
  <si>
    <t>SINDICATO DOS EMPR NO COM DE BAURU</t>
  </si>
  <si>
    <t>Data admissão</t>
  </si>
  <si>
    <t>SINDICATO DOS EMPR NO COM DE CAMPINAS</t>
  </si>
  <si>
    <t>Quant. dias avisos</t>
  </si>
  <si>
    <t>SINDICATO DOS EMP NO COM DE PIRACICABA</t>
  </si>
  <si>
    <t>Data projetada do aviso</t>
  </si>
  <si>
    <t>SIND EMP DO COM DE SAO JOSE DOS CAMPOS</t>
  </si>
  <si>
    <t>Está em período de Experiência?</t>
  </si>
  <si>
    <t>SINDICATO DOS EMP DO COM DE SOROCABA</t>
  </si>
  <si>
    <t>TÉRMINO EXPERIÊNCIA</t>
  </si>
  <si>
    <t>Dias diferença</t>
  </si>
  <si>
    <t>Melhor data</t>
  </si>
  <si>
    <t>Resultado</t>
  </si>
  <si>
    <t>Obs: esta validação se enquadra apenas para desligamentos com 30 dias antes da data base e com projeção da nova Lei do Aviso Prévio. As demais validações como CIPA, aposentadoria, férias, licença maternidade e licença INSS devem ser realizadas, conforme instruções anteriores.</t>
  </si>
  <si>
    <t>Não pode ser desligado</t>
  </si>
  <si>
    <t>Função</t>
  </si>
  <si>
    <t>Sind</t>
  </si>
  <si>
    <t>SIND DOS EMP NO COM DO RIO DE JANEIRO</t>
  </si>
  <si>
    <t>SIND EMP NO COM DE PRESIDENTE PRUDENTE</t>
  </si>
  <si>
    <t>SINDICATO EMPREG COMERCIO DE GUARULHOS</t>
  </si>
  <si>
    <t>SIND DOS EMPREG COMER DE RIBEIRAO PRETO</t>
  </si>
  <si>
    <t>SIND. TRAB. COMERCIO NOVA IGUACU</t>
  </si>
  <si>
    <t>SIND DOS EMP COM DE SAO JOAO DO MERITI</t>
  </si>
  <si>
    <t>SIND DOS EMPREG NO COMERCIO DE MARILIA</t>
  </si>
  <si>
    <t>SIND EMPREG NO COM DE OSASCO E REGIAO</t>
  </si>
  <si>
    <t>v.2017.1</t>
  </si>
  <si>
    <t>RECEPCIONISTA I</t>
  </si>
  <si>
    <t>Almoxarifado</t>
  </si>
  <si>
    <t>Descrição Centro de Custo</t>
  </si>
  <si>
    <t>Descrição Filial/Centro Custo</t>
  </si>
  <si>
    <t>SALDO FGTS</t>
  </si>
  <si>
    <t>DATA BASE</t>
  </si>
  <si>
    <t>O objeto desta planilha é analisar individualmente se a data sugerida para desligamento do ocorre ocorre no período de 30 (trinta) dias que antecede a data de sua correção salarial. Assim, poderá evitar o pagamento à indenização adicional equivalente a um salário mensal, seja ele optante ou não pelo Fundo de Garantia do Tempo de Serviço - FGTS.</t>
  </si>
  <si>
    <t>Para que análise seja correta, é necessário que o usuário siga os passos abaixo:</t>
  </si>
  <si>
    <t xml:space="preserve">Na planilha DADOS, digite/copie somente nas células na cor OURO, ÊNFASE 4. </t>
  </si>
  <si>
    <t>As informações necessárias são:</t>
  </si>
  <si>
    <t>Item obrigatório</t>
  </si>
  <si>
    <t>Não é obrigatório</t>
  </si>
  <si>
    <t>Não é obrigatório, mas é bom ter o nome do colaborador.</t>
  </si>
  <si>
    <t>Item obrigatório (sugiro colocar o número do sindicato)</t>
  </si>
  <si>
    <t>Não é obrigatório, mas é bom ter a descrição do cargo.</t>
  </si>
  <si>
    <t xml:space="preserve">Na planilha ANÁLISE, digite somente nas células na cor OURO, ÊNFASE 4. </t>
  </si>
  <si>
    <t>ALLAN CAYNA CARRENO MACIEL</t>
  </si>
  <si>
    <t>JULIO CESAR DE SOUZA</t>
  </si>
  <si>
    <t>ELEDENICE BISPO DE JESUS</t>
  </si>
  <si>
    <t>ADELSON PASSOS DE LIMA</t>
  </si>
  <si>
    <t>LUIZ PENTEADO</t>
  </si>
  <si>
    <t>ADEMAR ROBERTO MENDES</t>
  </si>
  <si>
    <t>CAROLINA XAVIER CEZAR</t>
  </si>
  <si>
    <t>VERALUCIA SILVA OLIVEIRA</t>
  </si>
  <si>
    <t xml:space="preserve">ANTONIO MARCOS FIRMINO GABRIEL          </t>
  </si>
  <si>
    <t>CATIA CILENE TOBIAS DA SILVA</t>
  </si>
  <si>
    <t>SELMA BUENO DE LIMA</t>
  </si>
  <si>
    <t>MARCELO TORRES PAULINO</t>
  </si>
  <si>
    <t>CLAUDETE ALBERTO DE FRANCA OLIVEIRA</t>
  </si>
  <si>
    <t>DEBORA CRISTINA ALONSO</t>
  </si>
  <si>
    <t>VALDERIA BEZERRA DE CARVALHO</t>
  </si>
  <si>
    <t>LUIS FERNANDO SODELLI</t>
  </si>
  <si>
    <t>FABIANA CRISTINA SOUZA NAVARRO</t>
  </si>
  <si>
    <t>FABIANA SOUZA DA SILVA</t>
  </si>
  <si>
    <t>EDILSON LOMBARDI</t>
  </si>
  <si>
    <t>THAIS LUZIA OLIVEIRA URTADO</t>
  </si>
  <si>
    <t>LINDACI LOPES DO NASCIMENTO</t>
  </si>
  <si>
    <t>SEBASTIAO NETO RODRIGUES</t>
  </si>
  <si>
    <t>PAULA FERNANDA DELFINO VIEIRA</t>
  </si>
  <si>
    <t>RAQUEL CONCEICAO DE OLIVEIRA</t>
  </si>
  <si>
    <t>RAFAEL PERRIN CABRAL</t>
  </si>
  <si>
    <t>PAULO ROBERTO PINO</t>
  </si>
  <si>
    <t>EDNA SANTOS DA SILVA COSTA</t>
  </si>
  <si>
    <t>FABIO HENRIQUE DE CAMPOS BARBOSA</t>
  </si>
  <si>
    <t>MARIA DA PAZ ALVES CORREIA</t>
  </si>
  <si>
    <t>ANDRESSA ALVES DA SILVA</t>
  </si>
  <si>
    <t>KLEBER DANIEL BARRETO DA SILVA</t>
  </si>
  <si>
    <t>RITA DE CASSIA BICALHO RACHID</t>
  </si>
  <si>
    <t>GEDEON BRAGA DOS SANTOS SOUSA</t>
  </si>
  <si>
    <t>ANDERSON VILAR ANDREOLI</t>
  </si>
  <si>
    <t>ELIANA DE CAMPOS OLIVEIRA</t>
  </si>
  <si>
    <t>LENISA DE ANDRADE SENA</t>
  </si>
  <si>
    <t>ANA MUNIZE BARBOSA MIRANDA CUNHA</t>
  </si>
  <si>
    <t>SANDRA HELENA SILVA DOS SANTOS RAMI</t>
  </si>
  <si>
    <t>SUELI MARIA DOS SANTOS</t>
  </si>
  <si>
    <t>GISLENE APARECIDA DE SOUZA</t>
  </si>
  <si>
    <t>MARIA CRISTINA A. DE A. MARCONDES</t>
  </si>
  <si>
    <t>CICERO MACHADO FREIRE</t>
  </si>
  <si>
    <t>SIDINEI ALMEIDA DOMINGOS</t>
  </si>
  <si>
    <t>HEIDI DA SILVA FABRO</t>
  </si>
  <si>
    <t>BENTO CESAR NETO</t>
  </si>
  <si>
    <t>EDILEUZA APARECIDA BARROS DE MORAES</t>
  </si>
  <si>
    <t>MARYNALVA BATISTA DA COSTA</t>
  </si>
  <si>
    <t>CLAUDIA VILAS BOAS SCHNEIDER</t>
  </si>
  <si>
    <t>ALESSANDRA DE OLIVEIRA</t>
  </si>
  <si>
    <t>ANA PAULA DOS SANTOS DUTRA</t>
  </si>
  <si>
    <t>CLEONICE RIBEIRO</t>
  </si>
  <si>
    <t>FERNANDA CHRISTINA DOS SANTOS ROSEIRO</t>
  </si>
  <si>
    <t>VANILDA BEZERRA DA SILVA</t>
  </si>
  <si>
    <t>ALINE SORAIA ZACHEO</t>
  </si>
  <si>
    <t>MARIA DAS GRACAS SANTOS DA CONCEICAO</t>
  </si>
  <si>
    <t>LEILA ELIAS MELKI</t>
  </si>
  <si>
    <t>LEILA CRISTINA FERREIRA</t>
  </si>
  <si>
    <t>TANISIA DE AZEVEDO</t>
  </si>
  <si>
    <t>JAQUELINE REGINA GONCALVES SOBRAL</t>
  </si>
  <si>
    <t>VIVIANE JOSE DO NASCIMENTO</t>
  </si>
  <si>
    <t>MARCELO SANT ANA</t>
  </si>
  <si>
    <t>SIMONE ALMEIDA SANTOS BUENO</t>
  </si>
  <si>
    <t>SILVANA PEREIRA FERREIRA CABRAL</t>
  </si>
  <si>
    <t>JOANA RODRIGUES SILVA</t>
  </si>
  <si>
    <t>HENRIQUE PENNA FAZAO</t>
  </si>
  <si>
    <t>EDILENE ALVES DE LIMA FERNANDES</t>
  </si>
  <si>
    <t>EDILEINE FERNANDES MOREIRA</t>
  </si>
  <si>
    <t>FRANCISCO ADALBERTO FERREIRA DA SILVA</t>
  </si>
  <si>
    <t>CLAUDIA VANESSA COUTINHO LIBERATO</t>
  </si>
  <si>
    <t>GISLENE FATIMA FERNANDES</t>
  </si>
  <si>
    <t>MARIA LISETA PIRES REZENDE</t>
  </si>
  <si>
    <t>FERNANDO DE OLIVEIRA SILVA</t>
  </si>
  <si>
    <t>RENATO IANNACCARO</t>
  </si>
  <si>
    <t>FABIO PORTO DA SILVA</t>
  </si>
  <si>
    <t>ALESSANDRA DA SILVA</t>
  </si>
  <si>
    <t>ANDREA CRISTINA GOMES</t>
  </si>
  <si>
    <t>KLEBER ROCHA DE MOURA</t>
  </si>
  <si>
    <t>EVA DA SILVA NOBRE</t>
  </si>
  <si>
    <t>ALESSANDRA CARLA DE MELO</t>
  </si>
  <si>
    <t>BRUNO MOURA SILVA</t>
  </si>
  <si>
    <t>VALMIR JOSE DA SILVA</t>
  </si>
  <si>
    <t>CINTIA DE LIMA SOUZA</t>
  </si>
  <si>
    <t>ALEX BUENO DE LIMA</t>
  </si>
  <si>
    <t>JANAINA LUCIA PEREIRA DE SOUZA</t>
  </si>
  <si>
    <t>CECILIA ROCHA COSTA</t>
  </si>
  <si>
    <t>ANTONIO EUZEBIO NUNES DE OLIVEIRA</t>
  </si>
  <si>
    <t>ANA PAULA FERNANDES</t>
  </si>
  <si>
    <t>JOAQUIM QUIRINO DE VASCONCELOS</t>
  </si>
  <si>
    <t>ISABELLA GONCALVES</t>
  </si>
  <si>
    <t>CAMILA GOMES GUIMARAES NUNES</t>
  </si>
  <si>
    <t>LEANDRO RODRIGUES DA SILVA</t>
  </si>
  <si>
    <t>EDER DOS SANTOS</t>
  </si>
  <si>
    <t>ROSE GONCALVES SANTOS</t>
  </si>
  <si>
    <t>FLAVIA APARECIDA INACIO</t>
  </si>
  <si>
    <t>MICHELLE ROBERTA CAPOVILA</t>
  </si>
  <si>
    <t xml:space="preserve">SANDRO ARTUR DE OLIVEIRA AMARAL         </t>
  </si>
  <si>
    <t>SIMONE APARECIDA GONCALVES</t>
  </si>
  <si>
    <t>ALESSANDRA CARLA DE MORAES</t>
  </si>
  <si>
    <t>RAFAEL APARECIDO DE JESUS SILVA</t>
  </si>
  <si>
    <t>SIMONE APARECIDA LERI</t>
  </si>
  <si>
    <t>PATRICIA FELIX DE SOUZA</t>
  </si>
  <si>
    <t>BRUNA MARIA DO AMARAL BERTOLETTI</t>
  </si>
  <si>
    <t>RAQUEL JESUS ROCHA</t>
  </si>
  <si>
    <t>LENA GRACAS DOS PASSOS</t>
  </si>
  <si>
    <t>ROSANGELA PARDIN DA SILVA</t>
  </si>
  <si>
    <t>MARIA CONCEICAO NASCIMENTO DOS SANTOS</t>
  </si>
  <si>
    <t>JANAINA ROMANEZI</t>
  </si>
  <si>
    <t>FRANCIANE KELLY DE OLIVEIRA</t>
  </si>
  <si>
    <t>CARLA JULIANE DE CARVALHO BARROS</t>
  </si>
  <si>
    <t>AMARA DE FREITAS BRITTO</t>
  </si>
  <si>
    <t>FABIANO ALVES BRANDAO</t>
  </si>
  <si>
    <t>HELLEN DE OLIVEIRA PEREIRA</t>
  </si>
  <si>
    <t>PAULO GUILHERME DE ALMEIDA</t>
  </si>
  <si>
    <t>VILMA COSTA YOSHIMOTO</t>
  </si>
  <si>
    <t>EDSON GONCALVES SANTOS DA SILVA</t>
  </si>
  <si>
    <t>JAMILE DA SILVA</t>
  </si>
  <si>
    <t>GIVALDA OLIVEIRA DA SILVA</t>
  </si>
  <si>
    <t>JUAN WALDO VALENCIA DIAZ</t>
  </si>
  <si>
    <t>THAIANE DOS SANTOS CAVICCHIO</t>
  </si>
  <si>
    <t>NAIR FERREIRA DA CRUZ</t>
  </si>
  <si>
    <t>ANDREA HELENA DOS SANTOS</t>
  </si>
  <si>
    <t>NANCI ALVES DE LIMA</t>
  </si>
  <si>
    <t>ALEX ROBSON ALVES DA CRUZ</t>
  </si>
  <si>
    <t>JHENNYFER BORTOLI</t>
  </si>
  <si>
    <t>SUSAN VASCONCELOS CAVALLARI</t>
  </si>
  <si>
    <t>MARCIO RAMOS FERNANDES</t>
  </si>
  <si>
    <t>ANDERSON DA FONSECA SANTANA</t>
  </si>
  <si>
    <t>LUCIANA KARLA TIRADO</t>
  </si>
  <si>
    <t>CLAYTON ALVES DOS SANTOS</t>
  </si>
  <si>
    <t>VERA LUCIA DOS SANTOS</t>
  </si>
  <si>
    <t>JOCENILDA DE MACEDO NASCIMENTO</t>
  </si>
  <si>
    <t>JESSICA MENEZES RABELO</t>
  </si>
  <si>
    <t>FABIA RENATA RIBEIRO EVANGELISTA</t>
  </si>
  <si>
    <t>INGRID MENDES DA SILVA</t>
  </si>
  <si>
    <t>ANDRE BARUTTI PACHECO</t>
  </si>
  <si>
    <t>LUIZA HAYASHIDA</t>
  </si>
  <si>
    <t>JESSICA DE SA VALETE OLIVEIRA</t>
  </si>
  <si>
    <t>DOUGLAS ALFREDO DE FREITAS</t>
  </si>
  <si>
    <t>THIAGO SILVEIRA DA SILVA PAULO</t>
  </si>
  <si>
    <t>CLAUDINEIA SEVERINA DOS SANTOS</t>
  </si>
  <si>
    <t>SIMONE BERLANGA FERREIRA PETRIN</t>
  </si>
  <si>
    <t>ANA GIZELLE SILVA DOS SANTOS</t>
  </si>
  <si>
    <t>PETRONIO GONÇALVES FERREIRA</t>
  </si>
  <si>
    <t>FERNANDA MAN MORAES</t>
  </si>
  <si>
    <t>CARLA DA SILVA NOGUEIRA</t>
  </si>
  <si>
    <t>DANIEL SANTOS FEITOZA</t>
  </si>
  <si>
    <t>CAROLINE SILVA FRAGA</t>
  </si>
  <si>
    <t>WALTER NOGUEIRA FILHO</t>
  </si>
  <si>
    <t>SARA JESSICA SOARES SOUZA</t>
  </si>
  <si>
    <t>CARLANDIO ALVES MACENA</t>
  </si>
  <si>
    <t>GEREMIAS OLIVEIRA SILVA</t>
  </si>
  <si>
    <t>CIBELY LOPEZ CHACON DE FARIA</t>
  </si>
  <si>
    <t>TATIANE ANSELMO ALVES DE LUCENA</t>
  </si>
  <si>
    <t>DOUGLAS LANDI DE SOUZA</t>
  </si>
  <si>
    <t>LUIZ EDUARDO DE CAMPOS FERREIRA ALVES</t>
  </si>
  <si>
    <t>OTTERLEY CORREA DOS SANTOS</t>
  </si>
  <si>
    <t>DORIVAL DOS SANTOS PEREIRA</t>
  </si>
  <si>
    <t>LUCAS ANTONIO RODRIGUES FERREIRA</t>
  </si>
  <si>
    <t>BARBARA DE MOURA PLACENCIO</t>
  </si>
  <si>
    <t>EGNALDO LUIZ DA SILVA REIS</t>
  </si>
  <si>
    <t>ANDRE MEDEIROS COSTA</t>
  </si>
  <si>
    <t>PAULO MACHADO DE ARRUDA</t>
  </si>
  <si>
    <t>ANDRE BRIGATTO MARIANO</t>
  </si>
  <si>
    <t>NATALIA GOMES DE SOUSA ESTEVES</t>
  </si>
  <si>
    <t>ADRIANA FERREIRA DA COSTA RAMOS</t>
  </si>
  <si>
    <t>RODRIGO LUIS SOARES DOS SANTOS</t>
  </si>
  <si>
    <t>JOSIANE DIAS DA CRUZ</t>
  </si>
  <si>
    <t>MARCELA VIEIRA GOMES</t>
  </si>
  <si>
    <t>CATIA ROCHA DE SOUZA</t>
  </si>
  <si>
    <t>VICTORIA ANTHERO CALDAS PEDRO</t>
  </si>
  <si>
    <t>GABRIELLA PALERMO EDUVIRGES</t>
  </si>
  <si>
    <t>MARIANA LUCAS DIAS DE SOUZA</t>
  </si>
  <si>
    <t>LUCINEIDE DOS SANTOS LOPES</t>
  </si>
  <si>
    <t>HELLEN CRISTINA SANTOS DA SILVA</t>
  </si>
  <si>
    <t>VICTOR HUGO FERREIRA PIMENTEL</t>
  </si>
  <si>
    <t>NATHALIA OLIVEIRA DE SOUZA</t>
  </si>
  <si>
    <t>DANIELA SOUZA BRITO</t>
  </si>
  <si>
    <t>FERNANDA LOPES BARBOSA</t>
  </si>
  <si>
    <t>MONALISA MOREIRA QUEIROGA</t>
  </si>
  <si>
    <t>ANA CLAUDIA DE TOLEDO CARDOSO</t>
  </si>
  <si>
    <t>ADRIANO DA SILVA</t>
  </si>
  <si>
    <t>GUIOMAR ANA SILVA TAVARES</t>
  </si>
  <si>
    <t>ROBERTO EDUARDO SILVA</t>
  </si>
  <si>
    <t>KENIA MERE SOARES SANTIAGO</t>
  </si>
  <si>
    <t>BIANCA PAULA DE AGUIAR ALVES</t>
  </si>
  <si>
    <t>CAMILA FERREIRA DA SILVA ZUNARELI</t>
  </si>
  <si>
    <t>VALDIRENE GONCALVES DIAS</t>
  </si>
  <si>
    <t>LUCAS DE ALMEIDA LIMA</t>
  </si>
  <si>
    <t>FABIANA GOMES LANCELLOTTI</t>
  </si>
  <si>
    <t>SONIA CRISTINA MARQUES DE SOUZA TAVARES</t>
  </si>
  <si>
    <t>FRANCISCO FELIPE TABOSA XAVIER</t>
  </si>
  <si>
    <t>MARIA HELENA PEREIRA CASIMIRO</t>
  </si>
  <si>
    <t>ANA CARINE CAPDEVILA</t>
  </si>
  <si>
    <t>WILTON LOURENCO VIEIRA</t>
  </si>
  <si>
    <t>ANGELICA MARIA PEREIRA</t>
  </si>
  <si>
    <t>RODOLFO MASSAYUKE FRANCO TODA</t>
  </si>
  <si>
    <t>DOUGLAS LANDES MARTINS</t>
  </si>
  <si>
    <t>LUCAS ITACARAMBI DE MOURA</t>
  </si>
  <si>
    <t>JEFFERSON ANDRE MATOS DO AMARAL</t>
  </si>
  <si>
    <t>RAPHAEL MACHADO ROCCI</t>
  </si>
  <si>
    <t>JONAS RICARDO DOS SANTOS</t>
  </si>
  <si>
    <t>SOLANGE DE ARAUJO RODRIGUES NASCIMENTO</t>
  </si>
  <si>
    <t>VALDECI DA SILVA CARDOSO</t>
  </si>
  <si>
    <t>LUANA CARVALHO RODRIGUES</t>
  </si>
  <si>
    <t>LEANDRO CARLOS DUARTE DE OLIVEIRA</t>
  </si>
  <si>
    <t>ANA CAROLINA ALVES TOSCANO</t>
  </si>
  <si>
    <t>PATRICIA BARBOSA VIANA</t>
  </si>
  <si>
    <t>THAIS ALVES DA SILVA</t>
  </si>
  <si>
    <t>JESSICA CRISTINA DA SILVA PACHECO</t>
  </si>
  <si>
    <t>SHIRLEY DA SILVA GUEDES ALMEIDA</t>
  </si>
  <si>
    <t>VITORIA PINHEIRO DE SOUSA</t>
  </si>
  <si>
    <t>IRIS GABRIELE DA SILVA</t>
  </si>
  <si>
    <t>VICTOR BARRETO</t>
  </si>
  <si>
    <t>ERIKA GALIZA BARROS</t>
  </si>
  <si>
    <t>ROSANGELA RIBEIRO ANTUNES</t>
  </si>
  <si>
    <t>RAFAEL MATTIOLI BERNARDO</t>
  </si>
  <si>
    <t>ANA CAROLINE FELIX TORQUATO DA SILVA</t>
  </si>
  <si>
    <t>SIMONE PEREIRA SANTOS DE OLIVEIRA</t>
  </si>
  <si>
    <t>WESLEY CARNEIRO DE JESUS BARRETO</t>
  </si>
  <si>
    <t>ENILDES TAVARES VIEIRA</t>
  </si>
  <si>
    <t>DAVID CARDOSO DOS SANTOS</t>
  </si>
  <si>
    <t>MATEUS RODRIGUES DE CARVALHO</t>
  </si>
  <si>
    <t>UESLEY FERREIRA BASTOS</t>
  </si>
  <si>
    <t>FELIPE ANTONIO DE OLIVEIRA</t>
  </si>
  <si>
    <t>KAIQUE PEREIRA CRUZ</t>
  </si>
  <si>
    <t>ELIANE CAMPOS DE OLIVEIRA</t>
  </si>
  <si>
    <t>JULIANA YANIKIAN FERRARO</t>
  </si>
  <si>
    <t>JAMILLY NICOLAU ALVES</t>
  </si>
  <si>
    <t>EUNICE NEIA LIMA SANTANA</t>
  </si>
  <si>
    <t>RODOLFO RODRIGUES MAGALHAES DA SILVA</t>
  </si>
  <si>
    <t>VILMA NASCIMENTO DOS SANTOS SOUSA</t>
  </si>
  <si>
    <t>SILVIA REGINA BORGES SALETTI</t>
  </si>
  <si>
    <t>VANIA GUSTAVO</t>
  </si>
  <si>
    <t>LUCILIA MELANIA DE CASTRO</t>
  </si>
  <si>
    <t>SHIRLEY JANE COUTINHO OLIVEIRA</t>
  </si>
  <si>
    <t>RODRIGO LOPES DA SILVA</t>
  </si>
  <si>
    <t>ANDERSON TELES DOS REIS</t>
  </si>
  <si>
    <t>LOURIVAL DIAS SANTANA</t>
  </si>
  <si>
    <t>VANDERLY DE SOUZA BEZERRA</t>
  </si>
  <si>
    <t>THAISA BRITO DE ALMEIDA DANTAS DA SILVA</t>
  </si>
  <si>
    <t>PAMELA FRANCA DO NASCIMENTO</t>
  </si>
  <si>
    <t>ENIO DE JESUS</t>
  </si>
  <si>
    <t>RAQUEL CESAR DOS SANTOS MACIEL</t>
  </si>
  <si>
    <t>ANTONIA GOMES DAMACENO</t>
  </si>
  <si>
    <t>CAROLINA TATIANA ASSUNCAO DO CARMO</t>
  </si>
  <si>
    <t>LUCIA HELENA DA SILVA</t>
  </si>
  <si>
    <t xml:space="preserve">ANA PAULA ALVES PEREIRA                 </t>
  </si>
  <si>
    <t>CRISTIANE GOUVEIA</t>
  </si>
  <si>
    <t>MARIA CECILIA DA SILVA</t>
  </si>
  <si>
    <t>RAQUEL NEVES CHEPANSK</t>
  </si>
  <si>
    <t>EDRILENE MARTINS DO NASCIMENTO</t>
  </si>
  <si>
    <t>CARLA SOUZA RIBEIRO</t>
  </si>
  <si>
    <t>ANTONIETA ANTONIA APARECIDA DA SILVA</t>
  </si>
  <si>
    <t>THAIS FERREIRA DA SILVA</t>
  </si>
  <si>
    <t>ANA PAULA ROCHA</t>
  </si>
  <si>
    <t>MARIZETE HONORATO DA SILVA</t>
  </si>
  <si>
    <t>ANTONIA ANITA DA SILVA SANTOS</t>
  </si>
  <si>
    <t>ELENICE DA SILVA MOREIRA</t>
  </si>
  <si>
    <t>VIVIANE DA SILVA QUININO</t>
  </si>
  <si>
    <t>CLAUDIA FERNANDES PINTO</t>
  </si>
  <si>
    <t>ELIZABETH PEREIRA DA SILVA</t>
  </si>
  <si>
    <t>ANDREIA APARECIDA DA SILVA</t>
  </si>
  <si>
    <t>HOSANA NOBREGA BUENO</t>
  </si>
  <si>
    <t>KAMILLA ALVARISTO DE ALMEIDA</t>
  </si>
  <si>
    <t>ODIMARA PAES DOS SANTOS</t>
  </si>
  <si>
    <t>ADENISE SANTOS DE OLIVEIRA</t>
  </si>
  <si>
    <t xml:space="preserve">MARCIA AP CREPALDI ADAM DE OLIVEIRA     </t>
  </si>
  <si>
    <t>MARIA LUCIA SILVA</t>
  </si>
  <si>
    <t>PATRICIA MOREIRA DOS SANTOS</t>
  </si>
  <si>
    <t>JOSIEL ABRAHAO DA SILVA</t>
  </si>
  <si>
    <t>MARIA JOSE</t>
  </si>
  <si>
    <t>TATIANE TORRES BRASIL DA COSTA</t>
  </si>
  <si>
    <t>MONICA BRITO DE MORAES</t>
  </si>
  <si>
    <t>MARIA GEANNE DE OLIVEIRA SILVA</t>
  </si>
  <si>
    <t>FABIANA SOUZA CERQUEIRA</t>
  </si>
  <si>
    <t>LIGIA LEITE DA SILVA REIS</t>
  </si>
  <si>
    <t>LENICE GODINHO</t>
  </si>
  <si>
    <t>JANICE DA SILVA</t>
  </si>
  <si>
    <t>RAIMUNDA MICHELLI BRAGA</t>
  </si>
  <si>
    <t>BEATRIZ DE SOUSA SANTOS</t>
  </si>
  <si>
    <t>MARIA APARECIDA DE ALMEIDA DORICO</t>
  </si>
  <si>
    <t>ISABEL HONORIO DOS SANTOS RODRIGUES</t>
  </si>
  <si>
    <t>SIMONE RODRIGUES DOS SANTOS</t>
  </si>
  <si>
    <t>GILMARA CIRILO DE SOUZA</t>
  </si>
  <si>
    <t>ROBINELIA RODRIGUES DE OLIVEIRA</t>
  </si>
  <si>
    <t>KARLA TATHIANA RUBINI</t>
  </si>
  <si>
    <t>CLAUDIA DA SILVA NOBILE FRAGA</t>
  </si>
  <si>
    <t>MARCIA DANIELLA FINELLI</t>
  </si>
  <si>
    <t>DIANA CORREIA LINS BOVO</t>
  </si>
  <si>
    <t>REGINA BATISTA DIAS</t>
  </si>
  <si>
    <t>ROGERIO CABRAL LOPES DA SILVA</t>
  </si>
  <si>
    <t>LUCIANA TELES ROCHA BRANDAO</t>
  </si>
  <si>
    <t>MARCIA NASCIMENTO DE ARAUJO</t>
  </si>
  <si>
    <t>ELISA MARTINS SERRA</t>
  </si>
  <si>
    <t>JAQUELINE BRUNA GARCIA GAUDENCIO</t>
  </si>
  <si>
    <t>GISELDA BATISTA ANDREOLI TRISTAO</t>
  </si>
  <si>
    <t>CRISTIANE DA SILVA AMORIM</t>
  </si>
  <si>
    <t>KELLI ELIANE ALVES DOS SANTOS</t>
  </si>
  <si>
    <t>REGINA APARECIDA GUIDELI</t>
  </si>
  <si>
    <t>ROSE GISELE LONGO ROCHA</t>
  </si>
  <si>
    <t>NATALIA DI GIAIMO GIUSTI</t>
  </si>
  <si>
    <t>MARILIA FERREIRA DO NASCIMENTO CESSIN</t>
  </si>
  <si>
    <t>KATTY DE MORAES</t>
  </si>
  <si>
    <t>YOLE MACEDO CAVALCANTE</t>
  </si>
  <si>
    <t>MARIA LUCIA MADALENA DE SOUZA</t>
  </si>
  <si>
    <t>JESSICA ALVES SANTIAGO</t>
  </si>
  <si>
    <t>TAIZA DE JESUS SOBRAL AUGUSTINHO</t>
  </si>
  <si>
    <t>ALINE SANTOS DE LIMA</t>
  </si>
  <si>
    <t>CARLOS ROBERTO DA SILVA</t>
  </si>
  <si>
    <t>GESSIKA GONCALVES SILVA</t>
  </si>
  <si>
    <t>AMANDA RANIELA DE LIMA</t>
  </si>
  <si>
    <t>ANDERSON SANTOS GUSMAO</t>
  </si>
  <si>
    <t>JANAINA CARVALHO PATEZ</t>
  </si>
  <si>
    <t>ALEX JURKEVICS</t>
  </si>
  <si>
    <t>ANTONIA TATIANE ALCANTARA PIMENTEL</t>
  </si>
  <si>
    <t>ELISANGELA CONCEICAO DA SILVA</t>
  </si>
  <si>
    <t>EVANDRO ROBERTO DA SILVA A</t>
  </si>
  <si>
    <t>ELIZANGELA MARIA DA SILVA</t>
  </si>
  <si>
    <t>INGRID ALVES LIMA</t>
  </si>
  <si>
    <t>WILLIAM JOAO DE LIMA</t>
  </si>
  <si>
    <t>ELAINE CRISTINA DA CUNHA OLIVEIRA</t>
  </si>
  <si>
    <t>DANIELA CRISTINA CARDOSO FERREIRA</t>
  </si>
  <si>
    <t>DAIANE MIRELE BOMFIM</t>
  </si>
  <si>
    <t>LERIANE DEL BEL</t>
  </si>
  <si>
    <t>SIMONE MARIA PASCOTTE LUNARDELI</t>
  </si>
  <si>
    <t>OSWALDO APARECIDO DE LIMA JUNIOR</t>
  </si>
  <si>
    <t>DONNI AUGUSTO SENHORINI</t>
  </si>
  <si>
    <t>FERNANDA RODRIGUES GONCALVES ROSA</t>
  </si>
  <si>
    <t>PATRICIA GABRIELA MORAES</t>
  </si>
  <si>
    <t>LARISSA RAFAELA BARRANCO</t>
  </si>
  <si>
    <t>LEONARDO FLOR DE LIMA</t>
  </si>
  <si>
    <t>VILMA PAREDE</t>
  </si>
  <si>
    <t>PRISCILA MENEZES MONTEIRO</t>
  </si>
  <si>
    <t>AMENAIDE FERREIRA COSTA</t>
  </si>
  <si>
    <t>SHEILA MARTINS SANTOS</t>
  </si>
  <si>
    <t>SANDRA APARECIDA MACEDO LOPES</t>
  </si>
  <si>
    <t>ELYD DE TULIO</t>
  </si>
  <si>
    <t>ELESSANDRA PEREIRA DA SILVA</t>
  </si>
  <si>
    <t>JUSCELINA FIGUEIREDO DE LIMA</t>
  </si>
  <si>
    <t>NICELIA MARIA MEIRELES</t>
  </si>
  <si>
    <t>CLAUDIO DE CARVALHO PEGORARO</t>
  </si>
  <si>
    <t>ARLENE ARCANJO DOS SANTOS</t>
  </si>
  <si>
    <t>MARA ANGELA BATISTA</t>
  </si>
  <si>
    <t>ANGELA DE OLIVEIRA</t>
  </si>
  <si>
    <t>LUANA APARECIDA HECHT</t>
  </si>
  <si>
    <t>WASHINGTON RAFAEL SILVA</t>
  </si>
  <si>
    <t xml:space="preserve">MARLI APARECIDA DOS SANTOS ESTEVAM      </t>
  </si>
  <si>
    <t xml:space="preserve">CLAUDIA MARIA DE OLVEIRA CANETE         </t>
  </si>
  <si>
    <t xml:space="preserve">ROSANGELA APARECIDA OLIVEIRA ROSA       </t>
  </si>
  <si>
    <t>ROSICLER DA SILVA</t>
  </si>
  <si>
    <t>JAQUELINE DO NASCIMENTO</t>
  </si>
  <si>
    <t>SUELEN SODRE SOUZA</t>
  </si>
  <si>
    <t>LUCELIA SOARES DOS SANTOS</t>
  </si>
  <si>
    <t>ELCIO RODRIGUES DE LIRA</t>
  </si>
  <si>
    <t>ROBSON BELO DE PAULA</t>
  </si>
  <si>
    <t>TELMA APARECIDA DE SANTANA</t>
  </si>
  <si>
    <t>JOYCE CRUZ DA SILVA</t>
  </si>
  <si>
    <t>REGIA VIEIRA DA SILVA FREITAS</t>
  </si>
  <si>
    <t>SIMONE SANTOS JAMARINO</t>
  </si>
  <si>
    <t>ERIC SACRAMENTO</t>
  </si>
  <si>
    <t>ELDER RAIMUNDO RODRIGUES</t>
  </si>
  <si>
    <t>MARIA SUELI FERNANDES MEDEIROS</t>
  </si>
  <si>
    <t>ANDERSON ALVES DA SILVA</t>
  </si>
  <si>
    <t>MARCELO MOURA ALVES</t>
  </si>
  <si>
    <t>CLAUDINEI BARBOSA DOS SANTOS</t>
  </si>
  <si>
    <t>FABIANA MARIA PACHECO DOS SANTOS</t>
  </si>
  <si>
    <t>LUCILENE DE ARAUJO DO CARMO</t>
  </si>
  <si>
    <t>CAROLINA GARCIA DE MACEDO</t>
  </si>
  <si>
    <t>VANIA MARIA TENORIO DA SILVA</t>
  </si>
  <si>
    <t>PATRICIA DE OLIVEIRA MESQUITA</t>
  </si>
  <si>
    <t>TEREZA DE FATIMA RODRIGUES TORRES</t>
  </si>
  <si>
    <t>TATIANE RUTLEDGE</t>
  </si>
  <si>
    <t>MARIANA BARRETO SOBRAL</t>
  </si>
  <si>
    <t>ANA PAULA VESCHI BERNABE NOGUEIRA</t>
  </si>
  <si>
    <t>MANOELLA CORREA PEREIRA</t>
  </si>
  <si>
    <t>GUSTAVO FERREIRA DOS SANTOS</t>
  </si>
  <si>
    <t>FELIPE LIMA DE SOUZA</t>
  </si>
  <si>
    <t>ALESSANDRA GOMES</t>
  </si>
  <si>
    <t>MARIA LUCIANA ALVES ZIMMERMANN IGNACIO</t>
  </si>
  <si>
    <t>SILVANA DE JESUS SILVA</t>
  </si>
  <si>
    <t>SHIRLEY PEREIRA LIMA</t>
  </si>
  <si>
    <t>QUEZIA AMARAL SANTOS</t>
  </si>
  <si>
    <t>ALINE DE OLIVEIRA MARIANO</t>
  </si>
  <si>
    <t>HELLEM DOS SANTOS ALMEIDA</t>
  </si>
  <si>
    <t>ROSENI CARDOSO DE MACEDO PASSOS</t>
  </si>
  <si>
    <t>DANIELLA ORLANDI VIEIRA</t>
  </si>
  <si>
    <t>NAYARA DE SOUZA</t>
  </si>
  <si>
    <t>TAIRINE GINZELIS</t>
  </si>
  <si>
    <t>ANA CAROLINA CHAGAS</t>
  </si>
  <si>
    <t>ALEX GOMES DA SILVA</t>
  </si>
  <si>
    <t>RENATA DA CONCEICAO PEREIRA</t>
  </si>
  <si>
    <t>VANESSA DE SENE GOMES</t>
  </si>
  <si>
    <t>CARLA MARIA DE OLIVEIRA COSTA</t>
  </si>
  <si>
    <t>NICOLE ELIZABETH BENDINI ARAUJO</t>
  </si>
  <si>
    <t>VANESSA DA MOTA DO ROSARIO</t>
  </si>
  <si>
    <t>TAYNA DA SILVA LANDIM</t>
  </si>
  <si>
    <t>MARISA RODRIGUES DE MATTOS SANTOS</t>
  </si>
  <si>
    <t>VANESSA DOS SANTOS BRAZ</t>
  </si>
  <si>
    <t>RICARDO MANHA ALATI</t>
  </si>
  <si>
    <t>HOSANAH DOS SANTOS</t>
  </si>
  <si>
    <t>IOLANDA LIMA DE SOUZA</t>
  </si>
  <si>
    <t>MIRIAN PEREIRA DA SILVA</t>
  </si>
  <si>
    <t>CAMILLA TRINDADE BARBOSA</t>
  </si>
  <si>
    <t>SUELI DA SILVA NASCIMENTO</t>
  </si>
  <si>
    <t>FLAVIANA SANTOS DE SOUZA</t>
  </si>
  <si>
    <t>EDNA DORALICE DA SILVA</t>
  </si>
  <si>
    <t>RAFAEL FRANZINI PEREIRA</t>
  </si>
  <si>
    <t>MARCIA FERREIRA DE LIMA</t>
  </si>
  <si>
    <t>SANDRA TEODORIO DA INVENCAO SANTOS</t>
  </si>
  <si>
    <t>GABRIELA MAULIN</t>
  </si>
  <si>
    <t>RENATA DE PAIVA MONTEIRO</t>
  </si>
  <si>
    <t>FERNANDA FONSECA ROCHA SANTOS</t>
  </si>
  <si>
    <t>ALESSANDRO SANTOS DE SOUZA</t>
  </si>
  <si>
    <t>ADELAIDE MOREIRA SILVA RIBEIRO</t>
  </si>
  <si>
    <t>BETE SUELI PEREIRA SOUZA</t>
  </si>
  <si>
    <t>MOREZIA MIRANDA DOS SANTOS</t>
  </si>
  <si>
    <t>PATRICIA GOMES NUNES</t>
  </si>
  <si>
    <t>JOSE JONES MACEDO ROMAN</t>
  </si>
  <si>
    <t>CICERA JOSEFA DE MORAIS SANTOS</t>
  </si>
  <si>
    <t>PATRICIA DE LIMA CANUTO MARQUES</t>
  </si>
  <si>
    <t>CARLOS ALBERTO FERMINO PAES</t>
  </si>
  <si>
    <t xml:space="preserve">ADRIANA SANTORO DE MORAES               </t>
  </si>
  <si>
    <t>ANA MARIA DA SILVA</t>
  </si>
  <si>
    <t>DAMIANA FERREIRA DA SILVA</t>
  </si>
  <si>
    <t>EDEMILSON JOSE CARNEIRO</t>
  </si>
  <si>
    <t>MARIA GRECIA GOMES DOS SANTOS</t>
  </si>
  <si>
    <t>MARCIA MARIA DA SILVA</t>
  </si>
  <si>
    <t>SHIRLEI GOMES AGUIRRE</t>
  </si>
  <si>
    <t>TATHIANA GOMES FUENTEALBA</t>
  </si>
  <si>
    <t>SIMONE PEREIRA DE LIMA</t>
  </si>
  <si>
    <t>RONALDO CRISTIANO BARRETO SOUZA</t>
  </si>
  <si>
    <t>EDVANIA PEREIRA DA SILVA</t>
  </si>
  <si>
    <t>ELIANE APARECIDA DA SILVA</t>
  </si>
  <si>
    <t>ADRIANA VITALINO DA SILVA SANTOS</t>
  </si>
  <si>
    <t>ANDRE SILVA</t>
  </si>
  <si>
    <t>LUCIENE BARBOSA DE FREITAS SILVA</t>
  </si>
  <si>
    <t>JANAINA ROBERTA DE SOUZA SILVA</t>
  </si>
  <si>
    <t>ROSLAINE CRISTINE DE OLIVEIRA</t>
  </si>
  <si>
    <t>DEUSINETE DA SILVA DE SOUSA LIMA</t>
  </si>
  <si>
    <t>CASSIA REGINA FIGUEIREDO</t>
  </si>
  <si>
    <t>WENES TAVARES SANTANA</t>
  </si>
  <si>
    <t>DANIELA NEGRI DA SILVA</t>
  </si>
  <si>
    <t>DANIEL SOARES DE ALMEIDA</t>
  </si>
  <si>
    <t>LIGIA MAGALI SENEM</t>
  </si>
  <si>
    <t xml:space="preserve">ANDRE DA SILVA CANDIDO                  </t>
  </si>
  <si>
    <t xml:space="preserve">ROSANA DE MACEDO CARVALHO               </t>
  </si>
  <si>
    <t xml:space="preserve">ROSANA LOPES DOS SANTOS                 </t>
  </si>
  <si>
    <t xml:space="preserve">JOSE GONZAGA DE SOUZA                   </t>
  </si>
  <si>
    <t xml:space="preserve">MARIZA PEREIRA LIMA                     </t>
  </si>
  <si>
    <t xml:space="preserve">JACIARA MATA DE JESUS                   </t>
  </si>
  <si>
    <t>ALINE MENDES DA SILVA</t>
  </si>
  <si>
    <t>ELISABETE LOPES DA ROCHA</t>
  </si>
  <si>
    <t>JANAINA CANDIDO DA SILVA</t>
  </si>
  <si>
    <t>LILIAN APARECIDA SENA BATISTA</t>
  </si>
  <si>
    <t>ANGELA FUMANI DE SOUZA</t>
  </si>
  <si>
    <t>BRUNA CIBELE SOUZA</t>
  </si>
  <si>
    <t>DAIANE DOS SANTOS ARAUJO</t>
  </si>
  <si>
    <t>MAYARA CRISTINA FERNANDES</t>
  </si>
  <si>
    <t>FABIANA REGINA DA CRUZ</t>
  </si>
  <si>
    <t>NORMA DAYANE DA SILVA OLIVEIRA</t>
  </si>
  <si>
    <t>VALERIA RAMOS FERNANDES</t>
  </si>
  <si>
    <t>DANIELA VIEIRA PINTO</t>
  </si>
  <si>
    <t>TACIANA GOMES DE SALES DAMASCENO</t>
  </si>
  <si>
    <t>TANIA BATISTA DOS SANTOS</t>
  </si>
  <si>
    <t xml:space="preserve">MARLY FATIMA MARTINS                    </t>
  </si>
  <si>
    <t xml:space="preserve">INDARAQUARA ORLANDA DE SOUZA TAV CI     </t>
  </si>
  <si>
    <t xml:space="preserve">IRIS MARIA DOS SANTOS CAETANO           </t>
  </si>
  <si>
    <t xml:space="preserve">CLAUDIA MARIA DE OLIVEIRA SANTIAGO      </t>
  </si>
  <si>
    <t xml:space="preserve">MARIA MARLENE DE OLIVEIRA               </t>
  </si>
  <si>
    <t>MARIA DO CARMO PEREIRA DA SILVA</t>
  </si>
  <si>
    <t>SANDRA MARIA CAVALCANTE FERREIRA</t>
  </si>
  <si>
    <t xml:space="preserve">SILVIO GONCALVES MAIA                   </t>
  </si>
  <si>
    <t>ADELIA KARLA SANTIAGO</t>
  </si>
  <si>
    <t>ROSANA APARECIDA DOS SANTOS MESQUITA</t>
  </si>
  <si>
    <t xml:space="preserve">SANDRA MARIA GUEDES DA SILVA            </t>
  </si>
  <si>
    <t xml:space="preserve">CRISTIANE SANTOS PEREIRA                </t>
  </si>
  <si>
    <t>TEREZINHA DE JESUS SOUZA FERREIRA</t>
  </si>
  <si>
    <t>EDINETE PEREIRA DO NASCIMENTO</t>
  </si>
  <si>
    <t>IVONE SOUZA MENDES DA VEIGA</t>
  </si>
  <si>
    <t>CLAUDINEIA BOTELHO DOS SANTOS</t>
  </si>
  <si>
    <t>ALICE RAMOS DA SILVA</t>
  </si>
  <si>
    <t>MAULI GOMES PEREIRA</t>
  </si>
  <si>
    <t>DANIELA ARAUJO PEREIRA JUSTINO</t>
  </si>
  <si>
    <t>CAIO HENRIQUE CAVALCANTE DA SILVA</t>
  </si>
  <si>
    <t>JOELMA LOPIS DOS SANTOS</t>
  </si>
  <si>
    <t>FATIMA CAMARGO</t>
  </si>
  <si>
    <t>ROBERTA DA SILVA</t>
  </si>
  <si>
    <t>MICHELLE CRISTINA CASAROTTI</t>
  </si>
  <si>
    <t>MARIA JOSE ALVES DA SILVA DO ROSARIO</t>
  </si>
  <si>
    <t>KARYNI GIULIANNI OSMARA AMALFI</t>
  </si>
  <si>
    <t>VAGNER SILVA CARVALHO</t>
  </si>
  <si>
    <t>GABRIELLE SARAIVA DE SOUZA</t>
  </si>
  <si>
    <t>FABIOLA THAIS DA SILVA</t>
  </si>
  <si>
    <t>VANIA SAYURI NAKASHIMA MONTEIRO</t>
  </si>
  <si>
    <t>SONIA SUELI DAS CHAGAS</t>
  </si>
  <si>
    <t>ELAINE APARECIDA COSTA</t>
  </si>
  <si>
    <t>SIDNEIA DE FATIMA DE OLIVEIRA</t>
  </si>
  <si>
    <t>JULIANA ROBERTA DOS SANTOS</t>
  </si>
  <si>
    <t>CEILIA MARIA SOBRINHO</t>
  </si>
  <si>
    <t>NATALIA MURITIBA DA SILVA</t>
  </si>
  <si>
    <t>KARINA ELAINE PIRES</t>
  </si>
  <si>
    <t>PAULA DE LIMA MATOS</t>
  </si>
  <si>
    <t>TAMIRES DOS SANTOS SILVA</t>
  </si>
  <si>
    <t>PRISCILA GOMES DE OLIVEIRA</t>
  </si>
  <si>
    <t>CARLA HELOISA DO NASCIMENTO</t>
  </si>
  <si>
    <t>MARIA CRISTINA DA SILVA PEREIRA</t>
  </si>
  <si>
    <t>EDILEIA TEIXEIRA CANDIL</t>
  </si>
  <si>
    <t>BRUNA COELHO DE MORAIS</t>
  </si>
  <si>
    <t>VIVIAN CRISTINA DOS SANTOS MAGALHAES</t>
  </si>
  <si>
    <t>ELAINE CRISTINA BORGES</t>
  </si>
  <si>
    <t>ISE KAROLINE LEITE BRITO</t>
  </si>
  <si>
    <t>CAROLINA DA SILVA DE SOUZA</t>
  </si>
  <si>
    <t>ELAINE CRISTINA DINIZ</t>
  </si>
  <si>
    <t>LAUREN DOS SANTOS OLIVEIRA ROSA</t>
  </si>
  <si>
    <t>ELENIRA SILVA DOS SANTOS</t>
  </si>
  <si>
    <t>RAFAEL FERREIRA SOARES</t>
  </si>
  <si>
    <t>STEFANY SANTOS ROBIS</t>
  </si>
  <si>
    <t>CAROLINA DE QUEIROZ PEREIRA OLIVEIRA</t>
  </si>
  <si>
    <t>SHEILA RIBEIRO ANTONIO QUEIROZ</t>
  </si>
  <si>
    <t>KELVIN OLIVEIRA SANTOS</t>
  </si>
  <si>
    <t>MARCOS ROBERTO ARAUJO LOPES</t>
  </si>
  <si>
    <t>TAMIRIS INVENCIONI MORAES</t>
  </si>
  <si>
    <t>GISELLE BARBOSA DOS SANTOS ALVES</t>
  </si>
  <si>
    <t>SHEILA CRISTINA MENDES SILVA</t>
  </si>
  <si>
    <t>MARIA DE LOURDES BERNARDO</t>
  </si>
  <si>
    <t>ESTER FERNANDES MOREIRA</t>
  </si>
  <si>
    <t>RAFAEL SOUSA DE PAULO</t>
  </si>
  <si>
    <t>GLAUCIA ALMEIDA MELO</t>
  </si>
  <si>
    <t>GISELE NASCIMENTO FRANCA DA SILVA</t>
  </si>
  <si>
    <t>DANIELA DE SOUZA TREVISAN CHRISTOV</t>
  </si>
  <si>
    <t>WAGNER FRANCO AGUIAR PERES</t>
  </si>
  <si>
    <t>EDILEUZA SANTANA SALES</t>
  </si>
  <si>
    <t>JANAINA MARIA LUNA DE AGUIAR</t>
  </si>
  <si>
    <t>MARCIA CRISTINA CARVALHO DA SILVA AMARAL</t>
  </si>
  <si>
    <t>HUGO ROSA BARD</t>
  </si>
  <si>
    <t>THALITA FREIRE LIMA</t>
  </si>
  <si>
    <t>ALEXSANDER FERNANDES SOARES</t>
  </si>
  <si>
    <t>CAROLINE HERCULANO DE MORAES</t>
  </si>
  <si>
    <t>MICHELLE KAROLINA RESENDE DA COSTA</t>
  </si>
  <si>
    <t>PRISCILA DE SOUZA VELLASCO</t>
  </si>
  <si>
    <t xml:space="preserve">RODRIGO DE OLIVEIRA PAIVA               </t>
  </si>
  <si>
    <t>MARA LUCIA SOUZA DA ROSA SA GERALDO</t>
  </si>
  <si>
    <t>LIDIA GONCALVES DE PINHO FREITAS</t>
  </si>
  <si>
    <t>ANA PAULA FERREIRA GOMES BRAVIN</t>
  </si>
  <si>
    <t>MARCELO COELHO DE RESENDE</t>
  </si>
  <si>
    <t xml:space="preserve">PAULA FIGUEIRA DE MORAES                </t>
  </si>
  <si>
    <t>CARLOS EDUARDO PENHA SILVA</t>
  </si>
  <si>
    <t>SANDRA CARVALHO DE ARAUJO GOMES DA SILVA</t>
  </si>
  <si>
    <t>ANDREA LUIZA CRESPO PEREIRA DE ANDRADE</t>
  </si>
  <si>
    <t>DECIO LELIS DA SILVA DIAS</t>
  </si>
  <si>
    <t>ADRIANA FERREIRA TEIXEIRA</t>
  </si>
  <si>
    <t xml:space="preserve">DANIEL FELIPE DE OLIVEIRA SANTOS        </t>
  </si>
  <si>
    <t>MARCIO LOPES FABRICIO CAVALCANTE</t>
  </si>
  <si>
    <t>VAGNER BANNY CARNEIRO</t>
  </si>
  <si>
    <t>APARECIDA LIMA LOPES</t>
  </si>
  <si>
    <t>MIRIAN DA SILVA ROSARIO</t>
  </si>
  <si>
    <t>FRANCISCO OTAVIO DE ANDRADE DOURADO</t>
  </si>
  <si>
    <t>EDUARDO MORAES DO CARMO</t>
  </si>
  <si>
    <t>ANNA SYLVIA GOMEZ SARDINHA BARROS</t>
  </si>
  <si>
    <t>VERONICA MARIA WICHAN CARVALHO</t>
  </si>
  <si>
    <t>CARLOS ALBERTO LOBO RIBEIRO</t>
  </si>
  <si>
    <t>WELINTON DO NASCIMENTO FIGUEREDO</t>
  </si>
  <si>
    <t>MARIA CLARA PIRES ALVES</t>
  </si>
  <si>
    <t>YNGRIDY VIEIRA DA SILVA</t>
  </si>
  <si>
    <t>TEREZA RAQUEL DE FARIA LEANDRO</t>
  </si>
  <si>
    <t>LEANDRO LUIZ ELIZIARIO PEREIRA DA SILVA</t>
  </si>
  <si>
    <t>JAQUELINE SILVESTRE LAGE</t>
  </si>
  <si>
    <t>JOSEANE CURTY DA SILVA PATUELI</t>
  </si>
  <si>
    <t>DANIELLE FIGUEIREDO LIMA</t>
  </si>
  <si>
    <t xml:space="preserve">CLAUDIO TOMAZ SILVA                     </t>
  </si>
  <si>
    <t>DEBORA DELCINO SOARES</t>
  </si>
  <si>
    <t>ROGERIO ALEXANDRE MARINHO DE MORAIS</t>
  </si>
  <si>
    <t>ROBERTA CRISTINA SANTOS GOMES</t>
  </si>
  <si>
    <t>RENATA SILVA LEAO PIRES</t>
  </si>
  <si>
    <t>CELIA REGINA MENEZES</t>
  </si>
  <si>
    <t>LEVI SOARES DA SILVA</t>
  </si>
  <si>
    <t>ALINE DOS SANTOS BARROS</t>
  </si>
  <si>
    <t>ROBERTA PORTELA HERNANDES</t>
  </si>
  <si>
    <t xml:space="preserve">THAIANE MINDA DE AZEVEDO                </t>
  </si>
  <si>
    <t>APARECIDA EVELYN FERNANDES DE ATAYDE</t>
  </si>
  <si>
    <t>FELIPE DA SILVA PEREIRA</t>
  </si>
  <si>
    <t>DIEGO DOS SANTOS CARVALHO</t>
  </si>
  <si>
    <t>JOSE CARLOS ESTEVAO</t>
  </si>
  <si>
    <t>ALBANO FERREIRA NORTE NETO</t>
  </si>
  <si>
    <t>KENNIA IGLESIAS RIBEIRO SIQUEIRA</t>
  </si>
  <si>
    <t>ANDREA CABRAL RODOLFO DA SILVA</t>
  </si>
  <si>
    <t>KESSIA MACIEL MARCELINO</t>
  </si>
  <si>
    <t>ANA CAROLINA SANTOS ROSA</t>
  </si>
  <si>
    <t xml:space="preserve">CLEIMAR WELBYA PINHEIRO                 </t>
  </si>
  <si>
    <t xml:space="preserve">GISELE ABREU OLIVEIRA DA FONSECA        </t>
  </si>
  <si>
    <t>LUDMILA AMARAL DE OLIVEIRA MARTINS</t>
  </si>
  <si>
    <t>LUCIANA DOS SANTOS NEVES</t>
  </si>
  <si>
    <t>ANGELICA LUIZA DO NASCIMENTO MIRANDA</t>
  </si>
  <si>
    <t>TATIANA APARECIDA SOUZA DE PAULO PORTES</t>
  </si>
  <si>
    <t>MONICA DO NASCIMENTO BEZERRA</t>
  </si>
  <si>
    <t>ELIANE DE ARAUJO CAMURCA</t>
  </si>
  <si>
    <t>ANA SELMA CARDOSO DOS SANTOS</t>
  </si>
  <si>
    <t>CARLA ANDREIA FERNANDES CARNEIRO</t>
  </si>
  <si>
    <t>DEISE DO NASCIMENTO CARVALHO</t>
  </si>
  <si>
    <t>MICHELLE DE LUSIE E SA PATRICIO</t>
  </si>
  <si>
    <t>ELAINE FIGUEIRA DE SALES</t>
  </si>
  <si>
    <t>LUCAS CORREIA DE SOUZA</t>
  </si>
  <si>
    <t>ROBERTO RODRIGUES</t>
  </si>
  <si>
    <t>ANDRE LUIZ RIBEIRO DA SILVA</t>
  </si>
  <si>
    <t>LILIAN EGIDIO DA SILVA</t>
  </si>
  <si>
    <t xml:space="preserve">JORGE RODRIGUES GALDINO                 </t>
  </si>
  <si>
    <t>ADRIANO DA CUNHA XAVIER</t>
  </si>
  <si>
    <t>BRUNO CARVALHO BORGES</t>
  </si>
  <si>
    <t>DIONE NOGUEIRA PINTO</t>
  </si>
  <si>
    <t>THAIANA FREITAS ALVES DA SILVA</t>
  </si>
  <si>
    <t>CARLA TAVARES PINTO</t>
  </si>
  <si>
    <t>NORMA SANTOS SILVA</t>
  </si>
  <si>
    <t>CLAUDIA BRAZ DOS SANTOS</t>
  </si>
  <si>
    <t>GILDEONE FERRAZ DE LIRA</t>
  </si>
  <si>
    <t>MARCELO PEDRO DE ARAUJO</t>
  </si>
  <si>
    <t>FABIANA SOARES DE LIMA</t>
  </si>
  <si>
    <t>MARIA BRASILINA DE ALMEIDA MENDES</t>
  </si>
  <si>
    <t>ROMILTON DE SANTANA DIAS</t>
  </si>
  <si>
    <t xml:space="preserve">MAURICIO ABRAO TOMAZ JUNIOR             </t>
  </si>
  <si>
    <t>LEONARDO REIS DE JESUS</t>
  </si>
  <si>
    <t>ANA PAULA NOVAES GUEDES LOBO</t>
  </si>
  <si>
    <t>JEFERSON PINTO SANTOS</t>
  </si>
  <si>
    <t>EDNA NUNES DA SILVA</t>
  </si>
  <si>
    <t>VALERIA CAVALCANTI DOS SANTOS RIBEIRO</t>
  </si>
  <si>
    <t>ROSILANE DA CAMARA RODRIGUES</t>
  </si>
  <si>
    <t>THIAGO HENRIQUE FARIAS</t>
  </si>
  <si>
    <t>MAURICIO MARTINS SOARES BRAGA</t>
  </si>
  <si>
    <t>MARCOS CLAYTON GOMES XAVIER</t>
  </si>
  <si>
    <t xml:space="preserve">GILCILENE DE SOUZA MONTEIRO BONIFACIO   </t>
  </si>
  <si>
    <t>ANGELICA RODRIGUES</t>
  </si>
  <si>
    <t>ANTONIO CARLOS DOS SANTOS AZEVEDO</t>
  </si>
  <si>
    <t>ROBERTA DE MELO SILVA</t>
  </si>
  <si>
    <t>CARLOS ROSEMBERG SANUTO</t>
  </si>
  <si>
    <t>MARCELO VIEIRA DA LUZ</t>
  </si>
  <si>
    <t>DIEGO DE CARVALHO FERREIRA</t>
  </si>
  <si>
    <t>REGINA DE FATIMA MIRANDA REZENDE</t>
  </si>
  <si>
    <t>RONNY OLIVEIRA ROSA</t>
  </si>
  <si>
    <t>JOSENILSON MARTINS BREJEIRO</t>
  </si>
  <si>
    <t>JHULYENNE DOS SANTOS BARCELLOS</t>
  </si>
  <si>
    <t>MARCIA ROCHA</t>
  </si>
  <si>
    <t>ALOISIO DE SOUZA JUNIOR</t>
  </si>
  <si>
    <t>CARLA DA SILVA OLIVEIRA PEREIRA</t>
  </si>
  <si>
    <t>ALEX MARQUES PINTO</t>
  </si>
  <si>
    <t>EDER COLINS CRUZ</t>
  </si>
  <si>
    <t>ROSIMEI XAVIER DE ALVARENGA</t>
  </si>
  <si>
    <t>SUELI FERNANDES</t>
  </si>
  <si>
    <t>MARCIA CRISTINA BENEDITO RODRIGUES</t>
  </si>
  <si>
    <t>ANA LUCIA BEZERRA GOULART</t>
  </si>
  <si>
    <t>RENATA MALAFAIA CARNEIRO CUNHA LINHARES</t>
  </si>
  <si>
    <t>JESSICA DE CASSIA SANTOS</t>
  </si>
  <si>
    <t>PAULO ROBERTO DIAS</t>
  </si>
  <si>
    <t>LUCIANA DA CRUZ DE SOUZA DE BARROS</t>
  </si>
  <si>
    <t>VANIA LUCIA ANDRADE DE CASTRO</t>
  </si>
  <si>
    <t>ELAINE REIS SANTOS</t>
  </si>
  <si>
    <t>SHEILA HELENA DA SILVA CORREA</t>
  </si>
  <si>
    <t>DEARSON LUIZ DA SILVA MONTEIRO</t>
  </si>
  <si>
    <t>DANIEL MOURA GUEDES MARCIANO</t>
  </si>
  <si>
    <t>MARCELA ARAUJO FRAZAO PESTANA RODRIGUES</t>
  </si>
  <si>
    <t>LILIANE NOVAES GUEDES</t>
  </si>
  <si>
    <t>RAQUEL PASSOS SOARES</t>
  </si>
  <si>
    <t>MILENA HILCENKO</t>
  </si>
  <si>
    <t>IVONE MOURA FERREIRA</t>
  </si>
  <si>
    <t>LUCIA HELENA TEODORO LOURENCO</t>
  </si>
  <si>
    <t>MICHELE IRENE PINHEIRO</t>
  </si>
  <si>
    <t>JOSIMAR PEREIRA CURSO</t>
  </si>
  <si>
    <t xml:space="preserve">RENATA REIS MOURA VERISSIMO DA COSTA    </t>
  </si>
  <si>
    <t>CELSO DA SILVA VIVEIROS</t>
  </si>
  <si>
    <t>DENISE DE ARAUJO SOARES</t>
  </si>
  <si>
    <t>MARIA JOSE DE SOUSA PONCE RIBEIRO</t>
  </si>
  <si>
    <t>TATIANE TORRES TURCATO DE SOUZA</t>
  </si>
  <si>
    <t>LUIS SERGIO VICENTE LOUREIRO</t>
  </si>
  <si>
    <t>PABLO IGNACIO DE SOUZA</t>
  </si>
  <si>
    <t>PRISCILA OLIVEIRA SOARES DE PAULA</t>
  </si>
  <si>
    <t>DIOGO CARDIN SALGADO</t>
  </si>
  <si>
    <t>PRISCILLA DA SILVA NASCIMENTO</t>
  </si>
  <si>
    <t>DOMINIQUE CARDOSO DE ALMEIDA THIELMANN</t>
  </si>
  <si>
    <t>ALDENEIDE RIBEIRO DOS SANTOS</t>
  </si>
  <si>
    <t>CARLOS SOARES JUNIOR</t>
  </si>
  <si>
    <t>DENIS WILLIE DE FREITAS</t>
  </si>
  <si>
    <t>CELIA DEMETRIO DE OLIVEIRA SANTOS</t>
  </si>
  <si>
    <t>LEO OLIVEIRA DOS SANTOS</t>
  </si>
  <si>
    <t>RAPHAEL CARVALHO RODRIGUES</t>
  </si>
  <si>
    <t>QUELE MENEZES CAMPOS</t>
  </si>
  <si>
    <t>RAPHAEL DO ESPIRITO SANTO MELLO E PIRES</t>
  </si>
  <si>
    <t>WALTECYR GONCALVES DE OLIVEIRA</t>
  </si>
  <si>
    <t>NAYANA DA SILVA MACHADO</t>
  </si>
  <si>
    <t>EDILSON ALVES</t>
  </si>
  <si>
    <t>GLAUCIA ELISA FROTA BARAUNA RODRIGUES</t>
  </si>
  <si>
    <t>MARCOS PAULO ALONSO CORREA</t>
  </si>
  <si>
    <t>JESIANY LYRA DOS SANTOS</t>
  </si>
  <si>
    <t>LUIZ GUSTAVO GOUVEIA RODRIGUES</t>
  </si>
  <si>
    <t>MARCUS VINICIUS ROSA MAIA</t>
  </si>
  <si>
    <t>CARLOS HENRIQUE CAMPOS DE ARAUJO</t>
  </si>
  <si>
    <t>ROBERTA SANTOS DE ALMEIDA SILVA</t>
  </si>
  <si>
    <t>SUMAYA NOVAES DE CARVALHO</t>
  </si>
  <si>
    <t>RICARDO SILVA</t>
  </si>
  <si>
    <t>DAIANA LEMOS DA ANUNCIACAO</t>
  </si>
  <si>
    <t>CLEONICE DUTRA DA SILVA</t>
  </si>
  <si>
    <t>PATRICIA DAUDT FERRAN DOS SANTOS</t>
  </si>
  <si>
    <t>ADILSON LEVINDO DIAS</t>
  </si>
  <si>
    <t>BRUNO DE OLIVEIRA</t>
  </si>
  <si>
    <t>RODRIGO SAGRILLO PAIXAO</t>
  </si>
  <si>
    <t>FABIANA GOMES BARCELLOS ALMADA</t>
  </si>
  <si>
    <t>LUCIANA COSTA DE CARVALHO</t>
  </si>
  <si>
    <t>RAFAELLE OLIVEIRA DE ARAUJO</t>
  </si>
  <si>
    <t>ELAINE AMORIM DE MACEDO</t>
  </si>
  <si>
    <t>CONCEICAO MOREIRA FEITOZA</t>
  </si>
  <si>
    <t>HEBER SILVA JORGE</t>
  </si>
  <si>
    <t>JEFERSON PEREIRA VENCESLAU</t>
  </si>
  <si>
    <t xml:space="preserve">ROSILENE DOS SANTOS CONTARELLI          </t>
  </si>
  <si>
    <t>DAYANA MORAES CORTE DA SILVA</t>
  </si>
  <si>
    <t>PEDRO ALCANTARA DO NASCIMENTO PAIXAO</t>
  </si>
  <si>
    <t>ROBERTA LUZ DA SILVA</t>
  </si>
  <si>
    <t>MICHELLE MOREIRA JERONYMO DA SILVA</t>
  </si>
  <si>
    <t>PATRICIA DE AZEVEDO FRANCA</t>
  </si>
  <si>
    <t>ADRIANO DA CRUZ DE SOUZA</t>
  </si>
  <si>
    <t>CARLA DIAS PEREIRA PINHEIRO</t>
  </si>
  <si>
    <t>LUCRECIA DOS SANTOS SILVA</t>
  </si>
  <si>
    <t>JOANA MARIA DE ALMEIDA MOTTA</t>
  </si>
  <si>
    <t>GLAUCIA AZEVEDO DE OLIVEIRA LINO</t>
  </si>
  <si>
    <t>CRISTINA DE BARROS</t>
  </si>
  <si>
    <t>ANDREIA DA COSTA PONTES</t>
  </si>
  <si>
    <t>RAQUEL MARIANO LEITE LOPES DE SOUSA</t>
  </si>
  <si>
    <t>CRISTIANE DE BARROS CHAVES</t>
  </si>
  <si>
    <t>JOAO RAPHAEL COSTA DE MORAIS</t>
  </si>
  <si>
    <t>ALZIRA DE MESQUITA SILVA DA CONCEICAO</t>
  </si>
  <si>
    <t>ROBSON TAVARES DOS SANTOS</t>
  </si>
  <si>
    <t xml:space="preserve">TAMARA ROSA BARCELOS                    </t>
  </si>
  <si>
    <t>KATIA CONCEICAO DE SOUZA SIMOES</t>
  </si>
  <si>
    <t>ADRIANA DA CONCEICAO CEZAR FERREIRA</t>
  </si>
  <si>
    <t>CLAUDIO AGUIAR DA SILVA</t>
  </si>
  <si>
    <t>RAQUEL SERGIO DE SOUZA GOMES</t>
  </si>
  <si>
    <t>ELISANGELA MORAES DOS SANTOS</t>
  </si>
  <si>
    <t>ANDREA DE OLIVEIRA ROSA</t>
  </si>
  <si>
    <t>BRUNA LIMA SIMOES</t>
  </si>
  <si>
    <t>VILMA SOARES FEITOSA</t>
  </si>
  <si>
    <t>RONALDO PAIVA DE SOUZA</t>
  </si>
  <si>
    <t>MARY HELEN RIGHI DE SOUZA</t>
  </si>
  <si>
    <t xml:space="preserve">MARCO ANTONIO BRAGA DE MATTOS           </t>
  </si>
  <si>
    <t>LARISSE DE ARAUJO RAMOS SIMOES</t>
  </si>
  <si>
    <t>JANE DA TRINDADE PIRES</t>
  </si>
  <si>
    <t>VALERIA CRISTINA PETRUNGARO DA SILVA</t>
  </si>
  <si>
    <t>CLAUDIA LOPES ALBINO</t>
  </si>
  <si>
    <t>MARCELA VIEIRA SILVA</t>
  </si>
  <si>
    <t>ILENE MELO FERREIRA</t>
  </si>
  <si>
    <t>AQUILA DE MORAES BRITO</t>
  </si>
  <si>
    <t>GETULIO DE ALMEIDA LOYO</t>
  </si>
  <si>
    <t>RODRIGO MARTINS DA ROCHA</t>
  </si>
  <si>
    <t>VIVIANE MARIA DA SILVA</t>
  </si>
  <si>
    <t>CAMILLA SOARES TARGINO</t>
  </si>
  <si>
    <t>RODRIGO DE JESUS MELLO</t>
  </si>
  <si>
    <t>DAYVES SANTOS BANDEIRA</t>
  </si>
  <si>
    <t>JOSEILTON MEDEIROS DA SILVA</t>
  </si>
  <si>
    <t>FABIANA SANTIAGO DA SILVA</t>
  </si>
  <si>
    <t>LUCIANE VIEIRA DE OLIVEIRA ROSARIO</t>
  </si>
  <si>
    <t>CARLA BEATRIZ LEAL MOURA DE ARAUJO</t>
  </si>
  <si>
    <t>MICHEL DA SILVA WERNECK</t>
  </si>
  <si>
    <t>JAQUELINE DA SILVA XAVIER</t>
  </si>
  <si>
    <t xml:space="preserve">SABRINA RODRIGUES DE MORAES             </t>
  </si>
  <si>
    <t>FERNANDA MACEDO DA SILVA</t>
  </si>
  <si>
    <t>ROSANGELA SOUZA DOS PASSOS</t>
  </si>
  <si>
    <t xml:space="preserve">MARIA DO AMPARO DE SOUZA SILVA          </t>
  </si>
  <si>
    <t>FABIANA FERREIRA DA SILVA</t>
  </si>
  <si>
    <t>ANGELICA MACHADO DE OLIVEIRA HASEBE</t>
  </si>
  <si>
    <t>MICHELE DA SILVA WERNECK</t>
  </si>
  <si>
    <t>MARIELLY CAMPOS DE LIMA ALVES</t>
  </si>
  <si>
    <t>ELISANGELA RANGEL DE SOUZA</t>
  </si>
  <si>
    <t>KELLEN ESTEVAO TAVARES</t>
  </si>
  <si>
    <t>JULIANA RODRIGUES</t>
  </si>
  <si>
    <t>PRISCILA SANTANA PEREIRA RIBEIRO</t>
  </si>
  <si>
    <t>BRUNA FERNANDES DA SILVA</t>
  </si>
  <si>
    <t>NEUZA MARIA DA SILVA DE MELO</t>
  </si>
  <si>
    <t>ANDERSON ALVES DOS SANTOS</t>
  </si>
  <si>
    <t>LUIZ HENRIQUE FERNANDES MOREIRA</t>
  </si>
  <si>
    <t>RITA ECI DA SILVA</t>
  </si>
  <si>
    <t>MARCOS AURELIO LAUREANO MATTOS</t>
  </si>
  <si>
    <t>FERNANDA MORAES DOS SANTOS</t>
  </si>
  <si>
    <t>FABIANO BOECHAT DA FONSECA</t>
  </si>
  <si>
    <t>MICHELY MACHADO DA SILVA</t>
  </si>
  <si>
    <t>VIVIANE LUZIA DE OLIVEIRA GOMES</t>
  </si>
  <si>
    <t>MIUNE OCTAVIANO DA FONSECA JUNIOR</t>
  </si>
  <si>
    <t>DENISE MONTEIRO MARTINS</t>
  </si>
  <si>
    <t>NARA ROBERTA CUCCO PEREIRA</t>
  </si>
  <si>
    <t>PATRICIA CARNEIRO DE SOUZA MENDES</t>
  </si>
  <si>
    <t>KENIA CRISTINA GOMES</t>
  </si>
  <si>
    <t>NADIA REGINA OLIVEIRA SILVA</t>
  </si>
  <si>
    <t>LEANDRO RODRIGUES DOS SANTOS</t>
  </si>
  <si>
    <t>OLINTO JOSE FONSECA PEREIRA NETO</t>
  </si>
  <si>
    <t>PATRICIA XAVIER DO NASCIMENTO</t>
  </si>
  <si>
    <t>LIDIANE DUARTE DE SOUSA</t>
  </si>
  <si>
    <t>GUSTAVO CARVALHO OTTONI</t>
  </si>
  <si>
    <t>RAFAELA FERREIRA DIAS RIOS</t>
  </si>
  <si>
    <t>GRINIA FERREIRA DE SOUZA</t>
  </si>
  <si>
    <t>MAGDA SOARES MOURAO</t>
  </si>
  <si>
    <t>SILVANA SIMONY RIBEIRO BUENO</t>
  </si>
  <si>
    <t>ALINE APARECIDA LOPES</t>
  </si>
  <si>
    <t>KECYA ARAUJO</t>
  </si>
  <si>
    <t>LAURA ALVES DA SILVA</t>
  </si>
  <si>
    <t>JOSIANE FERREIRA</t>
  </si>
  <si>
    <t>SABRINA PAULA PEREIRA</t>
  </si>
  <si>
    <t>LILIAM DUARTE DE SOUZA</t>
  </si>
  <si>
    <t>JULIANA MARCELA SILVA BRANDAO</t>
  </si>
  <si>
    <t>LUANA APARECIDA JULIA REIS</t>
  </si>
  <si>
    <t>ELIANA GOMES DE OLIVEIRA</t>
  </si>
  <si>
    <t>ISABEL CRISTINA GONCALVES</t>
  </si>
  <si>
    <t>GRAZIELY DE SOUSA PEREIRA</t>
  </si>
  <si>
    <t>STELLA VARGAS DE PAULA SANTOS</t>
  </si>
  <si>
    <t>LUDMILA DE OLIVEIRA ANDRADE</t>
  </si>
  <si>
    <t>EVANICE IMACULADA CAMPOS ALVES</t>
  </si>
  <si>
    <t>MICHELE SOARES LEOPOLDO</t>
  </si>
  <si>
    <t>LETICIA GONTIJO DE SOUSA</t>
  </si>
  <si>
    <t>ELISANGELA ALVES DA SILVA</t>
  </si>
  <si>
    <t>LEONARDO RIBEIRO DA SILVA</t>
  </si>
  <si>
    <t>EDINETE FALCAO</t>
  </si>
  <si>
    <t xml:space="preserve">GILSA VERGINIO DE SOUZA                 </t>
  </si>
  <si>
    <t>JULIANE CELESTINO DE SOUZA</t>
  </si>
  <si>
    <t>MARILYN GARDEN GOMES DOS REIS NASCIMENTO</t>
  </si>
  <si>
    <t>ADAILZA FERREIRA DOS ANJOS</t>
  </si>
  <si>
    <t>ELIANA MARA SANTOS FARIAS</t>
  </si>
  <si>
    <t>MICHELE PEREIRA DOS SANTOS</t>
  </si>
  <si>
    <t>MARIA KELLYANE LOPES DE VASCONCELOS</t>
  </si>
  <si>
    <t>ANA BARBARA DOS SANTOS ALBERTO</t>
  </si>
  <si>
    <t>RITA DE CASSIA MONTOVANELLI</t>
  </si>
  <si>
    <t>MARIA LISETE LORENCONI RISSO</t>
  </si>
  <si>
    <t>ELIENE PEREIRA XAVIER GONCALVES</t>
  </si>
  <si>
    <t>DAYZYANNE TERRA NASCIMENTO EVANGELISTA</t>
  </si>
  <si>
    <t>CHRISTIANE CANDIDO</t>
  </si>
  <si>
    <t>SHEILA PEREIRA CLAUDINO</t>
  </si>
  <si>
    <t>ANA LUCIA GOMES HILARIO GOMES</t>
  </si>
  <si>
    <t>JAQUELINE FERREIRA NUNES</t>
  </si>
  <si>
    <t>TANIA MARA FERREIRA</t>
  </si>
  <si>
    <t>OSMAR WILL JUNIOR</t>
  </si>
  <si>
    <t>NEUZELI FERREIRA COELHO OLIVEIRA</t>
  </si>
  <si>
    <t>ANA CARLA ELIAS MIGUEL</t>
  </si>
  <si>
    <t>MARIA LUCIA DA SILVA</t>
  </si>
  <si>
    <t>MAURA LUCIA MOREIRA</t>
  </si>
  <si>
    <t>ELIZETTE FERREIRA DA SILVA</t>
  </si>
  <si>
    <t>IZAURA DE SOUZA</t>
  </si>
  <si>
    <t>MARIA APARECIDA DA SILVA</t>
  </si>
  <si>
    <t>ELIANE RODRIGUES DE ALCANTARA</t>
  </si>
  <si>
    <t>NEREIDA FERNANDES GOMES</t>
  </si>
  <si>
    <t>LUCILENE DA SILVA CASTRO</t>
  </si>
  <si>
    <t>MARTA TOMAZ</t>
  </si>
  <si>
    <t>VANESSA DE ASSIS SOUZA</t>
  </si>
  <si>
    <t>MONICA FERREIRA DOS ANJOS</t>
  </si>
  <si>
    <t>NEIRIELE DIAS FERREIRA</t>
  </si>
  <si>
    <t>NIVALDA LOURENCO</t>
  </si>
  <si>
    <t>AMANDA SANTOS COMARELA</t>
  </si>
  <si>
    <t>SANDRA REGINA MARTINS DE ANDRADE</t>
  </si>
  <si>
    <t>WEMERSON DE OLIVEIRA LOUREIRO</t>
  </si>
  <si>
    <t>VANESSA DE SOUSA CARVALHO MARTINS</t>
  </si>
  <si>
    <t>MARIA ALICE PEREIRA MARTINS</t>
  </si>
  <si>
    <t>ELISANGELA DO SACRAMENTO MENDES</t>
  </si>
  <si>
    <t>MAGNATATIA PAYER MERCON ROCHA</t>
  </si>
  <si>
    <t>REINALDO RODRIGUES SAITER</t>
  </si>
  <si>
    <t>DANIELI PRISCILA GOMES RAMOS</t>
  </si>
  <si>
    <t>MARTA BRASIL FARIA</t>
  </si>
  <si>
    <t>WALLACE DIORGGE MARTINS DE BARROS</t>
  </si>
  <si>
    <t>GUIDA DE CASSIA ELESBAO ALMEIDA</t>
  </si>
  <si>
    <t>MARIA TEREZA RIBEIRO</t>
  </si>
  <si>
    <t>LUCIANA SODRE DOS SANTOS CANDOTE</t>
  </si>
  <si>
    <t>LUCIENE FONSECA MATOS</t>
  </si>
  <si>
    <t>RENAN DE TOLEDO SOUZA</t>
  </si>
  <si>
    <t>MARIA APARECIDA DA CRUZ</t>
  </si>
  <si>
    <t>CARLOS ANDRE SANTOS DE ARAUJO</t>
  </si>
  <si>
    <t>EDINA MARIA DA SILVA CACIANO</t>
  </si>
  <si>
    <t>CRISTIANE DOS SANTOS DE WASCONCELLOS</t>
  </si>
  <si>
    <t>VAGNER ROCHA DE SOUZA SILVA</t>
  </si>
  <si>
    <t>ANA PAULA BATISTA</t>
  </si>
  <si>
    <t>ROSEMERI DO NASCIMENTO</t>
  </si>
  <si>
    <t>ROSIANE SANTANA MACEDO</t>
  </si>
  <si>
    <t>VALERIA DA SILVA THIMOTEO</t>
  </si>
  <si>
    <t>ELIANE SILVA DE SOUZA</t>
  </si>
  <si>
    <t>MARGARETH SILVANIA MATIAS DA SILVA</t>
  </si>
  <si>
    <t>BRUNO DE SOUZA FERREIRA</t>
  </si>
  <si>
    <t>SAMANTA DAS GRACAS RIBEIRO DE OLIVEIRA</t>
  </si>
  <si>
    <t xml:space="preserve">SEBASTIAO CONCEICAO JUNIOR              </t>
  </si>
  <si>
    <t>LILIA DOS SANTOS</t>
  </si>
  <si>
    <t>RENATA DE MOURA MATOS CALIXTO</t>
  </si>
  <si>
    <t>VALDETE PEREIRA DOS SANTOS AMORA</t>
  </si>
  <si>
    <t>NATHALIA RIBEIRO DOS SANTOS</t>
  </si>
  <si>
    <t>LARISSA DA SILVA MARTINS PEREIRA</t>
  </si>
  <si>
    <t>ROSANE DA SILVA</t>
  </si>
  <si>
    <t>STEPHANE SILVA CAMILO DOS SANTOS</t>
  </si>
  <si>
    <t>ELAINE CRISTINA TEODORO LOURENCO</t>
  </si>
  <si>
    <t>SAMUEL GONCALVES VALENTIM SILVA</t>
  </si>
  <si>
    <t>PRISCILA ESTEVAM CEZAR AZEREDO</t>
  </si>
  <si>
    <t>ARIANE ALVES DE SOUZA</t>
  </si>
  <si>
    <t>SANDRA DOMINGUES DIAS</t>
  </si>
  <si>
    <t>JACIRA DA SILVA LIMA</t>
  </si>
  <si>
    <t>MICHELLE MARINHO JACINTHO</t>
  </si>
  <si>
    <t xml:space="preserve">VICENTE DE PAULA ALVES SANTANA          </t>
  </si>
  <si>
    <t>RACHEL DE OLIVEIRA NASCIMENTO</t>
  </si>
  <si>
    <t xml:space="preserve">LUANA IVO CIRIACO DE SOUSA              </t>
  </si>
  <si>
    <t>ELIANA GAUDENCIO CENTURIAO</t>
  </si>
  <si>
    <t>HELAINE MASCARENHAS DE OLIVEIRA MELLO</t>
  </si>
  <si>
    <t>MAURICEIA AZEVEDO DO NASCIMENTO</t>
  </si>
  <si>
    <t>MONICA BASTOS DE FARO</t>
  </si>
  <si>
    <t>DANIELE TEIXEIRA DE AGUIAR LEONCIO</t>
  </si>
  <si>
    <t>RAFAELA MALTA PONCIANO</t>
  </si>
  <si>
    <t>DANIELA BEZERRA PAULA MESQUITA</t>
  </si>
  <si>
    <t>JOSETE MEDEIROS DA SILVA LEITAO</t>
  </si>
  <si>
    <t>CLAUDIA FERNANDES DE SANT ANNA</t>
  </si>
  <si>
    <t>JANETE SANTANA DOS SANTOS</t>
  </si>
  <si>
    <t>DAYANNE CORREA DOS SANTOS</t>
  </si>
  <si>
    <t>MARIA DAS GRACAS F. DO VALLE FERNANDES</t>
  </si>
  <si>
    <t>SHAWNEE JOSE DA COSTA</t>
  </si>
  <si>
    <t>CRISTIANE AMORIM DE ANDRADE GOMES</t>
  </si>
  <si>
    <t>ROBERTA CUNHA DOS SANTOS</t>
  </si>
  <si>
    <t>DANIELE NOBRE MAGALHAES</t>
  </si>
  <si>
    <t xml:space="preserve">EDINALVA LIRA DA SILVA SANTA CRUZ       </t>
  </si>
  <si>
    <t xml:space="preserve">MARCIO RODRIGUES MEDEIROS               </t>
  </si>
  <si>
    <t>ROSANI MACIEL FERREIRA</t>
  </si>
  <si>
    <t>NORMA SANTOS DA ROCHA</t>
  </si>
  <si>
    <t>PRISCILA SANTIAGO DA SILVA</t>
  </si>
  <si>
    <t>KARIN CRISTINA NASCIF BARBOSA COSTA</t>
  </si>
  <si>
    <t>CLARA PAIVA DE MORAES</t>
  </si>
  <si>
    <t>JACIARA CORREIA DA SILVA</t>
  </si>
  <si>
    <t>MARILIS FERREIRA CASTRO DA SILVA</t>
  </si>
  <si>
    <t>FABIANA CRISTINA GOMES MORAES RAMOS</t>
  </si>
  <si>
    <t>MICHELLE PEREIRA AMBROSIO</t>
  </si>
  <si>
    <t>LIVIA CARLA RODRIGUES SOARES</t>
  </si>
  <si>
    <t>GISELLE DA CRUZ DA SILVA</t>
  </si>
  <si>
    <t>CARLOS HENRIQUE BEZERRA JOAQUIM</t>
  </si>
  <si>
    <t>VANESSA CAMPOS DE CARVALHO</t>
  </si>
  <si>
    <t>ROSIVAL OLIVEIRA DOS SANTOS</t>
  </si>
  <si>
    <t>PAULA GABRIELA GOMES SILVA</t>
  </si>
  <si>
    <t>SONIA MARIA DA ROCHA</t>
  </si>
  <si>
    <t>LIVIA NASCIMENTO SILVA</t>
  </si>
  <si>
    <t>MANUELA DE BRITO CORDEIRO</t>
  </si>
  <si>
    <t>LUANA RODRIGUES DOS SANTOS RUAS</t>
  </si>
  <si>
    <t>RAYANE CRISTINA DE MELO</t>
  </si>
  <si>
    <t>VALDETE DOS SANTOS MELLO</t>
  </si>
  <si>
    <t>POLLYANA FURTADO LEMOS</t>
  </si>
  <si>
    <t>RUSCALIA DIVINA DOS SANTOS</t>
  </si>
  <si>
    <t>KENIA CRISTINA ALVES PEREIRA</t>
  </si>
  <si>
    <t>DEBORAH CICILLINI NUNES</t>
  </si>
  <si>
    <t>DELSUITE ALVES ROCHA</t>
  </si>
  <si>
    <t>ANA KEILA GONCALVES DE CARVALHO PARREIRA</t>
  </si>
  <si>
    <t>NATHALIA DE MELLO BISSO</t>
  </si>
  <si>
    <t>TATIELLY DE SOUZA E SILVA</t>
  </si>
  <si>
    <t>RAQUEL MAITE ALVES DE OLIVEIRA</t>
  </si>
  <si>
    <t>PATRICIA LUCIENE BORBA</t>
  </si>
  <si>
    <t>CAMILA SIMONELLA DA SILVA</t>
  </si>
  <si>
    <t>JULIANA FERNANDES DO NASCIMENTO</t>
  </si>
  <si>
    <t>IVY SOARES LIMA DE AMORIM</t>
  </si>
  <si>
    <t>LEILIANE PADILHA RODRIGUES</t>
  </si>
  <si>
    <t>NUBIA MARIA BARROS DE MORAES</t>
  </si>
  <si>
    <t>ALEX WILLIAN SILVA DE OLIVEIRA</t>
  </si>
  <si>
    <t>OSVALDO DA SILVA PONTES</t>
  </si>
  <si>
    <t>LUANA BIGGI DE SOUZA</t>
  </si>
  <si>
    <t>FERNANDA KARINE SILVA BARRAVENTO</t>
  </si>
  <si>
    <t>DIOGO LUCAS LIMA DO NASCIMENTO</t>
  </si>
  <si>
    <t>MAURICIO VIEIRA DA SILVA</t>
  </si>
  <si>
    <t>RENATO JUNIOR CAVALCANTE DA SILVA</t>
  </si>
  <si>
    <t>ALANA ROBERTA DOS SANTOS MARQUES</t>
  </si>
  <si>
    <t>MARIA AUGUSTA DOS SANTOS</t>
  </si>
  <si>
    <t>JEANE DA SILVA DANTAS CABRAL</t>
  </si>
  <si>
    <t>MARCELA DE MEDEIROS SILVA</t>
  </si>
  <si>
    <t>ALINE MARIA OLIVEIRA LOPES</t>
  </si>
  <si>
    <t>JAQUELINE DE OLIVEIRA CIRIACO</t>
  </si>
  <si>
    <t>ANTONIO HELENO DA SILVA</t>
  </si>
  <si>
    <t>ALINE MARIA GOMES DE OLIVEIRA</t>
  </si>
  <si>
    <t>LYVIA SANTOS TIMOTEO DA SILVA</t>
  </si>
  <si>
    <t>JOSANGELA BISPO DOS SANTOS</t>
  </si>
  <si>
    <t>JANAIR DA SILVA MORAES</t>
  </si>
  <si>
    <t>SILVIA FERREIRA GARCIA</t>
  </si>
  <si>
    <t>DAYHANE SANTOS ALMEIDA</t>
  </si>
  <si>
    <t>MONICA CAETANO DA SILVA</t>
  </si>
  <si>
    <t>JOAO PAULO BEZERRA DA SILVA</t>
  </si>
  <si>
    <t>LOUYZE LINDINALVA MARINHO DE SOUZA</t>
  </si>
  <si>
    <t>FAGNER PIMENTEL CARDOSO DE OLIVEIRA</t>
  </si>
  <si>
    <t>ANDERSON LOPES DE ALBUQUERQUE</t>
  </si>
  <si>
    <t>LUCIANA SANTOS DE LIMA</t>
  </si>
  <si>
    <t>GLEIDE ALVES BEZERRA</t>
  </si>
  <si>
    <t>LUCIANA MARIA DA SILVA</t>
  </si>
  <si>
    <t>WELLINGTON ANTONIO ALVES</t>
  </si>
  <si>
    <t>EMANUELLA MONTEIRO MENDES PIRES</t>
  </si>
  <si>
    <t>NIVEA BRASIL DE LIMA</t>
  </si>
  <si>
    <t>ANDREIA FONTAN ARRUDA CEDRIM</t>
  </si>
  <si>
    <t>LUCAS DE OLIVEIRA BARROS</t>
  </si>
  <si>
    <t>FABIO WANDERLEY CAMARA</t>
  </si>
  <si>
    <t>WILLIAMS DA SILVA SANTOS</t>
  </si>
  <si>
    <t>LUCIANO DOS SANTOS PIMENTEL</t>
  </si>
  <si>
    <t>GIVALDO RAMALHO LEITE</t>
  </si>
  <si>
    <t>ALDA MARIA DOS SANTOS BARROS</t>
  </si>
  <si>
    <t>KARINE BARROS DOS SANTOS SILVA</t>
  </si>
  <si>
    <t>VALERIA ALVES</t>
  </si>
  <si>
    <t>HELDA MARIA FERREIRA CARDELA</t>
  </si>
  <si>
    <t>NEYDJA SALVADOR DE MACEDO</t>
  </si>
  <si>
    <t>ROSILDA SILVA NETO</t>
  </si>
  <si>
    <t>PAULO MARCELO  LOPES DA SILVA</t>
  </si>
  <si>
    <t>LEILA DANIELE PADILHA RODRIGUES</t>
  </si>
  <si>
    <t>JAILSON FRANCISCO DA SILVA</t>
  </si>
  <si>
    <t>DANIELLE CRISTIANE SILVA DE SOUZA</t>
  </si>
  <si>
    <t>JORGE FERREIRA DE LIMA NETO</t>
  </si>
  <si>
    <t>EDGLEIDE DA COSTA SILVA PEIXOTO</t>
  </si>
  <si>
    <t>JOELMA WELLCELIA NETO DE LIMA</t>
  </si>
  <si>
    <t>TECNICO ANALISES CLINICAS I</t>
  </si>
  <si>
    <t>CONFERENTE I</t>
  </si>
  <si>
    <t>COPEIRA</t>
  </si>
  <si>
    <t>SUPERVISOR ARMAZEM</t>
  </si>
  <si>
    <t>CONFERENTE II</t>
  </si>
  <si>
    <t>ASSISTENTE ADMINISTRATIVO</t>
  </si>
  <si>
    <t>ANALISTA ADMINISTRATIVO I</t>
  </si>
  <si>
    <t>AUXILIAR ANALISES CLINICAS I</t>
  </si>
  <si>
    <t>MOTORISTA I</t>
  </si>
  <si>
    <t>AUXILIAR ANALISES CLINICAS II</t>
  </si>
  <si>
    <t>ANALISTA ARMAZEM I</t>
  </si>
  <si>
    <t>SUPERVISOR NTO II</t>
  </si>
  <si>
    <t>ANALISTA FATURAMENTO III</t>
  </si>
  <si>
    <t>COORDENADOR REGIONAL ATENDIMENTO</t>
  </si>
  <si>
    <t>GERENTE REGIONAL ATENDIMENTO</t>
  </si>
  <si>
    <t>ANALISTA ESPECIALIZADO I</t>
  </si>
  <si>
    <t>GERENTE PLAN E PERFORMANCE</t>
  </si>
  <si>
    <t>ANALISTA ANALISES CLINICAS II</t>
  </si>
  <si>
    <t>ANALISTA ANALISES CLINICAS I</t>
  </si>
  <si>
    <t>ANALISTA TRANSPORTE I</t>
  </si>
  <si>
    <t>TECNICO ANALISES CLINICAS II</t>
  </si>
  <si>
    <t>AUXILIAR LOGISTICA</t>
  </si>
  <si>
    <t>TECNICO SEGURAN TRABALHO I</t>
  </si>
  <si>
    <t>ANALISTA FATURAMENTO II</t>
  </si>
  <si>
    <t>COORDENADOR NTO</t>
  </si>
  <si>
    <t>ANALISTA COMERCIAL III</t>
  </si>
  <si>
    <t>ANALISTA TESOURARIA III</t>
  </si>
  <si>
    <t>ANALISTA FATURAMENTO I</t>
  </si>
  <si>
    <t>ELETRICISTA</t>
  </si>
  <si>
    <t>ESPECIALISTA PLAN PERFORMANCE</t>
  </si>
  <si>
    <t>ANALISTA CONTAS A RECEBER III</t>
  </si>
  <si>
    <t>COORDENADOR NTH SP</t>
  </si>
  <si>
    <t>OPERADOR EMPILHADEIRA</t>
  </si>
  <si>
    <t>ANALISTA PRE ANALITICO III</t>
  </si>
  <si>
    <t>COORDENADOR UNID HOSPITAIS I</t>
  </si>
  <si>
    <t>SUPERVISOR NTH I</t>
  </si>
  <si>
    <t>COORDENADOR LICENCIAMENTO</t>
  </si>
  <si>
    <t>TECNICO ESPECIALISTA II</t>
  </si>
  <si>
    <t>ENFERMEIRO DO TRABALHO</t>
  </si>
  <si>
    <t>VICE PRESIDENTE ADM FINANCEIRO</t>
  </si>
  <si>
    <t>TECNICO EQUIPAMENTOS AC I</t>
  </si>
  <si>
    <t>TECNICO COLETA II</t>
  </si>
  <si>
    <t>ANALISTA ADMINISTRATIVO III</t>
  </si>
  <si>
    <t>ANALISTA PRE ANALITICO II</t>
  </si>
  <si>
    <t>SUPERVISOR CADASTRO</t>
  </si>
  <si>
    <t>APRENDIZ</t>
  </si>
  <si>
    <t>ANALISTA COMERCIAL I</t>
  </si>
  <si>
    <t>ANALISTA QUALID ANALITICA I</t>
  </si>
  <si>
    <t>SUPERVISOR RECEBIVEIS</t>
  </si>
  <si>
    <t>ANALISTA ESPECIALIZADO II</t>
  </si>
  <si>
    <t>ANALISTA CONTAS A RECEBER II</t>
  </si>
  <si>
    <t>MEDICO DO TRABALHO</t>
  </si>
  <si>
    <t>ANALISTA COMPRAS I</t>
  </si>
  <si>
    <t>ASSISTENTE COLETA II</t>
  </si>
  <si>
    <t>ENFERMEIRO II</t>
  </si>
  <si>
    <t>RECEPCIONISTA HOSPITALAR II</t>
  </si>
  <si>
    <t>ENFERMEIRO I</t>
  </si>
  <si>
    <t>RECEPCIONISTA HOSPITALAR I</t>
  </si>
  <si>
    <t>COORDENADOR UNID HOSPITAIS II</t>
  </si>
  <si>
    <t>AUXILIAR SERVICOS GERAIS</t>
  </si>
  <si>
    <t>AP. DE CADASTRO</t>
  </si>
  <si>
    <t>ANALISTA ESPECIALIZADO III</t>
  </si>
  <si>
    <t>COLETADOR</t>
  </si>
  <si>
    <t>ASSISTENTE COLETA I</t>
  </si>
  <si>
    <t>COORDENADOR UNIDADE II</t>
  </si>
  <si>
    <t>ASSISTENTE ADMINISTRATIVO AC</t>
  </si>
  <si>
    <t>COORDENADOR UNIDADE I</t>
  </si>
  <si>
    <t>ANALISTA CAPTACAO II</t>
  </si>
  <si>
    <t>COORDENADOR REGIONAL NTH PUBLICO</t>
  </si>
  <si>
    <t>RECEPCIONISTA LIDER</t>
  </si>
  <si>
    <t>AUXILIAR MANUTENCAO I</t>
  </si>
  <si>
    <t>COORDENADOR REGIONAL</t>
  </si>
  <si>
    <t>ANALISTA ADM PESSOAL I</t>
  </si>
  <si>
    <t>MEDICO II</t>
  </si>
  <si>
    <t>ESPECIALISTA EXPANSAO INTEGRACAO I</t>
  </si>
  <si>
    <t>ANALISTA TREINAMENTO I</t>
  </si>
  <si>
    <t>ANALISTA ADM PESSOAL II</t>
  </si>
  <si>
    <t>ANALISTA TI REGIONAL I</t>
  </si>
  <si>
    <t>ANALISTA CAPTACAO I</t>
  </si>
  <si>
    <t>CERTIFICADOR COLETA</t>
  </si>
  <si>
    <t>GERENTE COMERCIAL PUBLICO</t>
  </si>
  <si>
    <t>COORDENADOR NTH RJ</t>
  </si>
  <si>
    <t>AUXILIAR MANUTENCAO II</t>
  </si>
  <si>
    <t>SUPERVISOR NTH II</t>
  </si>
  <si>
    <t>TECNICO COLETA I</t>
  </si>
  <si>
    <t>COORDENADOR UNIDADE III</t>
  </si>
  <si>
    <t>TECNICO COLETA III</t>
  </si>
  <si>
    <t>Hematologia</t>
  </si>
  <si>
    <t>Suporte Administrativo</t>
  </si>
  <si>
    <t>Microbiologia</t>
  </si>
  <si>
    <t>Transporte</t>
  </si>
  <si>
    <t>Exames Terceirizados</t>
  </si>
  <si>
    <t>Lavagem e Esterilizacao - AC</t>
  </si>
  <si>
    <t>Parasitologia</t>
  </si>
  <si>
    <t>Urinalise</t>
  </si>
  <si>
    <t>Recebíveis - Mercado Público</t>
  </si>
  <si>
    <t>Apoio Gestão da Marca</t>
  </si>
  <si>
    <t>Cadastro</t>
  </si>
  <si>
    <t>Separacao e Distribuicao</t>
  </si>
  <si>
    <t>Bioquimica</t>
  </si>
  <si>
    <t>Imunologia</t>
  </si>
  <si>
    <t>Liberacao de Laudos</t>
  </si>
  <si>
    <t>Seguranca do Trabalho</t>
  </si>
  <si>
    <t>Comercial</t>
  </si>
  <si>
    <t>Tesouraria</t>
  </si>
  <si>
    <t>Gestao de Processo Lab. Central</t>
  </si>
  <si>
    <t>Manutenção</t>
  </si>
  <si>
    <t>Gestao Hospitalar</t>
  </si>
  <si>
    <t>Enfermagem</t>
  </si>
  <si>
    <t>Licenciamento</t>
  </si>
  <si>
    <t>Anatomia Patologica</t>
  </si>
  <si>
    <t>Medicina do Trabalho</t>
  </si>
  <si>
    <t>Hormonologia</t>
  </si>
  <si>
    <t>Vice Presidência Serviços</t>
  </si>
  <si>
    <t>Selab</t>
  </si>
  <si>
    <t>PMSP - POSTOS SPS -Coleta - Posto</t>
  </si>
  <si>
    <t>Gestao de Atendimento</t>
  </si>
  <si>
    <t>Controle de Qualidade</t>
  </si>
  <si>
    <t>Compras</t>
  </si>
  <si>
    <t>Coleta</t>
  </si>
  <si>
    <t>Area Tecnica</t>
  </si>
  <si>
    <t>Administracao</t>
  </si>
  <si>
    <t>PMSP - POSTOS SPN - Coleta - Posto</t>
  </si>
  <si>
    <t>Area Técnica</t>
  </si>
  <si>
    <t>Captacao</t>
  </si>
  <si>
    <t>Qualidade</t>
  </si>
  <si>
    <t>Gerencia corporativa organizacional</t>
  </si>
  <si>
    <t>Apoio ao CientificaLab(Custo)</t>
  </si>
  <si>
    <t>Treinamento</t>
  </si>
  <si>
    <t>Help Desk</t>
  </si>
  <si>
    <t>Area Tecnica - Brigadeiro</t>
  </si>
  <si>
    <t>CEAC - PADRE BENTO - Coleta - Posto</t>
  </si>
  <si>
    <t>Mas antes, deve copiar na coluna W e X o código e a descrição de cada sindicato.</t>
  </si>
  <si>
    <t>Na coluna Y, em DATA BASE, deve digitar a data base de cada sindicato.</t>
  </si>
  <si>
    <t>Obs: caso a data  base de 2016 ainda não tem saído, é fundamente que coloque a data do ano atual (2017).</t>
  </si>
  <si>
    <t>Para analisar, basta digitar no campos indicados o código da filial + código da matrícula + data sugerida.</t>
  </si>
  <si>
    <t>No item RESULTADO,indicará se pode ou não ser desligado na data informada.</t>
  </si>
  <si>
    <t>No item MELHOR DATA, indicará a melhor data que poderá ser desligada de modo a não pagar a multa do art. 9º da Lei 7238/84.</t>
  </si>
  <si>
    <t>E, se estiver em contrato de experiência, mesmo que 30 dias antes da data base, será informado esta data na qual não haverá impeditivo para desligamento.</t>
  </si>
  <si>
    <t>Na planilha CÁLCULO, basta digitar nos seguintes campos:</t>
  </si>
  <si>
    <t>Coluna W (informar SIM ou NÃO para férias vencidas)</t>
  </si>
  <si>
    <t>Coluna Y (informar o saldo do FGTS mediante consulta no conectividade)</t>
  </si>
  <si>
    <t>Nesta planilha (cálculo) trará o resultado da rescisão do colaborador, considerando os seguintes eventos e como se a rescisão fosse com aviso prévio indenizado: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</si>
</sst>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00000000\-00"/>
    <numFmt numFmtId="166" formatCode="&quot;R$ &quot;#,##0.00_);\(&quot;R$ &quot;#,##0.00\)"/>
    <numFmt numFmtId="167" formatCode="[$-416]dd/mmm;@"/>
    <numFmt numFmtId="168" formatCode="&quot;&quot;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8"/>
      <color theme="1"/>
      <name val="Calibri"/>
      <family val="2"/>
      <scheme val="minor"/>
    </font>
    <font>
      <b/>
      <sz val="14"/>
      <color theme="0"/>
      <name val="Century Gothic"/>
      <family val="2"/>
    </font>
    <font>
      <sz val="11"/>
      <color theme="1"/>
      <name val="Century Gothic"/>
      <family val="2"/>
    </font>
    <font>
      <sz val="8"/>
      <color theme="1"/>
      <name val="Century Gothic"/>
      <family val="2"/>
    </font>
    <font>
      <sz val="10"/>
      <color indexed="18"/>
      <name val="Century Gothic"/>
      <family val="2"/>
    </font>
    <font>
      <b/>
      <sz val="14"/>
      <color rgb="FFFF0000"/>
      <name val="Century Gothic"/>
      <family val="2"/>
    </font>
    <font>
      <b/>
      <sz val="10"/>
      <color rgb="FF002060"/>
      <name val="Century Gothic"/>
      <family val="2"/>
    </font>
    <font>
      <sz val="10"/>
      <color indexed="60"/>
      <name val="Century Gothic"/>
      <family val="2"/>
    </font>
    <font>
      <b/>
      <sz val="18"/>
      <color indexed="18"/>
      <name val="Century Gothic"/>
      <family val="2"/>
    </font>
    <font>
      <b/>
      <sz val="10"/>
      <color indexed="18"/>
      <name val="Century Gothic"/>
      <family val="2"/>
    </font>
    <font>
      <sz val="11"/>
      <color rgb="FFFF0000"/>
      <name val="Century Gothic"/>
      <family val="2"/>
    </font>
    <font>
      <sz val="9.5"/>
      <color theme="1"/>
      <name val="Century Gothic"/>
      <family val="2"/>
    </font>
    <font>
      <sz val="10"/>
      <color theme="0"/>
      <name val="Century Gothic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60"/>
      <name val="Century Gothic"/>
      <family val="2"/>
    </font>
    <font>
      <sz val="8"/>
      <color indexed="60"/>
      <name val="Comic Sans MS"/>
      <family val="4"/>
    </font>
    <font>
      <b/>
      <sz val="10"/>
      <color rgb="FFFF0000"/>
      <name val="Century Gothic"/>
      <family val="2"/>
    </font>
    <font>
      <b/>
      <sz val="9"/>
      <color indexed="81"/>
      <name val="Segoe UI"/>
      <family val="2"/>
    </font>
  </fonts>
  <fills count="5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darkGray">
        <fgColor indexed="9"/>
        <bgColor indexed="27"/>
      </patternFill>
    </fill>
    <fill>
      <patternFill patternType="darkGray">
        <fgColor indexed="9"/>
        <bgColor rgb="FFFFC000"/>
      </patternFill>
    </fill>
    <fill>
      <patternFill patternType="darkGray">
        <fgColor indexed="9"/>
        <bgColor indexed="26"/>
      </patternFill>
    </fill>
    <fill>
      <patternFill patternType="darkGray">
        <fgColor indexed="9"/>
        <bgColor theme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29" applyNumberFormat="0" applyFill="0" applyAlignment="0" applyProtection="0"/>
    <xf numFmtId="0" fontId="21" fillId="0" borderId="30" applyNumberFormat="0" applyFill="0" applyAlignment="0" applyProtection="0"/>
    <xf numFmtId="0" fontId="22" fillId="0" borderId="31" applyNumberFormat="0" applyFill="0" applyAlignment="0" applyProtection="0"/>
    <xf numFmtId="0" fontId="22" fillId="0" borderId="0" applyNumberFormat="0" applyFill="0" applyBorder="0" applyAlignment="0" applyProtection="0"/>
    <xf numFmtId="0" fontId="23" fillId="17" borderId="0" applyNumberFormat="0" applyBorder="0" applyAlignment="0" applyProtection="0"/>
    <xf numFmtId="0" fontId="24" fillId="18" borderId="0" applyNumberFormat="0" applyBorder="0" applyAlignment="0" applyProtection="0"/>
    <xf numFmtId="0" fontId="25" fillId="19" borderId="0" applyNumberFormat="0" applyBorder="0" applyAlignment="0" applyProtection="0"/>
    <xf numFmtId="0" fontId="26" fillId="20" borderId="32" applyNumberFormat="0" applyAlignment="0" applyProtection="0"/>
    <xf numFmtId="0" fontId="27" fillId="21" borderId="33" applyNumberFormat="0" applyAlignment="0" applyProtection="0"/>
    <xf numFmtId="0" fontId="28" fillId="21" borderId="32" applyNumberFormat="0" applyAlignment="0" applyProtection="0"/>
    <xf numFmtId="0" fontId="29" fillId="0" borderId="34" applyNumberFormat="0" applyFill="0" applyAlignment="0" applyProtection="0"/>
    <xf numFmtId="0" fontId="2" fillId="22" borderId="35" applyNumberFormat="0" applyAlignment="0" applyProtection="0"/>
    <xf numFmtId="0" fontId="30" fillId="0" borderId="0" applyNumberFormat="0" applyFill="0" applyBorder="0" applyAlignment="0" applyProtection="0"/>
    <xf numFmtId="0" fontId="1" fillId="23" borderId="36" applyNumberFormat="0" applyFont="0" applyAlignment="0" applyProtection="0"/>
    <xf numFmtId="0" fontId="31" fillId="0" borderId="0" applyNumberFormat="0" applyFill="0" applyBorder="0" applyAlignment="0" applyProtection="0"/>
    <xf numFmtId="0" fontId="3" fillId="0" borderId="37" applyNumberFormat="0" applyFill="0" applyAlignment="0" applyProtection="0"/>
    <xf numFmtId="0" fontId="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4" fillId="47" borderId="0" applyNumberFormat="0" applyBorder="0" applyAlignment="0" applyProtection="0"/>
    <xf numFmtId="0" fontId="19" fillId="0" borderId="0" applyNumberFormat="0" applyFill="0" applyBorder="0" applyAlignment="0" applyProtection="0"/>
    <xf numFmtId="0" fontId="32" fillId="0" borderId="0" applyNumberFormat="0" applyFill="0" applyBorder="0" applyProtection="0"/>
  </cellStyleXfs>
  <cellXfs count="162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14" fontId="0" fillId="3" borderId="1" xfId="0" applyNumberFormat="1" applyFill="1" applyBorder="1"/>
    <xf numFmtId="14" fontId="0" fillId="4" borderId="1" xfId="0" applyNumberFormat="1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43" fontId="0" fillId="5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0" fillId="6" borderId="0" xfId="0" applyFill="1"/>
    <xf numFmtId="0" fontId="0" fillId="6" borderId="5" xfId="0" applyFill="1" applyBorder="1"/>
    <xf numFmtId="0" fontId="0" fillId="6" borderId="6" xfId="0" applyFill="1" applyBorder="1"/>
    <xf numFmtId="0" fontId="0" fillId="6" borderId="2" xfId="0" applyFill="1" applyBorder="1"/>
    <xf numFmtId="0" fontId="0" fillId="6" borderId="7" xfId="0" applyFill="1" applyBorder="1"/>
    <xf numFmtId="0" fontId="0" fillId="6" borderId="8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" fillId="6" borderId="6" xfId="0" applyFont="1" applyFill="1" applyBorder="1" applyAlignment="1">
      <alignment vertical="center" wrapText="1"/>
    </xf>
    <xf numFmtId="0" fontId="0" fillId="6" borderId="6" xfId="0" applyFill="1" applyBorder="1" applyAlignment="1">
      <alignment horizontal="center" vertical="center" wrapText="1"/>
    </xf>
    <xf numFmtId="0" fontId="4" fillId="6" borderId="6" xfId="0" applyFont="1" applyFill="1" applyBorder="1"/>
    <xf numFmtId="14" fontId="0" fillId="0" borderId="0" xfId="0" applyNumberFormat="1"/>
    <xf numFmtId="0" fontId="0" fillId="5" borderId="0" xfId="0" applyFill="1"/>
    <xf numFmtId="0" fontId="6" fillId="7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0" fillId="11" borderId="0" xfId="0" applyFill="1"/>
    <xf numFmtId="14" fontId="0" fillId="10" borderId="0" xfId="0" applyNumberFormat="1" applyFill="1"/>
    <xf numFmtId="0" fontId="0" fillId="5" borderId="0" xfId="0" applyNumberFormat="1" applyFill="1"/>
    <xf numFmtId="0" fontId="0" fillId="4" borderId="0" xfId="0" applyNumberFormat="1" applyFill="1"/>
    <xf numFmtId="14" fontId="0" fillId="4" borderId="0" xfId="0" applyNumberFormat="1" applyFill="1" applyAlignment="1">
      <alignment wrapText="1"/>
    </xf>
    <xf numFmtId="43" fontId="0" fillId="0" borderId="0" xfId="1" applyFont="1"/>
    <xf numFmtId="0" fontId="2" fillId="12" borderId="0" xfId="0" applyFont="1" applyFill="1" applyAlignment="1">
      <alignment horizontal="center" vertical="center" wrapText="1"/>
    </xf>
    <xf numFmtId="0" fontId="0" fillId="12" borderId="0" xfId="0" applyFill="1"/>
    <xf numFmtId="0" fontId="2" fillId="2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43" fontId="0" fillId="4" borderId="1" xfId="1" applyFont="1" applyFill="1" applyBorder="1" applyAlignment="1">
      <alignment horizontal="center"/>
    </xf>
    <xf numFmtId="165" fontId="0" fillId="0" borderId="0" xfId="0" applyNumberFormat="1"/>
    <xf numFmtId="165" fontId="2" fillId="2" borderId="1" xfId="0" applyNumberFormat="1" applyFont="1" applyFill="1" applyBorder="1" applyAlignment="1">
      <alignment horizontal="center" vertical="center"/>
    </xf>
    <xf numFmtId="0" fontId="8" fillId="0" borderId="0" xfId="0" applyFont="1" applyProtection="1"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0" xfId="0" applyNumberFormat="1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right"/>
      <protection hidden="1"/>
    </xf>
    <xf numFmtId="0" fontId="10" fillId="13" borderId="17" xfId="0" applyFont="1" applyFill="1" applyBorder="1" applyProtection="1">
      <protection hidden="1"/>
    </xf>
    <xf numFmtId="0" fontId="11" fillId="14" borderId="17" xfId="0" applyFont="1" applyFill="1" applyBorder="1" applyAlignment="1" applyProtection="1">
      <alignment horizontal="center"/>
      <protection locked="0"/>
    </xf>
    <xf numFmtId="166" fontId="13" fillId="15" borderId="17" xfId="0" applyNumberFormat="1" applyFont="1" applyFill="1" applyBorder="1" applyProtection="1">
      <protection hidden="1"/>
    </xf>
    <xf numFmtId="0" fontId="15" fillId="13" borderId="17" xfId="0" applyFont="1" applyFill="1" applyBorder="1" applyAlignment="1" applyProtection="1">
      <alignment horizontal="center"/>
      <protection hidden="1"/>
    </xf>
    <xf numFmtId="0" fontId="10" fillId="13" borderId="17" xfId="0" applyFont="1" applyFill="1" applyBorder="1" applyAlignment="1" applyProtection="1">
      <alignment horizontal="center"/>
      <protection hidden="1"/>
    </xf>
    <xf numFmtId="39" fontId="8" fillId="0" borderId="0" xfId="0" applyNumberFormat="1" applyFont="1" applyProtection="1">
      <protection hidden="1"/>
    </xf>
    <xf numFmtId="167" fontId="10" fillId="13" borderId="17" xfId="0" applyNumberFormat="1" applyFont="1" applyFill="1" applyBorder="1" applyAlignment="1" applyProtection="1">
      <alignment horizontal="left"/>
      <protection hidden="1"/>
    </xf>
    <xf numFmtId="14" fontId="10" fillId="13" borderId="17" xfId="0" applyNumberFormat="1" applyFont="1" applyFill="1" applyBorder="1" applyAlignment="1" applyProtection="1">
      <alignment horizontal="center"/>
      <protection hidden="1"/>
    </xf>
    <xf numFmtId="0" fontId="16" fillId="0" borderId="0" xfId="0" applyFont="1" applyProtection="1">
      <protection hidden="1"/>
    </xf>
    <xf numFmtId="0" fontId="16" fillId="0" borderId="0" xfId="0" applyFont="1" applyAlignment="1" applyProtection="1">
      <alignment horizontal="center"/>
      <protection hidden="1"/>
    </xf>
    <xf numFmtId="43" fontId="0" fillId="3" borderId="1" xfId="1" applyFont="1" applyFill="1" applyBorder="1"/>
    <xf numFmtId="0" fontId="4" fillId="6" borderId="0" xfId="0" applyFont="1" applyFill="1"/>
    <xf numFmtId="0" fontId="10" fillId="13" borderId="17" xfId="0" applyNumberFormat="1" applyFont="1" applyFill="1" applyBorder="1" applyAlignment="1" applyProtection="1">
      <alignment horizontal="center"/>
      <protection hidden="1"/>
    </xf>
    <xf numFmtId="0" fontId="18" fillId="16" borderId="17" xfId="0" applyFont="1" applyFill="1" applyBorder="1" applyProtection="1">
      <protection hidden="1"/>
    </xf>
    <xf numFmtId="14" fontId="11" fillId="14" borderId="17" xfId="0" applyNumberFormat="1" applyFont="1" applyFill="1" applyBorder="1" applyAlignment="1" applyProtection="1">
      <alignment horizontal="center"/>
      <protection locked="0"/>
    </xf>
    <xf numFmtId="168" fontId="18" fillId="16" borderId="17" xfId="0" applyNumberFormat="1" applyFont="1" applyFill="1" applyBorder="1" applyAlignment="1" applyProtection="1">
      <alignment horizontal="center"/>
      <protection hidden="1"/>
    </xf>
    <xf numFmtId="0" fontId="18" fillId="16" borderId="38" xfId="0" applyFont="1" applyFill="1" applyBorder="1" applyProtection="1">
      <protection hidden="1"/>
    </xf>
    <xf numFmtId="168" fontId="18" fillId="16" borderId="38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4" fontId="0" fillId="0" borderId="0" xfId="0" applyNumberFormat="1"/>
    <xf numFmtId="0" fontId="33" fillId="15" borderId="18" xfId="0" applyNumberFormat="1" applyFont="1" applyFill="1" applyBorder="1" applyAlignment="1" applyProtection="1">
      <alignment horizontal="center" vertical="center"/>
      <protection hidden="1"/>
    </xf>
    <xf numFmtId="166" fontId="33" fillId="15" borderId="17" xfId="0" applyNumberFormat="1" applyFont="1" applyFill="1" applyBorder="1" applyAlignment="1" applyProtection="1">
      <alignment vertical="center"/>
      <protection hidden="1"/>
    </xf>
    <xf numFmtId="0" fontId="34" fillId="15" borderId="38" xfId="0" applyNumberFormat="1" applyFont="1" applyFill="1" applyBorder="1" applyAlignment="1" applyProtection="1">
      <alignment horizontal="center"/>
      <protection hidden="1"/>
    </xf>
    <xf numFmtId="0" fontId="34" fillId="16" borderId="38" xfId="0" applyNumberFormat="1" applyFont="1" applyFill="1" applyBorder="1" applyAlignment="1" applyProtection="1">
      <alignment horizontal="left"/>
      <protection hidden="1"/>
    </xf>
    <xf numFmtId="0" fontId="34" fillId="15" borderId="45" xfId="0" applyNumberFormat="1" applyFont="1" applyFill="1" applyBorder="1" applyAlignment="1" applyProtection="1">
      <alignment horizontal="center"/>
      <protection hidden="1"/>
    </xf>
    <xf numFmtId="0" fontId="34" fillId="15" borderId="45" xfId="0" applyNumberFormat="1" applyFont="1" applyFill="1" applyBorder="1" applyAlignment="1" applyProtection="1">
      <alignment horizontal="left"/>
      <protection hidden="1"/>
    </xf>
    <xf numFmtId="0" fontId="34" fillId="15" borderId="46" xfId="0" applyNumberFormat="1" applyFont="1" applyFill="1" applyBorder="1" applyAlignment="1" applyProtection="1">
      <alignment horizontal="center"/>
      <protection hidden="1"/>
    </xf>
    <xf numFmtId="0" fontId="34" fillId="15" borderId="46" xfId="0" applyNumberFormat="1" applyFont="1" applyFill="1" applyBorder="1" applyAlignment="1" applyProtection="1">
      <alignment horizontal="left"/>
      <protection hidden="1"/>
    </xf>
    <xf numFmtId="43" fontId="0" fillId="0" borderId="0" xfId="0" applyNumberFormat="1" applyAlignment="1">
      <alignment horizontal="center"/>
    </xf>
    <xf numFmtId="14" fontId="14" fillId="13" borderId="21" xfId="0" applyNumberFormat="1" applyFont="1" applyFill="1" applyBorder="1" applyAlignment="1" applyProtection="1">
      <alignment horizontal="center" vertical="center" wrapText="1"/>
      <protection hidden="1"/>
    </xf>
    <xf numFmtId="14" fontId="14" fillId="13" borderId="22" xfId="0" applyNumberFormat="1" applyFont="1" applyFill="1" applyBorder="1" applyAlignment="1" applyProtection="1">
      <alignment horizontal="center" vertical="center" wrapText="1"/>
      <protection hidden="1"/>
    </xf>
    <xf numFmtId="14" fontId="14" fillId="13" borderId="23" xfId="0" applyNumberFormat="1" applyFont="1" applyFill="1" applyBorder="1" applyAlignment="1" applyProtection="1">
      <alignment horizontal="center" vertical="center" wrapText="1"/>
      <protection hidden="1"/>
    </xf>
    <xf numFmtId="14" fontId="14" fillId="13" borderId="24" xfId="0" applyNumberFormat="1" applyFont="1" applyFill="1" applyBorder="1" applyAlignment="1" applyProtection="1">
      <alignment horizontal="center" vertical="center" wrapText="1"/>
      <protection hidden="1"/>
    </xf>
    <xf numFmtId="14" fontId="14" fillId="13" borderId="0" xfId="0" applyNumberFormat="1" applyFont="1" applyFill="1" applyBorder="1" applyAlignment="1" applyProtection="1">
      <alignment horizontal="center" vertical="center" wrapText="1"/>
      <protection hidden="1"/>
    </xf>
    <xf numFmtId="14" fontId="14" fillId="13" borderId="25" xfId="0" applyNumberFormat="1" applyFont="1" applyFill="1" applyBorder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center" wrapText="1"/>
      <protection hidden="1"/>
    </xf>
    <xf numFmtId="0" fontId="7" fillId="2" borderId="15" xfId="0" applyFont="1" applyFill="1" applyBorder="1" applyAlignment="1" applyProtection="1">
      <alignment horizontal="center" wrapText="1"/>
      <protection hidden="1"/>
    </xf>
    <xf numFmtId="0" fontId="7" fillId="2" borderId="10" xfId="0" applyFont="1" applyFill="1" applyBorder="1" applyAlignment="1" applyProtection="1">
      <alignment horizontal="center"/>
      <protection hidden="1"/>
    </xf>
    <xf numFmtId="0" fontId="7" fillId="2" borderId="16" xfId="0" applyFont="1" applyFill="1" applyBorder="1" applyAlignment="1" applyProtection="1">
      <alignment horizontal="center"/>
      <protection hidden="1"/>
    </xf>
    <xf numFmtId="0" fontId="12" fillId="13" borderId="18" xfId="0" applyFont="1" applyFill="1" applyBorder="1" applyAlignment="1" applyProtection="1">
      <alignment horizontal="center"/>
      <protection hidden="1"/>
    </xf>
    <xf numFmtId="0" fontId="12" fillId="13" borderId="19" xfId="0" applyFont="1" applyFill="1" applyBorder="1" applyAlignment="1" applyProtection="1">
      <alignment horizontal="center"/>
      <protection hidden="1"/>
    </xf>
    <xf numFmtId="0" fontId="12" fillId="13" borderId="20" xfId="0" applyFont="1" applyFill="1" applyBorder="1" applyAlignment="1" applyProtection="1">
      <alignment horizontal="center"/>
      <protection hidden="1"/>
    </xf>
    <xf numFmtId="0" fontId="14" fillId="13" borderId="21" xfId="0" applyFont="1" applyFill="1" applyBorder="1" applyAlignment="1" applyProtection="1">
      <alignment horizontal="center" vertical="center" wrapText="1"/>
      <protection hidden="1"/>
    </xf>
    <xf numFmtId="0" fontId="14" fillId="13" borderId="22" xfId="0" applyFont="1" applyFill="1" applyBorder="1" applyAlignment="1" applyProtection="1">
      <alignment horizontal="center" vertical="center" wrapText="1"/>
      <protection hidden="1"/>
    </xf>
    <xf numFmtId="0" fontId="14" fillId="13" borderId="23" xfId="0" applyFont="1" applyFill="1" applyBorder="1" applyAlignment="1" applyProtection="1">
      <alignment horizontal="center" vertical="center" wrapText="1"/>
      <protection hidden="1"/>
    </xf>
    <xf numFmtId="0" fontId="14" fillId="13" borderId="24" xfId="0" applyFont="1" applyFill="1" applyBorder="1" applyAlignment="1" applyProtection="1">
      <alignment horizontal="center" vertical="center" wrapText="1"/>
      <protection hidden="1"/>
    </xf>
    <xf numFmtId="0" fontId="14" fillId="13" borderId="0" xfId="0" applyFont="1" applyFill="1" applyBorder="1" applyAlignment="1" applyProtection="1">
      <alignment horizontal="center" vertical="center" wrapText="1"/>
      <protection hidden="1"/>
    </xf>
    <xf numFmtId="0" fontId="14" fillId="13" borderId="25" xfId="0" applyFont="1" applyFill="1" applyBorder="1" applyAlignment="1" applyProtection="1">
      <alignment horizontal="center" vertical="center" wrapText="1"/>
      <protection hidden="1"/>
    </xf>
    <xf numFmtId="0" fontId="14" fillId="13" borderId="26" xfId="0" applyFont="1" applyFill="1" applyBorder="1" applyAlignment="1" applyProtection="1">
      <alignment horizontal="center" vertical="center" wrapText="1"/>
      <protection hidden="1"/>
    </xf>
    <xf numFmtId="0" fontId="14" fillId="13" borderId="27" xfId="0" applyFont="1" applyFill="1" applyBorder="1" applyAlignment="1" applyProtection="1">
      <alignment horizontal="center" vertical="center" wrapText="1"/>
      <protection hidden="1"/>
    </xf>
    <xf numFmtId="0" fontId="14" fillId="13" borderId="28" xfId="0" applyFont="1" applyFill="1" applyBorder="1" applyAlignment="1" applyProtection="1">
      <alignment horizontal="center" vertical="center" wrapText="1"/>
      <protection hidden="1"/>
    </xf>
    <xf numFmtId="14" fontId="14" fillId="13" borderId="26" xfId="0" applyNumberFormat="1" applyFont="1" applyFill="1" applyBorder="1" applyAlignment="1" applyProtection="1">
      <alignment horizontal="center" vertical="center" wrapText="1"/>
      <protection hidden="1"/>
    </xf>
    <xf numFmtId="14" fontId="14" fillId="13" borderId="27" xfId="0" applyNumberFormat="1" applyFont="1" applyFill="1" applyBorder="1" applyAlignment="1" applyProtection="1">
      <alignment horizontal="center" vertical="center" wrapText="1"/>
      <protection hidden="1"/>
    </xf>
    <xf numFmtId="14" fontId="14" fillId="13" borderId="28" xfId="0" applyNumberFormat="1" applyFont="1" applyFill="1" applyBorder="1" applyAlignment="1" applyProtection="1">
      <alignment horizontal="center" vertical="center" wrapText="1"/>
      <protection hidden="1"/>
    </xf>
    <xf numFmtId="0" fontId="11" fillId="16" borderId="39" xfId="0" applyFont="1" applyFill="1" applyBorder="1" applyAlignment="1" applyProtection="1">
      <alignment horizontal="center" vertical="center"/>
      <protection hidden="1"/>
    </xf>
    <xf numFmtId="0" fontId="11" fillId="16" borderId="40" xfId="0" applyFont="1" applyFill="1" applyBorder="1" applyAlignment="1" applyProtection="1">
      <alignment horizontal="center" vertical="center"/>
      <protection hidden="1"/>
    </xf>
    <xf numFmtId="0" fontId="11" fillId="16" borderId="41" xfId="0" applyFont="1" applyFill="1" applyBorder="1" applyAlignment="1" applyProtection="1">
      <alignment horizontal="center" vertical="center"/>
      <protection hidden="1"/>
    </xf>
    <xf numFmtId="0" fontId="11" fillId="16" borderId="42" xfId="0" applyFont="1" applyFill="1" applyBorder="1" applyAlignment="1" applyProtection="1">
      <alignment horizontal="center" vertical="center"/>
      <protection hidden="1"/>
    </xf>
    <xf numFmtId="0" fontId="11" fillId="16" borderId="43" xfId="0" applyFont="1" applyFill="1" applyBorder="1" applyAlignment="1" applyProtection="1">
      <alignment horizontal="center" vertical="center"/>
      <protection hidden="1"/>
    </xf>
    <xf numFmtId="0" fontId="11" fillId="16" borderId="44" xfId="0" applyFont="1" applyFill="1" applyBorder="1" applyAlignment="1" applyProtection="1">
      <alignment horizontal="center" vertical="center"/>
      <protection hidden="1"/>
    </xf>
    <xf numFmtId="0" fontId="3" fillId="9" borderId="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 applyProtection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8" borderId="14" xfId="0" applyFill="1" applyBorder="1" applyAlignment="1" applyProtection="1">
      <alignment horizontal="center" vertical="center" wrapText="1"/>
    </xf>
    <xf numFmtId="0" fontId="0" fillId="8" borderId="10" xfId="0" applyFill="1" applyBorder="1" applyAlignment="1" applyProtection="1">
      <alignment horizontal="center" vertical="center" wrapText="1"/>
    </xf>
    <xf numFmtId="0" fontId="0" fillId="6" borderId="14" xfId="0" applyFill="1" applyBorder="1" applyAlignment="1" applyProtection="1">
      <alignment horizontal="center" vertical="center" wrapText="1"/>
    </xf>
    <xf numFmtId="0" fontId="0" fillId="6" borderId="10" xfId="0" applyFill="1" applyBorder="1" applyAlignment="1" applyProtection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0" fillId="4" borderId="0" xfId="0" applyFill="1"/>
    <xf numFmtId="0" fontId="0" fillId="48" borderId="0" xfId="0" applyFill="1"/>
    <xf numFmtId="0" fontId="0" fillId="49" borderId="0" xfId="0" applyFill="1"/>
    <xf numFmtId="14" fontId="0" fillId="49" borderId="0" xfId="0" applyNumberFormat="1" applyFill="1"/>
    <xf numFmtId="43" fontId="0" fillId="49" borderId="0" xfId="1" applyFont="1" applyFill="1"/>
    <xf numFmtId="14" fontId="35" fillId="14" borderId="38" xfId="0" applyNumberFormat="1" applyFont="1" applyFill="1" applyBorder="1" applyAlignment="1" applyProtection="1">
      <alignment horizontal="center"/>
      <protection locked="0"/>
    </xf>
    <xf numFmtId="14" fontId="35" fillId="14" borderId="45" xfId="0" applyNumberFormat="1" applyFont="1" applyFill="1" applyBorder="1" applyAlignment="1" applyProtection="1">
      <alignment horizontal="center"/>
      <protection locked="0"/>
    </xf>
    <xf numFmtId="14" fontId="35" fillId="14" borderId="46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justify" vertical="justify" wrapText="1"/>
    </xf>
    <xf numFmtId="14" fontId="0" fillId="4" borderId="0" xfId="0" applyNumberFormat="1" applyFill="1"/>
    <xf numFmtId="0" fontId="0" fillId="4" borderId="0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5" xfId="0" applyBorder="1" applyAlignment="1">
      <alignment horizontal="justify" vertical="justify" wrapText="1"/>
    </xf>
    <xf numFmtId="0" fontId="0" fillId="0" borderId="10" xfId="0" applyBorder="1" applyAlignment="1">
      <alignment horizontal="justify" vertical="justify" wrapText="1"/>
    </xf>
    <xf numFmtId="0" fontId="0" fillId="0" borderId="16" xfId="0" applyBorder="1" applyAlignment="1">
      <alignment horizontal="justify" vertical="justify" wrapText="1"/>
    </xf>
    <xf numFmtId="0" fontId="0" fillId="0" borderId="47" xfId="0" applyBorder="1" applyAlignment="1">
      <alignment horizontal="left" wrapText="1"/>
    </xf>
    <xf numFmtId="0" fontId="0" fillId="0" borderId="48" xfId="0" applyBorder="1" applyAlignment="1">
      <alignment horizontal="left" wrapText="1"/>
    </xf>
    <xf numFmtId="0" fontId="0" fillId="4" borderId="48" xfId="0" applyFill="1" applyBorder="1"/>
    <xf numFmtId="0" fontId="0" fillId="0" borderId="48" xfId="0" applyBorder="1" applyAlignment="1">
      <alignment wrapText="1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0" xfId="0" applyBorder="1"/>
    <xf numFmtId="0" fontId="0" fillId="0" borderId="51" xfId="0" applyBorder="1"/>
    <xf numFmtId="0" fontId="3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2" xfId="0" applyBorder="1"/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53" xfId="0" applyBorder="1"/>
    <xf numFmtId="0" fontId="0" fillId="0" borderId="47" xfId="0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47" xfId="0" applyBorder="1"/>
  </cellXfs>
  <cellStyles count="46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Incorreto" xfId="9" builtinId="27" customBuiltin="1"/>
    <cellStyle name="Moeda 2" xfId="2"/>
    <cellStyle name="Neutra" xfId="10" builtinId="28" customBuiltin="1"/>
    <cellStyle name="Normal" xfId="0" builtinId="0"/>
    <cellStyle name="Normal 2" xfId="45"/>
    <cellStyle name="Nota" xfId="17" builtinId="10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ítulo 5" xfId="44"/>
    <cellStyle name="Total" xfId="19" builtinId="25" customBuiltin="1"/>
    <cellStyle name="Vírgula" xfId="1" builtinId="3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showGridLines="0" tabSelected="1" workbookViewId="0">
      <selection activeCell="A34" sqref="A34"/>
    </sheetView>
  </sheetViews>
  <sheetFormatPr defaultRowHeight="15" x14ac:dyDescent="0.25"/>
  <cols>
    <col min="1" max="1" width="25.7109375" customWidth="1"/>
    <col min="2" max="24" width="5.5703125" customWidth="1"/>
  </cols>
  <sheetData>
    <row r="1" spans="1:24" ht="41.25" customHeight="1" x14ac:dyDescent="0.25">
      <c r="A1" s="91" t="s">
        <v>67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3"/>
    </row>
    <row r="3" spans="1:24" ht="48" customHeight="1" x14ac:dyDescent="0.25">
      <c r="A3" s="141" t="s">
        <v>113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3"/>
    </row>
    <row r="5" spans="1:24" ht="15" customHeight="1" x14ac:dyDescent="0.25">
      <c r="A5" s="136" t="s">
        <v>114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</row>
    <row r="7" spans="1:24" ht="15" customHeight="1" x14ac:dyDescent="0.25">
      <c r="A7" s="144" t="s">
        <v>115</v>
      </c>
      <c r="B7" s="145"/>
      <c r="C7" s="145"/>
      <c r="D7" s="145"/>
      <c r="E7" s="145"/>
      <c r="F7" s="145"/>
      <c r="G7" s="145"/>
      <c r="H7" s="145"/>
      <c r="I7" s="145"/>
      <c r="J7" s="145"/>
      <c r="K7" s="146"/>
      <c r="L7" s="147"/>
      <c r="M7" s="147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9"/>
    </row>
    <row r="8" spans="1:24" x14ac:dyDescent="0.25">
      <c r="A8" s="150" t="s">
        <v>116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2"/>
    </row>
    <row r="9" spans="1:24" x14ac:dyDescent="0.25">
      <c r="A9" s="150" t="s">
        <v>0</v>
      </c>
      <c r="B9" s="153" t="s">
        <v>117</v>
      </c>
      <c r="C9" s="153"/>
      <c r="D9" s="153"/>
      <c r="E9" s="153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2"/>
    </row>
    <row r="10" spans="1:24" x14ac:dyDescent="0.25">
      <c r="A10" s="150" t="s">
        <v>1</v>
      </c>
      <c r="B10" s="153" t="s">
        <v>117</v>
      </c>
      <c r="C10" s="153"/>
      <c r="D10" s="153"/>
      <c r="E10" s="153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2"/>
    </row>
    <row r="11" spans="1:24" x14ac:dyDescent="0.25">
      <c r="A11" s="150" t="s">
        <v>2</v>
      </c>
      <c r="B11" s="154" t="s">
        <v>118</v>
      </c>
      <c r="C11" s="154"/>
      <c r="D11" s="154"/>
      <c r="E11" s="154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2"/>
    </row>
    <row r="12" spans="1:24" x14ac:dyDescent="0.25">
      <c r="A12" s="150" t="s">
        <v>61</v>
      </c>
      <c r="B12" s="154" t="s">
        <v>119</v>
      </c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2"/>
    </row>
    <row r="13" spans="1:24" x14ac:dyDescent="0.25">
      <c r="A13" s="150" t="s">
        <v>6</v>
      </c>
      <c r="B13" s="153" t="s">
        <v>117</v>
      </c>
      <c r="C13" s="153"/>
      <c r="D13" s="153"/>
      <c r="E13" s="153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2"/>
    </row>
    <row r="14" spans="1:24" x14ac:dyDescent="0.25">
      <c r="A14" s="150" t="s">
        <v>62</v>
      </c>
      <c r="B14" s="153" t="s">
        <v>120</v>
      </c>
      <c r="C14" s="153"/>
      <c r="D14" s="153"/>
      <c r="E14" s="153"/>
      <c r="F14" s="153"/>
      <c r="G14" s="153"/>
      <c r="H14" s="153"/>
      <c r="I14" s="153"/>
      <c r="J14" s="153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</row>
    <row r="15" spans="1:24" x14ac:dyDescent="0.25">
      <c r="A15" s="150" t="s">
        <v>63</v>
      </c>
      <c r="B15" s="153" t="s">
        <v>117</v>
      </c>
      <c r="C15" s="153"/>
      <c r="D15" s="153"/>
      <c r="E15" s="153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2"/>
    </row>
    <row r="16" spans="1:24" x14ac:dyDescent="0.25">
      <c r="A16" s="150" t="s">
        <v>96</v>
      </c>
      <c r="B16" s="154" t="s">
        <v>121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2"/>
    </row>
    <row r="17" spans="1:24" x14ac:dyDescent="0.25">
      <c r="A17" s="155" t="s">
        <v>109</v>
      </c>
      <c r="B17" s="156" t="s">
        <v>118</v>
      </c>
      <c r="C17" s="156"/>
      <c r="D17" s="156"/>
      <c r="E17" s="156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8"/>
    </row>
    <row r="20" spans="1:24" ht="15" customHeight="1" x14ac:dyDescent="0.25">
      <c r="A20" s="159" t="s">
        <v>122</v>
      </c>
      <c r="B20" s="160"/>
      <c r="C20" s="160"/>
      <c r="D20" s="160"/>
      <c r="E20" s="160"/>
      <c r="F20" s="160"/>
      <c r="G20" s="160"/>
      <c r="H20" s="160"/>
      <c r="I20" s="146"/>
      <c r="J20" s="148" t="s">
        <v>1253</v>
      </c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9"/>
    </row>
    <row r="21" spans="1:24" x14ac:dyDescent="0.25">
      <c r="A21" s="150" t="s">
        <v>1254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2"/>
    </row>
    <row r="22" spans="1:24" x14ac:dyDescent="0.25">
      <c r="A22" s="150" t="s">
        <v>1255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2"/>
    </row>
    <row r="23" spans="1:24" x14ac:dyDescent="0.25">
      <c r="A23" s="150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2"/>
    </row>
    <row r="24" spans="1:24" x14ac:dyDescent="0.25">
      <c r="A24" s="150" t="s">
        <v>1256</v>
      </c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2"/>
    </row>
    <row r="25" spans="1:24" x14ac:dyDescent="0.25">
      <c r="A25" s="150" t="s">
        <v>1257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2"/>
    </row>
    <row r="26" spans="1:24" x14ac:dyDescent="0.25">
      <c r="A26" s="150" t="s">
        <v>1258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2"/>
    </row>
    <row r="27" spans="1:24" x14ac:dyDescent="0.25">
      <c r="A27" s="155" t="s">
        <v>1259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8"/>
    </row>
    <row r="29" spans="1:24" x14ac:dyDescent="0.25">
      <c r="A29" s="161" t="s">
        <v>1260</v>
      </c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9"/>
    </row>
    <row r="30" spans="1:24" x14ac:dyDescent="0.25">
      <c r="A30" s="150" t="s">
        <v>1261</v>
      </c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2"/>
    </row>
    <row r="31" spans="1:24" x14ac:dyDescent="0.25">
      <c r="A31" s="150" t="s">
        <v>1262</v>
      </c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2"/>
    </row>
    <row r="32" spans="1:24" x14ac:dyDescent="0.25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2"/>
    </row>
    <row r="33" spans="1:24" x14ac:dyDescent="0.25">
      <c r="A33" s="150" t="s">
        <v>1263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2"/>
    </row>
    <row r="34" spans="1:24" x14ac:dyDescent="0.25">
      <c r="A34" s="150" t="s">
        <v>12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2"/>
    </row>
    <row r="35" spans="1:24" x14ac:dyDescent="0.25">
      <c r="A35" s="150" t="s">
        <v>19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2"/>
    </row>
    <row r="36" spans="1:24" x14ac:dyDescent="0.25">
      <c r="A36" s="150" t="s">
        <v>11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2"/>
    </row>
    <row r="37" spans="1:24" x14ac:dyDescent="0.25">
      <c r="A37" s="150" t="s">
        <v>13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2"/>
    </row>
    <row r="38" spans="1:24" x14ac:dyDescent="0.25">
      <c r="A38" s="150" t="s">
        <v>14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2"/>
    </row>
    <row r="39" spans="1:24" x14ac:dyDescent="0.25">
      <c r="A39" s="150" t="s">
        <v>15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2"/>
    </row>
    <row r="40" spans="1:24" x14ac:dyDescent="0.25">
      <c r="A40" s="150" t="s">
        <v>53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2"/>
    </row>
    <row r="41" spans="1:24" x14ac:dyDescent="0.25">
      <c r="A41" s="155" t="s">
        <v>16</v>
      </c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8"/>
    </row>
  </sheetData>
  <mergeCells count="14">
    <mergeCell ref="A20:H20"/>
    <mergeCell ref="B17:E17"/>
    <mergeCell ref="B15:E15"/>
    <mergeCell ref="B12:L12"/>
    <mergeCell ref="B16:L16"/>
    <mergeCell ref="B14:J14"/>
    <mergeCell ref="B9:E9"/>
    <mergeCell ref="B10:E10"/>
    <mergeCell ref="B11:E11"/>
    <mergeCell ref="B13:E13"/>
    <mergeCell ref="A1:X1"/>
    <mergeCell ref="A3:X3"/>
    <mergeCell ref="A5:X5"/>
    <mergeCell ref="A7:J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P604"/>
  <sheetViews>
    <sheetView showGridLines="0" zoomScale="90" zoomScaleNormal="90" workbookViewId="0">
      <selection activeCell="B14" sqref="B14"/>
    </sheetView>
  </sheetViews>
  <sheetFormatPr defaultColWidth="0" defaultRowHeight="16.5" x14ac:dyDescent="0.3"/>
  <cols>
    <col min="1" max="1" width="32.5703125" style="51" bestFit="1" customWidth="1"/>
    <col min="2" max="2" width="45.7109375" style="52" customWidth="1"/>
    <col min="3" max="22" width="1.7109375" style="51" customWidth="1"/>
    <col min="23" max="23" width="10.140625" style="53" customWidth="1"/>
    <col min="24" max="24" width="47.5703125" style="51" customWidth="1"/>
    <col min="25" max="25" width="13.5703125" style="51" customWidth="1"/>
    <col min="26" max="27" width="9.140625" style="51" customWidth="1"/>
    <col min="28" max="66" width="9.140625" style="51" hidden="1"/>
    <col min="67" max="68" width="18.7109375" style="51" hidden="1"/>
    <col min="69" max="16384" width="9.140625" style="51" hidden="1"/>
  </cols>
  <sheetData>
    <row r="1" spans="1:67" ht="41.25" customHeight="1" x14ac:dyDescent="0.3">
      <c r="A1" s="91" t="s">
        <v>67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3"/>
    </row>
    <row r="2" spans="1:67" x14ac:dyDescent="0.3">
      <c r="X2" s="54" t="s">
        <v>106</v>
      </c>
    </row>
    <row r="3" spans="1:67" x14ac:dyDescent="0.3">
      <c r="Y3" s="51">
        <f>YEAR(Y5)</f>
        <v>2017</v>
      </c>
      <c r="BN3" s="51">
        <v>-1</v>
      </c>
      <c r="BO3" s="51" t="s">
        <v>68</v>
      </c>
    </row>
    <row r="4" spans="1:67" ht="18.75" x14ac:dyDescent="0.3">
      <c r="A4" s="55" t="s">
        <v>0</v>
      </c>
      <c r="B4" s="56">
        <v>101</v>
      </c>
      <c r="D4" s="94" t="s">
        <v>69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6"/>
      <c r="W4" s="75" t="s">
        <v>70</v>
      </c>
      <c r="X4" s="76" t="s">
        <v>71</v>
      </c>
      <c r="Y4" s="57" t="s">
        <v>112</v>
      </c>
      <c r="BN4" s="51">
        <f>BN3-1</f>
        <v>-2</v>
      </c>
      <c r="BO4" s="51" t="s">
        <v>68</v>
      </c>
    </row>
    <row r="5" spans="1:67" ht="18.75" x14ac:dyDescent="0.3">
      <c r="A5" s="55" t="s">
        <v>72</v>
      </c>
      <c r="B5" s="56">
        <v>615</v>
      </c>
      <c r="D5" s="97" t="str">
        <f>IFERROR(IF(B17="SIM","Período de Experiência",B21),"")</f>
        <v>Não pode ser desligado</v>
      </c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9"/>
      <c r="W5" s="77">
        <v>1</v>
      </c>
      <c r="X5" s="78" t="s">
        <v>73</v>
      </c>
      <c r="Y5" s="133">
        <v>42979</v>
      </c>
      <c r="BN5" s="51">
        <f t="shared" ref="BN5:BN70" si="0">BN4-1</f>
        <v>-3</v>
      </c>
      <c r="BO5" s="51" t="s">
        <v>68</v>
      </c>
    </row>
    <row r="6" spans="1:67" x14ac:dyDescent="0.3">
      <c r="A6" s="55" t="s">
        <v>4</v>
      </c>
      <c r="B6" s="58">
        <f>IFERROR(VLOOKUP(B4&amp;B5,Dados!1:1048576,15,0),"")</f>
        <v>0</v>
      </c>
      <c r="D6" s="100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2"/>
      <c r="W6" s="79">
        <v>2</v>
      </c>
      <c r="X6" s="80" t="s">
        <v>74</v>
      </c>
      <c r="Y6" s="134">
        <v>42979</v>
      </c>
      <c r="BN6" s="51">
        <f t="shared" si="0"/>
        <v>-4</v>
      </c>
      <c r="BO6" s="51" t="s">
        <v>68</v>
      </c>
    </row>
    <row r="7" spans="1:67" x14ac:dyDescent="0.3">
      <c r="A7" s="55" t="s">
        <v>96</v>
      </c>
      <c r="B7" s="58" t="str">
        <f>IFERROR(VLOOKUP(B4&amp;B5,Dados!$1:$1048576,9,0),"")</f>
        <v>TECNICO ANALISES CLINICAS I</v>
      </c>
      <c r="D7" s="100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2"/>
      <c r="W7" s="79">
        <v>3</v>
      </c>
      <c r="X7" s="80" t="s">
        <v>98</v>
      </c>
      <c r="Y7" s="134">
        <v>42867</v>
      </c>
      <c r="BN7" s="51">
        <f t="shared" si="0"/>
        <v>-5</v>
      </c>
      <c r="BO7" s="51" t="s">
        <v>68</v>
      </c>
    </row>
    <row r="8" spans="1:67" x14ac:dyDescent="0.3">
      <c r="A8" s="55" t="s">
        <v>110</v>
      </c>
      <c r="B8" s="58" t="str">
        <f>IFERROR(VLOOKUP(B4&amp;B5,Dados!$1:$1048576,10,0),"")</f>
        <v>Hematologia</v>
      </c>
      <c r="D8" s="100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2"/>
      <c r="W8" s="79">
        <v>4</v>
      </c>
      <c r="X8" s="80" t="s">
        <v>75</v>
      </c>
      <c r="Y8" s="134">
        <v>42736</v>
      </c>
      <c r="BN8" s="51">
        <f t="shared" si="0"/>
        <v>-6</v>
      </c>
      <c r="BO8" s="51" t="s">
        <v>68</v>
      </c>
    </row>
    <row r="9" spans="1:67" ht="18.75" x14ac:dyDescent="0.3">
      <c r="A9" s="55" t="s">
        <v>22</v>
      </c>
      <c r="B9" s="69">
        <v>42917</v>
      </c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2"/>
      <c r="W9" s="79">
        <v>5</v>
      </c>
      <c r="X9" s="80" t="s">
        <v>76</v>
      </c>
      <c r="Y9" s="134">
        <v>43009</v>
      </c>
      <c r="BN9" s="51">
        <f t="shared" si="0"/>
        <v>-7</v>
      </c>
      <c r="BO9" s="51" t="s">
        <v>68</v>
      </c>
    </row>
    <row r="10" spans="1:67" x14ac:dyDescent="0.3">
      <c r="A10" s="55" t="s">
        <v>18</v>
      </c>
      <c r="B10" s="59" t="str">
        <f>IFERROR(VLOOKUP($B$4&amp;$B$5,Cálculo!$A:$AH,5,0),"")</f>
        <v>ADAILZA FERREIRA DOS ANJOS</v>
      </c>
      <c r="C10" s="60"/>
      <c r="D10" s="103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5"/>
      <c r="W10" s="79">
        <v>6</v>
      </c>
      <c r="X10" s="80" t="s">
        <v>77</v>
      </c>
      <c r="Y10" s="134">
        <v>42795</v>
      </c>
      <c r="BN10" s="51">
        <f t="shared" si="0"/>
        <v>-8</v>
      </c>
      <c r="BO10" s="51" t="s">
        <v>68</v>
      </c>
    </row>
    <row r="11" spans="1:67" x14ac:dyDescent="0.3">
      <c r="A11" s="61" t="s">
        <v>78</v>
      </c>
      <c r="B11" s="59">
        <f>IFERROR(VLOOKUP($B$4&amp;$B$5,Cálculo!$A:$AH,34,0),"")</f>
        <v>1</v>
      </c>
      <c r="W11" s="79">
        <v>7</v>
      </c>
      <c r="X11" s="80" t="s">
        <v>79</v>
      </c>
      <c r="Y11" s="134">
        <v>42979</v>
      </c>
      <c r="BN11" s="51">
        <f t="shared" si="0"/>
        <v>-9</v>
      </c>
      <c r="BO11" s="51" t="s">
        <v>68</v>
      </c>
    </row>
    <row r="12" spans="1:67" ht="16.5" customHeight="1" x14ac:dyDescent="0.3">
      <c r="A12" s="55" t="s">
        <v>55</v>
      </c>
      <c r="B12" s="62">
        <f>IFERROR(VLOOKUP(B11,W4:$Y$23,3,0),"")</f>
        <v>42979</v>
      </c>
      <c r="D12" s="94" t="s">
        <v>80</v>
      </c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6"/>
      <c r="W12" s="79">
        <v>8</v>
      </c>
      <c r="X12" s="80" t="s">
        <v>81</v>
      </c>
      <c r="Y12" s="134">
        <v>42979</v>
      </c>
      <c r="BN12" s="51">
        <f t="shared" si="0"/>
        <v>-10</v>
      </c>
      <c r="BO12" s="51" t="s">
        <v>68</v>
      </c>
    </row>
    <row r="13" spans="1:67" x14ac:dyDescent="0.3">
      <c r="A13" s="55" t="s">
        <v>82</v>
      </c>
      <c r="B13" s="62">
        <f>IFERROR(VLOOKUP($B$4&amp;$B$5,Cálculo!$A:$BI,7,0),"")</f>
        <v>40665</v>
      </c>
      <c r="D13" s="84">
        <f>IFERROR(IF(D5="Não pode ser desligado",B20,""),"")</f>
        <v>42932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6"/>
      <c r="W13" s="79">
        <v>9</v>
      </c>
      <c r="X13" s="80" t="s">
        <v>83</v>
      </c>
      <c r="Y13" s="134">
        <v>42979</v>
      </c>
      <c r="BN13" s="51">
        <f t="shared" si="0"/>
        <v>-11</v>
      </c>
      <c r="BO13" s="51" t="s">
        <v>68</v>
      </c>
    </row>
    <row r="14" spans="1:67" ht="16.5" customHeight="1" x14ac:dyDescent="0.3">
      <c r="A14" s="55" t="s">
        <v>84</v>
      </c>
      <c r="B14" s="67">
        <f>IFERROR(VLOOKUP($B$4&amp;$B$5,Cálculo!$A:$BI,36,0),"")</f>
        <v>48</v>
      </c>
      <c r="D14" s="87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9"/>
      <c r="W14" s="79">
        <v>10</v>
      </c>
      <c r="X14" s="80" t="s">
        <v>85</v>
      </c>
      <c r="Y14" s="134">
        <v>42979</v>
      </c>
      <c r="BN14" s="51">
        <f t="shared" si="0"/>
        <v>-12</v>
      </c>
      <c r="BO14" s="51" t="s">
        <v>68</v>
      </c>
    </row>
    <row r="15" spans="1:67" ht="16.5" customHeight="1" x14ac:dyDescent="0.3">
      <c r="A15" s="55" t="s">
        <v>86</v>
      </c>
      <c r="B15" s="62">
        <f>IFERROR(VLOOKUP($B$4&amp;$B$5,Cálculo!$A:$BI,37,0),"")</f>
        <v>42965</v>
      </c>
      <c r="D15" s="87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9"/>
      <c r="W15" s="79">
        <v>11</v>
      </c>
      <c r="X15" s="80" t="s">
        <v>99</v>
      </c>
      <c r="Y15" s="134">
        <v>42979</v>
      </c>
      <c r="BN15" s="51">
        <f t="shared" si="0"/>
        <v>-13</v>
      </c>
      <c r="BO15" s="51" t="s">
        <v>68</v>
      </c>
    </row>
    <row r="16" spans="1:67" ht="16.5" customHeight="1" x14ac:dyDescent="0.3">
      <c r="A16" s="68"/>
      <c r="B16" s="70">
        <f>INT((B9-B13))+1</f>
        <v>2253</v>
      </c>
      <c r="D16" s="106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8"/>
      <c r="W16" s="79">
        <v>12</v>
      </c>
      <c r="X16" s="80" t="s">
        <v>87</v>
      </c>
      <c r="Y16" s="134">
        <v>42979</v>
      </c>
      <c r="BN16" s="51">
        <f t="shared" si="0"/>
        <v>-14</v>
      </c>
      <c r="BO16" s="51" t="s">
        <v>68</v>
      </c>
    </row>
    <row r="17" spans="1:67" ht="16.5" customHeight="1" x14ac:dyDescent="0.3">
      <c r="A17" s="68" t="s">
        <v>88</v>
      </c>
      <c r="B17" s="70" t="str">
        <f>IF(B16&lt;=90,"SIM","NÃO")</f>
        <v>NÃO</v>
      </c>
      <c r="W17" s="79">
        <v>13</v>
      </c>
      <c r="X17" s="80" t="s">
        <v>89</v>
      </c>
      <c r="Y17" s="134">
        <v>42979</v>
      </c>
      <c r="BN17" s="51">
        <f t="shared" si="0"/>
        <v>-15</v>
      </c>
      <c r="BO17" s="51" t="s">
        <v>68</v>
      </c>
    </row>
    <row r="18" spans="1:67" x14ac:dyDescent="0.3">
      <c r="A18" s="68"/>
      <c r="B18" s="70">
        <f>INT(B9-B13)/365.25</f>
        <v>6.1656399726214923</v>
      </c>
      <c r="D18" s="94" t="s">
        <v>90</v>
      </c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6"/>
      <c r="W18" s="79">
        <v>14</v>
      </c>
      <c r="X18" s="80" t="s">
        <v>100</v>
      </c>
      <c r="Y18" s="134">
        <v>42979</v>
      </c>
      <c r="BN18" s="51">
        <f t="shared" si="0"/>
        <v>-16</v>
      </c>
      <c r="BO18" s="51" t="s">
        <v>68</v>
      </c>
    </row>
    <row r="19" spans="1:67" ht="16.5" customHeight="1" x14ac:dyDescent="0.3">
      <c r="A19" s="68" t="s">
        <v>91</v>
      </c>
      <c r="B19" s="70">
        <f>IF(ISERROR((B12-B15)),"",(B12-B15))</f>
        <v>14</v>
      </c>
      <c r="D19" s="84" t="str">
        <f>IFERROR(IF(D5="Período de Experiência",SUM(B13+90-1),""),"")</f>
        <v/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6"/>
      <c r="W19" s="79">
        <v>15</v>
      </c>
      <c r="X19" s="80" t="s">
        <v>101</v>
      </c>
      <c r="Y19" s="134">
        <v>42979</v>
      </c>
      <c r="BN19" s="51">
        <f t="shared" si="0"/>
        <v>-17</v>
      </c>
      <c r="BO19" s="51" t="s">
        <v>68</v>
      </c>
    </row>
    <row r="20" spans="1:67" ht="16.5" customHeight="1" x14ac:dyDescent="0.3">
      <c r="A20" s="68" t="s">
        <v>92</v>
      </c>
      <c r="B20" s="70">
        <f>IF(ISERROR((B12-B14)+1),"",(B12-B14)+1)</f>
        <v>42932</v>
      </c>
      <c r="D20" s="87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9"/>
      <c r="W20" s="79">
        <v>16</v>
      </c>
      <c r="X20" s="80" t="s">
        <v>102</v>
      </c>
      <c r="Y20" s="134">
        <v>42866</v>
      </c>
      <c r="BN20" s="51">
        <f t="shared" si="0"/>
        <v>-18</v>
      </c>
      <c r="BO20" s="51" t="s">
        <v>68</v>
      </c>
    </row>
    <row r="21" spans="1:67" ht="16.5" customHeight="1" x14ac:dyDescent="0.3">
      <c r="A21" s="71" t="s">
        <v>93</v>
      </c>
      <c r="B21" s="72" t="str">
        <f>IF(ISERROR(VLOOKUP(B19,BN:BO,2,0)),"",VLOOKUP(B19,BN:BO,2,0))</f>
        <v>Não pode ser desligado</v>
      </c>
      <c r="D21" s="87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9"/>
      <c r="W21" s="79">
        <v>17</v>
      </c>
      <c r="X21" s="80" t="s">
        <v>103</v>
      </c>
      <c r="Y21" s="134">
        <v>43040</v>
      </c>
      <c r="BN21" s="51">
        <f t="shared" si="0"/>
        <v>-19</v>
      </c>
      <c r="BO21" s="51" t="s">
        <v>68</v>
      </c>
    </row>
    <row r="22" spans="1:67" ht="16.5" customHeight="1" x14ac:dyDescent="0.3">
      <c r="A22" s="109" t="str">
        <f>IF(Y3&lt;&gt;YEAR(B9),"Planilha não pode ser utilizada","")</f>
        <v/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1"/>
      <c r="W22" s="79">
        <v>18</v>
      </c>
      <c r="X22" s="80" t="s">
        <v>104</v>
      </c>
      <c r="Y22" s="134">
        <v>42979</v>
      </c>
    </row>
    <row r="23" spans="1:67" ht="16.5" customHeight="1" x14ac:dyDescent="0.3">
      <c r="A23" s="112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4"/>
      <c r="W23" s="81">
        <v>19</v>
      </c>
      <c r="X23" s="82" t="s">
        <v>105</v>
      </c>
      <c r="Y23" s="135">
        <v>42979</v>
      </c>
    </row>
    <row r="24" spans="1:67" ht="16.5" customHeight="1" x14ac:dyDescent="0.3">
      <c r="A24" s="63"/>
      <c r="B24" s="64"/>
      <c r="BN24" s="51">
        <f>BN21-1</f>
        <v>-20</v>
      </c>
      <c r="BO24" s="51" t="s">
        <v>68</v>
      </c>
    </row>
    <row r="25" spans="1:67" ht="30.75" customHeight="1" x14ac:dyDescent="0.3">
      <c r="A25" s="90" t="s">
        <v>94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BN25" s="51">
        <f t="shared" si="0"/>
        <v>-21</v>
      </c>
      <c r="BO25" s="51" t="s">
        <v>68</v>
      </c>
    </row>
    <row r="26" spans="1:67" ht="16.5" customHeight="1" x14ac:dyDescent="0.3"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BN26" s="51">
        <f t="shared" si="0"/>
        <v>-22</v>
      </c>
      <c r="BO26" s="51" t="s">
        <v>68</v>
      </c>
    </row>
    <row r="27" spans="1:67" ht="16.5" customHeight="1" x14ac:dyDescent="0.3">
      <c r="D27" s="52"/>
      <c r="BN27" s="51">
        <f t="shared" si="0"/>
        <v>-23</v>
      </c>
      <c r="BO27" s="51" t="s">
        <v>68</v>
      </c>
    </row>
    <row r="28" spans="1:67" ht="30" customHeight="1" x14ac:dyDescent="0.3">
      <c r="BN28" s="51">
        <f t="shared" si="0"/>
        <v>-24</v>
      </c>
      <c r="BO28" s="51" t="s">
        <v>68</v>
      </c>
    </row>
    <row r="29" spans="1:67" x14ac:dyDescent="0.3">
      <c r="BN29" s="51">
        <f t="shared" si="0"/>
        <v>-25</v>
      </c>
      <c r="BO29" s="51" t="s">
        <v>68</v>
      </c>
    </row>
    <row r="30" spans="1:67" x14ac:dyDescent="0.3">
      <c r="BN30" s="51">
        <f t="shared" si="0"/>
        <v>-26</v>
      </c>
      <c r="BO30" s="51" t="s">
        <v>68</v>
      </c>
    </row>
    <row r="31" spans="1:67" x14ac:dyDescent="0.3">
      <c r="BN31" s="51">
        <f t="shared" si="0"/>
        <v>-27</v>
      </c>
      <c r="BO31" s="51" t="s">
        <v>68</v>
      </c>
    </row>
    <row r="32" spans="1:67" x14ac:dyDescent="0.3">
      <c r="BN32" s="51">
        <f t="shared" si="0"/>
        <v>-28</v>
      </c>
      <c r="BO32" s="51" t="s">
        <v>68</v>
      </c>
    </row>
    <row r="33" spans="66:67" x14ac:dyDescent="0.3">
      <c r="BN33" s="51">
        <f t="shared" si="0"/>
        <v>-29</v>
      </c>
      <c r="BO33" s="51" t="s">
        <v>68</v>
      </c>
    </row>
    <row r="34" spans="66:67" x14ac:dyDescent="0.3">
      <c r="BN34" s="51">
        <f t="shared" si="0"/>
        <v>-30</v>
      </c>
      <c r="BO34" s="51" t="s">
        <v>68</v>
      </c>
    </row>
    <row r="35" spans="66:67" x14ac:dyDescent="0.3">
      <c r="BN35" s="51">
        <f t="shared" si="0"/>
        <v>-31</v>
      </c>
      <c r="BO35" s="51" t="s">
        <v>68</v>
      </c>
    </row>
    <row r="36" spans="66:67" x14ac:dyDescent="0.3">
      <c r="BN36" s="51">
        <f t="shared" si="0"/>
        <v>-32</v>
      </c>
      <c r="BO36" s="51" t="s">
        <v>68</v>
      </c>
    </row>
    <row r="37" spans="66:67" x14ac:dyDescent="0.3">
      <c r="BN37" s="51">
        <f t="shared" si="0"/>
        <v>-33</v>
      </c>
      <c r="BO37" s="51" t="s">
        <v>68</v>
      </c>
    </row>
    <row r="38" spans="66:67" x14ac:dyDescent="0.3">
      <c r="BN38" s="51">
        <f t="shared" si="0"/>
        <v>-34</v>
      </c>
      <c r="BO38" s="51" t="s">
        <v>68</v>
      </c>
    </row>
    <row r="39" spans="66:67" x14ac:dyDescent="0.3">
      <c r="BN39" s="51">
        <f t="shared" si="0"/>
        <v>-35</v>
      </c>
      <c r="BO39" s="51" t="s">
        <v>68</v>
      </c>
    </row>
    <row r="40" spans="66:67" x14ac:dyDescent="0.3">
      <c r="BN40" s="51">
        <f t="shared" si="0"/>
        <v>-36</v>
      </c>
      <c r="BO40" s="51" t="s">
        <v>68</v>
      </c>
    </row>
    <row r="41" spans="66:67" x14ac:dyDescent="0.3">
      <c r="BN41" s="51">
        <f t="shared" si="0"/>
        <v>-37</v>
      </c>
      <c r="BO41" s="51" t="s">
        <v>68</v>
      </c>
    </row>
    <row r="42" spans="66:67" x14ac:dyDescent="0.3">
      <c r="BN42" s="51">
        <f t="shared" si="0"/>
        <v>-38</v>
      </c>
      <c r="BO42" s="51" t="s">
        <v>68</v>
      </c>
    </row>
    <row r="43" spans="66:67" x14ac:dyDescent="0.3">
      <c r="BN43" s="51">
        <f t="shared" si="0"/>
        <v>-39</v>
      </c>
      <c r="BO43" s="51" t="s">
        <v>68</v>
      </c>
    </row>
    <row r="44" spans="66:67" x14ac:dyDescent="0.3">
      <c r="BN44" s="51">
        <f t="shared" si="0"/>
        <v>-40</v>
      </c>
      <c r="BO44" s="51" t="s">
        <v>68</v>
      </c>
    </row>
    <row r="45" spans="66:67" x14ac:dyDescent="0.3">
      <c r="BN45" s="51">
        <f t="shared" si="0"/>
        <v>-41</v>
      </c>
      <c r="BO45" s="51" t="s">
        <v>68</v>
      </c>
    </row>
    <row r="46" spans="66:67" x14ac:dyDescent="0.3">
      <c r="BN46" s="51">
        <f t="shared" si="0"/>
        <v>-42</v>
      </c>
      <c r="BO46" s="51" t="s">
        <v>68</v>
      </c>
    </row>
    <row r="47" spans="66:67" x14ac:dyDescent="0.3">
      <c r="BN47" s="51">
        <f t="shared" si="0"/>
        <v>-43</v>
      </c>
      <c r="BO47" s="51" t="s">
        <v>68</v>
      </c>
    </row>
    <row r="48" spans="66:67" x14ac:dyDescent="0.3">
      <c r="BN48" s="51">
        <f t="shared" si="0"/>
        <v>-44</v>
      </c>
      <c r="BO48" s="51" t="s">
        <v>68</v>
      </c>
    </row>
    <row r="49" spans="66:67" x14ac:dyDescent="0.3">
      <c r="BN49" s="51">
        <f t="shared" si="0"/>
        <v>-45</v>
      </c>
      <c r="BO49" s="51" t="s">
        <v>68</v>
      </c>
    </row>
    <row r="50" spans="66:67" x14ac:dyDescent="0.3">
      <c r="BN50" s="51">
        <f t="shared" si="0"/>
        <v>-46</v>
      </c>
      <c r="BO50" s="51" t="s">
        <v>68</v>
      </c>
    </row>
    <row r="51" spans="66:67" x14ac:dyDescent="0.3">
      <c r="BN51" s="51">
        <f t="shared" si="0"/>
        <v>-47</v>
      </c>
      <c r="BO51" s="51" t="s">
        <v>68</v>
      </c>
    </row>
    <row r="52" spans="66:67" x14ac:dyDescent="0.3">
      <c r="BN52" s="51">
        <f t="shared" si="0"/>
        <v>-48</v>
      </c>
      <c r="BO52" s="51" t="s">
        <v>68</v>
      </c>
    </row>
    <row r="53" spans="66:67" x14ac:dyDescent="0.3">
      <c r="BN53" s="51">
        <f t="shared" si="0"/>
        <v>-49</v>
      </c>
      <c r="BO53" s="51" t="s">
        <v>68</v>
      </c>
    </row>
    <row r="54" spans="66:67" x14ac:dyDescent="0.3">
      <c r="BN54" s="51">
        <f t="shared" si="0"/>
        <v>-50</v>
      </c>
      <c r="BO54" s="51" t="s">
        <v>68</v>
      </c>
    </row>
    <row r="55" spans="66:67" x14ac:dyDescent="0.3">
      <c r="BN55" s="51">
        <f t="shared" si="0"/>
        <v>-51</v>
      </c>
      <c r="BO55" s="51" t="s">
        <v>68</v>
      </c>
    </row>
    <row r="56" spans="66:67" x14ac:dyDescent="0.3">
      <c r="BN56" s="51">
        <f t="shared" si="0"/>
        <v>-52</v>
      </c>
      <c r="BO56" s="51" t="s">
        <v>68</v>
      </c>
    </row>
    <row r="57" spans="66:67" x14ac:dyDescent="0.3">
      <c r="BN57" s="51">
        <f t="shared" si="0"/>
        <v>-53</v>
      </c>
      <c r="BO57" s="51" t="s">
        <v>68</v>
      </c>
    </row>
    <row r="58" spans="66:67" x14ac:dyDescent="0.3">
      <c r="BN58" s="51">
        <f t="shared" si="0"/>
        <v>-54</v>
      </c>
      <c r="BO58" s="51" t="s">
        <v>68</v>
      </c>
    </row>
    <row r="59" spans="66:67" x14ac:dyDescent="0.3">
      <c r="BN59" s="51">
        <f t="shared" si="0"/>
        <v>-55</v>
      </c>
      <c r="BO59" s="51" t="s">
        <v>68</v>
      </c>
    </row>
    <row r="60" spans="66:67" x14ac:dyDescent="0.3">
      <c r="BN60" s="51">
        <f t="shared" si="0"/>
        <v>-56</v>
      </c>
      <c r="BO60" s="51" t="s">
        <v>68</v>
      </c>
    </row>
    <row r="61" spans="66:67" x14ac:dyDescent="0.3">
      <c r="BN61" s="51">
        <f t="shared" si="0"/>
        <v>-57</v>
      </c>
      <c r="BO61" s="51" t="s">
        <v>68</v>
      </c>
    </row>
    <row r="62" spans="66:67" x14ac:dyDescent="0.3">
      <c r="BN62" s="51">
        <f t="shared" si="0"/>
        <v>-58</v>
      </c>
      <c r="BO62" s="51" t="s">
        <v>68</v>
      </c>
    </row>
    <row r="63" spans="66:67" x14ac:dyDescent="0.3">
      <c r="BN63" s="51">
        <f t="shared" si="0"/>
        <v>-59</v>
      </c>
      <c r="BO63" s="51" t="s">
        <v>68</v>
      </c>
    </row>
    <row r="64" spans="66:67" x14ac:dyDescent="0.3">
      <c r="BN64" s="51">
        <f t="shared" si="0"/>
        <v>-60</v>
      </c>
      <c r="BO64" s="51" t="s">
        <v>68</v>
      </c>
    </row>
    <row r="65" spans="66:67" x14ac:dyDescent="0.3">
      <c r="BN65" s="51">
        <f t="shared" si="0"/>
        <v>-61</v>
      </c>
      <c r="BO65" s="51" t="s">
        <v>68</v>
      </c>
    </row>
    <row r="66" spans="66:67" x14ac:dyDescent="0.3">
      <c r="BN66" s="51">
        <f t="shared" si="0"/>
        <v>-62</v>
      </c>
      <c r="BO66" s="51" t="s">
        <v>68</v>
      </c>
    </row>
    <row r="67" spans="66:67" x14ac:dyDescent="0.3">
      <c r="BN67" s="51">
        <f t="shared" si="0"/>
        <v>-63</v>
      </c>
      <c r="BO67" s="51" t="s">
        <v>68</v>
      </c>
    </row>
    <row r="68" spans="66:67" x14ac:dyDescent="0.3">
      <c r="BN68" s="51">
        <f t="shared" si="0"/>
        <v>-64</v>
      </c>
      <c r="BO68" s="51" t="s">
        <v>68</v>
      </c>
    </row>
    <row r="69" spans="66:67" x14ac:dyDescent="0.3">
      <c r="BN69" s="51">
        <f t="shared" si="0"/>
        <v>-65</v>
      </c>
      <c r="BO69" s="51" t="s">
        <v>68</v>
      </c>
    </row>
    <row r="70" spans="66:67" x14ac:dyDescent="0.3">
      <c r="BN70" s="51">
        <f t="shared" si="0"/>
        <v>-66</v>
      </c>
      <c r="BO70" s="51" t="s">
        <v>68</v>
      </c>
    </row>
    <row r="71" spans="66:67" x14ac:dyDescent="0.3">
      <c r="BN71" s="51">
        <f t="shared" ref="BN71:BN134" si="1">BN70-1</f>
        <v>-67</v>
      </c>
      <c r="BO71" s="51" t="s">
        <v>68</v>
      </c>
    </row>
    <row r="72" spans="66:67" x14ac:dyDescent="0.3">
      <c r="BN72" s="51">
        <f t="shared" si="1"/>
        <v>-68</v>
      </c>
      <c r="BO72" s="51" t="s">
        <v>68</v>
      </c>
    </row>
    <row r="73" spans="66:67" x14ac:dyDescent="0.3">
      <c r="BN73" s="51">
        <f t="shared" si="1"/>
        <v>-69</v>
      </c>
      <c r="BO73" s="51" t="s">
        <v>68</v>
      </c>
    </row>
    <row r="74" spans="66:67" x14ac:dyDescent="0.3">
      <c r="BN74" s="51">
        <f t="shared" si="1"/>
        <v>-70</v>
      </c>
      <c r="BO74" s="51" t="s">
        <v>68</v>
      </c>
    </row>
    <row r="75" spans="66:67" x14ac:dyDescent="0.3">
      <c r="BN75" s="51">
        <f t="shared" si="1"/>
        <v>-71</v>
      </c>
      <c r="BO75" s="51" t="s">
        <v>68</v>
      </c>
    </row>
    <row r="76" spans="66:67" x14ac:dyDescent="0.3">
      <c r="BN76" s="51">
        <f t="shared" si="1"/>
        <v>-72</v>
      </c>
      <c r="BO76" s="51" t="s">
        <v>68</v>
      </c>
    </row>
    <row r="77" spans="66:67" x14ac:dyDescent="0.3">
      <c r="BN77" s="51">
        <f t="shared" si="1"/>
        <v>-73</v>
      </c>
      <c r="BO77" s="51" t="s">
        <v>68</v>
      </c>
    </row>
    <row r="78" spans="66:67" x14ac:dyDescent="0.3">
      <c r="BN78" s="51">
        <f t="shared" si="1"/>
        <v>-74</v>
      </c>
      <c r="BO78" s="51" t="s">
        <v>68</v>
      </c>
    </row>
    <row r="79" spans="66:67" x14ac:dyDescent="0.3">
      <c r="BN79" s="51">
        <f t="shared" si="1"/>
        <v>-75</v>
      </c>
      <c r="BO79" s="51" t="s">
        <v>68</v>
      </c>
    </row>
    <row r="80" spans="66:67" x14ac:dyDescent="0.3">
      <c r="BN80" s="51">
        <f t="shared" si="1"/>
        <v>-76</v>
      </c>
      <c r="BO80" s="51" t="s">
        <v>68</v>
      </c>
    </row>
    <row r="81" spans="66:67" x14ac:dyDescent="0.3">
      <c r="BN81" s="51">
        <f t="shared" si="1"/>
        <v>-77</v>
      </c>
      <c r="BO81" s="51" t="s">
        <v>68</v>
      </c>
    </row>
    <row r="82" spans="66:67" x14ac:dyDescent="0.3">
      <c r="BN82" s="51">
        <f t="shared" si="1"/>
        <v>-78</v>
      </c>
      <c r="BO82" s="51" t="s">
        <v>68</v>
      </c>
    </row>
    <row r="83" spans="66:67" x14ac:dyDescent="0.3">
      <c r="BN83" s="51">
        <f t="shared" si="1"/>
        <v>-79</v>
      </c>
      <c r="BO83" s="51" t="s">
        <v>68</v>
      </c>
    </row>
    <row r="84" spans="66:67" x14ac:dyDescent="0.3">
      <c r="BN84" s="51">
        <f t="shared" si="1"/>
        <v>-80</v>
      </c>
      <c r="BO84" s="51" t="s">
        <v>68</v>
      </c>
    </row>
    <row r="85" spans="66:67" x14ac:dyDescent="0.3">
      <c r="BN85" s="51">
        <f t="shared" si="1"/>
        <v>-81</v>
      </c>
      <c r="BO85" s="51" t="s">
        <v>68</v>
      </c>
    </row>
    <row r="86" spans="66:67" x14ac:dyDescent="0.3">
      <c r="BN86" s="51">
        <f t="shared" si="1"/>
        <v>-82</v>
      </c>
      <c r="BO86" s="51" t="s">
        <v>68</v>
      </c>
    </row>
    <row r="87" spans="66:67" x14ac:dyDescent="0.3">
      <c r="BN87" s="51">
        <f t="shared" si="1"/>
        <v>-83</v>
      </c>
      <c r="BO87" s="51" t="s">
        <v>68</v>
      </c>
    </row>
    <row r="88" spans="66:67" x14ac:dyDescent="0.3">
      <c r="BN88" s="51">
        <f t="shared" si="1"/>
        <v>-84</v>
      </c>
      <c r="BO88" s="51" t="s">
        <v>68</v>
      </c>
    </row>
    <row r="89" spans="66:67" x14ac:dyDescent="0.3">
      <c r="BN89" s="51">
        <f t="shared" si="1"/>
        <v>-85</v>
      </c>
      <c r="BO89" s="51" t="s">
        <v>68</v>
      </c>
    </row>
    <row r="90" spans="66:67" x14ac:dyDescent="0.3">
      <c r="BN90" s="51">
        <f t="shared" si="1"/>
        <v>-86</v>
      </c>
      <c r="BO90" s="51" t="s">
        <v>68</v>
      </c>
    </row>
    <row r="91" spans="66:67" x14ac:dyDescent="0.3">
      <c r="BN91" s="51">
        <f t="shared" si="1"/>
        <v>-87</v>
      </c>
      <c r="BO91" s="51" t="s">
        <v>68</v>
      </c>
    </row>
    <row r="92" spans="66:67" x14ac:dyDescent="0.3">
      <c r="BN92" s="51">
        <f t="shared" si="1"/>
        <v>-88</v>
      </c>
      <c r="BO92" s="51" t="s">
        <v>68</v>
      </c>
    </row>
    <row r="93" spans="66:67" x14ac:dyDescent="0.3">
      <c r="BN93" s="51">
        <f t="shared" si="1"/>
        <v>-89</v>
      </c>
      <c r="BO93" s="51" t="s">
        <v>68</v>
      </c>
    </row>
    <row r="94" spans="66:67" x14ac:dyDescent="0.3">
      <c r="BN94" s="51">
        <f t="shared" si="1"/>
        <v>-90</v>
      </c>
      <c r="BO94" s="51" t="s">
        <v>68</v>
      </c>
    </row>
    <row r="95" spans="66:67" x14ac:dyDescent="0.3">
      <c r="BN95" s="51">
        <f t="shared" si="1"/>
        <v>-91</v>
      </c>
      <c r="BO95" s="51" t="s">
        <v>68</v>
      </c>
    </row>
    <row r="96" spans="66:67" x14ac:dyDescent="0.3">
      <c r="BN96" s="51">
        <f t="shared" si="1"/>
        <v>-92</v>
      </c>
      <c r="BO96" s="51" t="s">
        <v>68</v>
      </c>
    </row>
    <row r="97" spans="66:67" x14ac:dyDescent="0.3">
      <c r="BN97" s="51">
        <f t="shared" si="1"/>
        <v>-93</v>
      </c>
      <c r="BO97" s="51" t="s">
        <v>68</v>
      </c>
    </row>
    <row r="98" spans="66:67" x14ac:dyDescent="0.3">
      <c r="BN98" s="51">
        <f t="shared" si="1"/>
        <v>-94</v>
      </c>
      <c r="BO98" s="51" t="s">
        <v>68</v>
      </c>
    </row>
    <row r="99" spans="66:67" x14ac:dyDescent="0.3">
      <c r="BN99" s="51">
        <f t="shared" si="1"/>
        <v>-95</v>
      </c>
      <c r="BO99" s="51" t="s">
        <v>68</v>
      </c>
    </row>
    <row r="100" spans="66:67" x14ac:dyDescent="0.3">
      <c r="BN100" s="51">
        <f t="shared" si="1"/>
        <v>-96</v>
      </c>
      <c r="BO100" s="51" t="s">
        <v>68</v>
      </c>
    </row>
    <row r="101" spans="66:67" x14ac:dyDescent="0.3">
      <c r="BN101" s="51">
        <f t="shared" si="1"/>
        <v>-97</v>
      </c>
      <c r="BO101" s="51" t="s">
        <v>68</v>
      </c>
    </row>
    <row r="102" spans="66:67" x14ac:dyDescent="0.3">
      <c r="BN102" s="51">
        <f t="shared" si="1"/>
        <v>-98</v>
      </c>
      <c r="BO102" s="51" t="s">
        <v>68</v>
      </c>
    </row>
    <row r="103" spans="66:67" x14ac:dyDescent="0.3">
      <c r="BN103" s="51">
        <f t="shared" si="1"/>
        <v>-99</v>
      </c>
      <c r="BO103" s="51" t="s">
        <v>68</v>
      </c>
    </row>
    <row r="104" spans="66:67" x14ac:dyDescent="0.3">
      <c r="BN104" s="51">
        <f t="shared" si="1"/>
        <v>-100</v>
      </c>
      <c r="BO104" s="51" t="s">
        <v>68</v>
      </c>
    </row>
    <row r="105" spans="66:67" x14ac:dyDescent="0.3">
      <c r="BN105" s="51">
        <f t="shared" si="1"/>
        <v>-101</v>
      </c>
      <c r="BO105" s="51" t="s">
        <v>68</v>
      </c>
    </row>
    <row r="106" spans="66:67" x14ac:dyDescent="0.3">
      <c r="BN106" s="51">
        <f t="shared" si="1"/>
        <v>-102</v>
      </c>
      <c r="BO106" s="51" t="s">
        <v>68</v>
      </c>
    </row>
    <row r="107" spans="66:67" x14ac:dyDescent="0.3">
      <c r="BN107" s="51">
        <f t="shared" si="1"/>
        <v>-103</v>
      </c>
      <c r="BO107" s="51" t="s">
        <v>68</v>
      </c>
    </row>
    <row r="108" spans="66:67" x14ac:dyDescent="0.3">
      <c r="BN108" s="51">
        <f t="shared" si="1"/>
        <v>-104</v>
      </c>
      <c r="BO108" s="51" t="s">
        <v>68</v>
      </c>
    </row>
    <row r="109" spans="66:67" x14ac:dyDescent="0.3">
      <c r="BN109" s="51">
        <f t="shared" si="1"/>
        <v>-105</v>
      </c>
      <c r="BO109" s="51" t="s">
        <v>68</v>
      </c>
    </row>
    <row r="110" spans="66:67" x14ac:dyDescent="0.3">
      <c r="BN110" s="51">
        <f t="shared" si="1"/>
        <v>-106</v>
      </c>
      <c r="BO110" s="51" t="s">
        <v>68</v>
      </c>
    </row>
    <row r="111" spans="66:67" x14ac:dyDescent="0.3">
      <c r="BN111" s="51">
        <f t="shared" si="1"/>
        <v>-107</v>
      </c>
      <c r="BO111" s="51" t="s">
        <v>68</v>
      </c>
    </row>
    <row r="112" spans="66:67" x14ac:dyDescent="0.3">
      <c r="BN112" s="51">
        <f t="shared" si="1"/>
        <v>-108</v>
      </c>
      <c r="BO112" s="51" t="s">
        <v>68</v>
      </c>
    </row>
    <row r="113" spans="66:67" x14ac:dyDescent="0.3">
      <c r="BN113" s="51">
        <f t="shared" si="1"/>
        <v>-109</v>
      </c>
      <c r="BO113" s="51" t="s">
        <v>68</v>
      </c>
    </row>
    <row r="114" spans="66:67" x14ac:dyDescent="0.3">
      <c r="BN114" s="51">
        <f t="shared" si="1"/>
        <v>-110</v>
      </c>
      <c r="BO114" s="51" t="s">
        <v>68</v>
      </c>
    </row>
    <row r="115" spans="66:67" x14ac:dyDescent="0.3">
      <c r="BN115" s="51">
        <f t="shared" si="1"/>
        <v>-111</v>
      </c>
      <c r="BO115" s="51" t="s">
        <v>68</v>
      </c>
    </row>
    <row r="116" spans="66:67" x14ac:dyDescent="0.3">
      <c r="BN116" s="51">
        <f t="shared" si="1"/>
        <v>-112</v>
      </c>
      <c r="BO116" s="51" t="s">
        <v>68</v>
      </c>
    </row>
    <row r="117" spans="66:67" x14ac:dyDescent="0.3">
      <c r="BN117" s="51">
        <f t="shared" si="1"/>
        <v>-113</v>
      </c>
      <c r="BO117" s="51" t="s">
        <v>68</v>
      </c>
    </row>
    <row r="118" spans="66:67" x14ac:dyDescent="0.3">
      <c r="BN118" s="51">
        <f t="shared" si="1"/>
        <v>-114</v>
      </c>
      <c r="BO118" s="51" t="s">
        <v>68</v>
      </c>
    </row>
    <row r="119" spans="66:67" x14ac:dyDescent="0.3">
      <c r="BN119" s="51">
        <f t="shared" si="1"/>
        <v>-115</v>
      </c>
      <c r="BO119" s="51" t="s">
        <v>68</v>
      </c>
    </row>
    <row r="120" spans="66:67" x14ac:dyDescent="0.3">
      <c r="BN120" s="51">
        <f t="shared" si="1"/>
        <v>-116</v>
      </c>
      <c r="BO120" s="51" t="s">
        <v>68</v>
      </c>
    </row>
    <row r="121" spans="66:67" x14ac:dyDescent="0.3">
      <c r="BN121" s="51">
        <f t="shared" si="1"/>
        <v>-117</v>
      </c>
      <c r="BO121" s="51" t="s">
        <v>68</v>
      </c>
    </row>
    <row r="122" spans="66:67" x14ac:dyDescent="0.3">
      <c r="BN122" s="51">
        <f t="shared" si="1"/>
        <v>-118</v>
      </c>
      <c r="BO122" s="51" t="s">
        <v>68</v>
      </c>
    </row>
    <row r="123" spans="66:67" x14ac:dyDescent="0.3">
      <c r="BN123" s="51">
        <f t="shared" si="1"/>
        <v>-119</v>
      </c>
      <c r="BO123" s="51" t="s">
        <v>68</v>
      </c>
    </row>
    <row r="124" spans="66:67" x14ac:dyDescent="0.3">
      <c r="BN124" s="51">
        <f t="shared" si="1"/>
        <v>-120</v>
      </c>
      <c r="BO124" s="51" t="s">
        <v>68</v>
      </c>
    </row>
    <row r="125" spans="66:67" x14ac:dyDescent="0.3">
      <c r="BN125" s="51">
        <f t="shared" si="1"/>
        <v>-121</v>
      </c>
      <c r="BO125" s="51" t="s">
        <v>68</v>
      </c>
    </row>
    <row r="126" spans="66:67" x14ac:dyDescent="0.3">
      <c r="BN126" s="51">
        <f t="shared" si="1"/>
        <v>-122</v>
      </c>
      <c r="BO126" s="51" t="s">
        <v>68</v>
      </c>
    </row>
    <row r="127" spans="66:67" x14ac:dyDescent="0.3">
      <c r="BN127" s="51">
        <f t="shared" si="1"/>
        <v>-123</v>
      </c>
      <c r="BO127" s="51" t="s">
        <v>68</v>
      </c>
    </row>
    <row r="128" spans="66:67" x14ac:dyDescent="0.3">
      <c r="BN128" s="51">
        <f t="shared" si="1"/>
        <v>-124</v>
      </c>
      <c r="BO128" s="51" t="s">
        <v>68</v>
      </c>
    </row>
    <row r="129" spans="66:67" x14ac:dyDescent="0.3">
      <c r="BN129" s="51">
        <f t="shared" si="1"/>
        <v>-125</v>
      </c>
      <c r="BO129" s="51" t="s">
        <v>68</v>
      </c>
    </row>
    <row r="130" spans="66:67" x14ac:dyDescent="0.3">
      <c r="BN130" s="51">
        <f t="shared" si="1"/>
        <v>-126</v>
      </c>
      <c r="BO130" s="51" t="s">
        <v>68</v>
      </c>
    </row>
    <row r="131" spans="66:67" x14ac:dyDescent="0.3">
      <c r="BN131" s="51">
        <f t="shared" si="1"/>
        <v>-127</v>
      </c>
      <c r="BO131" s="51" t="s">
        <v>68</v>
      </c>
    </row>
    <row r="132" spans="66:67" x14ac:dyDescent="0.3">
      <c r="BN132" s="51">
        <f t="shared" si="1"/>
        <v>-128</v>
      </c>
      <c r="BO132" s="51" t="s">
        <v>68</v>
      </c>
    </row>
    <row r="133" spans="66:67" x14ac:dyDescent="0.3">
      <c r="BN133" s="51">
        <f t="shared" si="1"/>
        <v>-129</v>
      </c>
      <c r="BO133" s="51" t="s">
        <v>68</v>
      </c>
    </row>
    <row r="134" spans="66:67" x14ac:dyDescent="0.3">
      <c r="BN134" s="51">
        <f t="shared" si="1"/>
        <v>-130</v>
      </c>
      <c r="BO134" s="51" t="s">
        <v>68</v>
      </c>
    </row>
    <row r="135" spans="66:67" x14ac:dyDescent="0.3">
      <c r="BN135" s="51">
        <f t="shared" ref="BN135:BN198" si="2">BN134-1</f>
        <v>-131</v>
      </c>
      <c r="BO135" s="51" t="s">
        <v>68</v>
      </c>
    </row>
    <row r="136" spans="66:67" x14ac:dyDescent="0.3">
      <c r="BN136" s="51">
        <f t="shared" si="2"/>
        <v>-132</v>
      </c>
      <c r="BO136" s="51" t="s">
        <v>68</v>
      </c>
    </row>
    <row r="137" spans="66:67" x14ac:dyDescent="0.3">
      <c r="BN137" s="51">
        <f t="shared" si="2"/>
        <v>-133</v>
      </c>
      <c r="BO137" s="51" t="s">
        <v>68</v>
      </c>
    </row>
    <row r="138" spans="66:67" x14ac:dyDescent="0.3">
      <c r="BN138" s="51">
        <f t="shared" si="2"/>
        <v>-134</v>
      </c>
      <c r="BO138" s="51" t="s">
        <v>68</v>
      </c>
    </row>
    <row r="139" spans="66:67" x14ac:dyDescent="0.3">
      <c r="BN139" s="51">
        <f t="shared" si="2"/>
        <v>-135</v>
      </c>
      <c r="BO139" s="51" t="s">
        <v>68</v>
      </c>
    </row>
    <row r="140" spans="66:67" x14ac:dyDescent="0.3">
      <c r="BN140" s="51">
        <f t="shared" si="2"/>
        <v>-136</v>
      </c>
      <c r="BO140" s="51" t="s">
        <v>68</v>
      </c>
    </row>
    <row r="141" spans="66:67" x14ac:dyDescent="0.3">
      <c r="BN141" s="51">
        <f t="shared" si="2"/>
        <v>-137</v>
      </c>
      <c r="BO141" s="51" t="s">
        <v>68</v>
      </c>
    </row>
    <row r="142" spans="66:67" x14ac:dyDescent="0.3">
      <c r="BN142" s="51">
        <f t="shared" si="2"/>
        <v>-138</v>
      </c>
      <c r="BO142" s="51" t="s">
        <v>68</v>
      </c>
    </row>
    <row r="143" spans="66:67" x14ac:dyDescent="0.3">
      <c r="BN143" s="51">
        <f t="shared" si="2"/>
        <v>-139</v>
      </c>
      <c r="BO143" s="51" t="s">
        <v>68</v>
      </c>
    </row>
    <row r="144" spans="66:67" x14ac:dyDescent="0.3">
      <c r="BN144" s="51">
        <f t="shared" si="2"/>
        <v>-140</v>
      </c>
      <c r="BO144" s="51" t="s">
        <v>68</v>
      </c>
    </row>
    <row r="145" spans="66:67" x14ac:dyDescent="0.3">
      <c r="BN145" s="51">
        <f t="shared" si="2"/>
        <v>-141</v>
      </c>
      <c r="BO145" s="51" t="s">
        <v>68</v>
      </c>
    </row>
    <row r="146" spans="66:67" x14ac:dyDescent="0.3">
      <c r="BN146" s="51">
        <f t="shared" si="2"/>
        <v>-142</v>
      </c>
      <c r="BO146" s="51" t="s">
        <v>68</v>
      </c>
    </row>
    <row r="147" spans="66:67" x14ac:dyDescent="0.3">
      <c r="BN147" s="51">
        <f t="shared" si="2"/>
        <v>-143</v>
      </c>
      <c r="BO147" s="51" t="s">
        <v>68</v>
      </c>
    </row>
    <row r="148" spans="66:67" x14ac:dyDescent="0.3">
      <c r="BN148" s="51">
        <f t="shared" si="2"/>
        <v>-144</v>
      </c>
      <c r="BO148" s="51" t="s">
        <v>68</v>
      </c>
    </row>
    <row r="149" spans="66:67" x14ac:dyDescent="0.3">
      <c r="BN149" s="51">
        <f t="shared" si="2"/>
        <v>-145</v>
      </c>
      <c r="BO149" s="51" t="s">
        <v>68</v>
      </c>
    </row>
    <row r="150" spans="66:67" x14ac:dyDescent="0.3">
      <c r="BN150" s="51">
        <f t="shared" si="2"/>
        <v>-146</v>
      </c>
      <c r="BO150" s="51" t="s">
        <v>68</v>
      </c>
    </row>
    <row r="151" spans="66:67" x14ac:dyDescent="0.3">
      <c r="BN151" s="51">
        <f t="shared" si="2"/>
        <v>-147</v>
      </c>
      <c r="BO151" s="51" t="s">
        <v>68</v>
      </c>
    </row>
    <row r="152" spans="66:67" x14ac:dyDescent="0.3">
      <c r="BN152" s="51">
        <f t="shared" si="2"/>
        <v>-148</v>
      </c>
      <c r="BO152" s="51" t="s">
        <v>68</v>
      </c>
    </row>
    <row r="153" spans="66:67" x14ac:dyDescent="0.3">
      <c r="BN153" s="51">
        <f t="shared" si="2"/>
        <v>-149</v>
      </c>
      <c r="BO153" s="51" t="s">
        <v>68</v>
      </c>
    </row>
    <row r="154" spans="66:67" x14ac:dyDescent="0.3">
      <c r="BN154" s="51">
        <f t="shared" si="2"/>
        <v>-150</v>
      </c>
      <c r="BO154" s="51" t="s">
        <v>68</v>
      </c>
    </row>
    <row r="155" spans="66:67" x14ac:dyDescent="0.3">
      <c r="BN155" s="51">
        <f t="shared" si="2"/>
        <v>-151</v>
      </c>
      <c r="BO155" s="51" t="s">
        <v>68</v>
      </c>
    </row>
    <row r="156" spans="66:67" x14ac:dyDescent="0.3">
      <c r="BN156" s="51">
        <f t="shared" si="2"/>
        <v>-152</v>
      </c>
      <c r="BO156" s="51" t="s">
        <v>68</v>
      </c>
    </row>
    <row r="157" spans="66:67" x14ac:dyDescent="0.3">
      <c r="BN157" s="51">
        <f t="shared" si="2"/>
        <v>-153</v>
      </c>
      <c r="BO157" s="51" t="s">
        <v>68</v>
      </c>
    </row>
    <row r="158" spans="66:67" x14ac:dyDescent="0.3">
      <c r="BN158" s="51">
        <f t="shared" si="2"/>
        <v>-154</v>
      </c>
      <c r="BO158" s="51" t="s">
        <v>68</v>
      </c>
    </row>
    <row r="159" spans="66:67" x14ac:dyDescent="0.3">
      <c r="BN159" s="51">
        <f t="shared" si="2"/>
        <v>-155</v>
      </c>
      <c r="BO159" s="51" t="s">
        <v>68</v>
      </c>
    </row>
    <row r="160" spans="66:67" x14ac:dyDescent="0.3">
      <c r="BN160" s="51">
        <f t="shared" si="2"/>
        <v>-156</v>
      </c>
      <c r="BO160" s="51" t="s">
        <v>68</v>
      </c>
    </row>
    <row r="161" spans="66:67" x14ac:dyDescent="0.3">
      <c r="BN161" s="51">
        <f t="shared" si="2"/>
        <v>-157</v>
      </c>
      <c r="BO161" s="51" t="s">
        <v>68</v>
      </c>
    </row>
    <row r="162" spans="66:67" x14ac:dyDescent="0.3">
      <c r="BN162" s="51">
        <f t="shared" si="2"/>
        <v>-158</v>
      </c>
      <c r="BO162" s="51" t="s">
        <v>68</v>
      </c>
    </row>
    <row r="163" spans="66:67" x14ac:dyDescent="0.3">
      <c r="BN163" s="51">
        <f t="shared" si="2"/>
        <v>-159</v>
      </c>
      <c r="BO163" s="51" t="s">
        <v>68</v>
      </c>
    </row>
    <row r="164" spans="66:67" x14ac:dyDescent="0.3">
      <c r="BN164" s="51">
        <f t="shared" si="2"/>
        <v>-160</v>
      </c>
      <c r="BO164" s="51" t="s">
        <v>68</v>
      </c>
    </row>
    <row r="165" spans="66:67" x14ac:dyDescent="0.3">
      <c r="BN165" s="51">
        <f t="shared" si="2"/>
        <v>-161</v>
      </c>
      <c r="BO165" s="51" t="s">
        <v>68</v>
      </c>
    </row>
    <row r="166" spans="66:67" x14ac:dyDescent="0.3">
      <c r="BN166" s="51">
        <f t="shared" si="2"/>
        <v>-162</v>
      </c>
      <c r="BO166" s="51" t="s">
        <v>68</v>
      </c>
    </row>
    <row r="167" spans="66:67" x14ac:dyDescent="0.3">
      <c r="BN167" s="51">
        <f t="shared" si="2"/>
        <v>-163</v>
      </c>
      <c r="BO167" s="51" t="s">
        <v>68</v>
      </c>
    </row>
    <row r="168" spans="66:67" x14ac:dyDescent="0.3">
      <c r="BN168" s="51">
        <f t="shared" si="2"/>
        <v>-164</v>
      </c>
      <c r="BO168" s="51" t="s">
        <v>68</v>
      </c>
    </row>
    <row r="169" spans="66:67" x14ac:dyDescent="0.3">
      <c r="BN169" s="51">
        <f t="shared" si="2"/>
        <v>-165</v>
      </c>
      <c r="BO169" s="51" t="s">
        <v>68</v>
      </c>
    </row>
    <row r="170" spans="66:67" x14ac:dyDescent="0.3">
      <c r="BN170" s="51">
        <f t="shared" si="2"/>
        <v>-166</v>
      </c>
      <c r="BO170" s="51" t="s">
        <v>68</v>
      </c>
    </row>
    <row r="171" spans="66:67" x14ac:dyDescent="0.3">
      <c r="BN171" s="51">
        <f t="shared" si="2"/>
        <v>-167</v>
      </c>
      <c r="BO171" s="51" t="s">
        <v>68</v>
      </c>
    </row>
    <row r="172" spans="66:67" x14ac:dyDescent="0.3">
      <c r="BN172" s="51">
        <f t="shared" si="2"/>
        <v>-168</v>
      </c>
      <c r="BO172" s="51" t="s">
        <v>68</v>
      </c>
    </row>
    <row r="173" spans="66:67" x14ac:dyDescent="0.3">
      <c r="BN173" s="51">
        <f t="shared" si="2"/>
        <v>-169</v>
      </c>
      <c r="BO173" s="51" t="s">
        <v>68</v>
      </c>
    </row>
    <row r="174" spans="66:67" x14ac:dyDescent="0.3">
      <c r="BN174" s="51">
        <f t="shared" si="2"/>
        <v>-170</v>
      </c>
      <c r="BO174" s="51" t="s">
        <v>68</v>
      </c>
    </row>
    <row r="175" spans="66:67" x14ac:dyDescent="0.3">
      <c r="BN175" s="51">
        <f t="shared" si="2"/>
        <v>-171</v>
      </c>
      <c r="BO175" s="51" t="s">
        <v>68</v>
      </c>
    </row>
    <row r="176" spans="66:67" x14ac:dyDescent="0.3">
      <c r="BN176" s="51">
        <f t="shared" si="2"/>
        <v>-172</v>
      </c>
      <c r="BO176" s="51" t="s">
        <v>68</v>
      </c>
    </row>
    <row r="177" spans="66:67" x14ac:dyDescent="0.3">
      <c r="BN177" s="51">
        <f t="shared" si="2"/>
        <v>-173</v>
      </c>
      <c r="BO177" s="51" t="s">
        <v>68</v>
      </c>
    </row>
    <row r="178" spans="66:67" x14ac:dyDescent="0.3">
      <c r="BN178" s="51">
        <f t="shared" si="2"/>
        <v>-174</v>
      </c>
      <c r="BO178" s="51" t="s">
        <v>68</v>
      </c>
    </row>
    <row r="179" spans="66:67" x14ac:dyDescent="0.3">
      <c r="BN179" s="51">
        <f t="shared" si="2"/>
        <v>-175</v>
      </c>
      <c r="BO179" s="51" t="s">
        <v>68</v>
      </c>
    </row>
    <row r="180" spans="66:67" x14ac:dyDescent="0.3">
      <c r="BN180" s="51">
        <f t="shared" si="2"/>
        <v>-176</v>
      </c>
      <c r="BO180" s="51" t="s">
        <v>68</v>
      </c>
    </row>
    <row r="181" spans="66:67" x14ac:dyDescent="0.3">
      <c r="BN181" s="51">
        <f t="shared" si="2"/>
        <v>-177</v>
      </c>
      <c r="BO181" s="51" t="s">
        <v>68</v>
      </c>
    </row>
    <row r="182" spans="66:67" x14ac:dyDescent="0.3">
      <c r="BN182" s="51">
        <f t="shared" si="2"/>
        <v>-178</v>
      </c>
      <c r="BO182" s="51" t="s">
        <v>68</v>
      </c>
    </row>
    <row r="183" spans="66:67" x14ac:dyDescent="0.3">
      <c r="BN183" s="51">
        <f t="shared" si="2"/>
        <v>-179</v>
      </c>
      <c r="BO183" s="51" t="s">
        <v>68</v>
      </c>
    </row>
    <row r="184" spans="66:67" x14ac:dyDescent="0.3">
      <c r="BN184" s="51">
        <f t="shared" si="2"/>
        <v>-180</v>
      </c>
      <c r="BO184" s="51" t="s">
        <v>68</v>
      </c>
    </row>
    <row r="185" spans="66:67" x14ac:dyDescent="0.3">
      <c r="BN185" s="51">
        <f t="shared" si="2"/>
        <v>-181</v>
      </c>
      <c r="BO185" s="51" t="s">
        <v>68</v>
      </c>
    </row>
    <row r="186" spans="66:67" x14ac:dyDescent="0.3">
      <c r="BN186" s="51">
        <f t="shared" si="2"/>
        <v>-182</v>
      </c>
      <c r="BO186" s="51" t="s">
        <v>68</v>
      </c>
    </row>
    <row r="187" spans="66:67" x14ac:dyDescent="0.3">
      <c r="BN187" s="51">
        <f t="shared" si="2"/>
        <v>-183</v>
      </c>
      <c r="BO187" s="51" t="s">
        <v>68</v>
      </c>
    </row>
    <row r="188" spans="66:67" x14ac:dyDescent="0.3">
      <c r="BN188" s="51">
        <f t="shared" si="2"/>
        <v>-184</v>
      </c>
      <c r="BO188" s="51" t="s">
        <v>68</v>
      </c>
    </row>
    <row r="189" spans="66:67" x14ac:dyDescent="0.3">
      <c r="BN189" s="51">
        <f t="shared" si="2"/>
        <v>-185</v>
      </c>
      <c r="BO189" s="51" t="s">
        <v>68</v>
      </c>
    </row>
    <row r="190" spans="66:67" x14ac:dyDescent="0.3">
      <c r="BN190" s="51">
        <f t="shared" si="2"/>
        <v>-186</v>
      </c>
      <c r="BO190" s="51" t="s">
        <v>68</v>
      </c>
    </row>
    <row r="191" spans="66:67" x14ac:dyDescent="0.3">
      <c r="BN191" s="51">
        <f t="shared" si="2"/>
        <v>-187</v>
      </c>
      <c r="BO191" s="51" t="s">
        <v>68</v>
      </c>
    </row>
    <row r="192" spans="66:67" x14ac:dyDescent="0.3">
      <c r="BN192" s="51">
        <f t="shared" si="2"/>
        <v>-188</v>
      </c>
      <c r="BO192" s="51" t="s">
        <v>68</v>
      </c>
    </row>
    <row r="193" spans="66:67" x14ac:dyDescent="0.3">
      <c r="BN193" s="51">
        <f t="shared" si="2"/>
        <v>-189</v>
      </c>
      <c r="BO193" s="51" t="s">
        <v>68</v>
      </c>
    </row>
    <row r="194" spans="66:67" x14ac:dyDescent="0.3">
      <c r="BN194" s="51">
        <f t="shared" si="2"/>
        <v>-190</v>
      </c>
      <c r="BO194" s="51" t="s">
        <v>68</v>
      </c>
    </row>
    <row r="195" spans="66:67" x14ac:dyDescent="0.3">
      <c r="BN195" s="51">
        <f t="shared" si="2"/>
        <v>-191</v>
      </c>
      <c r="BO195" s="51" t="s">
        <v>68</v>
      </c>
    </row>
    <row r="196" spans="66:67" x14ac:dyDescent="0.3">
      <c r="BN196" s="51">
        <f t="shared" si="2"/>
        <v>-192</v>
      </c>
      <c r="BO196" s="51" t="s">
        <v>68</v>
      </c>
    </row>
    <row r="197" spans="66:67" x14ac:dyDescent="0.3">
      <c r="BN197" s="51">
        <f t="shared" si="2"/>
        <v>-193</v>
      </c>
      <c r="BO197" s="51" t="s">
        <v>68</v>
      </c>
    </row>
    <row r="198" spans="66:67" x14ac:dyDescent="0.3">
      <c r="BN198" s="51">
        <f t="shared" si="2"/>
        <v>-194</v>
      </c>
      <c r="BO198" s="51" t="s">
        <v>68</v>
      </c>
    </row>
    <row r="199" spans="66:67" x14ac:dyDescent="0.3">
      <c r="BN199" s="51">
        <f t="shared" ref="BN199:BN262" si="3">BN198-1</f>
        <v>-195</v>
      </c>
      <c r="BO199" s="51" t="s">
        <v>68</v>
      </c>
    </row>
    <row r="200" spans="66:67" x14ac:dyDescent="0.3">
      <c r="BN200" s="51">
        <f t="shared" si="3"/>
        <v>-196</v>
      </c>
      <c r="BO200" s="51" t="s">
        <v>68</v>
      </c>
    </row>
    <row r="201" spans="66:67" x14ac:dyDescent="0.3">
      <c r="BN201" s="51">
        <f t="shared" si="3"/>
        <v>-197</v>
      </c>
      <c r="BO201" s="51" t="s">
        <v>68</v>
      </c>
    </row>
    <row r="202" spans="66:67" x14ac:dyDescent="0.3">
      <c r="BN202" s="51">
        <f t="shared" si="3"/>
        <v>-198</v>
      </c>
      <c r="BO202" s="51" t="s">
        <v>68</v>
      </c>
    </row>
    <row r="203" spans="66:67" x14ac:dyDescent="0.3">
      <c r="BN203" s="51">
        <f t="shared" si="3"/>
        <v>-199</v>
      </c>
      <c r="BO203" s="51" t="s">
        <v>68</v>
      </c>
    </row>
    <row r="204" spans="66:67" x14ac:dyDescent="0.3">
      <c r="BN204" s="51">
        <f t="shared" si="3"/>
        <v>-200</v>
      </c>
      <c r="BO204" s="51" t="s">
        <v>68</v>
      </c>
    </row>
    <row r="205" spans="66:67" x14ac:dyDescent="0.3">
      <c r="BN205" s="51">
        <f t="shared" si="3"/>
        <v>-201</v>
      </c>
      <c r="BO205" s="51" t="s">
        <v>68</v>
      </c>
    </row>
    <row r="206" spans="66:67" x14ac:dyDescent="0.3">
      <c r="BN206" s="51">
        <f t="shared" si="3"/>
        <v>-202</v>
      </c>
      <c r="BO206" s="51" t="s">
        <v>68</v>
      </c>
    </row>
    <row r="207" spans="66:67" x14ac:dyDescent="0.3">
      <c r="BN207" s="51">
        <f t="shared" si="3"/>
        <v>-203</v>
      </c>
      <c r="BO207" s="51" t="s">
        <v>68</v>
      </c>
    </row>
    <row r="208" spans="66:67" x14ac:dyDescent="0.3">
      <c r="BN208" s="51">
        <f t="shared" si="3"/>
        <v>-204</v>
      </c>
      <c r="BO208" s="51" t="s">
        <v>68</v>
      </c>
    </row>
    <row r="209" spans="66:67" x14ac:dyDescent="0.3">
      <c r="BN209" s="51">
        <f t="shared" si="3"/>
        <v>-205</v>
      </c>
      <c r="BO209" s="51" t="s">
        <v>68</v>
      </c>
    </row>
    <row r="210" spans="66:67" x14ac:dyDescent="0.3">
      <c r="BN210" s="51">
        <f t="shared" si="3"/>
        <v>-206</v>
      </c>
      <c r="BO210" s="51" t="s">
        <v>68</v>
      </c>
    </row>
    <row r="211" spans="66:67" x14ac:dyDescent="0.3">
      <c r="BN211" s="51">
        <f t="shared" si="3"/>
        <v>-207</v>
      </c>
      <c r="BO211" s="51" t="s">
        <v>68</v>
      </c>
    </row>
    <row r="212" spans="66:67" x14ac:dyDescent="0.3">
      <c r="BN212" s="51">
        <f t="shared" si="3"/>
        <v>-208</v>
      </c>
      <c r="BO212" s="51" t="s">
        <v>68</v>
      </c>
    </row>
    <row r="213" spans="66:67" x14ac:dyDescent="0.3">
      <c r="BN213" s="51">
        <f t="shared" si="3"/>
        <v>-209</v>
      </c>
      <c r="BO213" s="51" t="s">
        <v>68</v>
      </c>
    </row>
    <row r="214" spans="66:67" x14ac:dyDescent="0.3">
      <c r="BN214" s="51">
        <f t="shared" si="3"/>
        <v>-210</v>
      </c>
      <c r="BO214" s="51" t="s">
        <v>68</v>
      </c>
    </row>
    <row r="215" spans="66:67" x14ac:dyDescent="0.3">
      <c r="BN215" s="51">
        <f t="shared" si="3"/>
        <v>-211</v>
      </c>
      <c r="BO215" s="51" t="s">
        <v>68</v>
      </c>
    </row>
    <row r="216" spans="66:67" x14ac:dyDescent="0.3">
      <c r="BN216" s="51">
        <f t="shared" si="3"/>
        <v>-212</v>
      </c>
      <c r="BO216" s="51" t="s">
        <v>68</v>
      </c>
    </row>
    <row r="217" spans="66:67" x14ac:dyDescent="0.3">
      <c r="BN217" s="51">
        <f t="shared" si="3"/>
        <v>-213</v>
      </c>
      <c r="BO217" s="51" t="s">
        <v>68</v>
      </c>
    </row>
    <row r="218" spans="66:67" x14ac:dyDescent="0.3">
      <c r="BN218" s="51">
        <f t="shared" si="3"/>
        <v>-214</v>
      </c>
      <c r="BO218" s="51" t="s">
        <v>68</v>
      </c>
    </row>
    <row r="219" spans="66:67" x14ac:dyDescent="0.3">
      <c r="BN219" s="51">
        <f t="shared" si="3"/>
        <v>-215</v>
      </c>
      <c r="BO219" s="51" t="s">
        <v>68</v>
      </c>
    </row>
    <row r="220" spans="66:67" x14ac:dyDescent="0.3">
      <c r="BN220" s="51">
        <f t="shared" si="3"/>
        <v>-216</v>
      </c>
      <c r="BO220" s="51" t="s">
        <v>68</v>
      </c>
    </row>
    <row r="221" spans="66:67" x14ac:dyDescent="0.3">
      <c r="BN221" s="51">
        <f t="shared" si="3"/>
        <v>-217</v>
      </c>
      <c r="BO221" s="51" t="s">
        <v>68</v>
      </c>
    </row>
    <row r="222" spans="66:67" x14ac:dyDescent="0.3">
      <c r="BN222" s="51">
        <f t="shared" si="3"/>
        <v>-218</v>
      </c>
      <c r="BO222" s="51" t="s">
        <v>68</v>
      </c>
    </row>
    <row r="223" spans="66:67" x14ac:dyDescent="0.3">
      <c r="BN223" s="51">
        <f t="shared" si="3"/>
        <v>-219</v>
      </c>
      <c r="BO223" s="51" t="s">
        <v>68</v>
      </c>
    </row>
    <row r="224" spans="66:67" x14ac:dyDescent="0.3">
      <c r="BN224" s="51">
        <f t="shared" si="3"/>
        <v>-220</v>
      </c>
      <c r="BO224" s="51" t="s">
        <v>68</v>
      </c>
    </row>
    <row r="225" spans="66:67" x14ac:dyDescent="0.3">
      <c r="BN225" s="51">
        <f t="shared" si="3"/>
        <v>-221</v>
      </c>
      <c r="BO225" s="51" t="s">
        <v>68</v>
      </c>
    </row>
    <row r="226" spans="66:67" x14ac:dyDescent="0.3">
      <c r="BN226" s="51">
        <f t="shared" si="3"/>
        <v>-222</v>
      </c>
      <c r="BO226" s="51" t="s">
        <v>68</v>
      </c>
    </row>
    <row r="227" spans="66:67" x14ac:dyDescent="0.3">
      <c r="BN227" s="51">
        <f t="shared" si="3"/>
        <v>-223</v>
      </c>
      <c r="BO227" s="51" t="s">
        <v>68</v>
      </c>
    </row>
    <row r="228" spans="66:67" x14ac:dyDescent="0.3">
      <c r="BN228" s="51">
        <f t="shared" si="3"/>
        <v>-224</v>
      </c>
      <c r="BO228" s="51" t="s">
        <v>68</v>
      </c>
    </row>
    <row r="229" spans="66:67" x14ac:dyDescent="0.3">
      <c r="BN229" s="51">
        <f t="shared" si="3"/>
        <v>-225</v>
      </c>
      <c r="BO229" s="51" t="s">
        <v>68</v>
      </c>
    </row>
    <row r="230" spans="66:67" x14ac:dyDescent="0.3">
      <c r="BN230" s="51">
        <f t="shared" si="3"/>
        <v>-226</v>
      </c>
      <c r="BO230" s="51" t="s">
        <v>68</v>
      </c>
    </row>
    <row r="231" spans="66:67" x14ac:dyDescent="0.3">
      <c r="BN231" s="51">
        <f t="shared" si="3"/>
        <v>-227</v>
      </c>
      <c r="BO231" s="51" t="s">
        <v>68</v>
      </c>
    </row>
    <row r="232" spans="66:67" x14ac:dyDescent="0.3">
      <c r="BN232" s="51">
        <f t="shared" si="3"/>
        <v>-228</v>
      </c>
      <c r="BO232" s="51" t="s">
        <v>68</v>
      </c>
    </row>
    <row r="233" spans="66:67" x14ac:dyDescent="0.3">
      <c r="BN233" s="51">
        <f t="shared" si="3"/>
        <v>-229</v>
      </c>
      <c r="BO233" s="51" t="s">
        <v>68</v>
      </c>
    </row>
    <row r="234" spans="66:67" x14ac:dyDescent="0.3">
      <c r="BN234" s="51">
        <f t="shared" si="3"/>
        <v>-230</v>
      </c>
      <c r="BO234" s="51" t="s">
        <v>68</v>
      </c>
    </row>
    <row r="235" spans="66:67" x14ac:dyDescent="0.3">
      <c r="BN235" s="51">
        <f t="shared" si="3"/>
        <v>-231</v>
      </c>
      <c r="BO235" s="51" t="s">
        <v>68</v>
      </c>
    </row>
    <row r="236" spans="66:67" x14ac:dyDescent="0.3">
      <c r="BN236" s="51">
        <f t="shared" si="3"/>
        <v>-232</v>
      </c>
      <c r="BO236" s="51" t="s">
        <v>68</v>
      </c>
    </row>
    <row r="237" spans="66:67" x14ac:dyDescent="0.3">
      <c r="BN237" s="51">
        <f t="shared" si="3"/>
        <v>-233</v>
      </c>
      <c r="BO237" s="51" t="s">
        <v>68</v>
      </c>
    </row>
    <row r="238" spans="66:67" x14ac:dyDescent="0.3">
      <c r="BN238" s="51">
        <f t="shared" si="3"/>
        <v>-234</v>
      </c>
      <c r="BO238" s="51" t="s">
        <v>68</v>
      </c>
    </row>
    <row r="239" spans="66:67" x14ac:dyDescent="0.3">
      <c r="BN239" s="51">
        <f t="shared" si="3"/>
        <v>-235</v>
      </c>
      <c r="BO239" s="51" t="s">
        <v>68</v>
      </c>
    </row>
    <row r="240" spans="66:67" x14ac:dyDescent="0.3">
      <c r="BN240" s="51">
        <f t="shared" si="3"/>
        <v>-236</v>
      </c>
      <c r="BO240" s="51" t="s">
        <v>68</v>
      </c>
    </row>
    <row r="241" spans="66:67" x14ac:dyDescent="0.3">
      <c r="BN241" s="51">
        <f t="shared" si="3"/>
        <v>-237</v>
      </c>
      <c r="BO241" s="51" t="s">
        <v>68</v>
      </c>
    </row>
    <row r="242" spans="66:67" x14ac:dyDescent="0.3">
      <c r="BN242" s="51">
        <f t="shared" si="3"/>
        <v>-238</v>
      </c>
      <c r="BO242" s="51" t="s">
        <v>68</v>
      </c>
    </row>
    <row r="243" spans="66:67" x14ac:dyDescent="0.3">
      <c r="BN243" s="51">
        <f t="shared" si="3"/>
        <v>-239</v>
      </c>
      <c r="BO243" s="51" t="s">
        <v>68</v>
      </c>
    </row>
    <row r="244" spans="66:67" x14ac:dyDescent="0.3">
      <c r="BN244" s="51">
        <f t="shared" si="3"/>
        <v>-240</v>
      </c>
      <c r="BO244" s="51" t="s">
        <v>68</v>
      </c>
    </row>
    <row r="245" spans="66:67" x14ac:dyDescent="0.3">
      <c r="BN245" s="51">
        <f t="shared" si="3"/>
        <v>-241</v>
      </c>
      <c r="BO245" s="51" t="s">
        <v>68</v>
      </c>
    </row>
    <row r="246" spans="66:67" x14ac:dyDescent="0.3">
      <c r="BN246" s="51">
        <f t="shared" si="3"/>
        <v>-242</v>
      </c>
      <c r="BO246" s="51" t="s">
        <v>68</v>
      </c>
    </row>
    <row r="247" spans="66:67" x14ac:dyDescent="0.3">
      <c r="BN247" s="51">
        <f t="shared" si="3"/>
        <v>-243</v>
      </c>
      <c r="BO247" s="51" t="s">
        <v>68</v>
      </c>
    </row>
    <row r="248" spans="66:67" x14ac:dyDescent="0.3">
      <c r="BN248" s="51">
        <f t="shared" si="3"/>
        <v>-244</v>
      </c>
      <c r="BO248" s="51" t="s">
        <v>68</v>
      </c>
    </row>
    <row r="249" spans="66:67" x14ac:dyDescent="0.3">
      <c r="BN249" s="51">
        <f t="shared" si="3"/>
        <v>-245</v>
      </c>
      <c r="BO249" s="51" t="s">
        <v>68</v>
      </c>
    </row>
    <row r="250" spans="66:67" x14ac:dyDescent="0.3">
      <c r="BN250" s="51">
        <f t="shared" si="3"/>
        <v>-246</v>
      </c>
      <c r="BO250" s="51" t="s">
        <v>68</v>
      </c>
    </row>
    <row r="251" spans="66:67" x14ac:dyDescent="0.3">
      <c r="BN251" s="51">
        <f t="shared" si="3"/>
        <v>-247</v>
      </c>
      <c r="BO251" s="51" t="s">
        <v>68</v>
      </c>
    </row>
    <row r="252" spans="66:67" x14ac:dyDescent="0.3">
      <c r="BN252" s="51">
        <f t="shared" si="3"/>
        <v>-248</v>
      </c>
      <c r="BO252" s="51" t="s">
        <v>68</v>
      </c>
    </row>
    <row r="253" spans="66:67" x14ac:dyDescent="0.3">
      <c r="BN253" s="51">
        <f t="shared" si="3"/>
        <v>-249</v>
      </c>
      <c r="BO253" s="51" t="s">
        <v>68</v>
      </c>
    </row>
    <row r="254" spans="66:67" x14ac:dyDescent="0.3">
      <c r="BN254" s="51">
        <f t="shared" si="3"/>
        <v>-250</v>
      </c>
      <c r="BO254" s="51" t="s">
        <v>68</v>
      </c>
    </row>
    <row r="255" spans="66:67" x14ac:dyDescent="0.3">
      <c r="BN255" s="51">
        <f t="shared" si="3"/>
        <v>-251</v>
      </c>
      <c r="BO255" s="51" t="s">
        <v>68</v>
      </c>
    </row>
    <row r="256" spans="66:67" x14ac:dyDescent="0.3">
      <c r="BN256" s="51">
        <f t="shared" si="3"/>
        <v>-252</v>
      </c>
      <c r="BO256" s="51" t="s">
        <v>68</v>
      </c>
    </row>
    <row r="257" spans="66:67" x14ac:dyDescent="0.3">
      <c r="BN257" s="51">
        <f t="shared" si="3"/>
        <v>-253</v>
      </c>
      <c r="BO257" s="51" t="s">
        <v>68</v>
      </c>
    </row>
    <row r="258" spans="66:67" x14ac:dyDescent="0.3">
      <c r="BN258" s="51">
        <f t="shared" si="3"/>
        <v>-254</v>
      </c>
      <c r="BO258" s="51" t="s">
        <v>68</v>
      </c>
    </row>
    <row r="259" spans="66:67" x14ac:dyDescent="0.3">
      <c r="BN259" s="51">
        <f t="shared" si="3"/>
        <v>-255</v>
      </c>
      <c r="BO259" s="51" t="s">
        <v>68</v>
      </c>
    </row>
    <row r="260" spans="66:67" x14ac:dyDescent="0.3">
      <c r="BN260" s="51">
        <f t="shared" si="3"/>
        <v>-256</v>
      </c>
      <c r="BO260" s="51" t="s">
        <v>68</v>
      </c>
    </row>
    <row r="261" spans="66:67" x14ac:dyDescent="0.3">
      <c r="BN261" s="51">
        <f t="shared" si="3"/>
        <v>-257</v>
      </c>
      <c r="BO261" s="51" t="s">
        <v>68</v>
      </c>
    </row>
    <row r="262" spans="66:67" x14ac:dyDescent="0.3">
      <c r="BN262" s="51">
        <f t="shared" si="3"/>
        <v>-258</v>
      </c>
      <c r="BO262" s="51" t="s">
        <v>68</v>
      </c>
    </row>
    <row r="263" spans="66:67" x14ac:dyDescent="0.3">
      <c r="BN263" s="51">
        <f t="shared" ref="BN263:BN304" si="4">BN262-1</f>
        <v>-259</v>
      </c>
      <c r="BO263" s="51" t="s">
        <v>68</v>
      </c>
    </row>
    <row r="264" spans="66:67" x14ac:dyDescent="0.3">
      <c r="BN264" s="51">
        <f t="shared" si="4"/>
        <v>-260</v>
      </c>
      <c r="BO264" s="51" t="s">
        <v>68</v>
      </c>
    </row>
    <row r="265" spans="66:67" x14ac:dyDescent="0.3">
      <c r="BN265" s="51">
        <f t="shared" si="4"/>
        <v>-261</v>
      </c>
      <c r="BO265" s="51" t="s">
        <v>68</v>
      </c>
    </row>
    <row r="266" spans="66:67" x14ac:dyDescent="0.3">
      <c r="BN266" s="51">
        <f t="shared" si="4"/>
        <v>-262</v>
      </c>
      <c r="BO266" s="51" t="s">
        <v>68</v>
      </c>
    </row>
    <row r="267" spans="66:67" x14ac:dyDescent="0.3">
      <c r="BN267" s="51">
        <f t="shared" si="4"/>
        <v>-263</v>
      </c>
      <c r="BO267" s="51" t="s">
        <v>68</v>
      </c>
    </row>
    <row r="268" spans="66:67" x14ac:dyDescent="0.3">
      <c r="BN268" s="51">
        <f t="shared" si="4"/>
        <v>-264</v>
      </c>
      <c r="BO268" s="51" t="s">
        <v>68</v>
      </c>
    </row>
    <row r="269" spans="66:67" x14ac:dyDescent="0.3">
      <c r="BN269" s="51">
        <f t="shared" si="4"/>
        <v>-265</v>
      </c>
      <c r="BO269" s="51" t="s">
        <v>68</v>
      </c>
    </row>
    <row r="270" spans="66:67" x14ac:dyDescent="0.3">
      <c r="BN270" s="51">
        <f t="shared" si="4"/>
        <v>-266</v>
      </c>
      <c r="BO270" s="51" t="s">
        <v>68</v>
      </c>
    </row>
    <row r="271" spans="66:67" x14ac:dyDescent="0.3">
      <c r="BN271" s="51">
        <f t="shared" si="4"/>
        <v>-267</v>
      </c>
      <c r="BO271" s="51" t="s">
        <v>68</v>
      </c>
    </row>
    <row r="272" spans="66:67" x14ac:dyDescent="0.3">
      <c r="BN272" s="51">
        <f t="shared" si="4"/>
        <v>-268</v>
      </c>
      <c r="BO272" s="51" t="s">
        <v>68</v>
      </c>
    </row>
    <row r="273" spans="66:67" x14ac:dyDescent="0.3">
      <c r="BN273" s="51">
        <f t="shared" si="4"/>
        <v>-269</v>
      </c>
      <c r="BO273" s="51" t="s">
        <v>68</v>
      </c>
    </row>
    <row r="274" spans="66:67" x14ac:dyDescent="0.3">
      <c r="BN274" s="51">
        <f t="shared" si="4"/>
        <v>-270</v>
      </c>
      <c r="BO274" s="51" t="s">
        <v>68</v>
      </c>
    </row>
    <row r="275" spans="66:67" x14ac:dyDescent="0.3">
      <c r="BN275" s="51">
        <f t="shared" si="4"/>
        <v>-271</v>
      </c>
      <c r="BO275" s="51" t="s">
        <v>68</v>
      </c>
    </row>
    <row r="276" spans="66:67" x14ac:dyDescent="0.3">
      <c r="BN276" s="51">
        <f t="shared" si="4"/>
        <v>-272</v>
      </c>
      <c r="BO276" s="51" t="s">
        <v>68</v>
      </c>
    </row>
    <row r="277" spans="66:67" x14ac:dyDescent="0.3">
      <c r="BN277" s="51">
        <f t="shared" si="4"/>
        <v>-273</v>
      </c>
      <c r="BO277" s="51" t="s">
        <v>68</v>
      </c>
    </row>
    <row r="278" spans="66:67" x14ac:dyDescent="0.3">
      <c r="BN278" s="51">
        <f t="shared" si="4"/>
        <v>-274</v>
      </c>
      <c r="BO278" s="51" t="s">
        <v>68</v>
      </c>
    </row>
    <row r="279" spans="66:67" x14ac:dyDescent="0.3">
      <c r="BN279" s="51">
        <f t="shared" si="4"/>
        <v>-275</v>
      </c>
      <c r="BO279" s="51" t="s">
        <v>68</v>
      </c>
    </row>
    <row r="280" spans="66:67" x14ac:dyDescent="0.3">
      <c r="BN280" s="51">
        <f t="shared" si="4"/>
        <v>-276</v>
      </c>
      <c r="BO280" s="51" t="s">
        <v>68</v>
      </c>
    </row>
    <row r="281" spans="66:67" x14ac:dyDescent="0.3">
      <c r="BN281" s="51">
        <f t="shared" si="4"/>
        <v>-277</v>
      </c>
      <c r="BO281" s="51" t="s">
        <v>68</v>
      </c>
    </row>
    <row r="282" spans="66:67" x14ac:dyDescent="0.3">
      <c r="BN282" s="51">
        <f t="shared" si="4"/>
        <v>-278</v>
      </c>
      <c r="BO282" s="51" t="s">
        <v>68</v>
      </c>
    </row>
    <row r="283" spans="66:67" x14ac:dyDescent="0.3">
      <c r="BN283" s="51">
        <f t="shared" si="4"/>
        <v>-279</v>
      </c>
      <c r="BO283" s="51" t="s">
        <v>68</v>
      </c>
    </row>
    <row r="284" spans="66:67" x14ac:dyDescent="0.3">
      <c r="BN284" s="51">
        <f t="shared" si="4"/>
        <v>-280</v>
      </c>
      <c r="BO284" s="51" t="s">
        <v>68</v>
      </c>
    </row>
    <row r="285" spans="66:67" x14ac:dyDescent="0.3">
      <c r="BN285" s="51">
        <f t="shared" si="4"/>
        <v>-281</v>
      </c>
      <c r="BO285" s="51" t="s">
        <v>68</v>
      </c>
    </row>
    <row r="286" spans="66:67" x14ac:dyDescent="0.3">
      <c r="BN286" s="51">
        <f t="shared" si="4"/>
        <v>-282</v>
      </c>
      <c r="BO286" s="51" t="s">
        <v>68</v>
      </c>
    </row>
    <row r="287" spans="66:67" x14ac:dyDescent="0.3">
      <c r="BN287" s="51">
        <f t="shared" si="4"/>
        <v>-283</v>
      </c>
      <c r="BO287" s="51" t="s">
        <v>68</v>
      </c>
    </row>
    <row r="288" spans="66:67" x14ac:dyDescent="0.3">
      <c r="BN288" s="51">
        <f t="shared" si="4"/>
        <v>-284</v>
      </c>
      <c r="BO288" s="51" t="s">
        <v>68</v>
      </c>
    </row>
    <row r="289" spans="66:67" x14ac:dyDescent="0.3">
      <c r="BN289" s="51">
        <f t="shared" si="4"/>
        <v>-285</v>
      </c>
      <c r="BO289" s="51" t="s">
        <v>68</v>
      </c>
    </row>
    <row r="290" spans="66:67" x14ac:dyDescent="0.3">
      <c r="BN290" s="51">
        <f t="shared" si="4"/>
        <v>-286</v>
      </c>
      <c r="BO290" s="51" t="s">
        <v>68</v>
      </c>
    </row>
    <row r="291" spans="66:67" x14ac:dyDescent="0.3">
      <c r="BN291" s="51">
        <f t="shared" si="4"/>
        <v>-287</v>
      </c>
      <c r="BO291" s="51" t="s">
        <v>68</v>
      </c>
    </row>
    <row r="292" spans="66:67" x14ac:dyDescent="0.3">
      <c r="BN292" s="51">
        <f t="shared" si="4"/>
        <v>-288</v>
      </c>
      <c r="BO292" s="51" t="s">
        <v>68</v>
      </c>
    </row>
    <row r="293" spans="66:67" x14ac:dyDescent="0.3">
      <c r="BN293" s="51">
        <f t="shared" si="4"/>
        <v>-289</v>
      </c>
      <c r="BO293" s="51" t="s">
        <v>68</v>
      </c>
    </row>
    <row r="294" spans="66:67" x14ac:dyDescent="0.3">
      <c r="BN294" s="51">
        <f t="shared" si="4"/>
        <v>-290</v>
      </c>
      <c r="BO294" s="51" t="s">
        <v>68</v>
      </c>
    </row>
    <row r="295" spans="66:67" x14ac:dyDescent="0.3">
      <c r="BN295" s="51">
        <f t="shared" si="4"/>
        <v>-291</v>
      </c>
      <c r="BO295" s="51" t="s">
        <v>68</v>
      </c>
    </row>
    <row r="296" spans="66:67" x14ac:dyDescent="0.3">
      <c r="BN296" s="51">
        <f t="shared" si="4"/>
        <v>-292</v>
      </c>
      <c r="BO296" s="51" t="s">
        <v>68</v>
      </c>
    </row>
    <row r="297" spans="66:67" x14ac:dyDescent="0.3">
      <c r="BN297" s="51">
        <f t="shared" si="4"/>
        <v>-293</v>
      </c>
      <c r="BO297" s="51" t="s">
        <v>68</v>
      </c>
    </row>
    <row r="298" spans="66:67" x14ac:dyDescent="0.3">
      <c r="BN298" s="51">
        <f t="shared" si="4"/>
        <v>-294</v>
      </c>
      <c r="BO298" s="51" t="s">
        <v>68</v>
      </c>
    </row>
    <row r="299" spans="66:67" x14ac:dyDescent="0.3">
      <c r="BN299" s="51">
        <f t="shared" si="4"/>
        <v>-295</v>
      </c>
      <c r="BO299" s="51" t="s">
        <v>68</v>
      </c>
    </row>
    <row r="300" spans="66:67" x14ac:dyDescent="0.3">
      <c r="BN300" s="51">
        <f t="shared" si="4"/>
        <v>-296</v>
      </c>
      <c r="BO300" s="51" t="s">
        <v>68</v>
      </c>
    </row>
    <row r="301" spans="66:67" x14ac:dyDescent="0.3">
      <c r="BN301" s="51">
        <f t="shared" si="4"/>
        <v>-297</v>
      </c>
      <c r="BO301" s="51" t="s">
        <v>68</v>
      </c>
    </row>
    <row r="302" spans="66:67" x14ac:dyDescent="0.3">
      <c r="BN302" s="51">
        <f t="shared" si="4"/>
        <v>-298</v>
      </c>
      <c r="BO302" s="51" t="s">
        <v>68</v>
      </c>
    </row>
    <row r="303" spans="66:67" x14ac:dyDescent="0.3">
      <c r="BN303" s="51">
        <f t="shared" si="4"/>
        <v>-299</v>
      </c>
      <c r="BO303" s="51" t="s">
        <v>68</v>
      </c>
    </row>
    <row r="304" spans="66:67" x14ac:dyDescent="0.3">
      <c r="BN304" s="51">
        <f t="shared" si="4"/>
        <v>-300</v>
      </c>
      <c r="BO304" s="51" t="s">
        <v>68</v>
      </c>
    </row>
    <row r="305" spans="66:67" x14ac:dyDescent="0.3">
      <c r="BN305" s="51">
        <v>1</v>
      </c>
      <c r="BO305" s="51" t="s">
        <v>95</v>
      </c>
    </row>
    <row r="306" spans="66:67" x14ac:dyDescent="0.3">
      <c r="BN306" s="51">
        <v>2</v>
      </c>
      <c r="BO306" s="51" t="s">
        <v>95</v>
      </c>
    </row>
    <row r="307" spans="66:67" x14ac:dyDescent="0.3">
      <c r="BN307" s="51">
        <f>BN306+1</f>
        <v>3</v>
      </c>
      <c r="BO307" s="51" t="s">
        <v>95</v>
      </c>
    </row>
    <row r="308" spans="66:67" x14ac:dyDescent="0.3">
      <c r="BN308" s="51">
        <f t="shared" ref="BN308:BN371" si="5">BN307+1</f>
        <v>4</v>
      </c>
      <c r="BO308" s="51" t="s">
        <v>95</v>
      </c>
    </row>
    <row r="309" spans="66:67" x14ac:dyDescent="0.3">
      <c r="BN309" s="51">
        <f t="shared" si="5"/>
        <v>5</v>
      </c>
      <c r="BO309" s="51" t="s">
        <v>95</v>
      </c>
    </row>
    <row r="310" spans="66:67" x14ac:dyDescent="0.3">
      <c r="BN310" s="51">
        <f t="shared" si="5"/>
        <v>6</v>
      </c>
      <c r="BO310" s="51" t="s">
        <v>95</v>
      </c>
    </row>
    <row r="311" spans="66:67" x14ac:dyDescent="0.3">
      <c r="BN311" s="51">
        <f t="shared" si="5"/>
        <v>7</v>
      </c>
      <c r="BO311" s="51" t="s">
        <v>95</v>
      </c>
    </row>
    <row r="312" spans="66:67" x14ac:dyDescent="0.3">
      <c r="BN312" s="51">
        <f t="shared" si="5"/>
        <v>8</v>
      </c>
      <c r="BO312" s="51" t="s">
        <v>95</v>
      </c>
    </row>
    <row r="313" spans="66:67" x14ac:dyDescent="0.3">
      <c r="BN313" s="51">
        <f t="shared" si="5"/>
        <v>9</v>
      </c>
      <c r="BO313" s="51" t="s">
        <v>95</v>
      </c>
    </row>
    <row r="314" spans="66:67" x14ac:dyDescent="0.3">
      <c r="BN314" s="51">
        <f t="shared" si="5"/>
        <v>10</v>
      </c>
      <c r="BO314" s="51" t="s">
        <v>95</v>
      </c>
    </row>
    <row r="315" spans="66:67" x14ac:dyDescent="0.3">
      <c r="BN315" s="51">
        <f t="shared" si="5"/>
        <v>11</v>
      </c>
      <c r="BO315" s="51" t="s">
        <v>95</v>
      </c>
    </row>
    <row r="316" spans="66:67" x14ac:dyDescent="0.3">
      <c r="BN316" s="51">
        <f t="shared" si="5"/>
        <v>12</v>
      </c>
      <c r="BO316" s="51" t="s">
        <v>95</v>
      </c>
    </row>
    <row r="317" spans="66:67" x14ac:dyDescent="0.3">
      <c r="BN317" s="51">
        <f t="shared" si="5"/>
        <v>13</v>
      </c>
      <c r="BO317" s="51" t="s">
        <v>95</v>
      </c>
    </row>
    <row r="318" spans="66:67" x14ac:dyDescent="0.3">
      <c r="BN318" s="51">
        <f t="shared" si="5"/>
        <v>14</v>
      </c>
      <c r="BO318" s="51" t="s">
        <v>95</v>
      </c>
    </row>
    <row r="319" spans="66:67" x14ac:dyDescent="0.3">
      <c r="BN319" s="51">
        <f t="shared" si="5"/>
        <v>15</v>
      </c>
      <c r="BO319" s="51" t="s">
        <v>95</v>
      </c>
    </row>
    <row r="320" spans="66:67" x14ac:dyDescent="0.3">
      <c r="BN320" s="51">
        <f t="shared" si="5"/>
        <v>16</v>
      </c>
      <c r="BO320" s="51" t="s">
        <v>95</v>
      </c>
    </row>
    <row r="321" spans="66:67" x14ac:dyDescent="0.3">
      <c r="BN321" s="51">
        <f t="shared" si="5"/>
        <v>17</v>
      </c>
      <c r="BO321" s="51" t="s">
        <v>95</v>
      </c>
    </row>
    <row r="322" spans="66:67" x14ac:dyDescent="0.3">
      <c r="BN322" s="51">
        <f t="shared" si="5"/>
        <v>18</v>
      </c>
      <c r="BO322" s="51" t="s">
        <v>95</v>
      </c>
    </row>
    <row r="323" spans="66:67" x14ac:dyDescent="0.3">
      <c r="BN323" s="51">
        <f t="shared" si="5"/>
        <v>19</v>
      </c>
      <c r="BO323" s="51" t="s">
        <v>95</v>
      </c>
    </row>
    <row r="324" spans="66:67" x14ac:dyDescent="0.3">
      <c r="BN324" s="51">
        <f t="shared" si="5"/>
        <v>20</v>
      </c>
      <c r="BO324" s="51" t="s">
        <v>95</v>
      </c>
    </row>
    <row r="325" spans="66:67" x14ac:dyDescent="0.3">
      <c r="BN325" s="51">
        <f t="shared" si="5"/>
        <v>21</v>
      </c>
      <c r="BO325" s="51" t="s">
        <v>95</v>
      </c>
    </row>
    <row r="326" spans="66:67" x14ac:dyDescent="0.3">
      <c r="BN326" s="51">
        <f t="shared" si="5"/>
        <v>22</v>
      </c>
      <c r="BO326" s="51" t="s">
        <v>95</v>
      </c>
    </row>
    <row r="327" spans="66:67" x14ac:dyDescent="0.3">
      <c r="BN327" s="51">
        <f t="shared" si="5"/>
        <v>23</v>
      </c>
      <c r="BO327" s="51" t="s">
        <v>95</v>
      </c>
    </row>
    <row r="328" spans="66:67" x14ac:dyDescent="0.3">
      <c r="BN328" s="51">
        <f t="shared" si="5"/>
        <v>24</v>
      </c>
      <c r="BO328" s="51" t="s">
        <v>95</v>
      </c>
    </row>
    <row r="329" spans="66:67" x14ac:dyDescent="0.3">
      <c r="BN329" s="51">
        <f t="shared" si="5"/>
        <v>25</v>
      </c>
      <c r="BO329" s="51" t="s">
        <v>95</v>
      </c>
    </row>
    <row r="330" spans="66:67" x14ac:dyDescent="0.3">
      <c r="BN330" s="51">
        <f t="shared" si="5"/>
        <v>26</v>
      </c>
      <c r="BO330" s="51" t="s">
        <v>95</v>
      </c>
    </row>
    <row r="331" spans="66:67" x14ac:dyDescent="0.3">
      <c r="BN331" s="51">
        <f t="shared" si="5"/>
        <v>27</v>
      </c>
      <c r="BO331" s="51" t="s">
        <v>95</v>
      </c>
    </row>
    <row r="332" spans="66:67" x14ac:dyDescent="0.3">
      <c r="BN332" s="51">
        <f t="shared" si="5"/>
        <v>28</v>
      </c>
      <c r="BO332" s="51" t="s">
        <v>95</v>
      </c>
    </row>
    <row r="333" spans="66:67" x14ac:dyDescent="0.3">
      <c r="BN333" s="51">
        <f t="shared" si="5"/>
        <v>29</v>
      </c>
      <c r="BO333" s="51" t="s">
        <v>95</v>
      </c>
    </row>
    <row r="334" spans="66:67" x14ac:dyDescent="0.3">
      <c r="BN334" s="51">
        <f t="shared" si="5"/>
        <v>30</v>
      </c>
      <c r="BO334" s="51" t="s">
        <v>95</v>
      </c>
    </row>
    <row r="335" spans="66:67" x14ac:dyDescent="0.3">
      <c r="BN335" s="51">
        <f t="shared" si="5"/>
        <v>31</v>
      </c>
      <c r="BO335" s="51" t="s">
        <v>68</v>
      </c>
    </row>
    <row r="336" spans="66:67" x14ac:dyDescent="0.3">
      <c r="BN336" s="51">
        <f t="shared" si="5"/>
        <v>32</v>
      </c>
      <c r="BO336" s="51" t="s">
        <v>68</v>
      </c>
    </row>
    <row r="337" spans="66:67" x14ac:dyDescent="0.3">
      <c r="BN337" s="51">
        <f t="shared" si="5"/>
        <v>33</v>
      </c>
      <c r="BO337" s="51" t="s">
        <v>68</v>
      </c>
    </row>
    <row r="338" spans="66:67" x14ac:dyDescent="0.3">
      <c r="BN338" s="51">
        <f t="shared" si="5"/>
        <v>34</v>
      </c>
      <c r="BO338" s="51" t="s">
        <v>68</v>
      </c>
    </row>
    <row r="339" spans="66:67" x14ac:dyDescent="0.3">
      <c r="BN339" s="51">
        <f t="shared" si="5"/>
        <v>35</v>
      </c>
      <c r="BO339" s="51" t="s">
        <v>68</v>
      </c>
    </row>
    <row r="340" spans="66:67" x14ac:dyDescent="0.3">
      <c r="BN340" s="51">
        <f t="shared" si="5"/>
        <v>36</v>
      </c>
      <c r="BO340" s="51" t="s">
        <v>68</v>
      </c>
    </row>
    <row r="341" spans="66:67" x14ac:dyDescent="0.3">
      <c r="BN341" s="51">
        <f t="shared" si="5"/>
        <v>37</v>
      </c>
      <c r="BO341" s="51" t="s">
        <v>68</v>
      </c>
    </row>
    <row r="342" spans="66:67" x14ac:dyDescent="0.3">
      <c r="BN342" s="51">
        <f t="shared" si="5"/>
        <v>38</v>
      </c>
      <c r="BO342" s="51" t="s">
        <v>68</v>
      </c>
    </row>
    <row r="343" spans="66:67" x14ac:dyDescent="0.3">
      <c r="BN343" s="51">
        <f t="shared" si="5"/>
        <v>39</v>
      </c>
      <c r="BO343" s="51" t="s">
        <v>68</v>
      </c>
    </row>
    <row r="344" spans="66:67" x14ac:dyDescent="0.3">
      <c r="BN344" s="51">
        <f t="shared" si="5"/>
        <v>40</v>
      </c>
      <c r="BO344" s="51" t="s">
        <v>68</v>
      </c>
    </row>
    <row r="345" spans="66:67" x14ac:dyDescent="0.3">
      <c r="BN345" s="51">
        <f t="shared" si="5"/>
        <v>41</v>
      </c>
      <c r="BO345" s="51" t="s">
        <v>68</v>
      </c>
    </row>
    <row r="346" spans="66:67" x14ac:dyDescent="0.3">
      <c r="BN346" s="51">
        <f t="shared" si="5"/>
        <v>42</v>
      </c>
      <c r="BO346" s="51" t="s">
        <v>68</v>
      </c>
    </row>
    <row r="347" spans="66:67" x14ac:dyDescent="0.3">
      <c r="BN347" s="51">
        <f t="shared" si="5"/>
        <v>43</v>
      </c>
      <c r="BO347" s="51" t="s">
        <v>68</v>
      </c>
    </row>
    <row r="348" spans="66:67" x14ac:dyDescent="0.3">
      <c r="BN348" s="51">
        <f t="shared" si="5"/>
        <v>44</v>
      </c>
      <c r="BO348" s="51" t="s">
        <v>68</v>
      </c>
    </row>
    <row r="349" spans="66:67" x14ac:dyDescent="0.3">
      <c r="BN349" s="51">
        <f t="shared" si="5"/>
        <v>45</v>
      </c>
      <c r="BO349" s="51" t="s">
        <v>68</v>
      </c>
    </row>
    <row r="350" spans="66:67" x14ac:dyDescent="0.3">
      <c r="BN350" s="51">
        <f t="shared" si="5"/>
        <v>46</v>
      </c>
      <c r="BO350" s="51" t="s">
        <v>68</v>
      </c>
    </row>
    <row r="351" spans="66:67" x14ac:dyDescent="0.3">
      <c r="BN351" s="51">
        <f t="shared" si="5"/>
        <v>47</v>
      </c>
      <c r="BO351" s="51" t="s">
        <v>68</v>
      </c>
    </row>
    <row r="352" spans="66:67" x14ac:dyDescent="0.3">
      <c r="BN352" s="51">
        <f t="shared" si="5"/>
        <v>48</v>
      </c>
      <c r="BO352" s="51" t="s">
        <v>68</v>
      </c>
    </row>
    <row r="353" spans="66:67" x14ac:dyDescent="0.3">
      <c r="BN353" s="51">
        <f t="shared" si="5"/>
        <v>49</v>
      </c>
      <c r="BO353" s="51" t="s">
        <v>68</v>
      </c>
    </row>
    <row r="354" spans="66:67" x14ac:dyDescent="0.3">
      <c r="BN354" s="51">
        <f t="shared" si="5"/>
        <v>50</v>
      </c>
      <c r="BO354" s="51" t="s">
        <v>68</v>
      </c>
    </row>
    <row r="355" spans="66:67" x14ac:dyDescent="0.3">
      <c r="BN355" s="51">
        <f t="shared" si="5"/>
        <v>51</v>
      </c>
      <c r="BO355" s="51" t="s">
        <v>68</v>
      </c>
    </row>
    <row r="356" spans="66:67" x14ac:dyDescent="0.3">
      <c r="BN356" s="51">
        <f t="shared" si="5"/>
        <v>52</v>
      </c>
      <c r="BO356" s="51" t="s">
        <v>68</v>
      </c>
    </row>
    <row r="357" spans="66:67" x14ac:dyDescent="0.3">
      <c r="BN357" s="51">
        <f t="shared" si="5"/>
        <v>53</v>
      </c>
      <c r="BO357" s="51" t="s">
        <v>68</v>
      </c>
    </row>
    <row r="358" spans="66:67" x14ac:dyDescent="0.3">
      <c r="BN358" s="51">
        <f t="shared" si="5"/>
        <v>54</v>
      </c>
      <c r="BO358" s="51" t="s">
        <v>68</v>
      </c>
    </row>
    <row r="359" spans="66:67" x14ac:dyDescent="0.3">
      <c r="BN359" s="51">
        <f t="shared" si="5"/>
        <v>55</v>
      </c>
      <c r="BO359" s="51" t="s">
        <v>68</v>
      </c>
    </row>
    <row r="360" spans="66:67" x14ac:dyDescent="0.3">
      <c r="BN360" s="51">
        <f t="shared" si="5"/>
        <v>56</v>
      </c>
      <c r="BO360" s="51" t="s">
        <v>68</v>
      </c>
    </row>
    <row r="361" spans="66:67" x14ac:dyDescent="0.3">
      <c r="BN361" s="51">
        <f t="shared" si="5"/>
        <v>57</v>
      </c>
      <c r="BO361" s="51" t="s">
        <v>68</v>
      </c>
    </row>
    <row r="362" spans="66:67" x14ac:dyDescent="0.3">
      <c r="BN362" s="51">
        <f t="shared" si="5"/>
        <v>58</v>
      </c>
      <c r="BO362" s="51" t="s">
        <v>68</v>
      </c>
    </row>
    <row r="363" spans="66:67" x14ac:dyDescent="0.3">
      <c r="BN363" s="51">
        <f t="shared" si="5"/>
        <v>59</v>
      </c>
      <c r="BO363" s="51" t="s">
        <v>68</v>
      </c>
    </row>
    <row r="364" spans="66:67" x14ac:dyDescent="0.3">
      <c r="BN364" s="51">
        <f t="shared" si="5"/>
        <v>60</v>
      </c>
      <c r="BO364" s="51" t="s">
        <v>68</v>
      </c>
    </row>
    <row r="365" spans="66:67" x14ac:dyDescent="0.3">
      <c r="BN365" s="51">
        <f t="shared" si="5"/>
        <v>61</v>
      </c>
      <c r="BO365" s="51" t="s">
        <v>68</v>
      </c>
    </row>
    <row r="366" spans="66:67" x14ac:dyDescent="0.3">
      <c r="BN366" s="51">
        <f t="shared" si="5"/>
        <v>62</v>
      </c>
      <c r="BO366" s="51" t="s">
        <v>68</v>
      </c>
    </row>
    <row r="367" spans="66:67" x14ac:dyDescent="0.3">
      <c r="BN367" s="51">
        <f t="shared" si="5"/>
        <v>63</v>
      </c>
      <c r="BO367" s="51" t="s">
        <v>68</v>
      </c>
    </row>
    <row r="368" spans="66:67" x14ac:dyDescent="0.3">
      <c r="BN368" s="51">
        <f t="shared" si="5"/>
        <v>64</v>
      </c>
      <c r="BO368" s="51" t="s">
        <v>68</v>
      </c>
    </row>
    <row r="369" spans="66:67" x14ac:dyDescent="0.3">
      <c r="BN369" s="51">
        <f t="shared" si="5"/>
        <v>65</v>
      </c>
      <c r="BO369" s="51" t="s">
        <v>68</v>
      </c>
    </row>
    <row r="370" spans="66:67" x14ac:dyDescent="0.3">
      <c r="BN370" s="51">
        <f t="shared" si="5"/>
        <v>66</v>
      </c>
      <c r="BO370" s="51" t="s">
        <v>68</v>
      </c>
    </row>
    <row r="371" spans="66:67" x14ac:dyDescent="0.3">
      <c r="BN371" s="51">
        <f t="shared" si="5"/>
        <v>67</v>
      </c>
      <c r="BO371" s="51" t="s">
        <v>68</v>
      </c>
    </row>
    <row r="372" spans="66:67" x14ac:dyDescent="0.3">
      <c r="BN372" s="51">
        <f t="shared" ref="BN372:BN435" si="6">BN371+1</f>
        <v>68</v>
      </c>
      <c r="BO372" s="51" t="s">
        <v>68</v>
      </c>
    </row>
    <row r="373" spans="66:67" x14ac:dyDescent="0.3">
      <c r="BN373" s="51">
        <f t="shared" si="6"/>
        <v>69</v>
      </c>
      <c r="BO373" s="51" t="s">
        <v>68</v>
      </c>
    </row>
    <row r="374" spans="66:67" x14ac:dyDescent="0.3">
      <c r="BN374" s="51">
        <f t="shared" si="6"/>
        <v>70</v>
      </c>
      <c r="BO374" s="51" t="s">
        <v>68</v>
      </c>
    </row>
    <row r="375" spans="66:67" x14ac:dyDescent="0.3">
      <c r="BN375" s="51">
        <f t="shared" si="6"/>
        <v>71</v>
      </c>
      <c r="BO375" s="51" t="s">
        <v>68</v>
      </c>
    </row>
    <row r="376" spans="66:67" x14ac:dyDescent="0.3">
      <c r="BN376" s="51">
        <f t="shared" si="6"/>
        <v>72</v>
      </c>
      <c r="BO376" s="51" t="s">
        <v>68</v>
      </c>
    </row>
    <row r="377" spans="66:67" x14ac:dyDescent="0.3">
      <c r="BN377" s="51">
        <f t="shared" si="6"/>
        <v>73</v>
      </c>
      <c r="BO377" s="51" t="s">
        <v>68</v>
      </c>
    </row>
    <row r="378" spans="66:67" x14ac:dyDescent="0.3">
      <c r="BN378" s="51">
        <f t="shared" si="6"/>
        <v>74</v>
      </c>
      <c r="BO378" s="51" t="s">
        <v>68</v>
      </c>
    </row>
    <row r="379" spans="66:67" x14ac:dyDescent="0.3">
      <c r="BN379" s="51">
        <f t="shared" si="6"/>
        <v>75</v>
      </c>
      <c r="BO379" s="51" t="s">
        <v>68</v>
      </c>
    </row>
    <row r="380" spans="66:67" x14ac:dyDescent="0.3">
      <c r="BN380" s="51">
        <f t="shared" si="6"/>
        <v>76</v>
      </c>
      <c r="BO380" s="51" t="s">
        <v>68</v>
      </c>
    </row>
    <row r="381" spans="66:67" x14ac:dyDescent="0.3">
      <c r="BN381" s="51">
        <f t="shared" si="6"/>
        <v>77</v>
      </c>
      <c r="BO381" s="51" t="s">
        <v>68</v>
      </c>
    </row>
    <row r="382" spans="66:67" x14ac:dyDescent="0.3">
      <c r="BN382" s="51">
        <f t="shared" si="6"/>
        <v>78</v>
      </c>
      <c r="BO382" s="51" t="s">
        <v>68</v>
      </c>
    </row>
    <row r="383" spans="66:67" x14ac:dyDescent="0.3">
      <c r="BN383" s="51">
        <f t="shared" si="6"/>
        <v>79</v>
      </c>
      <c r="BO383" s="51" t="s">
        <v>68</v>
      </c>
    </row>
    <row r="384" spans="66:67" x14ac:dyDescent="0.3">
      <c r="BN384" s="51">
        <f t="shared" si="6"/>
        <v>80</v>
      </c>
      <c r="BO384" s="51" t="s">
        <v>68</v>
      </c>
    </row>
    <row r="385" spans="66:67" x14ac:dyDescent="0.3">
      <c r="BN385" s="51">
        <f t="shared" si="6"/>
        <v>81</v>
      </c>
      <c r="BO385" s="51" t="s">
        <v>68</v>
      </c>
    </row>
    <row r="386" spans="66:67" x14ac:dyDescent="0.3">
      <c r="BN386" s="51">
        <f t="shared" si="6"/>
        <v>82</v>
      </c>
      <c r="BO386" s="51" t="s">
        <v>68</v>
      </c>
    </row>
    <row r="387" spans="66:67" x14ac:dyDescent="0.3">
      <c r="BN387" s="51">
        <f t="shared" si="6"/>
        <v>83</v>
      </c>
      <c r="BO387" s="51" t="s">
        <v>68</v>
      </c>
    </row>
    <row r="388" spans="66:67" x14ac:dyDescent="0.3">
      <c r="BN388" s="51">
        <f t="shared" si="6"/>
        <v>84</v>
      </c>
      <c r="BO388" s="51" t="s">
        <v>68</v>
      </c>
    </row>
    <row r="389" spans="66:67" x14ac:dyDescent="0.3">
      <c r="BN389" s="51">
        <f t="shared" si="6"/>
        <v>85</v>
      </c>
      <c r="BO389" s="51" t="s">
        <v>68</v>
      </c>
    </row>
    <row r="390" spans="66:67" x14ac:dyDescent="0.3">
      <c r="BN390" s="51">
        <f t="shared" si="6"/>
        <v>86</v>
      </c>
      <c r="BO390" s="51" t="s">
        <v>68</v>
      </c>
    </row>
    <row r="391" spans="66:67" x14ac:dyDescent="0.3">
      <c r="BN391" s="51">
        <f t="shared" si="6"/>
        <v>87</v>
      </c>
      <c r="BO391" s="51" t="s">
        <v>68</v>
      </c>
    </row>
    <row r="392" spans="66:67" x14ac:dyDescent="0.3">
      <c r="BN392" s="51">
        <f t="shared" si="6"/>
        <v>88</v>
      </c>
      <c r="BO392" s="51" t="s">
        <v>68</v>
      </c>
    </row>
    <row r="393" spans="66:67" x14ac:dyDescent="0.3">
      <c r="BN393" s="51">
        <f t="shared" si="6"/>
        <v>89</v>
      </c>
      <c r="BO393" s="51" t="s">
        <v>68</v>
      </c>
    </row>
    <row r="394" spans="66:67" x14ac:dyDescent="0.3">
      <c r="BN394" s="51">
        <f t="shared" si="6"/>
        <v>90</v>
      </c>
      <c r="BO394" s="51" t="s">
        <v>68</v>
      </c>
    </row>
    <row r="395" spans="66:67" x14ac:dyDescent="0.3">
      <c r="BN395" s="51">
        <f t="shared" si="6"/>
        <v>91</v>
      </c>
      <c r="BO395" s="51" t="s">
        <v>68</v>
      </c>
    </row>
    <row r="396" spans="66:67" x14ac:dyDescent="0.3">
      <c r="BN396" s="51">
        <f t="shared" si="6"/>
        <v>92</v>
      </c>
      <c r="BO396" s="51" t="s">
        <v>68</v>
      </c>
    </row>
    <row r="397" spans="66:67" x14ac:dyDescent="0.3">
      <c r="BN397" s="51">
        <f t="shared" si="6"/>
        <v>93</v>
      </c>
      <c r="BO397" s="51" t="s">
        <v>68</v>
      </c>
    </row>
    <row r="398" spans="66:67" x14ac:dyDescent="0.3">
      <c r="BN398" s="51">
        <f t="shared" si="6"/>
        <v>94</v>
      </c>
      <c r="BO398" s="51" t="s">
        <v>68</v>
      </c>
    </row>
    <row r="399" spans="66:67" x14ac:dyDescent="0.3">
      <c r="BN399" s="51">
        <f t="shared" si="6"/>
        <v>95</v>
      </c>
      <c r="BO399" s="51" t="s">
        <v>68</v>
      </c>
    </row>
    <row r="400" spans="66:67" x14ac:dyDescent="0.3">
      <c r="BN400" s="51">
        <f t="shared" si="6"/>
        <v>96</v>
      </c>
      <c r="BO400" s="51" t="s">
        <v>68</v>
      </c>
    </row>
    <row r="401" spans="66:67" x14ac:dyDescent="0.3">
      <c r="BN401" s="51">
        <f t="shared" si="6"/>
        <v>97</v>
      </c>
      <c r="BO401" s="51" t="s">
        <v>68</v>
      </c>
    </row>
    <row r="402" spans="66:67" x14ac:dyDescent="0.3">
      <c r="BN402" s="51">
        <f t="shared" si="6"/>
        <v>98</v>
      </c>
      <c r="BO402" s="51" t="s">
        <v>68</v>
      </c>
    </row>
    <row r="403" spans="66:67" x14ac:dyDescent="0.3">
      <c r="BN403" s="51">
        <f t="shared" si="6"/>
        <v>99</v>
      </c>
      <c r="BO403" s="51" t="s">
        <v>68</v>
      </c>
    </row>
    <row r="404" spans="66:67" x14ac:dyDescent="0.3">
      <c r="BN404" s="51">
        <f t="shared" si="6"/>
        <v>100</v>
      </c>
      <c r="BO404" s="51" t="s">
        <v>68</v>
      </c>
    </row>
    <row r="405" spans="66:67" x14ac:dyDescent="0.3">
      <c r="BN405" s="51">
        <f t="shared" si="6"/>
        <v>101</v>
      </c>
      <c r="BO405" s="51" t="s">
        <v>68</v>
      </c>
    </row>
    <row r="406" spans="66:67" x14ac:dyDescent="0.3">
      <c r="BN406" s="51">
        <f t="shared" si="6"/>
        <v>102</v>
      </c>
      <c r="BO406" s="51" t="s">
        <v>68</v>
      </c>
    </row>
    <row r="407" spans="66:67" x14ac:dyDescent="0.3">
      <c r="BN407" s="51">
        <f t="shared" si="6"/>
        <v>103</v>
      </c>
      <c r="BO407" s="51" t="s">
        <v>68</v>
      </c>
    </row>
    <row r="408" spans="66:67" x14ac:dyDescent="0.3">
      <c r="BN408" s="51">
        <f t="shared" si="6"/>
        <v>104</v>
      </c>
      <c r="BO408" s="51" t="s">
        <v>68</v>
      </c>
    </row>
    <row r="409" spans="66:67" x14ac:dyDescent="0.3">
      <c r="BN409" s="51">
        <f t="shared" si="6"/>
        <v>105</v>
      </c>
      <c r="BO409" s="51" t="s">
        <v>68</v>
      </c>
    </row>
    <row r="410" spans="66:67" x14ac:dyDescent="0.3">
      <c r="BN410" s="51">
        <f t="shared" si="6"/>
        <v>106</v>
      </c>
      <c r="BO410" s="51" t="s">
        <v>68</v>
      </c>
    </row>
    <row r="411" spans="66:67" x14ac:dyDescent="0.3">
      <c r="BN411" s="51">
        <f t="shared" si="6"/>
        <v>107</v>
      </c>
      <c r="BO411" s="51" t="s">
        <v>68</v>
      </c>
    </row>
    <row r="412" spans="66:67" x14ac:dyDescent="0.3">
      <c r="BN412" s="51">
        <f t="shared" si="6"/>
        <v>108</v>
      </c>
      <c r="BO412" s="51" t="s">
        <v>68</v>
      </c>
    </row>
    <row r="413" spans="66:67" x14ac:dyDescent="0.3">
      <c r="BN413" s="51">
        <f t="shared" si="6"/>
        <v>109</v>
      </c>
      <c r="BO413" s="51" t="s">
        <v>68</v>
      </c>
    </row>
    <row r="414" spans="66:67" x14ac:dyDescent="0.3">
      <c r="BN414" s="51">
        <f t="shared" si="6"/>
        <v>110</v>
      </c>
      <c r="BO414" s="51" t="s">
        <v>68</v>
      </c>
    </row>
    <row r="415" spans="66:67" x14ac:dyDescent="0.3">
      <c r="BN415" s="51">
        <f t="shared" si="6"/>
        <v>111</v>
      </c>
      <c r="BO415" s="51" t="s">
        <v>68</v>
      </c>
    </row>
    <row r="416" spans="66:67" x14ac:dyDescent="0.3">
      <c r="BN416" s="51">
        <f t="shared" si="6"/>
        <v>112</v>
      </c>
      <c r="BO416" s="51" t="s">
        <v>68</v>
      </c>
    </row>
    <row r="417" spans="66:67" x14ac:dyDescent="0.3">
      <c r="BN417" s="51">
        <f t="shared" si="6"/>
        <v>113</v>
      </c>
      <c r="BO417" s="51" t="s">
        <v>68</v>
      </c>
    </row>
    <row r="418" spans="66:67" x14ac:dyDescent="0.3">
      <c r="BN418" s="51">
        <f t="shared" si="6"/>
        <v>114</v>
      </c>
      <c r="BO418" s="51" t="s">
        <v>68</v>
      </c>
    </row>
    <row r="419" spans="66:67" x14ac:dyDescent="0.3">
      <c r="BN419" s="51">
        <f t="shared" si="6"/>
        <v>115</v>
      </c>
      <c r="BO419" s="51" t="s">
        <v>68</v>
      </c>
    </row>
    <row r="420" spans="66:67" x14ac:dyDescent="0.3">
      <c r="BN420" s="51">
        <f t="shared" si="6"/>
        <v>116</v>
      </c>
      <c r="BO420" s="51" t="s">
        <v>68</v>
      </c>
    </row>
    <row r="421" spans="66:67" x14ac:dyDescent="0.3">
      <c r="BN421" s="51">
        <f t="shared" si="6"/>
        <v>117</v>
      </c>
      <c r="BO421" s="51" t="s">
        <v>68</v>
      </c>
    </row>
    <row r="422" spans="66:67" x14ac:dyDescent="0.3">
      <c r="BN422" s="51">
        <f t="shared" si="6"/>
        <v>118</v>
      </c>
      <c r="BO422" s="51" t="s">
        <v>68</v>
      </c>
    </row>
    <row r="423" spans="66:67" x14ac:dyDescent="0.3">
      <c r="BN423" s="51">
        <f t="shared" si="6"/>
        <v>119</v>
      </c>
      <c r="BO423" s="51" t="s">
        <v>68</v>
      </c>
    </row>
    <row r="424" spans="66:67" x14ac:dyDescent="0.3">
      <c r="BN424" s="51">
        <f t="shared" si="6"/>
        <v>120</v>
      </c>
      <c r="BO424" s="51" t="s">
        <v>68</v>
      </c>
    </row>
    <row r="425" spans="66:67" x14ac:dyDescent="0.3">
      <c r="BN425" s="51">
        <f t="shared" si="6"/>
        <v>121</v>
      </c>
      <c r="BO425" s="51" t="s">
        <v>68</v>
      </c>
    </row>
    <row r="426" spans="66:67" x14ac:dyDescent="0.3">
      <c r="BN426" s="51">
        <f t="shared" si="6"/>
        <v>122</v>
      </c>
      <c r="BO426" s="51" t="s">
        <v>68</v>
      </c>
    </row>
    <row r="427" spans="66:67" x14ac:dyDescent="0.3">
      <c r="BN427" s="51">
        <f t="shared" si="6"/>
        <v>123</v>
      </c>
      <c r="BO427" s="51" t="s">
        <v>68</v>
      </c>
    </row>
    <row r="428" spans="66:67" x14ac:dyDescent="0.3">
      <c r="BN428" s="51">
        <f t="shared" si="6"/>
        <v>124</v>
      </c>
      <c r="BO428" s="51" t="s">
        <v>68</v>
      </c>
    </row>
    <row r="429" spans="66:67" x14ac:dyDescent="0.3">
      <c r="BN429" s="51">
        <f t="shared" si="6"/>
        <v>125</v>
      </c>
      <c r="BO429" s="51" t="s">
        <v>68</v>
      </c>
    </row>
    <row r="430" spans="66:67" x14ac:dyDescent="0.3">
      <c r="BN430" s="51">
        <f t="shared" si="6"/>
        <v>126</v>
      </c>
      <c r="BO430" s="51" t="s">
        <v>68</v>
      </c>
    </row>
    <row r="431" spans="66:67" x14ac:dyDescent="0.3">
      <c r="BN431" s="51">
        <f t="shared" si="6"/>
        <v>127</v>
      </c>
      <c r="BO431" s="51" t="s">
        <v>68</v>
      </c>
    </row>
    <row r="432" spans="66:67" x14ac:dyDescent="0.3">
      <c r="BN432" s="51">
        <f t="shared" si="6"/>
        <v>128</v>
      </c>
      <c r="BO432" s="51" t="s">
        <v>68</v>
      </c>
    </row>
    <row r="433" spans="66:67" x14ac:dyDescent="0.3">
      <c r="BN433" s="51">
        <f t="shared" si="6"/>
        <v>129</v>
      </c>
      <c r="BO433" s="51" t="s">
        <v>68</v>
      </c>
    </row>
    <row r="434" spans="66:67" x14ac:dyDescent="0.3">
      <c r="BN434" s="51">
        <f t="shared" si="6"/>
        <v>130</v>
      </c>
      <c r="BO434" s="51" t="s">
        <v>68</v>
      </c>
    </row>
    <row r="435" spans="66:67" x14ac:dyDescent="0.3">
      <c r="BN435" s="51">
        <f t="shared" si="6"/>
        <v>131</v>
      </c>
      <c r="BO435" s="51" t="s">
        <v>68</v>
      </c>
    </row>
    <row r="436" spans="66:67" x14ac:dyDescent="0.3">
      <c r="BN436" s="51">
        <f t="shared" ref="BN436:BN499" si="7">BN435+1</f>
        <v>132</v>
      </c>
      <c r="BO436" s="51" t="s">
        <v>68</v>
      </c>
    </row>
    <row r="437" spans="66:67" x14ac:dyDescent="0.3">
      <c r="BN437" s="51">
        <f t="shared" si="7"/>
        <v>133</v>
      </c>
      <c r="BO437" s="51" t="s">
        <v>68</v>
      </c>
    </row>
    <row r="438" spans="66:67" x14ac:dyDescent="0.3">
      <c r="BN438" s="51">
        <f t="shared" si="7"/>
        <v>134</v>
      </c>
      <c r="BO438" s="51" t="s">
        <v>68</v>
      </c>
    </row>
    <row r="439" spans="66:67" x14ac:dyDescent="0.3">
      <c r="BN439" s="51">
        <f t="shared" si="7"/>
        <v>135</v>
      </c>
      <c r="BO439" s="51" t="s">
        <v>68</v>
      </c>
    </row>
    <row r="440" spans="66:67" x14ac:dyDescent="0.3">
      <c r="BN440" s="51">
        <f t="shared" si="7"/>
        <v>136</v>
      </c>
      <c r="BO440" s="51" t="s">
        <v>68</v>
      </c>
    </row>
    <row r="441" spans="66:67" x14ac:dyDescent="0.3">
      <c r="BN441" s="51">
        <f t="shared" si="7"/>
        <v>137</v>
      </c>
      <c r="BO441" s="51" t="s">
        <v>68</v>
      </c>
    </row>
    <row r="442" spans="66:67" x14ac:dyDescent="0.3">
      <c r="BN442" s="51">
        <f t="shared" si="7"/>
        <v>138</v>
      </c>
      <c r="BO442" s="51" t="s">
        <v>68</v>
      </c>
    </row>
    <row r="443" spans="66:67" x14ac:dyDescent="0.3">
      <c r="BN443" s="51">
        <f t="shared" si="7"/>
        <v>139</v>
      </c>
      <c r="BO443" s="51" t="s">
        <v>68</v>
      </c>
    </row>
    <row r="444" spans="66:67" x14ac:dyDescent="0.3">
      <c r="BN444" s="51">
        <f t="shared" si="7"/>
        <v>140</v>
      </c>
      <c r="BO444" s="51" t="s">
        <v>68</v>
      </c>
    </row>
    <row r="445" spans="66:67" x14ac:dyDescent="0.3">
      <c r="BN445" s="51">
        <f t="shared" si="7"/>
        <v>141</v>
      </c>
      <c r="BO445" s="51" t="s">
        <v>68</v>
      </c>
    </row>
    <row r="446" spans="66:67" x14ac:dyDescent="0.3">
      <c r="BN446" s="51">
        <f t="shared" si="7"/>
        <v>142</v>
      </c>
      <c r="BO446" s="51" t="s">
        <v>68</v>
      </c>
    </row>
    <row r="447" spans="66:67" x14ac:dyDescent="0.3">
      <c r="BN447" s="51">
        <f t="shared" si="7"/>
        <v>143</v>
      </c>
      <c r="BO447" s="51" t="s">
        <v>68</v>
      </c>
    </row>
    <row r="448" spans="66:67" x14ac:dyDescent="0.3">
      <c r="BN448" s="51">
        <f t="shared" si="7"/>
        <v>144</v>
      </c>
      <c r="BO448" s="51" t="s">
        <v>68</v>
      </c>
    </row>
    <row r="449" spans="66:67" x14ac:dyDescent="0.3">
      <c r="BN449" s="51">
        <f t="shared" si="7"/>
        <v>145</v>
      </c>
      <c r="BO449" s="51" t="s">
        <v>68</v>
      </c>
    </row>
    <row r="450" spans="66:67" x14ac:dyDescent="0.3">
      <c r="BN450" s="51">
        <f t="shared" si="7"/>
        <v>146</v>
      </c>
      <c r="BO450" s="51" t="s">
        <v>68</v>
      </c>
    </row>
    <row r="451" spans="66:67" x14ac:dyDescent="0.3">
      <c r="BN451" s="51">
        <f t="shared" si="7"/>
        <v>147</v>
      </c>
      <c r="BO451" s="51" t="s">
        <v>68</v>
      </c>
    </row>
    <row r="452" spans="66:67" x14ac:dyDescent="0.3">
      <c r="BN452" s="51">
        <f t="shared" si="7"/>
        <v>148</v>
      </c>
      <c r="BO452" s="51" t="s">
        <v>68</v>
      </c>
    </row>
    <row r="453" spans="66:67" x14ac:dyDescent="0.3">
      <c r="BN453" s="51">
        <f t="shared" si="7"/>
        <v>149</v>
      </c>
      <c r="BO453" s="51" t="s">
        <v>68</v>
      </c>
    </row>
    <row r="454" spans="66:67" x14ac:dyDescent="0.3">
      <c r="BN454" s="51">
        <f t="shared" si="7"/>
        <v>150</v>
      </c>
      <c r="BO454" s="51" t="s">
        <v>68</v>
      </c>
    </row>
    <row r="455" spans="66:67" x14ac:dyDescent="0.3">
      <c r="BN455" s="51">
        <f t="shared" si="7"/>
        <v>151</v>
      </c>
      <c r="BO455" s="51" t="s">
        <v>68</v>
      </c>
    </row>
    <row r="456" spans="66:67" x14ac:dyDescent="0.3">
      <c r="BN456" s="51">
        <f t="shared" si="7"/>
        <v>152</v>
      </c>
      <c r="BO456" s="51" t="s">
        <v>68</v>
      </c>
    </row>
    <row r="457" spans="66:67" x14ac:dyDescent="0.3">
      <c r="BN457" s="51">
        <f t="shared" si="7"/>
        <v>153</v>
      </c>
      <c r="BO457" s="51" t="s">
        <v>68</v>
      </c>
    </row>
    <row r="458" spans="66:67" x14ac:dyDescent="0.3">
      <c r="BN458" s="51">
        <f t="shared" si="7"/>
        <v>154</v>
      </c>
      <c r="BO458" s="51" t="s">
        <v>68</v>
      </c>
    </row>
    <row r="459" spans="66:67" x14ac:dyDescent="0.3">
      <c r="BN459" s="51">
        <f t="shared" si="7"/>
        <v>155</v>
      </c>
      <c r="BO459" s="51" t="s">
        <v>68</v>
      </c>
    </row>
    <row r="460" spans="66:67" x14ac:dyDescent="0.3">
      <c r="BN460" s="51">
        <f t="shared" si="7"/>
        <v>156</v>
      </c>
      <c r="BO460" s="51" t="s">
        <v>68</v>
      </c>
    </row>
    <row r="461" spans="66:67" x14ac:dyDescent="0.3">
      <c r="BN461" s="51">
        <f t="shared" si="7"/>
        <v>157</v>
      </c>
      <c r="BO461" s="51" t="s">
        <v>68</v>
      </c>
    </row>
    <row r="462" spans="66:67" x14ac:dyDescent="0.3">
      <c r="BN462" s="51">
        <f t="shared" si="7"/>
        <v>158</v>
      </c>
      <c r="BO462" s="51" t="s">
        <v>68</v>
      </c>
    </row>
    <row r="463" spans="66:67" x14ac:dyDescent="0.3">
      <c r="BN463" s="51">
        <f t="shared" si="7"/>
        <v>159</v>
      </c>
      <c r="BO463" s="51" t="s">
        <v>68</v>
      </c>
    </row>
    <row r="464" spans="66:67" x14ac:dyDescent="0.3">
      <c r="BN464" s="51">
        <f t="shared" si="7"/>
        <v>160</v>
      </c>
      <c r="BO464" s="51" t="s">
        <v>68</v>
      </c>
    </row>
    <row r="465" spans="66:67" x14ac:dyDescent="0.3">
      <c r="BN465" s="51">
        <f t="shared" si="7"/>
        <v>161</v>
      </c>
      <c r="BO465" s="51" t="s">
        <v>68</v>
      </c>
    </row>
    <row r="466" spans="66:67" x14ac:dyDescent="0.3">
      <c r="BN466" s="51">
        <f t="shared" si="7"/>
        <v>162</v>
      </c>
      <c r="BO466" s="51" t="s">
        <v>68</v>
      </c>
    </row>
    <row r="467" spans="66:67" x14ac:dyDescent="0.3">
      <c r="BN467" s="51">
        <f t="shared" si="7"/>
        <v>163</v>
      </c>
      <c r="BO467" s="51" t="s">
        <v>68</v>
      </c>
    </row>
    <row r="468" spans="66:67" x14ac:dyDescent="0.3">
      <c r="BN468" s="51">
        <f t="shared" si="7"/>
        <v>164</v>
      </c>
      <c r="BO468" s="51" t="s">
        <v>68</v>
      </c>
    </row>
    <row r="469" spans="66:67" x14ac:dyDescent="0.3">
      <c r="BN469" s="51">
        <f t="shared" si="7"/>
        <v>165</v>
      </c>
      <c r="BO469" s="51" t="s">
        <v>68</v>
      </c>
    </row>
    <row r="470" spans="66:67" x14ac:dyDescent="0.3">
      <c r="BN470" s="51">
        <f t="shared" si="7"/>
        <v>166</v>
      </c>
      <c r="BO470" s="51" t="s">
        <v>68</v>
      </c>
    </row>
    <row r="471" spans="66:67" x14ac:dyDescent="0.3">
      <c r="BN471" s="51">
        <f t="shared" si="7"/>
        <v>167</v>
      </c>
      <c r="BO471" s="51" t="s">
        <v>68</v>
      </c>
    </row>
    <row r="472" spans="66:67" x14ac:dyDescent="0.3">
      <c r="BN472" s="51">
        <f t="shared" si="7"/>
        <v>168</v>
      </c>
      <c r="BO472" s="51" t="s">
        <v>68</v>
      </c>
    </row>
    <row r="473" spans="66:67" x14ac:dyDescent="0.3">
      <c r="BN473" s="51">
        <f t="shared" si="7"/>
        <v>169</v>
      </c>
      <c r="BO473" s="51" t="s">
        <v>68</v>
      </c>
    </row>
    <row r="474" spans="66:67" x14ac:dyDescent="0.3">
      <c r="BN474" s="51">
        <f t="shared" si="7"/>
        <v>170</v>
      </c>
      <c r="BO474" s="51" t="s">
        <v>68</v>
      </c>
    </row>
    <row r="475" spans="66:67" x14ac:dyDescent="0.3">
      <c r="BN475" s="51">
        <f t="shared" si="7"/>
        <v>171</v>
      </c>
      <c r="BO475" s="51" t="s">
        <v>68</v>
      </c>
    </row>
    <row r="476" spans="66:67" x14ac:dyDescent="0.3">
      <c r="BN476" s="51">
        <f t="shared" si="7"/>
        <v>172</v>
      </c>
      <c r="BO476" s="51" t="s">
        <v>68</v>
      </c>
    </row>
    <row r="477" spans="66:67" x14ac:dyDescent="0.3">
      <c r="BN477" s="51">
        <f t="shared" si="7"/>
        <v>173</v>
      </c>
      <c r="BO477" s="51" t="s">
        <v>68</v>
      </c>
    </row>
    <row r="478" spans="66:67" x14ac:dyDescent="0.3">
      <c r="BN478" s="51">
        <f t="shared" si="7"/>
        <v>174</v>
      </c>
      <c r="BO478" s="51" t="s">
        <v>68</v>
      </c>
    </row>
    <row r="479" spans="66:67" x14ac:dyDescent="0.3">
      <c r="BN479" s="51">
        <f t="shared" si="7"/>
        <v>175</v>
      </c>
      <c r="BO479" s="51" t="s">
        <v>68</v>
      </c>
    </row>
    <row r="480" spans="66:67" x14ac:dyDescent="0.3">
      <c r="BN480" s="51">
        <f t="shared" si="7"/>
        <v>176</v>
      </c>
      <c r="BO480" s="51" t="s">
        <v>68</v>
      </c>
    </row>
    <row r="481" spans="66:67" x14ac:dyDescent="0.3">
      <c r="BN481" s="51">
        <f t="shared" si="7"/>
        <v>177</v>
      </c>
      <c r="BO481" s="51" t="s">
        <v>68</v>
      </c>
    </row>
    <row r="482" spans="66:67" x14ac:dyDescent="0.3">
      <c r="BN482" s="51">
        <f t="shared" si="7"/>
        <v>178</v>
      </c>
      <c r="BO482" s="51" t="s">
        <v>68</v>
      </c>
    </row>
    <row r="483" spans="66:67" x14ac:dyDescent="0.3">
      <c r="BN483" s="51">
        <f t="shared" si="7"/>
        <v>179</v>
      </c>
      <c r="BO483" s="51" t="s">
        <v>68</v>
      </c>
    </row>
    <row r="484" spans="66:67" x14ac:dyDescent="0.3">
      <c r="BN484" s="51">
        <f t="shared" si="7"/>
        <v>180</v>
      </c>
      <c r="BO484" s="51" t="s">
        <v>68</v>
      </c>
    </row>
    <row r="485" spans="66:67" x14ac:dyDescent="0.3">
      <c r="BN485" s="51">
        <f t="shared" si="7"/>
        <v>181</v>
      </c>
      <c r="BO485" s="51" t="s">
        <v>68</v>
      </c>
    </row>
    <row r="486" spans="66:67" x14ac:dyDescent="0.3">
      <c r="BN486" s="51">
        <f t="shared" si="7"/>
        <v>182</v>
      </c>
      <c r="BO486" s="51" t="s">
        <v>68</v>
      </c>
    </row>
    <row r="487" spans="66:67" x14ac:dyDescent="0.3">
      <c r="BN487" s="51">
        <f t="shared" si="7"/>
        <v>183</v>
      </c>
      <c r="BO487" s="51" t="s">
        <v>68</v>
      </c>
    </row>
    <row r="488" spans="66:67" x14ac:dyDescent="0.3">
      <c r="BN488" s="51">
        <f t="shared" si="7"/>
        <v>184</v>
      </c>
      <c r="BO488" s="51" t="s">
        <v>68</v>
      </c>
    </row>
    <row r="489" spans="66:67" x14ac:dyDescent="0.3">
      <c r="BN489" s="51">
        <f t="shared" si="7"/>
        <v>185</v>
      </c>
      <c r="BO489" s="51" t="s">
        <v>68</v>
      </c>
    </row>
    <row r="490" spans="66:67" x14ac:dyDescent="0.3">
      <c r="BN490" s="51">
        <f t="shared" si="7"/>
        <v>186</v>
      </c>
      <c r="BO490" s="51" t="s">
        <v>68</v>
      </c>
    </row>
    <row r="491" spans="66:67" x14ac:dyDescent="0.3">
      <c r="BN491" s="51">
        <f t="shared" si="7"/>
        <v>187</v>
      </c>
      <c r="BO491" s="51" t="s">
        <v>68</v>
      </c>
    </row>
    <row r="492" spans="66:67" x14ac:dyDescent="0.3">
      <c r="BN492" s="51">
        <f t="shared" si="7"/>
        <v>188</v>
      </c>
      <c r="BO492" s="51" t="s">
        <v>68</v>
      </c>
    </row>
    <row r="493" spans="66:67" x14ac:dyDescent="0.3">
      <c r="BN493" s="51">
        <f t="shared" si="7"/>
        <v>189</v>
      </c>
      <c r="BO493" s="51" t="s">
        <v>68</v>
      </c>
    </row>
    <row r="494" spans="66:67" x14ac:dyDescent="0.3">
      <c r="BN494" s="51">
        <f t="shared" si="7"/>
        <v>190</v>
      </c>
      <c r="BO494" s="51" t="s">
        <v>68</v>
      </c>
    </row>
    <row r="495" spans="66:67" x14ac:dyDescent="0.3">
      <c r="BN495" s="51">
        <f t="shared" si="7"/>
        <v>191</v>
      </c>
      <c r="BO495" s="51" t="s">
        <v>68</v>
      </c>
    </row>
    <row r="496" spans="66:67" x14ac:dyDescent="0.3">
      <c r="BN496" s="51">
        <f t="shared" si="7"/>
        <v>192</v>
      </c>
      <c r="BO496" s="51" t="s">
        <v>68</v>
      </c>
    </row>
    <row r="497" spans="66:67" x14ac:dyDescent="0.3">
      <c r="BN497" s="51">
        <f t="shared" si="7"/>
        <v>193</v>
      </c>
      <c r="BO497" s="51" t="s">
        <v>68</v>
      </c>
    </row>
    <row r="498" spans="66:67" x14ac:dyDescent="0.3">
      <c r="BN498" s="51">
        <f t="shared" si="7"/>
        <v>194</v>
      </c>
      <c r="BO498" s="51" t="s">
        <v>68</v>
      </c>
    </row>
    <row r="499" spans="66:67" x14ac:dyDescent="0.3">
      <c r="BN499" s="51">
        <f t="shared" si="7"/>
        <v>195</v>
      </c>
      <c r="BO499" s="51" t="s">
        <v>68</v>
      </c>
    </row>
    <row r="500" spans="66:67" x14ac:dyDescent="0.3">
      <c r="BN500" s="51">
        <f t="shared" ref="BN500:BN563" si="8">BN499+1</f>
        <v>196</v>
      </c>
      <c r="BO500" s="51" t="s">
        <v>68</v>
      </c>
    </row>
    <row r="501" spans="66:67" x14ac:dyDescent="0.3">
      <c r="BN501" s="51">
        <f t="shared" si="8"/>
        <v>197</v>
      </c>
      <c r="BO501" s="51" t="s">
        <v>68</v>
      </c>
    </row>
    <row r="502" spans="66:67" x14ac:dyDescent="0.3">
      <c r="BN502" s="51">
        <f t="shared" si="8"/>
        <v>198</v>
      </c>
      <c r="BO502" s="51" t="s">
        <v>68</v>
      </c>
    </row>
    <row r="503" spans="66:67" x14ac:dyDescent="0.3">
      <c r="BN503" s="51">
        <f t="shared" si="8"/>
        <v>199</v>
      </c>
      <c r="BO503" s="51" t="s">
        <v>68</v>
      </c>
    </row>
    <row r="504" spans="66:67" x14ac:dyDescent="0.3">
      <c r="BN504" s="51">
        <f t="shared" si="8"/>
        <v>200</v>
      </c>
      <c r="BO504" s="51" t="s">
        <v>68</v>
      </c>
    </row>
    <row r="505" spans="66:67" x14ac:dyDescent="0.3">
      <c r="BN505" s="51">
        <f t="shared" si="8"/>
        <v>201</v>
      </c>
      <c r="BO505" s="51" t="s">
        <v>68</v>
      </c>
    </row>
    <row r="506" spans="66:67" x14ac:dyDescent="0.3">
      <c r="BN506" s="51">
        <f t="shared" si="8"/>
        <v>202</v>
      </c>
      <c r="BO506" s="51" t="s">
        <v>68</v>
      </c>
    </row>
    <row r="507" spans="66:67" x14ac:dyDescent="0.3">
      <c r="BN507" s="51">
        <f t="shared" si="8"/>
        <v>203</v>
      </c>
      <c r="BO507" s="51" t="s">
        <v>68</v>
      </c>
    </row>
    <row r="508" spans="66:67" x14ac:dyDescent="0.3">
      <c r="BN508" s="51">
        <f t="shared" si="8"/>
        <v>204</v>
      </c>
      <c r="BO508" s="51" t="s">
        <v>68</v>
      </c>
    </row>
    <row r="509" spans="66:67" x14ac:dyDescent="0.3">
      <c r="BN509" s="51">
        <f t="shared" si="8"/>
        <v>205</v>
      </c>
      <c r="BO509" s="51" t="s">
        <v>68</v>
      </c>
    </row>
    <row r="510" spans="66:67" x14ac:dyDescent="0.3">
      <c r="BN510" s="51">
        <f t="shared" si="8"/>
        <v>206</v>
      </c>
      <c r="BO510" s="51" t="s">
        <v>68</v>
      </c>
    </row>
    <row r="511" spans="66:67" x14ac:dyDescent="0.3">
      <c r="BN511" s="51">
        <f t="shared" si="8"/>
        <v>207</v>
      </c>
      <c r="BO511" s="51" t="s">
        <v>68</v>
      </c>
    </row>
    <row r="512" spans="66:67" x14ac:dyDescent="0.3">
      <c r="BN512" s="51">
        <f t="shared" si="8"/>
        <v>208</v>
      </c>
      <c r="BO512" s="51" t="s">
        <v>68</v>
      </c>
    </row>
    <row r="513" spans="66:67" x14ac:dyDescent="0.3">
      <c r="BN513" s="51">
        <f t="shared" si="8"/>
        <v>209</v>
      </c>
      <c r="BO513" s="51" t="s">
        <v>68</v>
      </c>
    </row>
    <row r="514" spans="66:67" x14ac:dyDescent="0.3">
      <c r="BN514" s="51">
        <f t="shared" si="8"/>
        <v>210</v>
      </c>
      <c r="BO514" s="51" t="s">
        <v>68</v>
      </c>
    </row>
    <row r="515" spans="66:67" x14ac:dyDescent="0.3">
      <c r="BN515" s="51">
        <f t="shared" si="8"/>
        <v>211</v>
      </c>
      <c r="BO515" s="51" t="s">
        <v>68</v>
      </c>
    </row>
    <row r="516" spans="66:67" x14ac:dyDescent="0.3">
      <c r="BN516" s="51">
        <f t="shared" si="8"/>
        <v>212</v>
      </c>
      <c r="BO516" s="51" t="s">
        <v>68</v>
      </c>
    </row>
    <row r="517" spans="66:67" x14ac:dyDescent="0.3">
      <c r="BN517" s="51">
        <f t="shared" si="8"/>
        <v>213</v>
      </c>
      <c r="BO517" s="51" t="s">
        <v>68</v>
      </c>
    </row>
    <row r="518" spans="66:67" x14ac:dyDescent="0.3">
      <c r="BN518" s="51">
        <f t="shared" si="8"/>
        <v>214</v>
      </c>
      <c r="BO518" s="51" t="s">
        <v>68</v>
      </c>
    </row>
    <row r="519" spans="66:67" x14ac:dyDescent="0.3">
      <c r="BN519" s="51">
        <f t="shared" si="8"/>
        <v>215</v>
      </c>
      <c r="BO519" s="51" t="s">
        <v>68</v>
      </c>
    </row>
    <row r="520" spans="66:67" x14ac:dyDescent="0.3">
      <c r="BN520" s="51">
        <f t="shared" si="8"/>
        <v>216</v>
      </c>
      <c r="BO520" s="51" t="s">
        <v>68</v>
      </c>
    </row>
    <row r="521" spans="66:67" x14ac:dyDescent="0.3">
      <c r="BN521" s="51">
        <f t="shared" si="8"/>
        <v>217</v>
      </c>
      <c r="BO521" s="51" t="s">
        <v>68</v>
      </c>
    </row>
    <row r="522" spans="66:67" x14ac:dyDescent="0.3">
      <c r="BN522" s="51">
        <f t="shared" si="8"/>
        <v>218</v>
      </c>
      <c r="BO522" s="51" t="s">
        <v>68</v>
      </c>
    </row>
    <row r="523" spans="66:67" x14ac:dyDescent="0.3">
      <c r="BN523" s="51">
        <f t="shared" si="8"/>
        <v>219</v>
      </c>
      <c r="BO523" s="51" t="s">
        <v>68</v>
      </c>
    </row>
    <row r="524" spans="66:67" x14ac:dyDescent="0.3">
      <c r="BN524" s="51">
        <f t="shared" si="8"/>
        <v>220</v>
      </c>
      <c r="BO524" s="51" t="s">
        <v>68</v>
      </c>
    </row>
    <row r="525" spans="66:67" x14ac:dyDescent="0.3">
      <c r="BN525" s="51">
        <f t="shared" si="8"/>
        <v>221</v>
      </c>
      <c r="BO525" s="51" t="s">
        <v>68</v>
      </c>
    </row>
    <row r="526" spans="66:67" x14ac:dyDescent="0.3">
      <c r="BN526" s="51">
        <f t="shared" si="8"/>
        <v>222</v>
      </c>
      <c r="BO526" s="51" t="s">
        <v>68</v>
      </c>
    </row>
    <row r="527" spans="66:67" x14ac:dyDescent="0.3">
      <c r="BN527" s="51">
        <f t="shared" si="8"/>
        <v>223</v>
      </c>
      <c r="BO527" s="51" t="s">
        <v>68</v>
      </c>
    </row>
    <row r="528" spans="66:67" x14ac:dyDescent="0.3">
      <c r="BN528" s="51">
        <f t="shared" si="8"/>
        <v>224</v>
      </c>
      <c r="BO528" s="51" t="s">
        <v>68</v>
      </c>
    </row>
    <row r="529" spans="66:67" x14ac:dyDescent="0.3">
      <c r="BN529" s="51">
        <f t="shared" si="8"/>
        <v>225</v>
      </c>
      <c r="BO529" s="51" t="s">
        <v>68</v>
      </c>
    </row>
    <row r="530" spans="66:67" x14ac:dyDescent="0.3">
      <c r="BN530" s="51">
        <f t="shared" si="8"/>
        <v>226</v>
      </c>
      <c r="BO530" s="51" t="s">
        <v>68</v>
      </c>
    </row>
    <row r="531" spans="66:67" x14ac:dyDescent="0.3">
      <c r="BN531" s="51">
        <f t="shared" si="8"/>
        <v>227</v>
      </c>
      <c r="BO531" s="51" t="s">
        <v>68</v>
      </c>
    </row>
    <row r="532" spans="66:67" x14ac:dyDescent="0.3">
      <c r="BN532" s="51">
        <f t="shared" si="8"/>
        <v>228</v>
      </c>
      <c r="BO532" s="51" t="s">
        <v>68</v>
      </c>
    </row>
    <row r="533" spans="66:67" x14ac:dyDescent="0.3">
      <c r="BN533" s="51">
        <f t="shared" si="8"/>
        <v>229</v>
      </c>
      <c r="BO533" s="51" t="s">
        <v>68</v>
      </c>
    </row>
    <row r="534" spans="66:67" x14ac:dyDescent="0.3">
      <c r="BN534" s="51">
        <f t="shared" si="8"/>
        <v>230</v>
      </c>
      <c r="BO534" s="51" t="s">
        <v>68</v>
      </c>
    </row>
    <row r="535" spans="66:67" x14ac:dyDescent="0.3">
      <c r="BN535" s="51">
        <f t="shared" si="8"/>
        <v>231</v>
      </c>
      <c r="BO535" s="51" t="s">
        <v>68</v>
      </c>
    </row>
    <row r="536" spans="66:67" x14ac:dyDescent="0.3">
      <c r="BN536" s="51">
        <f t="shared" si="8"/>
        <v>232</v>
      </c>
      <c r="BO536" s="51" t="s">
        <v>68</v>
      </c>
    </row>
    <row r="537" spans="66:67" x14ac:dyDescent="0.3">
      <c r="BN537" s="51">
        <f t="shared" si="8"/>
        <v>233</v>
      </c>
      <c r="BO537" s="51" t="s">
        <v>68</v>
      </c>
    </row>
    <row r="538" spans="66:67" x14ac:dyDescent="0.3">
      <c r="BN538" s="51">
        <f t="shared" si="8"/>
        <v>234</v>
      </c>
      <c r="BO538" s="51" t="s">
        <v>68</v>
      </c>
    </row>
    <row r="539" spans="66:67" x14ac:dyDescent="0.3">
      <c r="BN539" s="51">
        <f t="shared" si="8"/>
        <v>235</v>
      </c>
      <c r="BO539" s="51" t="s">
        <v>68</v>
      </c>
    </row>
    <row r="540" spans="66:67" x14ac:dyDescent="0.3">
      <c r="BN540" s="51">
        <f t="shared" si="8"/>
        <v>236</v>
      </c>
      <c r="BO540" s="51" t="s">
        <v>68</v>
      </c>
    </row>
    <row r="541" spans="66:67" x14ac:dyDescent="0.3">
      <c r="BN541" s="51">
        <f t="shared" si="8"/>
        <v>237</v>
      </c>
      <c r="BO541" s="51" t="s">
        <v>68</v>
      </c>
    </row>
    <row r="542" spans="66:67" x14ac:dyDescent="0.3">
      <c r="BN542" s="51">
        <f t="shared" si="8"/>
        <v>238</v>
      </c>
      <c r="BO542" s="51" t="s">
        <v>68</v>
      </c>
    </row>
    <row r="543" spans="66:67" x14ac:dyDescent="0.3">
      <c r="BN543" s="51">
        <f t="shared" si="8"/>
        <v>239</v>
      </c>
      <c r="BO543" s="51" t="s">
        <v>68</v>
      </c>
    </row>
    <row r="544" spans="66:67" x14ac:dyDescent="0.3">
      <c r="BN544" s="51">
        <f t="shared" si="8"/>
        <v>240</v>
      </c>
      <c r="BO544" s="51" t="s">
        <v>68</v>
      </c>
    </row>
    <row r="545" spans="66:67" x14ac:dyDescent="0.3">
      <c r="BN545" s="51">
        <f t="shared" si="8"/>
        <v>241</v>
      </c>
      <c r="BO545" s="51" t="s">
        <v>68</v>
      </c>
    </row>
    <row r="546" spans="66:67" x14ac:dyDescent="0.3">
      <c r="BN546" s="51">
        <f t="shared" si="8"/>
        <v>242</v>
      </c>
      <c r="BO546" s="51" t="s">
        <v>68</v>
      </c>
    </row>
    <row r="547" spans="66:67" x14ac:dyDescent="0.3">
      <c r="BN547" s="51">
        <f t="shared" si="8"/>
        <v>243</v>
      </c>
      <c r="BO547" s="51" t="s">
        <v>68</v>
      </c>
    </row>
    <row r="548" spans="66:67" x14ac:dyDescent="0.3">
      <c r="BN548" s="51">
        <f t="shared" si="8"/>
        <v>244</v>
      </c>
      <c r="BO548" s="51" t="s">
        <v>68</v>
      </c>
    </row>
    <row r="549" spans="66:67" x14ac:dyDescent="0.3">
      <c r="BN549" s="51">
        <f t="shared" si="8"/>
        <v>245</v>
      </c>
      <c r="BO549" s="51" t="s">
        <v>68</v>
      </c>
    </row>
    <row r="550" spans="66:67" x14ac:dyDescent="0.3">
      <c r="BN550" s="51">
        <f t="shared" si="8"/>
        <v>246</v>
      </c>
      <c r="BO550" s="51" t="s">
        <v>68</v>
      </c>
    </row>
    <row r="551" spans="66:67" x14ac:dyDescent="0.3">
      <c r="BN551" s="51">
        <f t="shared" si="8"/>
        <v>247</v>
      </c>
      <c r="BO551" s="51" t="s">
        <v>68</v>
      </c>
    </row>
    <row r="552" spans="66:67" x14ac:dyDescent="0.3">
      <c r="BN552" s="51">
        <f t="shared" si="8"/>
        <v>248</v>
      </c>
      <c r="BO552" s="51" t="s">
        <v>68</v>
      </c>
    </row>
    <row r="553" spans="66:67" x14ac:dyDescent="0.3">
      <c r="BN553" s="51">
        <f t="shared" si="8"/>
        <v>249</v>
      </c>
      <c r="BO553" s="51" t="s">
        <v>68</v>
      </c>
    </row>
    <row r="554" spans="66:67" x14ac:dyDescent="0.3">
      <c r="BN554" s="51">
        <f t="shared" si="8"/>
        <v>250</v>
      </c>
      <c r="BO554" s="51" t="s">
        <v>68</v>
      </c>
    </row>
    <row r="555" spans="66:67" x14ac:dyDescent="0.3">
      <c r="BN555" s="51">
        <f t="shared" si="8"/>
        <v>251</v>
      </c>
      <c r="BO555" s="51" t="s">
        <v>68</v>
      </c>
    </row>
    <row r="556" spans="66:67" x14ac:dyDescent="0.3">
      <c r="BN556" s="51">
        <f t="shared" si="8"/>
        <v>252</v>
      </c>
      <c r="BO556" s="51" t="s">
        <v>68</v>
      </c>
    </row>
    <row r="557" spans="66:67" x14ac:dyDescent="0.3">
      <c r="BN557" s="51">
        <f t="shared" si="8"/>
        <v>253</v>
      </c>
      <c r="BO557" s="51" t="s">
        <v>68</v>
      </c>
    </row>
    <row r="558" spans="66:67" x14ac:dyDescent="0.3">
      <c r="BN558" s="51">
        <f t="shared" si="8"/>
        <v>254</v>
      </c>
      <c r="BO558" s="51" t="s">
        <v>68</v>
      </c>
    </row>
    <row r="559" spans="66:67" x14ac:dyDescent="0.3">
      <c r="BN559" s="51">
        <f t="shared" si="8"/>
        <v>255</v>
      </c>
      <c r="BO559" s="51" t="s">
        <v>68</v>
      </c>
    </row>
    <row r="560" spans="66:67" x14ac:dyDescent="0.3">
      <c r="BN560" s="51">
        <f t="shared" si="8"/>
        <v>256</v>
      </c>
      <c r="BO560" s="51" t="s">
        <v>68</v>
      </c>
    </row>
    <row r="561" spans="66:67" x14ac:dyDescent="0.3">
      <c r="BN561" s="51">
        <f t="shared" si="8"/>
        <v>257</v>
      </c>
      <c r="BO561" s="51" t="s">
        <v>68</v>
      </c>
    </row>
    <row r="562" spans="66:67" x14ac:dyDescent="0.3">
      <c r="BN562" s="51">
        <f t="shared" si="8"/>
        <v>258</v>
      </c>
      <c r="BO562" s="51" t="s">
        <v>68</v>
      </c>
    </row>
    <row r="563" spans="66:67" x14ac:dyDescent="0.3">
      <c r="BN563" s="51">
        <f t="shared" si="8"/>
        <v>259</v>
      </c>
      <c r="BO563" s="51" t="s">
        <v>68</v>
      </c>
    </row>
    <row r="564" spans="66:67" x14ac:dyDescent="0.3">
      <c r="BN564" s="51">
        <f t="shared" ref="BN564:BN604" si="9">BN563+1</f>
        <v>260</v>
      </c>
      <c r="BO564" s="51" t="s">
        <v>68</v>
      </c>
    </row>
    <row r="565" spans="66:67" x14ac:dyDescent="0.3">
      <c r="BN565" s="51">
        <f t="shared" si="9"/>
        <v>261</v>
      </c>
      <c r="BO565" s="51" t="s">
        <v>68</v>
      </c>
    </row>
    <row r="566" spans="66:67" x14ac:dyDescent="0.3">
      <c r="BN566" s="51">
        <f t="shared" si="9"/>
        <v>262</v>
      </c>
      <c r="BO566" s="51" t="s">
        <v>68</v>
      </c>
    </row>
    <row r="567" spans="66:67" x14ac:dyDescent="0.3">
      <c r="BN567" s="51">
        <f t="shared" si="9"/>
        <v>263</v>
      </c>
      <c r="BO567" s="51" t="s">
        <v>68</v>
      </c>
    </row>
    <row r="568" spans="66:67" x14ac:dyDescent="0.3">
      <c r="BN568" s="51">
        <f t="shared" si="9"/>
        <v>264</v>
      </c>
      <c r="BO568" s="51" t="s">
        <v>68</v>
      </c>
    </row>
    <row r="569" spans="66:67" x14ac:dyDescent="0.3">
      <c r="BN569" s="51">
        <f t="shared" si="9"/>
        <v>265</v>
      </c>
      <c r="BO569" s="51" t="s">
        <v>68</v>
      </c>
    </row>
    <row r="570" spans="66:67" x14ac:dyDescent="0.3">
      <c r="BN570" s="51">
        <f t="shared" si="9"/>
        <v>266</v>
      </c>
      <c r="BO570" s="51" t="s">
        <v>68</v>
      </c>
    </row>
    <row r="571" spans="66:67" x14ac:dyDescent="0.3">
      <c r="BN571" s="51">
        <f t="shared" si="9"/>
        <v>267</v>
      </c>
      <c r="BO571" s="51" t="s">
        <v>68</v>
      </c>
    </row>
    <row r="572" spans="66:67" x14ac:dyDescent="0.3">
      <c r="BN572" s="51">
        <f t="shared" si="9"/>
        <v>268</v>
      </c>
      <c r="BO572" s="51" t="s">
        <v>68</v>
      </c>
    </row>
    <row r="573" spans="66:67" x14ac:dyDescent="0.3">
      <c r="BN573" s="51">
        <f t="shared" si="9"/>
        <v>269</v>
      </c>
      <c r="BO573" s="51" t="s">
        <v>68</v>
      </c>
    </row>
    <row r="574" spans="66:67" x14ac:dyDescent="0.3">
      <c r="BN574" s="51">
        <f t="shared" si="9"/>
        <v>270</v>
      </c>
      <c r="BO574" s="51" t="s">
        <v>68</v>
      </c>
    </row>
    <row r="575" spans="66:67" x14ac:dyDescent="0.3">
      <c r="BN575" s="51">
        <f t="shared" si="9"/>
        <v>271</v>
      </c>
      <c r="BO575" s="51" t="s">
        <v>68</v>
      </c>
    </row>
    <row r="576" spans="66:67" x14ac:dyDescent="0.3">
      <c r="BN576" s="51">
        <f t="shared" si="9"/>
        <v>272</v>
      </c>
      <c r="BO576" s="51" t="s">
        <v>68</v>
      </c>
    </row>
    <row r="577" spans="66:67" x14ac:dyDescent="0.3">
      <c r="BN577" s="51">
        <f t="shared" si="9"/>
        <v>273</v>
      </c>
      <c r="BO577" s="51" t="s">
        <v>68</v>
      </c>
    </row>
    <row r="578" spans="66:67" x14ac:dyDescent="0.3">
      <c r="BN578" s="51">
        <f t="shared" si="9"/>
        <v>274</v>
      </c>
      <c r="BO578" s="51" t="s">
        <v>68</v>
      </c>
    </row>
    <row r="579" spans="66:67" x14ac:dyDescent="0.3">
      <c r="BN579" s="51">
        <f t="shared" si="9"/>
        <v>275</v>
      </c>
      <c r="BO579" s="51" t="s">
        <v>68</v>
      </c>
    </row>
    <row r="580" spans="66:67" x14ac:dyDescent="0.3">
      <c r="BN580" s="51">
        <f t="shared" si="9"/>
        <v>276</v>
      </c>
      <c r="BO580" s="51" t="s">
        <v>68</v>
      </c>
    </row>
    <row r="581" spans="66:67" x14ac:dyDescent="0.3">
      <c r="BN581" s="51">
        <f t="shared" si="9"/>
        <v>277</v>
      </c>
      <c r="BO581" s="51" t="s">
        <v>68</v>
      </c>
    </row>
    <row r="582" spans="66:67" x14ac:dyDescent="0.3">
      <c r="BN582" s="51">
        <f t="shared" si="9"/>
        <v>278</v>
      </c>
      <c r="BO582" s="51" t="s">
        <v>68</v>
      </c>
    </row>
    <row r="583" spans="66:67" x14ac:dyDescent="0.3">
      <c r="BN583" s="51">
        <f t="shared" si="9"/>
        <v>279</v>
      </c>
      <c r="BO583" s="51" t="s">
        <v>68</v>
      </c>
    </row>
    <row r="584" spans="66:67" x14ac:dyDescent="0.3">
      <c r="BN584" s="51">
        <f t="shared" si="9"/>
        <v>280</v>
      </c>
      <c r="BO584" s="51" t="s">
        <v>68</v>
      </c>
    </row>
    <row r="585" spans="66:67" x14ac:dyDescent="0.3">
      <c r="BN585" s="51">
        <f t="shared" si="9"/>
        <v>281</v>
      </c>
      <c r="BO585" s="51" t="s">
        <v>68</v>
      </c>
    </row>
    <row r="586" spans="66:67" x14ac:dyDescent="0.3">
      <c r="BN586" s="51">
        <f t="shared" si="9"/>
        <v>282</v>
      </c>
      <c r="BO586" s="51" t="s">
        <v>68</v>
      </c>
    </row>
    <row r="587" spans="66:67" x14ac:dyDescent="0.3">
      <c r="BN587" s="51">
        <f t="shared" si="9"/>
        <v>283</v>
      </c>
      <c r="BO587" s="51" t="s">
        <v>68</v>
      </c>
    </row>
    <row r="588" spans="66:67" x14ac:dyDescent="0.3">
      <c r="BN588" s="51">
        <f t="shared" si="9"/>
        <v>284</v>
      </c>
      <c r="BO588" s="51" t="s">
        <v>68</v>
      </c>
    </row>
    <row r="589" spans="66:67" x14ac:dyDescent="0.3">
      <c r="BN589" s="51">
        <f t="shared" si="9"/>
        <v>285</v>
      </c>
      <c r="BO589" s="51" t="s">
        <v>68</v>
      </c>
    </row>
    <row r="590" spans="66:67" x14ac:dyDescent="0.3">
      <c r="BN590" s="51">
        <f t="shared" si="9"/>
        <v>286</v>
      </c>
      <c r="BO590" s="51" t="s">
        <v>68</v>
      </c>
    </row>
    <row r="591" spans="66:67" x14ac:dyDescent="0.3">
      <c r="BN591" s="51">
        <f t="shared" si="9"/>
        <v>287</v>
      </c>
      <c r="BO591" s="51" t="s">
        <v>68</v>
      </c>
    </row>
    <row r="592" spans="66:67" x14ac:dyDescent="0.3">
      <c r="BN592" s="51">
        <f t="shared" si="9"/>
        <v>288</v>
      </c>
      <c r="BO592" s="51" t="s">
        <v>68</v>
      </c>
    </row>
    <row r="593" spans="66:67" x14ac:dyDescent="0.3">
      <c r="BN593" s="51">
        <f t="shared" si="9"/>
        <v>289</v>
      </c>
      <c r="BO593" s="51" t="s">
        <v>68</v>
      </c>
    </row>
    <row r="594" spans="66:67" x14ac:dyDescent="0.3">
      <c r="BN594" s="51">
        <f t="shared" si="9"/>
        <v>290</v>
      </c>
      <c r="BO594" s="51" t="s">
        <v>68</v>
      </c>
    </row>
    <row r="595" spans="66:67" x14ac:dyDescent="0.3">
      <c r="BN595" s="51">
        <f t="shared" si="9"/>
        <v>291</v>
      </c>
      <c r="BO595" s="51" t="s">
        <v>68</v>
      </c>
    </row>
    <row r="596" spans="66:67" x14ac:dyDescent="0.3">
      <c r="BN596" s="51">
        <f t="shared" si="9"/>
        <v>292</v>
      </c>
      <c r="BO596" s="51" t="s">
        <v>68</v>
      </c>
    </row>
    <row r="597" spans="66:67" x14ac:dyDescent="0.3">
      <c r="BN597" s="51">
        <f t="shared" si="9"/>
        <v>293</v>
      </c>
      <c r="BO597" s="51" t="s">
        <v>68</v>
      </c>
    </row>
    <row r="598" spans="66:67" x14ac:dyDescent="0.3">
      <c r="BN598" s="51">
        <f t="shared" si="9"/>
        <v>294</v>
      </c>
      <c r="BO598" s="51" t="s">
        <v>68</v>
      </c>
    </row>
    <row r="599" spans="66:67" x14ac:dyDescent="0.3">
      <c r="BN599" s="51">
        <f t="shared" si="9"/>
        <v>295</v>
      </c>
      <c r="BO599" s="51" t="s">
        <v>68</v>
      </c>
    </row>
    <row r="600" spans="66:67" x14ac:dyDescent="0.3">
      <c r="BN600" s="51">
        <f t="shared" si="9"/>
        <v>296</v>
      </c>
      <c r="BO600" s="51" t="s">
        <v>68</v>
      </c>
    </row>
    <row r="601" spans="66:67" x14ac:dyDescent="0.3">
      <c r="BN601" s="51">
        <f t="shared" si="9"/>
        <v>297</v>
      </c>
      <c r="BO601" s="51" t="s">
        <v>68</v>
      </c>
    </row>
    <row r="602" spans="66:67" x14ac:dyDescent="0.3">
      <c r="BN602" s="51">
        <f t="shared" si="9"/>
        <v>298</v>
      </c>
      <c r="BO602" s="51" t="s">
        <v>68</v>
      </c>
    </row>
    <row r="603" spans="66:67" x14ac:dyDescent="0.3">
      <c r="BN603" s="51">
        <f t="shared" si="9"/>
        <v>299</v>
      </c>
      <c r="BO603" s="51" t="s">
        <v>68</v>
      </c>
    </row>
    <row r="604" spans="66:67" x14ac:dyDescent="0.3">
      <c r="BN604" s="51">
        <f t="shared" si="9"/>
        <v>300</v>
      </c>
      <c r="BO604" s="51" t="s">
        <v>68</v>
      </c>
    </row>
  </sheetData>
  <mergeCells count="9">
    <mergeCell ref="D19:U21"/>
    <mergeCell ref="A25:X25"/>
    <mergeCell ref="A1:X1"/>
    <mergeCell ref="D4:U4"/>
    <mergeCell ref="D5:U10"/>
    <mergeCell ref="D12:U12"/>
    <mergeCell ref="D13:U16"/>
    <mergeCell ref="D18:U18"/>
    <mergeCell ref="A22:U23"/>
  </mergeCells>
  <conditionalFormatting sqref="D5">
    <cfRule type="containsText" dxfId="5" priority="11" operator="containsText" text="Não pode ser desligado">
      <formula>NOT(ISERROR(SEARCH("Não pode ser desligado",D5)))</formula>
    </cfRule>
  </conditionalFormatting>
  <conditionalFormatting sqref="D13">
    <cfRule type="containsText" dxfId="4" priority="10" operator="containsText" text="Não pode ser desligado">
      <formula>NOT(ISERROR(SEARCH("Não pode ser desligado",D13)))</formula>
    </cfRule>
  </conditionalFormatting>
  <conditionalFormatting sqref="D19">
    <cfRule type="containsText" dxfId="3" priority="9" operator="containsText" text="Não pode ser desligado">
      <formula>NOT(ISERROR(SEARCH("Não pode ser desligado",D19)))</formula>
    </cfRule>
  </conditionalFormatting>
  <conditionalFormatting sqref="X5">
    <cfRule type="expression" dxfId="2" priority="2">
      <formula>$B$11=W5</formula>
    </cfRule>
  </conditionalFormatting>
  <conditionalFormatting sqref="X6:X23">
    <cfRule type="expression" dxfId="1" priority="1">
      <formula>$B$11=W6</formula>
    </cfRule>
  </conditionalFormatting>
  <dataValidations count="4">
    <dataValidation allowBlank="1" showInputMessage="1" showErrorMessage="1" promptTitle="Matrícula" prompt="Digite o número da matrícula do colaborador" sqref="B5"/>
    <dataValidation allowBlank="1" showInputMessage="1" showErrorMessage="1" promptTitle="Filial" prompt="Digite o número da Filial do colaborador" sqref="B4"/>
    <dataValidation allowBlank="1" showInputMessage="1" showErrorMessage="1" promptTitle="Data de desligamento" prompt="Digite a data sugerida para o desligamento." sqref="B9"/>
    <dataValidation allowBlank="1" showErrorMessage="1" promptTitle="CPF" prompt="Digite o número do CPF do colaborador" sqref="B6"/>
  </dataValidations>
  <pageMargins left="0.511811024" right="0.511811024" top="0.78740157499999996" bottom="0.78740157499999996" header="0.31496062000000002" footer="0.31496062000000002"/>
  <pageSetup paperSize="9" scale="9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D1:M29"/>
  <sheetViews>
    <sheetView showGridLines="0" showZeros="0" zoomScale="85" zoomScaleNormal="85" workbookViewId="0">
      <selection activeCell="N6" sqref="N6"/>
    </sheetView>
  </sheetViews>
  <sheetFormatPr defaultColWidth="5.5703125" defaultRowHeight="0" customHeight="1" zeroHeight="1" x14ac:dyDescent="0.25"/>
  <cols>
    <col min="1" max="13" width="4.28515625" style="17" customWidth="1"/>
    <col min="14" max="35" width="5.5703125" style="17"/>
    <col min="36" max="255" width="9.140625" style="17" customWidth="1"/>
    <col min="256" max="16384" width="5.5703125" style="17"/>
  </cols>
  <sheetData>
    <row r="1" spans="4:13" ht="15.75" thickTop="1" x14ac:dyDescent="0.25">
      <c r="D1" s="20"/>
      <c r="E1" s="24"/>
      <c r="F1" s="24"/>
      <c r="G1" s="24"/>
      <c r="H1" s="24"/>
      <c r="I1" s="24"/>
      <c r="J1" s="24"/>
      <c r="K1" s="24"/>
      <c r="L1" s="24"/>
      <c r="M1" s="26"/>
    </row>
    <row r="2" spans="4:13" ht="60.75" customHeight="1" x14ac:dyDescent="0.25">
      <c r="D2" s="18"/>
      <c r="E2" s="115" t="s">
        <v>24</v>
      </c>
      <c r="F2" s="115"/>
      <c r="G2" s="115"/>
      <c r="H2" s="115"/>
      <c r="I2" s="115"/>
      <c r="J2" s="115"/>
      <c r="K2" s="115"/>
      <c r="L2" s="115"/>
      <c r="M2" s="27"/>
    </row>
    <row r="3" spans="4:13" ht="9.75" customHeight="1" x14ac:dyDescent="0.25">
      <c r="D3" s="18"/>
      <c r="E3" s="25"/>
      <c r="F3" s="25"/>
      <c r="G3" s="25"/>
      <c r="H3" s="25"/>
      <c r="I3" s="25"/>
      <c r="J3" s="25"/>
      <c r="K3" s="25"/>
      <c r="L3" s="25"/>
      <c r="M3" s="27"/>
    </row>
    <row r="4" spans="4:13" ht="16.5" customHeight="1" x14ac:dyDescent="0.25">
      <c r="D4" s="18"/>
      <c r="E4" s="116" t="s">
        <v>25</v>
      </c>
      <c r="F4" s="116"/>
      <c r="G4" s="116"/>
      <c r="H4" s="117" t="s">
        <v>26</v>
      </c>
      <c r="I4" s="117"/>
      <c r="J4" s="117"/>
      <c r="K4" s="117"/>
      <c r="L4" s="117"/>
      <c r="M4" s="27"/>
    </row>
    <row r="5" spans="4:13" ht="8.25" customHeight="1" x14ac:dyDescent="0.25">
      <c r="D5" s="18"/>
      <c r="E5" s="23"/>
      <c r="F5" s="23"/>
      <c r="G5" s="23"/>
      <c r="H5" s="23"/>
      <c r="I5" s="23"/>
      <c r="J5" s="23"/>
      <c r="K5" s="23"/>
      <c r="L5" s="23"/>
      <c r="M5" s="28"/>
    </row>
    <row r="6" spans="4:13" ht="33.75" customHeight="1" x14ac:dyDescent="0.25">
      <c r="D6" s="18"/>
      <c r="E6" s="118" t="s">
        <v>27</v>
      </c>
      <c r="F6" s="118"/>
      <c r="G6" s="118"/>
      <c r="H6" s="118"/>
      <c r="I6" s="119" t="s">
        <v>28</v>
      </c>
      <c r="J6" s="118"/>
      <c r="K6" s="118"/>
      <c r="L6" s="118"/>
      <c r="M6" s="19"/>
    </row>
    <row r="7" spans="4:13" ht="16.5" customHeight="1" x14ac:dyDescent="0.25">
      <c r="D7" s="18"/>
      <c r="E7" s="120">
        <v>0</v>
      </c>
      <c r="F7" s="120"/>
      <c r="G7" s="120"/>
      <c r="H7" s="121"/>
      <c r="I7" s="122">
        <v>30</v>
      </c>
      <c r="J7" s="123"/>
      <c r="K7" s="123"/>
      <c r="L7" s="123"/>
      <c r="M7" s="29">
        <f>E7</f>
        <v>0</v>
      </c>
    </row>
    <row r="8" spans="4:13" ht="15" x14ac:dyDescent="0.25">
      <c r="D8" s="18"/>
      <c r="E8" s="120">
        <v>1</v>
      </c>
      <c r="F8" s="120"/>
      <c r="G8" s="120"/>
      <c r="H8" s="120"/>
      <c r="I8" s="122">
        <v>33</v>
      </c>
      <c r="J8" s="123"/>
      <c r="K8" s="123"/>
      <c r="L8" s="123"/>
      <c r="M8" s="29">
        <f t="shared" ref="M8:M28" si="0">E8</f>
        <v>1</v>
      </c>
    </row>
    <row r="9" spans="4:13" ht="15" x14ac:dyDescent="0.25">
      <c r="D9" s="18"/>
      <c r="E9" s="120">
        <v>2</v>
      </c>
      <c r="F9" s="120"/>
      <c r="G9" s="120"/>
      <c r="H9" s="120"/>
      <c r="I9" s="122">
        <v>36</v>
      </c>
      <c r="J9" s="123"/>
      <c r="K9" s="123"/>
      <c r="L9" s="123"/>
      <c r="M9" s="29">
        <f t="shared" si="0"/>
        <v>2</v>
      </c>
    </row>
    <row r="10" spans="4:13" ht="15" x14ac:dyDescent="0.25">
      <c r="D10" s="18"/>
      <c r="E10" s="120">
        <v>3</v>
      </c>
      <c r="F10" s="120"/>
      <c r="G10" s="120"/>
      <c r="H10" s="120"/>
      <c r="I10" s="124">
        <f>IF((I9-I8)+(I9)&lt;90,(I9-I8)+(I9),90)</f>
        <v>39</v>
      </c>
      <c r="J10" s="125"/>
      <c r="K10" s="125"/>
      <c r="L10" s="125"/>
      <c r="M10" s="29">
        <f t="shared" si="0"/>
        <v>3</v>
      </c>
    </row>
    <row r="11" spans="4:13" ht="15" x14ac:dyDescent="0.25">
      <c r="D11" s="18"/>
      <c r="E11" s="120">
        <v>4</v>
      </c>
      <c r="F11" s="120"/>
      <c r="G11" s="120"/>
      <c r="H11" s="120"/>
      <c r="I11" s="124">
        <f t="shared" ref="I11:I28" si="1">IF((I10-I9)+(I10)&lt;90,(I10-I9)+(I10),90)</f>
        <v>42</v>
      </c>
      <c r="J11" s="125"/>
      <c r="K11" s="125"/>
      <c r="L11" s="125"/>
      <c r="M11" s="29">
        <f t="shared" si="0"/>
        <v>4</v>
      </c>
    </row>
    <row r="12" spans="4:13" ht="15" x14ac:dyDescent="0.25">
      <c r="D12" s="18"/>
      <c r="E12" s="120">
        <v>5</v>
      </c>
      <c r="F12" s="120"/>
      <c r="G12" s="120"/>
      <c r="H12" s="120"/>
      <c r="I12" s="124">
        <f t="shared" si="1"/>
        <v>45</v>
      </c>
      <c r="J12" s="125"/>
      <c r="K12" s="125"/>
      <c r="L12" s="125"/>
      <c r="M12" s="29">
        <f t="shared" si="0"/>
        <v>5</v>
      </c>
    </row>
    <row r="13" spans="4:13" ht="15" x14ac:dyDescent="0.25">
      <c r="D13" s="18"/>
      <c r="E13" s="120">
        <v>6</v>
      </c>
      <c r="F13" s="120"/>
      <c r="G13" s="120"/>
      <c r="H13" s="120"/>
      <c r="I13" s="124">
        <f t="shared" si="1"/>
        <v>48</v>
      </c>
      <c r="J13" s="125"/>
      <c r="K13" s="125"/>
      <c r="L13" s="125"/>
      <c r="M13" s="29">
        <f t="shared" si="0"/>
        <v>6</v>
      </c>
    </row>
    <row r="14" spans="4:13" ht="15" x14ac:dyDescent="0.25">
      <c r="D14" s="18"/>
      <c r="E14" s="120">
        <v>7</v>
      </c>
      <c r="F14" s="120"/>
      <c r="G14" s="120"/>
      <c r="H14" s="120"/>
      <c r="I14" s="124">
        <f t="shared" si="1"/>
        <v>51</v>
      </c>
      <c r="J14" s="125"/>
      <c r="K14" s="125"/>
      <c r="L14" s="125"/>
      <c r="M14" s="29">
        <f t="shared" si="0"/>
        <v>7</v>
      </c>
    </row>
    <row r="15" spans="4:13" ht="15" x14ac:dyDescent="0.25">
      <c r="D15" s="18"/>
      <c r="E15" s="120">
        <v>8</v>
      </c>
      <c r="F15" s="120"/>
      <c r="G15" s="120"/>
      <c r="H15" s="120"/>
      <c r="I15" s="124">
        <f t="shared" si="1"/>
        <v>54</v>
      </c>
      <c r="J15" s="125"/>
      <c r="K15" s="125"/>
      <c r="L15" s="125"/>
      <c r="M15" s="29">
        <f t="shared" si="0"/>
        <v>8</v>
      </c>
    </row>
    <row r="16" spans="4:13" ht="15" x14ac:dyDescent="0.25">
      <c r="D16" s="18"/>
      <c r="E16" s="120">
        <v>9</v>
      </c>
      <c r="F16" s="120"/>
      <c r="G16" s="120"/>
      <c r="H16" s="120"/>
      <c r="I16" s="124">
        <f t="shared" si="1"/>
        <v>57</v>
      </c>
      <c r="J16" s="125"/>
      <c r="K16" s="125"/>
      <c r="L16" s="125"/>
      <c r="M16" s="29">
        <f t="shared" si="0"/>
        <v>9</v>
      </c>
    </row>
    <row r="17" spans="4:13" ht="15" x14ac:dyDescent="0.25">
      <c r="D17" s="18"/>
      <c r="E17" s="120">
        <v>10</v>
      </c>
      <c r="F17" s="120"/>
      <c r="G17" s="120"/>
      <c r="H17" s="120"/>
      <c r="I17" s="124">
        <f t="shared" si="1"/>
        <v>60</v>
      </c>
      <c r="J17" s="125"/>
      <c r="K17" s="125"/>
      <c r="L17" s="125"/>
      <c r="M17" s="29">
        <f t="shared" si="0"/>
        <v>10</v>
      </c>
    </row>
    <row r="18" spans="4:13" ht="15" x14ac:dyDescent="0.25">
      <c r="D18" s="18"/>
      <c r="E18" s="120">
        <v>11</v>
      </c>
      <c r="F18" s="120"/>
      <c r="G18" s="120"/>
      <c r="H18" s="120"/>
      <c r="I18" s="124">
        <f t="shared" si="1"/>
        <v>63</v>
      </c>
      <c r="J18" s="125"/>
      <c r="K18" s="125"/>
      <c r="L18" s="125"/>
      <c r="M18" s="29">
        <f t="shared" si="0"/>
        <v>11</v>
      </c>
    </row>
    <row r="19" spans="4:13" ht="15" x14ac:dyDescent="0.25">
      <c r="D19" s="18"/>
      <c r="E19" s="120">
        <v>12</v>
      </c>
      <c r="F19" s="120"/>
      <c r="G19" s="120"/>
      <c r="H19" s="120"/>
      <c r="I19" s="124">
        <f t="shared" si="1"/>
        <v>66</v>
      </c>
      <c r="J19" s="125"/>
      <c r="K19" s="125"/>
      <c r="L19" s="125"/>
      <c r="M19" s="29">
        <f t="shared" si="0"/>
        <v>12</v>
      </c>
    </row>
    <row r="20" spans="4:13" ht="15" x14ac:dyDescent="0.25">
      <c r="D20" s="18"/>
      <c r="E20" s="120">
        <v>13</v>
      </c>
      <c r="F20" s="120"/>
      <c r="G20" s="120"/>
      <c r="H20" s="120"/>
      <c r="I20" s="124">
        <f t="shared" si="1"/>
        <v>69</v>
      </c>
      <c r="J20" s="125"/>
      <c r="K20" s="125"/>
      <c r="L20" s="125"/>
      <c r="M20" s="29">
        <f t="shared" si="0"/>
        <v>13</v>
      </c>
    </row>
    <row r="21" spans="4:13" ht="15" x14ac:dyDescent="0.25">
      <c r="D21" s="18"/>
      <c r="E21" s="120">
        <v>14</v>
      </c>
      <c r="F21" s="120"/>
      <c r="G21" s="120"/>
      <c r="H21" s="120"/>
      <c r="I21" s="124">
        <f t="shared" si="1"/>
        <v>72</v>
      </c>
      <c r="J21" s="125"/>
      <c r="K21" s="125"/>
      <c r="L21" s="125"/>
      <c r="M21" s="29">
        <f t="shared" si="0"/>
        <v>14</v>
      </c>
    </row>
    <row r="22" spans="4:13" ht="15" x14ac:dyDescent="0.25">
      <c r="D22" s="18"/>
      <c r="E22" s="120">
        <v>15</v>
      </c>
      <c r="F22" s="120"/>
      <c r="G22" s="120"/>
      <c r="H22" s="120"/>
      <c r="I22" s="124">
        <f t="shared" si="1"/>
        <v>75</v>
      </c>
      <c r="J22" s="125"/>
      <c r="K22" s="125"/>
      <c r="L22" s="125"/>
      <c r="M22" s="29">
        <f t="shared" si="0"/>
        <v>15</v>
      </c>
    </row>
    <row r="23" spans="4:13" ht="15" x14ac:dyDescent="0.25">
      <c r="D23" s="18"/>
      <c r="E23" s="120">
        <v>16</v>
      </c>
      <c r="F23" s="120"/>
      <c r="G23" s="120"/>
      <c r="H23" s="120"/>
      <c r="I23" s="124">
        <f t="shared" si="1"/>
        <v>78</v>
      </c>
      <c r="J23" s="125"/>
      <c r="K23" s="125"/>
      <c r="L23" s="125"/>
      <c r="M23" s="29">
        <f t="shared" si="0"/>
        <v>16</v>
      </c>
    </row>
    <row r="24" spans="4:13" ht="15" x14ac:dyDescent="0.25">
      <c r="D24" s="18"/>
      <c r="E24" s="120">
        <v>17</v>
      </c>
      <c r="F24" s="120"/>
      <c r="G24" s="120"/>
      <c r="H24" s="120"/>
      <c r="I24" s="124">
        <f t="shared" si="1"/>
        <v>81</v>
      </c>
      <c r="J24" s="125"/>
      <c r="K24" s="125"/>
      <c r="L24" s="125"/>
      <c r="M24" s="29">
        <f t="shared" si="0"/>
        <v>17</v>
      </c>
    </row>
    <row r="25" spans="4:13" ht="15" x14ac:dyDescent="0.25">
      <c r="D25" s="18"/>
      <c r="E25" s="120">
        <v>18</v>
      </c>
      <c r="F25" s="120"/>
      <c r="G25" s="120"/>
      <c r="H25" s="120"/>
      <c r="I25" s="124">
        <f t="shared" si="1"/>
        <v>84</v>
      </c>
      <c r="J25" s="125"/>
      <c r="K25" s="125"/>
      <c r="L25" s="125"/>
      <c r="M25" s="29">
        <f t="shared" si="0"/>
        <v>18</v>
      </c>
    </row>
    <row r="26" spans="4:13" ht="15" x14ac:dyDescent="0.25">
      <c r="D26" s="18"/>
      <c r="E26" s="120">
        <v>19</v>
      </c>
      <c r="F26" s="120"/>
      <c r="G26" s="120"/>
      <c r="H26" s="120"/>
      <c r="I26" s="124">
        <f t="shared" si="1"/>
        <v>87</v>
      </c>
      <c r="J26" s="125"/>
      <c r="K26" s="125"/>
      <c r="L26" s="125"/>
      <c r="M26" s="29">
        <f t="shared" si="0"/>
        <v>19</v>
      </c>
    </row>
    <row r="27" spans="4:13" ht="15" x14ac:dyDescent="0.25">
      <c r="D27" s="18"/>
      <c r="E27" s="120">
        <v>20</v>
      </c>
      <c r="F27" s="120"/>
      <c r="G27" s="120"/>
      <c r="H27" s="120"/>
      <c r="I27" s="124">
        <f t="shared" si="1"/>
        <v>90</v>
      </c>
      <c r="J27" s="125"/>
      <c r="K27" s="125"/>
      <c r="L27" s="125"/>
      <c r="M27" s="29">
        <f t="shared" si="0"/>
        <v>20</v>
      </c>
    </row>
    <row r="28" spans="4:13" ht="15" x14ac:dyDescent="0.25">
      <c r="D28" s="18"/>
      <c r="E28" s="120">
        <v>21</v>
      </c>
      <c r="F28" s="120"/>
      <c r="G28" s="120"/>
      <c r="H28" s="120"/>
      <c r="I28" s="124">
        <f t="shared" si="1"/>
        <v>90</v>
      </c>
      <c r="J28" s="125"/>
      <c r="K28" s="125"/>
      <c r="L28" s="125"/>
      <c r="M28" s="29">
        <f t="shared" si="0"/>
        <v>21</v>
      </c>
    </row>
    <row r="29" spans="4:13" ht="15.75" thickBot="1" x14ac:dyDescent="0.3">
      <c r="D29" s="21"/>
      <c r="E29" s="22"/>
      <c r="F29" s="22"/>
      <c r="G29" s="22"/>
      <c r="H29" s="22"/>
      <c r="I29" s="22"/>
      <c r="J29" s="22"/>
      <c r="K29" s="22"/>
      <c r="L29" s="126">
        <f>VLOOKUP(90,I7:M28,5,FALSE)</f>
        <v>20</v>
      </c>
      <c r="M29" s="127"/>
    </row>
  </sheetData>
  <sheetProtection selectLockedCells="1" selectUnlockedCells="1"/>
  <mergeCells count="50">
    <mergeCell ref="E28:H28"/>
    <mergeCell ref="I28:L28"/>
    <mergeCell ref="L29:M29"/>
    <mergeCell ref="E25:H25"/>
    <mergeCell ref="I25:L25"/>
    <mergeCell ref="E26:H26"/>
    <mergeCell ref="I26:L26"/>
    <mergeCell ref="E27:H27"/>
    <mergeCell ref="I27:L27"/>
    <mergeCell ref="E22:H22"/>
    <mergeCell ref="I22:L22"/>
    <mergeCell ref="E23:H23"/>
    <mergeCell ref="I23:L23"/>
    <mergeCell ref="E24:H24"/>
    <mergeCell ref="I24:L24"/>
    <mergeCell ref="E19:H19"/>
    <mergeCell ref="I19:L19"/>
    <mergeCell ref="E20:H20"/>
    <mergeCell ref="I20:L20"/>
    <mergeCell ref="E21:H21"/>
    <mergeCell ref="I21:L21"/>
    <mergeCell ref="E16:H16"/>
    <mergeCell ref="I16:L16"/>
    <mergeCell ref="E17:H17"/>
    <mergeCell ref="I17:L17"/>
    <mergeCell ref="E18:H18"/>
    <mergeCell ref="I18:L18"/>
    <mergeCell ref="E13:H13"/>
    <mergeCell ref="I13:L13"/>
    <mergeCell ref="E14:H14"/>
    <mergeCell ref="I14:L14"/>
    <mergeCell ref="E15:H15"/>
    <mergeCell ref="I15:L15"/>
    <mergeCell ref="E10:H10"/>
    <mergeCell ref="I10:L10"/>
    <mergeCell ref="E11:H11"/>
    <mergeCell ref="I11:L11"/>
    <mergeCell ref="E12:H12"/>
    <mergeCell ref="I12:L12"/>
    <mergeCell ref="E7:H7"/>
    <mergeCell ref="I7:L7"/>
    <mergeCell ref="E8:H8"/>
    <mergeCell ref="I8:L8"/>
    <mergeCell ref="E9:H9"/>
    <mergeCell ref="I9:L9"/>
    <mergeCell ref="E2:L2"/>
    <mergeCell ref="E4:G4"/>
    <mergeCell ref="H4:L4"/>
    <mergeCell ref="E6:H6"/>
    <mergeCell ref="I6:L6"/>
  </mergeCells>
  <dataValidations disablePrompts="1" count="1">
    <dataValidation type="list" allowBlank="1" showInputMessage="1" showErrorMessage="1" sqref="H4:L4">
      <formula1>#REF!</formula1>
    </dataValidation>
  </dataValidations>
  <pageMargins left="0.11" right="0.3" top="0.26" bottom="0.26" header="0.19" footer="0.13"/>
  <pageSetup paperSize="9" scale="4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pageSetUpPr fitToPage="1"/>
  </sheetPr>
  <dimension ref="A1:BI4"/>
  <sheetViews>
    <sheetView showGridLines="0" zoomScale="90" zoomScaleNormal="90" workbookViewId="0">
      <pane xSplit="5" ySplit="2" topLeftCell="O3" activePane="bottomRight" state="frozen"/>
      <selection pane="topRight" activeCell="E1" sqref="E1"/>
      <selection pane="bottomLeft" activeCell="A2" sqref="A2"/>
      <selection pane="bottomRight" activeCell="E11" sqref="E11"/>
    </sheetView>
  </sheetViews>
  <sheetFormatPr defaultColWidth="0" defaultRowHeight="15" x14ac:dyDescent="0.25"/>
  <cols>
    <col min="1" max="1" width="2.140625" customWidth="1"/>
    <col min="2" max="2" width="8.28515625" bestFit="1" customWidth="1"/>
    <col min="3" max="3" width="12.42578125" bestFit="1" customWidth="1"/>
    <col min="4" max="4" width="20.42578125" bestFit="1" customWidth="1"/>
    <col min="5" max="5" width="36" bestFit="1" customWidth="1"/>
    <col min="6" max="6" width="22.140625" bestFit="1" customWidth="1"/>
    <col min="7" max="7" width="14.140625" bestFit="1" customWidth="1"/>
    <col min="8" max="8" width="12.5703125" customWidth="1"/>
    <col min="9" max="9" width="17.42578125" hidden="1" customWidth="1"/>
    <col min="10" max="10" width="14.7109375" style="2" customWidth="1"/>
    <col min="11" max="11" width="24.28515625" style="2" bestFit="1" customWidth="1"/>
    <col min="12" max="19" width="14.7109375" style="2" customWidth="1"/>
    <col min="20" max="22" width="18.140625" style="2" customWidth="1"/>
    <col min="23" max="23" width="18.140625" style="3" customWidth="1"/>
    <col min="24" max="24" width="29.7109375" style="3" bestFit="1" customWidth="1"/>
    <col min="25" max="25" width="17.42578125" style="2" customWidth="1"/>
    <col min="26" max="28" width="15.7109375" style="2" hidden="1" customWidth="1"/>
    <col min="29" max="29" width="12.7109375" style="2" bestFit="1" customWidth="1"/>
    <col min="30" max="30" width="13.28515625" hidden="1" customWidth="1"/>
    <col min="31" max="31" width="14" style="49" hidden="1" customWidth="1"/>
    <col min="32" max="33" width="13" hidden="1" customWidth="1"/>
    <col min="34" max="34" width="9.140625" style="2" hidden="1" customWidth="1"/>
    <col min="35" max="36" width="9.140625" hidden="1"/>
    <col min="37" max="39" width="11.5703125" hidden="1"/>
    <col min="40" max="41" width="10" hidden="1"/>
    <col min="42" max="43" width="11.5703125" hidden="1"/>
    <col min="44" max="44" width="10" hidden="1"/>
    <col min="45" max="48" width="11.5703125" hidden="1"/>
    <col min="49" max="50" width="10" hidden="1"/>
    <col min="51" max="52" width="9.140625" hidden="1"/>
    <col min="53" max="53" width="11.5703125" hidden="1"/>
    <col min="54" max="54" width="9.140625" hidden="1"/>
    <col min="55" max="55" width="10" hidden="1"/>
    <col min="56" max="57" width="9.140625" hidden="1"/>
    <col min="58" max="60" width="9.85546875" hidden="1"/>
    <col min="61" max="61" width="11.140625" hidden="1"/>
    <col min="62" max="16384" width="9.140625" hidden="1"/>
  </cols>
  <sheetData>
    <row r="1" spans="1:61" x14ac:dyDescent="0.25">
      <c r="N1" s="4"/>
      <c r="Q1" s="1"/>
      <c r="R1" s="1"/>
    </row>
    <row r="2" spans="1:61" s="5" customFormat="1" ht="30" customHeight="1" x14ac:dyDescent="0.25">
      <c r="B2" s="6" t="s">
        <v>0</v>
      </c>
      <c r="C2" s="6" t="s">
        <v>1</v>
      </c>
      <c r="D2" s="6" t="s">
        <v>2</v>
      </c>
      <c r="E2" s="6" t="s">
        <v>18</v>
      </c>
      <c r="F2" s="6" t="s">
        <v>7</v>
      </c>
      <c r="G2" s="6" t="s">
        <v>6</v>
      </c>
      <c r="H2" s="6" t="s">
        <v>8</v>
      </c>
      <c r="I2" s="6" t="s">
        <v>58</v>
      </c>
      <c r="J2" s="7" t="s">
        <v>22</v>
      </c>
      <c r="K2" s="7" t="s">
        <v>29</v>
      </c>
      <c r="L2" s="7" t="s">
        <v>12</v>
      </c>
      <c r="M2" s="7" t="s">
        <v>19</v>
      </c>
      <c r="N2" s="7" t="s">
        <v>11</v>
      </c>
      <c r="O2" s="7" t="s">
        <v>13</v>
      </c>
      <c r="P2" s="7" t="s">
        <v>14</v>
      </c>
      <c r="Q2" s="7" t="s">
        <v>15</v>
      </c>
      <c r="R2" s="7" t="s">
        <v>53</v>
      </c>
      <c r="S2" s="6" t="s">
        <v>16</v>
      </c>
      <c r="T2" s="6" t="s">
        <v>21</v>
      </c>
      <c r="U2" s="6" t="s">
        <v>17</v>
      </c>
      <c r="V2" s="6"/>
      <c r="W2" s="8" t="s">
        <v>11</v>
      </c>
      <c r="X2" s="45" t="s">
        <v>52</v>
      </c>
      <c r="Y2" s="6" t="s">
        <v>111</v>
      </c>
      <c r="Z2" s="6" t="s">
        <v>59</v>
      </c>
      <c r="AA2" s="6" t="s">
        <v>20</v>
      </c>
      <c r="AB2" s="6" t="s">
        <v>10</v>
      </c>
      <c r="AC2" s="6" t="s">
        <v>9</v>
      </c>
      <c r="AD2" s="6" t="s">
        <v>3</v>
      </c>
      <c r="AE2" s="50" t="s">
        <v>4</v>
      </c>
      <c r="AF2" s="6" t="s">
        <v>5</v>
      </c>
      <c r="AG2" s="6" t="s">
        <v>55</v>
      </c>
      <c r="AH2" s="6" t="s">
        <v>97</v>
      </c>
      <c r="AI2" s="32" t="s">
        <v>23</v>
      </c>
      <c r="AJ2" s="32" t="s">
        <v>42</v>
      </c>
      <c r="AK2" s="33" t="s">
        <v>31</v>
      </c>
      <c r="AL2" s="33" t="s">
        <v>32</v>
      </c>
      <c r="AM2" s="33" t="s">
        <v>33</v>
      </c>
      <c r="AN2" s="34" t="s">
        <v>34</v>
      </c>
      <c r="AO2" s="34" t="s">
        <v>35</v>
      </c>
      <c r="AP2" s="34" t="s">
        <v>36</v>
      </c>
      <c r="AQ2" s="34" t="s">
        <v>43</v>
      </c>
      <c r="AR2" s="34" t="s">
        <v>43</v>
      </c>
      <c r="AS2" s="34" t="s">
        <v>43</v>
      </c>
      <c r="AT2" s="35" t="s">
        <v>37</v>
      </c>
      <c r="AU2" s="35" t="s">
        <v>38</v>
      </c>
      <c r="AV2" s="36" t="s">
        <v>39</v>
      </c>
      <c r="AW2" s="36" t="s">
        <v>40</v>
      </c>
      <c r="AX2" s="36" t="s">
        <v>41</v>
      </c>
      <c r="AY2" s="43" t="s">
        <v>44</v>
      </c>
      <c r="AZ2" s="43" t="s">
        <v>45</v>
      </c>
      <c r="BA2" s="15" t="s">
        <v>46</v>
      </c>
      <c r="BB2" s="15" t="s">
        <v>47</v>
      </c>
      <c r="BC2" s="15" t="s">
        <v>48</v>
      </c>
      <c r="BD2" s="16" t="s">
        <v>49</v>
      </c>
      <c r="BE2" s="16" t="s">
        <v>50</v>
      </c>
      <c r="BF2" s="16" t="s">
        <v>51</v>
      </c>
      <c r="BG2" s="16" t="s">
        <v>57</v>
      </c>
      <c r="BH2" s="16" t="s">
        <v>56</v>
      </c>
      <c r="BI2" s="16" t="s">
        <v>54</v>
      </c>
    </row>
    <row r="3" spans="1:61" x14ac:dyDescent="0.25">
      <c r="A3" s="66" t="str">
        <f>B3&amp;C3</f>
        <v>101615</v>
      </c>
      <c r="B3" s="9">
        <f>Análise!B4</f>
        <v>101</v>
      </c>
      <c r="C3" s="9">
        <f>Análise!B5</f>
        <v>615</v>
      </c>
      <c r="D3" s="9">
        <f>VLOOKUP($B3&amp;$C3,Dados!1:1048576,4,0)</f>
        <v>70120</v>
      </c>
      <c r="E3" s="9" t="str">
        <f>VLOOKUP($B3&amp;$C3,Dados!1:1048576,5,0)</f>
        <v>ADAILZA FERREIRA DOS ANJOS</v>
      </c>
      <c r="F3" s="9" t="str">
        <f>VLOOKUP($B3&amp;$C3,Dados!1:1048576,9,0)</f>
        <v>TECNICO ANALISES CLINICAS I</v>
      </c>
      <c r="G3" s="10">
        <f>VLOOKUP($B3&amp;$C3,Dados!1:1048576,6,0)</f>
        <v>40665</v>
      </c>
      <c r="H3" s="65">
        <f>VLOOKUP($B3&amp;$C3,Dados!1:1048576,8,0)</f>
        <v>4958.2334999999994</v>
      </c>
      <c r="I3" s="10"/>
      <c r="J3" s="10">
        <f>Análise!B9</f>
        <v>42917</v>
      </c>
      <c r="K3" s="10" t="s">
        <v>30</v>
      </c>
      <c r="L3" s="12">
        <f>AI3*BB3</f>
        <v>165.27444999999997</v>
      </c>
      <c r="M3" s="13">
        <f>IF(K3="Dispensa sem justa causa",IF(AJ3&gt;0,AJ3*BB3+AC3,0)+0*BB3+AC3,0)</f>
        <v>7933.1735999999983</v>
      </c>
      <c r="N3" s="12">
        <f>IF(W3="sim",(H3+AC3),0)</f>
        <v>4958.2334999999994</v>
      </c>
      <c r="O3" s="12">
        <f>(AY3*BC3)</f>
        <v>1652.7444999999998</v>
      </c>
      <c r="P3" s="12">
        <f>(N3+O3)/3</f>
        <v>2203.6593333333331</v>
      </c>
      <c r="Q3" s="12">
        <f>(BF3*BC3)</f>
        <v>3305.4889999999996</v>
      </c>
      <c r="R3" s="12">
        <f>IF(BI3&gt;0,BI3,0)</f>
        <v>4958.2334999999994</v>
      </c>
      <c r="S3" s="12">
        <f>(AB3*0.5)</f>
        <v>24754.071821999998</v>
      </c>
      <c r="T3" s="12">
        <v>0</v>
      </c>
      <c r="U3" s="12">
        <f>SUM(L3:T3)</f>
        <v>49930.879705333326</v>
      </c>
      <c r="V3" s="14"/>
      <c r="W3" s="47" t="s">
        <v>64</v>
      </c>
      <c r="X3" s="46" t="str">
        <f>IF(G3&gt;0,IF(J3&gt;0,IF(W3="sim",IF(AO3&gt;=1,"","Atenção: Não há férias vencidas"),""),""),"")</f>
        <v/>
      </c>
      <c r="Y3" s="48">
        <v>48199.17</v>
      </c>
      <c r="Z3" s="48">
        <v>0</v>
      </c>
      <c r="AA3" s="12">
        <f>(L3+M3+Q3+R3)*0.08</f>
        <v>1308.9736439999997</v>
      </c>
      <c r="AB3" s="12">
        <f>Y3+Z3+AA3</f>
        <v>49508.143643999996</v>
      </c>
      <c r="AC3" s="48">
        <v>0</v>
      </c>
      <c r="AD3" s="9">
        <f>VLOOKUP($B3&amp;$C3,Dados!1:1048576,12,0)</f>
        <v>0</v>
      </c>
      <c r="AE3" s="9">
        <f>VLOOKUP($B3&amp;$C3,Dados!1:1048576,15,0)</f>
        <v>0</v>
      </c>
      <c r="AF3" s="10">
        <f>VLOOKUP($B3&amp;$C3,Dados!1:1048576,72,0)</f>
        <v>0</v>
      </c>
      <c r="AG3" s="10">
        <f>VLOOKUP(AH3,Análise!$W$4:$Y$21,3,0)</f>
        <v>42979</v>
      </c>
      <c r="AH3" s="9">
        <f>VLOOKUP($B3&amp;$C3,Dados!1:1048576,7,0)</f>
        <v>1</v>
      </c>
      <c r="AI3">
        <f t="shared" ref="AI3" si="0">IF(MONTH(J3)=MONTH(G3),IF(YEAR(J3)=YEAR(G3),DAY(J3)-DAY(G3),DAY(J3)),DAY(J3))</f>
        <v>1</v>
      </c>
      <c r="AJ3">
        <f t="shared" ref="AJ3" si="1">IF(K3="Dispensa sem justa causa",IF(G3&gt;0,IF(J3&gt;0,IF(AN3+30&lt;=90,AN3+30,90),""),""),"")</f>
        <v>48</v>
      </c>
      <c r="AK3" s="38">
        <f t="shared" ref="AK3" si="2">IF(K3="Dispensa sem justa causa",J3+AJ3,J3)</f>
        <v>42965</v>
      </c>
      <c r="AL3" s="38">
        <f t="shared" ref="AL3" si="3">IF(K3="Dispensa sem justa causa",J3+30,J3)</f>
        <v>42947</v>
      </c>
      <c r="AM3" s="38">
        <f t="shared" ref="AM3" si="4">AL3-1</f>
        <v>42946</v>
      </c>
      <c r="AN3" s="31">
        <f>IF(K3="Dispensa sem justa causa",IF(AP3&gt;=Config!$L$29,60,VLOOKUP(AP3,Config!$E$7:L52,5,FALSE)-30),0)</f>
        <v>18</v>
      </c>
      <c r="AO3" s="31">
        <f t="shared" ref="AO3" si="5">IF(YEAR(AL3)&gt;YEAR(G3),(YEAR(AL3)-YEAR(G3))-AS3,0)</f>
        <v>6</v>
      </c>
      <c r="AP3" s="31">
        <f>IF(Config!H4="ano completo",IF(YEAR(AL3)&gt;YEAR(G3),(YEAR(AL3)-YEAR(G3))-AS3,0),IF(YEAR(AM3)&gt;YEAR(G3),(YEAR(AM3)-YEAR(G3))-AS3,0))</f>
        <v>6</v>
      </c>
      <c r="AQ3" s="39">
        <f t="shared" ref="AQ3" si="6">IF(AR3&lt;=0,DAY(AL3)-DAY(G3),0)</f>
        <v>0</v>
      </c>
      <c r="AR3" s="39">
        <f t="shared" ref="AR3" si="7">MONTH(AL3)-MONTH(G3)</f>
        <v>2</v>
      </c>
      <c r="AS3" s="39">
        <f>IF(AR3&lt;0,1,IF(AQ3&lt;0,1,0))</f>
        <v>0</v>
      </c>
      <c r="AT3" s="40">
        <f t="shared" ref="AT3" si="8">YEAR(J3)</f>
        <v>2017</v>
      </c>
      <c r="AU3" s="41">
        <f t="shared" ref="AU3" si="9">DATE(AT3,1,1)</f>
        <v>42736</v>
      </c>
      <c r="AV3" s="37">
        <f>MONTH(AK3)+AX3</f>
        <v>8</v>
      </c>
      <c r="AW3" s="37">
        <f>DAY(AK3)</f>
        <v>18</v>
      </c>
      <c r="AX3" s="37">
        <f>IF(AW3&lt;15,-1,0)</f>
        <v>0</v>
      </c>
      <c r="AY3" s="44">
        <f t="shared" ref="AY3" si="10">IF(AZ3&gt;=15,DATEDIF(G3,AK3,"Ym")+1,DATEDIF(G3,AK3,"Ym"))</f>
        <v>4</v>
      </c>
      <c r="AZ3" s="44">
        <f t="shared" ref="AZ3" si="11">IF(DAY(AK3)&gt;=DAY(G3),DAY(AK3)-DAY(G3)+1,(DATEDIF(G3,BA3,"md")+1)+DAY(AK3))</f>
        <v>17</v>
      </c>
      <c r="BA3" s="30">
        <f>EOMONTH(AK3,-1)</f>
        <v>42947</v>
      </c>
      <c r="BB3" s="42">
        <f>(H3)/30</f>
        <v>165.27444999999997</v>
      </c>
      <c r="BC3" s="42">
        <f t="shared" ref="BC3" si="12">(H3+AC3)/12</f>
        <v>413.18612499999995</v>
      </c>
      <c r="BD3">
        <f>IF(BE3&gt;=15,DATEDIF(G3,AK3,"YM")+1,DATEDIF(G3,AK3,"YM"))</f>
        <v>4</v>
      </c>
      <c r="BE3">
        <f>IF(DAY(AK3)&gt;=DAY(G3),DAY(AK3)-DAY(G3)+1,(DATEDIF(G3,BA3,"md")+1)+DAY(AK3))</f>
        <v>17</v>
      </c>
      <c r="BF3">
        <f>IF(YEAR(AK3)&gt;YEAR(G3),IF(DAY(AK3)&gt;=15,MONTH(AK3),MONTH(AK3)-1),BD3)</f>
        <v>8</v>
      </c>
      <c r="BG3">
        <f>DAY(AG3)</f>
        <v>1</v>
      </c>
      <c r="BH3">
        <f>MONTH(AG3)</f>
        <v>9</v>
      </c>
      <c r="BI3" s="42">
        <f>IF(K3="Dispensa sem justa causa",IF(AK3&lt;DATE(YEAR(AK3),BH3,BG3),IF(AK3&gt;=DATE(YEAR(AK3),BH3,BG3)-30,H3,0),0),0)</f>
        <v>4958.2334999999994</v>
      </c>
    </row>
    <row r="4" spans="1:61" x14ac:dyDescent="0.25">
      <c r="U4" s="83"/>
    </row>
  </sheetData>
  <autoFilter ref="A2:BI3"/>
  <conditionalFormatting sqref="X3">
    <cfRule type="cellIs" dxfId="0" priority="1" operator="equal">
      <formula>"Atenção: Não há férias vencidas"</formula>
    </cfRule>
  </conditionalFormatting>
  <pageMargins left="0.51181102362204722" right="0.51181102362204722" top="0.78740157480314965" bottom="0.78740157480314965" header="0.31496062992125984" footer="0.31496062992125984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zoomScale="90" zoomScaleNormal="90" workbookViewId="0">
      <selection activeCell="F138" sqref="F138"/>
    </sheetView>
  </sheetViews>
  <sheetFormatPr defaultRowHeight="15" x14ac:dyDescent="0.25"/>
  <cols>
    <col min="1" max="1" width="11.28515625" bestFit="1" customWidth="1"/>
    <col min="2" max="2" width="5.7109375" bestFit="1" customWidth="1"/>
    <col min="3" max="3" width="9.85546875" bestFit="1" customWidth="1"/>
    <col min="4" max="4" width="12.42578125" bestFit="1" customWidth="1"/>
    <col min="5" max="5" width="50.5703125" style="73" bestFit="1" customWidth="1"/>
    <col min="6" max="6" width="11.5703125" style="74" bestFit="1" customWidth="1"/>
    <col min="7" max="7" width="11.42578125" bestFit="1" customWidth="1"/>
    <col min="8" max="8" width="11.140625" style="42" bestFit="1" customWidth="1"/>
    <col min="9" max="9" width="39" bestFit="1" customWidth="1"/>
    <col min="10" max="10" width="45" bestFit="1" customWidth="1"/>
  </cols>
  <sheetData>
    <row r="1" spans="1:10" x14ac:dyDescent="0.25">
      <c r="A1" s="129" t="s">
        <v>60</v>
      </c>
      <c r="B1" s="130" t="s">
        <v>0</v>
      </c>
      <c r="C1" s="130" t="s">
        <v>1</v>
      </c>
      <c r="D1" s="130" t="s">
        <v>2</v>
      </c>
      <c r="E1" s="130" t="s">
        <v>61</v>
      </c>
      <c r="F1" s="131" t="s">
        <v>6</v>
      </c>
      <c r="G1" s="130" t="s">
        <v>62</v>
      </c>
      <c r="H1" s="132" t="s">
        <v>63</v>
      </c>
      <c r="I1" s="130" t="s">
        <v>96</v>
      </c>
      <c r="J1" s="130" t="s">
        <v>109</v>
      </c>
    </row>
    <row r="2" spans="1:10" x14ac:dyDescent="0.25">
      <c r="A2" s="129" t="str">
        <f t="shared" ref="A2:A62" si="0">B2&amp;C2</f>
        <v>101615</v>
      </c>
      <c r="B2" s="47">
        <v>101</v>
      </c>
      <c r="C2" s="47">
        <v>615</v>
      </c>
      <c r="D2" s="47">
        <v>70120</v>
      </c>
      <c r="E2" s="139" t="s">
        <v>940</v>
      </c>
      <c r="F2" s="11">
        <v>40665</v>
      </c>
      <c r="G2" s="47">
        <v>1</v>
      </c>
      <c r="H2" s="48">
        <v>4958.2334999999994</v>
      </c>
      <c r="I2" s="47" t="s">
        <v>1121</v>
      </c>
      <c r="J2" s="47" t="s">
        <v>1208</v>
      </c>
    </row>
    <row r="3" spans="1:10" x14ac:dyDescent="0.25">
      <c r="A3" s="129" t="str">
        <f t="shared" si="0"/>
        <v>101631</v>
      </c>
      <c r="B3" s="47">
        <v>101</v>
      </c>
      <c r="C3" s="47">
        <v>631</v>
      </c>
      <c r="D3" s="47">
        <v>24200</v>
      </c>
      <c r="E3" s="47" t="s">
        <v>536</v>
      </c>
      <c r="F3" s="11">
        <v>40604</v>
      </c>
      <c r="G3" s="47">
        <v>1</v>
      </c>
      <c r="H3" s="48">
        <v>9939.9794999999995</v>
      </c>
      <c r="I3" s="47" t="s">
        <v>1122</v>
      </c>
      <c r="J3" s="47" t="s">
        <v>108</v>
      </c>
    </row>
    <row r="4" spans="1:10" x14ac:dyDescent="0.25">
      <c r="A4" s="129" t="str">
        <f t="shared" si="0"/>
        <v>1012002</v>
      </c>
      <c r="B4" s="47">
        <v>101</v>
      </c>
      <c r="C4" s="47">
        <v>2002</v>
      </c>
      <c r="D4" s="47">
        <v>24600</v>
      </c>
      <c r="E4" s="47" t="s">
        <v>595</v>
      </c>
      <c r="F4" s="11">
        <v>37137</v>
      </c>
      <c r="G4" s="47">
        <v>1</v>
      </c>
      <c r="H4" s="48">
        <v>10400.197499999998</v>
      </c>
      <c r="I4" s="47" t="s">
        <v>1123</v>
      </c>
      <c r="J4" s="47" t="s">
        <v>1209</v>
      </c>
    </row>
    <row r="5" spans="1:10" x14ac:dyDescent="0.25">
      <c r="A5" s="129" t="str">
        <f t="shared" si="0"/>
        <v>1012003</v>
      </c>
      <c r="B5" s="47">
        <v>101</v>
      </c>
      <c r="C5" s="47">
        <v>2003</v>
      </c>
      <c r="D5" s="47">
        <v>24200</v>
      </c>
      <c r="E5" s="47" t="s">
        <v>126</v>
      </c>
      <c r="F5" s="11">
        <v>37137</v>
      </c>
      <c r="G5" s="47">
        <v>1</v>
      </c>
      <c r="H5" s="48">
        <v>41736.073499999999</v>
      </c>
      <c r="I5" s="47" t="s">
        <v>1124</v>
      </c>
      <c r="J5" s="47" t="s">
        <v>108</v>
      </c>
    </row>
    <row r="6" spans="1:10" x14ac:dyDescent="0.25">
      <c r="A6" s="129" t="str">
        <f t="shared" si="0"/>
        <v>1012009</v>
      </c>
      <c r="B6" s="47">
        <v>101</v>
      </c>
      <c r="C6" s="47">
        <v>2009</v>
      </c>
      <c r="D6" s="47">
        <v>24200</v>
      </c>
      <c r="E6" s="47" t="s">
        <v>128</v>
      </c>
      <c r="F6" s="11">
        <v>37501</v>
      </c>
      <c r="G6" s="47">
        <v>1</v>
      </c>
      <c r="H6" s="48">
        <v>4958.2334999999994</v>
      </c>
      <c r="I6" s="47" t="s">
        <v>1125</v>
      </c>
      <c r="J6" s="47" t="s">
        <v>108</v>
      </c>
    </row>
    <row r="7" spans="1:10" x14ac:dyDescent="0.25">
      <c r="A7" s="129" t="str">
        <f t="shared" si="0"/>
        <v>1012017</v>
      </c>
      <c r="B7" s="47">
        <v>101</v>
      </c>
      <c r="C7" s="47">
        <v>2017</v>
      </c>
      <c r="D7" s="47">
        <v>24200</v>
      </c>
      <c r="E7" s="47" t="s">
        <v>388</v>
      </c>
      <c r="F7" s="11">
        <v>38026</v>
      </c>
      <c r="G7" s="47">
        <v>1</v>
      </c>
      <c r="H7" s="48">
        <v>4722.1184999999996</v>
      </c>
      <c r="I7" s="47" t="s">
        <v>1126</v>
      </c>
      <c r="J7" s="47" t="s">
        <v>108</v>
      </c>
    </row>
    <row r="8" spans="1:10" x14ac:dyDescent="0.25">
      <c r="A8" s="129" t="str">
        <f t="shared" si="0"/>
        <v>1012028</v>
      </c>
      <c r="B8" s="47">
        <v>101</v>
      </c>
      <c r="C8" s="47">
        <v>2028</v>
      </c>
      <c r="D8" s="47">
        <v>24600</v>
      </c>
      <c r="E8" s="47" t="s">
        <v>822</v>
      </c>
      <c r="F8" s="11">
        <v>38131</v>
      </c>
      <c r="G8" s="47">
        <v>1</v>
      </c>
      <c r="H8" s="48">
        <v>6873.174</v>
      </c>
      <c r="I8" s="47" t="s">
        <v>1127</v>
      </c>
      <c r="J8" s="47" t="s">
        <v>1209</v>
      </c>
    </row>
    <row r="9" spans="1:10" x14ac:dyDescent="0.25">
      <c r="A9" s="129" t="str">
        <f t="shared" si="0"/>
        <v>1012034</v>
      </c>
      <c r="B9" s="47">
        <v>101</v>
      </c>
      <c r="C9" s="47">
        <v>2034</v>
      </c>
      <c r="D9" s="47">
        <v>70140</v>
      </c>
      <c r="E9" s="47" t="s">
        <v>852</v>
      </c>
      <c r="F9" s="11">
        <v>38231</v>
      </c>
      <c r="G9" s="47">
        <v>1</v>
      </c>
      <c r="H9" s="48">
        <v>17678.5785</v>
      </c>
      <c r="I9" s="47" t="s">
        <v>1128</v>
      </c>
      <c r="J9" s="47" t="s">
        <v>1210</v>
      </c>
    </row>
    <row r="10" spans="1:10" x14ac:dyDescent="0.25">
      <c r="A10" s="129" t="str">
        <f t="shared" si="0"/>
        <v>1012085</v>
      </c>
      <c r="B10" s="47">
        <v>101</v>
      </c>
      <c r="C10" s="47">
        <v>2085</v>
      </c>
      <c r="D10" s="47">
        <v>24700</v>
      </c>
      <c r="E10" s="47" t="s">
        <v>287</v>
      </c>
      <c r="F10" s="11">
        <v>38452</v>
      </c>
      <c r="G10" s="47">
        <v>1</v>
      </c>
      <c r="H10" s="48">
        <v>4910.9939999999997</v>
      </c>
      <c r="I10" s="47" t="s">
        <v>1129</v>
      </c>
      <c r="J10" s="47" t="s">
        <v>1211</v>
      </c>
    </row>
    <row r="11" spans="1:10" x14ac:dyDescent="0.25">
      <c r="A11" s="129" t="str">
        <f t="shared" si="0"/>
        <v>1012086</v>
      </c>
      <c r="B11" s="47">
        <v>101</v>
      </c>
      <c r="C11" s="47">
        <v>2086</v>
      </c>
      <c r="D11" s="47">
        <v>70190</v>
      </c>
      <c r="E11" s="47" t="s">
        <v>673</v>
      </c>
      <c r="F11" s="11">
        <v>38453</v>
      </c>
      <c r="G11" s="47">
        <v>1</v>
      </c>
      <c r="H11" s="48">
        <v>3380.6024999999995</v>
      </c>
      <c r="I11" s="47" t="s">
        <v>1130</v>
      </c>
      <c r="J11" s="47" t="s">
        <v>1212</v>
      </c>
    </row>
    <row r="12" spans="1:10" x14ac:dyDescent="0.25">
      <c r="A12" s="129" t="str">
        <f t="shared" si="0"/>
        <v>1012087</v>
      </c>
      <c r="B12" s="47">
        <v>101</v>
      </c>
      <c r="C12" s="47">
        <v>2087</v>
      </c>
      <c r="D12" s="47">
        <v>70101</v>
      </c>
      <c r="E12" s="47" t="s">
        <v>544</v>
      </c>
      <c r="F12" s="11">
        <v>38453</v>
      </c>
      <c r="G12" s="47">
        <v>1</v>
      </c>
      <c r="H12" s="48">
        <v>4282.1129999999994</v>
      </c>
      <c r="I12" s="47" t="s">
        <v>1128</v>
      </c>
      <c r="J12" s="47" t="s">
        <v>1213</v>
      </c>
    </row>
    <row r="13" spans="1:10" x14ac:dyDescent="0.25">
      <c r="A13" s="129" t="str">
        <f t="shared" si="0"/>
        <v>1012100</v>
      </c>
      <c r="B13" s="47">
        <v>101</v>
      </c>
      <c r="C13" s="47">
        <v>2100</v>
      </c>
      <c r="D13" s="47">
        <v>24200</v>
      </c>
      <c r="E13" s="47" t="s">
        <v>556</v>
      </c>
      <c r="F13" s="11">
        <v>38504</v>
      </c>
      <c r="G13" s="47">
        <v>1</v>
      </c>
      <c r="H13" s="48">
        <v>2704.4819999999995</v>
      </c>
      <c r="I13" s="47" t="s">
        <v>1131</v>
      </c>
      <c r="J13" s="47" t="s">
        <v>108</v>
      </c>
    </row>
    <row r="14" spans="1:10" x14ac:dyDescent="0.25">
      <c r="A14" s="129" t="str">
        <f t="shared" si="0"/>
        <v>1012133</v>
      </c>
      <c r="B14" s="47">
        <v>101</v>
      </c>
      <c r="C14" s="47">
        <v>2133</v>
      </c>
      <c r="D14" s="47">
        <v>70180</v>
      </c>
      <c r="E14" s="47" t="s">
        <v>838</v>
      </c>
      <c r="F14" s="11">
        <v>38611</v>
      </c>
      <c r="G14" s="47">
        <v>1</v>
      </c>
      <c r="H14" s="48">
        <v>2704.4819999999995</v>
      </c>
      <c r="I14" s="47" t="s">
        <v>1128</v>
      </c>
      <c r="J14" s="47" t="s">
        <v>1214</v>
      </c>
    </row>
    <row r="15" spans="1:10" x14ac:dyDescent="0.25">
      <c r="A15" s="129" t="str">
        <f t="shared" si="0"/>
        <v>1012154</v>
      </c>
      <c r="B15" s="47">
        <v>101</v>
      </c>
      <c r="C15" s="47">
        <v>2154</v>
      </c>
      <c r="D15" s="47">
        <v>70150</v>
      </c>
      <c r="E15" s="47" t="s">
        <v>729</v>
      </c>
      <c r="F15" s="11">
        <v>38754</v>
      </c>
      <c r="G15" s="47">
        <v>1</v>
      </c>
      <c r="H15" s="48">
        <v>3617.46</v>
      </c>
      <c r="I15" s="47" t="s">
        <v>1132</v>
      </c>
      <c r="J15" s="47" t="s">
        <v>1215</v>
      </c>
    </row>
    <row r="16" spans="1:10" x14ac:dyDescent="0.25">
      <c r="A16" s="129" t="str">
        <f t="shared" si="0"/>
        <v>1012157</v>
      </c>
      <c r="B16" s="47">
        <v>101</v>
      </c>
      <c r="C16" s="47">
        <v>2157</v>
      </c>
      <c r="D16" s="47">
        <v>30406</v>
      </c>
      <c r="E16" s="47" t="s">
        <v>303</v>
      </c>
      <c r="F16" s="11">
        <v>38789</v>
      </c>
      <c r="G16" s="47">
        <v>1</v>
      </c>
      <c r="H16" s="48">
        <v>3219.6284999999998</v>
      </c>
      <c r="I16" s="47" t="s">
        <v>1133</v>
      </c>
      <c r="J16" s="47" t="s">
        <v>1216</v>
      </c>
    </row>
    <row r="17" spans="1:10" x14ac:dyDescent="0.25">
      <c r="A17" s="129" t="str">
        <f t="shared" si="0"/>
        <v>1012185</v>
      </c>
      <c r="B17" s="47">
        <v>101</v>
      </c>
      <c r="C17" s="47">
        <v>2185</v>
      </c>
      <c r="D17" s="47">
        <v>40301</v>
      </c>
      <c r="E17" s="139" t="s">
        <v>1078</v>
      </c>
      <c r="F17" s="11">
        <v>38840</v>
      </c>
      <c r="G17" s="47">
        <v>1</v>
      </c>
      <c r="H17" s="48">
        <v>13821.851999999997</v>
      </c>
      <c r="I17" s="47" t="s">
        <v>1134</v>
      </c>
      <c r="J17" s="47" t="s">
        <v>1217</v>
      </c>
    </row>
    <row r="18" spans="1:10" x14ac:dyDescent="0.25">
      <c r="A18" s="129" t="str">
        <f t="shared" si="0"/>
        <v>1012211</v>
      </c>
      <c r="B18" s="47">
        <v>101</v>
      </c>
      <c r="C18" s="47">
        <v>2211</v>
      </c>
      <c r="D18" s="47">
        <v>40301</v>
      </c>
      <c r="E18" s="47" t="s">
        <v>706</v>
      </c>
      <c r="F18" s="11">
        <v>38869</v>
      </c>
      <c r="G18" s="47">
        <v>1</v>
      </c>
      <c r="H18" s="48">
        <v>6956.0039999999999</v>
      </c>
      <c r="I18" s="47" t="s">
        <v>1126</v>
      </c>
      <c r="J18" s="47" t="s">
        <v>1217</v>
      </c>
    </row>
    <row r="19" spans="1:10" x14ac:dyDescent="0.25">
      <c r="A19" s="129" t="str">
        <f t="shared" si="0"/>
        <v>1012213</v>
      </c>
      <c r="B19" s="47">
        <v>101</v>
      </c>
      <c r="C19" s="47">
        <v>2213</v>
      </c>
      <c r="D19" s="47">
        <v>50001</v>
      </c>
      <c r="E19" s="139" t="s">
        <v>1108</v>
      </c>
      <c r="F19" s="11">
        <v>38869</v>
      </c>
      <c r="G19" s="47">
        <v>1</v>
      </c>
      <c r="H19" s="48">
        <v>2704.4819999999995</v>
      </c>
      <c r="I19" s="47" t="s">
        <v>1126</v>
      </c>
      <c r="J19" s="47" t="s">
        <v>1218</v>
      </c>
    </row>
    <row r="20" spans="1:10" x14ac:dyDescent="0.25">
      <c r="A20" s="129" t="str">
        <f t="shared" si="0"/>
        <v>1012262</v>
      </c>
      <c r="B20" s="47">
        <v>101</v>
      </c>
      <c r="C20" s="47">
        <v>2262</v>
      </c>
      <c r="D20" s="47">
        <v>40301</v>
      </c>
      <c r="E20" s="47" t="s">
        <v>799</v>
      </c>
      <c r="F20" s="11">
        <v>38930</v>
      </c>
      <c r="G20" s="47">
        <v>1</v>
      </c>
      <c r="H20" s="48">
        <v>4722.1184999999996</v>
      </c>
      <c r="I20" s="47" t="s">
        <v>1135</v>
      </c>
      <c r="J20" s="47" t="s">
        <v>1217</v>
      </c>
    </row>
    <row r="21" spans="1:10" x14ac:dyDescent="0.25">
      <c r="A21" s="129" t="str">
        <f t="shared" si="0"/>
        <v>1012280</v>
      </c>
      <c r="B21" s="47">
        <v>101</v>
      </c>
      <c r="C21" s="47">
        <v>2280</v>
      </c>
      <c r="D21" s="47">
        <v>70120</v>
      </c>
      <c r="E21" s="47" t="s">
        <v>201</v>
      </c>
      <c r="F21" s="11">
        <v>38938</v>
      </c>
      <c r="G21" s="47">
        <v>1</v>
      </c>
      <c r="H21" s="48">
        <v>3380.6024999999995</v>
      </c>
      <c r="I21" s="47" t="s">
        <v>1136</v>
      </c>
      <c r="J21" s="47" t="s">
        <v>1208</v>
      </c>
    </row>
    <row r="22" spans="1:10" x14ac:dyDescent="0.25">
      <c r="A22" s="129" t="str">
        <f t="shared" si="0"/>
        <v>1012287</v>
      </c>
      <c r="B22" s="47">
        <v>101</v>
      </c>
      <c r="C22" s="47">
        <v>2287</v>
      </c>
      <c r="D22" s="47">
        <v>70100</v>
      </c>
      <c r="E22" s="47" t="s">
        <v>220</v>
      </c>
      <c r="F22" s="11">
        <v>38952</v>
      </c>
      <c r="G22" s="47">
        <v>1</v>
      </c>
      <c r="H22" s="48">
        <v>6692.3009999999995</v>
      </c>
      <c r="I22" s="47" t="s">
        <v>1128</v>
      </c>
      <c r="J22" s="47" t="s">
        <v>1219</v>
      </c>
    </row>
    <row r="23" spans="1:10" x14ac:dyDescent="0.25">
      <c r="A23" s="129" t="str">
        <f t="shared" si="0"/>
        <v>1012289</v>
      </c>
      <c r="B23" s="47">
        <v>101</v>
      </c>
      <c r="C23" s="47">
        <v>2289</v>
      </c>
      <c r="D23" s="47">
        <v>70150</v>
      </c>
      <c r="E23" s="47" t="s">
        <v>197</v>
      </c>
      <c r="F23" s="11">
        <v>38957</v>
      </c>
      <c r="G23" s="47">
        <v>1</v>
      </c>
      <c r="H23" s="48">
        <v>4282.1129999999994</v>
      </c>
      <c r="I23" s="47" t="s">
        <v>1128</v>
      </c>
      <c r="J23" s="47" t="s">
        <v>1215</v>
      </c>
    </row>
    <row r="24" spans="1:10" x14ac:dyDescent="0.25">
      <c r="A24" s="129" t="str">
        <f t="shared" si="0"/>
        <v>1012294</v>
      </c>
      <c r="B24" s="47">
        <v>101</v>
      </c>
      <c r="C24" s="47">
        <v>2294</v>
      </c>
      <c r="D24" s="47">
        <v>40301</v>
      </c>
      <c r="E24" s="47" t="s">
        <v>171</v>
      </c>
      <c r="F24" s="11">
        <v>38964</v>
      </c>
      <c r="G24" s="47">
        <v>1</v>
      </c>
      <c r="H24" s="48">
        <v>3380.6024999999995</v>
      </c>
      <c r="I24" s="47" t="s">
        <v>1127</v>
      </c>
      <c r="J24" s="47" t="s">
        <v>1217</v>
      </c>
    </row>
    <row r="25" spans="1:10" x14ac:dyDescent="0.25">
      <c r="A25" s="129" t="str">
        <f t="shared" si="0"/>
        <v>1012299</v>
      </c>
      <c r="B25" s="47">
        <v>101</v>
      </c>
      <c r="C25" s="47">
        <v>2299</v>
      </c>
      <c r="D25" s="47">
        <v>40301</v>
      </c>
      <c r="E25" s="47" t="s">
        <v>500</v>
      </c>
      <c r="F25" s="11">
        <v>38972</v>
      </c>
      <c r="G25" s="47">
        <v>1</v>
      </c>
      <c r="H25" s="48">
        <v>3617.46</v>
      </c>
      <c r="I25" s="47" t="s">
        <v>1137</v>
      </c>
      <c r="J25" s="47" t="s">
        <v>1217</v>
      </c>
    </row>
    <row r="26" spans="1:10" x14ac:dyDescent="0.25">
      <c r="A26" s="129" t="str">
        <f t="shared" si="0"/>
        <v>1012309</v>
      </c>
      <c r="B26" s="47">
        <v>101</v>
      </c>
      <c r="C26" s="47">
        <v>2309</v>
      </c>
      <c r="D26" s="47">
        <v>70210</v>
      </c>
      <c r="E26" s="47" t="s">
        <v>535</v>
      </c>
      <c r="F26" s="11">
        <v>38974</v>
      </c>
      <c r="G26" s="47">
        <v>1</v>
      </c>
      <c r="H26" s="48">
        <v>9495.8325000000004</v>
      </c>
      <c r="I26" s="47" t="s">
        <v>1132</v>
      </c>
      <c r="J26" s="47" t="s">
        <v>1220</v>
      </c>
    </row>
    <row r="27" spans="1:10" x14ac:dyDescent="0.25">
      <c r="A27" s="129" t="str">
        <f t="shared" si="0"/>
        <v>1012342</v>
      </c>
      <c r="B27" s="47">
        <v>101</v>
      </c>
      <c r="C27" s="47">
        <v>2342</v>
      </c>
      <c r="D27" s="47">
        <v>24700</v>
      </c>
      <c r="E27" s="47" t="s">
        <v>205</v>
      </c>
      <c r="F27" s="11">
        <v>38992</v>
      </c>
      <c r="G27" s="47">
        <v>1</v>
      </c>
      <c r="H27" s="48">
        <v>9900</v>
      </c>
      <c r="I27" s="47" t="s">
        <v>1129</v>
      </c>
      <c r="J27" s="47" t="s">
        <v>1211</v>
      </c>
    </row>
    <row r="28" spans="1:10" x14ac:dyDescent="0.25">
      <c r="A28" s="129" t="str">
        <f t="shared" si="0"/>
        <v>1012402</v>
      </c>
      <c r="B28" s="47">
        <v>101</v>
      </c>
      <c r="C28" s="47">
        <v>2402</v>
      </c>
      <c r="D28" s="47">
        <v>70180</v>
      </c>
      <c r="E28" s="47" t="s">
        <v>512</v>
      </c>
      <c r="F28" s="11">
        <v>39022</v>
      </c>
      <c r="G28" s="47">
        <v>1</v>
      </c>
      <c r="H28" s="48">
        <v>4958.2334999999994</v>
      </c>
      <c r="I28" s="47" t="s">
        <v>1128</v>
      </c>
      <c r="J28" s="47" t="s">
        <v>1214</v>
      </c>
    </row>
    <row r="29" spans="1:10" x14ac:dyDescent="0.25">
      <c r="A29" s="129" t="str">
        <f t="shared" si="0"/>
        <v>1012405</v>
      </c>
      <c r="B29" s="47">
        <v>101</v>
      </c>
      <c r="C29" s="47">
        <v>2405</v>
      </c>
      <c r="D29" s="47">
        <v>70120</v>
      </c>
      <c r="E29" s="47" t="s">
        <v>436</v>
      </c>
      <c r="F29" s="11">
        <v>39022</v>
      </c>
      <c r="G29" s="47">
        <v>1</v>
      </c>
      <c r="H29" s="48">
        <v>3219.6284999999998</v>
      </c>
      <c r="I29" s="47" t="s">
        <v>1138</v>
      </c>
      <c r="J29" s="47" t="s">
        <v>1208</v>
      </c>
    </row>
    <row r="30" spans="1:10" x14ac:dyDescent="0.25">
      <c r="A30" s="129" t="str">
        <f t="shared" si="0"/>
        <v>1012406</v>
      </c>
      <c r="B30" s="47">
        <v>101</v>
      </c>
      <c r="C30" s="47">
        <v>2406</v>
      </c>
      <c r="D30" s="47">
        <v>70140</v>
      </c>
      <c r="E30" s="47" t="s">
        <v>765</v>
      </c>
      <c r="F30" s="11">
        <v>39022</v>
      </c>
      <c r="G30" s="47">
        <v>1</v>
      </c>
      <c r="H30" s="48">
        <v>11536.634999999998</v>
      </c>
      <c r="I30" s="47" t="s">
        <v>1121</v>
      </c>
      <c r="J30" s="47" t="s">
        <v>1210</v>
      </c>
    </row>
    <row r="31" spans="1:10" x14ac:dyDescent="0.25">
      <c r="A31" s="129" t="str">
        <f t="shared" si="0"/>
        <v>1012429</v>
      </c>
      <c r="B31" s="47">
        <v>101</v>
      </c>
      <c r="C31" s="47">
        <v>2429</v>
      </c>
      <c r="D31" s="47">
        <v>70160</v>
      </c>
      <c r="E31" s="47" t="s">
        <v>245</v>
      </c>
      <c r="F31" s="11">
        <v>39028</v>
      </c>
      <c r="G31" s="47">
        <v>1</v>
      </c>
      <c r="H31" s="48">
        <v>6983.2124999999996</v>
      </c>
      <c r="I31" s="47" t="s">
        <v>1139</v>
      </c>
      <c r="J31" s="47" t="s">
        <v>1221</v>
      </c>
    </row>
    <row r="32" spans="1:10" x14ac:dyDescent="0.25">
      <c r="A32" s="129" t="str">
        <f t="shared" si="0"/>
        <v>1012440</v>
      </c>
      <c r="B32" s="47">
        <v>101</v>
      </c>
      <c r="C32" s="47">
        <v>2440</v>
      </c>
      <c r="D32" s="47">
        <v>24700</v>
      </c>
      <c r="E32" s="139" t="s">
        <v>1071</v>
      </c>
      <c r="F32" s="11">
        <v>39034</v>
      </c>
      <c r="G32" s="47">
        <v>1</v>
      </c>
      <c r="H32" s="48">
        <v>6073.2374999999993</v>
      </c>
      <c r="I32" s="47" t="s">
        <v>1140</v>
      </c>
      <c r="J32" s="47" t="s">
        <v>1211</v>
      </c>
    </row>
    <row r="33" spans="1:10" x14ac:dyDescent="0.25">
      <c r="A33" s="129" t="str">
        <f t="shared" si="0"/>
        <v>1012463</v>
      </c>
      <c r="B33" s="47">
        <v>101</v>
      </c>
      <c r="C33" s="47">
        <v>2463</v>
      </c>
      <c r="D33" s="47">
        <v>70150</v>
      </c>
      <c r="E33" s="47" t="s">
        <v>659</v>
      </c>
      <c r="F33" s="11">
        <v>39038</v>
      </c>
      <c r="G33" s="47">
        <v>1</v>
      </c>
      <c r="H33" s="48">
        <v>10488.588</v>
      </c>
      <c r="I33" s="47" t="s">
        <v>1121</v>
      </c>
      <c r="J33" s="47" t="s">
        <v>1215</v>
      </c>
    </row>
    <row r="34" spans="1:10" x14ac:dyDescent="0.25">
      <c r="A34" s="129" t="str">
        <f t="shared" si="0"/>
        <v>1012484</v>
      </c>
      <c r="B34" s="47">
        <v>101</v>
      </c>
      <c r="C34" s="47">
        <v>2484</v>
      </c>
      <c r="D34" s="47">
        <v>70101</v>
      </c>
      <c r="E34" s="47" t="s">
        <v>603</v>
      </c>
      <c r="F34" s="11">
        <v>39052</v>
      </c>
      <c r="G34" s="47">
        <v>1</v>
      </c>
      <c r="H34" s="48">
        <v>4203.4079999999994</v>
      </c>
      <c r="I34" s="47" t="s">
        <v>1128</v>
      </c>
      <c r="J34" s="47" t="s">
        <v>1213</v>
      </c>
    </row>
    <row r="35" spans="1:10" x14ac:dyDescent="0.25">
      <c r="A35" s="129" t="str">
        <f t="shared" si="0"/>
        <v>1012491</v>
      </c>
      <c r="B35" s="47">
        <v>101</v>
      </c>
      <c r="C35" s="47">
        <v>2491</v>
      </c>
      <c r="D35" s="47">
        <v>70180</v>
      </c>
      <c r="E35" s="139" t="s">
        <v>918</v>
      </c>
      <c r="F35" s="11">
        <v>39052</v>
      </c>
      <c r="G35" s="47">
        <v>1</v>
      </c>
      <c r="H35" s="48">
        <v>5151.3989999999994</v>
      </c>
      <c r="I35" s="47" t="s">
        <v>1121</v>
      </c>
      <c r="J35" s="47" t="s">
        <v>1214</v>
      </c>
    </row>
    <row r="36" spans="1:10" x14ac:dyDescent="0.25">
      <c r="A36" s="129" t="str">
        <f t="shared" si="0"/>
        <v>1012492</v>
      </c>
      <c r="B36" s="47">
        <v>101</v>
      </c>
      <c r="C36" s="47">
        <v>2492</v>
      </c>
      <c r="D36" s="47">
        <v>70180</v>
      </c>
      <c r="E36" s="47" t="s">
        <v>505</v>
      </c>
      <c r="F36" s="11">
        <v>39052</v>
      </c>
      <c r="G36" s="47">
        <v>1</v>
      </c>
      <c r="H36" s="48">
        <v>3617.46</v>
      </c>
      <c r="I36" s="47" t="s">
        <v>1121</v>
      </c>
      <c r="J36" s="47" t="s">
        <v>1214</v>
      </c>
    </row>
    <row r="37" spans="1:10" x14ac:dyDescent="0.25">
      <c r="A37" s="129" t="str">
        <f t="shared" si="0"/>
        <v>1012511</v>
      </c>
      <c r="B37" s="47">
        <v>101</v>
      </c>
      <c r="C37" s="47">
        <v>2511</v>
      </c>
      <c r="D37" s="47">
        <v>70102</v>
      </c>
      <c r="E37" s="47" t="s">
        <v>699</v>
      </c>
      <c r="F37" s="11">
        <v>39053</v>
      </c>
      <c r="G37" s="47">
        <v>1</v>
      </c>
      <c r="H37" s="48">
        <v>5189.7120000000004</v>
      </c>
      <c r="I37" s="47" t="s">
        <v>1132</v>
      </c>
      <c r="J37" s="47" t="s">
        <v>1222</v>
      </c>
    </row>
    <row r="38" spans="1:10" x14ac:dyDescent="0.25">
      <c r="A38" s="129" t="str">
        <f t="shared" si="0"/>
        <v>1012537</v>
      </c>
      <c r="B38" s="47">
        <v>101</v>
      </c>
      <c r="C38" s="47">
        <v>2537</v>
      </c>
      <c r="D38" s="47">
        <v>70210</v>
      </c>
      <c r="E38" s="139" t="s">
        <v>1085</v>
      </c>
      <c r="F38" s="11">
        <v>39062</v>
      </c>
      <c r="G38" s="47">
        <v>1</v>
      </c>
      <c r="H38" s="48">
        <v>3617.46</v>
      </c>
      <c r="I38" s="47" t="s">
        <v>1141</v>
      </c>
      <c r="J38" s="47" t="s">
        <v>1220</v>
      </c>
    </row>
    <row r="39" spans="1:10" x14ac:dyDescent="0.25">
      <c r="A39" s="129" t="str">
        <f t="shared" si="0"/>
        <v>1012538</v>
      </c>
      <c r="B39" s="47">
        <v>101</v>
      </c>
      <c r="C39" s="47">
        <v>2538</v>
      </c>
      <c r="D39" s="47">
        <v>50001</v>
      </c>
      <c r="E39" s="139" t="s">
        <v>1082</v>
      </c>
      <c r="F39" s="11">
        <v>39062</v>
      </c>
      <c r="G39" s="47">
        <v>1</v>
      </c>
      <c r="H39" s="48">
        <v>8835.5355</v>
      </c>
      <c r="I39" s="47" t="s">
        <v>1126</v>
      </c>
      <c r="J39" s="47" t="s">
        <v>1218</v>
      </c>
    </row>
    <row r="40" spans="1:10" x14ac:dyDescent="0.25">
      <c r="A40" s="129" t="str">
        <f t="shared" si="0"/>
        <v>1012546</v>
      </c>
      <c r="B40" s="47">
        <v>101</v>
      </c>
      <c r="C40" s="47">
        <v>2546</v>
      </c>
      <c r="D40" s="47">
        <v>70210</v>
      </c>
      <c r="E40" s="47" t="s">
        <v>573</v>
      </c>
      <c r="F40" s="11">
        <v>39063</v>
      </c>
      <c r="G40" s="47">
        <v>1</v>
      </c>
      <c r="H40" s="48">
        <v>4282.1129999999994</v>
      </c>
      <c r="I40" s="47" t="s">
        <v>1139</v>
      </c>
      <c r="J40" s="47" t="s">
        <v>1220</v>
      </c>
    </row>
    <row r="41" spans="1:10" x14ac:dyDescent="0.25">
      <c r="A41" s="129" t="str">
        <f t="shared" si="0"/>
        <v>1012587</v>
      </c>
      <c r="B41" s="47">
        <v>101</v>
      </c>
      <c r="C41" s="47">
        <v>2587</v>
      </c>
      <c r="D41" s="47">
        <v>70120</v>
      </c>
      <c r="E41" s="47" t="s">
        <v>430</v>
      </c>
      <c r="F41" s="11">
        <v>39085</v>
      </c>
      <c r="G41" s="47">
        <v>1</v>
      </c>
      <c r="H41" s="48">
        <v>2704.4819999999995</v>
      </c>
      <c r="I41" s="47" t="s">
        <v>1132</v>
      </c>
      <c r="J41" s="47" t="s">
        <v>1208</v>
      </c>
    </row>
    <row r="42" spans="1:10" x14ac:dyDescent="0.25">
      <c r="A42" s="129" t="str">
        <f t="shared" si="0"/>
        <v>1012601</v>
      </c>
      <c r="B42" s="47">
        <v>101</v>
      </c>
      <c r="C42" s="47">
        <v>2601</v>
      </c>
      <c r="D42" s="47">
        <v>50001</v>
      </c>
      <c r="E42" s="47" t="s">
        <v>176</v>
      </c>
      <c r="F42" s="11">
        <v>39093</v>
      </c>
      <c r="G42" s="47">
        <v>1</v>
      </c>
      <c r="H42" s="48">
        <v>2575.6994999999997</v>
      </c>
      <c r="I42" s="47" t="s">
        <v>1126</v>
      </c>
      <c r="J42" s="47" t="s">
        <v>1218</v>
      </c>
    </row>
    <row r="43" spans="1:10" x14ac:dyDescent="0.25">
      <c r="A43" s="129" t="str">
        <f t="shared" si="0"/>
        <v>1012604</v>
      </c>
      <c r="B43" s="47">
        <v>101</v>
      </c>
      <c r="C43" s="47">
        <v>2604</v>
      </c>
      <c r="D43" s="47">
        <v>24700</v>
      </c>
      <c r="E43" s="47" t="s">
        <v>123</v>
      </c>
      <c r="F43" s="11">
        <v>39101</v>
      </c>
      <c r="G43" s="47">
        <v>1</v>
      </c>
      <c r="H43" s="48">
        <v>2704.4819999999995</v>
      </c>
      <c r="I43" s="47" t="s">
        <v>1129</v>
      </c>
      <c r="J43" s="47" t="s">
        <v>1211</v>
      </c>
    </row>
    <row r="44" spans="1:10" x14ac:dyDescent="0.25">
      <c r="A44" s="129" t="str">
        <f t="shared" si="0"/>
        <v>1012615</v>
      </c>
      <c r="B44" s="47">
        <v>101</v>
      </c>
      <c r="C44" s="47">
        <v>2615</v>
      </c>
      <c r="D44" s="47">
        <v>24700</v>
      </c>
      <c r="E44" s="47" t="s">
        <v>763</v>
      </c>
      <c r="F44" s="11">
        <v>39111</v>
      </c>
      <c r="G44" s="47">
        <v>1</v>
      </c>
      <c r="H44" s="48">
        <v>4292.8379999999997</v>
      </c>
      <c r="I44" s="47" t="s">
        <v>1142</v>
      </c>
      <c r="J44" s="47" t="s">
        <v>1211</v>
      </c>
    </row>
    <row r="45" spans="1:10" x14ac:dyDescent="0.25">
      <c r="A45" s="129" t="str">
        <f t="shared" si="0"/>
        <v>1012655</v>
      </c>
      <c r="B45" s="47">
        <v>101</v>
      </c>
      <c r="C45" s="47">
        <v>2655</v>
      </c>
      <c r="D45" s="47">
        <v>70100</v>
      </c>
      <c r="E45" s="47" t="s">
        <v>848</v>
      </c>
      <c r="F45" s="11">
        <v>39139</v>
      </c>
      <c r="G45" s="47">
        <v>1</v>
      </c>
      <c r="H45" s="48">
        <v>3380.6024999999995</v>
      </c>
      <c r="I45" s="47" t="s">
        <v>1130</v>
      </c>
      <c r="J45" s="47" t="s">
        <v>1219</v>
      </c>
    </row>
    <row r="46" spans="1:10" x14ac:dyDescent="0.25">
      <c r="A46" s="129" t="str">
        <f t="shared" si="0"/>
        <v>1012656</v>
      </c>
      <c r="B46" s="47">
        <v>101</v>
      </c>
      <c r="C46" s="47">
        <v>2656</v>
      </c>
      <c r="D46" s="47">
        <v>70140</v>
      </c>
      <c r="E46" s="47" t="s">
        <v>433</v>
      </c>
      <c r="F46" s="11">
        <v>39142</v>
      </c>
      <c r="G46" s="47">
        <v>1</v>
      </c>
      <c r="H46" s="48">
        <v>3617.46</v>
      </c>
      <c r="I46" s="47" t="s">
        <v>1121</v>
      </c>
      <c r="J46" s="47" t="s">
        <v>1210</v>
      </c>
    </row>
    <row r="47" spans="1:10" x14ac:dyDescent="0.25">
      <c r="A47" s="129" t="str">
        <f t="shared" si="0"/>
        <v>1012669</v>
      </c>
      <c r="B47" s="47">
        <v>101</v>
      </c>
      <c r="C47" s="47">
        <v>2669</v>
      </c>
      <c r="D47" s="47">
        <v>21300</v>
      </c>
      <c r="E47" s="139" t="s">
        <v>970</v>
      </c>
      <c r="F47" s="11">
        <v>39169</v>
      </c>
      <c r="G47" s="47">
        <v>1</v>
      </c>
      <c r="H47" s="48">
        <v>30664.0785</v>
      </c>
      <c r="I47" s="47" t="s">
        <v>1143</v>
      </c>
      <c r="J47" s="47" t="s">
        <v>1223</v>
      </c>
    </row>
    <row r="48" spans="1:10" x14ac:dyDescent="0.25">
      <c r="A48" s="129" t="str">
        <f t="shared" si="0"/>
        <v>1012675</v>
      </c>
      <c r="B48" s="47">
        <v>101</v>
      </c>
      <c r="C48" s="47">
        <v>2675</v>
      </c>
      <c r="D48" s="47">
        <v>70180</v>
      </c>
      <c r="E48" s="47" t="s">
        <v>232</v>
      </c>
      <c r="F48" s="11">
        <v>39153</v>
      </c>
      <c r="G48" s="47">
        <v>1</v>
      </c>
      <c r="H48" s="48">
        <v>15675</v>
      </c>
      <c r="I48" s="47" t="s">
        <v>1121</v>
      </c>
      <c r="J48" s="47" t="s">
        <v>1214</v>
      </c>
    </row>
    <row r="49" spans="1:10" x14ac:dyDescent="0.25">
      <c r="A49" s="129" t="str">
        <f t="shared" si="0"/>
        <v>1012676</v>
      </c>
      <c r="B49" s="47">
        <v>101</v>
      </c>
      <c r="C49" s="47">
        <v>2676</v>
      </c>
      <c r="D49" s="47">
        <v>70140</v>
      </c>
      <c r="E49" s="47" t="s">
        <v>456</v>
      </c>
      <c r="F49" s="11">
        <v>39153</v>
      </c>
      <c r="G49" s="47">
        <v>1</v>
      </c>
      <c r="H49" s="48">
        <v>2897.6639999999998</v>
      </c>
      <c r="I49" s="47" t="s">
        <v>1121</v>
      </c>
      <c r="J49" s="47" t="s">
        <v>1210</v>
      </c>
    </row>
    <row r="50" spans="1:10" x14ac:dyDescent="0.25">
      <c r="A50" s="129" t="str">
        <f t="shared" si="0"/>
        <v>1012677</v>
      </c>
      <c r="B50" s="47">
        <v>101</v>
      </c>
      <c r="C50" s="47">
        <v>2677</v>
      </c>
      <c r="D50" s="47">
        <v>40301</v>
      </c>
      <c r="E50" s="139" t="s">
        <v>944</v>
      </c>
      <c r="F50" s="11">
        <v>39154</v>
      </c>
      <c r="G50" s="47">
        <v>1</v>
      </c>
      <c r="H50" s="48">
        <v>3863.5409999999997</v>
      </c>
      <c r="I50" s="47" t="s">
        <v>1126</v>
      </c>
      <c r="J50" s="47" t="s">
        <v>1217</v>
      </c>
    </row>
    <row r="51" spans="1:10" x14ac:dyDescent="0.25">
      <c r="A51" s="129" t="str">
        <f t="shared" si="0"/>
        <v>1012687</v>
      </c>
      <c r="B51" s="47">
        <v>101</v>
      </c>
      <c r="C51" s="47">
        <v>2687</v>
      </c>
      <c r="D51" s="47">
        <v>30406</v>
      </c>
      <c r="E51" s="47" t="s">
        <v>315</v>
      </c>
      <c r="F51" s="11">
        <v>39160</v>
      </c>
      <c r="G51" s="47">
        <v>1</v>
      </c>
      <c r="H51" s="48">
        <v>8148.4589999999998</v>
      </c>
      <c r="I51" s="47" t="s">
        <v>1144</v>
      </c>
      <c r="J51" s="47" t="s">
        <v>1216</v>
      </c>
    </row>
    <row r="52" spans="1:10" x14ac:dyDescent="0.25">
      <c r="A52" s="129" t="str">
        <f t="shared" si="0"/>
        <v>1012700</v>
      </c>
      <c r="B52" s="47">
        <v>101</v>
      </c>
      <c r="C52" s="47">
        <v>2700</v>
      </c>
      <c r="D52" s="47">
        <v>70150</v>
      </c>
      <c r="E52" s="139" t="s">
        <v>956</v>
      </c>
      <c r="F52" s="11">
        <v>39170</v>
      </c>
      <c r="G52" s="47">
        <v>1</v>
      </c>
      <c r="H52" s="48">
        <v>3863.5409999999997</v>
      </c>
      <c r="I52" s="47" t="s">
        <v>1128</v>
      </c>
      <c r="J52" s="47" t="s">
        <v>1215</v>
      </c>
    </row>
    <row r="53" spans="1:10" x14ac:dyDescent="0.25">
      <c r="A53" s="129" t="str">
        <f t="shared" si="0"/>
        <v>1012760</v>
      </c>
      <c r="B53" s="47">
        <v>101</v>
      </c>
      <c r="C53" s="47">
        <v>2760</v>
      </c>
      <c r="D53" s="47">
        <v>70102</v>
      </c>
      <c r="E53" s="47" t="s">
        <v>328</v>
      </c>
      <c r="F53" s="11">
        <v>39216</v>
      </c>
      <c r="G53" s="47">
        <v>1</v>
      </c>
      <c r="H53" s="48">
        <v>3863.5409999999997</v>
      </c>
      <c r="I53" s="47" t="s">
        <v>1145</v>
      </c>
      <c r="J53" s="47" t="s">
        <v>1222</v>
      </c>
    </row>
    <row r="54" spans="1:10" x14ac:dyDescent="0.25">
      <c r="A54" s="129" t="str">
        <f t="shared" si="0"/>
        <v>1012863</v>
      </c>
      <c r="B54" s="47">
        <v>101</v>
      </c>
      <c r="C54" s="47">
        <v>2863</v>
      </c>
      <c r="D54" s="47">
        <v>50001</v>
      </c>
      <c r="E54" s="47" t="s">
        <v>511</v>
      </c>
      <c r="F54" s="11">
        <v>39282</v>
      </c>
      <c r="G54" s="47">
        <v>1</v>
      </c>
      <c r="H54" s="48">
        <v>2704.4819999999995</v>
      </c>
      <c r="I54" s="47" t="s">
        <v>1126</v>
      </c>
      <c r="J54" s="47" t="s">
        <v>1218</v>
      </c>
    </row>
    <row r="55" spans="1:10" x14ac:dyDescent="0.25">
      <c r="A55" s="129" t="str">
        <f t="shared" si="0"/>
        <v>1012904</v>
      </c>
      <c r="B55" s="47">
        <v>101</v>
      </c>
      <c r="C55" s="47">
        <v>2904</v>
      </c>
      <c r="D55" s="47">
        <v>70210</v>
      </c>
      <c r="E55" s="47" t="s">
        <v>710</v>
      </c>
      <c r="F55" s="11">
        <v>39295</v>
      </c>
      <c r="G55" s="47">
        <v>1</v>
      </c>
      <c r="H55" s="48">
        <v>2575.6994999999997</v>
      </c>
      <c r="I55" s="47" t="s">
        <v>1128</v>
      </c>
      <c r="J55" s="47" t="s">
        <v>1220</v>
      </c>
    </row>
    <row r="56" spans="1:10" x14ac:dyDescent="0.25">
      <c r="A56" s="129" t="str">
        <f t="shared" si="0"/>
        <v>1012988</v>
      </c>
      <c r="B56" s="47">
        <v>101</v>
      </c>
      <c r="C56" s="47">
        <v>2988</v>
      </c>
      <c r="D56" s="47">
        <v>30300</v>
      </c>
      <c r="E56" s="47" t="s">
        <v>339</v>
      </c>
      <c r="F56" s="11">
        <v>39307</v>
      </c>
      <c r="G56" s="47">
        <v>1</v>
      </c>
      <c r="H56" s="48">
        <v>4202.5169999999998</v>
      </c>
      <c r="I56" s="47" t="s">
        <v>1146</v>
      </c>
      <c r="J56" s="47" t="s">
        <v>1224</v>
      </c>
    </row>
    <row r="57" spans="1:10" x14ac:dyDescent="0.25">
      <c r="A57" s="129" t="str">
        <f t="shared" si="0"/>
        <v>1013063</v>
      </c>
      <c r="B57" s="47">
        <v>101</v>
      </c>
      <c r="C57" s="47">
        <v>3063</v>
      </c>
      <c r="D57" s="47">
        <v>70102</v>
      </c>
      <c r="E57" s="47" t="s">
        <v>302</v>
      </c>
      <c r="F57" s="11">
        <v>39331</v>
      </c>
      <c r="G57" s="47">
        <v>1</v>
      </c>
      <c r="H57" s="48">
        <v>2704.4819999999995</v>
      </c>
      <c r="I57" s="47" t="s">
        <v>1138</v>
      </c>
      <c r="J57" s="47" t="s">
        <v>1222</v>
      </c>
    </row>
    <row r="58" spans="1:10" x14ac:dyDescent="0.25">
      <c r="A58" s="129" t="str">
        <f t="shared" si="0"/>
        <v>1013097</v>
      </c>
      <c r="B58" s="47">
        <v>101</v>
      </c>
      <c r="C58" s="47">
        <v>3097</v>
      </c>
      <c r="D58" s="47">
        <v>70150</v>
      </c>
      <c r="E58" s="47" t="s">
        <v>264</v>
      </c>
      <c r="F58" s="11">
        <v>39343</v>
      </c>
      <c r="G58" s="47">
        <v>1</v>
      </c>
      <c r="H58" s="48">
        <v>2704.4819999999995</v>
      </c>
      <c r="I58" s="47" t="s">
        <v>1128</v>
      </c>
      <c r="J58" s="47" t="s">
        <v>1215</v>
      </c>
    </row>
    <row r="59" spans="1:10" x14ac:dyDescent="0.25">
      <c r="A59" s="129" t="str">
        <f t="shared" si="0"/>
        <v>1013098</v>
      </c>
      <c r="B59" s="47">
        <v>101</v>
      </c>
      <c r="C59" s="47">
        <v>3098</v>
      </c>
      <c r="D59" s="47">
        <v>20400</v>
      </c>
      <c r="E59" s="139" t="s">
        <v>1061</v>
      </c>
      <c r="F59" s="11">
        <v>39344</v>
      </c>
      <c r="G59" s="47">
        <v>1</v>
      </c>
      <c r="H59" s="48">
        <v>8835.5355</v>
      </c>
      <c r="I59" s="47" t="s">
        <v>1147</v>
      </c>
      <c r="J59" s="47" t="s">
        <v>1225</v>
      </c>
    </row>
    <row r="60" spans="1:10" x14ac:dyDescent="0.25">
      <c r="A60" s="129" t="str">
        <f t="shared" si="0"/>
        <v>1013104</v>
      </c>
      <c r="B60" s="47">
        <v>101</v>
      </c>
      <c r="C60" s="47">
        <v>3104</v>
      </c>
      <c r="D60" s="47">
        <v>30406</v>
      </c>
      <c r="E60" s="47" t="s">
        <v>770</v>
      </c>
      <c r="F60" s="11">
        <v>39346</v>
      </c>
      <c r="G60" s="47">
        <v>1</v>
      </c>
      <c r="H60" s="48">
        <v>3752.8919999999998</v>
      </c>
      <c r="I60" s="47" t="s">
        <v>1148</v>
      </c>
      <c r="J60" s="47" t="s">
        <v>1216</v>
      </c>
    </row>
    <row r="61" spans="1:10" x14ac:dyDescent="0.25">
      <c r="A61" s="129" t="str">
        <f t="shared" si="0"/>
        <v>1013121</v>
      </c>
      <c r="B61" s="47">
        <v>101</v>
      </c>
      <c r="C61" s="47">
        <v>3121</v>
      </c>
      <c r="D61" s="47">
        <v>50001</v>
      </c>
      <c r="E61" s="139" t="s">
        <v>951</v>
      </c>
      <c r="F61" s="11">
        <v>39356</v>
      </c>
      <c r="G61" s="47">
        <v>1</v>
      </c>
      <c r="H61" s="48">
        <v>5280</v>
      </c>
      <c r="I61" s="47" t="s">
        <v>1126</v>
      </c>
      <c r="J61" s="47" t="s">
        <v>1218</v>
      </c>
    </row>
    <row r="62" spans="1:10" x14ac:dyDescent="0.25">
      <c r="A62" s="129" t="str">
        <f t="shared" si="0"/>
        <v>1013135</v>
      </c>
      <c r="B62" s="47">
        <v>101</v>
      </c>
      <c r="C62" s="47">
        <v>3135</v>
      </c>
      <c r="D62" s="47">
        <v>50001</v>
      </c>
      <c r="E62" s="47" t="s">
        <v>545</v>
      </c>
      <c r="F62" s="11">
        <v>39357</v>
      </c>
      <c r="G62" s="47">
        <v>1</v>
      </c>
      <c r="H62" s="48">
        <v>4288.5479999999998</v>
      </c>
      <c r="I62" s="47" t="s">
        <v>1126</v>
      </c>
      <c r="J62" s="47" t="s">
        <v>1218</v>
      </c>
    </row>
    <row r="63" spans="1:10" x14ac:dyDescent="0.25">
      <c r="A63" s="129" t="str">
        <f t="shared" ref="A63:A110" si="1">B63&amp;C63</f>
        <v>1013136</v>
      </c>
      <c r="B63" s="47">
        <v>101</v>
      </c>
      <c r="C63" s="47">
        <v>3136</v>
      </c>
      <c r="D63" s="47">
        <v>24700</v>
      </c>
      <c r="E63" s="47" t="s">
        <v>159</v>
      </c>
      <c r="F63" s="11">
        <v>39357</v>
      </c>
      <c r="G63" s="47">
        <v>1</v>
      </c>
      <c r="H63" s="48">
        <v>4202.5169999999998</v>
      </c>
      <c r="I63" s="47" t="s">
        <v>1140</v>
      </c>
      <c r="J63" s="47" t="s">
        <v>1211</v>
      </c>
    </row>
    <row r="64" spans="1:10" x14ac:dyDescent="0.25">
      <c r="A64" s="129" t="str">
        <f t="shared" si="1"/>
        <v>1013180</v>
      </c>
      <c r="B64" s="47">
        <v>101</v>
      </c>
      <c r="C64" s="47">
        <v>3180</v>
      </c>
      <c r="D64" s="47">
        <v>50001</v>
      </c>
      <c r="E64" s="47" t="s">
        <v>369</v>
      </c>
      <c r="F64" s="11">
        <v>39370</v>
      </c>
      <c r="G64" s="47">
        <v>1</v>
      </c>
      <c r="H64" s="48">
        <v>3617.46</v>
      </c>
      <c r="I64" s="47" t="s">
        <v>1126</v>
      </c>
      <c r="J64" s="47" t="s">
        <v>1218</v>
      </c>
    </row>
    <row r="65" spans="1:10" x14ac:dyDescent="0.25">
      <c r="A65" s="129" t="str">
        <f t="shared" si="1"/>
        <v>1013196</v>
      </c>
      <c r="B65" s="47">
        <v>101</v>
      </c>
      <c r="C65" s="47">
        <v>3196</v>
      </c>
      <c r="D65" s="47">
        <v>70180</v>
      </c>
      <c r="E65" s="139" t="s">
        <v>991</v>
      </c>
      <c r="F65" s="11">
        <v>39379</v>
      </c>
      <c r="G65" s="47">
        <v>1</v>
      </c>
      <c r="H65" s="48">
        <v>2704.4819999999995</v>
      </c>
      <c r="I65" s="47" t="s">
        <v>1139</v>
      </c>
      <c r="J65" s="47" t="s">
        <v>1214</v>
      </c>
    </row>
    <row r="66" spans="1:10" x14ac:dyDescent="0.25">
      <c r="A66" s="129" t="str">
        <f t="shared" si="1"/>
        <v>1013288</v>
      </c>
      <c r="B66" s="47">
        <v>101</v>
      </c>
      <c r="C66" s="47">
        <v>3288</v>
      </c>
      <c r="D66" s="47">
        <v>40301</v>
      </c>
      <c r="E66" s="47" t="s">
        <v>172</v>
      </c>
      <c r="F66" s="11">
        <v>39417</v>
      </c>
      <c r="G66" s="47">
        <v>1</v>
      </c>
      <c r="H66" s="48">
        <v>2704.4819999999995</v>
      </c>
      <c r="I66" s="47" t="s">
        <v>1134</v>
      </c>
      <c r="J66" s="47" t="s">
        <v>1217</v>
      </c>
    </row>
    <row r="67" spans="1:10" x14ac:dyDescent="0.25">
      <c r="A67" s="129" t="str">
        <f t="shared" si="1"/>
        <v>1013298</v>
      </c>
      <c r="B67" s="47">
        <v>101</v>
      </c>
      <c r="C67" s="47">
        <v>3298</v>
      </c>
      <c r="D67" s="47">
        <v>70150</v>
      </c>
      <c r="E67" s="47" t="s">
        <v>209</v>
      </c>
      <c r="F67" s="11">
        <v>39419</v>
      </c>
      <c r="G67" s="47">
        <v>1</v>
      </c>
      <c r="H67" s="48">
        <v>3752.8919999999998</v>
      </c>
      <c r="I67" s="47" t="s">
        <v>1121</v>
      </c>
      <c r="J67" s="47" t="s">
        <v>1215</v>
      </c>
    </row>
    <row r="68" spans="1:10" x14ac:dyDescent="0.25">
      <c r="A68" s="129" t="str">
        <f t="shared" si="1"/>
        <v>1013311</v>
      </c>
      <c r="B68" s="47">
        <v>101</v>
      </c>
      <c r="C68" s="47">
        <v>3311</v>
      </c>
      <c r="D68" s="47">
        <v>50001</v>
      </c>
      <c r="E68" s="47" t="s">
        <v>666</v>
      </c>
      <c r="F68" s="11">
        <v>39420</v>
      </c>
      <c r="G68" s="47">
        <v>1</v>
      </c>
      <c r="H68" s="48">
        <v>2704.4819999999995</v>
      </c>
      <c r="I68" s="47" t="s">
        <v>1126</v>
      </c>
      <c r="J68" s="47" t="s">
        <v>1218</v>
      </c>
    </row>
    <row r="69" spans="1:10" x14ac:dyDescent="0.25">
      <c r="A69" s="129" t="str">
        <f t="shared" si="1"/>
        <v>1013344</v>
      </c>
      <c r="B69" s="47">
        <v>101</v>
      </c>
      <c r="C69" s="47">
        <v>3344</v>
      </c>
      <c r="D69" s="47">
        <v>70103</v>
      </c>
      <c r="E69" s="47" t="s">
        <v>743</v>
      </c>
      <c r="F69" s="11">
        <v>39429</v>
      </c>
      <c r="G69" s="47">
        <v>1</v>
      </c>
      <c r="H69" s="48">
        <v>17678.5785</v>
      </c>
      <c r="I69" s="47" t="s">
        <v>1145</v>
      </c>
      <c r="J69" s="47" t="s">
        <v>1226</v>
      </c>
    </row>
    <row r="70" spans="1:10" x14ac:dyDescent="0.25">
      <c r="A70" s="129" t="str">
        <f t="shared" si="1"/>
        <v>1013414</v>
      </c>
      <c r="B70" s="47">
        <v>101</v>
      </c>
      <c r="C70" s="47">
        <v>3414</v>
      </c>
      <c r="D70" s="47">
        <v>24800</v>
      </c>
      <c r="E70" s="47" t="s">
        <v>377</v>
      </c>
      <c r="F70" s="11">
        <v>39437</v>
      </c>
      <c r="G70" s="47">
        <v>1</v>
      </c>
      <c r="H70" s="48">
        <v>12322.067999999999</v>
      </c>
      <c r="I70" s="47" t="s">
        <v>1149</v>
      </c>
      <c r="J70" s="47" t="s">
        <v>1227</v>
      </c>
    </row>
    <row r="71" spans="1:10" x14ac:dyDescent="0.25">
      <c r="A71" s="129" t="str">
        <f t="shared" si="1"/>
        <v>1013513</v>
      </c>
      <c r="B71" s="47">
        <v>101</v>
      </c>
      <c r="C71" s="47">
        <v>3513</v>
      </c>
      <c r="D71" s="47">
        <v>50001</v>
      </c>
      <c r="E71" s="47" t="s">
        <v>496</v>
      </c>
      <c r="F71" s="11">
        <v>39465</v>
      </c>
      <c r="G71" s="47">
        <v>1</v>
      </c>
      <c r="H71" s="48">
        <v>13907.1405</v>
      </c>
      <c r="I71" s="47" t="s">
        <v>1126</v>
      </c>
      <c r="J71" s="47" t="s">
        <v>1218</v>
      </c>
    </row>
    <row r="72" spans="1:10" x14ac:dyDescent="0.25">
      <c r="A72" s="129" t="str">
        <f t="shared" si="1"/>
        <v>1013542</v>
      </c>
      <c r="B72" s="47">
        <v>101</v>
      </c>
      <c r="C72" s="47">
        <v>3542</v>
      </c>
      <c r="D72" s="47">
        <v>70150</v>
      </c>
      <c r="E72" s="47" t="s">
        <v>719</v>
      </c>
      <c r="F72" s="11">
        <v>39479</v>
      </c>
      <c r="G72" s="47">
        <v>1</v>
      </c>
      <c r="H72" s="48">
        <v>3863.5409999999997</v>
      </c>
      <c r="I72" s="47" t="s">
        <v>1128</v>
      </c>
      <c r="J72" s="47" t="s">
        <v>1215</v>
      </c>
    </row>
    <row r="73" spans="1:10" x14ac:dyDescent="0.25">
      <c r="A73" s="129" t="str">
        <f t="shared" si="1"/>
        <v>1013568</v>
      </c>
      <c r="B73" s="47">
        <v>101</v>
      </c>
      <c r="C73" s="47">
        <v>3568</v>
      </c>
      <c r="D73" s="47">
        <v>40400</v>
      </c>
      <c r="E73" s="47" t="s">
        <v>485</v>
      </c>
      <c r="F73" s="11">
        <v>39484</v>
      </c>
      <c r="G73" s="47">
        <v>1</v>
      </c>
      <c r="H73" s="48">
        <v>5037.7635</v>
      </c>
      <c r="I73" s="47" t="s">
        <v>1150</v>
      </c>
      <c r="J73" s="47" t="s">
        <v>1228</v>
      </c>
    </row>
    <row r="74" spans="1:10" x14ac:dyDescent="0.25">
      <c r="A74" s="129" t="str">
        <f t="shared" si="1"/>
        <v>1013729</v>
      </c>
      <c r="B74" s="47">
        <v>101</v>
      </c>
      <c r="C74" s="47">
        <v>3729</v>
      </c>
      <c r="D74" s="47">
        <v>30406</v>
      </c>
      <c r="E74" s="139" t="s">
        <v>895</v>
      </c>
      <c r="F74" s="11">
        <v>39539</v>
      </c>
      <c r="G74" s="47">
        <v>1</v>
      </c>
      <c r="H74" s="48">
        <v>7860.2865000000002</v>
      </c>
      <c r="I74" s="47" t="s">
        <v>1151</v>
      </c>
      <c r="J74" s="47" t="s">
        <v>1216</v>
      </c>
    </row>
    <row r="75" spans="1:10" x14ac:dyDescent="0.25">
      <c r="A75" s="129" t="str">
        <f t="shared" si="1"/>
        <v>1013747</v>
      </c>
      <c r="B75" s="47">
        <v>101</v>
      </c>
      <c r="C75" s="47">
        <v>3747</v>
      </c>
      <c r="D75" s="47">
        <v>40400</v>
      </c>
      <c r="E75" s="47" t="s">
        <v>249</v>
      </c>
      <c r="F75" s="11">
        <v>39539</v>
      </c>
      <c r="G75" s="47">
        <v>1</v>
      </c>
      <c r="H75" s="48">
        <v>3863.5409999999997</v>
      </c>
      <c r="I75" s="47" t="s">
        <v>1152</v>
      </c>
      <c r="J75" s="47" t="s">
        <v>1228</v>
      </c>
    </row>
    <row r="76" spans="1:10" x14ac:dyDescent="0.25">
      <c r="A76" s="129" t="str">
        <f t="shared" si="1"/>
        <v>1013829</v>
      </c>
      <c r="B76" s="47">
        <v>101</v>
      </c>
      <c r="C76" s="47">
        <v>3829</v>
      </c>
      <c r="D76" s="47">
        <v>24200</v>
      </c>
      <c r="E76" s="139" t="s">
        <v>1095</v>
      </c>
      <c r="F76" s="11">
        <v>39546</v>
      </c>
      <c r="G76" s="47">
        <v>1</v>
      </c>
      <c r="H76" s="48">
        <v>4292.8379999999997</v>
      </c>
      <c r="I76" s="47" t="s">
        <v>1122</v>
      </c>
      <c r="J76" s="47" t="s">
        <v>108</v>
      </c>
    </row>
    <row r="77" spans="1:10" x14ac:dyDescent="0.25">
      <c r="A77" s="129" t="str">
        <f t="shared" si="1"/>
        <v>1013838</v>
      </c>
      <c r="B77" s="47">
        <v>101</v>
      </c>
      <c r="C77" s="47">
        <v>3838</v>
      </c>
      <c r="D77" s="47">
        <v>70100</v>
      </c>
      <c r="E77" s="47" t="s">
        <v>434</v>
      </c>
      <c r="F77" s="11">
        <v>39555</v>
      </c>
      <c r="G77" s="47">
        <v>1</v>
      </c>
      <c r="H77" s="48">
        <v>3833.9399999999996</v>
      </c>
      <c r="I77" s="47" t="s">
        <v>1126</v>
      </c>
      <c r="J77" s="47" t="s">
        <v>1219</v>
      </c>
    </row>
    <row r="78" spans="1:10" x14ac:dyDescent="0.25">
      <c r="A78" s="129" t="str">
        <f t="shared" si="1"/>
        <v>1013852</v>
      </c>
      <c r="B78" s="47">
        <v>101</v>
      </c>
      <c r="C78" s="47">
        <v>3852</v>
      </c>
      <c r="D78" s="47">
        <v>70160</v>
      </c>
      <c r="E78" s="47" t="s">
        <v>359</v>
      </c>
      <c r="F78" s="11">
        <v>39556</v>
      </c>
      <c r="G78" s="47">
        <v>1</v>
      </c>
      <c r="H78" s="48">
        <v>3833.9399999999996</v>
      </c>
      <c r="I78" s="47" t="s">
        <v>1121</v>
      </c>
      <c r="J78" s="47" t="s">
        <v>1221</v>
      </c>
    </row>
    <row r="79" spans="1:10" x14ac:dyDescent="0.25">
      <c r="A79" s="129" t="str">
        <f t="shared" si="1"/>
        <v>1013956</v>
      </c>
      <c r="B79" s="47">
        <v>101</v>
      </c>
      <c r="C79" s="47">
        <v>3956</v>
      </c>
      <c r="D79" s="47">
        <v>70210</v>
      </c>
      <c r="E79" s="47" t="s">
        <v>156</v>
      </c>
      <c r="F79" s="11">
        <v>39580</v>
      </c>
      <c r="G79" s="47">
        <v>1</v>
      </c>
      <c r="H79" s="48">
        <v>3804.6854999999996</v>
      </c>
      <c r="I79" s="47" t="s">
        <v>1121</v>
      </c>
      <c r="J79" s="47" t="s">
        <v>1220</v>
      </c>
    </row>
    <row r="80" spans="1:10" x14ac:dyDescent="0.25">
      <c r="A80" s="129" t="str">
        <f t="shared" si="1"/>
        <v>1013983</v>
      </c>
      <c r="B80" s="47">
        <v>101</v>
      </c>
      <c r="C80" s="47">
        <v>3983</v>
      </c>
      <c r="D80" s="47">
        <v>70100</v>
      </c>
      <c r="E80" s="47" t="s">
        <v>257</v>
      </c>
      <c r="F80" s="11">
        <v>39588</v>
      </c>
      <c r="G80" s="47">
        <v>1</v>
      </c>
      <c r="H80" s="48">
        <v>3804.6854999999996</v>
      </c>
      <c r="I80" s="47" t="s">
        <v>1128</v>
      </c>
      <c r="J80" s="47" t="s">
        <v>1219</v>
      </c>
    </row>
    <row r="81" spans="1:10" x14ac:dyDescent="0.25">
      <c r="A81" s="129" t="str">
        <f t="shared" si="1"/>
        <v>1014016</v>
      </c>
      <c r="B81" s="47">
        <v>101</v>
      </c>
      <c r="C81" s="47">
        <v>4016</v>
      </c>
      <c r="D81" s="47">
        <v>50001</v>
      </c>
      <c r="E81" s="47" t="s">
        <v>285</v>
      </c>
      <c r="F81" s="11">
        <v>39604</v>
      </c>
      <c r="G81" s="47">
        <v>1</v>
      </c>
      <c r="H81" s="48">
        <v>3804.6854999999996</v>
      </c>
      <c r="I81" s="47" t="s">
        <v>1126</v>
      </c>
      <c r="J81" s="47" t="s">
        <v>1218</v>
      </c>
    </row>
    <row r="82" spans="1:10" x14ac:dyDescent="0.25">
      <c r="A82" s="129" t="str">
        <f t="shared" si="1"/>
        <v>1014051</v>
      </c>
      <c r="B82" s="47">
        <v>101</v>
      </c>
      <c r="C82" s="47">
        <v>4051</v>
      </c>
      <c r="D82" s="47">
        <v>24200</v>
      </c>
      <c r="E82" s="47" t="s">
        <v>567</v>
      </c>
      <c r="F82" s="11">
        <v>39617</v>
      </c>
      <c r="G82" s="47">
        <v>1</v>
      </c>
      <c r="H82" s="48">
        <v>3804.6854999999996</v>
      </c>
      <c r="I82" s="47" t="s">
        <v>1142</v>
      </c>
      <c r="J82" s="47" t="s">
        <v>108</v>
      </c>
    </row>
    <row r="83" spans="1:10" x14ac:dyDescent="0.25">
      <c r="A83" s="129" t="str">
        <f t="shared" si="1"/>
        <v>1014061</v>
      </c>
      <c r="B83" s="47">
        <v>101</v>
      </c>
      <c r="C83" s="47">
        <v>4061</v>
      </c>
      <c r="D83" s="47">
        <v>24200</v>
      </c>
      <c r="E83" s="47" t="s">
        <v>726</v>
      </c>
      <c r="F83" s="11">
        <v>39619</v>
      </c>
      <c r="G83" s="47">
        <v>1</v>
      </c>
      <c r="H83" s="48">
        <v>3775.7939999999999</v>
      </c>
      <c r="I83" s="47" t="s">
        <v>1153</v>
      </c>
      <c r="J83" s="47" t="s">
        <v>108</v>
      </c>
    </row>
    <row r="84" spans="1:10" x14ac:dyDescent="0.25">
      <c r="A84" s="129" t="str">
        <f t="shared" si="1"/>
        <v>1014074</v>
      </c>
      <c r="B84" s="47">
        <v>101</v>
      </c>
      <c r="C84" s="47">
        <v>4074</v>
      </c>
      <c r="D84" s="47">
        <v>50001</v>
      </c>
      <c r="E84" s="47" t="s">
        <v>283</v>
      </c>
      <c r="F84" s="11">
        <v>39630</v>
      </c>
      <c r="G84" s="47">
        <v>1</v>
      </c>
      <c r="H84" s="48">
        <v>3535.2899999999995</v>
      </c>
      <c r="I84" s="47" t="s">
        <v>1126</v>
      </c>
      <c r="J84" s="47" t="s">
        <v>1218</v>
      </c>
    </row>
    <row r="85" spans="1:10" x14ac:dyDescent="0.25">
      <c r="A85" s="129" t="str">
        <f t="shared" si="1"/>
        <v>1014162</v>
      </c>
      <c r="B85" s="47">
        <v>101</v>
      </c>
      <c r="C85" s="47">
        <v>4162</v>
      </c>
      <c r="D85" s="47">
        <v>24200</v>
      </c>
      <c r="E85" s="47" t="s">
        <v>557</v>
      </c>
      <c r="F85" s="11">
        <v>39680</v>
      </c>
      <c r="G85" s="47">
        <v>1</v>
      </c>
      <c r="H85" s="48">
        <v>7095</v>
      </c>
      <c r="I85" s="47" t="s">
        <v>1122</v>
      </c>
      <c r="J85" s="47" t="s">
        <v>108</v>
      </c>
    </row>
    <row r="86" spans="1:10" x14ac:dyDescent="0.25">
      <c r="A86" s="129" t="str">
        <f t="shared" si="1"/>
        <v>1014221</v>
      </c>
      <c r="B86" s="47">
        <v>101</v>
      </c>
      <c r="C86" s="47">
        <v>4221</v>
      </c>
      <c r="D86" s="47">
        <v>50001</v>
      </c>
      <c r="E86" s="47" t="s">
        <v>708</v>
      </c>
      <c r="F86" s="11">
        <v>39710</v>
      </c>
      <c r="G86" s="47">
        <v>1</v>
      </c>
      <c r="H86" s="48">
        <v>3718.3409999999999</v>
      </c>
      <c r="I86" s="47" t="s">
        <v>1126</v>
      </c>
      <c r="J86" s="47" t="s">
        <v>1218</v>
      </c>
    </row>
    <row r="87" spans="1:10" x14ac:dyDescent="0.25">
      <c r="A87" s="129" t="str">
        <f t="shared" si="1"/>
        <v>1014272</v>
      </c>
      <c r="B87" s="47">
        <v>101</v>
      </c>
      <c r="C87" s="47">
        <v>4272</v>
      </c>
      <c r="D87" s="47">
        <v>70180</v>
      </c>
      <c r="E87" s="47" t="s">
        <v>198</v>
      </c>
      <c r="F87" s="11">
        <v>39722</v>
      </c>
      <c r="G87" s="47">
        <v>1</v>
      </c>
      <c r="H87" s="48">
        <v>3718.3409999999999</v>
      </c>
      <c r="I87" s="47" t="s">
        <v>1121</v>
      </c>
      <c r="J87" s="47" t="s">
        <v>1214</v>
      </c>
    </row>
    <row r="88" spans="1:10" x14ac:dyDescent="0.25">
      <c r="A88" s="129" t="str">
        <f t="shared" si="1"/>
        <v>1014288</v>
      </c>
      <c r="B88" s="47">
        <v>101</v>
      </c>
      <c r="C88" s="47">
        <v>4288</v>
      </c>
      <c r="D88" s="47">
        <v>70150</v>
      </c>
      <c r="E88" s="139" t="s">
        <v>856</v>
      </c>
      <c r="F88" s="11">
        <v>39730</v>
      </c>
      <c r="G88" s="47">
        <v>1</v>
      </c>
      <c r="H88" s="48">
        <v>3690.1424999999995</v>
      </c>
      <c r="I88" s="47" t="s">
        <v>1121</v>
      </c>
      <c r="J88" s="47" t="s">
        <v>1215</v>
      </c>
    </row>
    <row r="89" spans="1:10" x14ac:dyDescent="0.25">
      <c r="A89" s="129" t="str">
        <f t="shared" si="1"/>
        <v>1014324</v>
      </c>
      <c r="B89" s="47">
        <v>101</v>
      </c>
      <c r="C89" s="47">
        <v>4324</v>
      </c>
      <c r="D89" s="47">
        <v>61400</v>
      </c>
      <c r="E89" s="47" t="s">
        <v>243</v>
      </c>
      <c r="F89" s="11">
        <v>39741</v>
      </c>
      <c r="G89" s="47">
        <v>1</v>
      </c>
      <c r="H89" s="48">
        <v>3690.1424999999995</v>
      </c>
      <c r="I89" s="47" t="s">
        <v>1154</v>
      </c>
      <c r="J89" s="47" t="s">
        <v>1229</v>
      </c>
    </row>
    <row r="90" spans="1:10" x14ac:dyDescent="0.25">
      <c r="A90" s="129" t="str">
        <f t="shared" si="1"/>
        <v>1014370</v>
      </c>
      <c r="B90" s="47">
        <v>101</v>
      </c>
      <c r="C90" s="47">
        <v>4370</v>
      </c>
      <c r="D90" s="47">
        <v>70100</v>
      </c>
      <c r="E90" s="47" t="s">
        <v>671</v>
      </c>
      <c r="F90" s="11">
        <v>39783</v>
      </c>
      <c r="G90" s="47">
        <v>1</v>
      </c>
      <c r="H90" s="48">
        <v>857.17499999999995</v>
      </c>
      <c r="I90" s="47" t="s">
        <v>1128</v>
      </c>
      <c r="J90" s="47" t="s">
        <v>1219</v>
      </c>
    </row>
    <row r="91" spans="1:10" x14ac:dyDescent="0.25">
      <c r="A91" s="129" t="str">
        <f t="shared" si="1"/>
        <v>1014403</v>
      </c>
      <c r="B91" s="47">
        <v>101</v>
      </c>
      <c r="C91" s="47">
        <v>4403</v>
      </c>
      <c r="D91" s="47">
        <v>24200</v>
      </c>
      <c r="E91" s="47" t="s">
        <v>384</v>
      </c>
      <c r="F91" s="11">
        <v>39792</v>
      </c>
      <c r="G91" s="47">
        <v>1</v>
      </c>
      <c r="H91" s="48">
        <v>3634.1084999999994</v>
      </c>
      <c r="I91" s="47" t="s">
        <v>1142</v>
      </c>
      <c r="J91" s="47" t="s">
        <v>108</v>
      </c>
    </row>
    <row r="92" spans="1:10" x14ac:dyDescent="0.25">
      <c r="A92" s="129" t="str">
        <f t="shared" si="1"/>
        <v>1014440</v>
      </c>
      <c r="B92" s="47">
        <v>101</v>
      </c>
      <c r="C92" s="47">
        <v>4440</v>
      </c>
      <c r="D92" s="47">
        <v>70210</v>
      </c>
      <c r="E92" s="47" t="s">
        <v>844</v>
      </c>
      <c r="F92" s="11">
        <v>39833</v>
      </c>
      <c r="G92" s="47">
        <v>1</v>
      </c>
      <c r="H92" s="48">
        <v>3634.1084999999994</v>
      </c>
      <c r="I92" s="47" t="s">
        <v>1138</v>
      </c>
      <c r="J92" s="47" t="s">
        <v>1220</v>
      </c>
    </row>
    <row r="93" spans="1:10" x14ac:dyDescent="0.25">
      <c r="A93" s="129" t="str">
        <f t="shared" si="1"/>
        <v>1014555</v>
      </c>
      <c r="B93" s="47">
        <v>101</v>
      </c>
      <c r="C93" s="47">
        <v>4555</v>
      </c>
      <c r="D93" s="47">
        <v>24200</v>
      </c>
      <c r="E93" s="139" t="s">
        <v>1102</v>
      </c>
      <c r="F93" s="11">
        <v>39939</v>
      </c>
      <c r="G93" s="47">
        <v>1</v>
      </c>
      <c r="H93" s="48">
        <v>3634.1084999999994</v>
      </c>
      <c r="I93" s="47" t="s">
        <v>1122</v>
      </c>
      <c r="J93" s="47" t="s">
        <v>108</v>
      </c>
    </row>
    <row r="94" spans="1:10" x14ac:dyDescent="0.25">
      <c r="A94" s="129" t="str">
        <f t="shared" si="1"/>
        <v>1014565</v>
      </c>
      <c r="B94" s="47">
        <v>101</v>
      </c>
      <c r="C94" s="47">
        <v>4565</v>
      </c>
      <c r="D94" s="47">
        <v>70120</v>
      </c>
      <c r="E94" s="47" t="s">
        <v>152</v>
      </c>
      <c r="F94" s="11">
        <v>39941</v>
      </c>
      <c r="G94" s="47">
        <v>1</v>
      </c>
      <c r="H94" s="48">
        <v>3376.56</v>
      </c>
      <c r="I94" s="47" t="s">
        <v>1128</v>
      </c>
      <c r="J94" s="47" t="s">
        <v>1208</v>
      </c>
    </row>
    <row r="95" spans="1:10" x14ac:dyDescent="0.25">
      <c r="A95" s="129" t="str">
        <f t="shared" si="1"/>
        <v>1014591</v>
      </c>
      <c r="B95" s="47">
        <v>101</v>
      </c>
      <c r="C95" s="47">
        <v>4591</v>
      </c>
      <c r="D95" s="47">
        <v>70180</v>
      </c>
      <c r="E95" s="47" t="s">
        <v>466</v>
      </c>
      <c r="F95" s="11">
        <v>39953</v>
      </c>
      <c r="G95" s="47">
        <v>1</v>
      </c>
      <c r="H95" s="48">
        <v>5908.98</v>
      </c>
      <c r="I95" s="47" t="s">
        <v>1121</v>
      </c>
      <c r="J95" s="47" t="s">
        <v>1214</v>
      </c>
    </row>
    <row r="96" spans="1:10" x14ac:dyDescent="0.25">
      <c r="A96" s="129" t="str">
        <f t="shared" si="1"/>
        <v>1014636</v>
      </c>
      <c r="B96" s="47">
        <v>101</v>
      </c>
      <c r="C96" s="47">
        <v>4636</v>
      </c>
      <c r="D96" s="47">
        <v>50001</v>
      </c>
      <c r="E96" s="47" t="s">
        <v>577</v>
      </c>
      <c r="F96" s="11">
        <v>39965</v>
      </c>
      <c r="G96" s="47">
        <v>1</v>
      </c>
      <c r="H96" s="48">
        <v>11876.468999999999</v>
      </c>
      <c r="I96" s="47" t="s">
        <v>1126</v>
      </c>
      <c r="J96" s="47" t="s">
        <v>1218</v>
      </c>
    </row>
    <row r="97" spans="1:10" x14ac:dyDescent="0.25">
      <c r="A97" s="129" t="str">
        <f t="shared" si="1"/>
        <v>1014680</v>
      </c>
      <c r="B97" s="47">
        <v>101</v>
      </c>
      <c r="C97" s="47">
        <v>4680</v>
      </c>
      <c r="D97" s="47">
        <v>40301</v>
      </c>
      <c r="E97" s="47" t="s">
        <v>715</v>
      </c>
      <c r="F97" s="11">
        <v>39969</v>
      </c>
      <c r="G97" s="47">
        <v>1</v>
      </c>
      <c r="H97" s="48">
        <v>2181.2999999999997</v>
      </c>
      <c r="I97" s="47" t="s">
        <v>1155</v>
      </c>
      <c r="J97" s="47" t="s">
        <v>1217</v>
      </c>
    </row>
    <row r="98" spans="1:10" x14ac:dyDescent="0.25">
      <c r="A98" s="129" t="str">
        <f t="shared" si="1"/>
        <v>1014711</v>
      </c>
      <c r="B98" s="47">
        <v>101</v>
      </c>
      <c r="C98" s="47">
        <v>4711</v>
      </c>
      <c r="D98" s="47">
        <v>40400</v>
      </c>
      <c r="E98" s="139" t="s">
        <v>886</v>
      </c>
      <c r="F98" s="11">
        <v>39982</v>
      </c>
      <c r="G98" s="47">
        <v>1</v>
      </c>
      <c r="H98" s="48">
        <v>2181.2999999999997</v>
      </c>
      <c r="I98" s="47" t="s">
        <v>1156</v>
      </c>
      <c r="J98" s="47" t="s">
        <v>1228</v>
      </c>
    </row>
    <row r="99" spans="1:10" x14ac:dyDescent="0.25">
      <c r="A99" s="129" t="str">
        <f t="shared" si="1"/>
        <v>1014817</v>
      </c>
      <c r="B99" s="47">
        <v>101</v>
      </c>
      <c r="C99" s="47">
        <v>4817</v>
      </c>
      <c r="D99" s="47">
        <v>70190</v>
      </c>
      <c r="E99" s="47" t="s">
        <v>317</v>
      </c>
      <c r="F99" s="11">
        <v>40028</v>
      </c>
      <c r="G99" s="47">
        <v>1</v>
      </c>
      <c r="H99" s="48">
        <v>6318.2790000000005</v>
      </c>
      <c r="I99" s="47" t="s">
        <v>1128</v>
      </c>
      <c r="J99" s="47" t="s">
        <v>1212</v>
      </c>
    </row>
    <row r="100" spans="1:10" x14ac:dyDescent="0.25">
      <c r="A100" s="129" t="str">
        <f t="shared" si="1"/>
        <v>1014856</v>
      </c>
      <c r="B100" s="47">
        <v>101</v>
      </c>
      <c r="C100" s="47">
        <v>4856</v>
      </c>
      <c r="D100" s="47">
        <v>70150</v>
      </c>
      <c r="E100" s="47" t="s">
        <v>752</v>
      </c>
      <c r="F100" s="11">
        <v>40038</v>
      </c>
      <c r="G100" s="47">
        <v>1</v>
      </c>
      <c r="H100" s="48">
        <v>2181.2999999999997</v>
      </c>
      <c r="I100" s="47" t="s">
        <v>1121</v>
      </c>
      <c r="J100" s="47" t="s">
        <v>1215</v>
      </c>
    </row>
    <row r="101" spans="1:10" x14ac:dyDescent="0.25">
      <c r="A101" s="129" t="str">
        <f t="shared" si="1"/>
        <v>1014925</v>
      </c>
      <c r="B101" s="47">
        <v>101</v>
      </c>
      <c r="C101" s="47">
        <v>4925</v>
      </c>
      <c r="D101" s="47">
        <v>24200</v>
      </c>
      <c r="E101" s="47" t="s">
        <v>681</v>
      </c>
      <c r="F101" s="11">
        <v>40087</v>
      </c>
      <c r="G101" s="47">
        <v>1</v>
      </c>
      <c r="H101" s="48">
        <v>2181.2999999999997</v>
      </c>
      <c r="I101" s="47" t="s">
        <v>1142</v>
      </c>
      <c r="J101" s="47" t="s">
        <v>108</v>
      </c>
    </row>
    <row r="102" spans="1:10" x14ac:dyDescent="0.25">
      <c r="A102" s="129" t="str">
        <f t="shared" si="1"/>
        <v>1014955</v>
      </c>
      <c r="B102" s="47">
        <v>101</v>
      </c>
      <c r="C102" s="47">
        <v>4955</v>
      </c>
      <c r="D102" s="47">
        <v>12200</v>
      </c>
      <c r="E102" s="47" t="s">
        <v>379</v>
      </c>
      <c r="F102" s="11">
        <v>40100</v>
      </c>
      <c r="G102" s="47">
        <v>1</v>
      </c>
      <c r="H102" s="48">
        <v>5653.1969999999992</v>
      </c>
      <c r="I102" s="47" t="s">
        <v>1157</v>
      </c>
      <c r="J102" s="47" t="s">
        <v>1230</v>
      </c>
    </row>
    <row r="103" spans="1:10" x14ac:dyDescent="0.25">
      <c r="A103" s="129" t="str">
        <f t="shared" si="1"/>
        <v>1014975</v>
      </c>
      <c r="B103" s="47">
        <v>101</v>
      </c>
      <c r="C103" s="47">
        <v>4975</v>
      </c>
      <c r="D103" s="47">
        <v>70100</v>
      </c>
      <c r="E103" s="47" t="s">
        <v>366</v>
      </c>
      <c r="F103" s="11">
        <v>40126</v>
      </c>
      <c r="G103" s="47">
        <v>1</v>
      </c>
      <c r="H103" s="48">
        <v>3325.41</v>
      </c>
      <c r="I103" s="47" t="s">
        <v>1128</v>
      </c>
      <c r="J103" s="47" t="s">
        <v>1219</v>
      </c>
    </row>
    <row r="104" spans="1:10" x14ac:dyDescent="0.25">
      <c r="A104" s="129" t="str">
        <f t="shared" si="1"/>
        <v>1014976</v>
      </c>
      <c r="B104" s="47">
        <v>101</v>
      </c>
      <c r="C104" s="47">
        <v>4976</v>
      </c>
      <c r="D104" s="47">
        <v>70210</v>
      </c>
      <c r="E104" s="47" t="s">
        <v>437</v>
      </c>
      <c r="F104" s="11">
        <v>40126</v>
      </c>
      <c r="G104" s="47">
        <v>1</v>
      </c>
      <c r="H104" s="48">
        <v>2181.2999999999997</v>
      </c>
      <c r="I104" s="47" t="s">
        <v>1139</v>
      </c>
      <c r="J104" s="47" t="s">
        <v>1220</v>
      </c>
    </row>
    <row r="105" spans="1:10" x14ac:dyDescent="0.25">
      <c r="A105" s="129" t="str">
        <f t="shared" si="1"/>
        <v>1014999</v>
      </c>
      <c r="B105" s="47">
        <v>101</v>
      </c>
      <c r="C105" s="47">
        <v>4999</v>
      </c>
      <c r="D105" s="47">
        <v>70180</v>
      </c>
      <c r="E105" s="47" t="s">
        <v>375</v>
      </c>
      <c r="F105" s="11">
        <v>40127</v>
      </c>
      <c r="G105" s="47">
        <v>1</v>
      </c>
      <c r="H105" s="48">
        <v>2181.2999999999997</v>
      </c>
      <c r="I105" s="47" t="s">
        <v>1128</v>
      </c>
      <c r="J105" s="47" t="s">
        <v>1214</v>
      </c>
    </row>
    <row r="106" spans="1:10" x14ac:dyDescent="0.25">
      <c r="A106" s="129" t="str">
        <f t="shared" si="1"/>
        <v>1015077</v>
      </c>
      <c r="B106" s="47">
        <v>101</v>
      </c>
      <c r="C106" s="47">
        <v>5077</v>
      </c>
      <c r="D106" s="47">
        <v>70100</v>
      </c>
      <c r="E106" s="47" t="s">
        <v>753</v>
      </c>
      <c r="F106" s="11">
        <v>40182</v>
      </c>
      <c r="G106" s="47">
        <v>1</v>
      </c>
      <c r="H106" s="48">
        <v>3300</v>
      </c>
      <c r="I106" s="47" t="s">
        <v>1128</v>
      </c>
      <c r="J106" s="47" t="s">
        <v>1219</v>
      </c>
    </row>
    <row r="107" spans="1:10" x14ac:dyDescent="0.25">
      <c r="A107" s="129" t="str">
        <f t="shared" si="1"/>
        <v>1015081</v>
      </c>
      <c r="B107" s="47">
        <v>101</v>
      </c>
      <c r="C107" s="47">
        <v>5081</v>
      </c>
      <c r="D107" s="47">
        <v>70100</v>
      </c>
      <c r="E107" s="47" t="s">
        <v>208</v>
      </c>
      <c r="F107" s="11">
        <v>40182</v>
      </c>
      <c r="G107" s="47">
        <v>1</v>
      </c>
      <c r="H107" s="48">
        <v>6600</v>
      </c>
      <c r="I107" s="47" t="s">
        <v>1128</v>
      </c>
      <c r="J107" s="47" t="s">
        <v>1219</v>
      </c>
    </row>
    <row r="108" spans="1:10" x14ac:dyDescent="0.25">
      <c r="A108" s="129" t="str">
        <f t="shared" si="1"/>
        <v>1015086</v>
      </c>
      <c r="B108" s="47">
        <v>101</v>
      </c>
      <c r="C108" s="47">
        <v>5086</v>
      </c>
      <c r="D108" s="47">
        <v>70180</v>
      </c>
      <c r="E108" s="139" t="s">
        <v>1084</v>
      </c>
      <c r="F108" s="11">
        <v>40183</v>
      </c>
      <c r="G108" s="47">
        <v>1</v>
      </c>
      <c r="H108" s="48">
        <v>2181.2999999999997</v>
      </c>
      <c r="I108" s="47" t="s">
        <v>1121</v>
      </c>
      <c r="J108" s="47" t="s">
        <v>1214</v>
      </c>
    </row>
    <row r="109" spans="1:10" x14ac:dyDescent="0.25">
      <c r="A109" s="129" t="str">
        <f t="shared" si="1"/>
        <v>1015098</v>
      </c>
      <c r="B109" s="47">
        <v>101</v>
      </c>
      <c r="C109" s="47">
        <v>5098</v>
      </c>
      <c r="D109" s="47">
        <v>70100</v>
      </c>
      <c r="E109" s="47" t="s">
        <v>131</v>
      </c>
      <c r="F109" s="11">
        <v>40192</v>
      </c>
      <c r="G109" s="47">
        <v>1</v>
      </c>
      <c r="H109" s="48">
        <v>9075</v>
      </c>
      <c r="I109" s="47" t="s">
        <v>1128</v>
      </c>
      <c r="J109" s="47" t="s">
        <v>1219</v>
      </c>
    </row>
    <row r="110" spans="1:10" x14ac:dyDescent="0.25">
      <c r="A110" s="129" t="str">
        <f t="shared" si="1"/>
        <v>1015105</v>
      </c>
      <c r="B110" s="47">
        <v>101</v>
      </c>
      <c r="C110" s="47">
        <v>5105</v>
      </c>
      <c r="D110" s="47">
        <v>70100</v>
      </c>
      <c r="E110" s="47" t="s">
        <v>702</v>
      </c>
      <c r="F110" s="11">
        <v>40196</v>
      </c>
      <c r="G110" s="47">
        <v>1</v>
      </c>
      <c r="H110" s="48">
        <v>4125</v>
      </c>
      <c r="I110" s="47" t="s">
        <v>1130</v>
      </c>
      <c r="J110" s="47" t="s">
        <v>1219</v>
      </c>
    </row>
    <row r="111" spans="1:10" x14ac:dyDescent="0.25">
      <c r="A111" s="129" t="str">
        <f t="shared" ref="A111:A158" si="2">B111&amp;C111</f>
        <v>1015159</v>
      </c>
      <c r="B111" s="47">
        <v>101</v>
      </c>
      <c r="C111" s="47">
        <v>5159</v>
      </c>
      <c r="D111" s="47">
        <v>50001</v>
      </c>
      <c r="E111" s="47" t="s">
        <v>677</v>
      </c>
      <c r="F111" s="11">
        <v>40217</v>
      </c>
      <c r="G111" s="47">
        <v>1</v>
      </c>
      <c r="H111" s="48">
        <v>825</v>
      </c>
      <c r="I111" s="47" t="s">
        <v>1126</v>
      </c>
      <c r="J111" s="47" t="s">
        <v>1218</v>
      </c>
    </row>
    <row r="112" spans="1:10" x14ac:dyDescent="0.25">
      <c r="A112" s="129" t="str">
        <f t="shared" si="2"/>
        <v>1015223</v>
      </c>
      <c r="B112" s="47">
        <v>101</v>
      </c>
      <c r="C112" s="47">
        <v>5223</v>
      </c>
      <c r="D112" s="47">
        <v>70190</v>
      </c>
      <c r="E112" s="139" t="s">
        <v>868</v>
      </c>
      <c r="F112" s="11">
        <v>40238</v>
      </c>
      <c r="G112" s="47">
        <v>1</v>
      </c>
      <c r="H112" s="48">
        <v>825</v>
      </c>
      <c r="I112" s="47" t="s">
        <v>1121</v>
      </c>
      <c r="J112" s="47" t="s">
        <v>1212</v>
      </c>
    </row>
    <row r="113" spans="1:10" x14ac:dyDescent="0.25">
      <c r="A113" s="129" t="str">
        <f t="shared" si="2"/>
        <v>1015247</v>
      </c>
      <c r="B113" s="47">
        <v>101</v>
      </c>
      <c r="C113" s="47">
        <v>5247</v>
      </c>
      <c r="D113" s="47">
        <v>70120</v>
      </c>
      <c r="E113" s="139" t="s">
        <v>1010</v>
      </c>
      <c r="F113" s="11">
        <v>40273</v>
      </c>
      <c r="G113" s="47">
        <v>1</v>
      </c>
      <c r="H113" s="48">
        <v>5972.2245000000003</v>
      </c>
      <c r="I113" s="47" t="s">
        <v>1121</v>
      </c>
      <c r="J113" s="47" t="s">
        <v>1208</v>
      </c>
    </row>
    <row r="114" spans="1:10" x14ac:dyDescent="0.25">
      <c r="A114" s="129" t="str">
        <f t="shared" si="2"/>
        <v>1015255</v>
      </c>
      <c r="B114" s="47">
        <v>101</v>
      </c>
      <c r="C114" s="47">
        <v>5255</v>
      </c>
      <c r="D114" s="47">
        <v>70280</v>
      </c>
      <c r="E114" s="47" t="s">
        <v>464</v>
      </c>
      <c r="F114" s="11">
        <v>40273</v>
      </c>
      <c r="G114" s="47">
        <v>1</v>
      </c>
      <c r="H114" s="48">
        <v>2475</v>
      </c>
      <c r="I114" s="47" t="s">
        <v>1126</v>
      </c>
      <c r="J114" s="47" t="s">
        <v>1231</v>
      </c>
    </row>
    <row r="115" spans="1:10" x14ac:dyDescent="0.25">
      <c r="A115" s="129" t="str">
        <f t="shared" si="2"/>
        <v>1015396</v>
      </c>
      <c r="B115" s="47">
        <v>101</v>
      </c>
      <c r="C115" s="47">
        <v>5396</v>
      </c>
      <c r="D115" s="47">
        <v>24700</v>
      </c>
      <c r="E115" s="47" t="s">
        <v>281</v>
      </c>
      <c r="F115" s="11">
        <v>40315</v>
      </c>
      <c r="G115" s="47">
        <v>2</v>
      </c>
      <c r="H115" s="48">
        <v>7676.4599999999991</v>
      </c>
      <c r="I115" s="47" t="s">
        <v>1129</v>
      </c>
      <c r="J115" s="47" t="s">
        <v>1211</v>
      </c>
    </row>
    <row r="116" spans="1:10" x14ac:dyDescent="0.25">
      <c r="A116" s="129" t="str">
        <f t="shared" si="2"/>
        <v>1015456</v>
      </c>
      <c r="B116" s="47">
        <v>101</v>
      </c>
      <c r="C116" s="47">
        <v>5456</v>
      </c>
      <c r="D116" s="47">
        <v>70160</v>
      </c>
      <c r="E116" s="47" t="s">
        <v>402</v>
      </c>
      <c r="F116" s="11">
        <v>40347</v>
      </c>
      <c r="G116" s="47">
        <v>2</v>
      </c>
      <c r="H116" s="48">
        <v>4463.7614999999996</v>
      </c>
      <c r="I116" s="47" t="s">
        <v>1121</v>
      </c>
      <c r="J116" s="47" t="s">
        <v>1221</v>
      </c>
    </row>
    <row r="117" spans="1:10" x14ac:dyDescent="0.25">
      <c r="A117" s="129" t="str">
        <f t="shared" si="2"/>
        <v>1015509</v>
      </c>
      <c r="B117" s="47">
        <v>101</v>
      </c>
      <c r="C117" s="47">
        <v>5509</v>
      </c>
      <c r="D117" s="47">
        <v>70100</v>
      </c>
      <c r="E117" s="47" t="s">
        <v>167</v>
      </c>
      <c r="F117" s="11">
        <v>40378</v>
      </c>
      <c r="G117" s="47">
        <v>2</v>
      </c>
      <c r="H117" s="48">
        <v>10467.8145</v>
      </c>
      <c r="I117" s="47" t="s">
        <v>1128</v>
      </c>
      <c r="J117" s="47" t="s">
        <v>1219</v>
      </c>
    </row>
    <row r="118" spans="1:10" x14ac:dyDescent="0.25">
      <c r="A118" s="129" t="str">
        <f t="shared" si="2"/>
        <v>1015516</v>
      </c>
      <c r="B118" s="47">
        <v>101</v>
      </c>
      <c r="C118" s="47">
        <v>5516</v>
      </c>
      <c r="D118" s="47">
        <v>70140</v>
      </c>
      <c r="E118" s="47" t="s">
        <v>537</v>
      </c>
      <c r="F118" s="11">
        <v>40378</v>
      </c>
      <c r="G118" s="47">
        <v>2</v>
      </c>
      <c r="H118" s="48">
        <v>4463.7614999999996</v>
      </c>
      <c r="I118" s="47" t="s">
        <v>1138</v>
      </c>
      <c r="J118" s="47" t="s">
        <v>1210</v>
      </c>
    </row>
    <row r="119" spans="1:10" x14ac:dyDescent="0.25">
      <c r="A119" s="129" t="str">
        <f t="shared" si="2"/>
        <v>1015572</v>
      </c>
      <c r="B119" s="47">
        <v>101</v>
      </c>
      <c r="C119" s="47">
        <v>5572</v>
      </c>
      <c r="D119" s="47">
        <v>70100</v>
      </c>
      <c r="E119" s="47" t="s">
        <v>307</v>
      </c>
      <c r="F119" s="11">
        <v>40401</v>
      </c>
      <c r="G119" s="47">
        <v>2</v>
      </c>
      <c r="H119" s="48">
        <v>5113.6634999999997</v>
      </c>
      <c r="I119" s="47" t="s">
        <v>1128</v>
      </c>
      <c r="J119" s="47" t="s">
        <v>1219</v>
      </c>
    </row>
    <row r="120" spans="1:10" x14ac:dyDescent="0.25">
      <c r="A120" s="129" t="str">
        <f t="shared" si="2"/>
        <v>1015668</v>
      </c>
      <c r="B120" s="47">
        <v>101</v>
      </c>
      <c r="C120" s="47">
        <v>5668</v>
      </c>
      <c r="D120" s="47">
        <v>70140</v>
      </c>
      <c r="E120" s="47" t="s">
        <v>578</v>
      </c>
      <c r="F120" s="11">
        <v>40441</v>
      </c>
      <c r="G120" s="47">
        <v>2</v>
      </c>
      <c r="H120" s="48">
        <v>6200.799</v>
      </c>
      <c r="I120" s="47" t="s">
        <v>1158</v>
      </c>
      <c r="J120" s="47" t="s">
        <v>1210</v>
      </c>
    </row>
    <row r="121" spans="1:10" x14ac:dyDescent="0.25">
      <c r="A121" s="129" t="str">
        <f t="shared" si="2"/>
        <v>1015789</v>
      </c>
      <c r="B121" s="47">
        <v>101</v>
      </c>
      <c r="C121" s="47">
        <v>5789</v>
      </c>
      <c r="D121" s="47">
        <v>22500</v>
      </c>
      <c r="E121" s="47" t="s">
        <v>630</v>
      </c>
      <c r="F121" s="11">
        <v>40560</v>
      </c>
      <c r="G121" s="47">
        <v>2</v>
      </c>
      <c r="H121" s="48">
        <v>6379.6589999999997</v>
      </c>
      <c r="I121" s="47" t="s">
        <v>1159</v>
      </c>
      <c r="J121" s="47" t="s">
        <v>1232</v>
      </c>
    </row>
    <row r="122" spans="1:10" x14ac:dyDescent="0.25">
      <c r="A122" s="129" t="str">
        <f t="shared" si="2"/>
        <v>1015816</v>
      </c>
      <c r="B122" s="47">
        <v>101</v>
      </c>
      <c r="C122" s="47">
        <v>5816</v>
      </c>
      <c r="D122" s="47">
        <v>70210</v>
      </c>
      <c r="E122" s="139" t="s">
        <v>893</v>
      </c>
      <c r="F122" s="11">
        <v>40603</v>
      </c>
      <c r="G122" s="47">
        <v>2</v>
      </c>
      <c r="H122" s="48">
        <v>6200.799</v>
      </c>
      <c r="I122" s="47" t="s">
        <v>1139</v>
      </c>
      <c r="J122" s="47" t="s">
        <v>1220</v>
      </c>
    </row>
    <row r="123" spans="1:10" x14ac:dyDescent="0.25">
      <c r="A123" s="129" t="str">
        <f t="shared" si="2"/>
        <v>1015828</v>
      </c>
      <c r="B123" s="47">
        <v>101</v>
      </c>
      <c r="C123" s="47">
        <v>5828</v>
      </c>
      <c r="D123" s="47">
        <v>50001</v>
      </c>
      <c r="E123" s="139" t="s">
        <v>857</v>
      </c>
      <c r="F123" s="11">
        <v>40619</v>
      </c>
      <c r="G123" s="47">
        <v>2</v>
      </c>
      <c r="H123" s="48">
        <v>6200.799</v>
      </c>
      <c r="I123" s="47" t="s">
        <v>1126</v>
      </c>
      <c r="J123" s="47" t="s">
        <v>1218</v>
      </c>
    </row>
    <row r="124" spans="1:10" x14ac:dyDescent="0.25">
      <c r="A124" s="129" t="str">
        <f t="shared" si="2"/>
        <v>1015840</v>
      </c>
      <c r="B124" s="47">
        <v>101</v>
      </c>
      <c r="C124" s="47">
        <v>5840</v>
      </c>
      <c r="D124" s="47">
        <v>70100</v>
      </c>
      <c r="E124" s="47" t="s">
        <v>224</v>
      </c>
      <c r="F124" s="11">
        <v>40634</v>
      </c>
      <c r="G124" s="47">
        <v>2</v>
      </c>
      <c r="H124" s="48">
        <v>10467.8145</v>
      </c>
      <c r="I124" s="47" t="s">
        <v>1128</v>
      </c>
      <c r="J124" s="47" t="s">
        <v>1219</v>
      </c>
    </row>
    <row r="125" spans="1:10" x14ac:dyDescent="0.25">
      <c r="A125" s="129" t="str">
        <f t="shared" si="2"/>
        <v>1015849</v>
      </c>
      <c r="B125" s="47">
        <v>101</v>
      </c>
      <c r="C125" s="47">
        <v>5849</v>
      </c>
      <c r="D125" s="47">
        <v>70100</v>
      </c>
      <c r="E125" s="47" t="s">
        <v>730</v>
      </c>
      <c r="F125" s="11">
        <v>40665</v>
      </c>
      <c r="G125" s="47">
        <v>2</v>
      </c>
      <c r="H125" s="48">
        <v>10467.8145</v>
      </c>
      <c r="I125" s="47" t="s">
        <v>1128</v>
      </c>
      <c r="J125" s="47" t="s">
        <v>1219</v>
      </c>
    </row>
    <row r="126" spans="1:10" x14ac:dyDescent="0.25">
      <c r="A126" s="129" t="str">
        <f t="shared" si="2"/>
        <v>1015856</v>
      </c>
      <c r="B126" s="47">
        <v>101</v>
      </c>
      <c r="C126" s="47">
        <v>5856</v>
      </c>
      <c r="D126" s="47">
        <v>70140</v>
      </c>
      <c r="E126" s="47" t="s">
        <v>823</v>
      </c>
      <c r="F126" s="11">
        <v>40665</v>
      </c>
      <c r="G126" s="47">
        <v>2</v>
      </c>
      <c r="H126" s="48">
        <v>5743.683</v>
      </c>
      <c r="I126" s="47" t="s">
        <v>1121</v>
      </c>
      <c r="J126" s="47" t="s">
        <v>1210</v>
      </c>
    </row>
    <row r="127" spans="1:10" x14ac:dyDescent="0.25">
      <c r="A127" s="129" t="str">
        <f t="shared" si="2"/>
        <v>1015980</v>
      </c>
      <c r="B127" s="47">
        <v>101</v>
      </c>
      <c r="C127" s="47">
        <v>5980</v>
      </c>
      <c r="D127" s="47">
        <v>70220</v>
      </c>
      <c r="E127" s="139" t="s">
        <v>997</v>
      </c>
      <c r="F127" s="11">
        <v>40695</v>
      </c>
      <c r="G127" s="47">
        <v>2</v>
      </c>
      <c r="H127" s="48">
        <v>6200.799</v>
      </c>
      <c r="I127" s="47" t="s">
        <v>1121</v>
      </c>
      <c r="J127" s="47" t="s">
        <v>1233</v>
      </c>
    </row>
    <row r="128" spans="1:10" x14ac:dyDescent="0.25">
      <c r="A128" s="129" t="str">
        <f t="shared" si="2"/>
        <v>1016027</v>
      </c>
      <c r="B128" s="47">
        <v>101</v>
      </c>
      <c r="C128" s="47">
        <v>6027</v>
      </c>
      <c r="D128" s="47">
        <v>40100</v>
      </c>
      <c r="E128" s="47" t="s">
        <v>202</v>
      </c>
      <c r="F128" s="11">
        <v>40735</v>
      </c>
      <c r="G128" s="47">
        <v>2</v>
      </c>
      <c r="H128" s="48">
        <v>6200.799</v>
      </c>
      <c r="I128" s="47" t="s">
        <v>1160</v>
      </c>
      <c r="J128" s="47" t="s">
        <v>1234</v>
      </c>
    </row>
    <row r="129" spans="1:10" x14ac:dyDescent="0.25">
      <c r="A129" s="129" t="str">
        <f t="shared" si="2"/>
        <v>1016057</v>
      </c>
      <c r="B129" s="47">
        <v>101</v>
      </c>
      <c r="C129" s="47">
        <v>6057</v>
      </c>
      <c r="D129" s="47">
        <v>61300</v>
      </c>
      <c r="E129" s="47" t="s">
        <v>606</v>
      </c>
      <c r="F129" s="11">
        <v>40771</v>
      </c>
      <c r="G129" s="47">
        <v>2</v>
      </c>
      <c r="H129" s="48">
        <v>4463.7614999999996</v>
      </c>
      <c r="I129" s="47" t="s">
        <v>1161</v>
      </c>
      <c r="J129" s="47" t="s">
        <v>1235</v>
      </c>
    </row>
    <row r="130" spans="1:10" x14ac:dyDescent="0.25">
      <c r="A130" s="129" t="str">
        <f t="shared" si="2"/>
        <v>1016094</v>
      </c>
      <c r="B130" s="47">
        <v>101</v>
      </c>
      <c r="C130" s="47">
        <v>6094</v>
      </c>
      <c r="D130" s="47">
        <v>70210</v>
      </c>
      <c r="E130" s="47" t="s">
        <v>308</v>
      </c>
      <c r="F130" s="11">
        <v>39174</v>
      </c>
      <c r="G130" s="47">
        <v>2</v>
      </c>
      <c r="H130" s="48">
        <v>43297.616999999998</v>
      </c>
      <c r="I130" s="47" t="s">
        <v>1132</v>
      </c>
      <c r="J130" s="47" t="s">
        <v>1220</v>
      </c>
    </row>
    <row r="131" spans="1:10" x14ac:dyDescent="0.25">
      <c r="A131" s="129" t="str">
        <f t="shared" si="2"/>
        <v>1016101</v>
      </c>
      <c r="B131" s="47">
        <v>101</v>
      </c>
      <c r="C131" s="47">
        <v>6101</v>
      </c>
      <c r="D131" s="47">
        <v>70210</v>
      </c>
      <c r="E131" s="47" t="s">
        <v>212</v>
      </c>
      <c r="F131" s="11">
        <v>40248</v>
      </c>
      <c r="G131" s="47">
        <v>2</v>
      </c>
      <c r="H131" s="48">
        <v>4463.7614999999996</v>
      </c>
      <c r="I131" s="47" t="s">
        <v>1121</v>
      </c>
      <c r="J131" s="47" t="s">
        <v>1220</v>
      </c>
    </row>
    <row r="132" spans="1:10" x14ac:dyDescent="0.25">
      <c r="A132" s="129" t="str">
        <f t="shared" si="2"/>
        <v>1016108</v>
      </c>
      <c r="B132" s="47">
        <v>101</v>
      </c>
      <c r="C132" s="47">
        <v>6108</v>
      </c>
      <c r="D132" s="47">
        <v>70100</v>
      </c>
      <c r="E132" s="139" t="s">
        <v>1066</v>
      </c>
      <c r="F132" s="11">
        <v>40848</v>
      </c>
      <c r="G132" s="47">
        <v>2</v>
      </c>
      <c r="H132" s="48">
        <v>10467.8145</v>
      </c>
      <c r="I132" s="47" t="s">
        <v>1128</v>
      </c>
      <c r="J132" s="47" t="s">
        <v>1219</v>
      </c>
    </row>
    <row r="133" spans="1:10" x14ac:dyDescent="0.25">
      <c r="A133" s="129" t="str">
        <f t="shared" si="2"/>
        <v>1016132</v>
      </c>
      <c r="B133" s="47">
        <v>101</v>
      </c>
      <c r="C133" s="47">
        <v>6132</v>
      </c>
      <c r="D133" s="47">
        <v>70140</v>
      </c>
      <c r="E133" s="139" t="s">
        <v>872</v>
      </c>
      <c r="F133" s="11">
        <v>40897</v>
      </c>
      <c r="G133" s="47">
        <v>2</v>
      </c>
      <c r="H133" s="48">
        <v>8520.1380000000008</v>
      </c>
      <c r="I133" s="47" t="s">
        <v>1121</v>
      </c>
      <c r="J133" s="47" t="s">
        <v>1210</v>
      </c>
    </row>
    <row r="134" spans="1:10" x14ac:dyDescent="0.25">
      <c r="A134" s="129" t="str">
        <f t="shared" si="2"/>
        <v>1016138</v>
      </c>
      <c r="B134" s="47">
        <v>101</v>
      </c>
      <c r="C134" s="47">
        <v>6138</v>
      </c>
      <c r="D134" s="47">
        <v>50001</v>
      </c>
      <c r="E134" s="47" t="s">
        <v>525</v>
      </c>
      <c r="F134" s="11">
        <v>40868</v>
      </c>
      <c r="G134" s="47">
        <v>2</v>
      </c>
      <c r="H134" s="48">
        <v>6200.799</v>
      </c>
      <c r="I134" s="47" t="s">
        <v>1126</v>
      </c>
      <c r="J134" s="47" t="s">
        <v>1218</v>
      </c>
    </row>
    <row r="135" spans="1:10" x14ac:dyDescent="0.25">
      <c r="A135" s="129" t="str">
        <f t="shared" si="2"/>
        <v>1016203</v>
      </c>
      <c r="B135" s="47">
        <v>101</v>
      </c>
      <c r="C135" s="47">
        <v>6203</v>
      </c>
      <c r="D135" s="47">
        <v>50001</v>
      </c>
      <c r="E135" s="47" t="s">
        <v>720</v>
      </c>
      <c r="F135" s="11">
        <v>40949</v>
      </c>
      <c r="G135" s="47">
        <v>2</v>
      </c>
      <c r="H135" s="48">
        <v>8520.1380000000008</v>
      </c>
      <c r="I135" s="47" t="s">
        <v>1126</v>
      </c>
      <c r="J135" s="47" t="s">
        <v>1218</v>
      </c>
    </row>
    <row r="136" spans="1:10" x14ac:dyDescent="0.25">
      <c r="A136" s="129" t="str">
        <f t="shared" si="2"/>
        <v>1016231</v>
      </c>
      <c r="B136" s="47">
        <v>101</v>
      </c>
      <c r="C136" s="47">
        <v>6231</v>
      </c>
      <c r="D136" s="47">
        <v>51242</v>
      </c>
      <c r="E136" s="139" t="s">
        <v>878</v>
      </c>
      <c r="F136" s="11">
        <v>40995</v>
      </c>
      <c r="G136" s="47">
        <v>2</v>
      </c>
      <c r="H136" s="48">
        <v>4785</v>
      </c>
      <c r="I136" s="47" t="s">
        <v>1162</v>
      </c>
      <c r="J136" s="47" t="s">
        <v>1236</v>
      </c>
    </row>
    <row r="137" spans="1:10" x14ac:dyDescent="0.25">
      <c r="A137" s="129" t="str">
        <f t="shared" si="2"/>
        <v>1016244</v>
      </c>
      <c r="B137" s="47">
        <v>101</v>
      </c>
      <c r="C137" s="47">
        <v>6244</v>
      </c>
      <c r="D137" s="47">
        <v>30300</v>
      </c>
      <c r="E137" s="47" t="s">
        <v>267</v>
      </c>
      <c r="F137" s="11">
        <v>41001</v>
      </c>
      <c r="G137" s="47">
        <v>2</v>
      </c>
      <c r="H137" s="48">
        <v>4463.7614999999996</v>
      </c>
      <c r="I137" s="47" t="s">
        <v>1163</v>
      </c>
      <c r="J137" s="47" t="s">
        <v>1224</v>
      </c>
    </row>
    <row r="138" spans="1:10" x14ac:dyDescent="0.25">
      <c r="A138" s="129" t="str">
        <f t="shared" si="2"/>
        <v>1016256</v>
      </c>
      <c r="B138" s="47">
        <v>101</v>
      </c>
      <c r="C138" s="47">
        <v>6256</v>
      </c>
      <c r="D138" s="47">
        <v>70140</v>
      </c>
      <c r="E138" s="47" t="s">
        <v>764</v>
      </c>
      <c r="F138" s="11">
        <v>27853</v>
      </c>
      <c r="G138" s="47">
        <v>2</v>
      </c>
      <c r="H138" s="48">
        <v>10239.2565</v>
      </c>
      <c r="I138" s="47" t="s">
        <v>1145</v>
      </c>
      <c r="J138" s="47" t="s">
        <v>1210</v>
      </c>
    </row>
    <row r="139" spans="1:10" x14ac:dyDescent="0.25">
      <c r="A139" s="129" t="str">
        <f t="shared" si="2"/>
        <v>1016258</v>
      </c>
      <c r="B139" s="47">
        <v>101</v>
      </c>
      <c r="C139" s="47">
        <v>6258</v>
      </c>
      <c r="D139" s="47">
        <v>70100</v>
      </c>
      <c r="E139" s="47" t="s">
        <v>839</v>
      </c>
      <c r="F139" s="11">
        <v>41015</v>
      </c>
      <c r="G139" s="47">
        <v>2</v>
      </c>
      <c r="H139" s="48">
        <v>6200.799</v>
      </c>
      <c r="I139" s="47" t="s">
        <v>1128</v>
      </c>
      <c r="J139" s="47" t="s">
        <v>1219</v>
      </c>
    </row>
    <row r="140" spans="1:10" x14ac:dyDescent="0.25">
      <c r="A140" s="129" t="str">
        <f t="shared" si="2"/>
        <v>1016261</v>
      </c>
      <c r="B140" s="47">
        <v>101</v>
      </c>
      <c r="C140" s="47">
        <v>6261</v>
      </c>
      <c r="D140" s="47">
        <v>70100</v>
      </c>
      <c r="E140" s="47" t="s">
        <v>627</v>
      </c>
      <c r="F140" s="11">
        <v>41016</v>
      </c>
      <c r="G140" s="47">
        <v>2</v>
      </c>
      <c r="H140" s="48">
        <v>4463.7614999999996</v>
      </c>
      <c r="I140" s="47" t="s">
        <v>1128</v>
      </c>
      <c r="J140" s="47" t="s">
        <v>1219</v>
      </c>
    </row>
    <row r="141" spans="1:10" x14ac:dyDescent="0.25">
      <c r="A141" s="129" t="str">
        <f t="shared" si="2"/>
        <v>1016278</v>
      </c>
      <c r="B141" s="47">
        <v>101</v>
      </c>
      <c r="C141" s="47">
        <v>6278</v>
      </c>
      <c r="D141" s="47">
        <v>70100</v>
      </c>
      <c r="E141" s="47" t="s">
        <v>231</v>
      </c>
      <c r="F141" s="11">
        <v>41016</v>
      </c>
      <c r="G141" s="47">
        <v>2</v>
      </c>
      <c r="H141" s="48">
        <v>10239.2565</v>
      </c>
      <c r="I141" s="47" t="s">
        <v>1128</v>
      </c>
      <c r="J141" s="47" t="s">
        <v>1219</v>
      </c>
    </row>
    <row r="142" spans="1:10" x14ac:dyDescent="0.25">
      <c r="A142" s="129" t="str">
        <f t="shared" si="2"/>
        <v>1016311</v>
      </c>
      <c r="B142" s="47">
        <v>101</v>
      </c>
      <c r="C142" s="47">
        <v>6311</v>
      </c>
      <c r="D142" s="47">
        <v>70120</v>
      </c>
      <c r="E142" s="47" t="s">
        <v>515</v>
      </c>
      <c r="F142" s="11">
        <v>39680</v>
      </c>
      <c r="G142" s="47">
        <v>2</v>
      </c>
      <c r="H142" s="48">
        <v>4636.6814999999997</v>
      </c>
      <c r="I142" s="47" t="s">
        <v>1139</v>
      </c>
      <c r="J142" s="47" t="s">
        <v>1208</v>
      </c>
    </row>
    <row r="143" spans="1:10" x14ac:dyDescent="0.25">
      <c r="A143" s="129" t="str">
        <f t="shared" si="2"/>
        <v>1016339</v>
      </c>
      <c r="B143" s="47">
        <v>101</v>
      </c>
      <c r="C143" s="47">
        <v>6339</v>
      </c>
      <c r="D143" s="47">
        <v>61400</v>
      </c>
      <c r="E143" s="47" t="s">
        <v>374</v>
      </c>
      <c r="F143" s="11">
        <v>35233</v>
      </c>
      <c r="G143" s="47">
        <v>2</v>
      </c>
      <c r="H143" s="48">
        <v>5426.19</v>
      </c>
      <c r="I143" s="47" t="s">
        <v>1164</v>
      </c>
      <c r="J143" s="47" t="s">
        <v>1229</v>
      </c>
    </row>
    <row r="144" spans="1:10" x14ac:dyDescent="0.25">
      <c r="A144" s="129" t="str">
        <f t="shared" si="2"/>
        <v>1016413</v>
      </c>
      <c r="B144" s="47">
        <v>101</v>
      </c>
      <c r="C144" s="47">
        <v>6413</v>
      </c>
      <c r="D144" s="47">
        <v>70180</v>
      </c>
      <c r="E144" s="47" t="s">
        <v>733</v>
      </c>
      <c r="F144" s="11">
        <v>41109</v>
      </c>
      <c r="G144" s="47">
        <v>2</v>
      </c>
      <c r="H144" s="48">
        <v>4463.7614999999996</v>
      </c>
      <c r="I144" s="47" t="s">
        <v>1121</v>
      </c>
      <c r="J144" s="47" t="s">
        <v>1214</v>
      </c>
    </row>
    <row r="145" spans="1:10" x14ac:dyDescent="0.25">
      <c r="A145" s="129" t="str">
        <f t="shared" si="2"/>
        <v>1016414</v>
      </c>
      <c r="B145" s="47">
        <v>101</v>
      </c>
      <c r="C145" s="47">
        <v>6414</v>
      </c>
      <c r="D145" s="47">
        <v>24200</v>
      </c>
      <c r="E145" s="47" t="s">
        <v>272</v>
      </c>
      <c r="F145" s="11">
        <v>41113</v>
      </c>
      <c r="G145" s="47">
        <v>2</v>
      </c>
      <c r="H145" s="48">
        <v>4785</v>
      </c>
      <c r="I145" s="47" t="s">
        <v>1122</v>
      </c>
      <c r="J145" s="47" t="s">
        <v>108</v>
      </c>
    </row>
    <row r="146" spans="1:10" x14ac:dyDescent="0.25">
      <c r="A146" s="129" t="str">
        <f t="shared" si="2"/>
        <v>1016421</v>
      </c>
      <c r="B146" s="47">
        <v>101</v>
      </c>
      <c r="C146" s="47">
        <v>6421</v>
      </c>
      <c r="D146" s="47">
        <v>70100</v>
      </c>
      <c r="E146" s="47" t="s">
        <v>543</v>
      </c>
      <c r="F146" s="11">
        <v>41122</v>
      </c>
      <c r="G146" s="47">
        <v>2</v>
      </c>
      <c r="H146" s="48">
        <v>4463.7614999999996</v>
      </c>
      <c r="I146" s="47" t="s">
        <v>1139</v>
      </c>
      <c r="J146" s="47" t="s">
        <v>1219</v>
      </c>
    </row>
    <row r="147" spans="1:10" x14ac:dyDescent="0.25">
      <c r="A147" s="129" t="str">
        <f t="shared" si="2"/>
        <v>1016434</v>
      </c>
      <c r="B147" s="47">
        <v>101</v>
      </c>
      <c r="C147" s="47">
        <v>6434</v>
      </c>
      <c r="D147" s="47">
        <v>70150</v>
      </c>
      <c r="E147" s="47" t="s">
        <v>683</v>
      </c>
      <c r="F147" s="11">
        <v>41145</v>
      </c>
      <c r="G147" s="47">
        <v>2</v>
      </c>
      <c r="H147" s="48">
        <v>5445</v>
      </c>
      <c r="I147" s="47" t="s">
        <v>1121</v>
      </c>
      <c r="J147" s="47" t="s">
        <v>1215</v>
      </c>
    </row>
    <row r="148" spans="1:10" x14ac:dyDescent="0.25">
      <c r="A148" s="129" t="str">
        <f t="shared" si="2"/>
        <v>1016449</v>
      </c>
      <c r="B148" s="47">
        <v>101</v>
      </c>
      <c r="C148" s="47">
        <v>6449</v>
      </c>
      <c r="D148" s="47">
        <v>24200</v>
      </c>
      <c r="E148" s="139" t="s">
        <v>987</v>
      </c>
      <c r="F148" s="11">
        <v>41155</v>
      </c>
      <c r="G148" s="47">
        <v>2</v>
      </c>
      <c r="H148" s="48">
        <v>4463.7614999999996</v>
      </c>
      <c r="I148" s="47" t="s">
        <v>1142</v>
      </c>
      <c r="J148" s="47" t="s">
        <v>108</v>
      </c>
    </row>
    <row r="149" spans="1:10" x14ac:dyDescent="0.25">
      <c r="A149" s="129" t="str">
        <f t="shared" si="2"/>
        <v>1016451</v>
      </c>
      <c r="B149" s="47">
        <v>101</v>
      </c>
      <c r="C149" s="47">
        <v>6451</v>
      </c>
      <c r="D149" s="47">
        <v>70140</v>
      </c>
      <c r="E149" s="47" t="s">
        <v>669</v>
      </c>
      <c r="F149" s="11">
        <v>41155</v>
      </c>
      <c r="G149" s="47">
        <v>2</v>
      </c>
      <c r="H149" s="48">
        <v>4463.7614999999996</v>
      </c>
      <c r="I149" s="47" t="s">
        <v>1121</v>
      </c>
      <c r="J149" s="47" t="s">
        <v>1210</v>
      </c>
    </row>
    <row r="150" spans="1:10" x14ac:dyDescent="0.25">
      <c r="A150" s="129" t="str">
        <f t="shared" si="2"/>
        <v>1016471</v>
      </c>
      <c r="B150" s="47">
        <v>101</v>
      </c>
      <c r="C150" s="47">
        <v>6471</v>
      </c>
      <c r="D150" s="47">
        <v>50001</v>
      </c>
      <c r="E150" s="139" t="s">
        <v>1046</v>
      </c>
      <c r="F150" s="11">
        <v>41169</v>
      </c>
      <c r="G150" s="47">
        <v>2</v>
      </c>
      <c r="H150" s="48">
        <v>4463.7614999999996</v>
      </c>
      <c r="I150" s="47" t="s">
        <v>1165</v>
      </c>
      <c r="J150" s="47" t="s">
        <v>1218</v>
      </c>
    </row>
    <row r="151" spans="1:10" x14ac:dyDescent="0.25">
      <c r="A151" s="129" t="str">
        <f t="shared" si="2"/>
        <v>1016503</v>
      </c>
      <c r="B151" s="47">
        <v>101</v>
      </c>
      <c r="C151" s="47">
        <v>6503</v>
      </c>
      <c r="D151" s="47">
        <v>70150</v>
      </c>
      <c r="E151" s="47" t="s">
        <v>815</v>
      </c>
      <c r="F151" s="11">
        <v>41190</v>
      </c>
      <c r="G151" s="47">
        <v>2</v>
      </c>
      <c r="H151" s="48">
        <v>4785</v>
      </c>
      <c r="I151" s="47" t="s">
        <v>1121</v>
      </c>
      <c r="J151" s="47" t="s">
        <v>1215</v>
      </c>
    </row>
    <row r="152" spans="1:10" x14ac:dyDescent="0.25">
      <c r="A152" s="129" t="str">
        <f t="shared" si="2"/>
        <v>1016504</v>
      </c>
      <c r="B152" s="47">
        <v>101</v>
      </c>
      <c r="C152" s="47">
        <v>6504</v>
      </c>
      <c r="D152" s="47">
        <v>24200</v>
      </c>
      <c r="E152" s="47" t="s">
        <v>431</v>
      </c>
      <c r="F152" s="11">
        <v>41190</v>
      </c>
      <c r="G152" s="47">
        <v>2</v>
      </c>
      <c r="H152" s="48">
        <v>4785</v>
      </c>
      <c r="I152" s="47" t="s">
        <v>1122</v>
      </c>
      <c r="J152" s="47" t="s">
        <v>108</v>
      </c>
    </row>
    <row r="153" spans="1:10" x14ac:dyDescent="0.25">
      <c r="A153" s="129" t="str">
        <f t="shared" si="2"/>
        <v>1016522</v>
      </c>
      <c r="B153" s="47">
        <v>101</v>
      </c>
      <c r="C153" s="47">
        <v>6522</v>
      </c>
      <c r="D153" s="47">
        <v>70140</v>
      </c>
      <c r="E153" s="47" t="s">
        <v>755</v>
      </c>
      <c r="F153" s="11">
        <v>41197</v>
      </c>
      <c r="G153" s="47">
        <v>2</v>
      </c>
      <c r="H153" s="48">
        <v>4463.7614999999996</v>
      </c>
      <c r="I153" s="47" t="s">
        <v>1128</v>
      </c>
      <c r="J153" s="47" t="s">
        <v>1210</v>
      </c>
    </row>
    <row r="154" spans="1:10" x14ac:dyDescent="0.25">
      <c r="A154" s="129" t="str">
        <f t="shared" si="2"/>
        <v>1016541</v>
      </c>
      <c r="B154" s="47">
        <v>101</v>
      </c>
      <c r="C154" s="47">
        <v>6541</v>
      </c>
      <c r="D154" s="47">
        <v>70140</v>
      </c>
      <c r="E154" s="47" t="s">
        <v>800</v>
      </c>
      <c r="F154" s="11">
        <v>41218</v>
      </c>
      <c r="G154" s="47">
        <v>2</v>
      </c>
      <c r="H154" s="48">
        <v>4463.7614999999996</v>
      </c>
      <c r="I154" s="47" t="s">
        <v>1139</v>
      </c>
      <c r="J154" s="47" t="s">
        <v>1210</v>
      </c>
    </row>
    <row r="155" spans="1:10" x14ac:dyDescent="0.25">
      <c r="A155" s="129" t="str">
        <f t="shared" si="2"/>
        <v>1016589</v>
      </c>
      <c r="B155" s="47">
        <v>101</v>
      </c>
      <c r="C155" s="47">
        <v>6589</v>
      </c>
      <c r="D155" s="47">
        <v>50001</v>
      </c>
      <c r="E155" s="47" t="s">
        <v>634</v>
      </c>
      <c r="F155" s="11">
        <v>41236</v>
      </c>
      <c r="G155" s="47">
        <v>2</v>
      </c>
      <c r="H155" s="48">
        <v>4463.7614999999996</v>
      </c>
      <c r="I155" s="47" t="s">
        <v>1166</v>
      </c>
      <c r="J155" s="47" t="s">
        <v>1218</v>
      </c>
    </row>
    <row r="156" spans="1:10" x14ac:dyDescent="0.25">
      <c r="A156" s="129" t="str">
        <f t="shared" si="2"/>
        <v>1016590</v>
      </c>
      <c r="B156" s="47">
        <v>101</v>
      </c>
      <c r="C156" s="47">
        <v>6590</v>
      </c>
      <c r="D156" s="47">
        <v>50001</v>
      </c>
      <c r="E156" s="47" t="s">
        <v>640</v>
      </c>
      <c r="F156" s="11">
        <v>41236</v>
      </c>
      <c r="G156" s="47">
        <v>2</v>
      </c>
      <c r="H156" s="48">
        <v>4620</v>
      </c>
      <c r="I156" s="47" t="s">
        <v>1166</v>
      </c>
      <c r="J156" s="47" t="s">
        <v>1218</v>
      </c>
    </row>
    <row r="157" spans="1:10" x14ac:dyDescent="0.25">
      <c r="A157" s="129" t="str">
        <f t="shared" si="2"/>
        <v>1016591</v>
      </c>
      <c r="B157" s="47">
        <v>101</v>
      </c>
      <c r="C157" s="47">
        <v>6591</v>
      </c>
      <c r="D157" s="47">
        <v>50001</v>
      </c>
      <c r="E157" s="47" t="s">
        <v>490</v>
      </c>
      <c r="F157" s="11">
        <v>41236</v>
      </c>
      <c r="G157" s="47">
        <v>2</v>
      </c>
      <c r="H157" s="48">
        <v>4968.5789999999997</v>
      </c>
      <c r="I157" s="47" t="s">
        <v>1166</v>
      </c>
      <c r="J157" s="47" t="s">
        <v>1218</v>
      </c>
    </row>
    <row r="158" spans="1:10" x14ac:dyDescent="0.25">
      <c r="A158" s="129" t="str">
        <f t="shared" si="2"/>
        <v>1016606</v>
      </c>
      <c r="B158" s="47">
        <v>101</v>
      </c>
      <c r="C158" s="47">
        <v>6606</v>
      </c>
      <c r="D158" s="47">
        <v>50001</v>
      </c>
      <c r="E158" s="47" t="s">
        <v>367</v>
      </c>
      <c r="F158" s="11">
        <v>41246</v>
      </c>
      <c r="G158" s="47">
        <v>2</v>
      </c>
      <c r="H158" s="48">
        <v>7887</v>
      </c>
      <c r="I158" s="47" t="s">
        <v>1126</v>
      </c>
      <c r="J158" s="47" t="s">
        <v>1218</v>
      </c>
    </row>
    <row r="159" spans="1:10" x14ac:dyDescent="0.25">
      <c r="A159" s="129" t="str">
        <f t="shared" ref="A159:A214" si="3">B159&amp;C159</f>
        <v>1016622</v>
      </c>
      <c r="B159" s="47">
        <v>101</v>
      </c>
      <c r="C159" s="47">
        <v>6622</v>
      </c>
      <c r="D159" s="47">
        <v>24200</v>
      </c>
      <c r="E159" s="47" t="s">
        <v>129</v>
      </c>
      <c r="F159" s="11">
        <v>41295</v>
      </c>
      <c r="G159" s="47">
        <v>2</v>
      </c>
      <c r="H159" s="48">
        <v>12766.693499999999</v>
      </c>
      <c r="I159" s="47" t="s">
        <v>1142</v>
      </c>
      <c r="J159" s="47" t="s">
        <v>108</v>
      </c>
    </row>
    <row r="160" spans="1:10" x14ac:dyDescent="0.25">
      <c r="A160" s="129" t="str">
        <f t="shared" si="3"/>
        <v>1016627</v>
      </c>
      <c r="B160" s="47">
        <v>101</v>
      </c>
      <c r="C160" s="47">
        <v>6627</v>
      </c>
      <c r="D160" s="47">
        <v>61300</v>
      </c>
      <c r="E160" s="47" t="s">
        <v>660</v>
      </c>
      <c r="F160" s="11">
        <v>41309</v>
      </c>
      <c r="G160" s="47">
        <v>2</v>
      </c>
      <c r="H160" s="48">
        <v>3223.605</v>
      </c>
      <c r="I160" s="47" t="s">
        <v>1161</v>
      </c>
      <c r="J160" s="47" t="s">
        <v>1235</v>
      </c>
    </row>
    <row r="161" spans="1:10" x14ac:dyDescent="0.25">
      <c r="A161" s="129" t="str">
        <f t="shared" si="3"/>
        <v>1016670</v>
      </c>
      <c r="B161" s="47">
        <v>101</v>
      </c>
      <c r="C161" s="47">
        <v>6670</v>
      </c>
      <c r="D161" s="47">
        <v>70160</v>
      </c>
      <c r="E161" s="47" t="s">
        <v>269</v>
      </c>
      <c r="F161" s="11">
        <v>41337</v>
      </c>
      <c r="G161" s="47">
        <v>2</v>
      </c>
      <c r="H161" s="48">
        <v>3223.605</v>
      </c>
      <c r="I161" s="47" t="s">
        <v>1121</v>
      </c>
      <c r="J161" s="47" t="s">
        <v>1221</v>
      </c>
    </row>
    <row r="162" spans="1:10" x14ac:dyDescent="0.25">
      <c r="A162" s="129" t="str">
        <f t="shared" si="3"/>
        <v>1016722</v>
      </c>
      <c r="B162" s="47">
        <v>101</v>
      </c>
      <c r="C162" s="47">
        <v>6722</v>
      </c>
      <c r="D162" s="47">
        <v>70160</v>
      </c>
      <c r="E162" s="47" t="s">
        <v>562</v>
      </c>
      <c r="F162" s="11">
        <v>38754</v>
      </c>
      <c r="G162" s="47">
        <v>2</v>
      </c>
      <c r="H162" s="48">
        <v>3223.605</v>
      </c>
      <c r="I162" s="47" t="s">
        <v>1139</v>
      </c>
      <c r="J162" s="47" t="s">
        <v>1221</v>
      </c>
    </row>
    <row r="163" spans="1:10" x14ac:dyDescent="0.25">
      <c r="A163" s="129" t="str">
        <f t="shared" si="3"/>
        <v>1016731</v>
      </c>
      <c r="B163" s="47">
        <v>101</v>
      </c>
      <c r="C163" s="47">
        <v>6731</v>
      </c>
      <c r="D163" s="47">
        <v>70100</v>
      </c>
      <c r="E163" s="47" t="s">
        <v>132</v>
      </c>
      <c r="F163" s="11">
        <v>41372</v>
      </c>
      <c r="G163" s="47">
        <v>2</v>
      </c>
      <c r="H163" s="48">
        <v>3609.1770000000001</v>
      </c>
      <c r="I163" s="47" t="s">
        <v>1128</v>
      </c>
      <c r="J163" s="47" t="s">
        <v>1219</v>
      </c>
    </row>
    <row r="164" spans="1:10" x14ac:dyDescent="0.25">
      <c r="A164" s="129" t="str">
        <f t="shared" si="3"/>
        <v>1016732</v>
      </c>
      <c r="B164" s="47">
        <v>101</v>
      </c>
      <c r="C164" s="47">
        <v>6732</v>
      </c>
      <c r="D164" s="47">
        <v>70140</v>
      </c>
      <c r="E164" s="47" t="s">
        <v>291</v>
      </c>
      <c r="F164" s="11">
        <v>41379</v>
      </c>
      <c r="G164" s="47">
        <v>2</v>
      </c>
      <c r="H164" s="48">
        <v>10467.8145</v>
      </c>
      <c r="I164" s="47" t="s">
        <v>1128</v>
      </c>
      <c r="J164" s="47" t="s">
        <v>1210</v>
      </c>
    </row>
    <row r="165" spans="1:10" x14ac:dyDescent="0.25">
      <c r="A165" s="129" t="str">
        <f t="shared" si="3"/>
        <v>1016755</v>
      </c>
      <c r="B165" s="47">
        <v>101</v>
      </c>
      <c r="C165" s="47">
        <v>6755</v>
      </c>
      <c r="D165" s="47">
        <v>40300</v>
      </c>
      <c r="E165" s="47" t="s">
        <v>207</v>
      </c>
      <c r="F165" s="11">
        <v>40746</v>
      </c>
      <c r="G165" s="47">
        <v>2</v>
      </c>
      <c r="H165" s="48">
        <v>5113.6634999999997</v>
      </c>
      <c r="I165" s="47" t="s">
        <v>1167</v>
      </c>
      <c r="J165" s="47" t="s">
        <v>1237</v>
      </c>
    </row>
    <row r="166" spans="1:10" x14ac:dyDescent="0.25">
      <c r="A166" s="129" t="str">
        <f t="shared" si="3"/>
        <v>1016756</v>
      </c>
      <c r="B166" s="47">
        <v>101</v>
      </c>
      <c r="C166" s="47">
        <v>6756</v>
      </c>
      <c r="D166" s="47">
        <v>61400</v>
      </c>
      <c r="E166" s="47" t="s">
        <v>621</v>
      </c>
      <c r="F166" s="11">
        <v>39143</v>
      </c>
      <c r="G166" s="47">
        <v>2</v>
      </c>
      <c r="H166" s="48">
        <v>10467.8145</v>
      </c>
      <c r="I166" s="47" t="s">
        <v>1164</v>
      </c>
      <c r="J166" s="47" t="s">
        <v>1229</v>
      </c>
    </row>
    <row r="167" spans="1:10" x14ac:dyDescent="0.25">
      <c r="A167" s="129" t="str">
        <f t="shared" si="3"/>
        <v>1016810</v>
      </c>
      <c r="B167" s="47">
        <v>101</v>
      </c>
      <c r="C167" s="47">
        <v>6810</v>
      </c>
      <c r="D167" s="47">
        <v>70100</v>
      </c>
      <c r="E167" s="47" t="s">
        <v>802</v>
      </c>
      <c r="F167" s="11">
        <v>41428</v>
      </c>
      <c r="G167" s="47">
        <v>2</v>
      </c>
      <c r="H167" s="48">
        <v>4968.5789999999997</v>
      </c>
      <c r="I167" s="47" t="s">
        <v>1128</v>
      </c>
      <c r="J167" s="47" t="s">
        <v>1219</v>
      </c>
    </row>
    <row r="168" spans="1:10" x14ac:dyDescent="0.25">
      <c r="A168" s="129" t="str">
        <f t="shared" si="3"/>
        <v>1016814</v>
      </c>
      <c r="B168" s="47">
        <v>101</v>
      </c>
      <c r="C168" s="47">
        <v>6814</v>
      </c>
      <c r="D168" s="47">
        <v>50001</v>
      </c>
      <c r="E168" s="47" t="s">
        <v>697</v>
      </c>
      <c r="F168" s="11">
        <v>41435</v>
      </c>
      <c r="G168" s="47">
        <v>2</v>
      </c>
      <c r="H168" s="48">
        <v>4968.5789999999997</v>
      </c>
      <c r="I168" s="47" t="s">
        <v>1126</v>
      </c>
      <c r="J168" s="47" t="s">
        <v>1218</v>
      </c>
    </row>
    <row r="169" spans="1:10" x14ac:dyDescent="0.25">
      <c r="A169" s="129" t="str">
        <f t="shared" si="3"/>
        <v>1016824</v>
      </c>
      <c r="B169" s="47">
        <v>101</v>
      </c>
      <c r="C169" s="47">
        <v>6824</v>
      </c>
      <c r="D169" s="47">
        <v>61400</v>
      </c>
      <c r="E169" s="47" t="s">
        <v>789</v>
      </c>
      <c r="F169" s="11">
        <v>37411</v>
      </c>
      <c r="G169" s="47">
        <v>2</v>
      </c>
      <c r="H169" s="48">
        <v>4251.1094999999996</v>
      </c>
      <c r="I169" s="47" t="s">
        <v>1164</v>
      </c>
      <c r="J169" s="47" t="s">
        <v>1229</v>
      </c>
    </row>
    <row r="170" spans="1:10" x14ac:dyDescent="0.25">
      <c r="A170" s="129" t="str">
        <f t="shared" si="3"/>
        <v>1016825</v>
      </c>
      <c r="B170" s="47">
        <v>101</v>
      </c>
      <c r="C170" s="47">
        <v>6825</v>
      </c>
      <c r="D170" s="47">
        <v>61400</v>
      </c>
      <c r="E170" s="139" t="s">
        <v>949</v>
      </c>
      <c r="F170" s="11">
        <v>40318</v>
      </c>
      <c r="G170" s="47">
        <v>2</v>
      </c>
      <c r="H170" s="48">
        <v>21478.181999999997</v>
      </c>
      <c r="I170" s="47" t="s">
        <v>1164</v>
      </c>
      <c r="J170" s="47" t="s">
        <v>1229</v>
      </c>
    </row>
    <row r="171" spans="1:10" x14ac:dyDescent="0.25">
      <c r="A171" s="129" t="str">
        <f t="shared" si="3"/>
        <v>1016831</v>
      </c>
      <c r="B171" s="47">
        <v>101</v>
      </c>
      <c r="C171" s="47">
        <v>6831</v>
      </c>
      <c r="D171" s="47">
        <v>24200</v>
      </c>
      <c r="E171" s="47" t="s">
        <v>274</v>
      </c>
      <c r="F171" s="11">
        <v>41442</v>
      </c>
      <c r="G171" s="47">
        <v>2</v>
      </c>
      <c r="H171" s="48">
        <v>5127.5729999999994</v>
      </c>
      <c r="I171" s="47" t="s">
        <v>1142</v>
      </c>
      <c r="J171" s="47" t="s">
        <v>108</v>
      </c>
    </row>
    <row r="172" spans="1:10" x14ac:dyDescent="0.25">
      <c r="A172" s="129" t="str">
        <f t="shared" si="3"/>
        <v>1016849</v>
      </c>
      <c r="B172" s="47">
        <v>101</v>
      </c>
      <c r="C172" s="47">
        <v>6849</v>
      </c>
      <c r="D172" s="47">
        <v>30300</v>
      </c>
      <c r="E172" s="47" t="s">
        <v>541</v>
      </c>
      <c r="F172" s="11">
        <v>41465</v>
      </c>
      <c r="G172" s="47">
        <v>2</v>
      </c>
      <c r="H172" s="48">
        <v>3875.4870000000001</v>
      </c>
      <c r="I172" s="47" t="s">
        <v>1127</v>
      </c>
      <c r="J172" s="47" t="s">
        <v>1224</v>
      </c>
    </row>
    <row r="173" spans="1:10" x14ac:dyDescent="0.25">
      <c r="A173" s="129" t="str">
        <f t="shared" si="3"/>
        <v>1016861</v>
      </c>
      <c r="B173" s="47">
        <v>101</v>
      </c>
      <c r="C173" s="47">
        <v>6861</v>
      </c>
      <c r="D173" s="47">
        <v>70160</v>
      </c>
      <c r="E173" s="47" t="s">
        <v>164</v>
      </c>
      <c r="F173" s="11">
        <v>37761</v>
      </c>
      <c r="G173" s="47">
        <v>2</v>
      </c>
      <c r="H173" s="48">
        <v>4125</v>
      </c>
      <c r="I173" s="47" t="s">
        <v>1132</v>
      </c>
      <c r="J173" s="47" t="s">
        <v>1221</v>
      </c>
    </row>
    <row r="174" spans="1:10" x14ac:dyDescent="0.25">
      <c r="A174" s="129" t="str">
        <f t="shared" si="3"/>
        <v>1016863</v>
      </c>
      <c r="B174" s="47">
        <v>101</v>
      </c>
      <c r="C174" s="47">
        <v>6863</v>
      </c>
      <c r="D174" s="47">
        <v>50001</v>
      </c>
      <c r="E174" s="47" t="s">
        <v>204</v>
      </c>
      <c r="F174" s="11">
        <v>41477</v>
      </c>
      <c r="G174" s="47">
        <v>2</v>
      </c>
      <c r="H174" s="48">
        <v>3507.8174999999997</v>
      </c>
      <c r="I174" s="47" t="s">
        <v>1166</v>
      </c>
      <c r="J174" s="47" t="s">
        <v>1218</v>
      </c>
    </row>
    <row r="175" spans="1:10" x14ac:dyDescent="0.25">
      <c r="A175" s="129" t="str">
        <f t="shared" si="3"/>
        <v>1016868</v>
      </c>
      <c r="B175" s="47">
        <v>101</v>
      </c>
      <c r="C175" s="47">
        <v>6868</v>
      </c>
      <c r="D175" s="47">
        <v>70120</v>
      </c>
      <c r="E175" s="139" t="s">
        <v>1039</v>
      </c>
      <c r="F175" s="11">
        <v>41491</v>
      </c>
      <c r="G175" s="47">
        <v>2</v>
      </c>
      <c r="H175" s="48">
        <v>6359.776499999999</v>
      </c>
      <c r="I175" s="47" t="s">
        <v>1121</v>
      </c>
      <c r="J175" s="47" t="s">
        <v>1208</v>
      </c>
    </row>
    <row r="176" spans="1:10" x14ac:dyDescent="0.25">
      <c r="A176" s="129" t="str">
        <f t="shared" si="3"/>
        <v>1016869</v>
      </c>
      <c r="B176" s="47">
        <v>101</v>
      </c>
      <c r="C176" s="47">
        <v>6869</v>
      </c>
      <c r="D176" s="47">
        <v>70140</v>
      </c>
      <c r="E176" s="47" t="s">
        <v>135</v>
      </c>
      <c r="F176" s="11">
        <v>41491</v>
      </c>
      <c r="G176" s="47">
        <v>2</v>
      </c>
      <c r="H176" s="48">
        <v>6856.6409999999996</v>
      </c>
      <c r="I176" s="47" t="s">
        <v>1139</v>
      </c>
      <c r="J176" s="47" t="s">
        <v>1210</v>
      </c>
    </row>
    <row r="177" spans="1:10" x14ac:dyDescent="0.25">
      <c r="A177" s="129" t="str">
        <f t="shared" si="3"/>
        <v>1016875</v>
      </c>
      <c r="B177" s="47">
        <v>101</v>
      </c>
      <c r="C177" s="47">
        <v>6875</v>
      </c>
      <c r="D177" s="47">
        <v>70100</v>
      </c>
      <c r="E177" s="47" t="s">
        <v>735</v>
      </c>
      <c r="F177" s="11">
        <v>41491</v>
      </c>
      <c r="G177" s="47">
        <v>2</v>
      </c>
      <c r="H177" s="48">
        <v>5426.19</v>
      </c>
      <c r="I177" s="47" t="s">
        <v>1121</v>
      </c>
      <c r="J177" s="47" t="s">
        <v>1219</v>
      </c>
    </row>
    <row r="178" spans="1:10" x14ac:dyDescent="0.25">
      <c r="A178" s="129" t="str">
        <f t="shared" si="3"/>
        <v>1016877</v>
      </c>
      <c r="B178" s="47">
        <v>101</v>
      </c>
      <c r="C178" s="47">
        <v>6877</v>
      </c>
      <c r="D178" s="47">
        <v>50001</v>
      </c>
      <c r="E178" s="47" t="s">
        <v>409</v>
      </c>
      <c r="F178" s="11">
        <v>41491</v>
      </c>
      <c r="G178" s="47">
        <v>2</v>
      </c>
      <c r="H178" s="48">
        <v>6117.325499999999</v>
      </c>
      <c r="I178" s="47" t="s">
        <v>1126</v>
      </c>
      <c r="J178" s="47" t="s">
        <v>1218</v>
      </c>
    </row>
    <row r="179" spans="1:10" x14ac:dyDescent="0.25">
      <c r="A179" s="129" t="str">
        <f t="shared" si="3"/>
        <v>1016887</v>
      </c>
      <c r="B179" s="47">
        <v>101</v>
      </c>
      <c r="C179" s="47">
        <v>6887</v>
      </c>
      <c r="D179" s="47">
        <v>50001</v>
      </c>
      <c r="E179" s="139" t="s">
        <v>1025</v>
      </c>
      <c r="F179" s="11">
        <v>41498</v>
      </c>
      <c r="G179" s="47">
        <v>2</v>
      </c>
      <c r="H179" s="48">
        <v>2877.7979999999998</v>
      </c>
      <c r="I179" s="47" t="s">
        <v>1126</v>
      </c>
      <c r="J179" s="47" t="s">
        <v>1218</v>
      </c>
    </row>
    <row r="180" spans="1:10" x14ac:dyDescent="0.25">
      <c r="A180" s="129" t="str">
        <f t="shared" si="3"/>
        <v>1016889</v>
      </c>
      <c r="B180" s="47">
        <v>101</v>
      </c>
      <c r="C180" s="47">
        <v>6889</v>
      </c>
      <c r="D180" s="47">
        <v>24200</v>
      </c>
      <c r="E180" s="47" t="s">
        <v>382</v>
      </c>
      <c r="F180" s="11">
        <v>41498</v>
      </c>
      <c r="G180" s="47">
        <v>2</v>
      </c>
      <c r="H180" s="48">
        <v>5127.5729999999994</v>
      </c>
      <c r="I180" s="47" t="s">
        <v>1126</v>
      </c>
      <c r="J180" s="47" t="s">
        <v>108</v>
      </c>
    </row>
    <row r="181" spans="1:10" x14ac:dyDescent="0.25">
      <c r="A181" s="129" t="str">
        <f t="shared" si="3"/>
        <v>1016895</v>
      </c>
      <c r="B181" s="47">
        <v>101</v>
      </c>
      <c r="C181" s="47">
        <v>6895</v>
      </c>
      <c r="D181" s="47">
        <v>70099</v>
      </c>
      <c r="E181" s="139" t="s">
        <v>865</v>
      </c>
      <c r="F181" s="11">
        <v>40911</v>
      </c>
      <c r="G181" s="47">
        <v>2</v>
      </c>
      <c r="H181" s="48">
        <v>21293.926499999998</v>
      </c>
      <c r="I181" s="47" t="s">
        <v>1168</v>
      </c>
      <c r="J181" s="47" t="s">
        <v>1238</v>
      </c>
    </row>
    <row r="182" spans="1:10" x14ac:dyDescent="0.25">
      <c r="A182" s="129" t="str">
        <f t="shared" si="3"/>
        <v>1016896</v>
      </c>
      <c r="B182" s="47">
        <v>101</v>
      </c>
      <c r="C182" s="47">
        <v>6896</v>
      </c>
      <c r="D182" s="47">
        <v>30406</v>
      </c>
      <c r="E182" s="47" t="s">
        <v>590</v>
      </c>
      <c r="F182" s="11">
        <v>40604</v>
      </c>
      <c r="G182" s="47">
        <v>2</v>
      </c>
      <c r="H182" s="48">
        <v>4463.7614999999996</v>
      </c>
      <c r="I182" s="47" t="s">
        <v>1169</v>
      </c>
      <c r="J182" s="47" t="s">
        <v>1216</v>
      </c>
    </row>
    <row r="183" spans="1:10" x14ac:dyDescent="0.25">
      <c r="A183" s="129" t="str">
        <f t="shared" si="3"/>
        <v>1016916</v>
      </c>
      <c r="B183" s="47">
        <v>101</v>
      </c>
      <c r="C183" s="47">
        <v>6916</v>
      </c>
      <c r="D183" s="47">
        <v>70140</v>
      </c>
      <c r="E183" s="47" t="s">
        <v>470</v>
      </c>
      <c r="F183" s="11">
        <v>41505</v>
      </c>
      <c r="G183" s="47">
        <v>2</v>
      </c>
      <c r="H183" s="48">
        <v>4479.6840000000002</v>
      </c>
      <c r="I183" s="47" t="s">
        <v>1139</v>
      </c>
      <c r="J183" s="47" t="s">
        <v>1210</v>
      </c>
    </row>
    <row r="184" spans="1:10" x14ac:dyDescent="0.25">
      <c r="A184" s="129" t="str">
        <f t="shared" si="3"/>
        <v>1016921</v>
      </c>
      <c r="B184" s="47">
        <v>101</v>
      </c>
      <c r="C184" s="47">
        <v>6921</v>
      </c>
      <c r="D184" s="47">
        <v>70140</v>
      </c>
      <c r="E184" s="47" t="s">
        <v>191</v>
      </c>
      <c r="F184" s="11">
        <v>41505</v>
      </c>
      <c r="G184" s="47">
        <v>2</v>
      </c>
      <c r="H184" s="48">
        <v>4722.1350000000002</v>
      </c>
      <c r="I184" s="47" t="s">
        <v>1128</v>
      </c>
      <c r="J184" s="47" t="s">
        <v>1210</v>
      </c>
    </row>
    <row r="185" spans="1:10" x14ac:dyDescent="0.25">
      <c r="A185" s="129" t="str">
        <f t="shared" si="3"/>
        <v>1016923</v>
      </c>
      <c r="B185" s="47">
        <v>101</v>
      </c>
      <c r="C185" s="47">
        <v>6923</v>
      </c>
      <c r="D185" s="47">
        <v>70100</v>
      </c>
      <c r="E185" s="47" t="s">
        <v>170</v>
      </c>
      <c r="F185" s="11">
        <v>41505</v>
      </c>
      <c r="G185" s="47">
        <v>2</v>
      </c>
      <c r="H185" s="48">
        <v>3165.2774999999997</v>
      </c>
      <c r="I185" s="47" t="s">
        <v>1128</v>
      </c>
      <c r="J185" s="47" t="s">
        <v>1219</v>
      </c>
    </row>
    <row r="186" spans="1:10" x14ac:dyDescent="0.25">
      <c r="A186" s="129" t="str">
        <f t="shared" si="3"/>
        <v>1016948</v>
      </c>
      <c r="B186" s="47">
        <v>101</v>
      </c>
      <c r="C186" s="47">
        <v>6948</v>
      </c>
      <c r="D186" s="47">
        <v>70120</v>
      </c>
      <c r="E186" s="47" t="s">
        <v>487</v>
      </c>
      <c r="F186" s="11">
        <v>41533</v>
      </c>
      <c r="G186" s="47">
        <v>2</v>
      </c>
      <c r="H186" s="48">
        <v>4620</v>
      </c>
      <c r="I186" s="47" t="s">
        <v>1139</v>
      </c>
      <c r="J186" s="47" t="s">
        <v>1208</v>
      </c>
    </row>
    <row r="187" spans="1:10" x14ac:dyDescent="0.25">
      <c r="A187" s="129" t="str">
        <f t="shared" si="3"/>
        <v>1016952</v>
      </c>
      <c r="B187" s="47">
        <v>101</v>
      </c>
      <c r="C187" s="47">
        <v>6952</v>
      </c>
      <c r="D187" s="47">
        <v>50001</v>
      </c>
      <c r="E187" s="47" t="s">
        <v>602</v>
      </c>
      <c r="F187" s="11">
        <v>41435</v>
      </c>
      <c r="G187" s="47">
        <v>2</v>
      </c>
      <c r="H187" s="48">
        <v>4620</v>
      </c>
      <c r="I187" s="47" t="s">
        <v>107</v>
      </c>
      <c r="J187" s="47" t="s">
        <v>1218</v>
      </c>
    </row>
    <row r="188" spans="1:10" x14ac:dyDescent="0.25">
      <c r="A188" s="129" t="str">
        <f t="shared" si="3"/>
        <v>1016956</v>
      </c>
      <c r="B188" s="47">
        <v>101</v>
      </c>
      <c r="C188" s="47">
        <v>6956</v>
      </c>
      <c r="D188" s="47">
        <v>70100</v>
      </c>
      <c r="E188" s="47" t="s">
        <v>262</v>
      </c>
      <c r="F188" s="11">
        <v>41533</v>
      </c>
      <c r="G188" s="47">
        <v>2</v>
      </c>
      <c r="H188" s="48">
        <v>17635.1175</v>
      </c>
      <c r="I188" s="47" t="s">
        <v>1128</v>
      </c>
      <c r="J188" s="47" t="s">
        <v>1219</v>
      </c>
    </row>
    <row r="189" spans="1:10" x14ac:dyDescent="0.25">
      <c r="A189" s="129" t="str">
        <f t="shared" si="3"/>
        <v>1016958</v>
      </c>
      <c r="B189" s="47">
        <v>101</v>
      </c>
      <c r="C189" s="47">
        <v>6958</v>
      </c>
      <c r="D189" s="47">
        <v>70180</v>
      </c>
      <c r="E189" s="139" t="s">
        <v>853</v>
      </c>
      <c r="F189" s="11">
        <v>41533</v>
      </c>
      <c r="G189" s="47">
        <v>2</v>
      </c>
      <c r="H189" s="48">
        <v>4125</v>
      </c>
      <c r="I189" s="47" t="s">
        <v>1128</v>
      </c>
      <c r="J189" s="47" t="s">
        <v>1214</v>
      </c>
    </row>
    <row r="190" spans="1:10" x14ac:dyDescent="0.25">
      <c r="A190" s="129" t="str">
        <f t="shared" si="3"/>
        <v>1016983</v>
      </c>
      <c r="B190" s="47">
        <v>101</v>
      </c>
      <c r="C190" s="47">
        <v>6983</v>
      </c>
      <c r="D190" s="47">
        <v>70140</v>
      </c>
      <c r="E190" s="47" t="s">
        <v>463</v>
      </c>
      <c r="F190" s="11">
        <v>41548</v>
      </c>
      <c r="G190" s="47">
        <v>2</v>
      </c>
      <c r="H190" s="48">
        <v>4125</v>
      </c>
      <c r="I190" s="47" t="s">
        <v>1128</v>
      </c>
      <c r="J190" s="47" t="s">
        <v>1210</v>
      </c>
    </row>
    <row r="191" spans="1:10" x14ac:dyDescent="0.25">
      <c r="A191" s="129" t="str">
        <f t="shared" si="3"/>
        <v>1017008</v>
      </c>
      <c r="B191" s="47">
        <v>101</v>
      </c>
      <c r="C191" s="47">
        <v>7008</v>
      </c>
      <c r="D191" s="47">
        <v>70120</v>
      </c>
      <c r="E191" s="47" t="s">
        <v>692</v>
      </c>
      <c r="F191" s="11">
        <v>41568</v>
      </c>
      <c r="G191" s="47">
        <v>2</v>
      </c>
      <c r="H191" s="48">
        <v>2877.7979999999998</v>
      </c>
      <c r="I191" s="47" t="s">
        <v>1170</v>
      </c>
      <c r="J191" s="47" t="s">
        <v>1208</v>
      </c>
    </row>
    <row r="192" spans="1:10" x14ac:dyDescent="0.25">
      <c r="A192" s="129" t="str">
        <f t="shared" si="3"/>
        <v>1017018</v>
      </c>
      <c r="B192" s="47">
        <v>101</v>
      </c>
      <c r="C192" s="47">
        <v>7018</v>
      </c>
      <c r="D192" s="47">
        <v>70140</v>
      </c>
      <c r="E192" s="47" t="s">
        <v>251</v>
      </c>
      <c r="F192" s="11">
        <v>41582</v>
      </c>
      <c r="G192" s="47">
        <v>2</v>
      </c>
      <c r="H192" s="48">
        <v>3798.3329999999996</v>
      </c>
      <c r="I192" s="47" t="s">
        <v>1139</v>
      </c>
      <c r="J192" s="47" t="s">
        <v>1210</v>
      </c>
    </row>
    <row r="193" spans="1:10" x14ac:dyDescent="0.25">
      <c r="A193" s="129" t="str">
        <f t="shared" si="3"/>
        <v>1017019</v>
      </c>
      <c r="B193" s="47">
        <v>101</v>
      </c>
      <c r="C193" s="47">
        <v>7019</v>
      </c>
      <c r="D193" s="47">
        <v>70120</v>
      </c>
      <c r="E193" s="47" t="s">
        <v>711</v>
      </c>
      <c r="F193" s="11">
        <v>41582</v>
      </c>
      <c r="G193" s="47">
        <v>2</v>
      </c>
      <c r="H193" s="48">
        <v>3798.3329999999996</v>
      </c>
      <c r="I193" s="47" t="s">
        <v>1128</v>
      </c>
      <c r="J193" s="47" t="s">
        <v>1208</v>
      </c>
    </row>
    <row r="194" spans="1:10" x14ac:dyDescent="0.25">
      <c r="A194" s="129" t="str">
        <f t="shared" si="3"/>
        <v>1017029</v>
      </c>
      <c r="B194" s="47">
        <v>101</v>
      </c>
      <c r="C194" s="47">
        <v>7029</v>
      </c>
      <c r="D194" s="47">
        <v>24200</v>
      </c>
      <c r="E194" s="47" t="s">
        <v>820</v>
      </c>
      <c r="F194" s="11">
        <v>41596</v>
      </c>
      <c r="G194" s="47">
        <v>2</v>
      </c>
      <c r="H194" s="48">
        <v>2877.7979999999998</v>
      </c>
      <c r="I194" s="47" t="s">
        <v>1126</v>
      </c>
      <c r="J194" s="47" t="s">
        <v>108</v>
      </c>
    </row>
    <row r="195" spans="1:10" x14ac:dyDescent="0.25">
      <c r="A195" s="129" t="str">
        <f t="shared" si="3"/>
        <v>1017034</v>
      </c>
      <c r="B195" s="47">
        <v>101</v>
      </c>
      <c r="C195" s="47">
        <v>7034</v>
      </c>
      <c r="D195" s="47">
        <v>70120</v>
      </c>
      <c r="E195" s="47" t="s">
        <v>173</v>
      </c>
      <c r="F195" s="11">
        <v>41610</v>
      </c>
      <c r="G195" s="47">
        <v>2</v>
      </c>
      <c r="H195" s="48">
        <v>4575.9944999999998</v>
      </c>
      <c r="I195" s="47" t="s">
        <v>1139</v>
      </c>
      <c r="J195" s="47" t="s">
        <v>1208</v>
      </c>
    </row>
    <row r="196" spans="1:10" x14ac:dyDescent="0.25">
      <c r="A196" s="129" t="str">
        <f t="shared" si="3"/>
        <v>1017039</v>
      </c>
      <c r="B196" s="47">
        <v>101</v>
      </c>
      <c r="C196" s="47">
        <v>7039</v>
      </c>
      <c r="D196" s="47">
        <v>70140</v>
      </c>
      <c r="E196" s="47" t="s">
        <v>829</v>
      </c>
      <c r="F196" s="11">
        <v>41617</v>
      </c>
      <c r="G196" s="47">
        <v>2</v>
      </c>
      <c r="H196" s="48">
        <v>3399.2804999999998</v>
      </c>
      <c r="I196" s="47" t="s">
        <v>1128</v>
      </c>
      <c r="J196" s="47" t="s">
        <v>1210</v>
      </c>
    </row>
    <row r="197" spans="1:10" x14ac:dyDescent="0.25">
      <c r="A197" s="129" t="str">
        <f t="shared" si="3"/>
        <v>1017042</v>
      </c>
      <c r="B197" s="47">
        <v>101</v>
      </c>
      <c r="C197" s="47">
        <v>7042</v>
      </c>
      <c r="D197" s="47">
        <v>70100</v>
      </c>
      <c r="E197" s="139" t="s">
        <v>1030</v>
      </c>
      <c r="F197" s="11">
        <v>41456</v>
      </c>
      <c r="G197" s="47">
        <v>2</v>
      </c>
      <c r="H197" s="48">
        <v>3399.2804999999998</v>
      </c>
      <c r="I197" s="47" t="s">
        <v>1128</v>
      </c>
      <c r="J197" s="47" t="s">
        <v>1219</v>
      </c>
    </row>
    <row r="198" spans="1:10" x14ac:dyDescent="0.25">
      <c r="A198" s="129" t="str">
        <f t="shared" si="3"/>
        <v>1017045</v>
      </c>
      <c r="B198" s="47">
        <v>101</v>
      </c>
      <c r="C198" s="47">
        <v>7045</v>
      </c>
      <c r="D198" s="47">
        <v>70100</v>
      </c>
      <c r="E198" s="47" t="s">
        <v>419</v>
      </c>
      <c r="F198" s="11">
        <v>41548</v>
      </c>
      <c r="G198" s="47">
        <v>2</v>
      </c>
      <c r="H198" s="48">
        <v>3399.2804999999998</v>
      </c>
      <c r="I198" s="47" t="s">
        <v>1128</v>
      </c>
      <c r="J198" s="47" t="s">
        <v>1219</v>
      </c>
    </row>
    <row r="199" spans="1:10" x14ac:dyDescent="0.25">
      <c r="A199" s="129" t="str">
        <f t="shared" si="3"/>
        <v>1017046</v>
      </c>
      <c r="B199" s="47">
        <v>101</v>
      </c>
      <c r="C199" s="47">
        <v>7046</v>
      </c>
      <c r="D199" s="47">
        <v>70100</v>
      </c>
      <c r="E199" s="47" t="s">
        <v>846</v>
      </c>
      <c r="F199" s="11">
        <v>41561</v>
      </c>
      <c r="G199" s="47">
        <v>2</v>
      </c>
      <c r="H199" s="48">
        <v>3399.2804999999998</v>
      </c>
      <c r="I199" s="47" t="s">
        <v>1128</v>
      </c>
      <c r="J199" s="47" t="s">
        <v>1219</v>
      </c>
    </row>
    <row r="200" spans="1:10" x14ac:dyDescent="0.25">
      <c r="A200" s="129" t="str">
        <f t="shared" si="3"/>
        <v>1017072</v>
      </c>
      <c r="B200" s="47">
        <v>101</v>
      </c>
      <c r="C200" s="47">
        <v>7072</v>
      </c>
      <c r="D200" s="47">
        <v>50001</v>
      </c>
      <c r="E200" s="139" t="s">
        <v>989</v>
      </c>
      <c r="F200" s="11">
        <v>41659</v>
      </c>
      <c r="G200" s="47">
        <v>2</v>
      </c>
      <c r="H200" s="48">
        <v>3712.5</v>
      </c>
      <c r="I200" s="47" t="s">
        <v>1126</v>
      </c>
      <c r="J200" s="47" t="s">
        <v>1218</v>
      </c>
    </row>
    <row r="201" spans="1:10" x14ac:dyDescent="0.25">
      <c r="A201" s="129" t="str">
        <f t="shared" si="3"/>
        <v>1017093</v>
      </c>
      <c r="B201" s="47">
        <v>101</v>
      </c>
      <c r="C201" s="47">
        <v>7093</v>
      </c>
      <c r="D201" s="47">
        <v>70100</v>
      </c>
      <c r="E201" s="47" t="s">
        <v>370</v>
      </c>
      <c r="F201" s="11">
        <v>41673</v>
      </c>
      <c r="G201" s="47">
        <v>2</v>
      </c>
      <c r="H201" s="48">
        <v>3399.2804999999998</v>
      </c>
      <c r="I201" s="47" t="s">
        <v>1128</v>
      </c>
      <c r="J201" s="47" t="s">
        <v>1219</v>
      </c>
    </row>
    <row r="202" spans="1:10" x14ac:dyDescent="0.25">
      <c r="A202" s="129" t="str">
        <f t="shared" si="3"/>
        <v>1017095</v>
      </c>
      <c r="B202" s="47">
        <v>101</v>
      </c>
      <c r="C202" s="47">
        <v>7095</v>
      </c>
      <c r="D202" s="47">
        <v>70100</v>
      </c>
      <c r="E202" s="47" t="s">
        <v>598</v>
      </c>
      <c r="F202" s="11">
        <v>41673</v>
      </c>
      <c r="G202" s="47">
        <v>2</v>
      </c>
      <c r="H202" s="48">
        <v>3399.2804999999998</v>
      </c>
      <c r="I202" s="47" t="s">
        <v>1128</v>
      </c>
      <c r="J202" s="47" t="s">
        <v>1219</v>
      </c>
    </row>
    <row r="203" spans="1:10" x14ac:dyDescent="0.25">
      <c r="A203" s="129" t="str">
        <f t="shared" si="3"/>
        <v>1018559</v>
      </c>
      <c r="B203" s="47">
        <v>101</v>
      </c>
      <c r="C203" s="47">
        <v>8559</v>
      </c>
      <c r="D203" s="47">
        <v>30406</v>
      </c>
      <c r="E203" s="47" t="s">
        <v>843</v>
      </c>
      <c r="F203" s="11">
        <v>37322</v>
      </c>
      <c r="G203" s="47">
        <v>2</v>
      </c>
      <c r="H203" s="48">
        <v>3712.5</v>
      </c>
      <c r="I203" s="47" t="s">
        <v>1171</v>
      </c>
      <c r="J203" s="47" t="s">
        <v>1216</v>
      </c>
    </row>
    <row r="204" spans="1:10" x14ac:dyDescent="0.25">
      <c r="A204" s="129" t="str">
        <f t="shared" si="3"/>
        <v>1018589</v>
      </c>
      <c r="B204" s="47">
        <v>101</v>
      </c>
      <c r="C204" s="47">
        <v>8589</v>
      </c>
      <c r="D204" s="47">
        <v>22500</v>
      </c>
      <c r="E204" s="47" t="s">
        <v>819</v>
      </c>
      <c r="F204" s="11">
        <v>41691</v>
      </c>
      <c r="G204" s="47">
        <v>2</v>
      </c>
      <c r="H204" s="48">
        <v>4125</v>
      </c>
      <c r="I204" s="47" t="s">
        <v>1172</v>
      </c>
      <c r="J204" s="47" t="s">
        <v>1232</v>
      </c>
    </row>
    <row r="205" spans="1:10" x14ac:dyDescent="0.25">
      <c r="A205" s="129" t="str">
        <f t="shared" si="3"/>
        <v>1018603</v>
      </c>
      <c r="B205" s="47">
        <v>101</v>
      </c>
      <c r="C205" s="47">
        <v>8603</v>
      </c>
      <c r="D205" s="47">
        <v>70100</v>
      </c>
      <c r="E205" s="47" t="s">
        <v>579</v>
      </c>
      <c r="F205" s="11">
        <v>41708</v>
      </c>
      <c r="G205" s="47">
        <v>2</v>
      </c>
      <c r="H205" s="48">
        <v>3165.2774999999997</v>
      </c>
      <c r="I205" s="47" t="s">
        <v>1128</v>
      </c>
      <c r="J205" s="47" t="s">
        <v>1219</v>
      </c>
    </row>
    <row r="206" spans="1:10" x14ac:dyDescent="0.25">
      <c r="A206" s="129" t="str">
        <f t="shared" si="3"/>
        <v>1018611</v>
      </c>
      <c r="B206" s="47">
        <v>101</v>
      </c>
      <c r="C206" s="47">
        <v>8611</v>
      </c>
      <c r="D206" s="47">
        <v>50001</v>
      </c>
      <c r="E206" s="47" t="s">
        <v>445</v>
      </c>
      <c r="F206" s="11">
        <v>41708</v>
      </c>
      <c r="G206" s="47">
        <v>2</v>
      </c>
      <c r="H206" s="48">
        <v>2679.6</v>
      </c>
      <c r="I206" s="47" t="s">
        <v>1126</v>
      </c>
      <c r="J206" s="47" t="s">
        <v>1218</v>
      </c>
    </row>
    <row r="207" spans="1:10" x14ac:dyDescent="0.25">
      <c r="A207" s="129" t="str">
        <f t="shared" si="3"/>
        <v>1018616</v>
      </c>
      <c r="B207" s="47">
        <v>101</v>
      </c>
      <c r="C207" s="47">
        <v>8616</v>
      </c>
      <c r="D207" s="47">
        <v>70100</v>
      </c>
      <c r="E207" s="47" t="s">
        <v>546</v>
      </c>
      <c r="F207" s="11">
        <v>41718</v>
      </c>
      <c r="G207" s="47">
        <v>2</v>
      </c>
      <c r="H207" s="48">
        <v>2679.6</v>
      </c>
      <c r="I207" s="47" t="s">
        <v>1128</v>
      </c>
      <c r="J207" s="47" t="s">
        <v>1219</v>
      </c>
    </row>
    <row r="208" spans="1:10" x14ac:dyDescent="0.25">
      <c r="A208" s="129" t="str">
        <f t="shared" si="3"/>
        <v>1018618</v>
      </c>
      <c r="B208" s="47">
        <v>101</v>
      </c>
      <c r="C208" s="47">
        <v>8618</v>
      </c>
      <c r="D208" s="47">
        <v>70100</v>
      </c>
      <c r="E208" s="47" t="s">
        <v>674</v>
      </c>
      <c r="F208" s="11">
        <v>41718</v>
      </c>
      <c r="G208" s="47">
        <v>2</v>
      </c>
      <c r="H208" s="48">
        <v>2970</v>
      </c>
      <c r="I208" s="47" t="s">
        <v>1128</v>
      </c>
      <c r="J208" s="47" t="s">
        <v>1219</v>
      </c>
    </row>
    <row r="209" spans="1:10" x14ac:dyDescent="0.25">
      <c r="A209" s="129" t="str">
        <f t="shared" si="3"/>
        <v>1018620</v>
      </c>
      <c r="B209" s="47">
        <v>101</v>
      </c>
      <c r="C209" s="47">
        <v>8620</v>
      </c>
      <c r="D209" s="47">
        <v>70100</v>
      </c>
      <c r="E209" s="47" t="s">
        <v>779</v>
      </c>
      <c r="F209" s="11">
        <v>41718</v>
      </c>
      <c r="G209" s="47">
        <v>2</v>
      </c>
      <c r="H209" s="48">
        <v>2821.5989999999997</v>
      </c>
      <c r="I209" s="47" t="s">
        <v>1128</v>
      </c>
      <c r="J209" s="47" t="s">
        <v>1219</v>
      </c>
    </row>
    <row r="210" spans="1:10" x14ac:dyDescent="0.25">
      <c r="A210" s="129" t="str">
        <f t="shared" si="3"/>
        <v>1018640</v>
      </c>
      <c r="B210" s="47">
        <v>101</v>
      </c>
      <c r="C210" s="47">
        <v>8640</v>
      </c>
      <c r="D210" s="47">
        <v>50001</v>
      </c>
      <c r="E210" s="47" t="s">
        <v>268</v>
      </c>
      <c r="F210" s="11">
        <v>41731</v>
      </c>
      <c r="G210" s="47">
        <v>2</v>
      </c>
      <c r="H210" s="48">
        <v>6234.1124999999993</v>
      </c>
      <c r="I210" s="47" t="s">
        <v>1126</v>
      </c>
      <c r="J210" s="47" t="s">
        <v>1218</v>
      </c>
    </row>
    <row r="211" spans="1:10" x14ac:dyDescent="0.25">
      <c r="A211" s="129" t="str">
        <f t="shared" si="3"/>
        <v>1018641</v>
      </c>
      <c r="B211" s="47">
        <v>101</v>
      </c>
      <c r="C211" s="47">
        <v>8641</v>
      </c>
      <c r="D211" s="47">
        <v>50001</v>
      </c>
      <c r="E211" s="47" t="s">
        <v>565</v>
      </c>
      <c r="F211" s="11">
        <v>41738</v>
      </c>
      <c r="G211" s="47">
        <v>2</v>
      </c>
      <c r="H211" s="48">
        <v>3382.5</v>
      </c>
      <c r="I211" s="47" t="s">
        <v>1166</v>
      </c>
      <c r="J211" s="47" t="s">
        <v>1218</v>
      </c>
    </row>
    <row r="212" spans="1:10" x14ac:dyDescent="0.25">
      <c r="A212" s="129" t="str">
        <f t="shared" si="3"/>
        <v>1018646</v>
      </c>
      <c r="B212" s="47">
        <v>101</v>
      </c>
      <c r="C212" s="47">
        <v>8646</v>
      </c>
      <c r="D212" s="47">
        <v>70190</v>
      </c>
      <c r="E212" s="47" t="s">
        <v>605</v>
      </c>
      <c r="F212" s="11">
        <v>41751</v>
      </c>
      <c r="G212" s="47">
        <v>2</v>
      </c>
      <c r="H212" s="48">
        <v>3143.7779999999998</v>
      </c>
      <c r="I212" s="47" t="s">
        <v>1128</v>
      </c>
      <c r="J212" s="47" t="s">
        <v>1212</v>
      </c>
    </row>
    <row r="213" spans="1:10" x14ac:dyDescent="0.25">
      <c r="A213" s="129" t="str">
        <f t="shared" si="3"/>
        <v>1018647</v>
      </c>
      <c r="B213" s="47">
        <v>101</v>
      </c>
      <c r="C213" s="47">
        <v>8647</v>
      </c>
      <c r="D213" s="47">
        <v>50001</v>
      </c>
      <c r="E213" s="139" t="s">
        <v>1023</v>
      </c>
      <c r="F213" s="11">
        <v>41751</v>
      </c>
      <c r="G213" s="47">
        <v>2</v>
      </c>
      <c r="H213" s="48">
        <v>2651.4674999999997</v>
      </c>
      <c r="I213" s="47" t="s">
        <v>1166</v>
      </c>
      <c r="J213" s="47" t="s">
        <v>1218</v>
      </c>
    </row>
    <row r="214" spans="1:10" x14ac:dyDescent="0.25">
      <c r="A214" s="129" t="str">
        <f t="shared" si="3"/>
        <v>1018649</v>
      </c>
      <c r="B214" s="47">
        <v>101</v>
      </c>
      <c r="C214" s="47">
        <v>8649</v>
      </c>
      <c r="D214" s="47">
        <v>50001</v>
      </c>
      <c r="E214" s="47" t="s">
        <v>444</v>
      </c>
      <c r="F214" s="11">
        <v>41751</v>
      </c>
      <c r="G214" s="47">
        <v>2</v>
      </c>
      <c r="H214" s="48">
        <v>4318.875</v>
      </c>
      <c r="I214" s="47" t="s">
        <v>1166</v>
      </c>
      <c r="J214" s="47" t="s">
        <v>1218</v>
      </c>
    </row>
    <row r="215" spans="1:10" x14ac:dyDescent="0.25">
      <c r="A215" s="129" t="str">
        <f t="shared" ref="A215:A265" si="4">B215&amp;C215</f>
        <v>1018670</v>
      </c>
      <c r="B215" s="47">
        <v>101</v>
      </c>
      <c r="C215" s="47">
        <v>8670</v>
      </c>
      <c r="D215" s="47">
        <v>61300</v>
      </c>
      <c r="E215" s="47" t="s">
        <v>652</v>
      </c>
      <c r="F215" s="11">
        <v>40995</v>
      </c>
      <c r="G215" s="47">
        <v>2</v>
      </c>
      <c r="H215" s="48">
        <v>2931.9674999999997</v>
      </c>
      <c r="I215" s="47" t="s">
        <v>1161</v>
      </c>
      <c r="J215" s="47" t="s">
        <v>1235</v>
      </c>
    </row>
    <row r="216" spans="1:10" x14ac:dyDescent="0.25">
      <c r="A216" s="129" t="str">
        <f t="shared" si="4"/>
        <v>1018671</v>
      </c>
      <c r="B216" s="47">
        <v>101</v>
      </c>
      <c r="C216" s="47">
        <v>8671</v>
      </c>
      <c r="D216" s="47">
        <v>70100</v>
      </c>
      <c r="E216" s="47" t="s">
        <v>564</v>
      </c>
      <c r="F216" s="11">
        <v>41771</v>
      </c>
      <c r="G216" s="47">
        <v>2</v>
      </c>
      <c r="H216" s="48">
        <v>3545.3879999999995</v>
      </c>
      <c r="I216" s="47" t="s">
        <v>1128</v>
      </c>
      <c r="J216" s="47" t="s">
        <v>1219</v>
      </c>
    </row>
    <row r="217" spans="1:10" x14ac:dyDescent="0.25">
      <c r="A217" s="129" t="str">
        <f t="shared" si="4"/>
        <v>1018672</v>
      </c>
      <c r="B217" s="47">
        <v>101</v>
      </c>
      <c r="C217" s="47">
        <v>8672</v>
      </c>
      <c r="D217" s="47">
        <v>50001</v>
      </c>
      <c r="E217" s="47" t="s">
        <v>299</v>
      </c>
      <c r="F217" s="11">
        <v>41771</v>
      </c>
      <c r="G217" s="47">
        <v>2</v>
      </c>
      <c r="H217" s="48">
        <v>3124.8359999999998</v>
      </c>
      <c r="I217" s="47" t="s">
        <v>1126</v>
      </c>
      <c r="J217" s="47" t="s">
        <v>1218</v>
      </c>
    </row>
    <row r="218" spans="1:10" x14ac:dyDescent="0.25">
      <c r="A218" s="129" t="str">
        <f t="shared" si="4"/>
        <v>1018673</v>
      </c>
      <c r="B218" s="47">
        <v>101</v>
      </c>
      <c r="C218" s="47">
        <v>8673</v>
      </c>
      <c r="D218" s="47">
        <v>50001</v>
      </c>
      <c r="E218" s="47" t="s">
        <v>584</v>
      </c>
      <c r="F218" s="11">
        <v>41771</v>
      </c>
      <c r="G218" s="47">
        <v>2</v>
      </c>
      <c r="H218" s="48">
        <v>2475</v>
      </c>
      <c r="I218" s="47" t="s">
        <v>1126</v>
      </c>
      <c r="J218" s="47" t="s">
        <v>1218</v>
      </c>
    </row>
    <row r="219" spans="1:10" x14ac:dyDescent="0.25">
      <c r="A219" s="129" t="str">
        <f t="shared" si="4"/>
        <v>1018676</v>
      </c>
      <c r="B219" s="47">
        <v>101</v>
      </c>
      <c r="C219" s="47">
        <v>8676</v>
      </c>
      <c r="D219" s="47">
        <v>50001</v>
      </c>
      <c r="E219" s="139" t="s">
        <v>1032</v>
      </c>
      <c r="F219" s="11">
        <v>41771</v>
      </c>
      <c r="G219" s="47">
        <v>2</v>
      </c>
      <c r="H219" s="48">
        <v>2475</v>
      </c>
      <c r="I219" s="47" t="s">
        <v>1126</v>
      </c>
      <c r="J219" s="47" t="s">
        <v>1218</v>
      </c>
    </row>
    <row r="220" spans="1:10" x14ac:dyDescent="0.25">
      <c r="A220" s="129" t="str">
        <f t="shared" si="4"/>
        <v>1018677</v>
      </c>
      <c r="B220" s="47">
        <v>101</v>
      </c>
      <c r="C220" s="47">
        <v>8677</v>
      </c>
      <c r="D220" s="47">
        <v>50001</v>
      </c>
      <c r="E220" s="139" t="s">
        <v>1021</v>
      </c>
      <c r="F220" s="11">
        <v>41771</v>
      </c>
      <c r="G220" s="47">
        <v>2</v>
      </c>
      <c r="H220" s="48">
        <v>2475</v>
      </c>
      <c r="I220" s="47" t="s">
        <v>1126</v>
      </c>
      <c r="J220" s="47" t="s">
        <v>1218</v>
      </c>
    </row>
    <row r="221" spans="1:10" x14ac:dyDescent="0.25">
      <c r="A221" s="129" t="str">
        <f t="shared" si="4"/>
        <v>1018740</v>
      </c>
      <c r="B221" s="47">
        <v>101</v>
      </c>
      <c r="C221" s="47">
        <v>8740</v>
      </c>
      <c r="D221" s="47">
        <v>40301</v>
      </c>
      <c r="E221" s="139" t="s">
        <v>978</v>
      </c>
      <c r="F221" s="11">
        <v>41834</v>
      </c>
      <c r="G221" s="47">
        <v>1</v>
      </c>
      <c r="H221" s="48">
        <v>9515.8964999999989</v>
      </c>
      <c r="I221" s="47" t="s">
        <v>1126</v>
      </c>
      <c r="J221" s="47" t="s">
        <v>1217</v>
      </c>
    </row>
    <row r="222" spans="1:10" x14ac:dyDescent="0.25">
      <c r="A222" s="129" t="str">
        <f t="shared" si="4"/>
        <v>1018742</v>
      </c>
      <c r="B222" s="47">
        <v>101</v>
      </c>
      <c r="C222" s="47">
        <v>8742</v>
      </c>
      <c r="D222" s="47">
        <v>30406</v>
      </c>
      <c r="E222" s="47" t="s">
        <v>508</v>
      </c>
      <c r="F222" s="11">
        <v>40513</v>
      </c>
      <c r="G222" s="47">
        <v>1</v>
      </c>
      <c r="H222" s="48">
        <v>21707.053500000002</v>
      </c>
      <c r="I222" s="47" t="s">
        <v>1148</v>
      </c>
      <c r="J222" s="47" t="s">
        <v>1216</v>
      </c>
    </row>
    <row r="223" spans="1:10" x14ac:dyDescent="0.25">
      <c r="A223" s="129" t="str">
        <f t="shared" si="4"/>
        <v>1018744</v>
      </c>
      <c r="B223" s="47">
        <v>101</v>
      </c>
      <c r="C223" s="47">
        <v>8744</v>
      </c>
      <c r="D223" s="47">
        <v>24600</v>
      </c>
      <c r="E223" s="139" t="s">
        <v>1117</v>
      </c>
      <c r="F223" s="11">
        <v>41309</v>
      </c>
      <c r="G223" s="47">
        <v>1</v>
      </c>
      <c r="H223" s="48">
        <v>27720.692999999996</v>
      </c>
      <c r="I223" s="47" t="s">
        <v>1124</v>
      </c>
      <c r="J223" s="47" t="s">
        <v>1209</v>
      </c>
    </row>
    <row r="224" spans="1:10" x14ac:dyDescent="0.25">
      <c r="A224" s="129" t="str">
        <f t="shared" si="4"/>
        <v>1018745</v>
      </c>
      <c r="B224" s="47">
        <v>101</v>
      </c>
      <c r="C224" s="47">
        <v>8745</v>
      </c>
      <c r="D224" s="47">
        <v>24300</v>
      </c>
      <c r="E224" s="47" t="s">
        <v>691</v>
      </c>
      <c r="F224" s="11">
        <v>41491</v>
      </c>
      <c r="G224" s="47">
        <v>1</v>
      </c>
      <c r="H224" s="48">
        <v>12123.325499999999</v>
      </c>
      <c r="I224" s="47" t="s">
        <v>1126</v>
      </c>
      <c r="J224" s="47" t="s">
        <v>1239</v>
      </c>
    </row>
    <row r="225" spans="1:10" x14ac:dyDescent="0.25">
      <c r="A225" s="129" t="str">
        <f t="shared" si="4"/>
        <v>1018747</v>
      </c>
      <c r="B225" s="47">
        <v>101</v>
      </c>
      <c r="C225" s="47">
        <v>8747</v>
      </c>
      <c r="D225" s="47">
        <v>24200</v>
      </c>
      <c r="E225" s="47" t="s">
        <v>343</v>
      </c>
      <c r="F225" s="11">
        <v>41309</v>
      </c>
      <c r="G225" s="47">
        <v>1</v>
      </c>
      <c r="H225" s="48">
        <v>9250.7909999999993</v>
      </c>
      <c r="I225" s="47" t="s">
        <v>1122</v>
      </c>
      <c r="J225" s="47" t="s">
        <v>108</v>
      </c>
    </row>
    <row r="226" spans="1:10" x14ac:dyDescent="0.25">
      <c r="A226" s="129" t="str">
        <f t="shared" si="4"/>
        <v>1018748</v>
      </c>
      <c r="B226" s="47">
        <v>101</v>
      </c>
      <c r="C226" s="47">
        <v>8748</v>
      </c>
      <c r="D226" s="47">
        <v>24300</v>
      </c>
      <c r="E226" s="47" t="s">
        <v>833</v>
      </c>
      <c r="F226" s="11">
        <v>40553</v>
      </c>
      <c r="G226" s="47">
        <v>1</v>
      </c>
      <c r="H226" s="48">
        <v>11115.010499999999</v>
      </c>
      <c r="I226" s="47" t="s">
        <v>1173</v>
      </c>
      <c r="J226" s="47" t="s">
        <v>1239</v>
      </c>
    </row>
    <row r="227" spans="1:10" x14ac:dyDescent="0.25">
      <c r="A227" s="129" t="str">
        <f t="shared" si="4"/>
        <v>1018753</v>
      </c>
      <c r="B227" s="47">
        <v>101</v>
      </c>
      <c r="C227" s="47">
        <v>8753</v>
      </c>
      <c r="D227" s="47">
        <v>70100</v>
      </c>
      <c r="E227" s="139" t="s">
        <v>1027</v>
      </c>
      <c r="F227" s="11">
        <v>41834</v>
      </c>
      <c r="G227" s="47">
        <v>1</v>
      </c>
      <c r="H227" s="48">
        <v>32650.661999999997</v>
      </c>
      <c r="I227" s="47" t="s">
        <v>1128</v>
      </c>
      <c r="J227" s="47" t="s">
        <v>1219</v>
      </c>
    </row>
    <row r="228" spans="1:10" x14ac:dyDescent="0.25">
      <c r="A228" s="129" t="str">
        <f t="shared" si="4"/>
        <v>1018757</v>
      </c>
      <c r="B228" s="47">
        <v>101</v>
      </c>
      <c r="C228" s="47">
        <v>8757</v>
      </c>
      <c r="D228" s="47">
        <v>70140</v>
      </c>
      <c r="E228" s="139" t="s">
        <v>1090</v>
      </c>
      <c r="F228" s="11">
        <v>41841</v>
      </c>
      <c r="G228" s="47">
        <v>1</v>
      </c>
      <c r="H228" s="48">
        <v>25012.877999999997</v>
      </c>
      <c r="I228" s="47" t="s">
        <v>1139</v>
      </c>
      <c r="J228" s="47" t="s">
        <v>1210</v>
      </c>
    </row>
    <row r="229" spans="1:10" x14ac:dyDescent="0.25">
      <c r="A229" s="129" t="str">
        <f t="shared" si="4"/>
        <v>1018758</v>
      </c>
      <c r="B229" s="47">
        <v>101</v>
      </c>
      <c r="C229" s="47">
        <v>8758</v>
      </c>
      <c r="D229" s="47">
        <v>70190</v>
      </c>
      <c r="E229" s="139" t="s">
        <v>874</v>
      </c>
      <c r="F229" s="11">
        <v>41841</v>
      </c>
      <c r="G229" s="47">
        <v>1</v>
      </c>
      <c r="H229" s="48">
        <v>21214.280999999999</v>
      </c>
      <c r="I229" s="47" t="s">
        <v>1132</v>
      </c>
      <c r="J229" s="47" t="s">
        <v>1212</v>
      </c>
    </row>
    <row r="230" spans="1:10" x14ac:dyDescent="0.25">
      <c r="A230" s="129" t="str">
        <f t="shared" si="4"/>
        <v>1018759</v>
      </c>
      <c r="B230" s="47">
        <v>101</v>
      </c>
      <c r="C230" s="47">
        <v>8759</v>
      </c>
      <c r="D230" s="47">
        <v>24200</v>
      </c>
      <c r="E230" s="139" t="s">
        <v>948</v>
      </c>
      <c r="F230" s="11">
        <v>41841</v>
      </c>
      <c r="G230" s="47">
        <v>1</v>
      </c>
      <c r="H230" s="48">
        <v>8347.2014999999992</v>
      </c>
      <c r="I230" s="47" t="s">
        <v>1126</v>
      </c>
      <c r="J230" s="47" t="s">
        <v>108</v>
      </c>
    </row>
    <row r="231" spans="1:10" x14ac:dyDescent="0.25">
      <c r="A231" s="129" t="str">
        <f t="shared" si="4"/>
        <v>1022036</v>
      </c>
      <c r="B231" s="47">
        <v>102</v>
      </c>
      <c r="C231" s="47">
        <v>2036</v>
      </c>
      <c r="D231" s="47">
        <v>50002</v>
      </c>
      <c r="E231" s="47" t="s">
        <v>778</v>
      </c>
      <c r="F231" s="11">
        <v>38243</v>
      </c>
      <c r="G231" s="47">
        <v>1</v>
      </c>
      <c r="H231" s="48">
        <v>13412.156999999999</v>
      </c>
      <c r="I231" s="47" t="s">
        <v>1174</v>
      </c>
      <c r="J231" s="47" t="s">
        <v>1240</v>
      </c>
    </row>
    <row r="232" spans="1:10" x14ac:dyDescent="0.25">
      <c r="A232" s="129" t="str">
        <f t="shared" si="4"/>
        <v>1023305</v>
      </c>
      <c r="B232" s="47">
        <v>102</v>
      </c>
      <c r="C232" s="47">
        <v>3305</v>
      </c>
      <c r="D232" s="47">
        <v>50007</v>
      </c>
      <c r="E232" s="47" t="s">
        <v>136</v>
      </c>
      <c r="F232" s="11">
        <v>39419</v>
      </c>
      <c r="G232" s="47">
        <v>1</v>
      </c>
      <c r="H232" s="48">
        <v>7095.2639999999992</v>
      </c>
      <c r="I232" s="47" t="s">
        <v>1141</v>
      </c>
      <c r="J232" s="47" t="s">
        <v>1241</v>
      </c>
    </row>
    <row r="233" spans="1:10" x14ac:dyDescent="0.25">
      <c r="A233" s="129" t="str">
        <f t="shared" si="4"/>
        <v>1023514</v>
      </c>
      <c r="B233" s="47">
        <v>102</v>
      </c>
      <c r="C233" s="47">
        <v>3514</v>
      </c>
      <c r="D233" s="47">
        <v>50002</v>
      </c>
      <c r="E233" s="47" t="s">
        <v>693</v>
      </c>
      <c r="F233" s="11">
        <v>39465</v>
      </c>
      <c r="G233" s="47">
        <v>1</v>
      </c>
      <c r="H233" s="48">
        <v>6592.3769999999995</v>
      </c>
      <c r="I233" s="47" t="s">
        <v>1174</v>
      </c>
      <c r="J233" s="47" t="s">
        <v>1240</v>
      </c>
    </row>
    <row r="234" spans="1:10" x14ac:dyDescent="0.25">
      <c r="A234" s="129" t="str">
        <f t="shared" si="4"/>
        <v>1024116</v>
      </c>
      <c r="B234" s="47">
        <v>102</v>
      </c>
      <c r="C234" s="47">
        <v>4116</v>
      </c>
      <c r="D234" s="47">
        <v>50007</v>
      </c>
      <c r="E234" s="139" t="s">
        <v>1059</v>
      </c>
      <c r="F234" s="11">
        <v>39661</v>
      </c>
      <c r="G234" s="47">
        <v>1</v>
      </c>
      <c r="H234" s="48">
        <v>12904.386</v>
      </c>
      <c r="I234" s="47" t="s">
        <v>1155</v>
      </c>
      <c r="J234" s="47" t="s">
        <v>1241</v>
      </c>
    </row>
    <row r="235" spans="1:10" x14ac:dyDescent="0.25">
      <c r="A235" s="129" t="str">
        <f t="shared" si="4"/>
        <v>1024436</v>
      </c>
      <c r="B235" s="47">
        <v>102</v>
      </c>
      <c r="C235" s="47">
        <v>4436</v>
      </c>
      <c r="D235" s="47">
        <v>50007</v>
      </c>
      <c r="E235" s="47" t="s">
        <v>672</v>
      </c>
      <c r="F235" s="11">
        <v>39832</v>
      </c>
      <c r="G235" s="47">
        <v>1</v>
      </c>
      <c r="H235" s="48">
        <v>9658.902</v>
      </c>
      <c r="I235" s="47" t="s">
        <v>1130</v>
      </c>
      <c r="J235" s="47" t="s">
        <v>1241</v>
      </c>
    </row>
    <row r="236" spans="1:10" x14ac:dyDescent="0.25">
      <c r="A236" s="129" t="str">
        <f t="shared" si="4"/>
        <v>1025099</v>
      </c>
      <c r="B236" s="47">
        <v>102</v>
      </c>
      <c r="C236" s="47">
        <v>5099</v>
      </c>
      <c r="D236" s="47">
        <v>50002</v>
      </c>
      <c r="E236" s="47" t="s">
        <v>721</v>
      </c>
      <c r="F236" s="11">
        <v>40192</v>
      </c>
      <c r="G236" s="47">
        <v>1</v>
      </c>
      <c r="H236" s="48">
        <v>11590.688999999998</v>
      </c>
      <c r="I236" s="47" t="s">
        <v>1174</v>
      </c>
      <c r="J236" s="47" t="s">
        <v>1240</v>
      </c>
    </row>
    <row r="237" spans="1:10" x14ac:dyDescent="0.25">
      <c r="A237" s="129" t="str">
        <f t="shared" si="4"/>
        <v>1025100</v>
      </c>
      <c r="B237" s="47">
        <v>102</v>
      </c>
      <c r="C237" s="47">
        <v>5100</v>
      </c>
      <c r="D237" s="47">
        <v>50007</v>
      </c>
      <c r="E237" s="139" t="s">
        <v>1060</v>
      </c>
      <c r="F237" s="11">
        <v>40193</v>
      </c>
      <c r="G237" s="47">
        <v>1</v>
      </c>
      <c r="H237" s="48">
        <v>22256.420999999998</v>
      </c>
      <c r="I237" s="47" t="s">
        <v>1121</v>
      </c>
      <c r="J237" s="47" t="s">
        <v>1241</v>
      </c>
    </row>
    <row r="238" spans="1:10" x14ac:dyDescent="0.25">
      <c r="A238" s="129" t="str">
        <f t="shared" si="4"/>
        <v>1025847</v>
      </c>
      <c r="B238" s="47">
        <v>102</v>
      </c>
      <c r="C238" s="47">
        <v>5847</v>
      </c>
      <c r="D238" s="47">
        <v>50007</v>
      </c>
      <c r="E238" s="47" t="s">
        <v>801</v>
      </c>
      <c r="F238" s="11">
        <v>40651</v>
      </c>
      <c r="G238" s="47">
        <v>1</v>
      </c>
      <c r="H238" s="48">
        <v>9555.8759999999984</v>
      </c>
      <c r="I238" s="47" t="s">
        <v>1121</v>
      </c>
      <c r="J238" s="47" t="s">
        <v>1241</v>
      </c>
    </row>
    <row r="239" spans="1:10" x14ac:dyDescent="0.25">
      <c r="A239" s="129" t="str">
        <f t="shared" si="4"/>
        <v>1026045</v>
      </c>
      <c r="B239" s="47">
        <v>102</v>
      </c>
      <c r="C239" s="47">
        <v>6045</v>
      </c>
      <c r="D239" s="47">
        <v>50007</v>
      </c>
      <c r="E239" s="47" t="s">
        <v>790</v>
      </c>
      <c r="F239" s="11">
        <v>40757</v>
      </c>
      <c r="G239" s="47">
        <v>1</v>
      </c>
      <c r="H239" s="48">
        <v>6600</v>
      </c>
      <c r="I239" s="47" t="s">
        <v>1128</v>
      </c>
      <c r="J239" s="47" t="s">
        <v>1241</v>
      </c>
    </row>
    <row r="240" spans="1:10" x14ac:dyDescent="0.25">
      <c r="A240" s="129" t="str">
        <f t="shared" si="4"/>
        <v>1026064</v>
      </c>
      <c r="B240" s="47">
        <v>102</v>
      </c>
      <c r="C240" s="47">
        <v>6064</v>
      </c>
      <c r="D240" s="47">
        <v>50007</v>
      </c>
      <c r="E240" s="139" t="s">
        <v>904</v>
      </c>
      <c r="F240" s="11">
        <v>40778</v>
      </c>
      <c r="G240" s="47">
        <v>1</v>
      </c>
      <c r="H240" s="48">
        <v>12192.873</v>
      </c>
      <c r="I240" s="47" t="s">
        <v>1121</v>
      </c>
      <c r="J240" s="47" t="s">
        <v>1241</v>
      </c>
    </row>
    <row r="241" spans="1:10" x14ac:dyDescent="0.25">
      <c r="A241" s="129" t="str">
        <f t="shared" si="4"/>
        <v>1026617</v>
      </c>
      <c r="B241" s="47">
        <v>102</v>
      </c>
      <c r="C241" s="47">
        <v>6617</v>
      </c>
      <c r="D241" s="47">
        <v>50007</v>
      </c>
      <c r="E241" s="47" t="s">
        <v>561</v>
      </c>
      <c r="F241" s="11">
        <v>41269</v>
      </c>
      <c r="G241" s="47">
        <v>1</v>
      </c>
      <c r="H241" s="48">
        <v>6592.3769999999995</v>
      </c>
      <c r="I241" s="47" t="s">
        <v>1121</v>
      </c>
      <c r="J241" s="47" t="s">
        <v>1241</v>
      </c>
    </row>
    <row r="242" spans="1:10" x14ac:dyDescent="0.25">
      <c r="A242" s="129" t="str">
        <f t="shared" si="4"/>
        <v>1026660</v>
      </c>
      <c r="B242" s="47">
        <v>102</v>
      </c>
      <c r="C242" s="47">
        <v>6660</v>
      </c>
      <c r="D242" s="47">
        <v>50007</v>
      </c>
      <c r="E242" s="47" t="s">
        <v>411</v>
      </c>
      <c r="F242" s="11">
        <v>41334</v>
      </c>
      <c r="G242" s="47">
        <v>1</v>
      </c>
      <c r="H242" s="48">
        <v>21214.280999999999</v>
      </c>
      <c r="I242" s="47" t="s">
        <v>1121</v>
      </c>
      <c r="J242" s="47" t="s">
        <v>1241</v>
      </c>
    </row>
    <row r="243" spans="1:10" x14ac:dyDescent="0.25">
      <c r="A243" s="129" t="str">
        <f t="shared" si="4"/>
        <v>1026721</v>
      </c>
      <c r="B243" s="47">
        <v>102</v>
      </c>
      <c r="C243" s="47">
        <v>6721</v>
      </c>
      <c r="D243" s="47">
        <v>50007</v>
      </c>
      <c r="E243" s="47" t="s">
        <v>757</v>
      </c>
      <c r="F243" s="11">
        <v>41372</v>
      </c>
      <c r="G243" s="47">
        <v>1</v>
      </c>
      <c r="H243" s="48">
        <v>14883</v>
      </c>
      <c r="I243" s="47" t="s">
        <v>1139</v>
      </c>
      <c r="J243" s="47" t="s">
        <v>1241</v>
      </c>
    </row>
    <row r="244" spans="1:10" x14ac:dyDescent="0.25">
      <c r="A244" s="129" t="str">
        <f t="shared" si="4"/>
        <v>1027051</v>
      </c>
      <c r="B244" s="47">
        <v>102</v>
      </c>
      <c r="C244" s="47">
        <v>7051</v>
      </c>
      <c r="D244" s="47">
        <v>50007</v>
      </c>
      <c r="E244" s="47" t="s">
        <v>704</v>
      </c>
      <c r="F244" s="11">
        <v>41624</v>
      </c>
      <c r="G244" s="47">
        <v>1</v>
      </c>
      <c r="H244" s="48">
        <v>8347.2014999999992</v>
      </c>
      <c r="I244" s="47" t="s">
        <v>1121</v>
      </c>
      <c r="J244" s="47" t="s">
        <v>1241</v>
      </c>
    </row>
    <row r="245" spans="1:10" x14ac:dyDescent="0.25">
      <c r="A245" s="129" t="str">
        <f t="shared" si="4"/>
        <v>1028762</v>
      </c>
      <c r="B245" s="47">
        <v>102</v>
      </c>
      <c r="C245" s="47">
        <v>8762</v>
      </c>
      <c r="D245" s="47">
        <v>50002</v>
      </c>
      <c r="E245" s="47" t="s">
        <v>796</v>
      </c>
      <c r="F245" s="11">
        <v>41843</v>
      </c>
      <c r="G245" s="47">
        <v>1</v>
      </c>
      <c r="H245" s="48">
        <v>12192.873</v>
      </c>
      <c r="I245" s="47" t="s">
        <v>1162</v>
      </c>
      <c r="J245" s="47" t="s">
        <v>1240</v>
      </c>
    </row>
    <row r="246" spans="1:10" x14ac:dyDescent="0.25">
      <c r="A246" s="129" t="str">
        <f t="shared" si="4"/>
        <v>1042046</v>
      </c>
      <c r="B246" s="47">
        <v>104</v>
      </c>
      <c r="C246" s="47">
        <v>2046</v>
      </c>
      <c r="D246" s="47">
        <v>50002</v>
      </c>
      <c r="E246" s="139" t="s">
        <v>1075</v>
      </c>
      <c r="F246" s="11">
        <v>38261</v>
      </c>
      <c r="G246" s="47">
        <v>1</v>
      </c>
      <c r="H246" s="48">
        <v>15675</v>
      </c>
      <c r="I246" s="47" t="s">
        <v>1174</v>
      </c>
      <c r="J246" s="47" t="s">
        <v>1240</v>
      </c>
    </row>
    <row r="247" spans="1:10" x14ac:dyDescent="0.25">
      <c r="A247" s="129" t="str">
        <f t="shared" si="4"/>
        <v>1042049</v>
      </c>
      <c r="B247" s="47">
        <v>104</v>
      </c>
      <c r="C247" s="47">
        <v>2049</v>
      </c>
      <c r="D247" s="47">
        <v>50007</v>
      </c>
      <c r="E247" s="47" t="s">
        <v>731</v>
      </c>
      <c r="F247" s="11">
        <v>38271</v>
      </c>
      <c r="G247" s="47">
        <v>1</v>
      </c>
      <c r="H247" s="48">
        <v>3434.2604999999994</v>
      </c>
      <c r="I247" s="47" t="s">
        <v>1130</v>
      </c>
      <c r="J247" s="47" t="s">
        <v>1241</v>
      </c>
    </row>
    <row r="248" spans="1:10" x14ac:dyDescent="0.25">
      <c r="A248" s="129" t="str">
        <f t="shared" si="4"/>
        <v>1042080</v>
      </c>
      <c r="B248" s="47">
        <v>104</v>
      </c>
      <c r="C248" s="47">
        <v>2080</v>
      </c>
      <c r="D248" s="47">
        <v>50002</v>
      </c>
      <c r="E248" s="47" t="s">
        <v>798</v>
      </c>
      <c r="F248" s="11">
        <v>38446</v>
      </c>
      <c r="G248" s="47">
        <v>1</v>
      </c>
      <c r="H248" s="48">
        <v>7260</v>
      </c>
      <c r="I248" s="47" t="s">
        <v>1162</v>
      </c>
      <c r="J248" s="47" t="s">
        <v>1240</v>
      </c>
    </row>
    <row r="249" spans="1:10" x14ac:dyDescent="0.25">
      <c r="A249" s="129" t="str">
        <f t="shared" si="4"/>
        <v>1042210</v>
      </c>
      <c r="B249" s="47">
        <v>104</v>
      </c>
      <c r="C249" s="47">
        <v>2210</v>
      </c>
      <c r="D249" s="47">
        <v>50007</v>
      </c>
      <c r="E249" s="47" t="s">
        <v>449</v>
      </c>
      <c r="F249" s="11">
        <v>38869</v>
      </c>
      <c r="G249" s="47">
        <v>1</v>
      </c>
      <c r="H249" s="48">
        <v>6592.3769999999995</v>
      </c>
      <c r="I249" s="47" t="s">
        <v>1130</v>
      </c>
      <c r="J249" s="47" t="s">
        <v>1241</v>
      </c>
    </row>
    <row r="250" spans="1:10" x14ac:dyDescent="0.25">
      <c r="A250" s="129" t="str">
        <f t="shared" si="4"/>
        <v>1042679</v>
      </c>
      <c r="B250" s="47">
        <v>104</v>
      </c>
      <c r="C250" s="47">
        <v>2679</v>
      </c>
      <c r="D250" s="47">
        <v>50007</v>
      </c>
      <c r="E250" s="47" t="s">
        <v>279</v>
      </c>
      <c r="F250" s="11">
        <v>39154</v>
      </c>
      <c r="G250" s="47">
        <v>1</v>
      </c>
      <c r="H250" s="48">
        <v>32190.427499999994</v>
      </c>
      <c r="I250" s="47" t="s">
        <v>1141</v>
      </c>
      <c r="J250" s="47" t="s">
        <v>1241</v>
      </c>
    </row>
    <row r="251" spans="1:10" x14ac:dyDescent="0.25">
      <c r="A251" s="129" t="str">
        <f t="shared" si="4"/>
        <v>1042695</v>
      </c>
      <c r="B251" s="47">
        <v>104</v>
      </c>
      <c r="C251" s="47">
        <v>2695</v>
      </c>
      <c r="D251" s="47">
        <v>50002</v>
      </c>
      <c r="E251" s="47" t="s">
        <v>260</v>
      </c>
      <c r="F251" s="11">
        <v>39167</v>
      </c>
      <c r="G251" s="47">
        <v>1</v>
      </c>
      <c r="H251" s="48">
        <v>7949.7164999999995</v>
      </c>
      <c r="I251" s="47" t="s">
        <v>1174</v>
      </c>
      <c r="J251" s="47" t="s">
        <v>1240</v>
      </c>
    </row>
    <row r="252" spans="1:10" x14ac:dyDescent="0.25">
      <c r="A252" s="129" t="str">
        <f t="shared" si="4"/>
        <v>1043147</v>
      </c>
      <c r="B252" s="47">
        <v>104</v>
      </c>
      <c r="C252" s="47">
        <v>3147</v>
      </c>
      <c r="D252" s="47">
        <v>50007</v>
      </c>
      <c r="E252" s="47" t="s">
        <v>319</v>
      </c>
      <c r="F252" s="11">
        <v>39363</v>
      </c>
      <c r="G252" s="47">
        <v>1</v>
      </c>
      <c r="H252" s="48">
        <v>16865.326499999999</v>
      </c>
      <c r="I252" s="47" t="s">
        <v>1139</v>
      </c>
      <c r="J252" s="47" t="s">
        <v>1241</v>
      </c>
    </row>
    <row r="253" spans="1:10" x14ac:dyDescent="0.25">
      <c r="A253" s="129" t="str">
        <f t="shared" si="4"/>
        <v>1043608</v>
      </c>
      <c r="B253" s="47">
        <v>104</v>
      </c>
      <c r="C253" s="47">
        <v>3608</v>
      </c>
      <c r="D253" s="47">
        <v>50007</v>
      </c>
      <c r="E253" s="47" t="s">
        <v>276</v>
      </c>
      <c r="F253" s="11">
        <v>39497</v>
      </c>
      <c r="G253" s="47">
        <v>1</v>
      </c>
      <c r="H253" s="48">
        <v>8943.4454999999998</v>
      </c>
      <c r="I253" s="47" t="s">
        <v>1130</v>
      </c>
      <c r="J253" s="47" t="s">
        <v>1241</v>
      </c>
    </row>
    <row r="254" spans="1:10" x14ac:dyDescent="0.25">
      <c r="A254" s="129" t="str">
        <f t="shared" si="4"/>
        <v>1043673</v>
      </c>
      <c r="B254" s="47">
        <v>104</v>
      </c>
      <c r="C254" s="47">
        <v>3673</v>
      </c>
      <c r="D254" s="47">
        <v>50007</v>
      </c>
      <c r="E254" s="47" t="s">
        <v>547</v>
      </c>
      <c r="F254" s="11">
        <v>39517</v>
      </c>
      <c r="G254" s="47">
        <v>1</v>
      </c>
      <c r="H254" s="48">
        <v>16956.819</v>
      </c>
      <c r="I254" s="47" t="s">
        <v>1141</v>
      </c>
      <c r="J254" s="47" t="s">
        <v>1241</v>
      </c>
    </row>
    <row r="255" spans="1:10" x14ac:dyDescent="0.25">
      <c r="A255" s="129" t="str">
        <f t="shared" si="4"/>
        <v>1043849</v>
      </c>
      <c r="B255" s="47">
        <v>104</v>
      </c>
      <c r="C255" s="47">
        <v>3849</v>
      </c>
      <c r="D255" s="47">
        <v>50007</v>
      </c>
      <c r="E255" s="47" t="s">
        <v>766</v>
      </c>
      <c r="F255" s="11">
        <v>39555</v>
      </c>
      <c r="G255" s="47">
        <v>1</v>
      </c>
      <c r="H255" s="48">
        <v>8347.2014999999992</v>
      </c>
      <c r="I255" s="47" t="s">
        <v>1141</v>
      </c>
      <c r="J255" s="47" t="s">
        <v>1241</v>
      </c>
    </row>
    <row r="256" spans="1:10" x14ac:dyDescent="0.25">
      <c r="A256" s="129" t="str">
        <f t="shared" si="4"/>
        <v>1044053</v>
      </c>
      <c r="B256" s="47">
        <v>104</v>
      </c>
      <c r="C256" s="47">
        <v>4053</v>
      </c>
      <c r="D256" s="47">
        <v>50007</v>
      </c>
      <c r="E256" s="47" t="s">
        <v>214</v>
      </c>
      <c r="F256" s="11">
        <v>39618</v>
      </c>
      <c r="G256" s="47">
        <v>1</v>
      </c>
      <c r="H256" s="48">
        <v>16864.749</v>
      </c>
      <c r="I256" s="47" t="s">
        <v>1139</v>
      </c>
      <c r="J256" s="47" t="s">
        <v>1241</v>
      </c>
    </row>
    <row r="257" spans="1:10" x14ac:dyDescent="0.25">
      <c r="A257" s="129" t="str">
        <f t="shared" si="4"/>
        <v>1044338</v>
      </c>
      <c r="B257" s="47">
        <v>104</v>
      </c>
      <c r="C257" s="47">
        <v>4338</v>
      </c>
      <c r="D257" s="47">
        <v>50007</v>
      </c>
      <c r="E257" s="139" t="s">
        <v>1119</v>
      </c>
      <c r="F257" s="11">
        <v>39755</v>
      </c>
      <c r="G257" s="47">
        <v>1</v>
      </c>
      <c r="H257" s="48">
        <v>11517.148499999999</v>
      </c>
      <c r="I257" s="47" t="s">
        <v>1141</v>
      </c>
      <c r="J257" s="47" t="s">
        <v>1241</v>
      </c>
    </row>
    <row r="258" spans="1:10" x14ac:dyDescent="0.25">
      <c r="A258" s="129" t="str">
        <f t="shared" si="4"/>
        <v>1044516</v>
      </c>
      <c r="B258" s="47">
        <v>104</v>
      </c>
      <c r="C258" s="47">
        <v>4516</v>
      </c>
      <c r="D258" s="47">
        <v>50002</v>
      </c>
      <c r="E258" s="47" t="s">
        <v>629</v>
      </c>
      <c r="F258" s="11">
        <v>39910</v>
      </c>
      <c r="G258" s="47">
        <v>1</v>
      </c>
      <c r="H258" s="48">
        <v>11517.148499999999</v>
      </c>
      <c r="I258" s="47" t="s">
        <v>1174</v>
      </c>
      <c r="J258" s="47" t="s">
        <v>1240</v>
      </c>
    </row>
    <row r="259" spans="1:10" x14ac:dyDescent="0.25">
      <c r="A259" s="129" t="str">
        <f t="shared" si="4"/>
        <v>1044643</v>
      </c>
      <c r="B259" s="47">
        <v>104</v>
      </c>
      <c r="C259" s="47">
        <v>4643</v>
      </c>
      <c r="D259" s="47">
        <v>50002</v>
      </c>
      <c r="E259" s="47" t="s">
        <v>189</v>
      </c>
      <c r="F259" s="11">
        <v>39966</v>
      </c>
      <c r="G259" s="47">
        <v>1</v>
      </c>
      <c r="H259" s="48">
        <v>8347.2014999999992</v>
      </c>
      <c r="I259" s="47" t="s">
        <v>1174</v>
      </c>
      <c r="J259" s="47" t="s">
        <v>1240</v>
      </c>
    </row>
    <row r="260" spans="1:10" x14ac:dyDescent="0.25">
      <c r="A260" s="129" t="str">
        <f t="shared" si="4"/>
        <v>1044645</v>
      </c>
      <c r="B260" s="47">
        <v>104</v>
      </c>
      <c r="C260" s="47">
        <v>4645</v>
      </c>
      <c r="D260" s="47">
        <v>50007</v>
      </c>
      <c r="E260" s="47" t="s">
        <v>188</v>
      </c>
      <c r="F260" s="11">
        <v>39973</v>
      </c>
      <c r="G260" s="47">
        <v>1</v>
      </c>
      <c r="H260" s="48">
        <v>8347.2014999999992</v>
      </c>
      <c r="I260" s="47" t="s">
        <v>1141</v>
      </c>
      <c r="J260" s="47" t="s">
        <v>1241</v>
      </c>
    </row>
    <row r="261" spans="1:10" x14ac:dyDescent="0.25">
      <c r="A261" s="129" t="str">
        <f t="shared" si="4"/>
        <v>1044880</v>
      </c>
      <c r="B261" s="47">
        <v>104</v>
      </c>
      <c r="C261" s="47">
        <v>4880</v>
      </c>
      <c r="D261" s="47">
        <v>50007</v>
      </c>
      <c r="E261" s="47" t="s">
        <v>168</v>
      </c>
      <c r="F261" s="11">
        <v>40057</v>
      </c>
      <c r="G261" s="47">
        <v>1</v>
      </c>
      <c r="H261" s="48">
        <v>8347.2014999999992</v>
      </c>
      <c r="I261" s="47" t="s">
        <v>1121</v>
      </c>
      <c r="J261" s="47" t="s">
        <v>1241</v>
      </c>
    </row>
    <row r="262" spans="1:10" x14ac:dyDescent="0.25">
      <c r="A262" s="129" t="str">
        <f t="shared" si="4"/>
        <v>1044882</v>
      </c>
      <c r="B262" s="47">
        <v>104</v>
      </c>
      <c r="C262" s="47">
        <v>4882</v>
      </c>
      <c r="D262" s="47">
        <v>50007</v>
      </c>
      <c r="E262" s="47" t="s">
        <v>654</v>
      </c>
      <c r="F262" s="11">
        <v>40064</v>
      </c>
      <c r="G262" s="47">
        <v>1</v>
      </c>
      <c r="H262" s="48">
        <v>8347.2014999999992</v>
      </c>
      <c r="I262" s="47" t="s">
        <v>1130</v>
      </c>
      <c r="J262" s="47" t="s">
        <v>1241</v>
      </c>
    </row>
    <row r="263" spans="1:10" x14ac:dyDescent="0.25">
      <c r="A263" s="129" t="str">
        <f t="shared" si="4"/>
        <v>1044905</v>
      </c>
      <c r="B263" s="47">
        <v>104</v>
      </c>
      <c r="C263" s="47">
        <v>4905</v>
      </c>
      <c r="D263" s="47">
        <v>50007</v>
      </c>
      <c r="E263" s="47" t="s">
        <v>809</v>
      </c>
      <c r="F263" s="11">
        <v>40067</v>
      </c>
      <c r="G263" s="47">
        <v>1</v>
      </c>
      <c r="H263" s="48">
        <v>8347.2014999999992</v>
      </c>
      <c r="I263" s="47" t="s">
        <v>1130</v>
      </c>
      <c r="J263" s="47" t="s">
        <v>1241</v>
      </c>
    </row>
    <row r="264" spans="1:10" x14ac:dyDescent="0.25">
      <c r="A264" s="129" t="str">
        <f t="shared" si="4"/>
        <v>1044977</v>
      </c>
      <c r="B264" s="47">
        <v>104</v>
      </c>
      <c r="C264" s="47">
        <v>4977</v>
      </c>
      <c r="D264" s="47">
        <v>50002</v>
      </c>
      <c r="E264" s="47" t="s">
        <v>141</v>
      </c>
      <c r="F264" s="11">
        <v>40120</v>
      </c>
      <c r="G264" s="47">
        <v>1</v>
      </c>
      <c r="H264" s="48">
        <v>8347.2014999999992</v>
      </c>
      <c r="I264" s="47" t="s">
        <v>1175</v>
      </c>
      <c r="J264" s="47" t="s">
        <v>1240</v>
      </c>
    </row>
    <row r="265" spans="1:10" x14ac:dyDescent="0.25">
      <c r="A265" s="129" t="str">
        <f t="shared" si="4"/>
        <v>1044996</v>
      </c>
      <c r="B265" s="47">
        <v>104</v>
      </c>
      <c r="C265" s="47">
        <v>4996</v>
      </c>
      <c r="D265" s="47">
        <v>50007</v>
      </c>
      <c r="E265" s="139" t="s">
        <v>988</v>
      </c>
      <c r="F265" s="11">
        <v>40123</v>
      </c>
      <c r="G265" s="47">
        <v>1</v>
      </c>
      <c r="H265" s="48">
        <v>8810.2739999999994</v>
      </c>
      <c r="I265" s="47" t="s">
        <v>1121</v>
      </c>
      <c r="J265" s="47" t="s">
        <v>1241</v>
      </c>
    </row>
    <row r="266" spans="1:10" x14ac:dyDescent="0.25">
      <c r="A266" s="129" t="str">
        <f t="shared" ref="A266:A314" si="5">B266&amp;C266</f>
        <v>1045038</v>
      </c>
      <c r="B266" s="47">
        <v>104</v>
      </c>
      <c r="C266" s="47">
        <v>5038</v>
      </c>
      <c r="D266" s="47">
        <v>50001</v>
      </c>
      <c r="E266" s="139" t="s">
        <v>1033</v>
      </c>
      <c r="F266" s="11">
        <v>40154</v>
      </c>
      <c r="G266" s="47">
        <v>1</v>
      </c>
      <c r="H266" s="48">
        <v>10238.431499999999</v>
      </c>
      <c r="I266" s="47" t="s">
        <v>1176</v>
      </c>
      <c r="J266" s="47" t="s">
        <v>1218</v>
      </c>
    </row>
    <row r="267" spans="1:10" x14ac:dyDescent="0.25">
      <c r="A267" s="129" t="str">
        <f t="shared" si="5"/>
        <v>1045231</v>
      </c>
      <c r="B267" s="47">
        <v>104</v>
      </c>
      <c r="C267" s="47">
        <v>5231</v>
      </c>
      <c r="D267" s="47">
        <v>50007</v>
      </c>
      <c r="E267" s="139" t="s">
        <v>936</v>
      </c>
      <c r="F267" s="11">
        <v>40238</v>
      </c>
      <c r="G267" s="47">
        <v>1</v>
      </c>
      <c r="H267" s="48">
        <v>7949.7164999999995</v>
      </c>
      <c r="I267" s="47" t="s">
        <v>1139</v>
      </c>
      <c r="J267" s="47" t="s">
        <v>1241</v>
      </c>
    </row>
    <row r="268" spans="1:10" x14ac:dyDescent="0.25">
      <c r="A268" s="129" t="str">
        <f t="shared" si="5"/>
        <v>1045401</v>
      </c>
      <c r="B268" s="47">
        <v>104</v>
      </c>
      <c r="C268" s="47">
        <v>5401</v>
      </c>
      <c r="D268" s="47">
        <v>50007</v>
      </c>
      <c r="E268" s="47" t="s">
        <v>600</v>
      </c>
      <c r="F268" s="11">
        <v>40330</v>
      </c>
      <c r="G268" s="47">
        <v>1</v>
      </c>
      <c r="H268" s="48">
        <v>4521.8249999999998</v>
      </c>
      <c r="I268" s="47" t="s">
        <v>1121</v>
      </c>
      <c r="J268" s="47" t="s">
        <v>1241</v>
      </c>
    </row>
    <row r="269" spans="1:10" x14ac:dyDescent="0.25">
      <c r="A269" s="129" t="str">
        <f t="shared" si="5"/>
        <v>1045605</v>
      </c>
      <c r="B269" s="47">
        <v>104</v>
      </c>
      <c r="C269" s="47">
        <v>5605</v>
      </c>
      <c r="D269" s="47">
        <v>50007</v>
      </c>
      <c r="E269" s="47" t="s">
        <v>528</v>
      </c>
      <c r="F269" s="11">
        <v>40422</v>
      </c>
      <c r="G269" s="47">
        <v>1</v>
      </c>
      <c r="H269" s="48">
        <v>9579.4049999999988</v>
      </c>
      <c r="I269" s="47" t="s">
        <v>1155</v>
      </c>
      <c r="J269" s="47" t="s">
        <v>1241</v>
      </c>
    </row>
    <row r="270" spans="1:10" x14ac:dyDescent="0.25">
      <c r="A270" s="129" t="str">
        <f t="shared" si="5"/>
        <v>1045762</v>
      </c>
      <c r="B270" s="47">
        <v>104</v>
      </c>
      <c r="C270" s="47">
        <v>5762</v>
      </c>
      <c r="D270" s="47">
        <v>50007</v>
      </c>
      <c r="E270" s="47" t="s">
        <v>745</v>
      </c>
      <c r="F270" s="11">
        <v>40513</v>
      </c>
      <c r="G270" s="47">
        <v>1</v>
      </c>
      <c r="H270" s="48">
        <v>8347.2014999999992</v>
      </c>
      <c r="I270" s="47" t="s">
        <v>1139</v>
      </c>
      <c r="J270" s="47" t="s">
        <v>1241</v>
      </c>
    </row>
    <row r="271" spans="1:10" x14ac:dyDescent="0.25">
      <c r="A271" s="129" t="str">
        <f t="shared" si="5"/>
        <v>1045790</v>
      </c>
      <c r="B271" s="47">
        <v>104</v>
      </c>
      <c r="C271" s="47">
        <v>5790</v>
      </c>
      <c r="D271" s="47">
        <v>50007</v>
      </c>
      <c r="E271" s="47" t="s">
        <v>149</v>
      </c>
      <c r="F271" s="11">
        <v>40563</v>
      </c>
      <c r="G271" s="47">
        <v>1</v>
      </c>
      <c r="H271" s="48">
        <v>14905.737000000001</v>
      </c>
      <c r="I271" s="47" t="s">
        <v>1128</v>
      </c>
      <c r="J271" s="47" t="s">
        <v>1241</v>
      </c>
    </row>
    <row r="272" spans="1:10" x14ac:dyDescent="0.25">
      <c r="A272" s="129" t="str">
        <f t="shared" si="5"/>
        <v>1045825</v>
      </c>
      <c r="B272" s="47">
        <v>104</v>
      </c>
      <c r="C272" s="47">
        <v>5825</v>
      </c>
      <c r="D272" s="47">
        <v>50007</v>
      </c>
      <c r="E272" s="47" t="s">
        <v>373</v>
      </c>
      <c r="F272" s="11">
        <v>40612</v>
      </c>
      <c r="G272" s="47">
        <v>1</v>
      </c>
      <c r="H272" s="48">
        <v>3465</v>
      </c>
      <c r="I272" s="47" t="s">
        <v>1128</v>
      </c>
      <c r="J272" s="47" t="s">
        <v>1241</v>
      </c>
    </row>
    <row r="273" spans="1:10" x14ac:dyDescent="0.25">
      <c r="A273" s="129" t="str">
        <f t="shared" si="5"/>
        <v>1045826</v>
      </c>
      <c r="B273" s="47">
        <v>104</v>
      </c>
      <c r="C273" s="47">
        <v>5826</v>
      </c>
      <c r="D273" s="47">
        <v>50002</v>
      </c>
      <c r="E273" s="47" t="s">
        <v>237</v>
      </c>
      <c r="F273" s="11">
        <v>40612</v>
      </c>
      <c r="G273" s="47">
        <v>1</v>
      </c>
      <c r="H273" s="48">
        <v>3434.2604999999994</v>
      </c>
      <c r="I273" s="47" t="s">
        <v>1162</v>
      </c>
      <c r="J273" s="47" t="s">
        <v>1240</v>
      </c>
    </row>
    <row r="274" spans="1:10" x14ac:dyDescent="0.25">
      <c r="A274" s="129" t="str">
        <f t="shared" si="5"/>
        <v>1045993</v>
      </c>
      <c r="B274" s="47">
        <v>104</v>
      </c>
      <c r="C274" s="47">
        <v>5993</v>
      </c>
      <c r="D274" s="47">
        <v>50002</v>
      </c>
      <c r="E274" s="47" t="s">
        <v>680</v>
      </c>
      <c r="F274" s="11">
        <v>40695</v>
      </c>
      <c r="G274" s="47">
        <v>1</v>
      </c>
      <c r="H274" s="48">
        <v>4461.7649999999994</v>
      </c>
      <c r="I274" s="47" t="s">
        <v>1174</v>
      </c>
      <c r="J274" s="47" t="s">
        <v>1240</v>
      </c>
    </row>
    <row r="275" spans="1:10" x14ac:dyDescent="0.25">
      <c r="A275" s="129" t="str">
        <f t="shared" si="5"/>
        <v>1046046</v>
      </c>
      <c r="B275" s="47">
        <v>104</v>
      </c>
      <c r="C275" s="47">
        <v>6046</v>
      </c>
      <c r="D275" s="47">
        <v>50002</v>
      </c>
      <c r="E275" s="47" t="s">
        <v>554</v>
      </c>
      <c r="F275" s="11">
        <v>40756</v>
      </c>
      <c r="G275" s="47">
        <v>1</v>
      </c>
      <c r="H275" s="48">
        <v>7596.6659999999993</v>
      </c>
      <c r="I275" s="47" t="s">
        <v>1162</v>
      </c>
      <c r="J275" s="47" t="s">
        <v>1240</v>
      </c>
    </row>
    <row r="276" spans="1:10" x14ac:dyDescent="0.25">
      <c r="A276" s="129" t="str">
        <f t="shared" si="5"/>
        <v>1046099</v>
      </c>
      <c r="B276" s="47">
        <v>104</v>
      </c>
      <c r="C276" s="47">
        <v>6099</v>
      </c>
      <c r="D276" s="47">
        <v>50007</v>
      </c>
      <c r="E276" s="47" t="s">
        <v>282</v>
      </c>
      <c r="F276" s="11">
        <v>40848</v>
      </c>
      <c r="G276" s="47">
        <v>1</v>
      </c>
      <c r="H276" s="48">
        <v>18091.573499999999</v>
      </c>
      <c r="I276" s="47" t="s">
        <v>1128</v>
      </c>
      <c r="J276" s="47" t="s">
        <v>1241</v>
      </c>
    </row>
    <row r="277" spans="1:10" x14ac:dyDescent="0.25">
      <c r="A277" s="129" t="str">
        <f t="shared" si="5"/>
        <v>1046149</v>
      </c>
      <c r="B277" s="47">
        <v>104</v>
      </c>
      <c r="C277" s="47">
        <v>6149</v>
      </c>
      <c r="D277" s="47">
        <v>50007</v>
      </c>
      <c r="E277" s="47" t="s">
        <v>828</v>
      </c>
      <c r="F277" s="11">
        <v>40911</v>
      </c>
      <c r="G277" s="47">
        <v>1</v>
      </c>
      <c r="H277" s="48">
        <v>9689.6084999999985</v>
      </c>
      <c r="I277" s="47" t="s">
        <v>1121</v>
      </c>
      <c r="J277" s="47" t="s">
        <v>1241</v>
      </c>
    </row>
    <row r="278" spans="1:10" x14ac:dyDescent="0.25">
      <c r="A278" s="129" t="str">
        <f t="shared" si="5"/>
        <v>1046150</v>
      </c>
      <c r="B278" s="47">
        <v>104</v>
      </c>
      <c r="C278" s="47">
        <v>6150</v>
      </c>
      <c r="D278" s="47">
        <v>50007</v>
      </c>
      <c r="E278" s="47" t="s">
        <v>618</v>
      </c>
      <c r="F278" s="11">
        <v>40911</v>
      </c>
      <c r="G278" s="47">
        <v>1</v>
      </c>
      <c r="H278" s="48">
        <v>8347.2014999999992</v>
      </c>
      <c r="I278" s="47" t="s">
        <v>1128</v>
      </c>
      <c r="J278" s="47" t="s">
        <v>1241</v>
      </c>
    </row>
    <row r="279" spans="1:10" x14ac:dyDescent="0.25">
      <c r="A279" s="129" t="str">
        <f t="shared" si="5"/>
        <v>1046186</v>
      </c>
      <c r="B279" s="47">
        <v>104</v>
      </c>
      <c r="C279" s="47">
        <v>6186</v>
      </c>
      <c r="D279" s="47">
        <v>50002</v>
      </c>
      <c r="E279" s="47" t="s">
        <v>632</v>
      </c>
      <c r="F279" s="11">
        <v>40918</v>
      </c>
      <c r="G279" s="47">
        <v>1</v>
      </c>
      <c r="H279" s="48">
        <v>9513.8174999999992</v>
      </c>
      <c r="I279" s="47" t="s">
        <v>1162</v>
      </c>
      <c r="J279" s="47" t="s">
        <v>1240</v>
      </c>
    </row>
    <row r="280" spans="1:10" x14ac:dyDescent="0.25">
      <c r="A280" s="129" t="str">
        <f t="shared" si="5"/>
        <v>1046193</v>
      </c>
      <c r="B280" s="47">
        <v>104</v>
      </c>
      <c r="C280" s="47">
        <v>6193</v>
      </c>
      <c r="D280" s="47">
        <v>50007</v>
      </c>
      <c r="E280" s="47" t="s">
        <v>443</v>
      </c>
      <c r="F280" s="11">
        <v>40932</v>
      </c>
      <c r="G280" s="47">
        <v>1</v>
      </c>
      <c r="H280" s="48">
        <v>6161.0339999999997</v>
      </c>
      <c r="I280" s="47" t="s">
        <v>1121</v>
      </c>
      <c r="J280" s="47" t="s">
        <v>1241</v>
      </c>
    </row>
    <row r="281" spans="1:10" x14ac:dyDescent="0.25">
      <c r="A281" s="129" t="str">
        <f t="shared" si="5"/>
        <v>1046216</v>
      </c>
      <c r="B281" s="47">
        <v>104</v>
      </c>
      <c r="C281" s="47">
        <v>6216</v>
      </c>
      <c r="D281" s="47">
        <v>50007</v>
      </c>
      <c r="E281" s="47" t="s">
        <v>635</v>
      </c>
      <c r="F281" s="11">
        <v>40961</v>
      </c>
      <c r="G281" s="47">
        <v>1</v>
      </c>
      <c r="H281" s="48">
        <v>6484.335</v>
      </c>
      <c r="I281" s="47" t="s">
        <v>1121</v>
      </c>
      <c r="J281" s="47" t="s">
        <v>1241</v>
      </c>
    </row>
    <row r="282" spans="1:10" x14ac:dyDescent="0.25">
      <c r="A282" s="129" t="str">
        <f t="shared" si="5"/>
        <v>1046226</v>
      </c>
      <c r="B282" s="47">
        <v>104</v>
      </c>
      <c r="C282" s="47">
        <v>6226</v>
      </c>
      <c r="D282" s="47">
        <v>50007</v>
      </c>
      <c r="E282" s="139" t="s">
        <v>1007</v>
      </c>
      <c r="F282" s="11">
        <v>40976</v>
      </c>
      <c r="G282" s="47">
        <v>1</v>
      </c>
      <c r="H282" s="48">
        <v>8347.2014999999992</v>
      </c>
      <c r="I282" s="47" t="s">
        <v>1139</v>
      </c>
      <c r="J282" s="47" t="s">
        <v>1241</v>
      </c>
    </row>
    <row r="283" spans="1:10" x14ac:dyDescent="0.25">
      <c r="A283" s="129" t="str">
        <f t="shared" si="5"/>
        <v>1046288</v>
      </c>
      <c r="B283" s="47">
        <v>104</v>
      </c>
      <c r="C283" s="47">
        <v>6288</v>
      </c>
      <c r="D283" s="47">
        <v>50007</v>
      </c>
      <c r="E283" s="47" t="s">
        <v>723</v>
      </c>
      <c r="F283" s="11">
        <v>41016</v>
      </c>
      <c r="G283" s="47">
        <v>1</v>
      </c>
      <c r="H283" s="48">
        <v>13332.148499999999</v>
      </c>
      <c r="I283" s="47" t="s">
        <v>1128</v>
      </c>
      <c r="J283" s="47" t="s">
        <v>1241</v>
      </c>
    </row>
    <row r="284" spans="1:10" x14ac:dyDescent="0.25">
      <c r="A284" s="129" t="str">
        <f t="shared" si="5"/>
        <v>1046360</v>
      </c>
      <c r="B284" s="47">
        <v>104</v>
      </c>
      <c r="C284" s="47">
        <v>6360</v>
      </c>
      <c r="D284" s="47">
        <v>50002</v>
      </c>
      <c r="E284" s="47" t="s">
        <v>776</v>
      </c>
      <c r="F284" s="11">
        <v>41100</v>
      </c>
      <c r="G284" s="47">
        <v>1</v>
      </c>
      <c r="H284" s="48">
        <v>9689.6084999999985</v>
      </c>
      <c r="I284" s="47" t="s">
        <v>1162</v>
      </c>
      <c r="J284" s="47" t="s">
        <v>1240</v>
      </c>
    </row>
    <row r="285" spans="1:10" x14ac:dyDescent="0.25">
      <c r="A285" s="129" t="str">
        <f t="shared" si="5"/>
        <v>1046417</v>
      </c>
      <c r="B285" s="47">
        <v>104</v>
      </c>
      <c r="C285" s="47">
        <v>6417</v>
      </c>
      <c r="D285" s="47">
        <v>50002</v>
      </c>
      <c r="E285" s="47" t="s">
        <v>476</v>
      </c>
      <c r="F285" s="11">
        <v>41122</v>
      </c>
      <c r="G285" s="47">
        <v>1</v>
      </c>
      <c r="H285" s="48">
        <v>11169.344999999999</v>
      </c>
      <c r="I285" s="47" t="s">
        <v>1162</v>
      </c>
      <c r="J285" s="47" t="s">
        <v>1240</v>
      </c>
    </row>
    <row r="286" spans="1:10" x14ac:dyDescent="0.25">
      <c r="A286" s="129" t="str">
        <f t="shared" si="5"/>
        <v>1046585</v>
      </c>
      <c r="B286" s="47">
        <v>104</v>
      </c>
      <c r="C286" s="47">
        <v>6585</v>
      </c>
      <c r="D286" s="47">
        <v>50002</v>
      </c>
      <c r="E286" s="47" t="s">
        <v>483</v>
      </c>
      <c r="F286" s="11">
        <v>41236</v>
      </c>
      <c r="G286" s="47">
        <v>1</v>
      </c>
      <c r="H286" s="48">
        <v>4521.8249999999998</v>
      </c>
      <c r="I286" s="47" t="s">
        <v>1174</v>
      </c>
      <c r="J286" s="47" t="s">
        <v>1240</v>
      </c>
    </row>
    <row r="287" spans="1:10" x14ac:dyDescent="0.25">
      <c r="A287" s="129" t="str">
        <f t="shared" si="5"/>
        <v>1046593</v>
      </c>
      <c r="B287" s="47">
        <v>104</v>
      </c>
      <c r="C287" s="47">
        <v>6593</v>
      </c>
      <c r="D287" s="47">
        <v>50002</v>
      </c>
      <c r="E287" s="47" t="s">
        <v>125</v>
      </c>
      <c r="F287" s="11">
        <v>41246</v>
      </c>
      <c r="G287" s="47">
        <v>1</v>
      </c>
      <c r="H287" s="48">
        <v>18280.3995</v>
      </c>
      <c r="I287" s="47" t="s">
        <v>1162</v>
      </c>
      <c r="J287" s="47" t="s">
        <v>1240</v>
      </c>
    </row>
    <row r="288" spans="1:10" x14ac:dyDescent="0.25">
      <c r="A288" s="129" t="str">
        <f t="shared" si="5"/>
        <v>1046636</v>
      </c>
      <c r="B288" s="47">
        <v>104</v>
      </c>
      <c r="C288" s="47">
        <v>6636</v>
      </c>
      <c r="D288" s="47">
        <v>50007</v>
      </c>
      <c r="E288" s="47" t="s">
        <v>380</v>
      </c>
      <c r="F288" s="11">
        <v>41318</v>
      </c>
      <c r="G288" s="47">
        <v>1</v>
      </c>
      <c r="H288" s="48">
        <v>8148.4589999999998</v>
      </c>
      <c r="I288" s="47" t="s">
        <v>1139</v>
      </c>
      <c r="J288" s="47" t="s">
        <v>1241</v>
      </c>
    </row>
    <row r="289" spans="1:10" x14ac:dyDescent="0.25">
      <c r="A289" s="129" t="str">
        <f t="shared" si="5"/>
        <v>1046708</v>
      </c>
      <c r="B289" s="47">
        <v>104</v>
      </c>
      <c r="C289" s="47">
        <v>6708</v>
      </c>
      <c r="D289" s="47">
        <v>50007</v>
      </c>
      <c r="E289" s="47" t="s">
        <v>637</v>
      </c>
      <c r="F289" s="11">
        <v>41372</v>
      </c>
      <c r="G289" s="47">
        <v>1</v>
      </c>
      <c r="H289" s="48">
        <v>3434.2604999999994</v>
      </c>
      <c r="I289" s="47" t="s">
        <v>1121</v>
      </c>
      <c r="J289" s="47" t="s">
        <v>1241</v>
      </c>
    </row>
    <row r="290" spans="1:10" x14ac:dyDescent="0.25">
      <c r="A290" s="129" t="str">
        <f t="shared" si="5"/>
        <v>1046733</v>
      </c>
      <c r="B290" s="47">
        <v>104</v>
      </c>
      <c r="C290" s="47">
        <v>6733</v>
      </c>
      <c r="D290" s="47">
        <v>50007</v>
      </c>
      <c r="E290" s="47" t="s">
        <v>460</v>
      </c>
      <c r="F290" s="11">
        <v>41379</v>
      </c>
      <c r="G290" s="47">
        <v>1</v>
      </c>
      <c r="H290" s="48">
        <v>11550</v>
      </c>
      <c r="I290" s="47" t="s">
        <v>1128</v>
      </c>
      <c r="J290" s="47" t="s">
        <v>1241</v>
      </c>
    </row>
    <row r="291" spans="1:10" x14ac:dyDescent="0.25">
      <c r="A291" s="129" t="str">
        <f t="shared" si="5"/>
        <v>1046744</v>
      </c>
      <c r="B291" s="47">
        <v>104</v>
      </c>
      <c r="C291" s="47">
        <v>6744</v>
      </c>
      <c r="D291" s="47">
        <v>50007</v>
      </c>
      <c r="E291" s="47" t="s">
        <v>157</v>
      </c>
      <c r="F291" s="11">
        <v>41386</v>
      </c>
      <c r="G291" s="47">
        <v>1</v>
      </c>
      <c r="H291" s="48">
        <v>2897.6639999999998</v>
      </c>
      <c r="I291" s="47" t="s">
        <v>1128</v>
      </c>
      <c r="J291" s="47" t="s">
        <v>1241</v>
      </c>
    </row>
    <row r="292" spans="1:10" x14ac:dyDescent="0.25">
      <c r="A292" s="129" t="str">
        <f t="shared" si="5"/>
        <v>1046796</v>
      </c>
      <c r="B292" s="47">
        <v>104</v>
      </c>
      <c r="C292" s="47">
        <v>6796</v>
      </c>
      <c r="D292" s="47">
        <v>50002</v>
      </c>
      <c r="E292" s="139" t="s">
        <v>1017</v>
      </c>
      <c r="F292" s="11">
        <v>41410</v>
      </c>
      <c r="G292" s="47">
        <v>1</v>
      </c>
      <c r="H292" s="48">
        <v>12580.424999999999</v>
      </c>
      <c r="I292" s="47" t="s">
        <v>1162</v>
      </c>
      <c r="J292" s="47" t="s">
        <v>1240</v>
      </c>
    </row>
    <row r="293" spans="1:10" x14ac:dyDescent="0.25">
      <c r="A293" s="129" t="str">
        <f t="shared" si="5"/>
        <v>1046841</v>
      </c>
      <c r="B293" s="47">
        <v>104</v>
      </c>
      <c r="C293" s="47">
        <v>6841</v>
      </c>
      <c r="D293" s="47">
        <v>50007</v>
      </c>
      <c r="E293" s="139" t="s">
        <v>926</v>
      </c>
      <c r="F293" s="11">
        <v>41449</v>
      </c>
      <c r="G293" s="47">
        <v>1</v>
      </c>
      <c r="H293" s="48">
        <v>12580.424999999999</v>
      </c>
      <c r="I293" s="47" t="s">
        <v>1128</v>
      </c>
      <c r="J293" s="47" t="s">
        <v>1241</v>
      </c>
    </row>
    <row r="294" spans="1:10" x14ac:dyDescent="0.25">
      <c r="A294" s="129" t="str">
        <f t="shared" si="5"/>
        <v>1046871</v>
      </c>
      <c r="B294" s="47">
        <v>104</v>
      </c>
      <c r="C294" s="47">
        <v>6871</v>
      </c>
      <c r="D294" s="47">
        <v>50002</v>
      </c>
      <c r="E294" s="139" t="s">
        <v>941</v>
      </c>
      <c r="F294" s="11">
        <v>41487</v>
      </c>
      <c r="G294" s="47">
        <v>1</v>
      </c>
      <c r="H294" s="48">
        <v>7425</v>
      </c>
      <c r="I294" s="47" t="s">
        <v>1162</v>
      </c>
      <c r="J294" s="47" t="s">
        <v>1240</v>
      </c>
    </row>
    <row r="295" spans="1:10" x14ac:dyDescent="0.25">
      <c r="A295" s="129" t="str">
        <f t="shared" si="5"/>
        <v>1046872</v>
      </c>
      <c r="B295" s="47">
        <v>104</v>
      </c>
      <c r="C295" s="47">
        <v>6872</v>
      </c>
      <c r="D295" s="47">
        <v>50002</v>
      </c>
      <c r="E295" s="47" t="s">
        <v>555</v>
      </c>
      <c r="F295" s="11">
        <v>41487</v>
      </c>
      <c r="G295" s="47">
        <v>1</v>
      </c>
      <c r="H295" s="48">
        <v>8347.2014999999992</v>
      </c>
      <c r="I295" s="47" t="s">
        <v>1162</v>
      </c>
      <c r="J295" s="47" t="s">
        <v>1240</v>
      </c>
    </row>
    <row r="296" spans="1:10" x14ac:dyDescent="0.25">
      <c r="A296" s="129" t="str">
        <f t="shared" si="5"/>
        <v>1046873</v>
      </c>
      <c r="B296" s="47">
        <v>104</v>
      </c>
      <c r="C296" s="47">
        <v>6873</v>
      </c>
      <c r="D296" s="47">
        <v>50002</v>
      </c>
      <c r="E296" s="47" t="s">
        <v>348</v>
      </c>
      <c r="F296" s="11">
        <v>41487</v>
      </c>
      <c r="G296" s="47">
        <v>1</v>
      </c>
      <c r="H296" s="48">
        <v>4074.2294999999999</v>
      </c>
      <c r="I296" s="47" t="s">
        <v>1162</v>
      </c>
      <c r="J296" s="47" t="s">
        <v>1240</v>
      </c>
    </row>
    <row r="297" spans="1:10" x14ac:dyDescent="0.25">
      <c r="A297" s="129" t="str">
        <f t="shared" si="5"/>
        <v>1046884</v>
      </c>
      <c r="B297" s="47">
        <v>104</v>
      </c>
      <c r="C297" s="47">
        <v>6884</v>
      </c>
      <c r="D297" s="47">
        <v>50002</v>
      </c>
      <c r="E297" s="47" t="s">
        <v>718</v>
      </c>
      <c r="F297" s="11">
        <v>41494</v>
      </c>
      <c r="G297" s="47">
        <v>1</v>
      </c>
      <c r="H297" s="48">
        <v>12710.395500000001</v>
      </c>
      <c r="I297" s="47" t="s">
        <v>1162</v>
      </c>
      <c r="J297" s="47" t="s">
        <v>1240</v>
      </c>
    </row>
    <row r="298" spans="1:10" x14ac:dyDescent="0.25">
      <c r="A298" s="129" t="str">
        <f t="shared" si="5"/>
        <v>1046899</v>
      </c>
      <c r="B298" s="47">
        <v>104</v>
      </c>
      <c r="C298" s="47">
        <v>6899</v>
      </c>
      <c r="D298" s="47">
        <v>50002</v>
      </c>
      <c r="E298" s="139" t="s">
        <v>962</v>
      </c>
      <c r="F298" s="11">
        <v>41501</v>
      </c>
      <c r="G298" s="47">
        <v>1</v>
      </c>
      <c r="H298" s="48">
        <v>4182.0569999999998</v>
      </c>
      <c r="I298" s="47" t="s">
        <v>1162</v>
      </c>
      <c r="J298" s="47" t="s">
        <v>1240</v>
      </c>
    </row>
    <row r="299" spans="1:10" x14ac:dyDescent="0.25">
      <c r="A299" s="129" t="str">
        <f t="shared" si="5"/>
        <v>1046946</v>
      </c>
      <c r="B299" s="47">
        <v>104</v>
      </c>
      <c r="C299" s="47">
        <v>6946</v>
      </c>
      <c r="D299" s="47">
        <v>50002</v>
      </c>
      <c r="E299" s="139" t="s">
        <v>995</v>
      </c>
      <c r="F299" s="11">
        <v>41529</v>
      </c>
      <c r="G299" s="47">
        <v>1</v>
      </c>
      <c r="H299" s="48">
        <v>11291.081999999999</v>
      </c>
      <c r="I299" s="47" t="s">
        <v>1162</v>
      </c>
      <c r="J299" s="47" t="s">
        <v>1240</v>
      </c>
    </row>
    <row r="300" spans="1:10" x14ac:dyDescent="0.25">
      <c r="A300" s="129" t="str">
        <f t="shared" si="5"/>
        <v>1046949</v>
      </c>
      <c r="B300" s="47">
        <v>104</v>
      </c>
      <c r="C300" s="47">
        <v>6949</v>
      </c>
      <c r="D300" s="47">
        <v>50002</v>
      </c>
      <c r="E300" s="139" t="s">
        <v>947</v>
      </c>
      <c r="F300" s="11">
        <v>41529</v>
      </c>
      <c r="G300" s="47">
        <v>1</v>
      </c>
      <c r="H300" s="48">
        <v>11596.645500000001</v>
      </c>
      <c r="I300" s="47" t="s">
        <v>1177</v>
      </c>
      <c r="J300" s="47" t="s">
        <v>1240</v>
      </c>
    </row>
    <row r="301" spans="1:10" x14ac:dyDescent="0.25">
      <c r="A301" s="129" t="str">
        <f t="shared" si="5"/>
        <v>1046965</v>
      </c>
      <c r="B301" s="47">
        <v>104</v>
      </c>
      <c r="C301" s="47">
        <v>6965</v>
      </c>
      <c r="D301" s="47">
        <v>50007</v>
      </c>
      <c r="E301" s="47" t="s">
        <v>416</v>
      </c>
      <c r="F301" s="11">
        <v>41540</v>
      </c>
      <c r="G301" s="47">
        <v>1</v>
      </c>
      <c r="H301" s="48">
        <v>8796.348</v>
      </c>
      <c r="I301" s="47" t="s">
        <v>1128</v>
      </c>
      <c r="J301" s="47" t="s">
        <v>1241</v>
      </c>
    </row>
    <row r="302" spans="1:10" x14ac:dyDescent="0.25">
      <c r="A302" s="129" t="str">
        <f t="shared" si="5"/>
        <v>1047059</v>
      </c>
      <c r="B302" s="47">
        <v>104</v>
      </c>
      <c r="C302" s="47">
        <v>7059</v>
      </c>
      <c r="D302" s="47">
        <v>50002</v>
      </c>
      <c r="E302" s="47" t="s">
        <v>574</v>
      </c>
      <c r="F302" s="11">
        <v>41641</v>
      </c>
      <c r="G302" s="47">
        <v>1</v>
      </c>
      <c r="H302" s="48">
        <v>18582.481500000002</v>
      </c>
      <c r="I302" s="47" t="s">
        <v>1177</v>
      </c>
      <c r="J302" s="47" t="s">
        <v>1240</v>
      </c>
    </row>
    <row r="303" spans="1:10" x14ac:dyDescent="0.25">
      <c r="A303" s="129" t="str">
        <f t="shared" si="5"/>
        <v>1047082</v>
      </c>
      <c r="B303" s="47">
        <v>104</v>
      </c>
      <c r="C303" s="47">
        <v>7082</v>
      </c>
      <c r="D303" s="47">
        <v>50007</v>
      </c>
      <c r="E303" s="139" t="s">
        <v>934</v>
      </c>
      <c r="F303" s="11">
        <v>41673</v>
      </c>
      <c r="G303" s="47">
        <v>1</v>
      </c>
      <c r="H303" s="48">
        <v>12580.424999999999</v>
      </c>
      <c r="I303" s="47" t="s">
        <v>1139</v>
      </c>
      <c r="J303" s="47" t="s">
        <v>1241</v>
      </c>
    </row>
    <row r="304" spans="1:10" x14ac:dyDescent="0.25">
      <c r="A304" s="129" t="str">
        <f t="shared" si="5"/>
        <v>1047096</v>
      </c>
      <c r="B304" s="47">
        <v>104</v>
      </c>
      <c r="C304" s="47">
        <v>7096</v>
      </c>
      <c r="D304" s="47">
        <v>50007</v>
      </c>
      <c r="E304" s="47" t="s">
        <v>438</v>
      </c>
      <c r="F304" s="11">
        <v>41680</v>
      </c>
      <c r="G304" s="47">
        <v>1</v>
      </c>
      <c r="H304" s="48">
        <v>16865.326499999999</v>
      </c>
      <c r="I304" s="47" t="s">
        <v>1121</v>
      </c>
      <c r="J304" s="47" t="s">
        <v>1241</v>
      </c>
    </row>
    <row r="305" spans="1:10" x14ac:dyDescent="0.25">
      <c r="A305" s="129" t="str">
        <f t="shared" si="5"/>
        <v>1047097</v>
      </c>
      <c r="B305" s="47">
        <v>104</v>
      </c>
      <c r="C305" s="47">
        <v>7097</v>
      </c>
      <c r="D305" s="47">
        <v>50007</v>
      </c>
      <c r="E305" s="139" t="s">
        <v>975</v>
      </c>
      <c r="F305" s="11">
        <v>41680</v>
      </c>
      <c r="G305" s="47">
        <v>1</v>
      </c>
      <c r="H305" s="48">
        <v>8585.6924999999992</v>
      </c>
      <c r="I305" s="47" t="s">
        <v>1121</v>
      </c>
      <c r="J305" s="47" t="s">
        <v>1241</v>
      </c>
    </row>
    <row r="306" spans="1:10" x14ac:dyDescent="0.25">
      <c r="A306" s="129" t="str">
        <f t="shared" si="5"/>
        <v>1048572</v>
      </c>
      <c r="B306" s="47">
        <v>104</v>
      </c>
      <c r="C306" s="47">
        <v>8572</v>
      </c>
      <c r="D306" s="47">
        <v>50007</v>
      </c>
      <c r="E306" s="139" t="s">
        <v>855</v>
      </c>
      <c r="F306" s="11">
        <v>41691</v>
      </c>
      <c r="G306" s="47">
        <v>1</v>
      </c>
      <c r="H306" s="48">
        <v>4927.6260000000002</v>
      </c>
      <c r="I306" s="47" t="s">
        <v>1128</v>
      </c>
      <c r="J306" s="47" t="s">
        <v>1241</v>
      </c>
    </row>
    <row r="307" spans="1:10" x14ac:dyDescent="0.25">
      <c r="A307" s="129" t="str">
        <f t="shared" si="5"/>
        <v>1048578</v>
      </c>
      <c r="B307" s="47">
        <v>104</v>
      </c>
      <c r="C307" s="47">
        <v>8578</v>
      </c>
      <c r="D307" s="47">
        <v>50007</v>
      </c>
      <c r="E307" s="139" t="s">
        <v>889</v>
      </c>
      <c r="F307" s="11">
        <v>41691</v>
      </c>
      <c r="G307" s="47">
        <v>1</v>
      </c>
      <c r="H307" s="48">
        <v>3434.2604999999994</v>
      </c>
      <c r="I307" s="47" t="s">
        <v>1128</v>
      </c>
      <c r="J307" s="47" t="s">
        <v>1241</v>
      </c>
    </row>
    <row r="308" spans="1:10" x14ac:dyDescent="0.25">
      <c r="A308" s="129" t="str">
        <f t="shared" si="5"/>
        <v>1048580</v>
      </c>
      <c r="B308" s="47">
        <v>104</v>
      </c>
      <c r="C308" s="47">
        <v>8580</v>
      </c>
      <c r="D308" s="47">
        <v>50007</v>
      </c>
      <c r="E308" s="47" t="s">
        <v>383</v>
      </c>
      <c r="F308" s="11">
        <v>41691</v>
      </c>
      <c r="G308" s="47">
        <v>1</v>
      </c>
      <c r="H308" s="48">
        <v>6081.5535</v>
      </c>
      <c r="I308" s="47" t="s">
        <v>1121</v>
      </c>
      <c r="J308" s="47" t="s">
        <v>1241</v>
      </c>
    </row>
    <row r="309" spans="1:10" x14ac:dyDescent="0.25">
      <c r="A309" s="129" t="str">
        <f t="shared" si="5"/>
        <v>1048582</v>
      </c>
      <c r="B309" s="47">
        <v>104</v>
      </c>
      <c r="C309" s="47">
        <v>8582</v>
      </c>
      <c r="D309" s="47">
        <v>50007</v>
      </c>
      <c r="E309" s="47" t="s">
        <v>440</v>
      </c>
      <c r="F309" s="11">
        <v>41691</v>
      </c>
      <c r="G309" s="47">
        <v>1</v>
      </c>
      <c r="H309" s="48">
        <v>8347.2014999999992</v>
      </c>
      <c r="I309" s="47" t="s">
        <v>1128</v>
      </c>
      <c r="J309" s="47" t="s">
        <v>1241</v>
      </c>
    </row>
    <row r="310" spans="1:10" x14ac:dyDescent="0.25">
      <c r="A310" s="129" t="str">
        <f t="shared" si="5"/>
        <v>1048630</v>
      </c>
      <c r="B310" s="47">
        <v>104</v>
      </c>
      <c r="C310" s="47">
        <v>8630</v>
      </c>
      <c r="D310" s="47">
        <v>50002</v>
      </c>
      <c r="E310" s="139" t="s">
        <v>959</v>
      </c>
      <c r="F310" s="11">
        <v>41730</v>
      </c>
      <c r="G310" s="47">
        <v>1</v>
      </c>
      <c r="H310" s="48">
        <v>8474.4</v>
      </c>
      <c r="I310" s="47" t="s">
        <v>1177</v>
      </c>
      <c r="J310" s="47" t="s">
        <v>1240</v>
      </c>
    </row>
    <row r="311" spans="1:10" x14ac:dyDescent="0.25">
      <c r="A311" s="129" t="str">
        <f t="shared" si="5"/>
        <v>1048634</v>
      </c>
      <c r="B311" s="47">
        <v>104</v>
      </c>
      <c r="C311" s="47">
        <v>8634</v>
      </c>
      <c r="D311" s="47">
        <v>50002</v>
      </c>
      <c r="E311" s="47" t="s">
        <v>459</v>
      </c>
      <c r="F311" s="11">
        <v>41730</v>
      </c>
      <c r="G311" s="47">
        <v>1</v>
      </c>
      <c r="H311" s="48">
        <v>8217.3134999999984</v>
      </c>
      <c r="I311" s="47" t="s">
        <v>1174</v>
      </c>
      <c r="J311" s="47" t="s">
        <v>1240</v>
      </c>
    </row>
    <row r="312" spans="1:10" x14ac:dyDescent="0.25">
      <c r="A312" s="129" t="str">
        <f t="shared" si="5"/>
        <v>1048637</v>
      </c>
      <c r="B312" s="47">
        <v>104</v>
      </c>
      <c r="C312" s="47">
        <v>8637</v>
      </c>
      <c r="D312" s="47">
        <v>50002</v>
      </c>
      <c r="E312" s="139" t="s">
        <v>1100</v>
      </c>
      <c r="F312" s="11">
        <v>41730</v>
      </c>
      <c r="G312" s="47">
        <v>1</v>
      </c>
      <c r="H312" s="48">
        <v>9937.1579999999994</v>
      </c>
      <c r="I312" s="47" t="s">
        <v>1162</v>
      </c>
      <c r="J312" s="47" t="s">
        <v>1240</v>
      </c>
    </row>
    <row r="313" spans="1:10" x14ac:dyDescent="0.25">
      <c r="A313" s="129" t="str">
        <f t="shared" si="5"/>
        <v>1048658</v>
      </c>
      <c r="B313" s="47">
        <v>104</v>
      </c>
      <c r="C313" s="47">
        <v>8658</v>
      </c>
      <c r="D313" s="47">
        <v>50007</v>
      </c>
      <c r="E313" s="47" t="s">
        <v>342</v>
      </c>
      <c r="F313" s="11">
        <v>41764</v>
      </c>
      <c r="G313" s="47">
        <v>1</v>
      </c>
      <c r="H313" s="48">
        <v>5426.19</v>
      </c>
      <c r="I313" s="47" t="s">
        <v>1128</v>
      </c>
      <c r="J313" s="47" t="s">
        <v>1241</v>
      </c>
    </row>
    <row r="314" spans="1:10" x14ac:dyDescent="0.25">
      <c r="A314" s="129" t="str">
        <f t="shared" si="5"/>
        <v>1048679</v>
      </c>
      <c r="B314" s="47">
        <v>104</v>
      </c>
      <c r="C314" s="47">
        <v>8679</v>
      </c>
      <c r="D314" s="47">
        <v>50002</v>
      </c>
      <c r="E314" s="47" t="s">
        <v>364</v>
      </c>
      <c r="F314" s="11">
        <v>41772</v>
      </c>
      <c r="G314" s="47">
        <v>1</v>
      </c>
      <c r="H314" s="48">
        <v>6540.8805000000002</v>
      </c>
      <c r="I314" s="47" t="s">
        <v>1177</v>
      </c>
      <c r="J314" s="47" t="s">
        <v>1240</v>
      </c>
    </row>
    <row r="315" spans="1:10" x14ac:dyDescent="0.25">
      <c r="A315" s="129" t="str">
        <f t="shared" ref="A315:A359" si="6">B315&amp;C315</f>
        <v>1048685</v>
      </c>
      <c r="B315" s="47">
        <v>104</v>
      </c>
      <c r="C315" s="47">
        <v>8685</v>
      </c>
      <c r="D315" s="47">
        <v>50002</v>
      </c>
      <c r="E315" s="47" t="s">
        <v>482</v>
      </c>
      <c r="F315" s="11">
        <v>41781</v>
      </c>
      <c r="G315" s="47">
        <v>1</v>
      </c>
      <c r="H315" s="48">
        <v>4401.5729999999994</v>
      </c>
      <c r="I315" s="47" t="s">
        <v>1162</v>
      </c>
      <c r="J315" s="47" t="s">
        <v>1240</v>
      </c>
    </row>
    <row r="316" spans="1:10" x14ac:dyDescent="0.25">
      <c r="A316" s="129" t="str">
        <f t="shared" si="6"/>
        <v>1048689</v>
      </c>
      <c r="B316" s="47">
        <v>104</v>
      </c>
      <c r="C316" s="47">
        <v>8689</v>
      </c>
      <c r="D316" s="47">
        <v>50007</v>
      </c>
      <c r="E316" s="47" t="s">
        <v>336</v>
      </c>
      <c r="F316" s="11">
        <v>41781</v>
      </c>
      <c r="G316" s="47">
        <v>1</v>
      </c>
      <c r="H316" s="48">
        <v>4739.7735000000002</v>
      </c>
      <c r="I316" s="47" t="s">
        <v>1128</v>
      </c>
      <c r="J316" s="47" t="s">
        <v>1241</v>
      </c>
    </row>
    <row r="317" spans="1:10" x14ac:dyDescent="0.25">
      <c r="A317" s="129" t="str">
        <f t="shared" si="6"/>
        <v>1048691</v>
      </c>
      <c r="B317" s="47">
        <v>104</v>
      </c>
      <c r="C317" s="47">
        <v>8691</v>
      </c>
      <c r="D317" s="47">
        <v>50002</v>
      </c>
      <c r="E317" s="47" t="s">
        <v>648</v>
      </c>
      <c r="F317" s="11">
        <v>41781</v>
      </c>
      <c r="G317" s="47">
        <v>1</v>
      </c>
      <c r="H317" s="48">
        <v>11596.645500000001</v>
      </c>
      <c r="I317" s="47" t="s">
        <v>1162</v>
      </c>
      <c r="J317" s="47" t="s">
        <v>1240</v>
      </c>
    </row>
    <row r="318" spans="1:10" x14ac:dyDescent="0.25">
      <c r="A318" s="129" t="str">
        <f t="shared" si="6"/>
        <v>1048693</v>
      </c>
      <c r="B318" s="47">
        <v>104</v>
      </c>
      <c r="C318" s="47">
        <v>8693</v>
      </c>
      <c r="D318" s="47">
        <v>50002</v>
      </c>
      <c r="E318" s="47" t="s">
        <v>351</v>
      </c>
      <c r="F318" s="11">
        <v>41781</v>
      </c>
      <c r="G318" s="47">
        <v>1</v>
      </c>
      <c r="H318" s="48">
        <v>29561.152499999997</v>
      </c>
      <c r="I318" s="47" t="s">
        <v>1162</v>
      </c>
      <c r="J318" s="47" t="s">
        <v>1240</v>
      </c>
    </row>
    <row r="319" spans="1:10" x14ac:dyDescent="0.25">
      <c r="A319" s="129" t="str">
        <f t="shared" si="6"/>
        <v>1048695</v>
      </c>
      <c r="B319" s="47">
        <v>104</v>
      </c>
      <c r="C319" s="47">
        <v>8695</v>
      </c>
      <c r="D319" s="47">
        <v>50002</v>
      </c>
      <c r="E319" s="47" t="s">
        <v>200</v>
      </c>
      <c r="F319" s="11">
        <v>41781</v>
      </c>
      <c r="G319" s="47">
        <v>1</v>
      </c>
      <c r="H319" s="48">
        <v>21498.031500000001</v>
      </c>
      <c r="I319" s="47" t="s">
        <v>1162</v>
      </c>
      <c r="J319" s="47" t="s">
        <v>1240</v>
      </c>
    </row>
    <row r="320" spans="1:10" x14ac:dyDescent="0.25">
      <c r="A320" s="129" t="str">
        <f t="shared" si="6"/>
        <v>1048712</v>
      </c>
      <c r="B320" s="47">
        <v>104</v>
      </c>
      <c r="C320" s="47">
        <v>8712</v>
      </c>
      <c r="D320" s="47">
        <v>50007</v>
      </c>
      <c r="E320" s="47" t="s">
        <v>439</v>
      </c>
      <c r="F320" s="11">
        <v>41803</v>
      </c>
      <c r="G320" s="47">
        <v>1</v>
      </c>
      <c r="H320" s="48">
        <v>4984.848</v>
      </c>
      <c r="I320" s="47" t="s">
        <v>1141</v>
      </c>
      <c r="J320" s="47" t="s">
        <v>1241</v>
      </c>
    </row>
    <row r="321" spans="1:10" x14ac:dyDescent="0.25">
      <c r="A321" s="129" t="str">
        <f t="shared" si="6"/>
        <v>1048713</v>
      </c>
      <c r="B321" s="47">
        <v>104</v>
      </c>
      <c r="C321" s="47">
        <v>8713</v>
      </c>
      <c r="D321" s="47">
        <v>50007</v>
      </c>
      <c r="E321" s="139" t="s">
        <v>931</v>
      </c>
      <c r="F321" s="11">
        <v>41803</v>
      </c>
      <c r="G321" s="47">
        <v>1</v>
      </c>
      <c r="H321" s="48">
        <v>35102.264999999992</v>
      </c>
      <c r="I321" s="47" t="s">
        <v>1121</v>
      </c>
      <c r="J321" s="47" t="s">
        <v>1241</v>
      </c>
    </row>
    <row r="322" spans="1:10" x14ac:dyDescent="0.25">
      <c r="A322" s="129" t="str">
        <f t="shared" si="6"/>
        <v>1048732</v>
      </c>
      <c r="B322" s="47">
        <v>104</v>
      </c>
      <c r="C322" s="47">
        <v>8732</v>
      </c>
      <c r="D322" s="47">
        <v>50007</v>
      </c>
      <c r="E322" s="47" t="s">
        <v>255</v>
      </c>
      <c r="F322" s="11">
        <v>41821</v>
      </c>
      <c r="G322" s="47">
        <v>1</v>
      </c>
      <c r="H322" s="48">
        <v>4138.3649999999998</v>
      </c>
      <c r="I322" s="47" t="s">
        <v>1121</v>
      </c>
      <c r="J322" s="47" t="s">
        <v>1241</v>
      </c>
    </row>
    <row r="323" spans="1:10" x14ac:dyDescent="0.25">
      <c r="A323" s="129" t="str">
        <f t="shared" si="6"/>
        <v>1048755</v>
      </c>
      <c r="B323" s="47">
        <v>104</v>
      </c>
      <c r="C323" s="47">
        <v>8755</v>
      </c>
      <c r="D323" s="47">
        <v>50002</v>
      </c>
      <c r="E323" s="139" t="s">
        <v>1042</v>
      </c>
      <c r="F323" s="11">
        <v>41843</v>
      </c>
      <c r="G323" s="47">
        <v>1</v>
      </c>
      <c r="H323" s="48">
        <v>14931.4275</v>
      </c>
      <c r="I323" s="47" t="s">
        <v>1162</v>
      </c>
      <c r="J323" s="47" t="s">
        <v>1240</v>
      </c>
    </row>
    <row r="324" spans="1:10" x14ac:dyDescent="0.25">
      <c r="A324" s="129" t="str">
        <f t="shared" si="6"/>
        <v>1048756</v>
      </c>
      <c r="B324" s="47">
        <v>104</v>
      </c>
      <c r="C324" s="47">
        <v>8756</v>
      </c>
      <c r="D324" s="47">
        <v>50002</v>
      </c>
      <c r="E324" s="47" t="s">
        <v>139</v>
      </c>
      <c r="F324" s="11">
        <v>41843</v>
      </c>
      <c r="G324" s="47">
        <v>1</v>
      </c>
      <c r="H324" s="48">
        <v>15740.108999999999</v>
      </c>
      <c r="I324" s="47" t="s">
        <v>1162</v>
      </c>
      <c r="J324" s="47" t="s">
        <v>1240</v>
      </c>
    </row>
    <row r="325" spans="1:10" x14ac:dyDescent="0.25">
      <c r="A325" s="129" t="str">
        <f t="shared" si="6"/>
        <v>1102167</v>
      </c>
      <c r="B325" s="47">
        <v>110</v>
      </c>
      <c r="C325" s="47">
        <v>2167</v>
      </c>
      <c r="D325" s="47">
        <v>50001</v>
      </c>
      <c r="E325" s="139" t="s">
        <v>885</v>
      </c>
      <c r="F325" s="11">
        <v>38817</v>
      </c>
      <c r="G325" s="47">
        <v>1</v>
      </c>
      <c r="H325" s="48">
        <v>8795.1764999999996</v>
      </c>
      <c r="I325" s="47" t="s">
        <v>1178</v>
      </c>
      <c r="J325" s="47" t="s">
        <v>1218</v>
      </c>
    </row>
    <row r="326" spans="1:10" x14ac:dyDescent="0.25">
      <c r="A326" s="129" t="str">
        <f t="shared" si="6"/>
        <v>1102168</v>
      </c>
      <c r="B326" s="47">
        <v>110</v>
      </c>
      <c r="C326" s="47">
        <v>2168</v>
      </c>
      <c r="D326" s="47">
        <v>50007</v>
      </c>
      <c r="E326" s="47" t="s">
        <v>825</v>
      </c>
      <c r="F326" s="11">
        <v>38817</v>
      </c>
      <c r="G326" s="47">
        <v>1</v>
      </c>
      <c r="H326" s="48">
        <v>19531.808999999997</v>
      </c>
      <c r="I326" s="47" t="s">
        <v>1141</v>
      </c>
      <c r="J326" s="47" t="s">
        <v>1241</v>
      </c>
    </row>
    <row r="327" spans="1:10" x14ac:dyDescent="0.25">
      <c r="A327" s="129" t="str">
        <f t="shared" si="6"/>
        <v>1102226</v>
      </c>
      <c r="B327" s="47">
        <v>110</v>
      </c>
      <c r="C327" s="47">
        <v>2226</v>
      </c>
      <c r="D327" s="47">
        <v>50007</v>
      </c>
      <c r="E327" s="47" t="s">
        <v>311</v>
      </c>
      <c r="F327" s="11">
        <v>38877</v>
      </c>
      <c r="G327" s="47">
        <v>1</v>
      </c>
      <c r="H327" s="48">
        <v>5940</v>
      </c>
      <c r="I327" s="47" t="s">
        <v>1130</v>
      </c>
      <c r="J327" s="47" t="s">
        <v>1241</v>
      </c>
    </row>
    <row r="328" spans="1:10" x14ac:dyDescent="0.25">
      <c r="A328" s="129" t="str">
        <f t="shared" si="6"/>
        <v>1102589</v>
      </c>
      <c r="B328" s="47">
        <v>110</v>
      </c>
      <c r="C328" s="47">
        <v>2589</v>
      </c>
      <c r="D328" s="47">
        <v>50007</v>
      </c>
      <c r="E328" s="47" t="s">
        <v>488</v>
      </c>
      <c r="F328" s="11">
        <v>39085</v>
      </c>
      <c r="G328" s="47">
        <v>1</v>
      </c>
      <c r="H328" s="48">
        <v>8220.6794999999984</v>
      </c>
      <c r="I328" s="47" t="s">
        <v>1179</v>
      </c>
      <c r="J328" s="47" t="s">
        <v>1241</v>
      </c>
    </row>
    <row r="329" spans="1:10" x14ac:dyDescent="0.25">
      <c r="A329" s="129" t="str">
        <f t="shared" si="6"/>
        <v>1103890</v>
      </c>
      <c r="B329" s="47">
        <v>110</v>
      </c>
      <c r="C329" s="47">
        <v>3890</v>
      </c>
      <c r="D329" s="47">
        <v>50007</v>
      </c>
      <c r="E329" s="47" t="s">
        <v>581</v>
      </c>
      <c r="F329" s="11">
        <v>39574</v>
      </c>
      <c r="G329" s="47">
        <v>1</v>
      </c>
      <c r="H329" s="48">
        <v>7596.6659999999993</v>
      </c>
      <c r="I329" s="47" t="s">
        <v>1141</v>
      </c>
      <c r="J329" s="47" t="s">
        <v>1241</v>
      </c>
    </row>
    <row r="330" spans="1:10" x14ac:dyDescent="0.25">
      <c r="A330" s="129" t="str">
        <f t="shared" si="6"/>
        <v>1104646</v>
      </c>
      <c r="B330" s="47">
        <v>110</v>
      </c>
      <c r="C330" s="47">
        <v>4646</v>
      </c>
      <c r="D330" s="47">
        <v>50007</v>
      </c>
      <c r="E330" s="139" t="s">
        <v>876</v>
      </c>
      <c r="F330" s="11">
        <v>39968</v>
      </c>
      <c r="G330" s="47">
        <v>1</v>
      </c>
      <c r="H330" s="48">
        <v>6856.6409999999996</v>
      </c>
      <c r="I330" s="47" t="s">
        <v>1139</v>
      </c>
      <c r="J330" s="47" t="s">
        <v>1241</v>
      </c>
    </row>
    <row r="331" spans="1:10" x14ac:dyDescent="0.25">
      <c r="A331" s="129" t="str">
        <f t="shared" si="6"/>
        <v>1106207</v>
      </c>
      <c r="B331" s="47">
        <v>110</v>
      </c>
      <c r="C331" s="47">
        <v>6207</v>
      </c>
      <c r="D331" s="47">
        <v>50007</v>
      </c>
      <c r="E331" s="47" t="s">
        <v>738</v>
      </c>
      <c r="F331" s="11">
        <v>40949</v>
      </c>
      <c r="G331" s="47">
        <v>1</v>
      </c>
      <c r="H331" s="48">
        <v>3740.4674999999993</v>
      </c>
      <c r="I331" s="47" t="s">
        <v>1139</v>
      </c>
      <c r="J331" s="47" t="s">
        <v>1241</v>
      </c>
    </row>
    <row r="332" spans="1:10" x14ac:dyDescent="0.25">
      <c r="A332" s="129" t="str">
        <f t="shared" si="6"/>
        <v>1106344</v>
      </c>
      <c r="B332" s="47">
        <v>110</v>
      </c>
      <c r="C332" s="47">
        <v>6344</v>
      </c>
      <c r="D332" s="47">
        <v>50007</v>
      </c>
      <c r="E332" s="47" t="s">
        <v>397</v>
      </c>
      <c r="F332" s="11">
        <v>41075</v>
      </c>
      <c r="G332" s="47">
        <v>1</v>
      </c>
      <c r="H332" s="48">
        <v>7954.4025000000001</v>
      </c>
      <c r="I332" s="47" t="s">
        <v>1139</v>
      </c>
      <c r="J332" s="47" t="s">
        <v>1241</v>
      </c>
    </row>
    <row r="333" spans="1:10" x14ac:dyDescent="0.25">
      <c r="A333" s="129" t="str">
        <f t="shared" si="6"/>
        <v>1106570</v>
      </c>
      <c r="B333" s="47">
        <v>110</v>
      </c>
      <c r="C333" s="47">
        <v>6570</v>
      </c>
      <c r="D333" s="47">
        <v>50001</v>
      </c>
      <c r="E333" s="47" t="s">
        <v>140</v>
      </c>
      <c r="F333" s="11">
        <v>41225</v>
      </c>
      <c r="G333" s="47">
        <v>1</v>
      </c>
      <c r="H333" s="48">
        <v>9647.6324999999997</v>
      </c>
      <c r="I333" s="47" t="s">
        <v>1166</v>
      </c>
      <c r="J333" s="47" t="s">
        <v>1218</v>
      </c>
    </row>
    <row r="334" spans="1:10" x14ac:dyDescent="0.25">
      <c r="A334" s="129" t="str">
        <f t="shared" si="6"/>
        <v>1108710</v>
      </c>
      <c r="B334" s="47">
        <v>110</v>
      </c>
      <c r="C334" s="47">
        <v>8710</v>
      </c>
      <c r="D334" s="47">
        <v>50001</v>
      </c>
      <c r="E334" s="47" t="s">
        <v>233</v>
      </c>
      <c r="F334" s="11">
        <v>35025</v>
      </c>
      <c r="G334" s="47">
        <v>1</v>
      </c>
      <c r="H334" s="48">
        <v>9647.6324999999997</v>
      </c>
      <c r="I334" s="47" t="s">
        <v>1132</v>
      </c>
      <c r="J334" s="47" t="s">
        <v>1218</v>
      </c>
    </row>
    <row r="335" spans="1:10" x14ac:dyDescent="0.25">
      <c r="A335" s="129" t="str">
        <f t="shared" si="6"/>
        <v>1108714</v>
      </c>
      <c r="B335" s="47">
        <v>110</v>
      </c>
      <c r="C335" s="47">
        <v>8714</v>
      </c>
      <c r="D335" s="47">
        <v>50007</v>
      </c>
      <c r="E335" s="139" t="s">
        <v>900</v>
      </c>
      <c r="F335" s="11">
        <v>41803</v>
      </c>
      <c r="G335" s="47">
        <v>1</v>
      </c>
      <c r="H335" s="48">
        <v>9647.6324999999997</v>
      </c>
      <c r="I335" s="47" t="s">
        <v>1139</v>
      </c>
      <c r="J335" s="47" t="s">
        <v>1241</v>
      </c>
    </row>
    <row r="336" spans="1:10" x14ac:dyDescent="0.25">
      <c r="A336" s="129" t="str">
        <f t="shared" si="6"/>
        <v>1152106</v>
      </c>
      <c r="B336" s="47">
        <v>115</v>
      </c>
      <c r="C336" s="47">
        <v>2106</v>
      </c>
      <c r="D336" s="47">
        <v>50003</v>
      </c>
      <c r="E336" s="47" t="s">
        <v>150</v>
      </c>
      <c r="F336" s="11">
        <v>38512</v>
      </c>
      <c r="G336" s="47">
        <v>1</v>
      </c>
      <c r="H336" s="48">
        <v>9647.6324999999997</v>
      </c>
      <c r="I336" s="47" t="s">
        <v>1180</v>
      </c>
      <c r="J336" s="47" t="s">
        <v>1242</v>
      </c>
    </row>
    <row r="337" spans="1:10" x14ac:dyDescent="0.25">
      <c r="A337" s="129" t="str">
        <f t="shared" si="6"/>
        <v>1152134</v>
      </c>
      <c r="B337" s="47">
        <v>115</v>
      </c>
      <c r="C337" s="47">
        <v>2134</v>
      </c>
      <c r="D337" s="47">
        <v>50002</v>
      </c>
      <c r="E337" s="47" t="s">
        <v>196</v>
      </c>
      <c r="F337" s="11">
        <v>38614</v>
      </c>
      <c r="G337" s="47">
        <v>1</v>
      </c>
      <c r="H337" s="48">
        <v>9647.6324999999997</v>
      </c>
      <c r="I337" s="47" t="s">
        <v>1174</v>
      </c>
      <c r="J337" s="47" t="s">
        <v>1240</v>
      </c>
    </row>
    <row r="338" spans="1:10" x14ac:dyDescent="0.25">
      <c r="A338" s="129" t="str">
        <f t="shared" si="6"/>
        <v>1152196</v>
      </c>
      <c r="B338" s="47">
        <v>115</v>
      </c>
      <c r="C338" s="47">
        <v>2196</v>
      </c>
      <c r="D338" s="47">
        <v>50001</v>
      </c>
      <c r="E338" s="139" t="s">
        <v>1104</v>
      </c>
      <c r="F338" s="11">
        <v>38855</v>
      </c>
      <c r="G338" s="47">
        <v>1</v>
      </c>
      <c r="H338" s="48">
        <v>4351.875</v>
      </c>
      <c r="I338" s="47" t="s">
        <v>1181</v>
      </c>
      <c r="J338" s="47" t="s">
        <v>1218</v>
      </c>
    </row>
    <row r="339" spans="1:10" x14ac:dyDescent="0.25">
      <c r="A339" s="129" t="str">
        <f t="shared" si="6"/>
        <v>1152315</v>
      </c>
      <c r="B339" s="47">
        <v>115</v>
      </c>
      <c r="C339" s="47">
        <v>2315</v>
      </c>
      <c r="D339" s="47">
        <v>50007</v>
      </c>
      <c r="E339" s="47" t="s">
        <v>615</v>
      </c>
      <c r="F339" s="11">
        <v>38974</v>
      </c>
      <c r="G339" s="47">
        <v>1</v>
      </c>
      <c r="H339" s="48">
        <v>3481.5</v>
      </c>
      <c r="I339" s="47" t="s">
        <v>1139</v>
      </c>
      <c r="J339" s="47" t="s">
        <v>1241</v>
      </c>
    </row>
    <row r="340" spans="1:10" x14ac:dyDescent="0.25">
      <c r="A340" s="129" t="str">
        <f t="shared" si="6"/>
        <v>1152389</v>
      </c>
      <c r="B340" s="47">
        <v>115</v>
      </c>
      <c r="C340" s="47">
        <v>2389</v>
      </c>
      <c r="D340" s="47">
        <v>50002</v>
      </c>
      <c r="E340" s="139" t="s">
        <v>1094</v>
      </c>
      <c r="F340" s="11">
        <v>39010</v>
      </c>
      <c r="G340" s="47">
        <v>1</v>
      </c>
      <c r="H340" s="48">
        <v>4620</v>
      </c>
      <c r="I340" s="47" t="s">
        <v>1174</v>
      </c>
      <c r="J340" s="47" t="s">
        <v>1240</v>
      </c>
    </row>
    <row r="341" spans="1:10" x14ac:dyDescent="0.25">
      <c r="A341" s="129" t="str">
        <f t="shared" si="6"/>
        <v>1152392</v>
      </c>
      <c r="B341" s="47">
        <v>115</v>
      </c>
      <c r="C341" s="47">
        <v>2392</v>
      </c>
      <c r="D341" s="47">
        <v>50007</v>
      </c>
      <c r="E341" s="47" t="s">
        <v>608</v>
      </c>
      <c r="F341" s="11">
        <v>39010</v>
      </c>
      <c r="G341" s="47">
        <v>1</v>
      </c>
      <c r="H341" s="48">
        <v>4950</v>
      </c>
      <c r="I341" s="47" t="s">
        <v>1130</v>
      </c>
      <c r="J341" s="47" t="s">
        <v>1241</v>
      </c>
    </row>
    <row r="342" spans="1:10" x14ac:dyDescent="0.25">
      <c r="A342" s="129" t="str">
        <f t="shared" si="6"/>
        <v>1152393</v>
      </c>
      <c r="B342" s="47">
        <v>115</v>
      </c>
      <c r="C342" s="47">
        <v>2393</v>
      </c>
      <c r="D342" s="47">
        <v>50007</v>
      </c>
      <c r="E342" s="47" t="s">
        <v>346</v>
      </c>
      <c r="F342" s="11">
        <v>39010</v>
      </c>
      <c r="G342" s="47">
        <v>1</v>
      </c>
      <c r="H342" s="48">
        <v>7971.3974999999991</v>
      </c>
      <c r="I342" s="47" t="s">
        <v>1141</v>
      </c>
      <c r="J342" s="47" t="s">
        <v>1241</v>
      </c>
    </row>
    <row r="343" spans="1:10" x14ac:dyDescent="0.25">
      <c r="A343" s="129" t="str">
        <f t="shared" si="6"/>
        <v>1152724</v>
      </c>
      <c r="B343" s="47">
        <v>115</v>
      </c>
      <c r="C343" s="47">
        <v>2724</v>
      </c>
      <c r="D343" s="47">
        <v>50002</v>
      </c>
      <c r="E343" s="47" t="s">
        <v>703</v>
      </c>
      <c r="F343" s="11">
        <v>39179</v>
      </c>
      <c r="G343" s="47">
        <v>1</v>
      </c>
      <c r="H343" s="48">
        <v>14571.974999999999</v>
      </c>
      <c r="I343" s="47" t="s">
        <v>1174</v>
      </c>
      <c r="J343" s="47" t="s">
        <v>1240</v>
      </c>
    </row>
    <row r="344" spans="1:10" x14ac:dyDescent="0.25">
      <c r="A344" s="129" t="str">
        <f t="shared" si="6"/>
        <v>1152774</v>
      </c>
      <c r="B344" s="47">
        <v>115</v>
      </c>
      <c r="C344" s="47">
        <v>2774</v>
      </c>
      <c r="D344" s="47">
        <v>50007</v>
      </c>
      <c r="E344" s="47" t="s">
        <v>499</v>
      </c>
      <c r="F344" s="11">
        <v>39220</v>
      </c>
      <c r="G344" s="47">
        <v>1</v>
      </c>
      <c r="H344" s="48">
        <v>4285.875</v>
      </c>
      <c r="I344" s="47" t="s">
        <v>1141</v>
      </c>
      <c r="J344" s="47" t="s">
        <v>1241</v>
      </c>
    </row>
    <row r="345" spans="1:10" x14ac:dyDescent="0.25">
      <c r="A345" s="129" t="str">
        <f t="shared" si="6"/>
        <v>1153100</v>
      </c>
      <c r="B345" s="47">
        <v>115</v>
      </c>
      <c r="C345" s="47">
        <v>3100</v>
      </c>
      <c r="D345" s="47">
        <v>50007</v>
      </c>
      <c r="E345" s="47" t="s">
        <v>174</v>
      </c>
      <c r="F345" s="11">
        <v>39345</v>
      </c>
      <c r="G345" s="47">
        <v>1</v>
      </c>
      <c r="H345" s="48">
        <v>7837.0214999999998</v>
      </c>
      <c r="I345" s="47" t="s">
        <v>1130</v>
      </c>
      <c r="J345" s="47" t="s">
        <v>1241</v>
      </c>
    </row>
    <row r="346" spans="1:10" x14ac:dyDescent="0.25">
      <c r="A346" s="129" t="str">
        <f t="shared" si="6"/>
        <v>1153234</v>
      </c>
      <c r="B346" s="47">
        <v>115</v>
      </c>
      <c r="C346" s="47">
        <v>3234</v>
      </c>
      <c r="D346" s="47">
        <v>50002</v>
      </c>
      <c r="E346" s="47" t="s">
        <v>534</v>
      </c>
      <c r="F346" s="11">
        <v>39400</v>
      </c>
      <c r="G346" s="47">
        <v>1</v>
      </c>
      <c r="H346" s="48">
        <v>9183.9989999999998</v>
      </c>
      <c r="I346" s="47" t="s">
        <v>1174</v>
      </c>
      <c r="J346" s="47" t="s">
        <v>1240</v>
      </c>
    </row>
    <row r="347" spans="1:10" x14ac:dyDescent="0.25">
      <c r="A347" s="129" t="str">
        <f t="shared" si="6"/>
        <v>1153387</v>
      </c>
      <c r="B347" s="47">
        <v>115</v>
      </c>
      <c r="C347" s="47">
        <v>3387</v>
      </c>
      <c r="D347" s="47">
        <v>50007</v>
      </c>
      <c r="E347" s="139" t="s">
        <v>1074</v>
      </c>
      <c r="F347" s="11">
        <v>39434</v>
      </c>
      <c r="G347" s="47">
        <v>1</v>
      </c>
      <c r="H347" s="48">
        <v>9183.9989999999998</v>
      </c>
      <c r="I347" s="47" t="s">
        <v>1130</v>
      </c>
      <c r="J347" s="47" t="s">
        <v>1241</v>
      </c>
    </row>
    <row r="348" spans="1:10" x14ac:dyDescent="0.25">
      <c r="A348" s="129" t="str">
        <f t="shared" si="6"/>
        <v>1153637</v>
      </c>
      <c r="B348" s="47">
        <v>115</v>
      </c>
      <c r="C348" s="47">
        <v>3637</v>
      </c>
      <c r="D348" s="47">
        <v>50007</v>
      </c>
      <c r="E348" s="47" t="s">
        <v>300</v>
      </c>
      <c r="F348" s="11">
        <v>39513</v>
      </c>
      <c r="G348" s="47">
        <v>1</v>
      </c>
      <c r="H348" s="48">
        <v>9183.9989999999998</v>
      </c>
      <c r="I348" s="47" t="s">
        <v>1141</v>
      </c>
      <c r="J348" s="47" t="s">
        <v>1241</v>
      </c>
    </row>
    <row r="349" spans="1:10" x14ac:dyDescent="0.25">
      <c r="A349" s="129" t="str">
        <f t="shared" si="6"/>
        <v>1154782</v>
      </c>
      <c r="B349" s="47">
        <v>115</v>
      </c>
      <c r="C349" s="47">
        <v>4782</v>
      </c>
      <c r="D349" s="47">
        <v>50002</v>
      </c>
      <c r="E349" s="139" t="s">
        <v>882</v>
      </c>
      <c r="F349" s="11">
        <v>40004</v>
      </c>
      <c r="G349" s="47">
        <v>1</v>
      </c>
      <c r="H349" s="48">
        <v>10937.0085</v>
      </c>
      <c r="I349" s="47" t="s">
        <v>1174</v>
      </c>
      <c r="J349" s="47" t="s">
        <v>1240</v>
      </c>
    </row>
    <row r="350" spans="1:10" x14ac:dyDescent="0.25">
      <c r="A350" s="129" t="str">
        <f t="shared" si="6"/>
        <v>1154898</v>
      </c>
      <c r="B350" s="47">
        <v>115</v>
      </c>
      <c r="C350" s="47">
        <v>4898</v>
      </c>
      <c r="D350" s="47">
        <v>50002</v>
      </c>
      <c r="E350" s="47" t="s">
        <v>266</v>
      </c>
      <c r="F350" s="11">
        <v>40070</v>
      </c>
      <c r="G350" s="47">
        <v>1</v>
      </c>
      <c r="H350" s="48">
        <v>15797.924999999999</v>
      </c>
      <c r="I350" s="47" t="s">
        <v>1174</v>
      </c>
      <c r="J350" s="47" t="s">
        <v>1240</v>
      </c>
    </row>
    <row r="351" spans="1:10" x14ac:dyDescent="0.25">
      <c r="A351" s="129" t="str">
        <f t="shared" si="6"/>
        <v>1154949</v>
      </c>
      <c r="B351" s="47">
        <v>115</v>
      </c>
      <c r="C351" s="47">
        <v>4949</v>
      </c>
      <c r="D351" s="47">
        <v>50002</v>
      </c>
      <c r="E351" s="139" t="s">
        <v>899</v>
      </c>
      <c r="F351" s="11">
        <v>40101</v>
      </c>
      <c r="G351" s="47">
        <v>1</v>
      </c>
      <c r="H351" s="48">
        <v>12059.1405</v>
      </c>
      <c r="I351" s="47" t="s">
        <v>1174</v>
      </c>
      <c r="J351" s="47" t="s">
        <v>1240</v>
      </c>
    </row>
    <row r="352" spans="1:10" x14ac:dyDescent="0.25">
      <c r="A352" s="129" t="str">
        <f t="shared" si="6"/>
        <v>1155325</v>
      </c>
      <c r="B352" s="47">
        <v>115</v>
      </c>
      <c r="C352" s="47">
        <v>5325</v>
      </c>
      <c r="D352" s="47">
        <v>50002</v>
      </c>
      <c r="E352" s="47" t="s">
        <v>450</v>
      </c>
      <c r="F352" s="11">
        <v>40287</v>
      </c>
      <c r="G352" s="47">
        <v>1</v>
      </c>
      <c r="H352" s="48">
        <v>6753.12</v>
      </c>
      <c r="I352" s="47" t="s">
        <v>1177</v>
      </c>
      <c r="J352" s="47" t="s">
        <v>1240</v>
      </c>
    </row>
    <row r="353" spans="1:10" x14ac:dyDescent="0.25">
      <c r="A353" s="129" t="str">
        <f t="shared" si="6"/>
        <v>1155365</v>
      </c>
      <c r="B353" s="47">
        <v>115</v>
      </c>
      <c r="C353" s="47">
        <v>5365</v>
      </c>
      <c r="D353" s="47">
        <v>50007</v>
      </c>
      <c r="E353" s="47" t="s">
        <v>194</v>
      </c>
      <c r="F353" s="11">
        <v>40304</v>
      </c>
      <c r="G353" s="47">
        <v>1</v>
      </c>
      <c r="H353" s="48">
        <v>5819.4674999999997</v>
      </c>
      <c r="I353" s="47" t="s">
        <v>1121</v>
      </c>
      <c r="J353" s="47" t="s">
        <v>1241</v>
      </c>
    </row>
    <row r="354" spans="1:10" x14ac:dyDescent="0.25">
      <c r="A354" s="129" t="str">
        <f t="shared" si="6"/>
        <v>1155385</v>
      </c>
      <c r="B354" s="47">
        <v>115</v>
      </c>
      <c r="C354" s="47">
        <v>5385</v>
      </c>
      <c r="D354" s="47">
        <v>50002</v>
      </c>
      <c r="E354" s="47" t="s">
        <v>216</v>
      </c>
      <c r="F354" s="11">
        <v>40340</v>
      </c>
      <c r="G354" s="47">
        <v>1</v>
      </c>
      <c r="H354" s="48">
        <v>9501.1785</v>
      </c>
      <c r="I354" s="47" t="s">
        <v>1174</v>
      </c>
      <c r="J354" s="47" t="s">
        <v>1240</v>
      </c>
    </row>
    <row r="355" spans="1:10" x14ac:dyDescent="0.25">
      <c r="A355" s="129" t="str">
        <f t="shared" si="6"/>
        <v>1155402</v>
      </c>
      <c r="B355" s="47">
        <v>115</v>
      </c>
      <c r="C355" s="47">
        <v>5402</v>
      </c>
      <c r="D355" s="47">
        <v>50002</v>
      </c>
      <c r="E355" s="47" t="s">
        <v>527</v>
      </c>
      <c r="F355" s="11">
        <v>40330</v>
      </c>
      <c r="G355" s="47">
        <v>1</v>
      </c>
      <c r="H355" s="48">
        <v>7673.3084999999992</v>
      </c>
      <c r="I355" s="47" t="s">
        <v>1174</v>
      </c>
      <c r="J355" s="47" t="s">
        <v>1240</v>
      </c>
    </row>
    <row r="356" spans="1:10" x14ac:dyDescent="0.25">
      <c r="A356" s="129" t="str">
        <f t="shared" si="6"/>
        <v>1155720</v>
      </c>
      <c r="B356" s="47">
        <v>115</v>
      </c>
      <c r="C356" s="47">
        <v>5720</v>
      </c>
      <c r="D356" s="47">
        <v>50002</v>
      </c>
      <c r="E356" s="47" t="s">
        <v>230</v>
      </c>
      <c r="F356" s="11">
        <v>40464</v>
      </c>
      <c r="G356" s="47">
        <v>1</v>
      </c>
      <c r="H356" s="48">
        <v>7673.3084999999992</v>
      </c>
      <c r="I356" s="47" t="s">
        <v>1174</v>
      </c>
      <c r="J356" s="47" t="s">
        <v>1240</v>
      </c>
    </row>
    <row r="357" spans="1:10" x14ac:dyDescent="0.25">
      <c r="A357" s="129" t="str">
        <f t="shared" si="6"/>
        <v>1155792</v>
      </c>
      <c r="B357" s="47">
        <v>115</v>
      </c>
      <c r="C357" s="47">
        <v>5792</v>
      </c>
      <c r="D357" s="47">
        <v>50007</v>
      </c>
      <c r="E357" s="47" t="s">
        <v>190</v>
      </c>
      <c r="F357" s="11">
        <v>40563</v>
      </c>
      <c r="G357" s="47">
        <v>1</v>
      </c>
      <c r="H357" s="48">
        <v>10807.5825</v>
      </c>
      <c r="I357" s="47" t="s">
        <v>1121</v>
      </c>
      <c r="J357" s="47" t="s">
        <v>1241</v>
      </c>
    </row>
    <row r="358" spans="1:10" x14ac:dyDescent="0.25">
      <c r="A358" s="129" t="str">
        <f t="shared" si="6"/>
        <v>1155794</v>
      </c>
      <c r="B358" s="47">
        <v>115</v>
      </c>
      <c r="C358" s="47">
        <v>5794</v>
      </c>
      <c r="D358" s="47">
        <v>50007</v>
      </c>
      <c r="E358" s="47" t="s">
        <v>313</v>
      </c>
      <c r="F358" s="11">
        <v>40562</v>
      </c>
      <c r="G358" s="47">
        <v>1</v>
      </c>
      <c r="H358" s="48">
        <v>7614.6839999999993</v>
      </c>
      <c r="I358" s="47" t="s">
        <v>1121</v>
      </c>
      <c r="J358" s="47" t="s">
        <v>1241</v>
      </c>
    </row>
    <row r="359" spans="1:10" x14ac:dyDescent="0.25">
      <c r="A359" s="129" t="str">
        <f t="shared" si="6"/>
        <v>1156068</v>
      </c>
      <c r="B359" s="47">
        <v>115</v>
      </c>
      <c r="C359" s="47">
        <v>6068</v>
      </c>
      <c r="D359" s="47">
        <v>50001</v>
      </c>
      <c r="E359" s="47" t="s">
        <v>679</v>
      </c>
      <c r="F359" s="11">
        <v>40795</v>
      </c>
      <c r="G359" s="47">
        <v>1</v>
      </c>
      <c r="H359" s="48">
        <v>825</v>
      </c>
      <c r="I359" s="47" t="s">
        <v>1178</v>
      </c>
      <c r="J359" s="47" t="s">
        <v>1218</v>
      </c>
    </row>
    <row r="360" spans="1:10" x14ac:dyDescent="0.25">
      <c r="A360" s="129" t="str">
        <f t="shared" ref="A360:A400" si="7">B360&amp;C360</f>
        <v>1156135</v>
      </c>
      <c r="B360" s="47">
        <v>115</v>
      </c>
      <c r="C360" s="47">
        <v>6135</v>
      </c>
      <c r="D360" s="47">
        <v>50007</v>
      </c>
      <c r="E360" s="47" t="s">
        <v>532</v>
      </c>
      <c r="F360" s="11">
        <v>40898</v>
      </c>
      <c r="G360" s="47">
        <v>1</v>
      </c>
      <c r="H360" s="48">
        <v>8839.2810000000009</v>
      </c>
      <c r="I360" s="47" t="s">
        <v>1128</v>
      </c>
      <c r="J360" s="47" t="s">
        <v>1241</v>
      </c>
    </row>
    <row r="361" spans="1:10" x14ac:dyDescent="0.25">
      <c r="A361" s="129" t="str">
        <f t="shared" si="7"/>
        <v>1156152</v>
      </c>
      <c r="B361" s="47">
        <v>115</v>
      </c>
      <c r="C361" s="47">
        <v>6152</v>
      </c>
      <c r="D361" s="47">
        <v>50002</v>
      </c>
      <c r="E361" s="47" t="s">
        <v>293</v>
      </c>
      <c r="F361" s="11">
        <v>40911</v>
      </c>
      <c r="G361" s="47">
        <v>1</v>
      </c>
      <c r="H361" s="48">
        <v>825</v>
      </c>
      <c r="I361" s="47" t="s">
        <v>1174</v>
      </c>
      <c r="J361" s="47" t="s">
        <v>1240</v>
      </c>
    </row>
    <row r="362" spans="1:10" x14ac:dyDescent="0.25">
      <c r="A362" s="129" t="str">
        <f t="shared" si="7"/>
        <v>1156230</v>
      </c>
      <c r="B362" s="47">
        <v>115</v>
      </c>
      <c r="C362" s="47">
        <v>6230</v>
      </c>
      <c r="D362" s="47">
        <v>50002</v>
      </c>
      <c r="E362" s="47" t="s">
        <v>614</v>
      </c>
      <c r="F362" s="11">
        <v>40984</v>
      </c>
      <c r="G362" s="47">
        <v>1</v>
      </c>
      <c r="H362" s="48">
        <v>3300</v>
      </c>
      <c r="I362" s="47" t="s">
        <v>1177</v>
      </c>
      <c r="J362" s="47" t="s">
        <v>1240</v>
      </c>
    </row>
    <row r="363" spans="1:10" x14ac:dyDescent="0.25">
      <c r="A363" s="129" t="str">
        <f t="shared" si="7"/>
        <v>1156262</v>
      </c>
      <c r="B363" s="47">
        <v>115</v>
      </c>
      <c r="C363" s="47">
        <v>6262</v>
      </c>
      <c r="D363" s="47">
        <v>50007</v>
      </c>
      <c r="E363" s="47" t="s">
        <v>155</v>
      </c>
      <c r="F363" s="11">
        <v>41016</v>
      </c>
      <c r="G363" s="47">
        <v>1</v>
      </c>
      <c r="H363" s="48">
        <v>3163.0499999999997</v>
      </c>
      <c r="I363" s="47" t="s">
        <v>1128</v>
      </c>
      <c r="J363" s="47" t="s">
        <v>1241</v>
      </c>
    </row>
    <row r="364" spans="1:10" x14ac:dyDescent="0.25">
      <c r="A364" s="129" t="str">
        <f t="shared" si="7"/>
        <v>1156271</v>
      </c>
      <c r="B364" s="47">
        <v>115</v>
      </c>
      <c r="C364" s="47">
        <v>6271</v>
      </c>
      <c r="D364" s="47">
        <v>50007</v>
      </c>
      <c r="E364" s="47" t="s">
        <v>273</v>
      </c>
      <c r="F364" s="11">
        <v>41016</v>
      </c>
      <c r="G364" s="47">
        <v>1</v>
      </c>
      <c r="H364" s="48">
        <v>9075</v>
      </c>
      <c r="I364" s="47" t="s">
        <v>1128</v>
      </c>
      <c r="J364" s="47" t="s">
        <v>1241</v>
      </c>
    </row>
    <row r="365" spans="1:10" x14ac:dyDescent="0.25">
      <c r="A365" s="129" t="str">
        <f t="shared" si="7"/>
        <v>1156287</v>
      </c>
      <c r="B365" s="47">
        <v>115</v>
      </c>
      <c r="C365" s="47">
        <v>6287</v>
      </c>
      <c r="D365" s="47">
        <v>50007</v>
      </c>
      <c r="E365" s="47" t="s">
        <v>432</v>
      </c>
      <c r="F365" s="11">
        <v>41016</v>
      </c>
      <c r="G365" s="47">
        <v>1</v>
      </c>
      <c r="H365" s="48">
        <v>9075</v>
      </c>
      <c r="I365" s="47" t="s">
        <v>1128</v>
      </c>
      <c r="J365" s="47" t="s">
        <v>1241</v>
      </c>
    </row>
    <row r="366" spans="1:10" x14ac:dyDescent="0.25">
      <c r="A366" s="129" t="str">
        <f t="shared" si="7"/>
        <v>1156478</v>
      </c>
      <c r="B366" s="47">
        <v>115</v>
      </c>
      <c r="C366" s="47">
        <v>6478</v>
      </c>
      <c r="D366" s="47">
        <v>50007</v>
      </c>
      <c r="E366" s="139" t="s">
        <v>869</v>
      </c>
      <c r="F366" s="11">
        <v>41176</v>
      </c>
      <c r="G366" s="47">
        <v>1</v>
      </c>
      <c r="H366" s="48">
        <v>825</v>
      </c>
      <c r="I366" s="47" t="s">
        <v>1128</v>
      </c>
      <c r="J366" s="47" t="s">
        <v>1241</v>
      </c>
    </row>
    <row r="367" spans="1:10" x14ac:dyDescent="0.25">
      <c r="A367" s="129" t="str">
        <f t="shared" si="7"/>
        <v>1156524</v>
      </c>
      <c r="B367" s="47">
        <v>115</v>
      </c>
      <c r="C367" s="47">
        <v>6524</v>
      </c>
      <c r="D367" s="47">
        <v>50007</v>
      </c>
      <c r="E367" s="47" t="s">
        <v>751</v>
      </c>
      <c r="F367" s="11">
        <v>41206</v>
      </c>
      <c r="G367" s="47">
        <v>1</v>
      </c>
      <c r="H367" s="48">
        <v>4950</v>
      </c>
      <c r="I367" s="47" t="s">
        <v>1121</v>
      </c>
      <c r="J367" s="47" t="s">
        <v>1241</v>
      </c>
    </row>
    <row r="368" spans="1:10" x14ac:dyDescent="0.25">
      <c r="A368" s="129" t="str">
        <f t="shared" si="7"/>
        <v>1156651</v>
      </c>
      <c r="B368" s="47">
        <v>115</v>
      </c>
      <c r="C368" s="47">
        <v>6651</v>
      </c>
      <c r="D368" s="47">
        <v>50002</v>
      </c>
      <c r="E368" s="47" t="s">
        <v>736</v>
      </c>
      <c r="F368" s="11">
        <v>41327</v>
      </c>
      <c r="G368" s="47">
        <v>1</v>
      </c>
      <c r="H368" s="48">
        <v>6600</v>
      </c>
      <c r="I368" s="47" t="s">
        <v>1174</v>
      </c>
      <c r="J368" s="47" t="s">
        <v>1240</v>
      </c>
    </row>
    <row r="369" spans="1:10" x14ac:dyDescent="0.25">
      <c r="A369" s="129" t="str">
        <f t="shared" si="7"/>
        <v>1156735</v>
      </c>
      <c r="B369" s="47">
        <v>115</v>
      </c>
      <c r="C369" s="47">
        <v>6735</v>
      </c>
      <c r="D369" s="47">
        <v>50007</v>
      </c>
      <c r="E369" s="47" t="s">
        <v>406</v>
      </c>
      <c r="F369" s="11">
        <v>41379</v>
      </c>
      <c r="G369" s="47">
        <v>1</v>
      </c>
      <c r="H369" s="48">
        <v>3300</v>
      </c>
      <c r="I369" s="47" t="s">
        <v>1121</v>
      </c>
      <c r="J369" s="47" t="s">
        <v>1241</v>
      </c>
    </row>
    <row r="370" spans="1:10" x14ac:dyDescent="0.25">
      <c r="A370" s="129" t="str">
        <f t="shared" si="7"/>
        <v>1156876</v>
      </c>
      <c r="B370" s="47">
        <v>115</v>
      </c>
      <c r="C370" s="47">
        <v>6876</v>
      </c>
      <c r="D370" s="47">
        <v>50007</v>
      </c>
      <c r="E370" s="139" t="s">
        <v>937</v>
      </c>
      <c r="F370" s="11">
        <v>41487</v>
      </c>
      <c r="G370" s="47">
        <v>1</v>
      </c>
      <c r="H370" s="48">
        <v>14025</v>
      </c>
      <c r="I370" s="47" t="s">
        <v>1128</v>
      </c>
      <c r="J370" s="47" t="s">
        <v>1241</v>
      </c>
    </row>
    <row r="371" spans="1:10" x14ac:dyDescent="0.25">
      <c r="A371" s="129" t="str">
        <f t="shared" si="7"/>
        <v>1156939</v>
      </c>
      <c r="B371" s="47">
        <v>115</v>
      </c>
      <c r="C371" s="47">
        <v>6939</v>
      </c>
      <c r="D371" s="47">
        <v>50007</v>
      </c>
      <c r="E371" s="47" t="s">
        <v>418</v>
      </c>
      <c r="F371" s="11">
        <v>41529</v>
      </c>
      <c r="G371" s="47">
        <v>1</v>
      </c>
      <c r="H371" s="48">
        <v>13200</v>
      </c>
      <c r="I371" s="47" t="s">
        <v>1139</v>
      </c>
      <c r="J371" s="47" t="s">
        <v>1241</v>
      </c>
    </row>
    <row r="372" spans="1:10" x14ac:dyDescent="0.25">
      <c r="A372" s="129" t="str">
        <f t="shared" si="7"/>
        <v>1156960</v>
      </c>
      <c r="B372" s="47">
        <v>115</v>
      </c>
      <c r="C372" s="47">
        <v>6960</v>
      </c>
      <c r="D372" s="47">
        <v>50002</v>
      </c>
      <c r="E372" s="47" t="s">
        <v>712</v>
      </c>
      <c r="F372" s="11">
        <v>41540</v>
      </c>
      <c r="G372" s="47">
        <v>1</v>
      </c>
      <c r="H372" s="48">
        <v>4521.8249999999998</v>
      </c>
      <c r="I372" s="47" t="s">
        <v>1162</v>
      </c>
      <c r="J372" s="47" t="s">
        <v>1240</v>
      </c>
    </row>
    <row r="373" spans="1:10" x14ac:dyDescent="0.25">
      <c r="A373" s="129" t="str">
        <f t="shared" si="7"/>
        <v>1156963</v>
      </c>
      <c r="B373" s="47">
        <v>115</v>
      </c>
      <c r="C373" s="47">
        <v>6963</v>
      </c>
      <c r="D373" s="47">
        <v>50002</v>
      </c>
      <c r="E373" s="47" t="s">
        <v>651</v>
      </c>
      <c r="F373" s="11">
        <v>41540</v>
      </c>
      <c r="G373" s="47">
        <v>1</v>
      </c>
      <c r="H373" s="48">
        <v>4521.8249999999998</v>
      </c>
      <c r="I373" s="47" t="s">
        <v>1162</v>
      </c>
      <c r="J373" s="47" t="s">
        <v>1240</v>
      </c>
    </row>
    <row r="374" spans="1:10" x14ac:dyDescent="0.25">
      <c r="A374" s="129" t="str">
        <f t="shared" si="7"/>
        <v>1156966</v>
      </c>
      <c r="B374" s="47">
        <v>115</v>
      </c>
      <c r="C374" s="47">
        <v>6966</v>
      </c>
      <c r="D374" s="47">
        <v>50007</v>
      </c>
      <c r="E374" s="47" t="s">
        <v>645</v>
      </c>
      <c r="F374" s="11">
        <v>41540</v>
      </c>
      <c r="G374" s="47">
        <v>1</v>
      </c>
      <c r="H374" s="48">
        <v>6856.6409999999996</v>
      </c>
      <c r="I374" s="47" t="s">
        <v>1121</v>
      </c>
      <c r="J374" s="47" t="s">
        <v>1241</v>
      </c>
    </row>
    <row r="375" spans="1:10" x14ac:dyDescent="0.25">
      <c r="A375" s="129" t="str">
        <f t="shared" si="7"/>
        <v>1157003</v>
      </c>
      <c r="B375" s="47">
        <v>115</v>
      </c>
      <c r="C375" s="47">
        <v>7003</v>
      </c>
      <c r="D375" s="47">
        <v>50002</v>
      </c>
      <c r="E375" s="139" t="s">
        <v>1045</v>
      </c>
      <c r="F375" s="11">
        <v>41568</v>
      </c>
      <c r="G375" s="47">
        <v>1</v>
      </c>
      <c r="H375" s="48">
        <v>2475</v>
      </c>
      <c r="I375" s="47" t="s">
        <v>1177</v>
      </c>
      <c r="J375" s="47" t="s">
        <v>1240</v>
      </c>
    </row>
    <row r="376" spans="1:10" x14ac:dyDescent="0.25">
      <c r="A376" s="129" t="str">
        <f t="shared" si="7"/>
        <v>1157009</v>
      </c>
      <c r="B376" s="47">
        <v>115</v>
      </c>
      <c r="C376" s="47">
        <v>7009</v>
      </c>
      <c r="D376" s="47">
        <v>50002</v>
      </c>
      <c r="E376" s="47" t="s">
        <v>162</v>
      </c>
      <c r="F376" s="11">
        <v>41568</v>
      </c>
      <c r="G376" s="47">
        <v>1</v>
      </c>
      <c r="H376" s="48">
        <v>2475</v>
      </c>
      <c r="I376" s="47" t="s">
        <v>1177</v>
      </c>
      <c r="J376" s="47" t="s">
        <v>1240</v>
      </c>
    </row>
    <row r="377" spans="1:10" x14ac:dyDescent="0.25">
      <c r="A377" s="129" t="str">
        <f t="shared" si="7"/>
        <v>1157010</v>
      </c>
      <c r="B377" s="47">
        <v>115</v>
      </c>
      <c r="C377" s="47">
        <v>7010</v>
      </c>
      <c r="D377" s="47">
        <v>50007</v>
      </c>
      <c r="E377" s="47" t="s">
        <v>192</v>
      </c>
      <c r="F377" s="11">
        <v>41568</v>
      </c>
      <c r="G377" s="47">
        <v>1</v>
      </c>
      <c r="H377" s="48">
        <v>2475</v>
      </c>
      <c r="I377" s="47" t="s">
        <v>1139</v>
      </c>
      <c r="J377" s="47" t="s">
        <v>1241</v>
      </c>
    </row>
    <row r="378" spans="1:10" x14ac:dyDescent="0.25">
      <c r="A378" s="129" t="str">
        <f t="shared" si="7"/>
        <v>1157014</v>
      </c>
      <c r="B378" s="47">
        <v>115</v>
      </c>
      <c r="C378" s="47">
        <v>7014</v>
      </c>
      <c r="D378" s="47">
        <v>50002</v>
      </c>
      <c r="E378" s="47" t="s">
        <v>239</v>
      </c>
      <c r="F378" s="11">
        <v>41579</v>
      </c>
      <c r="G378" s="47">
        <v>1</v>
      </c>
      <c r="H378" s="48">
        <v>2475</v>
      </c>
      <c r="I378" s="47" t="s">
        <v>1162</v>
      </c>
      <c r="J378" s="47" t="s">
        <v>1240</v>
      </c>
    </row>
    <row r="379" spans="1:10" x14ac:dyDescent="0.25">
      <c r="A379" s="129" t="str">
        <f t="shared" si="7"/>
        <v>1157030</v>
      </c>
      <c r="B379" s="47">
        <v>115</v>
      </c>
      <c r="C379" s="47">
        <v>7030</v>
      </c>
      <c r="D379" s="47">
        <v>50007</v>
      </c>
      <c r="E379" s="139" t="s">
        <v>1107</v>
      </c>
      <c r="F379" s="11">
        <v>41599</v>
      </c>
      <c r="G379" s="47">
        <v>5</v>
      </c>
      <c r="H379" s="48">
        <v>2321.5994999999998</v>
      </c>
      <c r="I379" s="47" t="s">
        <v>1121</v>
      </c>
      <c r="J379" s="47" t="s">
        <v>1241</v>
      </c>
    </row>
    <row r="380" spans="1:10" x14ac:dyDescent="0.25">
      <c r="A380" s="129" t="str">
        <f t="shared" si="7"/>
        <v>1157055</v>
      </c>
      <c r="B380" s="47">
        <v>115</v>
      </c>
      <c r="C380" s="47">
        <v>7055</v>
      </c>
      <c r="D380" s="47">
        <v>50007</v>
      </c>
      <c r="E380" s="47" t="s">
        <v>650</v>
      </c>
      <c r="F380" s="11">
        <v>41641</v>
      </c>
      <c r="G380" s="47">
        <v>5</v>
      </c>
      <c r="H380" s="48">
        <v>2971.3364999999999</v>
      </c>
      <c r="I380" s="47" t="s">
        <v>1128</v>
      </c>
      <c r="J380" s="47" t="s">
        <v>1241</v>
      </c>
    </row>
    <row r="381" spans="1:10" x14ac:dyDescent="0.25">
      <c r="A381" s="129" t="str">
        <f t="shared" si="7"/>
        <v>1157057</v>
      </c>
      <c r="B381" s="47">
        <v>115</v>
      </c>
      <c r="C381" s="47">
        <v>7057</v>
      </c>
      <c r="D381" s="47">
        <v>50007</v>
      </c>
      <c r="E381" s="47" t="s">
        <v>842</v>
      </c>
      <c r="F381" s="11">
        <v>41641</v>
      </c>
      <c r="G381" s="47">
        <v>5</v>
      </c>
      <c r="H381" s="48">
        <v>4674.8789999999999</v>
      </c>
      <c r="I381" s="47" t="s">
        <v>1128</v>
      </c>
      <c r="J381" s="47" t="s">
        <v>1241</v>
      </c>
    </row>
    <row r="382" spans="1:10" x14ac:dyDescent="0.25">
      <c r="A382" s="129" t="str">
        <f t="shared" si="7"/>
        <v>1157065</v>
      </c>
      <c r="B382" s="47">
        <v>115</v>
      </c>
      <c r="C382" s="47">
        <v>7065</v>
      </c>
      <c r="D382" s="47">
        <v>50002</v>
      </c>
      <c r="E382" s="47" t="s">
        <v>810</v>
      </c>
      <c r="F382" s="11">
        <v>41649</v>
      </c>
      <c r="G382" s="47">
        <v>5</v>
      </c>
      <c r="H382" s="48">
        <v>3252.6119999999996</v>
      </c>
      <c r="I382" s="47" t="s">
        <v>1162</v>
      </c>
      <c r="J382" s="47" t="s">
        <v>1240</v>
      </c>
    </row>
    <row r="383" spans="1:10" x14ac:dyDescent="0.25">
      <c r="A383" s="129" t="str">
        <f t="shared" si="7"/>
        <v>1157086</v>
      </c>
      <c r="B383" s="47">
        <v>115</v>
      </c>
      <c r="C383" s="47">
        <v>7086</v>
      </c>
      <c r="D383" s="47">
        <v>50002</v>
      </c>
      <c r="E383" s="139" t="s">
        <v>1097</v>
      </c>
      <c r="F383" s="11">
        <v>41673</v>
      </c>
      <c r="G383" s="47">
        <v>5</v>
      </c>
      <c r="H383" s="48">
        <v>2321.5994999999998</v>
      </c>
      <c r="I383" s="47" t="s">
        <v>1162</v>
      </c>
      <c r="J383" s="47" t="s">
        <v>1240</v>
      </c>
    </row>
    <row r="384" spans="1:10" x14ac:dyDescent="0.25">
      <c r="A384" s="129" t="str">
        <f t="shared" si="7"/>
        <v>1157121</v>
      </c>
      <c r="B384" s="47">
        <v>115</v>
      </c>
      <c r="C384" s="47">
        <v>7121</v>
      </c>
      <c r="D384" s="47">
        <v>50002</v>
      </c>
      <c r="E384" s="139" t="s">
        <v>928</v>
      </c>
      <c r="F384" s="11">
        <v>41680</v>
      </c>
      <c r="G384" s="47">
        <v>5</v>
      </c>
      <c r="H384" s="48">
        <v>2321.5994999999998</v>
      </c>
      <c r="I384" s="47" t="s">
        <v>1162</v>
      </c>
      <c r="J384" s="47" t="s">
        <v>1240</v>
      </c>
    </row>
    <row r="385" spans="1:10" x14ac:dyDescent="0.25">
      <c r="A385" s="129" t="str">
        <f t="shared" si="7"/>
        <v>1158584</v>
      </c>
      <c r="B385" s="47">
        <v>115</v>
      </c>
      <c r="C385" s="47">
        <v>8584</v>
      </c>
      <c r="D385" s="47">
        <v>50002</v>
      </c>
      <c r="E385" s="139" t="s">
        <v>915</v>
      </c>
      <c r="F385" s="11">
        <v>41694</v>
      </c>
      <c r="G385" s="47">
        <v>5</v>
      </c>
      <c r="H385" s="48">
        <v>2321.5994999999998</v>
      </c>
      <c r="I385" s="47" t="s">
        <v>1162</v>
      </c>
      <c r="J385" s="47" t="s">
        <v>1240</v>
      </c>
    </row>
    <row r="386" spans="1:10" x14ac:dyDescent="0.25">
      <c r="A386" s="129" t="str">
        <f t="shared" si="7"/>
        <v>1158585</v>
      </c>
      <c r="B386" s="47">
        <v>115</v>
      </c>
      <c r="C386" s="47">
        <v>8585</v>
      </c>
      <c r="D386" s="47">
        <v>50002</v>
      </c>
      <c r="E386" s="139" t="s">
        <v>981</v>
      </c>
      <c r="F386" s="11">
        <v>41694</v>
      </c>
      <c r="G386" s="47">
        <v>1</v>
      </c>
      <c r="H386" s="48">
        <v>2437.5119999999997</v>
      </c>
      <c r="I386" s="47" t="s">
        <v>1162</v>
      </c>
      <c r="J386" s="47" t="s">
        <v>1240</v>
      </c>
    </row>
    <row r="387" spans="1:10" x14ac:dyDescent="0.25">
      <c r="A387" s="129" t="str">
        <f t="shared" si="7"/>
        <v>1158586</v>
      </c>
      <c r="B387" s="47">
        <v>115</v>
      </c>
      <c r="C387" s="47">
        <v>8586</v>
      </c>
      <c r="D387" s="47">
        <v>50002</v>
      </c>
      <c r="E387" s="47" t="s">
        <v>304</v>
      </c>
      <c r="F387" s="11">
        <v>41694</v>
      </c>
      <c r="G387" s="47">
        <v>1</v>
      </c>
      <c r="H387" s="48">
        <v>2437.5119999999997</v>
      </c>
      <c r="I387" s="47" t="s">
        <v>1162</v>
      </c>
      <c r="J387" s="47" t="s">
        <v>1240</v>
      </c>
    </row>
    <row r="388" spans="1:10" x14ac:dyDescent="0.25">
      <c r="A388" s="129" t="str">
        <f t="shared" si="7"/>
        <v>1158587</v>
      </c>
      <c r="B388" s="47">
        <v>115</v>
      </c>
      <c r="C388" s="47">
        <v>8587</v>
      </c>
      <c r="D388" s="47">
        <v>50002</v>
      </c>
      <c r="E388" s="139" t="s">
        <v>913</v>
      </c>
      <c r="F388" s="11">
        <v>41694</v>
      </c>
      <c r="G388" s="47">
        <v>1</v>
      </c>
      <c r="H388" s="48">
        <v>2777.6594999999998</v>
      </c>
      <c r="I388" s="47" t="s">
        <v>1162</v>
      </c>
      <c r="J388" s="47" t="s">
        <v>1240</v>
      </c>
    </row>
    <row r="389" spans="1:10" x14ac:dyDescent="0.25">
      <c r="A389" s="129" t="str">
        <f t="shared" si="7"/>
        <v>1158590</v>
      </c>
      <c r="B389" s="47">
        <v>115</v>
      </c>
      <c r="C389" s="47">
        <v>8590</v>
      </c>
      <c r="D389" s="47">
        <v>50007</v>
      </c>
      <c r="E389" s="47" t="s">
        <v>498</v>
      </c>
      <c r="F389" s="11">
        <v>41703</v>
      </c>
      <c r="G389" s="47">
        <v>1</v>
      </c>
      <c r="H389" s="48">
        <v>4690.3395</v>
      </c>
      <c r="I389" s="47" t="s">
        <v>1128</v>
      </c>
      <c r="J389" s="47" t="s">
        <v>1241</v>
      </c>
    </row>
    <row r="390" spans="1:10" x14ac:dyDescent="0.25">
      <c r="A390" s="129" t="str">
        <f t="shared" si="7"/>
        <v>1158591</v>
      </c>
      <c r="B390" s="47">
        <v>115</v>
      </c>
      <c r="C390" s="47">
        <v>8591</v>
      </c>
      <c r="D390" s="47">
        <v>50007</v>
      </c>
      <c r="E390" s="47" t="s">
        <v>830</v>
      </c>
      <c r="F390" s="11">
        <v>41703</v>
      </c>
      <c r="G390" s="47">
        <v>1</v>
      </c>
      <c r="H390" s="48">
        <v>3263.3534999999997</v>
      </c>
      <c r="I390" s="47" t="s">
        <v>1128</v>
      </c>
      <c r="J390" s="47" t="s">
        <v>1241</v>
      </c>
    </row>
    <row r="391" spans="1:10" x14ac:dyDescent="0.25">
      <c r="A391" s="129" t="str">
        <f t="shared" si="7"/>
        <v>1158592</v>
      </c>
      <c r="B391" s="47">
        <v>115</v>
      </c>
      <c r="C391" s="47">
        <v>8592</v>
      </c>
      <c r="D391" s="47">
        <v>50002</v>
      </c>
      <c r="E391" s="47" t="s">
        <v>166</v>
      </c>
      <c r="F391" s="11">
        <v>41703</v>
      </c>
      <c r="G391" s="47">
        <v>1</v>
      </c>
      <c r="H391" s="48">
        <v>2437.5119999999997</v>
      </c>
      <c r="I391" s="47" t="s">
        <v>1162</v>
      </c>
      <c r="J391" s="47" t="s">
        <v>1240</v>
      </c>
    </row>
    <row r="392" spans="1:10" x14ac:dyDescent="0.25">
      <c r="A392" s="129" t="str">
        <f t="shared" si="7"/>
        <v>1158599</v>
      </c>
      <c r="B392" s="47">
        <v>115</v>
      </c>
      <c r="C392" s="47">
        <v>8599</v>
      </c>
      <c r="D392" s="47">
        <v>50003</v>
      </c>
      <c r="E392" s="139" t="s">
        <v>1018</v>
      </c>
      <c r="F392" s="11">
        <v>41711</v>
      </c>
      <c r="G392" s="47">
        <v>1</v>
      </c>
      <c r="H392" s="48">
        <v>2437.5119999999997</v>
      </c>
      <c r="I392" s="47" t="s">
        <v>1155</v>
      </c>
      <c r="J392" s="47" t="s">
        <v>1242</v>
      </c>
    </row>
    <row r="393" spans="1:10" x14ac:dyDescent="0.25">
      <c r="A393" s="129" t="str">
        <f t="shared" si="7"/>
        <v>1158645</v>
      </c>
      <c r="B393" s="47">
        <v>115</v>
      </c>
      <c r="C393" s="47">
        <v>8645</v>
      </c>
      <c r="D393" s="47">
        <v>50007</v>
      </c>
      <c r="E393" s="139" t="s">
        <v>1111</v>
      </c>
      <c r="F393" s="11">
        <v>41751</v>
      </c>
      <c r="G393" s="47">
        <v>1</v>
      </c>
      <c r="H393" s="48">
        <v>2437.5119999999997</v>
      </c>
      <c r="I393" s="47" t="s">
        <v>1121</v>
      </c>
      <c r="J393" s="47" t="s">
        <v>1241</v>
      </c>
    </row>
    <row r="394" spans="1:10" x14ac:dyDescent="0.25">
      <c r="A394" s="129" t="str">
        <f t="shared" si="7"/>
        <v>1158652</v>
      </c>
      <c r="B394" s="47">
        <v>115</v>
      </c>
      <c r="C394" s="47">
        <v>8652</v>
      </c>
      <c r="D394" s="47">
        <v>50007</v>
      </c>
      <c r="E394" s="47" t="s">
        <v>506</v>
      </c>
      <c r="F394" s="11">
        <v>41764</v>
      </c>
      <c r="G394" s="47">
        <v>1</v>
      </c>
      <c r="H394" s="48">
        <v>2437.5119999999997</v>
      </c>
      <c r="I394" s="47" t="s">
        <v>1128</v>
      </c>
      <c r="J394" s="47" t="s">
        <v>1241</v>
      </c>
    </row>
    <row r="395" spans="1:10" x14ac:dyDescent="0.25">
      <c r="A395" s="129" t="str">
        <f t="shared" si="7"/>
        <v>1158654</v>
      </c>
      <c r="B395" s="47">
        <v>115</v>
      </c>
      <c r="C395" s="47">
        <v>8654</v>
      </c>
      <c r="D395" s="47">
        <v>50007</v>
      </c>
      <c r="E395" s="47" t="s">
        <v>296</v>
      </c>
      <c r="F395" s="11">
        <v>41764</v>
      </c>
      <c r="G395" s="47">
        <v>1</v>
      </c>
      <c r="H395" s="48">
        <v>825</v>
      </c>
      <c r="I395" s="47" t="s">
        <v>1121</v>
      </c>
      <c r="J395" s="47" t="s">
        <v>1241</v>
      </c>
    </row>
    <row r="396" spans="1:10" x14ac:dyDescent="0.25">
      <c r="A396" s="129" t="str">
        <f t="shared" si="7"/>
        <v>1158655</v>
      </c>
      <c r="B396" s="47">
        <v>115</v>
      </c>
      <c r="C396" s="47">
        <v>8655</v>
      </c>
      <c r="D396" s="47">
        <v>50007</v>
      </c>
      <c r="E396" s="47" t="s">
        <v>234</v>
      </c>
      <c r="F396" s="11">
        <v>41764</v>
      </c>
      <c r="G396" s="47">
        <v>1</v>
      </c>
      <c r="H396" s="48">
        <v>2969.9339999999997</v>
      </c>
      <c r="I396" s="47" t="s">
        <v>1128</v>
      </c>
      <c r="J396" s="47" t="s">
        <v>1241</v>
      </c>
    </row>
    <row r="397" spans="1:10" x14ac:dyDescent="0.25">
      <c r="A397" s="129" t="str">
        <f t="shared" si="7"/>
        <v>1158656</v>
      </c>
      <c r="B397" s="47">
        <v>115</v>
      </c>
      <c r="C397" s="47">
        <v>8656</v>
      </c>
      <c r="D397" s="47">
        <v>50007</v>
      </c>
      <c r="E397" s="47" t="s">
        <v>187</v>
      </c>
      <c r="F397" s="11">
        <v>41764</v>
      </c>
      <c r="G397" s="47">
        <v>1</v>
      </c>
      <c r="H397" s="48">
        <v>2124.8534999999997</v>
      </c>
      <c r="I397" s="47" t="s">
        <v>1139</v>
      </c>
      <c r="J397" s="47" t="s">
        <v>1241</v>
      </c>
    </row>
    <row r="398" spans="1:10" x14ac:dyDescent="0.25">
      <c r="A398" s="129" t="str">
        <f t="shared" si="7"/>
        <v>1158661</v>
      </c>
      <c r="B398" s="47">
        <v>115</v>
      </c>
      <c r="C398" s="47">
        <v>8661</v>
      </c>
      <c r="D398" s="47">
        <v>50002</v>
      </c>
      <c r="E398" s="47" t="s">
        <v>385</v>
      </c>
      <c r="F398" s="11">
        <v>41764</v>
      </c>
      <c r="G398" s="47">
        <v>1</v>
      </c>
      <c r="H398" s="48">
        <v>2124.8534999999997</v>
      </c>
      <c r="I398" s="47" t="s">
        <v>1162</v>
      </c>
      <c r="J398" s="47" t="s">
        <v>1240</v>
      </c>
    </row>
    <row r="399" spans="1:10" x14ac:dyDescent="0.25">
      <c r="A399" s="129" t="str">
        <f t="shared" si="7"/>
        <v>1158663</v>
      </c>
      <c r="B399" s="47">
        <v>115</v>
      </c>
      <c r="C399" s="47">
        <v>8663</v>
      </c>
      <c r="D399" s="47">
        <v>50002</v>
      </c>
      <c r="E399" s="47" t="s">
        <v>522</v>
      </c>
      <c r="F399" s="11">
        <v>41764</v>
      </c>
      <c r="G399" s="47">
        <v>1</v>
      </c>
      <c r="H399" s="48">
        <v>4690.3229999999994</v>
      </c>
      <c r="I399" s="47" t="s">
        <v>1162</v>
      </c>
      <c r="J399" s="47" t="s">
        <v>1240</v>
      </c>
    </row>
    <row r="400" spans="1:10" x14ac:dyDescent="0.25">
      <c r="A400" s="129" t="str">
        <f t="shared" si="7"/>
        <v>1158664</v>
      </c>
      <c r="B400" s="47">
        <v>115</v>
      </c>
      <c r="C400" s="47">
        <v>8664</v>
      </c>
      <c r="D400" s="47">
        <v>50002</v>
      </c>
      <c r="E400" s="47" t="s">
        <v>657</v>
      </c>
      <c r="F400" s="11">
        <v>41764</v>
      </c>
      <c r="G400" s="47">
        <v>1</v>
      </c>
      <c r="H400" s="48">
        <v>2136.5520000000001</v>
      </c>
      <c r="I400" s="47" t="s">
        <v>1162</v>
      </c>
      <c r="J400" s="47" t="s">
        <v>1240</v>
      </c>
    </row>
    <row r="401" spans="1:10" x14ac:dyDescent="0.25">
      <c r="A401" s="129" t="str">
        <f t="shared" ref="A401:A440" si="8">B401&amp;C401</f>
        <v>1158666</v>
      </c>
      <c r="B401" s="47">
        <v>115</v>
      </c>
      <c r="C401" s="47">
        <v>8666</v>
      </c>
      <c r="D401" s="47">
        <v>50002</v>
      </c>
      <c r="E401" s="139" t="s">
        <v>867</v>
      </c>
      <c r="F401" s="11">
        <v>41764</v>
      </c>
      <c r="G401" s="47">
        <v>1</v>
      </c>
      <c r="H401" s="48">
        <v>2210.4555</v>
      </c>
      <c r="I401" s="47" t="s">
        <v>1162</v>
      </c>
      <c r="J401" s="47" t="s">
        <v>1240</v>
      </c>
    </row>
    <row r="402" spans="1:10" x14ac:dyDescent="0.25">
      <c r="A402" s="129" t="str">
        <f t="shared" si="8"/>
        <v>1158681</v>
      </c>
      <c r="B402" s="47">
        <v>115</v>
      </c>
      <c r="C402" s="47">
        <v>8681</v>
      </c>
      <c r="D402" s="47">
        <v>50007</v>
      </c>
      <c r="E402" s="47" t="s">
        <v>588</v>
      </c>
      <c r="F402" s="11">
        <v>41772</v>
      </c>
      <c r="G402" s="47">
        <v>5</v>
      </c>
      <c r="H402" s="48">
        <v>2321.5994999999998</v>
      </c>
      <c r="I402" s="47" t="s">
        <v>1139</v>
      </c>
      <c r="J402" s="47" t="s">
        <v>1241</v>
      </c>
    </row>
    <row r="403" spans="1:10" x14ac:dyDescent="0.25">
      <c r="A403" s="129" t="str">
        <f t="shared" si="8"/>
        <v>1158700</v>
      </c>
      <c r="B403" s="47">
        <v>115</v>
      </c>
      <c r="C403" s="47">
        <v>8700</v>
      </c>
      <c r="D403" s="47">
        <v>50007</v>
      </c>
      <c r="E403" s="47" t="s">
        <v>441</v>
      </c>
      <c r="F403" s="11">
        <v>41795</v>
      </c>
      <c r="G403" s="47">
        <v>5</v>
      </c>
      <c r="H403" s="48">
        <v>2321.5994999999998</v>
      </c>
      <c r="I403" s="47" t="s">
        <v>1121</v>
      </c>
      <c r="J403" s="47" t="s">
        <v>1241</v>
      </c>
    </row>
    <row r="404" spans="1:10" x14ac:dyDescent="0.25">
      <c r="A404" s="129" t="str">
        <f t="shared" si="8"/>
        <v>1158711</v>
      </c>
      <c r="B404" s="47">
        <v>115</v>
      </c>
      <c r="C404" s="47">
        <v>8711</v>
      </c>
      <c r="D404" s="47">
        <v>50007</v>
      </c>
      <c r="E404" s="47" t="s">
        <v>256</v>
      </c>
      <c r="F404" s="11">
        <v>39003</v>
      </c>
      <c r="G404" s="47">
        <v>5</v>
      </c>
      <c r="H404" s="48">
        <v>4674.8954999999996</v>
      </c>
      <c r="I404" s="47" t="s">
        <v>1182</v>
      </c>
      <c r="J404" s="47" t="s">
        <v>1241</v>
      </c>
    </row>
    <row r="405" spans="1:10" x14ac:dyDescent="0.25">
      <c r="A405" s="129" t="str">
        <f t="shared" si="8"/>
        <v>1158717</v>
      </c>
      <c r="B405" s="47">
        <v>115</v>
      </c>
      <c r="C405" s="47">
        <v>8717</v>
      </c>
      <c r="D405" s="47">
        <v>50002</v>
      </c>
      <c r="E405" s="47" t="s">
        <v>523</v>
      </c>
      <c r="F405" s="11">
        <v>41803</v>
      </c>
      <c r="G405" s="47">
        <v>5</v>
      </c>
      <c r="H405" s="48">
        <v>2971.3364999999999</v>
      </c>
      <c r="I405" s="47" t="s">
        <v>1162</v>
      </c>
      <c r="J405" s="47" t="s">
        <v>1240</v>
      </c>
    </row>
    <row r="406" spans="1:10" x14ac:dyDescent="0.25">
      <c r="A406" s="129" t="str">
        <f t="shared" si="8"/>
        <v>1158726</v>
      </c>
      <c r="B406" s="47">
        <v>115</v>
      </c>
      <c r="C406" s="47">
        <v>8726</v>
      </c>
      <c r="D406" s="47">
        <v>50001</v>
      </c>
      <c r="E406" s="47" t="s">
        <v>334</v>
      </c>
      <c r="F406" s="11">
        <v>41813</v>
      </c>
      <c r="G406" s="47">
        <v>5</v>
      </c>
      <c r="H406" s="48">
        <v>2321.5994999999998</v>
      </c>
      <c r="I406" s="47" t="s">
        <v>1128</v>
      </c>
      <c r="J406" s="47" t="s">
        <v>1218</v>
      </c>
    </row>
    <row r="407" spans="1:10" x14ac:dyDescent="0.25">
      <c r="A407" s="129" t="str">
        <f t="shared" si="8"/>
        <v>1158730</v>
      </c>
      <c r="B407" s="47">
        <v>115</v>
      </c>
      <c r="C407" s="47">
        <v>8730</v>
      </c>
      <c r="D407" s="47">
        <v>50002</v>
      </c>
      <c r="E407" s="47" t="s">
        <v>589</v>
      </c>
      <c r="F407" s="11">
        <v>41821</v>
      </c>
      <c r="G407" s="47">
        <v>5</v>
      </c>
      <c r="H407" s="48">
        <v>2321.5994999999998</v>
      </c>
      <c r="I407" s="47" t="s">
        <v>1162</v>
      </c>
      <c r="J407" s="47" t="s">
        <v>1240</v>
      </c>
    </row>
    <row r="408" spans="1:10" x14ac:dyDescent="0.25">
      <c r="A408" s="129" t="str">
        <f t="shared" si="8"/>
        <v>1158731</v>
      </c>
      <c r="B408" s="47">
        <v>115</v>
      </c>
      <c r="C408" s="47">
        <v>8731</v>
      </c>
      <c r="D408" s="47">
        <v>50007</v>
      </c>
      <c r="E408" s="139" t="s">
        <v>927</v>
      </c>
      <c r="F408" s="11">
        <v>41821</v>
      </c>
      <c r="G408" s="47">
        <v>5</v>
      </c>
      <c r="H408" s="48">
        <v>2321.5994999999998</v>
      </c>
      <c r="I408" s="47" t="s">
        <v>1121</v>
      </c>
      <c r="J408" s="47" t="s">
        <v>1241</v>
      </c>
    </row>
    <row r="409" spans="1:10" x14ac:dyDescent="0.25">
      <c r="A409" s="129" t="str">
        <f t="shared" si="8"/>
        <v>1158733</v>
      </c>
      <c r="B409" s="47">
        <v>115</v>
      </c>
      <c r="C409" s="47">
        <v>8733</v>
      </c>
      <c r="D409" s="47">
        <v>50002</v>
      </c>
      <c r="E409" s="47" t="s">
        <v>404</v>
      </c>
      <c r="F409" s="11">
        <v>41821</v>
      </c>
      <c r="G409" s="47">
        <v>5</v>
      </c>
      <c r="H409" s="48">
        <v>3252.5459999999998</v>
      </c>
      <c r="I409" s="47" t="s">
        <v>1162</v>
      </c>
      <c r="J409" s="47" t="s">
        <v>1240</v>
      </c>
    </row>
    <row r="410" spans="1:10" x14ac:dyDescent="0.25">
      <c r="A410" s="129" t="str">
        <f t="shared" si="8"/>
        <v>1158734</v>
      </c>
      <c r="B410" s="47">
        <v>115</v>
      </c>
      <c r="C410" s="47">
        <v>8734</v>
      </c>
      <c r="D410" s="47">
        <v>50002</v>
      </c>
      <c r="E410" s="47" t="s">
        <v>211</v>
      </c>
      <c r="F410" s="11">
        <v>41821</v>
      </c>
      <c r="G410" s="47">
        <v>1</v>
      </c>
      <c r="H410" s="48">
        <v>2755.9454999999998</v>
      </c>
      <c r="I410" s="47" t="s">
        <v>1162</v>
      </c>
      <c r="J410" s="47" t="s">
        <v>1240</v>
      </c>
    </row>
    <row r="411" spans="1:10" x14ac:dyDescent="0.25">
      <c r="A411" s="129" t="str">
        <f t="shared" si="8"/>
        <v>1158735</v>
      </c>
      <c r="B411" s="47">
        <v>115</v>
      </c>
      <c r="C411" s="47">
        <v>8735</v>
      </c>
      <c r="D411" s="47">
        <v>50002</v>
      </c>
      <c r="E411" s="47" t="s">
        <v>633</v>
      </c>
      <c r="F411" s="11">
        <v>41821</v>
      </c>
      <c r="G411" s="47">
        <v>1</v>
      </c>
      <c r="H411" s="48">
        <v>4690.3229999999994</v>
      </c>
      <c r="I411" s="47" t="s">
        <v>1162</v>
      </c>
      <c r="J411" s="47" t="s">
        <v>1240</v>
      </c>
    </row>
    <row r="412" spans="1:10" x14ac:dyDescent="0.25">
      <c r="A412" s="129" t="str">
        <f t="shared" si="8"/>
        <v>1158736</v>
      </c>
      <c r="B412" s="47">
        <v>115</v>
      </c>
      <c r="C412" s="47">
        <v>8736</v>
      </c>
      <c r="D412" s="47">
        <v>50007</v>
      </c>
      <c r="E412" s="47" t="s">
        <v>784</v>
      </c>
      <c r="F412" s="11">
        <v>41834</v>
      </c>
      <c r="G412" s="47">
        <v>1</v>
      </c>
      <c r="H412" s="48">
        <v>2331.5819999999999</v>
      </c>
      <c r="I412" s="47" t="s">
        <v>1177</v>
      </c>
      <c r="J412" s="47" t="s">
        <v>1241</v>
      </c>
    </row>
    <row r="413" spans="1:10" x14ac:dyDescent="0.25">
      <c r="A413" s="129" t="str">
        <f t="shared" si="8"/>
        <v>1158738</v>
      </c>
      <c r="B413" s="47">
        <v>115</v>
      </c>
      <c r="C413" s="47">
        <v>8738</v>
      </c>
      <c r="D413" s="47">
        <v>50007</v>
      </c>
      <c r="E413" s="47" t="s">
        <v>601</v>
      </c>
      <c r="F413" s="11">
        <v>41834</v>
      </c>
      <c r="G413" s="47">
        <v>1</v>
      </c>
      <c r="H413" s="48">
        <v>2331.5984999999996</v>
      </c>
      <c r="I413" s="47" t="s">
        <v>1139</v>
      </c>
      <c r="J413" s="47" t="s">
        <v>1241</v>
      </c>
    </row>
    <row r="414" spans="1:10" x14ac:dyDescent="0.25">
      <c r="A414" s="129" t="str">
        <f t="shared" si="8"/>
        <v>1158751</v>
      </c>
      <c r="B414" s="47">
        <v>115</v>
      </c>
      <c r="C414" s="47">
        <v>8751</v>
      </c>
      <c r="D414" s="47">
        <v>50007</v>
      </c>
      <c r="E414" s="139" t="s">
        <v>1068</v>
      </c>
      <c r="F414" s="11">
        <v>41834</v>
      </c>
      <c r="G414" s="47">
        <v>1</v>
      </c>
      <c r="H414" s="48">
        <v>904.36500000000001</v>
      </c>
      <c r="I414" s="47" t="s">
        <v>1139</v>
      </c>
      <c r="J414" s="47" t="s">
        <v>1241</v>
      </c>
    </row>
    <row r="415" spans="1:10" x14ac:dyDescent="0.25">
      <c r="A415" s="129" t="str">
        <f t="shared" si="8"/>
        <v>1158752</v>
      </c>
      <c r="B415" s="47">
        <v>115</v>
      </c>
      <c r="C415" s="47">
        <v>8752</v>
      </c>
      <c r="D415" s="47">
        <v>50007</v>
      </c>
      <c r="E415" s="139" t="s">
        <v>960</v>
      </c>
      <c r="F415" s="11">
        <v>41834</v>
      </c>
      <c r="G415" s="47">
        <v>1</v>
      </c>
      <c r="H415" s="48">
        <v>3266.6205</v>
      </c>
      <c r="I415" s="47" t="s">
        <v>1139</v>
      </c>
      <c r="J415" s="47" t="s">
        <v>1241</v>
      </c>
    </row>
    <row r="416" spans="1:10" x14ac:dyDescent="0.25">
      <c r="A416" s="129" t="str">
        <f t="shared" si="8"/>
        <v>1172165</v>
      </c>
      <c r="B416" s="47">
        <v>117</v>
      </c>
      <c r="C416" s="47">
        <v>2165</v>
      </c>
      <c r="D416" s="47">
        <v>50007</v>
      </c>
      <c r="E416" s="139" t="s">
        <v>1040</v>
      </c>
      <c r="F416" s="11">
        <v>38811</v>
      </c>
      <c r="G416" s="47">
        <v>1</v>
      </c>
      <c r="H416" s="48">
        <v>2331.5819999999999</v>
      </c>
      <c r="I416" s="47" t="s">
        <v>1139</v>
      </c>
      <c r="J416" s="47" t="s">
        <v>1241</v>
      </c>
    </row>
    <row r="417" spans="1:10" x14ac:dyDescent="0.25">
      <c r="A417" s="129" t="str">
        <f t="shared" si="8"/>
        <v>1172319</v>
      </c>
      <c r="B417" s="47">
        <v>117</v>
      </c>
      <c r="C417" s="47">
        <v>2319</v>
      </c>
      <c r="D417" s="47">
        <v>50007</v>
      </c>
      <c r="E417" s="47" t="s">
        <v>572</v>
      </c>
      <c r="F417" s="11">
        <v>38974</v>
      </c>
      <c r="G417" s="47">
        <v>1</v>
      </c>
      <c r="H417" s="48">
        <v>2755.962</v>
      </c>
      <c r="I417" s="47" t="s">
        <v>1141</v>
      </c>
      <c r="J417" s="47" t="s">
        <v>1241</v>
      </c>
    </row>
    <row r="418" spans="1:10" x14ac:dyDescent="0.25">
      <c r="A418" s="129" t="str">
        <f t="shared" si="8"/>
        <v>1172323</v>
      </c>
      <c r="B418" s="47">
        <v>117</v>
      </c>
      <c r="C418" s="47">
        <v>2323</v>
      </c>
      <c r="D418" s="47">
        <v>50002</v>
      </c>
      <c r="E418" s="139" t="s">
        <v>1012</v>
      </c>
      <c r="F418" s="11">
        <v>38974</v>
      </c>
      <c r="G418" s="47">
        <v>1</v>
      </c>
      <c r="H418" s="48">
        <v>2331.5819999999999</v>
      </c>
      <c r="I418" s="47" t="s">
        <v>1174</v>
      </c>
      <c r="J418" s="47" t="s">
        <v>1240</v>
      </c>
    </row>
    <row r="419" spans="1:10" x14ac:dyDescent="0.25">
      <c r="A419" s="129" t="str">
        <f t="shared" si="8"/>
        <v>1172397</v>
      </c>
      <c r="B419" s="47">
        <v>117</v>
      </c>
      <c r="C419" s="47">
        <v>2397</v>
      </c>
      <c r="D419" s="47">
        <v>50003</v>
      </c>
      <c r="E419" s="139" t="s">
        <v>1116</v>
      </c>
      <c r="F419" s="11">
        <v>39010</v>
      </c>
      <c r="G419" s="47">
        <v>2</v>
      </c>
      <c r="H419" s="48">
        <v>4600.893</v>
      </c>
      <c r="I419" s="47" t="s">
        <v>1180</v>
      </c>
      <c r="J419" s="47" t="s">
        <v>1242</v>
      </c>
    </row>
    <row r="420" spans="1:10" x14ac:dyDescent="0.25">
      <c r="A420" s="129" t="str">
        <f t="shared" si="8"/>
        <v>1172399</v>
      </c>
      <c r="B420" s="47">
        <v>117</v>
      </c>
      <c r="C420" s="47">
        <v>2399</v>
      </c>
      <c r="D420" s="47">
        <v>50002</v>
      </c>
      <c r="E420" s="47" t="s">
        <v>238</v>
      </c>
      <c r="F420" s="11">
        <v>39010</v>
      </c>
      <c r="G420" s="47">
        <v>2</v>
      </c>
      <c r="H420" s="48">
        <v>2299.4564999999998</v>
      </c>
      <c r="I420" s="47" t="s">
        <v>1174</v>
      </c>
      <c r="J420" s="47" t="s">
        <v>1240</v>
      </c>
    </row>
    <row r="421" spans="1:10" x14ac:dyDescent="0.25">
      <c r="A421" s="129" t="str">
        <f t="shared" si="8"/>
        <v>1172461</v>
      </c>
      <c r="B421" s="47">
        <v>117</v>
      </c>
      <c r="C421" s="47">
        <v>2461</v>
      </c>
      <c r="D421" s="47">
        <v>50002</v>
      </c>
      <c r="E421" s="47" t="s">
        <v>350</v>
      </c>
      <c r="F421" s="11">
        <v>39037</v>
      </c>
      <c r="G421" s="47">
        <v>2</v>
      </c>
      <c r="H421" s="48">
        <v>2735.7</v>
      </c>
      <c r="I421" s="47" t="s">
        <v>1174</v>
      </c>
      <c r="J421" s="47" t="s">
        <v>1240</v>
      </c>
    </row>
    <row r="422" spans="1:10" x14ac:dyDescent="0.25">
      <c r="A422" s="129" t="str">
        <f t="shared" si="8"/>
        <v>1172789</v>
      </c>
      <c r="B422" s="47">
        <v>117</v>
      </c>
      <c r="C422" s="47">
        <v>2789</v>
      </c>
      <c r="D422" s="47">
        <v>50002</v>
      </c>
      <c r="E422" s="47" t="s">
        <v>575</v>
      </c>
      <c r="F422" s="11">
        <v>39234</v>
      </c>
      <c r="G422" s="47">
        <v>2</v>
      </c>
      <c r="H422" s="48">
        <v>2299.4564999999998</v>
      </c>
      <c r="I422" s="47" t="s">
        <v>1174</v>
      </c>
      <c r="J422" s="47" t="s">
        <v>1240</v>
      </c>
    </row>
    <row r="423" spans="1:10" x14ac:dyDescent="0.25">
      <c r="A423" s="129" t="str">
        <f t="shared" si="8"/>
        <v>1173192</v>
      </c>
      <c r="B423" s="47">
        <v>117</v>
      </c>
      <c r="C423" s="47">
        <v>3192</v>
      </c>
      <c r="D423" s="47">
        <v>50002</v>
      </c>
      <c r="E423" s="47" t="s">
        <v>435</v>
      </c>
      <c r="F423" s="11">
        <v>39373</v>
      </c>
      <c r="G423" s="47">
        <v>2</v>
      </c>
      <c r="H423" s="48">
        <v>2299.4564999999998</v>
      </c>
      <c r="I423" s="47" t="s">
        <v>1162</v>
      </c>
      <c r="J423" s="47" t="s">
        <v>1240</v>
      </c>
    </row>
    <row r="424" spans="1:10" x14ac:dyDescent="0.25">
      <c r="A424" s="129" t="str">
        <f t="shared" si="8"/>
        <v>1173326</v>
      </c>
      <c r="B424" s="47">
        <v>117</v>
      </c>
      <c r="C424" s="47">
        <v>3326</v>
      </c>
      <c r="D424" s="47">
        <v>50002</v>
      </c>
      <c r="E424" s="47" t="s">
        <v>206</v>
      </c>
      <c r="F424" s="11">
        <v>39423</v>
      </c>
      <c r="G424" s="47">
        <v>2</v>
      </c>
      <c r="H424" s="48">
        <v>2299.4564999999998</v>
      </c>
      <c r="I424" s="47" t="s">
        <v>1174</v>
      </c>
      <c r="J424" s="47" t="s">
        <v>1240</v>
      </c>
    </row>
    <row r="425" spans="1:10" x14ac:dyDescent="0.25">
      <c r="A425" s="129" t="str">
        <f t="shared" si="8"/>
        <v>1173875</v>
      </c>
      <c r="B425" s="47">
        <v>117</v>
      </c>
      <c r="C425" s="47">
        <v>3875</v>
      </c>
      <c r="D425" s="47">
        <v>50002</v>
      </c>
      <c r="E425" s="47" t="s">
        <v>655</v>
      </c>
      <c r="F425" s="11">
        <v>39570</v>
      </c>
      <c r="G425" s="47">
        <v>2</v>
      </c>
      <c r="H425" s="48">
        <v>4600.8764999999994</v>
      </c>
      <c r="I425" s="47" t="s">
        <v>1183</v>
      </c>
      <c r="J425" s="47" t="s">
        <v>1240</v>
      </c>
    </row>
    <row r="426" spans="1:10" x14ac:dyDescent="0.25">
      <c r="A426" s="129" t="str">
        <f t="shared" si="8"/>
        <v>1174157</v>
      </c>
      <c r="B426" s="47">
        <v>117</v>
      </c>
      <c r="C426" s="47">
        <v>4157</v>
      </c>
      <c r="D426" s="47">
        <v>50002</v>
      </c>
      <c r="E426" s="47" t="s">
        <v>559</v>
      </c>
      <c r="F426" s="11">
        <v>39680</v>
      </c>
      <c r="G426" s="47">
        <v>2</v>
      </c>
      <c r="H426" s="48">
        <v>3219.6449999999995</v>
      </c>
      <c r="I426" s="47" t="s">
        <v>1162</v>
      </c>
      <c r="J426" s="47" t="s">
        <v>1240</v>
      </c>
    </row>
    <row r="427" spans="1:10" x14ac:dyDescent="0.25">
      <c r="A427" s="129" t="str">
        <f t="shared" si="8"/>
        <v>1174814</v>
      </c>
      <c r="B427" s="47">
        <v>117</v>
      </c>
      <c r="C427" s="47">
        <v>4814</v>
      </c>
      <c r="D427" s="47">
        <v>50007</v>
      </c>
      <c r="E427" s="47" t="s">
        <v>229</v>
      </c>
      <c r="F427" s="11">
        <v>40016</v>
      </c>
      <c r="G427" s="47">
        <v>11</v>
      </c>
      <c r="H427" s="48">
        <v>4600.893</v>
      </c>
      <c r="I427" s="47" t="s">
        <v>1130</v>
      </c>
      <c r="J427" s="47" t="s">
        <v>1241</v>
      </c>
    </row>
    <row r="428" spans="1:10" x14ac:dyDescent="0.25">
      <c r="A428" s="129" t="str">
        <f t="shared" si="8"/>
        <v>1175019</v>
      </c>
      <c r="B428" s="47">
        <v>117</v>
      </c>
      <c r="C428" s="47">
        <v>5019</v>
      </c>
      <c r="D428" s="47">
        <v>50007</v>
      </c>
      <c r="E428" s="139" t="s">
        <v>1088</v>
      </c>
      <c r="F428" s="11">
        <v>40140</v>
      </c>
      <c r="G428" s="47">
        <v>11</v>
      </c>
      <c r="H428" s="48">
        <v>2299.4564999999998</v>
      </c>
      <c r="I428" s="47" t="s">
        <v>1139</v>
      </c>
      <c r="J428" s="47" t="s">
        <v>1241</v>
      </c>
    </row>
    <row r="429" spans="1:10" x14ac:dyDescent="0.25">
      <c r="A429" s="129" t="str">
        <f t="shared" si="8"/>
        <v>1175514</v>
      </c>
      <c r="B429" s="47">
        <v>117</v>
      </c>
      <c r="C429" s="47">
        <v>5514</v>
      </c>
      <c r="D429" s="47">
        <v>50002</v>
      </c>
      <c r="E429" s="139" t="s">
        <v>863</v>
      </c>
      <c r="F429" s="11">
        <v>40378</v>
      </c>
      <c r="G429" s="47">
        <v>11</v>
      </c>
      <c r="H429" s="48">
        <v>2299.4564999999998</v>
      </c>
      <c r="I429" s="47" t="s">
        <v>1162</v>
      </c>
      <c r="J429" s="47" t="s">
        <v>1240</v>
      </c>
    </row>
    <row r="430" spans="1:10" x14ac:dyDescent="0.25">
      <c r="A430" s="129" t="str">
        <f t="shared" si="8"/>
        <v>1175749</v>
      </c>
      <c r="B430" s="47">
        <v>117</v>
      </c>
      <c r="C430" s="47">
        <v>5749</v>
      </c>
      <c r="D430" s="47">
        <v>50007</v>
      </c>
      <c r="E430" s="139" t="s">
        <v>1026</v>
      </c>
      <c r="F430" s="11">
        <v>40485</v>
      </c>
      <c r="G430" s="47">
        <v>11</v>
      </c>
      <c r="H430" s="48">
        <v>2299.4564999999998</v>
      </c>
      <c r="I430" s="47" t="s">
        <v>1139</v>
      </c>
      <c r="J430" s="47" t="s">
        <v>1241</v>
      </c>
    </row>
    <row r="431" spans="1:10" x14ac:dyDescent="0.25">
      <c r="A431" s="129" t="str">
        <f t="shared" si="8"/>
        <v>1175765</v>
      </c>
      <c r="B431" s="47">
        <v>117</v>
      </c>
      <c r="C431" s="47">
        <v>5765</v>
      </c>
      <c r="D431" s="47">
        <v>50002</v>
      </c>
      <c r="E431" s="47" t="s">
        <v>400</v>
      </c>
      <c r="F431" s="11">
        <v>40513</v>
      </c>
      <c r="G431" s="47">
        <v>11</v>
      </c>
      <c r="H431" s="48">
        <v>2299.4564999999998</v>
      </c>
      <c r="I431" s="47" t="s">
        <v>1174</v>
      </c>
      <c r="J431" s="47" t="s">
        <v>1240</v>
      </c>
    </row>
    <row r="432" spans="1:10" x14ac:dyDescent="0.25">
      <c r="A432" s="129" t="str">
        <f t="shared" si="8"/>
        <v>1176217</v>
      </c>
      <c r="B432" s="47">
        <v>117</v>
      </c>
      <c r="C432" s="47">
        <v>6217</v>
      </c>
      <c r="D432" s="47">
        <v>50002</v>
      </c>
      <c r="E432" s="47" t="s">
        <v>417</v>
      </c>
      <c r="F432" s="11">
        <v>40969</v>
      </c>
      <c r="G432" s="47">
        <v>11</v>
      </c>
      <c r="H432" s="48">
        <v>2299.4564999999998</v>
      </c>
      <c r="I432" s="47" t="s">
        <v>1177</v>
      </c>
      <c r="J432" s="47" t="s">
        <v>1240</v>
      </c>
    </row>
    <row r="433" spans="1:10" x14ac:dyDescent="0.25">
      <c r="A433" s="129" t="str">
        <f t="shared" si="8"/>
        <v>1176269</v>
      </c>
      <c r="B433" s="47">
        <v>117</v>
      </c>
      <c r="C433" s="47">
        <v>6269</v>
      </c>
      <c r="D433" s="47">
        <v>50007</v>
      </c>
      <c r="E433" s="139" t="s">
        <v>880</v>
      </c>
      <c r="F433" s="11">
        <v>41016</v>
      </c>
      <c r="G433" s="47">
        <v>11</v>
      </c>
      <c r="H433" s="48">
        <v>3083.9324999999999</v>
      </c>
      <c r="I433" s="47" t="s">
        <v>1128</v>
      </c>
      <c r="J433" s="47" t="s">
        <v>1241</v>
      </c>
    </row>
    <row r="434" spans="1:10" x14ac:dyDescent="0.25">
      <c r="A434" s="129" t="str">
        <f t="shared" si="8"/>
        <v>1176275</v>
      </c>
      <c r="B434" s="47">
        <v>117</v>
      </c>
      <c r="C434" s="47">
        <v>6275</v>
      </c>
      <c r="D434" s="47">
        <v>50007</v>
      </c>
      <c r="E434" s="139" t="s">
        <v>1083</v>
      </c>
      <c r="F434" s="11">
        <v>41016</v>
      </c>
      <c r="G434" s="47">
        <v>11</v>
      </c>
      <c r="H434" s="48">
        <v>2981.1374999999998</v>
      </c>
      <c r="I434" s="47" t="s">
        <v>1128</v>
      </c>
      <c r="J434" s="47" t="s">
        <v>1241</v>
      </c>
    </row>
    <row r="435" spans="1:10" x14ac:dyDescent="0.25">
      <c r="A435" s="129" t="str">
        <f t="shared" si="8"/>
        <v>1176306</v>
      </c>
      <c r="B435" s="47">
        <v>117</v>
      </c>
      <c r="C435" s="47">
        <v>6306</v>
      </c>
      <c r="D435" s="47">
        <v>50002</v>
      </c>
      <c r="E435" s="47" t="s">
        <v>473</v>
      </c>
      <c r="F435" s="11">
        <v>41040</v>
      </c>
      <c r="G435" s="47">
        <v>8</v>
      </c>
      <c r="H435" s="48">
        <v>2299.4564999999998</v>
      </c>
      <c r="I435" s="47" t="s">
        <v>1162</v>
      </c>
      <c r="J435" s="47" t="s">
        <v>1240</v>
      </c>
    </row>
    <row r="436" spans="1:10" x14ac:dyDescent="0.25">
      <c r="A436" s="129" t="str">
        <f t="shared" si="8"/>
        <v>1176618</v>
      </c>
      <c r="B436" s="47">
        <v>117</v>
      </c>
      <c r="C436" s="47">
        <v>6618</v>
      </c>
      <c r="D436" s="47">
        <v>50007</v>
      </c>
      <c r="E436" s="139" t="s">
        <v>952</v>
      </c>
      <c r="F436" s="11">
        <v>41269</v>
      </c>
      <c r="G436" s="47">
        <v>8</v>
      </c>
      <c r="H436" s="48">
        <v>2299.4564999999998</v>
      </c>
      <c r="I436" s="47" t="s">
        <v>1141</v>
      </c>
      <c r="J436" s="47" t="s">
        <v>1241</v>
      </c>
    </row>
    <row r="437" spans="1:10" x14ac:dyDescent="0.25">
      <c r="A437" s="129" t="str">
        <f t="shared" si="8"/>
        <v>1176950</v>
      </c>
      <c r="B437" s="47">
        <v>117</v>
      </c>
      <c r="C437" s="47">
        <v>6950</v>
      </c>
      <c r="D437" s="47">
        <v>50007</v>
      </c>
      <c r="E437" s="47" t="s">
        <v>181</v>
      </c>
      <c r="F437" s="11">
        <v>41529</v>
      </c>
      <c r="G437" s="47">
        <v>8</v>
      </c>
      <c r="H437" s="48">
        <v>3380.6024999999995</v>
      </c>
      <c r="I437" s="47" t="s">
        <v>1155</v>
      </c>
      <c r="J437" s="47" t="s">
        <v>1241</v>
      </c>
    </row>
    <row r="438" spans="1:10" x14ac:dyDescent="0.25">
      <c r="A438" s="129" t="str">
        <f t="shared" si="8"/>
        <v>1176977</v>
      </c>
      <c r="B438" s="47">
        <v>117</v>
      </c>
      <c r="C438" s="47">
        <v>6977</v>
      </c>
      <c r="D438" s="47">
        <v>50007</v>
      </c>
      <c r="E438" s="47" t="s">
        <v>689</v>
      </c>
      <c r="F438" s="11">
        <v>41548</v>
      </c>
      <c r="G438" s="47">
        <v>8</v>
      </c>
      <c r="H438" s="48">
        <v>2981.1374999999998</v>
      </c>
      <c r="I438" s="47" t="s">
        <v>1121</v>
      </c>
      <c r="J438" s="47" t="s">
        <v>1241</v>
      </c>
    </row>
    <row r="439" spans="1:10" x14ac:dyDescent="0.25">
      <c r="A439" s="129" t="str">
        <f t="shared" si="8"/>
        <v>1176997</v>
      </c>
      <c r="B439" s="47">
        <v>117</v>
      </c>
      <c r="C439" s="47">
        <v>6997</v>
      </c>
      <c r="D439" s="47">
        <v>50002</v>
      </c>
      <c r="E439" s="139" t="s">
        <v>1080</v>
      </c>
      <c r="F439" s="11">
        <v>41561</v>
      </c>
      <c r="G439" s="47">
        <v>8</v>
      </c>
      <c r="H439" s="48">
        <v>2299.4564999999998</v>
      </c>
      <c r="I439" s="47" t="s">
        <v>1162</v>
      </c>
      <c r="J439" s="47" t="s">
        <v>1240</v>
      </c>
    </row>
    <row r="440" spans="1:10" x14ac:dyDescent="0.25">
      <c r="A440" s="129" t="str">
        <f t="shared" si="8"/>
        <v>1177012</v>
      </c>
      <c r="B440" s="47">
        <v>117</v>
      </c>
      <c r="C440" s="47">
        <v>7012</v>
      </c>
      <c r="D440" s="47">
        <v>50007</v>
      </c>
      <c r="E440" s="47" t="s">
        <v>831</v>
      </c>
      <c r="F440" s="11">
        <v>41579</v>
      </c>
      <c r="G440" s="47">
        <v>8</v>
      </c>
      <c r="H440" s="48">
        <v>2299.4564999999998</v>
      </c>
      <c r="I440" s="47" t="s">
        <v>1128</v>
      </c>
      <c r="J440" s="47" t="s">
        <v>1241</v>
      </c>
    </row>
    <row r="441" spans="1:10" x14ac:dyDescent="0.25">
      <c r="A441" s="129" t="str">
        <f t="shared" ref="A441:A483" si="9">B441&amp;C441</f>
        <v>1177032</v>
      </c>
      <c r="B441" s="47">
        <v>117</v>
      </c>
      <c r="C441" s="47">
        <v>7032</v>
      </c>
      <c r="D441" s="47">
        <v>50007</v>
      </c>
      <c r="E441" s="47" t="s">
        <v>744</v>
      </c>
      <c r="F441" s="11">
        <v>41610</v>
      </c>
      <c r="G441" s="47">
        <v>8</v>
      </c>
      <c r="H441" s="48">
        <v>4600.893</v>
      </c>
      <c r="I441" s="47" t="s">
        <v>1128</v>
      </c>
      <c r="J441" s="47" t="s">
        <v>1241</v>
      </c>
    </row>
    <row r="442" spans="1:10" x14ac:dyDescent="0.25">
      <c r="A442" s="129" t="str">
        <f t="shared" si="9"/>
        <v>1177037</v>
      </c>
      <c r="B442" s="47">
        <v>117</v>
      </c>
      <c r="C442" s="47">
        <v>7037</v>
      </c>
      <c r="D442" s="47">
        <v>50002</v>
      </c>
      <c r="E442" s="47" t="s">
        <v>321</v>
      </c>
      <c r="F442" s="11">
        <v>41617</v>
      </c>
      <c r="G442" s="47">
        <v>8</v>
      </c>
      <c r="H442" s="48">
        <v>2299.4564999999998</v>
      </c>
      <c r="I442" s="47" t="s">
        <v>1162</v>
      </c>
      <c r="J442" s="47" t="s">
        <v>1240</v>
      </c>
    </row>
    <row r="443" spans="1:10" x14ac:dyDescent="0.25">
      <c r="A443" s="129" t="str">
        <f t="shared" si="9"/>
        <v>1177053</v>
      </c>
      <c r="B443" s="47">
        <v>117</v>
      </c>
      <c r="C443" s="47">
        <v>7053</v>
      </c>
      <c r="D443" s="47">
        <v>50007</v>
      </c>
      <c r="E443" s="47" t="s">
        <v>812</v>
      </c>
      <c r="F443" s="11">
        <v>41624</v>
      </c>
      <c r="G443" s="47">
        <v>13</v>
      </c>
      <c r="H443" s="48">
        <v>4600.893</v>
      </c>
      <c r="I443" s="47" t="s">
        <v>1128</v>
      </c>
      <c r="J443" s="47" t="s">
        <v>1241</v>
      </c>
    </row>
    <row r="444" spans="1:10" x14ac:dyDescent="0.25">
      <c r="A444" s="129" t="str">
        <f t="shared" si="9"/>
        <v>1178657</v>
      </c>
      <c r="B444" s="47">
        <v>117</v>
      </c>
      <c r="C444" s="47">
        <v>8657</v>
      </c>
      <c r="D444" s="47">
        <v>50007</v>
      </c>
      <c r="E444" s="47" t="s">
        <v>428</v>
      </c>
      <c r="F444" s="11">
        <v>41764</v>
      </c>
      <c r="G444" s="47">
        <v>13</v>
      </c>
      <c r="H444" s="48">
        <v>2299.4564999999998</v>
      </c>
      <c r="I444" s="47" t="s">
        <v>1121</v>
      </c>
      <c r="J444" s="47" t="s">
        <v>1241</v>
      </c>
    </row>
    <row r="445" spans="1:10" x14ac:dyDescent="0.25">
      <c r="A445" s="129" t="str">
        <f t="shared" si="9"/>
        <v>1178694</v>
      </c>
      <c r="B445" s="47">
        <v>117</v>
      </c>
      <c r="C445" s="47">
        <v>8694</v>
      </c>
      <c r="D445" s="47">
        <v>50002</v>
      </c>
      <c r="E445" s="47" t="s">
        <v>331</v>
      </c>
      <c r="F445" s="11">
        <v>41781</v>
      </c>
      <c r="G445" s="47">
        <v>13</v>
      </c>
      <c r="H445" s="48">
        <v>3219.6449999999995</v>
      </c>
      <c r="I445" s="47" t="s">
        <v>1162</v>
      </c>
      <c r="J445" s="47" t="s">
        <v>1240</v>
      </c>
    </row>
    <row r="446" spans="1:10" x14ac:dyDescent="0.25">
      <c r="A446" s="129" t="str">
        <f t="shared" si="9"/>
        <v>1178754</v>
      </c>
      <c r="B446" s="47">
        <v>117</v>
      </c>
      <c r="C446" s="47">
        <v>8754</v>
      </c>
      <c r="D446" s="47">
        <v>50002</v>
      </c>
      <c r="E446" s="47" t="s">
        <v>772</v>
      </c>
      <c r="F446" s="11">
        <v>41834</v>
      </c>
      <c r="G446" s="47">
        <v>13</v>
      </c>
      <c r="H446" s="48">
        <v>2299.4564999999998</v>
      </c>
      <c r="I446" s="47" t="s">
        <v>1162</v>
      </c>
      <c r="J446" s="47" t="s">
        <v>1240</v>
      </c>
    </row>
    <row r="447" spans="1:10" x14ac:dyDescent="0.25">
      <c r="A447" s="129" t="str">
        <f t="shared" si="9"/>
        <v>1178760</v>
      </c>
      <c r="B447" s="47">
        <v>117</v>
      </c>
      <c r="C447" s="47">
        <v>8760</v>
      </c>
      <c r="D447" s="47">
        <v>50002</v>
      </c>
      <c r="E447" s="47" t="s">
        <v>259</v>
      </c>
      <c r="F447" s="11">
        <v>41843</v>
      </c>
      <c r="G447" s="47">
        <v>13</v>
      </c>
      <c r="H447" s="48">
        <v>2299.4564999999998</v>
      </c>
      <c r="I447" s="47" t="s">
        <v>1162</v>
      </c>
      <c r="J447" s="47" t="s">
        <v>1240</v>
      </c>
    </row>
    <row r="448" spans="1:10" x14ac:dyDescent="0.25">
      <c r="A448" s="129" t="str">
        <f t="shared" si="9"/>
        <v>1232434</v>
      </c>
      <c r="B448" s="47">
        <v>123</v>
      </c>
      <c r="C448" s="47">
        <v>2434</v>
      </c>
      <c r="D448" s="47">
        <v>51232</v>
      </c>
      <c r="E448" s="47" t="s">
        <v>254</v>
      </c>
      <c r="F448" s="11">
        <v>39029</v>
      </c>
      <c r="G448" s="47">
        <v>13</v>
      </c>
      <c r="H448" s="48">
        <v>2299.4564999999998</v>
      </c>
      <c r="I448" s="47" t="s">
        <v>1162</v>
      </c>
      <c r="J448" s="47" t="s">
        <v>1243</v>
      </c>
    </row>
    <row r="449" spans="1:10" x14ac:dyDescent="0.25">
      <c r="A449" s="129" t="str">
        <f t="shared" si="9"/>
        <v>1234987</v>
      </c>
      <c r="B449" s="47">
        <v>123</v>
      </c>
      <c r="C449" s="47">
        <v>4987</v>
      </c>
      <c r="D449" s="47">
        <v>51232</v>
      </c>
      <c r="E449" s="47" t="s">
        <v>246</v>
      </c>
      <c r="F449" s="11">
        <v>40120</v>
      </c>
      <c r="G449" s="47">
        <v>13</v>
      </c>
      <c r="H449" s="48">
        <v>2735.6835000000001</v>
      </c>
      <c r="I449" s="47" t="s">
        <v>1162</v>
      </c>
      <c r="J449" s="47" t="s">
        <v>1243</v>
      </c>
    </row>
    <row r="450" spans="1:10" x14ac:dyDescent="0.25">
      <c r="A450" s="129" t="str">
        <f t="shared" si="9"/>
        <v>1235042</v>
      </c>
      <c r="B450" s="47">
        <v>123</v>
      </c>
      <c r="C450" s="47">
        <v>5042</v>
      </c>
      <c r="D450" s="47">
        <v>51232</v>
      </c>
      <c r="E450" s="47" t="s">
        <v>761</v>
      </c>
      <c r="F450" s="11">
        <v>40151</v>
      </c>
      <c r="G450" s="47">
        <v>13</v>
      </c>
      <c r="H450" s="48">
        <v>2299.4564999999998</v>
      </c>
      <c r="I450" s="47" t="s">
        <v>1162</v>
      </c>
      <c r="J450" s="47" t="s">
        <v>1243</v>
      </c>
    </row>
    <row r="451" spans="1:10" x14ac:dyDescent="0.25">
      <c r="A451" s="129" t="str">
        <f t="shared" si="9"/>
        <v>1235187</v>
      </c>
      <c r="B451" s="47">
        <v>123</v>
      </c>
      <c r="C451" s="47">
        <v>5187</v>
      </c>
      <c r="D451" s="47">
        <v>51232</v>
      </c>
      <c r="E451" s="47" t="s">
        <v>841</v>
      </c>
      <c r="F451" s="11">
        <v>40219</v>
      </c>
      <c r="G451" s="47">
        <v>4</v>
      </c>
      <c r="H451" s="48">
        <v>2163.0014999999999</v>
      </c>
      <c r="I451" s="47" t="s">
        <v>1162</v>
      </c>
      <c r="J451" s="47" t="s">
        <v>1243</v>
      </c>
    </row>
    <row r="452" spans="1:10" x14ac:dyDescent="0.25">
      <c r="A452" s="129" t="str">
        <f t="shared" si="9"/>
        <v>1235686</v>
      </c>
      <c r="B452" s="47">
        <v>123</v>
      </c>
      <c r="C452" s="47">
        <v>5686</v>
      </c>
      <c r="D452" s="47">
        <v>51232</v>
      </c>
      <c r="E452" s="47" t="s">
        <v>186</v>
      </c>
      <c r="F452" s="11">
        <v>40452</v>
      </c>
      <c r="G452" s="47">
        <v>4</v>
      </c>
      <c r="H452" s="48">
        <v>2879.25</v>
      </c>
      <c r="I452" s="47" t="s">
        <v>1162</v>
      </c>
      <c r="J452" s="47" t="s">
        <v>1243</v>
      </c>
    </row>
    <row r="453" spans="1:10" x14ac:dyDescent="0.25">
      <c r="A453" s="129" t="str">
        <f t="shared" si="9"/>
        <v>1235812</v>
      </c>
      <c r="B453" s="47">
        <v>123</v>
      </c>
      <c r="C453" s="47">
        <v>5812</v>
      </c>
      <c r="D453" s="47">
        <v>51232</v>
      </c>
      <c r="E453" s="139" t="s">
        <v>1092</v>
      </c>
      <c r="F453" s="11">
        <v>40591</v>
      </c>
      <c r="G453" s="47">
        <v>4</v>
      </c>
      <c r="H453" s="48">
        <v>2163.0014999999999</v>
      </c>
      <c r="I453" s="47" t="s">
        <v>1162</v>
      </c>
      <c r="J453" s="47" t="s">
        <v>1243</v>
      </c>
    </row>
    <row r="454" spans="1:10" x14ac:dyDescent="0.25">
      <c r="A454" s="129" t="str">
        <f t="shared" si="9"/>
        <v>1235852</v>
      </c>
      <c r="B454" s="47">
        <v>123</v>
      </c>
      <c r="C454" s="47">
        <v>5852</v>
      </c>
      <c r="D454" s="47">
        <v>51232</v>
      </c>
      <c r="E454" s="47" t="s">
        <v>847</v>
      </c>
      <c r="F454" s="11">
        <v>40665</v>
      </c>
      <c r="G454" s="47">
        <v>4</v>
      </c>
      <c r="H454" s="48">
        <v>4116.75</v>
      </c>
      <c r="I454" s="47" t="s">
        <v>1162</v>
      </c>
      <c r="J454" s="47" t="s">
        <v>1243</v>
      </c>
    </row>
    <row r="455" spans="1:10" x14ac:dyDescent="0.25">
      <c r="A455" s="129" t="str">
        <f t="shared" si="9"/>
        <v>1236252</v>
      </c>
      <c r="B455" s="47">
        <v>123</v>
      </c>
      <c r="C455" s="47">
        <v>6252</v>
      </c>
      <c r="D455" s="47">
        <v>51232</v>
      </c>
      <c r="E455" s="47" t="s">
        <v>210</v>
      </c>
      <c r="F455" s="11">
        <v>41003</v>
      </c>
      <c r="G455" s="47">
        <v>4</v>
      </c>
      <c r="H455" s="48">
        <v>2163.0014999999999</v>
      </c>
      <c r="I455" s="47" t="s">
        <v>1162</v>
      </c>
      <c r="J455" s="47" t="s">
        <v>1243</v>
      </c>
    </row>
    <row r="456" spans="1:10" x14ac:dyDescent="0.25">
      <c r="A456" s="129" t="str">
        <f t="shared" si="9"/>
        <v>1236345</v>
      </c>
      <c r="B456" s="47">
        <v>123</v>
      </c>
      <c r="C456" s="47">
        <v>6345</v>
      </c>
      <c r="D456" s="47">
        <v>51232</v>
      </c>
      <c r="E456" s="47" t="s">
        <v>253</v>
      </c>
      <c r="F456" s="11">
        <v>41075</v>
      </c>
      <c r="G456" s="47">
        <v>4</v>
      </c>
      <c r="H456" s="48">
        <v>2163.0014999999999</v>
      </c>
      <c r="I456" s="47" t="s">
        <v>1162</v>
      </c>
      <c r="J456" s="47" t="s">
        <v>1243</v>
      </c>
    </row>
    <row r="457" spans="1:10" x14ac:dyDescent="0.25">
      <c r="A457" s="129" t="str">
        <f t="shared" si="9"/>
        <v>1236350</v>
      </c>
      <c r="B457" s="47">
        <v>123</v>
      </c>
      <c r="C457" s="47">
        <v>6350</v>
      </c>
      <c r="D457" s="47">
        <v>51232</v>
      </c>
      <c r="E457" s="47" t="s">
        <v>607</v>
      </c>
      <c r="F457" s="11">
        <v>41082</v>
      </c>
      <c r="G457" s="47">
        <v>4</v>
      </c>
      <c r="H457" s="48">
        <v>2325.7079999999996</v>
      </c>
      <c r="I457" s="47" t="s">
        <v>1162</v>
      </c>
      <c r="J457" s="47" t="s">
        <v>1243</v>
      </c>
    </row>
    <row r="458" spans="1:10" x14ac:dyDescent="0.25">
      <c r="A458" s="129" t="str">
        <f t="shared" si="9"/>
        <v>1236454</v>
      </c>
      <c r="B458" s="47">
        <v>123</v>
      </c>
      <c r="C458" s="47">
        <v>6454</v>
      </c>
      <c r="D458" s="47">
        <v>51232</v>
      </c>
      <c r="E458" s="139" t="s">
        <v>1120</v>
      </c>
      <c r="F458" s="11">
        <v>41155</v>
      </c>
      <c r="G458" s="47">
        <v>12</v>
      </c>
      <c r="H458" s="48">
        <v>4601.3219999999992</v>
      </c>
      <c r="I458" s="47" t="s">
        <v>1162</v>
      </c>
      <c r="J458" s="47" t="s">
        <v>1243</v>
      </c>
    </row>
    <row r="459" spans="1:10" x14ac:dyDescent="0.25">
      <c r="A459" s="129" t="str">
        <f t="shared" si="9"/>
        <v>1236605</v>
      </c>
      <c r="B459" s="47">
        <v>123</v>
      </c>
      <c r="C459" s="47">
        <v>6605</v>
      </c>
      <c r="D459" s="47">
        <v>51232</v>
      </c>
      <c r="E459" s="47" t="s">
        <v>323</v>
      </c>
      <c r="F459" s="11">
        <v>41247</v>
      </c>
      <c r="G459" s="47">
        <v>12</v>
      </c>
      <c r="H459" s="48">
        <v>2299.6709999999998</v>
      </c>
      <c r="I459" s="47" t="s">
        <v>1162</v>
      </c>
      <c r="J459" s="47" t="s">
        <v>1243</v>
      </c>
    </row>
    <row r="460" spans="1:10" x14ac:dyDescent="0.25">
      <c r="A460" s="129" t="str">
        <f t="shared" si="9"/>
        <v>1236701</v>
      </c>
      <c r="B460" s="47">
        <v>123</v>
      </c>
      <c r="C460" s="47">
        <v>6701</v>
      </c>
      <c r="D460" s="47">
        <v>51232</v>
      </c>
      <c r="E460" s="139" t="s">
        <v>1118</v>
      </c>
      <c r="F460" s="11">
        <v>41365</v>
      </c>
      <c r="G460" s="47">
        <v>12</v>
      </c>
      <c r="H460" s="48">
        <v>2981.4180000000001</v>
      </c>
      <c r="I460" s="47" t="s">
        <v>1162</v>
      </c>
      <c r="J460" s="47" t="s">
        <v>1243</v>
      </c>
    </row>
    <row r="461" spans="1:10" x14ac:dyDescent="0.25">
      <c r="A461" s="129" t="str">
        <f t="shared" si="9"/>
        <v>1236711</v>
      </c>
      <c r="B461" s="47">
        <v>123</v>
      </c>
      <c r="C461" s="47">
        <v>6711</v>
      </c>
      <c r="D461" s="47">
        <v>51232</v>
      </c>
      <c r="E461" s="47" t="s">
        <v>728</v>
      </c>
      <c r="F461" s="11">
        <v>41372</v>
      </c>
      <c r="G461" s="47">
        <v>12</v>
      </c>
      <c r="H461" s="48">
        <v>2299.6709999999998</v>
      </c>
      <c r="I461" s="47" t="s">
        <v>1162</v>
      </c>
      <c r="J461" s="47" t="s">
        <v>1243</v>
      </c>
    </row>
    <row r="462" spans="1:10" x14ac:dyDescent="0.25">
      <c r="A462" s="129" t="str">
        <f t="shared" si="9"/>
        <v>1236842</v>
      </c>
      <c r="B462" s="47">
        <v>123</v>
      </c>
      <c r="C462" s="47">
        <v>6842</v>
      </c>
      <c r="D462" s="47">
        <v>51232</v>
      </c>
      <c r="E462" s="139" t="s">
        <v>1087</v>
      </c>
      <c r="F462" s="11">
        <v>41449</v>
      </c>
      <c r="G462" s="47">
        <v>12</v>
      </c>
      <c r="H462" s="48">
        <v>3219.942</v>
      </c>
      <c r="I462" s="47" t="s">
        <v>1162</v>
      </c>
      <c r="J462" s="47" t="s">
        <v>1243</v>
      </c>
    </row>
    <row r="463" spans="1:10" x14ac:dyDescent="0.25">
      <c r="A463" s="129" t="str">
        <f t="shared" si="9"/>
        <v>1236846</v>
      </c>
      <c r="B463" s="47">
        <v>123</v>
      </c>
      <c r="C463" s="47">
        <v>6846</v>
      </c>
      <c r="D463" s="47">
        <v>51232</v>
      </c>
      <c r="E463" s="47" t="s">
        <v>705</v>
      </c>
      <c r="F463" s="11">
        <v>41456</v>
      </c>
      <c r="G463" s="47">
        <v>12</v>
      </c>
      <c r="H463" s="48">
        <v>2299.6709999999998</v>
      </c>
      <c r="I463" s="47" t="s">
        <v>1174</v>
      </c>
      <c r="J463" s="47" t="s">
        <v>1243</v>
      </c>
    </row>
    <row r="464" spans="1:10" x14ac:dyDescent="0.25">
      <c r="A464" s="129" t="str">
        <f t="shared" si="9"/>
        <v>1236847</v>
      </c>
      <c r="B464" s="47">
        <v>123</v>
      </c>
      <c r="C464" s="47">
        <v>6847</v>
      </c>
      <c r="D464" s="47">
        <v>51232</v>
      </c>
      <c r="E464" s="47" t="s">
        <v>570</v>
      </c>
      <c r="F464" s="11">
        <v>41456</v>
      </c>
      <c r="G464" s="47">
        <v>12</v>
      </c>
      <c r="H464" s="48">
        <v>2299.6709999999998</v>
      </c>
      <c r="I464" s="47" t="s">
        <v>1174</v>
      </c>
      <c r="J464" s="47" t="s">
        <v>1243</v>
      </c>
    </row>
    <row r="465" spans="1:10" x14ac:dyDescent="0.25">
      <c r="A465" s="129" t="str">
        <f t="shared" si="9"/>
        <v>1236848</v>
      </c>
      <c r="B465" s="47">
        <v>123</v>
      </c>
      <c r="C465" s="47">
        <v>6848</v>
      </c>
      <c r="D465" s="47">
        <v>51232</v>
      </c>
      <c r="E465" s="47" t="s">
        <v>540</v>
      </c>
      <c r="F465" s="11">
        <v>41456</v>
      </c>
      <c r="G465" s="47">
        <v>12</v>
      </c>
      <c r="H465" s="48">
        <v>2299.6709999999998</v>
      </c>
      <c r="I465" s="47" t="s">
        <v>1162</v>
      </c>
      <c r="J465" s="47" t="s">
        <v>1243</v>
      </c>
    </row>
    <row r="466" spans="1:10" x14ac:dyDescent="0.25">
      <c r="A466" s="129" t="str">
        <f t="shared" si="9"/>
        <v>1238669</v>
      </c>
      <c r="B466" s="47">
        <v>123</v>
      </c>
      <c r="C466" s="47">
        <v>8669</v>
      </c>
      <c r="D466" s="47">
        <v>51232</v>
      </c>
      <c r="E466" s="47" t="s">
        <v>690</v>
      </c>
      <c r="F466" s="11">
        <v>37686</v>
      </c>
      <c r="G466" s="47">
        <v>3</v>
      </c>
      <c r="H466" s="48">
        <v>2475</v>
      </c>
      <c r="I466" s="47" t="s">
        <v>1164</v>
      </c>
      <c r="J466" s="47" t="s">
        <v>1243</v>
      </c>
    </row>
    <row r="467" spans="1:10" x14ac:dyDescent="0.25">
      <c r="A467" s="129" t="str">
        <f t="shared" si="9"/>
        <v>1242041</v>
      </c>
      <c r="B467" s="47">
        <v>124</v>
      </c>
      <c r="C467" s="47">
        <v>2041</v>
      </c>
      <c r="D467" s="47">
        <v>50002</v>
      </c>
      <c r="E467" s="139" t="s">
        <v>875</v>
      </c>
      <c r="F467" s="11">
        <v>38245</v>
      </c>
      <c r="G467" s="47">
        <v>3</v>
      </c>
      <c r="H467" s="48">
        <v>2261.4899999999998</v>
      </c>
      <c r="I467" s="47" t="s">
        <v>1174</v>
      </c>
      <c r="J467" s="47" t="s">
        <v>1240</v>
      </c>
    </row>
    <row r="468" spans="1:10" x14ac:dyDescent="0.25">
      <c r="A468" s="129" t="str">
        <f t="shared" si="9"/>
        <v>1242069</v>
      </c>
      <c r="B468" s="47">
        <v>124</v>
      </c>
      <c r="C468" s="47">
        <v>2069</v>
      </c>
      <c r="D468" s="47">
        <v>50002</v>
      </c>
      <c r="E468" s="47" t="s">
        <v>760</v>
      </c>
      <c r="F468" s="11">
        <v>38307</v>
      </c>
      <c r="G468" s="47">
        <v>3</v>
      </c>
      <c r="H468" s="48">
        <v>2261.4899999999998</v>
      </c>
      <c r="I468" s="47" t="s">
        <v>1174</v>
      </c>
      <c r="J468" s="47" t="s">
        <v>1240</v>
      </c>
    </row>
    <row r="469" spans="1:10" x14ac:dyDescent="0.25">
      <c r="A469" s="129" t="str">
        <f t="shared" si="9"/>
        <v>1242388</v>
      </c>
      <c r="B469" s="47">
        <v>124</v>
      </c>
      <c r="C469" s="47">
        <v>2388</v>
      </c>
      <c r="D469" s="47">
        <v>50002</v>
      </c>
      <c r="E469" s="139" t="s">
        <v>1024</v>
      </c>
      <c r="F469" s="11">
        <v>39010</v>
      </c>
      <c r="G469" s="47">
        <v>3</v>
      </c>
      <c r="H469" s="48">
        <v>2261.4899999999998</v>
      </c>
      <c r="I469" s="47" t="s">
        <v>1174</v>
      </c>
      <c r="J469" s="47" t="s">
        <v>1240</v>
      </c>
    </row>
    <row r="470" spans="1:10" x14ac:dyDescent="0.25">
      <c r="A470" s="129" t="str">
        <f t="shared" si="9"/>
        <v>1243018</v>
      </c>
      <c r="B470" s="47">
        <v>124</v>
      </c>
      <c r="C470" s="47">
        <v>3018</v>
      </c>
      <c r="D470" s="47">
        <v>50002</v>
      </c>
      <c r="E470" s="47" t="s">
        <v>289</v>
      </c>
      <c r="F470" s="11">
        <v>39315</v>
      </c>
      <c r="G470" s="47">
        <v>3</v>
      </c>
      <c r="H470" s="48">
        <v>5026.5434999999998</v>
      </c>
      <c r="I470" s="47" t="s">
        <v>1174</v>
      </c>
      <c r="J470" s="47" t="s">
        <v>1240</v>
      </c>
    </row>
    <row r="471" spans="1:10" x14ac:dyDescent="0.25">
      <c r="A471" s="129" t="str">
        <f t="shared" si="9"/>
        <v>1243393</v>
      </c>
      <c r="B471" s="47">
        <v>124</v>
      </c>
      <c r="C471" s="47">
        <v>3393</v>
      </c>
      <c r="D471" s="47">
        <v>50002</v>
      </c>
      <c r="E471" s="139" t="s">
        <v>921</v>
      </c>
      <c r="F471" s="11">
        <v>39435</v>
      </c>
      <c r="G471" s="47">
        <v>3</v>
      </c>
      <c r="H471" s="48">
        <v>2261.4899999999998</v>
      </c>
      <c r="I471" s="47" t="s">
        <v>1174</v>
      </c>
      <c r="J471" s="47" t="s">
        <v>1240</v>
      </c>
    </row>
    <row r="472" spans="1:10" x14ac:dyDescent="0.25">
      <c r="A472" s="129" t="str">
        <f t="shared" si="9"/>
        <v>1244425</v>
      </c>
      <c r="B472" s="47">
        <v>124</v>
      </c>
      <c r="C472" s="47">
        <v>4425</v>
      </c>
      <c r="D472" s="47">
        <v>50002</v>
      </c>
      <c r="E472" s="47" t="s">
        <v>392</v>
      </c>
      <c r="F472" s="11">
        <v>39825</v>
      </c>
      <c r="G472" s="47">
        <v>3</v>
      </c>
      <c r="H472" s="48">
        <v>2261.4899999999998</v>
      </c>
      <c r="I472" s="47" t="s">
        <v>1174</v>
      </c>
      <c r="J472" s="47" t="s">
        <v>1240</v>
      </c>
    </row>
    <row r="473" spans="1:10" x14ac:dyDescent="0.25">
      <c r="A473" s="129" t="str">
        <f t="shared" si="9"/>
        <v>1244456</v>
      </c>
      <c r="B473" s="47">
        <v>124</v>
      </c>
      <c r="C473" s="47">
        <v>4456</v>
      </c>
      <c r="D473" s="47">
        <v>50002</v>
      </c>
      <c r="E473" s="47" t="s">
        <v>787</v>
      </c>
      <c r="F473" s="11">
        <v>39848</v>
      </c>
      <c r="G473" s="47">
        <v>3</v>
      </c>
      <c r="H473" s="48">
        <v>2261.4899999999998</v>
      </c>
      <c r="I473" s="47" t="s">
        <v>1174</v>
      </c>
      <c r="J473" s="47" t="s">
        <v>1240</v>
      </c>
    </row>
    <row r="474" spans="1:10" x14ac:dyDescent="0.25">
      <c r="A474" s="129" t="str">
        <f t="shared" si="9"/>
        <v>1244830</v>
      </c>
      <c r="B474" s="47">
        <v>124</v>
      </c>
      <c r="C474" s="47">
        <v>4830</v>
      </c>
      <c r="D474" s="47">
        <v>50002</v>
      </c>
      <c r="E474" s="47" t="s">
        <v>479</v>
      </c>
      <c r="F474" s="11">
        <v>40028</v>
      </c>
      <c r="G474" s="47">
        <v>3</v>
      </c>
      <c r="H474" s="48">
        <v>3167.1749999999997</v>
      </c>
      <c r="I474" s="47" t="s">
        <v>1174</v>
      </c>
      <c r="J474" s="47" t="s">
        <v>1240</v>
      </c>
    </row>
    <row r="475" spans="1:10" x14ac:dyDescent="0.25">
      <c r="A475" s="129" t="str">
        <f t="shared" si="9"/>
        <v>1244924</v>
      </c>
      <c r="B475" s="47">
        <v>124</v>
      </c>
      <c r="C475" s="47">
        <v>4924</v>
      </c>
      <c r="D475" s="47">
        <v>50002</v>
      </c>
      <c r="E475" s="47" t="s">
        <v>240</v>
      </c>
      <c r="F475" s="11">
        <v>40091</v>
      </c>
      <c r="G475" s="47">
        <v>3</v>
      </c>
      <c r="H475" s="48">
        <v>2261.4899999999998</v>
      </c>
      <c r="I475" s="47" t="s">
        <v>1174</v>
      </c>
      <c r="J475" s="47" t="s">
        <v>1240</v>
      </c>
    </row>
    <row r="476" spans="1:10" x14ac:dyDescent="0.25">
      <c r="A476" s="129" t="str">
        <f t="shared" si="9"/>
        <v>1245383</v>
      </c>
      <c r="B476" s="47">
        <v>124</v>
      </c>
      <c r="C476" s="47">
        <v>5383</v>
      </c>
      <c r="D476" s="47">
        <v>50002</v>
      </c>
      <c r="E476" s="139" t="s">
        <v>1067</v>
      </c>
      <c r="F476" s="11">
        <v>40340</v>
      </c>
      <c r="G476" s="47">
        <v>3</v>
      </c>
      <c r="H476" s="48">
        <v>2261.4899999999998</v>
      </c>
      <c r="I476" s="47" t="s">
        <v>1174</v>
      </c>
      <c r="J476" s="47" t="s">
        <v>1240</v>
      </c>
    </row>
    <row r="477" spans="1:10" x14ac:dyDescent="0.25">
      <c r="A477" s="129" t="str">
        <f t="shared" si="9"/>
        <v>1245455</v>
      </c>
      <c r="B477" s="47">
        <v>124</v>
      </c>
      <c r="C477" s="47">
        <v>5455</v>
      </c>
      <c r="D477" s="47">
        <v>50002</v>
      </c>
      <c r="E477" s="139" t="s">
        <v>924</v>
      </c>
      <c r="F477" s="11">
        <v>40344</v>
      </c>
      <c r="G477" s="47">
        <v>3</v>
      </c>
      <c r="H477" s="48">
        <v>2261.4899999999998</v>
      </c>
      <c r="I477" s="47" t="s">
        <v>1174</v>
      </c>
      <c r="J477" s="47" t="s">
        <v>1240</v>
      </c>
    </row>
    <row r="478" spans="1:10" x14ac:dyDescent="0.25">
      <c r="A478" s="129" t="str">
        <f t="shared" si="9"/>
        <v>1245525</v>
      </c>
      <c r="B478" s="47">
        <v>124</v>
      </c>
      <c r="C478" s="47">
        <v>5525</v>
      </c>
      <c r="D478" s="47">
        <v>50001</v>
      </c>
      <c r="E478" s="47" t="s">
        <v>620</v>
      </c>
      <c r="F478" s="11">
        <v>40392</v>
      </c>
      <c r="G478" s="47">
        <v>3</v>
      </c>
      <c r="H478" s="48">
        <v>3167.1749999999997</v>
      </c>
      <c r="I478" s="47" t="s">
        <v>1128</v>
      </c>
      <c r="J478" s="47" t="s">
        <v>1218</v>
      </c>
    </row>
    <row r="479" spans="1:10" x14ac:dyDescent="0.25">
      <c r="A479" s="129" t="str">
        <f t="shared" si="9"/>
        <v>1245809</v>
      </c>
      <c r="B479" s="47">
        <v>124</v>
      </c>
      <c r="C479" s="47">
        <v>5809</v>
      </c>
      <c r="D479" s="47">
        <v>50002</v>
      </c>
      <c r="E479" s="139" t="s">
        <v>891</v>
      </c>
      <c r="F479" s="11">
        <v>40589</v>
      </c>
      <c r="G479" s="47">
        <v>3</v>
      </c>
      <c r="H479" s="48">
        <v>4522.9799999999996</v>
      </c>
      <c r="I479" s="47" t="s">
        <v>1174</v>
      </c>
      <c r="J479" s="47" t="s">
        <v>1240</v>
      </c>
    </row>
    <row r="480" spans="1:10" x14ac:dyDescent="0.25">
      <c r="A480" s="129" t="str">
        <f t="shared" si="9"/>
        <v>1246184</v>
      </c>
      <c r="B480" s="47">
        <v>124</v>
      </c>
      <c r="C480" s="47">
        <v>6184</v>
      </c>
      <c r="D480" s="47">
        <v>50002</v>
      </c>
      <c r="E480" s="47" t="s">
        <v>349</v>
      </c>
      <c r="F480" s="11">
        <v>40918</v>
      </c>
      <c r="G480" s="47">
        <v>3</v>
      </c>
      <c r="H480" s="48">
        <v>2261.4899999999998</v>
      </c>
      <c r="I480" s="47" t="s">
        <v>1162</v>
      </c>
      <c r="J480" s="47" t="s">
        <v>1240</v>
      </c>
    </row>
    <row r="481" spans="1:10" x14ac:dyDescent="0.25">
      <c r="A481" s="129" t="str">
        <f t="shared" si="9"/>
        <v>1246343</v>
      </c>
      <c r="B481" s="47">
        <v>124</v>
      </c>
      <c r="C481" s="47">
        <v>6343</v>
      </c>
      <c r="D481" s="47">
        <v>50002</v>
      </c>
      <c r="E481" s="139" t="s">
        <v>938</v>
      </c>
      <c r="F481" s="11">
        <v>41075</v>
      </c>
      <c r="G481" s="47">
        <v>3</v>
      </c>
      <c r="H481" s="48">
        <v>2722.5</v>
      </c>
      <c r="I481" s="47" t="s">
        <v>1162</v>
      </c>
      <c r="J481" s="47" t="s">
        <v>1240</v>
      </c>
    </row>
    <row r="482" spans="1:10" x14ac:dyDescent="0.25">
      <c r="A482" s="129" t="str">
        <f t="shared" si="9"/>
        <v>1246354</v>
      </c>
      <c r="B482" s="47">
        <v>124</v>
      </c>
      <c r="C482" s="47">
        <v>6354</v>
      </c>
      <c r="D482" s="47">
        <v>50002</v>
      </c>
      <c r="E482" s="47" t="s">
        <v>124</v>
      </c>
      <c r="F482" s="11">
        <v>41082</v>
      </c>
      <c r="G482" s="47">
        <v>3</v>
      </c>
      <c r="H482" s="48">
        <v>2261.4899999999998</v>
      </c>
      <c r="I482" s="47" t="s">
        <v>1162</v>
      </c>
      <c r="J482" s="47" t="s">
        <v>1240</v>
      </c>
    </row>
    <row r="483" spans="1:10" x14ac:dyDescent="0.25">
      <c r="A483" s="129" t="str">
        <f t="shared" si="9"/>
        <v>1246437</v>
      </c>
      <c r="B483" s="47">
        <v>124</v>
      </c>
      <c r="C483" s="47">
        <v>6437</v>
      </c>
      <c r="D483" s="47">
        <v>50002</v>
      </c>
      <c r="E483" s="47" t="s">
        <v>461</v>
      </c>
      <c r="F483" s="11">
        <v>41137</v>
      </c>
      <c r="G483" s="47">
        <v>3</v>
      </c>
      <c r="H483" s="48">
        <v>2261.4899999999998</v>
      </c>
      <c r="I483" s="47" t="s">
        <v>1162</v>
      </c>
      <c r="J483" s="47" t="s">
        <v>1240</v>
      </c>
    </row>
    <row r="484" spans="1:10" x14ac:dyDescent="0.25">
      <c r="A484" s="129" t="str">
        <f t="shared" ref="A484:A523" si="10">B484&amp;C484</f>
        <v>1246442</v>
      </c>
      <c r="B484" s="47">
        <v>124</v>
      </c>
      <c r="C484" s="47">
        <v>6442</v>
      </c>
      <c r="D484" s="47">
        <v>50002</v>
      </c>
      <c r="E484" s="47" t="s">
        <v>347</v>
      </c>
      <c r="F484" s="11">
        <v>41144</v>
      </c>
      <c r="G484" s="47">
        <v>3</v>
      </c>
      <c r="H484" s="48">
        <v>4522.9799999999996</v>
      </c>
      <c r="I484" s="47" t="s">
        <v>1162</v>
      </c>
      <c r="J484" s="47" t="s">
        <v>1240</v>
      </c>
    </row>
    <row r="485" spans="1:10" x14ac:dyDescent="0.25">
      <c r="A485" s="129" t="str">
        <f t="shared" si="10"/>
        <v>1246710</v>
      </c>
      <c r="B485" s="47">
        <v>124</v>
      </c>
      <c r="C485" s="47">
        <v>6710</v>
      </c>
      <c r="D485" s="47">
        <v>50002</v>
      </c>
      <c r="E485" s="47" t="s">
        <v>386</v>
      </c>
      <c r="F485" s="11">
        <v>41372</v>
      </c>
      <c r="G485" s="47">
        <v>3</v>
      </c>
      <c r="H485" s="48">
        <v>2261.4899999999998</v>
      </c>
      <c r="I485" s="47" t="s">
        <v>1174</v>
      </c>
      <c r="J485" s="47" t="s">
        <v>1240</v>
      </c>
    </row>
    <row r="486" spans="1:10" x14ac:dyDescent="0.25">
      <c r="A486" s="129" t="str">
        <f t="shared" si="10"/>
        <v>1246805</v>
      </c>
      <c r="B486" s="47">
        <v>124</v>
      </c>
      <c r="C486" s="47">
        <v>6805</v>
      </c>
      <c r="D486" s="47">
        <v>50002</v>
      </c>
      <c r="E486" s="139" t="s">
        <v>1038</v>
      </c>
      <c r="F486" s="11">
        <v>41417</v>
      </c>
      <c r="G486" s="47">
        <v>3</v>
      </c>
      <c r="H486" s="48">
        <v>3167.1749999999997</v>
      </c>
      <c r="I486" s="47" t="s">
        <v>1162</v>
      </c>
      <c r="J486" s="47" t="s">
        <v>1240</v>
      </c>
    </row>
    <row r="487" spans="1:10" x14ac:dyDescent="0.25">
      <c r="A487" s="129" t="str">
        <f t="shared" si="10"/>
        <v>1246874</v>
      </c>
      <c r="B487" s="47">
        <v>124</v>
      </c>
      <c r="C487" s="47">
        <v>6874</v>
      </c>
      <c r="D487" s="47">
        <v>50002</v>
      </c>
      <c r="E487" s="47" t="s">
        <v>623</v>
      </c>
      <c r="F487" s="11">
        <v>41487</v>
      </c>
      <c r="G487" s="47">
        <v>3</v>
      </c>
      <c r="H487" s="48">
        <v>2261.4899999999998</v>
      </c>
      <c r="I487" s="47" t="s">
        <v>1162</v>
      </c>
      <c r="J487" s="47" t="s">
        <v>1240</v>
      </c>
    </row>
    <row r="488" spans="1:10" x14ac:dyDescent="0.25">
      <c r="A488" s="129" t="str">
        <f t="shared" si="10"/>
        <v>1247119</v>
      </c>
      <c r="B488" s="47">
        <v>124</v>
      </c>
      <c r="C488" s="47">
        <v>7119</v>
      </c>
      <c r="D488" s="47">
        <v>50002</v>
      </c>
      <c r="E488" s="139" t="s">
        <v>1109</v>
      </c>
      <c r="F488" s="11">
        <v>41680</v>
      </c>
      <c r="G488" s="47">
        <v>3</v>
      </c>
      <c r="H488" s="48">
        <v>2261.4899999999998</v>
      </c>
      <c r="I488" s="47" t="s">
        <v>1162</v>
      </c>
      <c r="J488" s="47" t="s">
        <v>1240</v>
      </c>
    </row>
    <row r="489" spans="1:10" x14ac:dyDescent="0.25">
      <c r="A489" s="129" t="str">
        <f t="shared" si="10"/>
        <v>1334714</v>
      </c>
      <c r="B489" s="47">
        <v>133</v>
      </c>
      <c r="C489" s="47">
        <v>4714</v>
      </c>
      <c r="D489" s="47">
        <v>50002</v>
      </c>
      <c r="E489" s="47" t="s">
        <v>408</v>
      </c>
      <c r="F489" s="11">
        <v>39974</v>
      </c>
      <c r="G489" s="47">
        <v>3</v>
      </c>
      <c r="H489" s="48">
        <v>2261.4899999999998</v>
      </c>
      <c r="I489" s="47" t="s">
        <v>1174</v>
      </c>
      <c r="J489" s="47" t="s">
        <v>1240</v>
      </c>
    </row>
    <row r="490" spans="1:10" x14ac:dyDescent="0.25">
      <c r="A490" s="129" t="str">
        <f t="shared" si="10"/>
        <v>1334726</v>
      </c>
      <c r="B490" s="47">
        <v>133</v>
      </c>
      <c r="C490" s="47">
        <v>4726</v>
      </c>
      <c r="D490" s="47">
        <v>50002</v>
      </c>
      <c r="E490" s="47" t="s">
        <v>612</v>
      </c>
      <c r="F490" s="11">
        <v>39976</v>
      </c>
      <c r="G490" s="47">
        <v>3</v>
      </c>
      <c r="H490" s="48">
        <v>2261.4899999999998</v>
      </c>
      <c r="I490" s="47" t="s">
        <v>1162</v>
      </c>
      <c r="J490" s="47" t="s">
        <v>1240</v>
      </c>
    </row>
    <row r="491" spans="1:10" x14ac:dyDescent="0.25">
      <c r="A491" s="129" t="str">
        <f t="shared" si="10"/>
        <v>1335603</v>
      </c>
      <c r="B491" s="47">
        <v>133</v>
      </c>
      <c r="C491" s="47">
        <v>5603</v>
      </c>
      <c r="D491" s="47">
        <v>50002</v>
      </c>
      <c r="E491" s="47" t="s">
        <v>851</v>
      </c>
      <c r="F491" s="11">
        <v>40422</v>
      </c>
      <c r="G491" s="47">
        <v>6</v>
      </c>
      <c r="H491" s="48">
        <v>2147.145</v>
      </c>
      <c r="I491" s="47" t="s">
        <v>1162</v>
      </c>
      <c r="J491" s="47" t="s">
        <v>1240</v>
      </c>
    </row>
    <row r="492" spans="1:10" x14ac:dyDescent="0.25">
      <c r="A492" s="129" t="str">
        <f t="shared" si="10"/>
        <v>1336699</v>
      </c>
      <c r="B492" s="47">
        <v>133</v>
      </c>
      <c r="C492" s="47">
        <v>6699</v>
      </c>
      <c r="D492" s="47">
        <v>50002</v>
      </c>
      <c r="E492" s="47" t="s">
        <v>425</v>
      </c>
      <c r="F492" s="11">
        <v>41355</v>
      </c>
      <c r="G492" s="47">
        <v>6</v>
      </c>
      <c r="H492" s="48">
        <v>2261.4899999999998</v>
      </c>
      <c r="I492" s="47" t="s">
        <v>1162</v>
      </c>
      <c r="J492" s="47" t="s">
        <v>1240</v>
      </c>
    </row>
    <row r="493" spans="1:10" x14ac:dyDescent="0.25">
      <c r="A493" s="129" t="str">
        <f t="shared" si="10"/>
        <v>1338556</v>
      </c>
      <c r="B493" s="47">
        <v>133</v>
      </c>
      <c r="C493" s="47">
        <v>8556</v>
      </c>
      <c r="D493" s="47">
        <v>50002</v>
      </c>
      <c r="E493" s="139" t="s">
        <v>919</v>
      </c>
      <c r="F493" s="11">
        <v>41682</v>
      </c>
      <c r="G493" s="47">
        <v>6</v>
      </c>
      <c r="H493" s="48">
        <v>2261.4899999999998</v>
      </c>
      <c r="I493" s="47" t="s">
        <v>1162</v>
      </c>
      <c r="J493" s="47" t="s">
        <v>1240</v>
      </c>
    </row>
    <row r="494" spans="1:10" x14ac:dyDescent="0.25">
      <c r="A494" s="129" t="str">
        <f t="shared" si="10"/>
        <v>1338575</v>
      </c>
      <c r="B494" s="47">
        <v>133</v>
      </c>
      <c r="C494" s="47">
        <v>8575</v>
      </c>
      <c r="D494" s="47">
        <v>50002</v>
      </c>
      <c r="E494" s="139" t="s">
        <v>890</v>
      </c>
      <c r="F494" s="11">
        <v>41687</v>
      </c>
      <c r="G494" s="47">
        <v>6</v>
      </c>
      <c r="H494" s="48">
        <v>2976.6</v>
      </c>
      <c r="I494" s="47" t="s">
        <v>1162</v>
      </c>
      <c r="J494" s="47" t="s">
        <v>1240</v>
      </c>
    </row>
    <row r="495" spans="1:10" x14ac:dyDescent="0.25">
      <c r="A495" s="129" t="str">
        <f t="shared" si="10"/>
        <v>1338622</v>
      </c>
      <c r="B495" s="47">
        <v>133</v>
      </c>
      <c r="C495" s="47">
        <v>8622</v>
      </c>
      <c r="D495" s="47">
        <v>50001</v>
      </c>
      <c r="E495" s="47" t="s">
        <v>420</v>
      </c>
      <c r="F495" s="11">
        <v>41719</v>
      </c>
      <c r="G495" s="47">
        <v>6</v>
      </c>
      <c r="H495" s="48">
        <v>2147.145</v>
      </c>
      <c r="I495" s="47" t="s">
        <v>1166</v>
      </c>
      <c r="J495" s="47" t="s">
        <v>1218</v>
      </c>
    </row>
    <row r="496" spans="1:10" x14ac:dyDescent="0.25">
      <c r="A496" s="129" t="str">
        <f t="shared" si="10"/>
        <v>1338631</v>
      </c>
      <c r="B496" s="47">
        <v>133</v>
      </c>
      <c r="C496" s="47">
        <v>8631</v>
      </c>
      <c r="D496" s="47">
        <v>50007</v>
      </c>
      <c r="E496" s="47" t="s">
        <v>642</v>
      </c>
      <c r="F496" s="11">
        <v>41730</v>
      </c>
      <c r="G496" s="47">
        <v>6</v>
      </c>
      <c r="H496" s="48">
        <v>2261.4899999999998</v>
      </c>
      <c r="I496" s="47" t="s">
        <v>1128</v>
      </c>
      <c r="J496" s="47" t="s">
        <v>1241</v>
      </c>
    </row>
    <row r="497" spans="1:10" x14ac:dyDescent="0.25">
      <c r="A497" s="129" t="str">
        <f t="shared" si="10"/>
        <v>1338696</v>
      </c>
      <c r="B497" s="47">
        <v>133</v>
      </c>
      <c r="C497" s="47">
        <v>8696</v>
      </c>
      <c r="D497" s="47">
        <v>50002</v>
      </c>
      <c r="E497" s="139" t="s">
        <v>1058</v>
      </c>
      <c r="F497" s="11">
        <v>41781</v>
      </c>
      <c r="G497" s="47">
        <v>6</v>
      </c>
      <c r="H497" s="48">
        <v>2147.145</v>
      </c>
      <c r="I497" s="47" t="s">
        <v>1162</v>
      </c>
      <c r="J497" s="47" t="s">
        <v>1240</v>
      </c>
    </row>
    <row r="498" spans="1:10" x14ac:dyDescent="0.25">
      <c r="A498" s="129" t="str">
        <f t="shared" si="10"/>
        <v>1342365</v>
      </c>
      <c r="B498" s="47">
        <v>134</v>
      </c>
      <c r="C498" s="47">
        <v>2365</v>
      </c>
      <c r="D498" s="47">
        <v>50002</v>
      </c>
      <c r="E498" s="139" t="s">
        <v>907</v>
      </c>
      <c r="F498" s="11">
        <v>38992</v>
      </c>
      <c r="G498" s="47">
        <v>6</v>
      </c>
      <c r="H498" s="48">
        <v>2147.145</v>
      </c>
      <c r="I498" s="47" t="s">
        <v>1184</v>
      </c>
      <c r="J498" s="47" t="s">
        <v>1240</v>
      </c>
    </row>
    <row r="499" spans="1:10" x14ac:dyDescent="0.25">
      <c r="A499" s="129" t="str">
        <f t="shared" si="10"/>
        <v>1344958</v>
      </c>
      <c r="B499" s="47">
        <v>134</v>
      </c>
      <c r="C499" s="47">
        <v>4958</v>
      </c>
      <c r="D499" s="47">
        <v>50007</v>
      </c>
      <c r="E499" s="47" t="s">
        <v>306</v>
      </c>
      <c r="F499" s="11">
        <v>40099</v>
      </c>
      <c r="G499" s="47">
        <v>6</v>
      </c>
      <c r="H499" s="48">
        <v>2722.5</v>
      </c>
      <c r="I499" s="47" t="s">
        <v>1139</v>
      </c>
      <c r="J499" s="47" t="s">
        <v>1241</v>
      </c>
    </row>
    <row r="500" spans="1:10" x14ac:dyDescent="0.25">
      <c r="A500" s="129" t="str">
        <f t="shared" si="10"/>
        <v>1346400</v>
      </c>
      <c r="B500" s="47">
        <v>134</v>
      </c>
      <c r="C500" s="47">
        <v>6400</v>
      </c>
      <c r="D500" s="47">
        <v>50002</v>
      </c>
      <c r="E500" s="47" t="s">
        <v>707</v>
      </c>
      <c r="F500" s="11">
        <v>41113</v>
      </c>
      <c r="G500" s="47">
        <v>6</v>
      </c>
      <c r="H500" s="48">
        <v>2147.145</v>
      </c>
      <c r="I500" s="47" t="s">
        <v>1162</v>
      </c>
      <c r="J500" s="47" t="s">
        <v>1240</v>
      </c>
    </row>
    <row r="501" spans="1:10" x14ac:dyDescent="0.25">
      <c r="A501" s="129" t="str">
        <f t="shared" si="10"/>
        <v>1346662</v>
      </c>
      <c r="B501" s="47">
        <v>134</v>
      </c>
      <c r="C501" s="47">
        <v>6662</v>
      </c>
      <c r="D501" s="47">
        <v>50002</v>
      </c>
      <c r="E501" s="47" t="s">
        <v>709</v>
      </c>
      <c r="F501" s="11">
        <v>41334</v>
      </c>
      <c r="G501" s="47">
        <v>6</v>
      </c>
      <c r="H501" s="48">
        <v>4522.9799999999996</v>
      </c>
      <c r="I501" s="47" t="s">
        <v>1162</v>
      </c>
      <c r="J501" s="47" t="s">
        <v>1240</v>
      </c>
    </row>
    <row r="502" spans="1:10" x14ac:dyDescent="0.25">
      <c r="A502" s="129" t="str">
        <f t="shared" si="10"/>
        <v>1354431</v>
      </c>
      <c r="B502" s="47">
        <v>135</v>
      </c>
      <c r="C502" s="47">
        <v>4431</v>
      </c>
      <c r="D502" s="47">
        <v>50002</v>
      </c>
      <c r="E502" s="47" t="s">
        <v>153</v>
      </c>
      <c r="F502" s="11">
        <v>39815</v>
      </c>
      <c r="G502" s="47">
        <v>3</v>
      </c>
      <c r="H502" s="48">
        <v>2261.4899999999998</v>
      </c>
      <c r="I502" s="47" t="s">
        <v>1174</v>
      </c>
      <c r="J502" s="47" t="s">
        <v>1240</v>
      </c>
    </row>
    <row r="503" spans="1:10" x14ac:dyDescent="0.25">
      <c r="A503" s="129" t="str">
        <f t="shared" si="10"/>
        <v>1356734</v>
      </c>
      <c r="B503" s="47">
        <v>135</v>
      </c>
      <c r="C503" s="47">
        <v>6734</v>
      </c>
      <c r="D503" s="47">
        <v>50007</v>
      </c>
      <c r="E503" s="47" t="s">
        <v>199</v>
      </c>
      <c r="F503" s="11">
        <v>41379</v>
      </c>
      <c r="G503" s="47">
        <v>3</v>
      </c>
      <c r="H503" s="48">
        <v>2261.4899999999998</v>
      </c>
      <c r="I503" s="47" t="s">
        <v>1139</v>
      </c>
      <c r="J503" s="47" t="s">
        <v>1241</v>
      </c>
    </row>
    <row r="504" spans="1:10" x14ac:dyDescent="0.25">
      <c r="A504" s="129" t="str">
        <f t="shared" si="10"/>
        <v>1356743</v>
      </c>
      <c r="B504" s="47">
        <v>135</v>
      </c>
      <c r="C504" s="47">
        <v>6743</v>
      </c>
      <c r="D504" s="47">
        <v>50007</v>
      </c>
      <c r="E504" s="139" t="s">
        <v>1004</v>
      </c>
      <c r="F504" s="11">
        <v>41386</v>
      </c>
      <c r="G504" s="47">
        <v>3</v>
      </c>
      <c r="H504" s="48">
        <v>2261.4899999999998</v>
      </c>
      <c r="I504" s="47" t="s">
        <v>1139</v>
      </c>
      <c r="J504" s="47" t="s">
        <v>1241</v>
      </c>
    </row>
    <row r="505" spans="1:10" x14ac:dyDescent="0.25">
      <c r="A505" s="129" t="str">
        <f t="shared" si="10"/>
        <v>1356870</v>
      </c>
      <c r="B505" s="47">
        <v>135</v>
      </c>
      <c r="C505" s="47">
        <v>6870</v>
      </c>
      <c r="D505" s="47">
        <v>50002</v>
      </c>
      <c r="E505" s="47" t="s">
        <v>452</v>
      </c>
      <c r="F505" s="11">
        <v>41487</v>
      </c>
      <c r="G505" s="47">
        <v>3</v>
      </c>
      <c r="H505" s="48">
        <v>4507.0409999999993</v>
      </c>
      <c r="I505" s="47" t="s">
        <v>1162</v>
      </c>
      <c r="J505" s="47" t="s">
        <v>1240</v>
      </c>
    </row>
    <row r="506" spans="1:10" x14ac:dyDescent="0.25">
      <c r="A506" s="129" t="str">
        <f t="shared" si="10"/>
        <v>1356936</v>
      </c>
      <c r="B506" s="47">
        <v>135</v>
      </c>
      <c r="C506" s="47">
        <v>6936</v>
      </c>
      <c r="D506" s="47">
        <v>50002</v>
      </c>
      <c r="E506" s="139" t="s">
        <v>862</v>
      </c>
      <c r="F506" s="11">
        <v>41519</v>
      </c>
      <c r="G506" s="47">
        <v>3</v>
      </c>
      <c r="H506" s="48">
        <v>3167.1749999999997</v>
      </c>
      <c r="I506" s="47" t="s">
        <v>1162</v>
      </c>
      <c r="J506" s="47" t="s">
        <v>1240</v>
      </c>
    </row>
    <row r="507" spans="1:10" x14ac:dyDescent="0.25">
      <c r="A507" s="129" t="str">
        <f t="shared" si="10"/>
        <v>1358692</v>
      </c>
      <c r="B507" s="47">
        <v>135</v>
      </c>
      <c r="C507" s="47">
        <v>8692</v>
      </c>
      <c r="D507" s="47">
        <v>50002</v>
      </c>
      <c r="E507" s="139" t="s">
        <v>920</v>
      </c>
      <c r="F507" s="11">
        <v>41781</v>
      </c>
      <c r="G507" s="47">
        <v>3</v>
      </c>
      <c r="H507" s="48">
        <v>2261.4899999999998</v>
      </c>
      <c r="I507" s="47" t="s">
        <v>1162</v>
      </c>
      <c r="J507" s="47" t="s">
        <v>1240</v>
      </c>
    </row>
    <row r="508" spans="1:10" x14ac:dyDescent="0.25">
      <c r="A508" s="129" t="str">
        <f t="shared" si="10"/>
        <v>1372714</v>
      </c>
      <c r="B508" s="47">
        <v>137</v>
      </c>
      <c r="C508" s="47">
        <v>2714</v>
      </c>
      <c r="D508" s="47">
        <v>50007</v>
      </c>
      <c r="E508" s="47" t="s">
        <v>636</v>
      </c>
      <c r="F508" s="11">
        <v>39175</v>
      </c>
      <c r="G508" s="47">
        <v>3</v>
      </c>
      <c r="H508" s="48">
        <v>2722.5</v>
      </c>
      <c r="I508" s="47" t="s">
        <v>1141</v>
      </c>
      <c r="J508" s="47" t="s">
        <v>1241</v>
      </c>
    </row>
    <row r="509" spans="1:10" x14ac:dyDescent="0.25">
      <c r="A509" s="129" t="str">
        <f t="shared" si="10"/>
        <v>1374719</v>
      </c>
      <c r="B509" s="47">
        <v>137</v>
      </c>
      <c r="C509" s="47">
        <v>4719</v>
      </c>
      <c r="D509" s="47">
        <v>50007</v>
      </c>
      <c r="E509" s="47" t="s">
        <v>327</v>
      </c>
      <c r="F509" s="11">
        <v>39974</v>
      </c>
      <c r="G509" s="47">
        <v>3</v>
      </c>
      <c r="H509" s="48">
        <v>2261.4899999999998</v>
      </c>
      <c r="I509" s="47" t="s">
        <v>1130</v>
      </c>
      <c r="J509" s="47" t="s">
        <v>1241</v>
      </c>
    </row>
    <row r="510" spans="1:10" x14ac:dyDescent="0.25">
      <c r="A510" s="129" t="str">
        <f t="shared" si="10"/>
        <v>1376573</v>
      </c>
      <c r="B510" s="47">
        <v>137</v>
      </c>
      <c r="C510" s="47">
        <v>6573</v>
      </c>
      <c r="D510" s="47">
        <v>50007</v>
      </c>
      <c r="E510" s="47" t="s">
        <v>688</v>
      </c>
      <c r="F510" s="11">
        <v>41219</v>
      </c>
      <c r="G510" s="47">
        <v>7</v>
      </c>
      <c r="H510" s="48">
        <v>2299.4564999999998</v>
      </c>
      <c r="I510" s="47" t="s">
        <v>1155</v>
      </c>
      <c r="J510" s="47" t="s">
        <v>1241</v>
      </c>
    </row>
    <row r="511" spans="1:10" x14ac:dyDescent="0.25">
      <c r="A511" s="129" t="str">
        <f t="shared" si="10"/>
        <v>1376709</v>
      </c>
      <c r="B511" s="47">
        <v>137</v>
      </c>
      <c r="C511" s="47">
        <v>6709</v>
      </c>
      <c r="D511" s="47">
        <v>50007</v>
      </c>
      <c r="E511" s="47" t="s">
        <v>213</v>
      </c>
      <c r="F511" s="11">
        <v>41372</v>
      </c>
      <c r="G511" s="47">
        <v>7</v>
      </c>
      <c r="H511" s="48">
        <v>2299.4564999999998</v>
      </c>
      <c r="I511" s="47" t="s">
        <v>1128</v>
      </c>
      <c r="J511" s="47" t="s">
        <v>1241</v>
      </c>
    </row>
    <row r="512" spans="1:10" x14ac:dyDescent="0.25">
      <c r="A512" s="129" t="str">
        <f t="shared" si="10"/>
        <v>1916802</v>
      </c>
      <c r="B512" s="47">
        <v>191</v>
      </c>
      <c r="C512" s="47">
        <v>6802</v>
      </c>
      <c r="D512" s="47">
        <v>50007</v>
      </c>
      <c r="E512" s="139" t="s">
        <v>909</v>
      </c>
      <c r="F512" s="11">
        <v>41417</v>
      </c>
      <c r="G512" s="47">
        <v>7</v>
      </c>
      <c r="H512" s="48">
        <v>3219.6449999999995</v>
      </c>
      <c r="I512" s="47" t="s">
        <v>1128</v>
      </c>
      <c r="J512" s="47" t="s">
        <v>1241</v>
      </c>
    </row>
    <row r="513" spans="1:10" x14ac:dyDescent="0.25">
      <c r="A513" s="129" t="str">
        <f t="shared" si="10"/>
        <v>1916809</v>
      </c>
      <c r="B513" s="47">
        <v>191</v>
      </c>
      <c r="C513" s="47">
        <v>6809</v>
      </c>
      <c r="D513" s="47">
        <v>50007</v>
      </c>
      <c r="E513" s="47" t="s">
        <v>179</v>
      </c>
      <c r="F513" s="11">
        <v>41428</v>
      </c>
      <c r="G513" s="47">
        <v>7</v>
      </c>
      <c r="H513" s="48">
        <v>2299.4564999999998</v>
      </c>
      <c r="I513" s="47" t="s">
        <v>1128</v>
      </c>
      <c r="J513" s="47" t="s">
        <v>1241</v>
      </c>
    </row>
    <row r="514" spans="1:10" x14ac:dyDescent="0.25">
      <c r="A514" s="129" t="str">
        <f t="shared" si="10"/>
        <v>1926900</v>
      </c>
      <c r="B514" s="47">
        <v>192</v>
      </c>
      <c r="C514" s="47">
        <v>6900</v>
      </c>
      <c r="D514" s="47">
        <v>50007</v>
      </c>
      <c r="E514" s="139" t="s">
        <v>1115</v>
      </c>
      <c r="F514" s="11">
        <v>41501</v>
      </c>
      <c r="G514" s="47">
        <v>7</v>
      </c>
      <c r="H514" s="48">
        <v>4187.2049999999999</v>
      </c>
      <c r="I514" s="47" t="s">
        <v>1121</v>
      </c>
      <c r="J514" s="47" t="s">
        <v>1241</v>
      </c>
    </row>
    <row r="515" spans="1:10" x14ac:dyDescent="0.25">
      <c r="A515" s="129" t="str">
        <f t="shared" si="10"/>
        <v>1926902</v>
      </c>
      <c r="B515" s="47">
        <v>192</v>
      </c>
      <c r="C515" s="47">
        <v>6902</v>
      </c>
      <c r="D515" s="47">
        <v>50007</v>
      </c>
      <c r="E515" s="47" t="s">
        <v>178</v>
      </c>
      <c r="F515" s="11">
        <v>41501</v>
      </c>
      <c r="G515" s="47">
        <v>7</v>
      </c>
      <c r="H515" s="48">
        <v>2713.0949999999998</v>
      </c>
      <c r="I515" s="47" t="s">
        <v>1121</v>
      </c>
      <c r="J515" s="47" t="s">
        <v>1241</v>
      </c>
    </row>
    <row r="516" spans="1:10" x14ac:dyDescent="0.25">
      <c r="A516" s="129" t="str">
        <f t="shared" si="10"/>
        <v>1926904</v>
      </c>
      <c r="B516" s="47">
        <v>192</v>
      </c>
      <c r="C516" s="47">
        <v>6904</v>
      </c>
      <c r="D516" s="47">
        <v>50007</v>
      </c>
      <c r="E516" s="139" t="s">
        <v>1069</v>
      </c>
      <c r="F516" s="11">
        <v>41501</v>
      </c>
      <c r="G516" s="47">
        <v>7</v>
      </c>
      <c r="H516" s="48">
        <v>2097.6614999999997</v>
      </c>
      <c r="I516" s="47" t="s">
        <v>1128</v>
      </c>
      <c r="J516" s="47" t="s">
        <v>1241</v>
      </c>
    </row>
    <row r="517" spans="1:10" x14ac:dyDescent="0.25">
      <c r="A517" s="129" t="str">
        <f t="shared" si="10"/>
        <v>1926909</v>
      </c>
      <c r="B517" s="47">
        <v>192</v>
      </c>
      <c r="C517" s="47">
        <v>6909</v>
      </c>
      <c r="D517" s="47">
        <v>50007</v>
      </c>
      <c r="E517" s="47" t="s">
        <v>226</v>
      </c>
      <c r="F517" s="11">
        <v>41501</v>
      </c>
      <c r="G517" s="47">
        <v>1</v>
      </c>
      <c r="H517" s="48">
        <v>2329.2555000000002</v>
      </c>
      <c r="I517" s="47" t="s">
        <v>1139</v>
      </c>
      <c r="J517" s="47" t="s">
        <v>1241</v>
      </c>
    </row>
    <row r="518" spans="1:10" x14ac:dyDescent="0.25">
      <c r="A518" s="129" t="str">
        <f t="shared" si="10"/>
        <v>1926910</v>
      </c>
      <c r="B518" s="47">
        <v>192</v>
      </c>
      <c r="C518" s="47">
        <v>6910</v>
      </c>
      <c r="D518" s="47">
        <v>50007</v>
      </c>
      <c r="E518" s="47" t="s">
        <v>399</v>
      </c>
      <c r="F518" s="11">
        <v>41501</v>
      </c>
      <c r="G518" s="47">
        <v>1</v>
      </c>
      <c r="H518" s="48">
        <v>2329.2555000000002</v>
      </c>
      <c r="I518" s="47" t="s">
        <v>1121</v>
      </c>
      <c r="J518" s="47" t="s">
        <v>1241</v>
      </c>
    </row>
    <row r="519" spans="1:10" x14ac:dyDescent="0.25">
      <c r="A519" s="129" t="str">
        <f t="shared" si="10"/>
        <v>1926911</v>
      </c>
      <c r="B519" s="47">
        <v>192</v>
      </c>
      <c r="C519" s="47">
        <v>6911</v>
      </c>
      <c r="D519" s="47">
        <v>50007</v>
      </c>
      <c r="E519" s="47" t="s">
        <v>158</v>
      </c>
      <c r="F519" s="11">
        <v>41501</v>
      </c>
      <c r="G519" s="47">
        <v>1</v>
      </c>
      <c r="H519" s="48">
        <v>2329.2555000000002</v>
      </c>
      <c r="I519" s="47" t="s">
        <v>1128</v>
      </c>
      <c r="J519" s="47" t="s">
        <v>1241</v>
      </c>
    </row>
    <row r="520" spans="1:10" x14ac:dyDescent="0.25">
      <c r="A520" s="129" t="str">
        <f t="shared" si="10"/>
        <v>1926913</v>
      </c>
      <c r="B520" s="47">
        <v>192</v>
      </c>
      <c r="C520" s="47">
        <v>6913</v>
      </c>
      <c r="D520" s="47">
        <v>50007</v>
      </c>
      <c r="E520" s="47" t="s">
        <v>803</v>
      </c>
      <c r="F520" s="11">
        <v>41501</v>
      </c>
      <c r="G520" s="47">
        <v>1</v>
      </c>
      <c r="H520" s="48">
        <v>2734.5119999999997</v>
      </c>
      <c r="I520" s="47" t="s">
        <v>1128</v>
      </c>
      <c r="J520" s="47" t="s">
        <v>1241</v>
      </c>
    </row>
    <row r="521" spans="1:10" x14ac:dyDescent="0.25">
      <c r="A521" s="129" t="str">
        <f t="shared" si="10"/>
        <v>1926930</v>
      </c>
      <c r="B521" s="47">
        <v>192</v>
      </c>
      <c r="C521" s="47">
        <v>6930</v>
      </c>
      <c r="D521" s="47">
        <v>50003</v>
      </c>
      <c r="E521" s="47" t="s">
        <v>453</v>
      </c>
      <c r="F521" s="11">
        <v>41507</v>
      </c>
      <c r="G521" s="47">
        <v>1</v>
      </c>
      <c r="H521" s="48">
        <v>4690.3229999999994</v>
      </c>
      <c r="I521" s="47" t="s">
        <v>1155</v>
      </c>
      <c r="J521" s="47" t="s">
        <v>1242</v>
      </c>
    </row>
    <row r="522" spans="1:10" x14ac:dyDescent="0.25">
      <c r="A522" s="129" t="str">
        <f t="shared" si="10"/>
        <v>1926933</v>
      </c>
      <c r="B522" s="47">
        <v>192</v>
      </c>
      <c r="C522" s="47">
        <v>6933</v>
      </c>
      <c r="D522" s="47">
        <v>50007</v>
      </c>
      <c r="E522" s="47" t="s">
        <v>742</v>
      </c>
      <c r="F522" s="11">
        <v>41519</v>
      </c>
      <c r="G522" s="47">
        <v>1</v>
      </c>
      <c r="H522" s="48">
        <v>2329.2555000000002</v>
      </c>
      <c r="I522" s="47" t="s">
        <v>1121</v>
      </c>
      <c r="J522" s="47" t="s">
        <v>1241</v>
      </c>
    </row>
    <row r="523" spans="1:10" x14ac:dyDescent="0.25">
      <c r="A523" s="129" t="str">
        <f t="shared" si="10"/>
        <v>1926935</v>
      </c>
      <c r="B523" s="47">
        <v>192</v>
      </c>
      <c r="C523" s="47">
        <v>6935</v>
      </c>
      <c r="D523" s="47">
        <v>50007</v>
      </c>
      <c r="E523" s="139" t="s">
        <v>935</v>
      </c>
      <c r="F523" s="11">
        <v>41519</v>
      </c>
      <c r="G523" s="47">
        <v>1</v>
      </c>
      <c r="H523" s="48">
        <v>904.36500000000001</v>
      </c>
      <c r="I523" s="47" t="s">
        <v>1136</v>
      </c>
      <c r="J523" s="47" t="s">
        <v>1241</v>
      </c>
    </row>
    <row r="524" spans="1:10" x14ac:dyDescent="0.25">
      <c r="A524" s="129" t="str">
        <f t="shared" ref="A524:A560" si="11">B524&amp;C524</f>
        <v>1926947</v>
      </c>
      <c r="B524" s="47">
        <v>192</v>
      </c>
      <c r="C524" s="47">
        <v>6947</v>
      </c>
      <c r="D524" s="47">
        <v>50007</v>
      </c>
      <c r="E524" s="47" t="s">
        <v>446</v>
      </c>
      <c r="F524" s="11">
        <v>41529</v>
      </c>
      <c r="G524" s="47">
        <v>1</v>
      </c>
      <c r="H524" s="48">
        <v>3263.3534999999997</v>
      </c>
      <c r="I524" s="47" t="s">
        <v>1139</v>
      </c>
      <c r="J524" s="47" t="s">
        <v>1241</v>
      </c>
    </row>
    <row r="525" spans="1:10" x14ac:dyDescent="0.25">
      <c r="A525" s="129" t="str">
        <f t="shared" si="11"/>
        <v>1926990</v>
      </c>
      <c r="B525" s="47">
        <v>192</v>
      </c>
      <c r="C525" s="47">
        <v>6990</v>
      </c>
      <c r="D525" s="47">
        <v>50007</v>
      </c>
      <c r="E525" s="139" t="s">
        <v>933</v>
      </c>
      <c r="F525" s="11">
        <v>41555</v>
      </c>
      <c r="G525" s="47">
        <v>1</v>
      </c>
      <c r="H525" s="48">
        <v>2329.2555000000002</v>
      </c>
      <c r="I525" s="47" t="s">
        <v>1139</v>
      </c>
      <c r="J525" s="47" t="s">
        <v>1241</v>
      </c>
    </row>
    <row r="526" spans="1:10" x14ac:dyDescent="0.25">
      <c r="A526" s="129" t="str">
        <f t="shared" si="11"/>
        <v>1927058</v>
      </c>
      <c r="B526" s="47">
        <v>192</v>
      </c>
      <c r="C526" s="47">
        <v>7058</v>
      </c>
      <c r="D526" s="47">
        <v>50007</v>
      </c>
      <c r="E526" s="47" t="s">
        <v>698</v>
      </c>
      <c r="F526" s="11">
        <v>41641</v>
      </c>
      <c r="G526" s="47">
        <v>1</v>
      </c>
      <c r="H526" s="48">
        <v>2329.2555000000002</v>
      </c>
      <c r="I526" s="47" t="s">
        <v>1139</v>
      </c>
      <c r="J526" s="47" t="s">
        <v>1241</v>
      </c>
    </row>
    <row r="527" spans="1:10" x14ac:dyDescent="0.25">
      <c r="A527" s="129" t="str">
        <f t="shared" si="11"/>
        <v>1928597</v>
      </c>
      <c r="B527" s="47">
        <v>192</v>
      </c>
      <c r="C527" s="47">
        <v>8597</v>
      </c>
      <c r="D527" s="47">
        <v>50007</v>
      </c>
      <c r="E527" s="47" t="s">
        <v>665</v>
      </c>
      <c r="F527" s="11">
        <v>41711</v>
      </c>
      <c r="G527" s="47">
        <v>1</v>
      </c>
      <c r="H527" s="48">
        <v>2329.2555000000002</v>
      </c>
      <c r="I527" s="47" t="s">
        <v>1139</v>
      </c>
      <c r="J527" s="47" t="s">
        <v>1241</v>
      </c>
    </row>
    <row r="528" spans="1:10" x14ac:dyDescent="0.25">
      <c r="A528" s="129" t="str">
        <f t="shared" si="11"/>
        <v>1928737</v>
      </c>
      <c r="B528" s="47">
        <v>192</v>
      </c>
      <c r="C528" s="47">
        <v>8737</v>
      </c>
      <c r="D528" s="47">
        <v>50007</v>
      </c>
      <c r="E528" s="139" t="s">
        <v>912</v>
      </c>
      <c r="F528" s="11">
        <v>41834</v>
      </c>
      <c r="G528" s="47">
        <v>1</v>
      </c>
      <c r="H528" s="48">
        <v>2329.2555000000002</v>
      </c>
      <c r="I528" s="47" t="s">
        <v>1139</v>
      </c>
      <c r="J528" s="47" t="s">
        <v>1241</v>
      </c>
    </row>
    <row r="529" spans="1:10" x14ac:dyDescent="0.25">
      <c r="A529" s="129" t="str">
        <f t="shared" si="11"/>
        <v>1928739</v>
      </c>
      <c r="B529" s="47">
        <v>192</v>
      </c>
      <c r="C529" s="47">
        <v>8739</v>
      </c>
      <c r="D529" s="47">
        <v>50007</v>
      </c>
      <c r="E529" s="47" t="s">
        <v>398</v>
      </c>
      <c r="F529" s="11">
        <v>41834</v>
      </c>
      <c r="G529" s="47">
        <v>17</v>
      </c>
      <c r="H529" s="48">
        <v>2325.7079999999996</v>
      </c>
      <c r="I529" s="47" t="s">
        <v>1128</v>
      </c>
      <c r="J529" s="47" t="s">
        <v>1241</v>
      </c>
    </row>
    <row r="530" spans="1:10" x14ac:dyDescent="0.25">
      <c r="A530" s="129" t="str">
        <f t="shared" si="11"/>
        <v>1928750</v>
      </c>
      <c r="B530" s="47">
        <v>192</v>
      </c>
      <c r="C530" s="47">
        <v>8750</v>
      </c>
      <c r="D530" s="47">
        <v>50007</v>
      </c>
      <c r="E530" s="47" t="s">
        <v>566</v>
      </c>
      <c r="F530" s="11">
        <v>41834</v>
      </c>
      <c r="G530" s="47">
        <v>17</v>
      </c>
      <c r="H530" s="48">
        <v>2325.7079999999996</v>
      </c>
      <c r="I530" s="47" t="s">
        <v>1128</v>
      </c>
      <c r="J530" s="47" t="s">
        <v>1241</v>
      </c>
    </row>
    <row r="531" spans="1:10" x14ac:dyDescent="0.25">
      <c r="A531" s="129" t="str">
        <f t="shared" si="11"/>
        <v>1937071</v>
      </c>
      <c r="B531" s="47">
        <v>193</v>
      </c>
      <c r="C531" s="47">
        <v>7071</v>
      </c>
      <c r="D531" s="47">
        <v>51932</v>
      </c>
      <c r="E531" s="139" t="s">
        <v>1000</v>
      </c>
      <c r="F531" s="11">
        <v>41659</v>
      </c>
      <c r="G531" s="47">
        <v>17</v>
      </c>
      <c r="H531" s="48">
        <v>2325.7079999999996</v>
      </c>
      <c r="I531" s="47" t="s">
        <v>1162</v>
      </c>
      <c r="J531" s="47" t="s">
        <v>1240</v>
      </c>
    </row>
    <row r="532" spans="1:10" x14ac:dyDescent="0.25">
      <c r="A532" s="129" t="str">
        <f t="shared" si="11"/>
        <v>1938707</v>
      </c>
      <c r="B532" s="47">
        <v>193</v>
      </c>
      <c r="C532" s="47">
        <v>8707</v>
      </c>
      <c r="D532" s="47">
        <v>51932</v>
      </c>
      <c r="E532" s="139" t="s">
        <v>923</v>
      </c>
      <c r="F532" s="11">
        <v>39825</v>
      </c>
      <c r="G532" s="47">
        <v>17</v>
      </c>
      <c r="H532" s="48">
        <v>4907.4299999999994</v>
      </c>
      <c r="I532" s="47" t="s">
        <v>1162</v>
      </c>
      <c r="J532" s="47" t="s">
        <v>1240</v>
      </c>
    </row>
    <row r="533" spans="1:10" x14ac:dyDescent="0.25">
      <c r="A533" s="129" t="str">
        <f t="shared" si="11"/>
        <v>1938761</v>
      </c>
      <c r="B533" s="47">
        <v>193</v>
      </c>
      <c r="C533" s="47">
        <v>8761</v>
      </c>
      <c r="D533" s="47">
        <v>51937</v>
      </c>
      <c r="E533" s="47" t="s">
        <v>576</v>
      </c>
      <c r="F533" s="11">
        <v>41843</v>
      </c>
      <c r="G533" s="47">
        <v>17</v>
      </c>
      <c r="H533" s="48">
        <v>2325.7079999999996</v>
      </c>
      <c r="I533" s="47" t="s">
        <v>1128</v>
      </c>
      <c r="J533" s="47" t="s">
        <v>1241</v>
      </c>
    </row>
    <row r="534" spans="1:10" x14ac:dyDescent="0.25">
      <c r="A534" s="129" t="str">
        <f t="shared" si="11"/>
        <v>2013645</v>
      </c>
      <c r="B534" s="47">
        <v>201</v>
      </c>
      <c r="C534" s="47">
        <v>3645</v>
      </c>
      <c r="D534" s="47">
        <v>50007</v>
      </c>
      <c r="E534" s="47" t="s">
        <v>727</v>
      </c>
      <c r="F534" s="11">
        <v>39521</v>
      </c>
      <c r="G534" s="47">
        <v>17</v>
      </c>
      <c r="H534" s="48">
        <v>2953.9124999999999</v>
      </c>
      <c r="I534" s="47" t="s">
        <v>1141</v>
      </c>
      <c r="J534" s="47" t="s">
        <v>1241</v>
      </c>
    </row>
    <row r="535" spans="1:10" x14ac:dyDescent="0.25">
      <c r="A535" s="129" t="str">
        <f t="shared" si="11"/>
        <v>2015415</v>
      </c>
      <c r="B535" s="47">
        <v>201</v>
      </c>
      <c r="C535" s="47">
        <v>5415</v>
      </c>
      <c r="D535" s="47">
        <v>50007</v>
      </c>
      <c r="E535" s="47" t="s">
        <v>781</v>
      </c>
      <c r="F535" s="11">
        <v>40331</v>
      </c>
      <c r="G535" s="47">
        <v>17</v>
      </c>
      <c r="H535" s="48">
        <v>2346.8444999999997</v>
      </c>
      <c r="I535" s="47" t="s">
        <v>1130</v>
      </c>
      <c r="J535" s="47" t="s">
        <v>1241</v>
      </c>
    </row>
    <row r="536" spans="1:10" x14ac:dyDescent="0.25">
      <c r="A536" s="129" t="str">
        <f t="shared" si="11"/>
        <v>2015416</v>
      </c>
      <c r="B536" s="47">
        <v>201</v>
      </c>
      <c r="C536" s="47">
        <v>5416</v>
      </c>
      <c r="D536" s="47">
        <v>50007</v>
      </c>
      <c r="E536" s="47" t="s">
        <v>143</v>
      </c>
      <c r="F536" s="11">
        <v>40332</v>
      </c>
      <c r="G536" s="47">
        <v>17</v>
      </c>
      <c r="H536" s="48">
        <v>3435.6134999999999</v>
      </c>
      <c r="I536" s="47" t="s">
        <v>1139</v>
      </c>
      <c r="J536" s="47" t="s">
        <v>1241</v>
      </c>
    </row>
    <row r="537" spans="1:10" x14ac:dyDescent="0.25">
      <c r="A537" s="129" t="str">
        <f t="shared" si="11"/>
        <v>2015620</v>
      </c>
      <c r="B537" s="47">
        <v>201</v>
      </c>
      <c r="C537" s="47">
        <v>5620</v>
      </c>
      <c r="D537" s="47">
        <v>50007</v>
      </c>
      <c r="E537" s="139" t="s">
        <v>1044</v>
      </c>
      <c r="F537" s="11">
        <v>40427</v>
      </c>
      <c r="G537" s="47">
        <v>17</v>
      </c>
      <c r="H537" s="48">
        <v>2454.2759999999998</v>
      </c>
      <c r="I537" s="47" t="s">
        <v>1121</v>
      </c>
      <c r="J537" s="47" t="s">
        <v>1241</v>
      </c>
    </row>
    <row r="538" spans="1:10" x14ac:dyDescent="0.25">
      <c r="A538" s="129" t="str">
        <f t="shared" si="11"/>
        <v>2034447</v>
      </c>
      <c r="B538" s="47">
        <v>203</v>
      </c>
      <c r="C538" s="47">
        <v>4447</v>
      </c>
      <c r="D538" s="47">
        <v>50007</v>
      </c>
      <c r="E538" s="139" t="s">
        <v>1051</v>
      </c>
      <c r="F538" s="11">
        <v>39846</v>
      </c>
      <c r="G538" s="47">
        <v>17</v>
      </c>
      <c r="H538" s="48">
        <v>2453.7149999999997</v>
      </c>
      <c r="I538" s="47" t="s">
        <v>1185</v>
      </c>
      <c r="J538" s="47" t="s">
        <v>1241</v>
      </c>
    </row>
    <row r="539" spans="1:10" x14ac:dyDescent="0.25">
      <c r="A539" s="129" t="str">
        <f t="shared" si="11"/>
        <v>2035371</v>
      </c>
      <c r="B539" s="47">
        <v>203</v>
      </c>
      <c r="C539" s="47">
        <v>5371</v>
      </c>
      <c r="D539" s="47">
        <v>50007</v>
      </c>
      <c r="E539" s="47" t="s">
        <v>360</v>
      </c>
      <c r="F539" s="11">
        <v>40309</v>
      </c>
      <c r="G539" s="47">
        <v>1</v>
      </c>
      <c r="H539" s="48">
        <v>2329.2555000000002</v>
      </c>
      <c r="I539" s="47" t="s">
        <v>1130</v>
      </c>
      <c r="J539" s="47" t="s">
        <v>1241</v>
      </c>
    </row>
    <row r="540" spans="1:10" x14ac:dyDescent="0.25">
      <c r="A540" s="129" t="str">
        <f t="shared" si="11"/>
        <v>2036545</v>
      </c>
      <c r="B540" s="47">
        <v>203</v>
      </c>
      <c r="C540" s="47">
        <v>6545</v>
      </c>
      <c r="D540" s="47">
        <v>50001</v>
      </c>
      <c r="E540" s="139" t="s">
        <v>1093</v>
      </c>
      <c r="F540" s="11">
        <v>41218</v>
      </c>
      <c r="G540" s="47">
        <v>1</v>
      </c>
      <c r="H540" s="48">
        <v>2329.2555000000002</v>
      </c>
      <c r="I540" s="47" t="s">
        <v>1166</v>
      </c>
      <c r="J540" s="47" t="s">
        <v>1218</v>
      </c>
    </row>
    <row r="541" spans="1:10" x14ac:dyDescent="0.25">
      <c r="A541" s="129" t="str">
        <f t="shared" si="11"/>
        <v>204563</v>
      </c>
      <c r="B541" s="47">
        <v>204</v>
      </c>
      <c r="C541" s="47">
        <v>563</v>
      </c>
      <c r="D541" s="47">
        <v>50007</v>
      </c>
      <c r="E541" s="47" t="s">
        <v>467</v>
      </c>
      <c r="F541" s="11">
        <v>40532</v>
      </c>
      <c r="G541" s="47">
        <v>1</v>
      </c>
      <c r="H541" s="48">
        <v>3263.3534999999997</v>
      </c>
      <c r="I541" s="47" t="s">
        <v>1139</v>
      </c>
      <c r="J541" s="47" t="s">
        <v>1241</v>
      </c>
    </row>
    <row r="542" spans="1:10" x14ac:dyDescent="0.25">
      <c r="A542" s="129" t="str">
        <f t="shared" si="11"/>
        <v>204582</v>
      </c>
      <c r="B542" s="47">
        <v>204</v>
      </c>
      <c r="C542" s="47">
        <v>582</v>
      </c>
      <c r="D542" s="47">
        <v>50007</v>
      </c>
      <c r="E542" s="139" t="s">
        <v>925</v>
      </c>
      <c r="F542" s="11">
        <v>40616</v>
      </c>
      <c r="G542" s="47">
        <v>1</v>
      </c>
      <c r="H542" s="48">
        <v>2329.2555000000002</v>
      </c>
      <c r="I542" s="47" t="s">
        <v>1139</v>
      </c>
      <c r="J542" s="47" t="s">
        <v>1241</v>
      </c>
    </row>
    <row r="543" spans="1:10" x14ac:dyDescent="0.25">
      <c r="A543" s="129" t="str">
        <f t="shared" si="11"/>
        <v>2042836</v>
      </c>
      <c r="B543" s="47">
        <v>204</v>
      </c>
      <c r="C543" s="47">
        <v>2836</v>
      </c>
      <c r="D543" s="47">
        <v>50007</v>
      </c>
      <c r="E543" s="139" t="s">
        <v>1073</v>
      </c>
      <c r="F543" s="11">
        <v>39270</v>
      </c>
      <c r="G543" s="47">
        <v>1</v>
      </c>
      <c r="H543" s="48">
        <v>2329.2555000000002</v>
      </c>
      <c r="I543" s="47" t="s">
        <v>1141</v>
      </c>
      <c r="J543" s="47" t="s">
        <v>1241</v>
      </c>
    </row>
    <row r="544" spans="1:10" x14ac:dyDescent="0.25">
      <c r="A544" s="129" t="str">
        <f t="shared" si="11"/>
        <v>2043036</v>
      </c>
      <c r="B544" s="47">
        <v>204</v>
      </c>
      <c r="C544" s="47">
        <v>3036</v>
      </c>
      <c r="D544" s="47">
        <v>50007</v>
      </c>
      <c r="E544" s="47" t="s">
        <v>326</v>
      </c>
      <c r="F544" s="11">
        <v>39316</v>
      </c>
      <c r="G544" s="47">
        <v>1</v>
      </c>
      <c r="H544" s="48">
        <v>4690.3395</v>
      </c>
      <c r="I544" s="47" t="s">
        <v>1138</v>
      </c>
      <c r="J544" s="47" t="s">
        <v>1241</v>
      </c>
    </row>
    <row r="545" spans="1:10" x14ac:dyDescent="0.25">
      <c r="A545" s="129" t="str">
        <f t="shared" si="11"/>
        <v>2043160</v>
      </c>
      <c r="B545" s="47">
        <v>204</v>
      </c>
      <c r="C545" s="47">
        <v>3160</v>
      </c>
      <c r="D545" s="47">
        <v>50007</v>
      </c>
      <c r="E545" s="139" t="s">
        <v>1016</v>
      </c>
      <c r="F545" s="11">
        <v>39365</v>
      </c>
      <c r="G545" s="47">
        <v>1</v>
      </c>
      <c r="H545" s="48">
        <v>2755.9454999999998</v>
      </c>
      <c r="I545" s="47" t="s">
        <v>1130</v>
      </c>
      <c r="J545" s="47" t="s">
        <v>1241</v>
      </c>
    </row>
    <row r="546" spans="1:10" x14ac:dyDescent="0.25">
      <c r="A546" s="129" t="str">
        <f t="shared" si="11"/>
        <v>2043246</v>
      </c>
      <c r="B546" s="47">
        <v>204</v>
      </c>
      <c r="C546" s="47">
        <v>3246</v>
      </c>
      <c r="D546" s="47">
        <v>50007</v>
      </c>
      <c r="E546" s="139" t="s">
        <v>1053</v>
      </c>
      <c r="F546" s="11">
        <v>39405</v>
      </c>
      <c r="G546" s="47">
        <v>1</v>
      </c>
      <c r="H546" s="48">
        <v>2136.5520000000001</v>
      </c>
      <c r="I546" s="47" t="s">
        <v>1141</v>
      </c>
      <c r="J546" s="47" t="s">
        <v>1241</v>
      </c>
    </row>
    <row r="547" spans="1:10" x14ac:dyDescent="0.25">
      <c r="A547" s="129" t="str">
        <f t="shared" si="11"/>
        <v>2043720</v>
      </c>
      <c r="B547" s="47">
        <v>204</v>
      </c>
      <c r="C547" s="47">
        <v>3720</v>
      </c>
      <c r="D547" s="47">
        <v>50007</v>
      </c>
      <c r="E547" s="47" t="s">
        <v>280</v>
      </c>
      <c r="F547" s="11">
        <v>39539</v>
      </c>
      <c r="G547" s="47">
        <v>3</v>
      </c>
      <c r="H547" s="48">
        <v>2261.4899999999998</v>
      </c>
      <c r="I547" s="47" t="s">
        <v>1139</v>
      </c>
      <c r="J547" s="47" t="s">
        <v>1241</v>
      </c>
    </row>
    <row r="548" spans="1:10" x14ac:dyDescent="0.25">
      <c r="A548" s="129" t="str">
        <f t="shared" si="11"/>
        <v>2043908</v>
      </c>
      <c r="B548" s="47">
        <v>204</v>
      </c>
      <c r="C548" s="47">
        <v>3908</v>
      </c>
      <c r="D548" s="47">
        <v>50007</v>
      </c>
      <c r="E548" s="47" t="s">
        <v>724</v>
      </c>
      <c r="F548" s="11">
        <v>39573</v>
      </c>
      <c r="G548" s="47">
        <v>3</v>
      </c>
      <c r="H548" s="48">
        <v>2261.4899999999998</v>
      </c>
      <c r="I548" s="47" t="s">
        <v>1138</v>
      </c>
      <c r="J548" s="47" t="s">
        <v>1241</v>
      </c>
    </row>
    <row r="549" spans="1:10" x14ac:dyDescent="0.25">
      <c r="A549" s="129" t="str">
        <f t="shared" si="11"/>
        <v>2044142</v>
      </c>
      <c r="B549" s="47">
        <v>204</v>
      </c>
      <c r="C549" s="47">
        <v>4142</v>
      </c>
      <c r="D549" s="47">
        <v>50007</v>
      </c>
      <c r="E549" s="47" t="s">
        <v>310</v>
      </c>
      <c r="F549" s="11">
        <v>39680</v>
      </c>
      <c r="G549" s="47">
        <v>3</v>
      </c>
      <c r="H549" s="48">
        <v>3167.1749999999997</v>
      </c>
      <c r="I549" s="47" t="s">
        <v>1141</v>
      </c>
      <c r="J549" s="47" t="s">
        <v>1241</v>
      </c>
    </row>
    <row r="550" spans="1:10" x14ac:dyDescent="0.25">
      <c r="A550" s="129" t="str">
        <f t="shared" si="11"/>
        <v>2044343</v>
      </c>
      <c r="B550" s="47">
        <v>204</v>
      </c>
      <c r="C550" s="47">
        <v>4343</v>
      </c>
      <c r="D550" s="47">
        <v>50007</v>
      </c>
      <c r="E550" s="139" t="s">
        <v>1103</v>
      </c>
      <c r="F550" s="11">
        <v>39754</v>
      </c>
      <c r="G550" s="47">
        <v>3</v>
      </c>
      <c r="H550" s="48">
        <v>4522.9799999999996</v>
      </c>
      <c r="I550" s="47" t="s">
        <v>1141</v>
      </c>
      <c r="J550" s="47" t="s">
        <v>1241</v>
      </c>
    </row>
    <row r="551" spans="1:10" x14ac:dyDescent="0.25">
      <c r="A551" s="129" t="str">
        <f t="shared" si="11"/>
        <v>2044352</v>
      </c>
      <c r="B551" s="47">
        <v>204</v>
      </c>
      <c r="C551" s="47">
        <v>4352</v>
      </c>
      <c r="D551" s="47">
        <v>50001</v>
      </c>
      <c r="E551" s="47" t="s">
        <v>320</v>
      </c>
      <c r="F551" s="11">
        <v>39766</v>
      </c>
      <c r="G551" s="47">
        <v>3</v>
      </c>
      <c r="H551" s="48">
        <v>2261.4899999999998</v>
      </c>
      <c r="I551" s="47" t="s">
        <v>1178</v>
      </c>
      <c r="J551" s="47" t="s">
        <v>1218</v>
      </c>
    </row>
    <row r="552" spans="1:10" x14ac:dyDescent="0.25">
      <c r="A552" s="129" t="str">
        <f t="shared" si="11"/>
        <v>2044577</v>
      </c>
      <c r="B552" s="47">
        <v>204</v>
      </c>
      <c r="C552" s="47">
        <v>4577</v>
      </c>
      <c r="D552" s="47">
        <v>50007</v>
      </c>
      <c r="E552" s="47" t="s">
        <v>475</v>
      </c>
      <c r="F552" s="11">
        <v>39940</v>
      </c>
      <c r="G552" s="47">
        <v>3</v>
      </c>
      <c r="H552" s="48">
        <v>2261.4899999999998</v>
      </c>
      <c r="I552" s="47" t="s">
        <v>1141</v>
      </c>
      <c r="J552" s="47" t="s">
        <v>1241</v>
      </c>
    </row>
    <row r="553" spans="1:10" x14ac:dyDescent="0.25">
      <c r="A553" s="129" t="str">
        <f t="shared" si="11"/>
        <v>2044581</v>
      </c>
      <c r="B553" s="47">
        <v>204</v>
      </c>
      <c r="C553" s="47">
        <v>4581</v>
      </c>
      <c r="D553" s="47">
        <v>50007</v>
      </c>
      <c r="E553" s="47" t="s">
        <v>368</v>
      </c>
      <c r="F553" s="11">
        <v>39948</v>
      </c>
      <c r="G553" s="47">
        <v>3</v>
      </c>
      <c r="H553" s="48">
        <v>2261.4899999999998</v>
      </c>
      <c r="I553" s="47" t="s">
        <v>1141</v>
      </c>
      <c r="J553" s="47" t="s">
        <v>1241</v>
      </c>
    </row>
    <row r="554" spans="1:10" x14ac:dyDescent="0.25">
      <c r="A554" s="129" t="str">
        <f t="shared" si="11"/>
        <v>2044851</v>
      </c>
      <c r="B554" s="47">
        <v>204</v>
      </c>
      <c r="C554" s="47">
        <v>4851</v>
      </c>
      <c r="D554" s="47">
        <v>50007</v>
      </c>
      <c r="E554" s="47" t="s">
        <v>785</v>
      </c>
      <c r="F554" s="11">
        <v>40044</v>
      </c>
      <c r="G554" s="47">
        <v>3</v>
      </c>
      <c r="H554" s="48">
        <v>2261.4899999999998</v>
      </c>
      <c r="I554" s="47" t="s">
        <v>1141</v>
      </c>
      <c r="J554" s="47" t="s">
        <v>1241</v>
      </c>
    </row>
    <row r="555" spans="1:10" x14ac:dyDescent="0.25">
      <c r="A555" s="129" t="str">
        <f t="shared" si="11"/>
        <v>2044852</v>
      </c>
      <c r="B555" s="47">
        <v>204</v>
      </c>
      <c r="C555" s="47">
        <v>4852</v>
      </c>
      <c r="D555" s="47">
        <v>50007</v>
      </c>
      <c r="E555" s="47" t="s">
        <v>826</v>
      </c>
      <c r="F555" s="11">
        <v>40045</v>
      </c>
      <c r="G555" s="47">
        <v>3</v>
      </c>
      <c r="H555" s="48">
        <v>3167.1749999999997</v>
      </c>
      <c r="I555" s="47" t="s">
        <v>1141</v>
      </c>
      <c r="J555" s="47" t="s">
        <v>1241</v>
      </c>
    </row>
    <row r="556" spans="1:10" x14ac:dyDescent="0.25">
      <c r="A556" s="129" t="str">
        <f t="shared" si="11"/>
        <v>2045025</v>
      </c>
      <c r="B556" s="47">
        <v>204</v>
      </c>
      <c r="C556" s="47">
        <v>5025</v>
      </c>
      <c r="D556" s="47">
        <v>50007</v>
      </c>
      <c r="E556" s="47" t="s">
        <v>774</v>
      </c>
      <c r="F556" s="11">
        <v>40151</v>
      </c>
      <c r="G556" s="47">
        <v>3</v>
      </c>
      <c r="H556" s="48">
        <v>2261.4899999999998</v>
      </c>
      <c r="I556" s="47" t="s">
        <v>1121</v>
      </c>
      <c r="J556" s="47" t="s">
        <v>1241</v>
      </c>
    </row>
    <row r="557" spans="1:10" x14ac:dyDescent="0.25">
      <c r="A557" s="129" t="str">
        <f t="shared" si="11"/>
        <v>2045137</v>
      </c>
      <c r="B557" s="47">
        <v>204</v>
      </c>
      <c r="C557" s="47">
        <v>5137</v>
      </c>
      <c r="D557" s="47">
        <v>50007</v>
      </c>
      <c r="E557" s="47" t="s">
        <v>714</v>
      </c>
      <c r="F557" s="11">
        <v>40196</v>
      </c>
      <c r="G557" s="47">
        <v>3</v>
      </c>
      <c r="H557" s="48">
        <v>2722.5</v>
      </c>
      <c r="I557" s="47" t="s">
        <v>1121</v>
      </c>
      <c r="J557" s="47" t="s">
        <v>1241</v>
      </c>
    </row>
    <row r="558" spans="1:10" x14ac:dyDescent="0.25">
      <c r="A558" s="129" t="str">
        <f t="shared" si="11"/>
        <v>2045469</v>
      </c>
      <c r="B558" s="47">
        <v>204</v>
      </c>
      <c r="C558" s="47">
        <v>5469</v>
      </c>
      <c r="D558" s="47">
        <v>50007</v>
      </c>
      <c r="E558" s="47" t="s">
        <v>250</v>
      </c>
      <c r="F558" s="11">
        <v>40364</v>
      </c>
      <c r="G558" s="47">
        <v>3</v>
      </c>
      <c r="H558" s="48">
        <v>2261.4899999999998</v>
      </c>
      <c r="I558" s="47" t="s">
        <v>1121</v>
      </c>
      <c r="J558" s="47" t="s">
        <v>1241</v>
      </c>
    </row>
    <row r="559" spans="1:10" x14ac:dyDescent="0.25">
      <c r="A559" s="129" t="str">
        <f t="shared" si="11"/>
        <v>2045619</v>
      </c>
      <c r="B559" s="47">
        <v>204</v>
      </c>
      <c r="C559" s="47">
        <v>5619</v>
      </c>
      <c r="D559" s="47">
        <v>50007</v>
      </c>
      <c r="E559" s="139" t="s">
        <v>1098</v>
      </c>
      <c r="F559" s="11">
        <v>40427</v>
      </c>
      <c r="G559" s="47">
        <v>3</v>
      </c>
      <c r="H559" s="48">
        <v>2261.4899999999998</v>
      </c>
      <c r="I559" s="47" t="s">
        <v>1121</v>
      </c>
      <c r="J559" s="47" t="s">
        <v>1241</v>
      </c>
    </row>
    <row r="560" spans="1:10" x14ac:dyDescent="0.25">
      <c r="A560" s="129" t="str">
        <f t="shared" si="11"/>
        <v>2046007</v>
      </c>
      <c r="B560" s="47">
        <v>204</v>
      </c>
      <c r="C560" s="47">
        <v>6007</v>
      </c>
      <c r="D560" s="47">
        <v>50001</v>
      </c>
      <c r="E560" s="139" t="s">
        <v>1096</v>
      </c>
      <c r="F560" s="11">
        <v>40714</v>
      </c>
      <c r="G560" s="47">
        <v>3</v>
      </c>
      <c r="H560" s="48">
        <v>2261.4899999999998</v>
      </c>
      <c r="I560" s="47" t="s">
        <v>1178</v>
      </c>
      <c r="J560" s="47" t="s">
        <v>1218</v>
      </c>
    </row>
    <row r="561" spans="1:10" x14ac:dyDescent="0.25">
      <c r="A561" s="129" t="str">
        <f t="shared" ref="A561:A604" si="12">B561&amp;C561</f>
        <v>2046031</v>
      </c>
      <c r="B561" s="47">
        <v>204</v>
      </c>
      <c r="C561" s="47">
        <v>6031</v>
      </c>
      <c r="D561" s="47">
        <v>50007</v>
      </c>
      <c r="E561" s="139" t="s">
        <v>983</v>
      </c>
      <c r="F561" s="11">
        <v>40749</v>
      </c>
      <c r="G561" s="47">
        <v>3</v>
      </c>
      <c r="H561" s="48">
        <v>2261.4899999999998</v>
      </c>
      <c r="I561" s="47" t="s">
        <v>1121</v>
      </c>
      <c r="J561" s="47" t="s">
        <v>1241</v>
      </c>
    </row>
    <row r="562" spans="1:10" x14ac:dyDescent="0.25">
      <c r="A562" s="129" t="str">
        <f t="shared" si="12"/>
        <v>2046104</v>
      </c>
      <c r="B562" s="47">
        <v>204</v>
      </c>
      <c r="C562" s="47">
        <v>6104</v>
      </c>
      <c r="D562" s="47">
        <v>50007</v>
      </c>
      <c r="E562" s="47" t="s">
        <v>414</v>
      </c>
      <c r="F562" s="11">
        <v>40850</v>
      </c>
      <c r="G562" s="47">
        <v>3</v>
      </c>
      <c r="H562" s="48">
        <v>2261.4899999999998</v>
      </c>
      <c r="I562" s="47" t="s">
        <v>1121</v>
      </c>
      <c r="J562" s="47" t="s">
        <v>1241</v>
      </c>
    </row>
    <row r="563" spans="1:10" x14ac:dyDescent="0.25">
      <c r="A563" s="129" t="str">
        <f t="shared" si="12"/>
        <v>2046267</v>
      </c>
      <c r="B563" s="47">
        <v>204</v>
      </c>
      <c r="C563" s="47">
        <v>6267</v>
      </c>
      <c r="D563" s="47">
        <v>50007</v>
      </c>
      <c r="E563" s="139" t="s">
        <v>877</v>
      </c>
      <c r="F563" s="11">
        <v>41015</v>
      </c>
      <c r="G563" s="47">
        <v>3</v>
      </c>
      <c r="H563" s="48">
        <v>4522.9799999999996</v>
      </c>
      <c r="I563" s="47" t="s">
        <v>1121</v>
      </c>
      <c r="J563" s="47" t="s">
        <v>1241</v>
      </c>
    </row>
    <row r="564" spans="1:10" x14ac:dyDescent="0.25">
      <c r="A564" s="129" t="str">
        <f t="shared" si="12"/>
        <v>2046327</v>
      </c>
      <c r="B564" s="47">
        <v>204</v>
      </c>
      <c r="C564" s="47">
        <v>6327</v>
      </c>
      <c r="D564" s="47">
        <v>50007</v>
      </c>
      <c r="E564" s="139" t="s">
        <v>1106</v>
      </c>
      <c r="F564" s="11">
        <v>41064</v>
      </c>
      <c r="G564" s="47">
        <v>3</v>
      </c>
      <c r="H564" s="48">
        <v>2261.4899999999998</v>
      </c>
      <c r="I564" s="47" t="s">
        <v>1121</v>
      </c>
      <c r="J564" s="47" t="s">
        <v>1241</v>
      </c>
    </row>
    <row r="565" spans="1:10" x14ac:dyDescent="0.25">
      <c r="A565" s="129" t="str">
        <f t="shared" si="12"/>
        <v>2046412</v>
      </c>
      <c r="B565" s="47">
        <v>204</v>
      </c>
      <c r="C565" s="47">
        <v>6412</v>
      </c>
      <c r="D565" s="47">
        <v>50007</v>
      </c>
      <c r="E565" s="47" t="s">
        <v>558</v>
      </c>
      <c r="F565" s="11">
        <v>41113</v>
      </c>
      <c r="G565" s="47">
        <v>3</v>
      </c>
      <c r="H565" s="48">
        <v>2261.4899999999998</v>
      </c>
      <c r="I565" s="47" t="s">
        <v>1121</v>
      </c>
      <c r="J565" s="47" t="s">
        <v>1241</v>
      </c>
    </row>
    <row r="566" spans="1:10" x14ac:dyDescent="0.25">
      <c r="A566" s="129" t="str">
        <f t="shared" si="12"/>
        <v>2046526</v>
      </c>
      <c r="B566" s="47">
        <v>204</v>
      </c>
      <c r="C566" s="47">
        <v>6526</v>
      </c>
      <c r="D566" s="47">
        <v>50007</v>
      </c>
      <c r="E566" s="139" t="s">
        <v>984</v>
      </c>
      <c r="F566" s="11">
        <v>41204</v>
      </c>
      <c r="G566" s="47">
        <v>3</v>
      </c>
      <c r="H566" s="48">
        <v>2261.4899999999998</v>
      </c>
      <c r="I566" s="47" t="s">
        <v>1128</v>
      </c>
      <c r="J566" s="47" t="s">
        <v>1241</v>
      </c>
    </row>
    <row r="567" spans="1:10" x14ac:dyDescent="0.25">
      <c r="A567" s="129" t="str">
        <f t="shared" si="12"/>
        <v>2046542</v>
      </c>
      <c r="B567" s="47">
        <v>204</v>
      </c>
      <c r="C567" s="47">
        <v>6542</v>
      </c>
      <c r="D567" s="47">
        <v>50001</v>
      </c>
      <c r="E567" s="139" t="s">
        <v>964</v>
      </c>
      <c r="F567" s="11">
        <v>41218</v>
      </c>
      <c r="G567" s="47">
        <v>3</v>
      </c>
      <c r="H567" s="48">
        <v>2261.4899999999998</v>
      </c>
      <c r="I567" s="47" t="s">
        <v>1166</v>
      </c>
      <c r="J567" s="47" t="s">
        <v>1218</v>
      </c>
    </row>
    <row r="568" spans="1:10" x14ac:dyDescent="0.25">
      <c r="A568" s="129" t="str">
        <f t="shared" si="12"/>
        <v>2046569</v>
      </c>
      <c r="B568" s="47">
        <v>204</v>
      </c>
      <c r="C568" s="47">
        <v>6569</v>
      </c>
      <c r="D568" s="47">
        <v>50001</v>
      </c>
      <c r="E568" s="47" t="s">
        <v>489</v>
      </c>
      <c r="F568" s="11">
        <v>41218</v>
      </c>
      <c r="G568" s="47">
        <v>3</v>
      </c>
      <c r="H568" s="48">
        <v>2261.4899999999998</v>
      </c>
      <c r="I568" s="47" t="s">
        <v>1166</v>
      </c>
      <c r="J568" s="47" t="s">
        <v>1218</v>
      </c>
    </row>
    <row r="569" spans="1:10" x14ac:dyDescent="0.25">
      <c r="A569" s="129" t="str">
        <f t="shared" si="12"/>
        <v>2046714</v>
      </c>
      <c r="B569" s="47">
        <v>204</v>
      </c>
      <c r="C569" s="47">
        <v>6714</v>
      </c>
      <c r="D569" s="47">
        <v>50007</v>
      </c>
      <c r="E569" s="47" t="s">
        <v>356</v>
      </c>
      <c r="F569" s="11">
        <v>41372</v>
      </c>
      <c r="G569" s="47">
        <v>3</v>
      </c>
      <c r="H569" s="48">
        <v>2722.5</v>
      </c>
      <c r="I569" s="47" t="s">
        <v>1121</v>
      </c>
      <c r="J569" s="47" t="s">
        <v>1241</v>
      </c>
    </row>
    <row r="570" spans="1:10" x14ac:dyDescent="0.25">
      <c r="A570" s="129" t="str">
        <f t="shared" si="12"/>
        <v>2046742</v>
      </c>
      <c r="B570" s="47">
        <v>204</v>
      </c>
      <c r="C570" s="47">
        <v>6742</v>
      </c>
      <c r="D570" s="47">
        <v>50007</v>
      </c>
      <c r="E570" s="47" t="s">
        <v>295</v>
      </c>
      <c r="F570" s="11">
        <v>41386</v>
      </c>
      <c r="G570" s="47">
        <v>3</v>
      </c>
      <c r="H570" s="48">
        <v>2879.25</v>
      </c>
      <c r="I570" s="47" t="s">
        <v>1185</v>
      </c>
      <c r="J570" s="47" t="s">
        <v>1241</v>
      </c>
    </row>
    <row r="571" spans="1:10" x14ac:dyDescent="0.25">
      <c r="A571" s="129" t="str">
        <f t="shared" si="12"/>
        <v>2046959</v>
      </c>
      <c r="B571" s="47">
        <v>204</v>
      </c>
      <c r="C571" s="47">
        <v>6959</v>
      </c>
      <c r="D571" s="47">
        <v>50001</v>
      </c>
      <c r="E571" s="47" t="s">
        <v>840</v>
      </c>
      <c r="F571" s="11">
        <v>41533</v>
      </c>
      <c r="G571" s="47">
        <v>3</v>
      </c>
      <c r="H571" s="48">
        <v>2261.4899999999998</v>
      </c>
      <c r="I571" s="47" t="s">
        <v>107</v>
      </c>
      <c r="J571" s="47" t="s">
        <v>1218</v>
      </c>
    </row>
    <row r="572" spans="1:10" x14ac:dyDescent="0.25">
      <c r="A572" s="129" t="str">
        <f t="shared" si="12"/>
        <v>2047066</v>
      </c>
      <c r="B572" s="47">
        <v>204</v>
      </c>
      <c r="C572" s="47">
        <v>7066</v>
      </c>
      <c r="D572" s="47">
        <v>50007</v>
      </c>
      <c r="E572" s="47" t="s">
        <v>713</v>
      </c>
      <c r="F572" s="11">
        <v>41652</v>
      </c>
      <c r="G572" s="47">
        <v>3</v>
      </c>
      <c r="H572" s="48">
        <v>4522.9799999999996</v>
      </c>
      <c r="I572" s="47" t="s">
        <v>1139</v>
      </c>
      <c r="J572" s="47" t="s">
        <v>1241</v>
      </c>
    </row>
    <row r="573" spans="1:10" x14ac:dyDescent="0.25">
      <c r="A573" s="129" t="str">
        <f t="shared" si="12"/>
        <v>2052824</v>
      </c>
      <c r="B573" s="47">
        <v>205</v>
      </c>
      <c r="C573" s="47">
        <v>2824</v>
      </c>
      <c r="D573" s="47">
        <v>50007</v>
      </c>
      <c r="E573" s="139" t="s">
        <v>930</v>
      </c>
      <c r="F573" s="11">
        <v>39269</v>
      </c>
      <c r="G573" s="47">
        <v>3</v>
      </c>
      <c r="H573" s="48">
        <v>3167.1749999999997</v>
      </c>
      <c r="I573" s="47" t="s">
        <v>1138</v>
      </c>
      <c r="J573" s="47" t="s">
        <v>1241</v>
      </c>
    </row>
    <row r="574" spans="1:10" x14ac:dyDescent="0.25">
      <c r="A574" s="129" t="str">
        <f t="shared" si="12"/>
        <v>2053724</v>
      </c>
      <c r="B574" s="47">
        <v>205</v>
      </c>
      <c r="C574" s="47">
        <v>3724</v>
      </c>
      <c r="D574" s="47">
        <v>50007</v>
      </c>
      <c r="E574" s="47" t="s">
        <v>138</v>
      </c>
      <c r="F574" s="11">
        <v>39539</v>
      </c>
      <c r="G574" s="47">
        <v>3</v>
      </c>
      <c r="H574" s="48">
        <v>2261.4899999999998</v>
      </c>
      <c r="I574" s="47" t="s">
        <v>1141</v>
      </c>
      <c r="J574" s="47" t="s">
        <v>1241</v>
      </c>
    </row>
    <row r="575" spans="1:10" x14ac:dyDescent="0.25">
      <c r="A575" s="129" t="str">
        <f t="shared" si="12"/>
        <v>2053784</v>
      </c>
      <c r="B575" s="47">
        <v>205</v>
      </c>
      <c r="C575" s="47">
        <v>3784</v>
      </c>
      <c r="D575" s="47">
        <v>50007</v>
      </c>
      <c r="E575" s="47" t="s">
        <v>793</v>
      </c>
      <c r="F575" s="11">
        <v>39542</v>
      </c>
      <c r="G575" s="47">
        <v>3</v>
      </c>
      <c r="H575" s="48">
        <v>2261.4899999999998</v>
      </c>
      <c r="I575" s="47" t="s">
        <v>1141</v>
      </c>
      <c r="J575" s="47" t="s">
        <v>1241</v>
      </c>
    </row>
    <row r="576" spans="1:10" x14ac:dyDescent="0.25">
      <c r="A576" s="129" t="str">
        <f t="shared" si="12"/>
        <v>2053785</v>
      </c>
      <c r="B576" s="47">
        <v>205</v>
      </c>
      <c r="C576" s="47">
        <v>3785</v>
      </c>
      <c r="D576" s="47">
        <v>50007</v>
      </c>
      <c r="E576" s="47" t="s">
        <v>277</v>
      </c>
      <c r="F576" s="11">
        <v>39542</v>
      </c>
      <c r="G576" s="47">
        <v>3</v>
      </c>
      <c r="H576" s="48">
        <v>2261.4899999999998</v>
      </c>
      <c r="I576" s="47" t="s">
        <v>1121</v>
      </c>
      <c r="J576" s="47" t="s">
        <v>1241</v>
      </c>
    </row>
    <row r="577" spans="1:10" x14ac:dyDescent="0.25">
      <c r="A577" s="129" t="str">
        <f t="shared" si="12"/>
        <v>2053905</v>
      </c>
      <c r="B577" s="47">
        <v>205</v>
      </c>
      <c r="C577" s="47">
        <v>3905</v>
      </c>
      <c r="D577" s="47">
        <v>50007</v>
      </c>
      <c r="E577" s="47" t="s">
        <v>813</v>
      </c>
      <c r="F577" s="11">
        <v>39571</v>
      </c>
      <c r="G577" s="47">
        <v>3</v>
      </c>
      <c r="H577" s="48">
        <v>2261.4899999999998</v>
      </c>
      <c r="I577" s="47" t="s">
        <v>1130</v>
      </c>
      <c r="J577" s="47" t="s">
        <v>1241</v>
      </c>
    </row>
    <row r="578" spans="1:10" x14ac:dyDescent="0.25">
      <c r="A578" s="129" t="str">
        <f t="shared" si="12"/>
        <v>2055133</v>
      </c>
      <c r="B578" s="47">
        <v>205</v>
      </c>
      <c r="C578" s="47">
        <v>5133</v>
      </c>
      <c r="D578" s="47">
        <v>50007</v>
      </c>
      <c r="E578" s="139" t="s">
        <v>896</v>
      </c>
      <c r="F578" s="11">
        <v>40196</v>
      </c>
      <c r="G578" s="47">
        <v>3</v>
      </c>
      <c r="H578" s="48">
        <v>4522.9799999999996</v>
      </c>
      <c r="I578" s="47" t="s">
        <v>1121</v>
      </c>
      <c r="J578" s="47" t="s">
        <v>1241</v>
      </c>
    </row>
    <row r="579" spans="1:10" x14ac:dyDescent="0.25">
      <c r="A579" s="129" t="str">
        <f t="shared" si="12"/>
        <v>2055134</v>
      </c>
      <c r="B579" s="47">
        <v>205</v>
      </c>
      <c r="C579" s="47">
        <v>5134</v>
      </c>
      <c r="D579" s="47">
        <v>50007</v>
      </c>
      <c r="E579" s="47" t="s">
        <v>127</v>
      </c>
      <c r="F579" s="11">
        <v>40196</v>
      </c>
      <c r="G579" s="47">
        <v>3</v>
      </c>
      <c r="H579" s="48">
        <v>2261.4899999999998</v>
      </c>
      <c r="I579" s="47" t="s">
        <v>1121</v>
      </c>
      <c r="J579" s="47" t="s">
        <v>1241</v>
      </c>
    </row>
    <row r="580" spans="1:10" x14ac:dyDescent="0.25">
      <c r="A580" s="129" t="str">
        <f t="shared" si="12"/>
        <v>2055476</v>
      </c>
      <c r="B580" s="47">
        <v>205</v>
      </c>
      <c r="C580" s="47">
        <v>5476</v>
      </c>
      <c r="D580" s="47">
        <v>50001</v>
      </c>
      <c r="E580" s="47" t="s">
        <v>258</v>
      </c>
      <c r="F580" s="11">
        <v>40365</v>
      </c>
      <c r="G580" s="47">
        <v>3</v>
      </c>
      <c r="H580" s="48">
        <v>2261.4899999999998</v>
      </c>
      <c r="I580" s="47" t="s">
        <v>1126</v>
      </c>
      <c r="J580" s="47" t="s">
        <v>1218</v>
      </c>
    </row>
    <row r="581" spans="1:10" x14ac:dyDescent="0.25">
      <c r="A581" s="129" t="str">
        <f t="shared" si="12"/>
        <v>2055505</v>
      </c>
      <c r="B581" s="47">
        <v>205</v>
      </c>
      <c r="C581" s="47">
        <v>5505</v>
      </c>
      <c r="D581" s="47">
        <v>50007</v>
      </c>
      <c r="E581" s="139" t="s">
        <v>1086</v>
      </c>
      <c r="F581" s="11">
        <v>40378</v>
      </c>
      <c r="G581" s="47">
        <v>3</v>
      </c>
      <c r="H581" s="48">
        <v>2722.5</v>
      </c>
      <c r="I581" s="47" t="s">
        <v>1139</v>
      </c>
      <c r="J581" s="47" t="s">
        <v>1241</v>
      </c>
    </row>
    <row r="582" spans="1:10" x14ac:dyDescent="0.25">
      <c r="A582" s="129" t="str">
        <f t="shared" si="12"/>
        <v>2056020</v>
      </c>
      <c r="B582" s="47">
        <v>205</v>
      </c>
      <c r="C582" s="47">
        <v>6020</v>
      </c>
      <c r="D582" s="47">
        <v>50001</v>
      </c>
      <c r="E582" s="139" t="s">
        <v>916</v>
      </c>
      <c r="F582" s="11">
        <v>40735</v>
      </c>
      <c r="G582" s="47">
        <v>3</v>
      </c>
      <c r="H582" s="48">
        <v>2261.4899999999998</v>
      </c>
      <c r="I582" s="47" t="s">
        <v>1126</v>
      </c>
      <c r="J582" s="47" t="s">
        <v>1218</v>
      </c>
    </row>
    <row r="583" spans="1:10" x14ac:dyDescent="0.25">
      <c r="A583" s="129" t="str">
        <f t="shared" si="12"/>
        <v>2056482</v>
      </c>
      <c r="B583" s="47">
        <v>205</v>
      </c>
      <c r="C583" s="47">
        <v>6482</v>
      </c>
      <c r="D583" s="47">
        <v>50007</v>
      </c>
      <c r="E583" s="139" t="s">
        <v>976</v>
      </c>
      <c r="F583" s="11">
        <v>41183</v>
      </c>
      <c r="G583" s="47">
        <v>3</v>
      </c>
      <c r="H583" s="48">
        <v>2261.4899999999998</v>
      </c>
      <c r="I583" s="47" t="s">
        <v>1128</v>
      </c>
      <c r="J583" s="47" t="s">
        <v>1241</v>
      </c>
    </row>
    <row r="584" spans="1:10" x14ac:dyDescent="0.25">
      <c r="A584" s="129" t="str">
        <f t="shared" si="12"/>
        <v>2056568</v>
      </c>
      <c r="B584" s="47">
        <v>205</v>
      </c>
      <c r="C584" s="47">
        <v>6568</v>
      </c>
      <c r="D584" s="47">
        <v>50001</v>
      </c>
      <c r="E584" s="47" t="s">
        <v>497</v>
      </c>
      <c r="F584" s="11">
        <v>41218</v>
      </c>
      <c r="G584" s="47">
        <v>5</v>
      </c>
      <c r="H584" s="48">
        <v>2321.5994999999998</v>
      </c>
      <c r="I584" s="47" t="s">
        <v>1166</v>
      </c>
      <c r="J584" s="47" t="s">
        <v>1218</v>
      </c>
    </row>
    <row r="585" spans="1:10" x14ac:dyDescent="0.25">
      <c r="A585" s="129" t="str">
        <f t="shared" si="12"/>
        <v>2056678</v>
      </c>
      <c r="B585" s="47">
        <v>205</v>
      </c>
      <c r="C585" s="47">
        <v>6678</v>
      </c>
      <c r="D585" s="47">
        <v>50001</v>
      </c>
      <c r="E585" s="139" t="s">
        <v>1052</v>
      </c>
      <c r="F585" s="11">
        <v>41351</v>
      </c>
      <c r="G585" s="47">
        <v>5</v>
      </c>
      <c r="H585" s="48">
        <v>2321.5994999999998</v>
      </c>
      <c r="I585" s="47" t="s">
        <v>1126</v>
      </c>
      <c r="J585" s="47" t="s">
        <v>1218</v>
      </c>
    </row>
    <row r="586" spans="1:10" x14ac:dyDescent="0.25">
      <c r="A586" s="129" t="str">
        <f t="shared" si="12"/>
        <v>2057036</v>
      </c>
      <c r="B586" s="47">
        <v>205</v>
      </c>
      <c r="C586" s="47">
        <v>7036</v>
      </c>
      <c r="D586" s="47">
        <v>50007</v>
      </c>
      <c r="E586" s="47" t="s">
        <v>465</v>
      </c>
      <c r="F586" s="11">
        <v>41610</v>
      </c>
      <c r="G586" s="47">
        <v>5</v>
      </c>
      <c r="H586" s="48">
        <v>3252.5459999999998</v>
      </c>
      <c r="I586" s="47" t="s">
        <v>1141</v>
      </c>
      <c r="J586" s="47" t="s">
        <v>1241</v>
      </c>
    </row>
    <row r="587" spans="1:10" x14ac:dyDescent="0.25">
      <c r="A587" s="129" t="str">
        <f t="shared" si="12"/>
        <v>2057038</v>
      </c>
      <c r="B587" s="47">
        <v>205</v>
      </c>
      <c r="C587" s="47">
        <v>7038</v>
      </c>
      <c r="D587" s="47">
        <v>50007</v>
      </c>
      <c r="E587" s="47" t="s">
        <v>664</v>
      </c>
      <c r="F587" s="11">
        <v>41617</v>
      </c>
      <c r="G587" s="47">
        <v>5</v>
      </c>
      <c r="H587" s="48">
        <v>2437.5119999999997</v>
      </c>
      <c r="I587" s="47" t="s">
        <v>1121</v>
      </c>
      <c r="J587" s="47" t="s">
        <v>1241</v>
      </c>
    </row>
    <row r="588" spans="1:10" x14ac:dyDescent="0.25">
      <c r="A588" s="129" t="str">
        <f t="shared" si="12"/>
        <v>2057049</v>
      </c>
      <c r="B588" s="47">
        <v>205</v>
      </c>
      <c r="C588" s="47">
        <v>7049</v>
      </c>
      <c r="D588" s="47">
        <v>50003</v>
      </c>
      <c r="E588" s="47" t="s">
        <v>780</v>
      </c>
      <c r="F588" s="11">
        <v>34101</v>
      </c>
      <c r="G588" s="47">
        <v>5</v>
      </c>
      <c r="H588" s="48">
        <v>3300</v>
      </c>
      <c r="I588" s="47" t="s">
        <v>1135</v>
      </c>
      <c r="J588" s="47" t="s">
        <v>1242</v>
      </c>
    </row>
    <row r="589" spans="1:10" x14ac:dyDescent="0.25">
      <c r="A589" s="129" t="str">
        <f t="shared" si="12"/>
        <v>2057067</v>
      </c>
      <c r="B589" s="47">
        <v>205</v>
      </c>
      <c r="C589" s="47">
        <v>7067</v>
      </c>
      <c r="D589" s="47">
        <v>50007</v>
      </c>
      <c r="E589" s="139" t="s">
        <v>1081</v>
      </c>
      <c r="F589" s="11">
        <v>41652</v>
      </c>
      <c r="G589" s="47">
        <v>9</v>
      </c>
      <c r="H589" s="48">
        <v>2414.4119999999998</v>
      </c>
      <c r="I589" s="47" t="s">
        <v>1121</v>
      </c>
      <c r="J589" s="47" t="s">
        <v>1241</v>
      </c>
    </row>
    <row r="590" spans="1:10" x14ac:dyDescent="0.25">
      <c r="A590" s="129" t="str">
        <f t="shared" si="12"/>
        <v>2058708</v>
      </c>
      <c r="B590" s="47">
        <v>205</v>
      </c>
      <c r="C590" s="47">
        <v>8708</v>
      </c>
      <c r="D590" s="47">
        <v>50007</v>
      </c>
      <c r="E590" s="47" t="s">
        <v>290</v>
      </c>
      <c r="F590" s="11">
        <v>40127</v>
      </c>
      <c r="G590" s="47">
        <v>9</v>
      </c>
      <c r="H590" s="48">
        <v>2414.4119999999998</v>
      </c>
      <c r="I590" s="47" t="s">
        <v>1121</v>
      </c>
      <c r="J590" s="47" t="s">
        <v>1241</v>
      </c>
    </row>
    <row r="591" spans="1:10" x14ac:dyDescent="0.25">
      <c r="A591" s="129" t="str">
        <f t="shared" si="12"/>
        <v>206579</v>
      </c>
      <c r="B591" s="47">
        <v>206</v>
      </c>
      <c r="C591" s="47">
        <v>579</v>
      </c>
      <c r="D591" s="47">
        <v>50007</v>
      </c>
      <c r="E591" s="139" t="s">
        <v>866</v>
      </c>
      <c r="F591" s="11">
        <v>40616</v>
      </c>
      <c r="G591" s="47">
        <v>9</v>
      </c>
      <c r="H591" s="48">
        <v>2414.4119999999998</v>
      </c>
      <c r="I591" s="47" t="s">
        <v>1121</v>
      </c>
      <c r="J591" s="47" t="s">
        <v>1241</v>
      </c>
    </row>
    <row r="592" spans="1:10" x14ac:dyDescent="0.25">
      <c r="A592" s="129" t="str">
        <f t="shared" si="12"/>
        <v>206580</v>
      </c>
      <c r="B592" s="47">
        <v>206</v>
      </c>
      <c r="C592" s="47">
        <v>580</v>
      </c>
      <c r="D592" s="47">
        <v>50007</v>
      </c>
      <c r="E592" s="47" t="s">
        <v>667</v>
      </c>
      <c r="F592" s="11">
        <v>40616</v>
      </c>
      <c r="G592" s="47">
        <v>9</v>
      </c>
      <c r="H592" s="48">
        <v>3353.7734999999998</v>
      </c>
      <c r="I592" s="47" t="s">
        <v>1121</v>
      </c>
      <c r="J592" s="47" t="s">
        <v>1241</v>
      </c>
    </row>
    <row r="593" spans="1:10" x14ac:dyDescent="0.25">
      <c r="A593" s="129" t="str">
        <f t="shared" si="12"/>
        <v>206581</v>
      </c>
      <c r="B593" s="47">
        <v>206</v>
      </c>
      <c r="C593" s="47">
        <v>581</v>
      </c>
      <c r="D593" s="47">
        <v>50007</v>
      </c>
      <c r="E593" s="47" t="s">
        <v>486</v>
      </c>
      <c r="F593" s="11">
        <v>40616</v>
      </c>
      <c r="G593" s="47">
        <v>9</v>
      </c>
      <c r="H593" s="48">
        <v>2414.4119999999998</v>
      </c>
      <c r="I593" s="47" t="s">
        <v>1121</v>
      </c>
      <c r="J593" s="47" t="s">
        <v>1241</v>
      </c>
    </row>
    <row r="594" spans="1:10" x14ac:dyDescent="0.25">
      <c r="A594" s="129" t="str">
        <f t="shared" si="12"/>
        <v>206583</v>
      </c>
      <c r="B594" s="47">
        <v>206</v>
      </c>
      <c r="C594" s="47">
        <v>583</v>
      </c>
      <c r="D594" s="47">
        <v>50007</v>
      </c>
      <c r="E594" s="47" t="s">
        <v>737</v>
      </c>
      <c r="F594" s="11">
        <v>40616</v>
      </c>
      <c r="G594" s="47">
        <v>9</v>
      </c>
      <c r="H594" s="48">
        <v>4830.9359999999997</v>
      </c>
      <c r="I594" s="47" t="s">
        <v>1121</v>
      </c>
      <c r="J594" s="47" t="s">
        <v>1241</v>
      </c>
    </row>
    <row r="595" spans="1:10" x14ac:dyDescent="0.25">
      <c r="A595" s="129" t="str">
        <f t="shared" si="12"/>
        <v>2064040</v>
      </c>
      <c r="B595" s="47">
        <v>206</v>
      </c>
      <c r="C595" s="47">
        <v>4040</v>
      </c>
      <c r="D595" s="47">
        <v>50007</v>
      </c>
      <c r="E595" s="47" t="s">
        <v>183</v>
      </c>
      <c r="F595" s="11">
        <v>39619</v>
      </c>
      <c r="G595" s="47">
        <v>12</v>
      </c>
      <c r="H595" s="48">
        <v>2981.4180000000001</v>
      </c>
      <c r="I595" s="47" t="s">
        <v>1141</v>
      </c>
      <c r="J595" s="47" t="s">
        <v>1241</v>
      </c>
    </row>
    <row r="596" spans="1:10" x14ac:dyDescent="0.25">
      <c r="A596" s="129" t="str">
        <f t="shared" si="12"/>
        <v>2065178</v>
      </c>
      <c r="B596" s="47">
        <v>206</v>
      </c>
      <c r="C596" s="47">
        <v>5178</v>
      </c>
      <c r="D596" s="47">
        <v>50007</v>
      </c>
      <c r="E596" s="47" t="s">
        <v>134</v>
      </c>
      <c r="F596" s="11">
        <v>40214</v>
      </c>
      <c r="G596" s="47">
        <v>12</v>
      </c>
      <c r="H596" s="48">
        <v>4601.3219999999992</v>
      </c>
      <c r="I596" s="47" t="s">
        <v>1121</v>
      </c>
      <c r="J596" s="47" t="s">
        <v>1241</v>
      </c>
    </row>
    <row r="597" spans="1:10" x14ac:dyDescent="0.25">
      <c r="A597" s="129" t="str">
        <f t="shared" si="12"/>
        <v>2072876</v>
      </c>
      <c r="B597" s="47">
        <v>207</v>
      </c>
      <c r="C597" s="47">
        <v>2876</v>
      </c>
      <c r="D597" s="47">
        <v>58047</v>
      </c>
      <c r="E597" s="47" t="s">
        <v>756</v>
      </c>
      <c r="F597" s="11">
        <v>39283</v>
      </c>
      <c r="G597" s="47">
        <v>12</v>
      </c>
      <c r="H597" s="48">
        <v>2299.6709999999998</v>
      </c>
      <c r="I597" s="47" t="s">
        <v>1130</v>
      </c>
      <c r="J597" s="47" t="s">
        <v>1244</v>
      </c>
    </row>
    <row r="598" spans="1:10" x14ac:dyDescent="0.25">
      <c r="A598" s="129" t="str">
        <f t="shared" si="12"/>
        <v>2072929</v>
      </c>
      <c r="B598" s="47">
        <v>207</v>
      </c>
      <c r="C598" s="47">
        <v>2929</v>
      </c>
      <c r="D598" s="47">
        <v>50007</v>
      </c>
      <c r="E598" s="47" t="s">
        <v>389</v>
      </c>
      <c r="F598" s="11">
        <v>39295</v>
      </c>
      <c r="G598" s="47">
        <v>12</v>
      </c>
      <c r="H598" s="48">
        <v>3219.942</v>
      </c>
      <c r="I598" s="47" t="s">
        <v>1141</v>
      </c>
      <c r="J598" s="47" t="s">
        <v>1241</v>
      </c>
    </row>
    <row r="599" spans="1:10" x14ac:dyDescent="0.25">
      <c r="A599" s="129" t="str">
        <f t="shared" si="12"/>
        <v>2073471</v>
      </c>
      <c r="B599" s="47">
        <v>207</v>
      </c>
      <c r="C599" s="47">
        <v>3471</v>
      </c>
      <c r="D599" s="47">
        <v>50007</v>
      </c>
      <c r="E599" s="47" t="s">
        <v>769</v>
      </c>
      <c r="F599" s="11">
        <v>39450</v>
      </c>
      <c r="G599" s="47">
        <v>12</v>
      </c>
      <c r="H599" s="48">
        <v>2299.6709999999998</v>
      </c>
      <c r="I599" s="47" t="s">
        <v>1185</v>
      </c>
      <c r="J599" s="47" t="s">
        <v>1241</v>
      </c>
    </row>
    <row r="600" spans="1:10" x14ac:dyDescent="0.25">
      <c r="A600" s="129" t="str">
        <f t="shared" si="12"/>
        <v>2074134</v>
      </c>
      <c r="B600" s="47">
        <v>207</v>
      </c>
      <c r="C600" s="47">
        <v>4134</v>
      </c>
      <c r="D600" s="47">
        <v>50007</v>
      </c>
      <c r="E600" s="47" t="s">
        <v>656</v>
      </c>
      <c r="F600" s="11">
        <v>39668</v>
      </c>
      <c r="G600" s="47">
        <v>12</v>
      </c>
      <c r="H600" s="48">
        <v>2299.6709999999998</v>
      </c>
      <c r="I600" s="47" t="s">
        <v>1141</v>
      </c>
      <c r="J600" s="47" t="s">
        <v>1241</v>
      </c>
    </row>
    <row r="601" spans="1:10" x14ac:dyDescent="0.25">
      <c r="A601" s="129" t="str">
        <f t="shared" si="12"/>
        <v>2074396</v>
      </c>
      <c r="B601" s="47">
        <v>207</v>
      </c>
      <c r="C601" s="47">
        <v>4396</v>
      </c>
      <c r="D601" s="47">
        <v>50007</v>
      </c>
      <c r="E601" s="47" t="s">
        <v>410</v>
      </c>
      <c r="F601" s="11">
        <v>39787</v>
      </c>
      <c r="G601" s="47">
        <v>12</v>
      </c>
      <c r="H601" s="48">
        <v>2299.6709999999998</v>
      </c>
      <c r="I601" s="47" t="s">
        <v>1139</v>
      </c>
      <c r="J601" s="47" t="s">
        <v>1241</v>
      </c>
    </row>
    <row r="602" spans="1:10" x14ac:dyDescent="0.25">
      <c r="A602" s="129" t="str">
        <f t="shared" si="12"/>
        <v>2075131</v>
      </c>
      <c r="B602" s="47">
        <v>207</v>
      </c>
      <c r="C602" s="47">
        <v>5131</v>
      </c>
      <c r="D602" s="47">
        <v>50007</v>
      </c>
      <c r="E602" s="47" t="s">
        <v>530</v>
      </c>
      <c r="F602" s="11">
        <v>40196</v>
      </c>
      <c r="G602" s="47">
        <v>12</v>
      </c>
      <c r="H602" s="48">
        <v>2299.6709999999998</v>
      </c>
      <c r="I602" s="47" t="s">
        <v>1130</v>
      </c>
      <c r="J602" s="47" t="s">
        <v>1241</v>
      </c>
    </row>
    <row r="603" spans="1:10" x14ac:dyDescent="0.25">
      <c r="A603" s="129" t="str">
        <f t="shared" si="12"/>
        <v>2075999</v>
      </c>
      <c r="B603" s="47">
        <v>207</v>
      </c>
      <c r="C603" s="47">
        <v>5999</v>
      </c>
      <c r="D603" s="47">
        <v>50001</v>
      </c>
      <c r="E603" s="47" t="s">
        <v>549</v>
      </c>
      <c r="F603" s="11">
        <v>40707</v>
      </c>
      <c r="G603" s="47">
        <v>12</v>
      </c>
      <c r="H603" s="48">
        <v>2299.6709999999998</v>
      </c>
      <c r="I603" s="47" t="s">
        <v>1178</v>
      </c>
      <c r="J603" s="47" t="s">
        <v>1218</v>
      </c>
    </row>
    <row r="604" spans="1:10" x14ac:dyDescent="0.25">
      <c r="A604" s="129" t="str">
        <f t="shared" si="12"/>
        <v>2076144</v>
      </c>
      <c r="B604" s="47">
        <v>207</v>
      </c>
      <c r="C604" s="47">
        <v>6144</v>
      </c>
      <c r="D604" s="47">
        <v>50007</v>
      </c>
      <c r="E604" s="47" t="s">
        <v>415</v>
      </c>
      <c r="F604" s="11">
        <v>40910</v>
      </c>
      <c r="G604" s="47">
        <v>10</v>
      </c>
      <c r="H604" s="48">
        <v>3266.5709999999999</v>
      </c>
      <c r="I604" s="47" t="s">
        <v>1128</v>
      </c>
      <c r="J604" s="47" t="s">
        <v>1241</v>
      </c>
    </row>
    <row r="605" spans="1:10" x14ac:dyDescent="0.25">
      <c r="A605" s="129" t="str">
        <f t="shared" ref="A605:A635" si="13">B605&amp;C605</f>
        <v>2076584</v>
      </c>
      <c r="B605" s="47">
        <v>207</v>
      </c>
      <c r="C605" s="47">
        <v>6584</v>
      </c>
      <c r="D605" s="47">
        <v>50003</v>
      </c>
      <c r="E605" s="47" t="s">
        <v>762</v>
      </c>
      <c r="F605" s="11">
        <v>41232</v>
      </c>
      <c r="G605" s="47">
        <v>10</v>
      </c>
      <c r="H605" s="48">
        <v>2299.4564999999998</v>
      </c>
      <c r="I605" s="47" t="s">
        <v>1166</v>
      </c>
      <c r="J605" s="47" t="s">
        <v>1242</v>
      </c>
    </row>
    <row r="606" spans="1:10" x14ac:dyDescent="0.25">
      <c r="A606" s="129" t="str">
        <f t="shared" si="13"/>
        <v>2076864</v>
      </c>
      <c r="B606" s="47">
        <v>207</v>
      </c>
      <c r="C606" s="47">
        <v>6864</v>
      </c>
      <c r="D606" s="47">
        <v>50007</v>
      </c>
      <c r="E606" s="47" t="s">
        <v>675</v>
      </c>
      <c r="F606" s="11">
        <v>41477</v>
      </c>
      <c r="G606" s="47">
        <v>10</v>
      </c>
      <c r="H606" s="48">
        <v>4187.2049999999999</v>
      </c>
      <c r="I606" s="47" t="s">
        <v>1139</v>
      </c>
      <c r="J606" s="47" t="s">
        <v>1241</v>
      </c>
    </row>
    <row r="607" spans="1:10" x14ac:dyDescent="0.25">
      <c r="A607" s="129" t="str">
        <f t="shared" si="13"/>
        <v>2082866</v>
      </c>
      <c r="B607" s="47">
        <v>208</v>
      </c>
      <c r="C607" s="47">
        <v>2866</v>
      </c>
      <c r="D607" s="47">
        <v>50007</v>
      </c>
      <c r="E607" s="47" t="s">
        <v>248</v>
      </c>
      <c r="F607" s="11">
        <v>39283</v>
      </c>
      <c r="G607" s="47">
        <v>10</v>
      </c>
      <c r="H607" s="48">
        <v>2299.4564999999998</v>
      </c>
      <c r="I607" s="47" t="s">
        <v>1141</v>
      </c>
      <c r="J607" s="47" t="s">
        <v>1241</v>
      </c>
    </row>
    <row r="608" spans="1:10" x14ac:dyDescent="0.25">
      <c r="A608" s="129" t="str">
        <f t="shared" si="13"/>
        <v>2082900</v>
      </c>
      <c r="B608" s="47">
        <v>208</v>
      </c>
      <c r="C608" s="47">
        <v>2900</v>
      </c>
      <c r="D608" s="47">
        <v>50007</v>
      </c>
      <c r="E608" s="139" t="s">
        <v>1034</v>
      </c>
      <c r="F608" s="11">
        <v>39295</v>
      </c>
      <c r="G608" s="47">
        <v>10</v>
      </c>
      <c r="H608" s="48">
        <v>2299.4564999999998</v>
      </c>
      <c r="I608" s="47" t="s">
        <v>1141</v>
      </c>
      <c r="J608" s="47" t="s">
        <v>1241</v>
      </c>
    </row>
    <row r="609" spans="1:10" x14ac:dyDescent="0.25">
      <c r="A609" s="129" t="str">
        <f t="shared" si="13"/>
        <v>2082982</v>
      </c>
      <c r="B609" s="47">
        <v>208</v>
      </c>
      <c r="C609" s="47">
        <v>2982</v>
      </c>
      <c r="D609" s="47">
        <v>50007</v>
      </c>
      <c r="E609" s="139" t="s">
        <v>861</v>
      </c>
      <c r="F609" s="11">
        <v>39302</v>
      </c>
      <c r="G609" s="47">
        <v>10</v>
      </c>
      <c r="H609" s="48">
        <v>2299.4564999999998</v>
      </c>
      <c r="I609" s="47" t="s">
        <v>1138</v>
      </c>
      <c r="J609" s="47" t="s">
        <v>1241</v>
      </c>
    </row>
    <row r="610" spans="1:10" x14ac:dyDescent="0.25">
      <c r="A610" s="129" t="str">
        <f t="shared" si="13"/>
        <v>2083151</v>
      </c>
      <c r="B610" s="47">
        <v>208</v>
      </c>
      <c r="C610" s="47">
        <v>3151</v>
      </c>
      <c r="D610" s="47">
        <v>50007</v>
      </c>
      <c r="E610" s="139" t="s">
        <v>898</v>
      </c>
      <c r="F610" s="11">
        <v>39364</v>
      </c>
      <c r="G610" s="47">
        <v>10</v>
      </c>
      <c r="H610" s="48">
        <v>2719.5299999999997</v>
      </c>
      <c r="I610" s="47" t="s">
        <v>1185</v>
      </c>
      <c r="J610" s="47" t="s">
        <v>1241</v>
      </c>
    </row>
    <row r="611" spans="1:10" x14ac:dyDescent="0.25">
      <c r="A611" s="129" t="str">
        <f t="shared" si="13"/>
        <v>2083155</v>
      </c>
      <c r="B611" s="47">
        <v>208</v>
      </c>
      <c r="C611" s="47">
        <v>3155</v>
      </c>
      <c r="D611" s="47">
        <v>50007</v>
      </c>
      <c r="E611" s="47" t="s">
        <v>750</v>
      </c>
      <c r="F611" s="11">
        <v>39365</v>
      </c>
      <c r="G611" s="47">
        <v>9</v>
      </c>
      <c r="H611" s="48">
        <v>3219.6284999999998</v>
      </c>
      <c r="I611" s="47" t="s">
        <v>1141</v>
      </c>
      <c r="J611" s="47" t="s">
        <v>1241</v>
      </c>
    </row>
    <row r="612" spans="1:10" x14ac:dyDescent="0.25">
      <c r="A612" s="129" t="str">
        <f t="shared" si="13"/>
        <v>2083472</v>
      </c>
      <c r="B612" s="47">
        <v>208</v>
      </c>
      <c r="C612" s="47">
        <v>3472</v>
      </c>
      <c r="D612" s="47">
        <v>50007</v>
      </c>
      <c r="E612" s="47" t="s">
        <v>811</v>
      </c>
      <c r="F612" s="11">
        <v>39450</v>
      </c>
      <c r="G612" s="47">
        <v>13</v>
      </c>
      <c r="H612" s="48">
        <v>3617.46</v>
      </c>
      <c r="I612" s="47" t="s">
        <v>1141</v>
      </c>
      <c r="J612" s="47" t="s">
        <v>1241</v>
      </c>
    </row>
    <row r="613" spans="1:10" x14ac:dyDescent="0.25">
      <c r="A613" s="129" t="str">
        <f t="shared" si="13"/>
        <v>2083804</v>
      </c>
      <c r="B613" s="47">
        <v>208</v>
      </c>
      <c r="C613" s="47">
        <v>3804</v>
      </c>
      <c r="D613" s="47">
        <v>50007</v>
      </c>
      <c r="E613" s="47" t="s">
        <v>643</v>
      </c>
      <c r="F613" s="11">
        <v>39549</v>
      </c>
      <c r="G613" s="47">
        <v>13</v>
      </c>
      <c r="H613" s="48">
        <v>2299.4564999999998</v>
      </c>
      <c r="I613" s="47" t="s">
        <v>1141</v>
      </c>
      <c r="J613" s="47" t="s">
        <v>1241</v>
      </c>
    </row>
    <row r="614" spans="1:10" x14ac:dyDescent="0.25">
      <c r="A614" s="129" t="str">
        <f t="shared" si="13"/>
        <v>2083911</v>
      </c>
      <c r="B614" s="47">
        <v>208</v>
      </c>
      <c r="C614" s="47">
        <v>3911</v>
      </c>
      <c r="D614" s="47">
        <v>50001</v>
      </c>
      <c r="E614" s="47" t="s">
        <v>814</v>
      </c>
      <c r="F614" s="11">
        <v>39573</v>
      </c>
      <c r="G614" s="47">
        <v>13</v>
      </c>
      <c r="H614" s="48">
        <v>2299.4564999999998</v>
      </c>
      <c r="I614" s="47" t="s">
        <v>1178</v>
      </c>
      <c r="J614" s="47" t="s">
        <v>1218</v>
      </c>
    </row>
    <row r="615" spans="1:10" x14ac:dyDescent="0.25">
      <c r="A615" s="129" t="str">
        <f t="shared" si="13"/>
        <v>2083912</v>
      </c>
      <c r="B615" s="47">
        <v>208</v>
      </c>
      <c r="C615" s="47">
        <v>3912</v>
      </c>
      <c r="D615" s="47">
        <v>50007</v>
      </c>
      <c r="E615" s="139" t="s">
        <v>996</v>
      </c>
      <c r="F615" s="11">
        <v>39573</v>
      </c>
      <c r="G615" s="47">
        <v>13</v>
      </c>
      <c r="H615" s="48">
        <v>2299.4564999999998</v>
      </c>
      <c r="I615" s="47" t="s">
        <v>1130</v>
      </c>
      <c r="J615" s="47" t="s">
        <v>1241</v>
      </c>
    </row>
    <row r="616" spans="1:10" x14ac:dyDescent="0.25">
      <c r="A616" s="129" t="str">
        <f t="shared" si="13"/>
        <v>2083918</v>
      </c>
      <c r="B616" s="47">
        <v>208</v>
      </c>
      <c r="C616" s="47">
        <v>3918</v>
      </c>
      <c r="D616" s="47">
        <v>50007</v>
      </c>
      <c r="E616" s="139" t="s">
        <v>974</v>
      </c>
      <c r="F616" s="11">
        <v>39573</v>
      </c>
      <c r="G616" s="47">
        <v>13</v>
      </c>
      <c r="H616" s="48">
        <v>3219.6449999999995</v>
      </c>
      <c r="I616" s="47" t="s">
        <v>1121</v>
      </c>
      <c r="J616" s="47" t="s">
        <v>1241</v>
      </c>
    </row>
    <row r="617" spans="1:10" x14ac:dyDescent="0.25">
      <c r="A617" s="129" t="str">
        <f t="shared" si="13"/>
        <v>2084306</v>
      </c>
      <c r="B617" s="47">
        <v>208</v>
      </c>
      <c r="C617" s="47">
        <v>4306</v>
      </c>
      <c r="D617" s="47">
        <v>50007</v>
      </c>
      <c r="E617" s="139" t="s">
        <v>986</v>
      </c>
      <c r="F617" s="11">
        <v>39738</v>
      </c>
      <c r="G617" s="47">
        <v>2</v>
      </c>
      <c r="H617" s="48">
        <v>2299.4564999999998</v>
      </c>
      <c r="I617" s="47" t="s">
        <v>1130</v>
      </c>
      <c r="J617" s="47" t="s">
        <v>1241</v>
      </c>
    </row>
    <row r="618" spans="1:10" x14ac:dyDescent="0.25">
      <c r="A618" s="129" t="str">
        <f t="shared" si="13"/>
        <v>2085056</v>
      </c>
      <c r="B618" s="47">
        <v>208</v>
      </c>
      <c r="C618" s="47">
        <v>5056</v>
      </c>
      <c r="D618" s="47">
        <v>50001</v>
      </c>
      <c r="E618" s="139" t="s">
        <v>961</v>
      </c>
      <c r="F618" s="11">
        <v>40154</v>
      </c>
      <c r="G618" s="47">
        <v>2</v>
      </c>
      <c r="H618" s="48">
        <v>2299.4564999999998</v>
      </c>
      <c r="I618" s="47" t="s">
        <v>1178</v>
      </c>
      <c r="J618" s="47" t="s">
        <v>1218</v>
      </c>
    </row>
    <row r="619" spans="1:10" x14ac:dyDescent="0.25">
      <c r="A619" s="129" t="str">
        <f t="shared" si="13"/>
        <v>2085150</v>
      </c>
      <c r="B619" s="47">
        <v>208</v>
      </c>
      <c r="C619" s="47">
        <v>5150</v>
      </c>
      <c r="D619" s="47">
        <v>50001</v>
      </c>
      <c r="E619" s="47" t="s">
        <v>403</v>
      </c>
      <c r="F619" s="11">
        <v>40197</v>
      </c>
      <c r="G619" s="47">
        <v>2</v>
      </c>
      <c r="H619" s="48">
        <v>3219.5294999999996</v>
      </c>
      <c r="I619" s="47" t="s">
        <v>1178</v>
      </c>
      <c r="J619" s="47" t="s">
        <v>1218</v>
      </c>
    </row>
    <row r="620" spans="1:10" x14ac:dyDescent="0.25">
      <c r="A620" s="129" t="str">
        <f t="shared" si="13"/>
        <v>2085175</v>
      </c>
      <c r="B620" s="47">
        <v>208</v>
      </c>
      <c r="C620" s="47">
        <v>5175</v>
      </c>
      <c r="D620" s="47">
        <v>50007</v>
      </c>
      <c r="E620" s="139" t="s">
        <v>1079</v>
      </c>
      <c r="F620" s="11">
        <v>40211</v>
      </c>
      <c r="G620" s="47">
        <v>2</v>
      </c>
      <c r="H620" s="48">
        <v>2299.4564999999998</v>
      </c>
      <c r="I620" s="47" t="s">
        <v>1121</v>
      </c>
      <c r="J620" s="47" t="s">
        <v>1241</v>
      </c>
    </row>
    <row r="621" spans="1:10" x14ac:dyDescent="0.25">
      <c r="A621" s="129" t="str">
        <f t="shared" si="13"/>
        <v>2085685</v>
      </c>
      <c r="B621" s="47">
        <v>208</v>
      </c>
      <c r="C621" s="47">
        <v>5685</v>
      </c>
      <c r="D621" s="47">
        <v>50007</v>
      </c>
      <c r="E621" s="47" t="s">
        <v>739</v>
      </c>
      <c r="F621" s="11">
        <v>40455</v>
      </c>
      <c r="G621" s="47">
        <v>2</v>
      </c>
      <c r="H621" s="48">
        <v>2299.4564999999998</v>
      </c>
      <c r="I621" s="47" t="s">
        <v>1121</v>
      </c>
      <c r="J621" s="47" t="s">
        <v>1241</v>
      </c>
    </row>
    <row r="622" spans="1:10" x14ac:dyDescent="0.25">
      <c r="A622" s="129" t="str">
        <f t="shared" si="13"/>
        <v>2085775</v>
      </c>
      <c r="B622" s="47">
        <v>208</v>
      </c>
      <c r="C622" s="47">
        <v>5775</v>
      </c>
      <c r="D622" s="47">
        <v>50007</v>
      </c>
      <c r="E622" s="47" t="s">
        <v>371</v>
      </c>
      <c r="F622" s="11">
        <v>40518</v>
      </c>
      <c r="G622" s="47">
        <v>3</v>
      </c>
      <c r="H622" s="48">
        <v>2261.4899999999998</v>
      </c>
      <c r="I622" s="47" t="s">
        <v>1121</v>
      </c>
      <c r="J622" s="47" t="s">
        <v>1241</v>
      </c>
    </row>
    <row r="623" spans="1:10" x14ac:dyDescent="0.25">
      <c r="A623" s="129" t="str">
        <f t="shared" si="13"/>
        <v>2086349</v>
      </c>
      <c r="B623" s="47">
        <v>208</v>
      </c>
      <c r="C623" s="47">
        <v>6349</v>
      </c>
      <c r="D623" s="47">
        <v>50007</v>
      </c>
      <c r="E623" s="47" t="s">
        <v>685</v>
      </c>
      <c r="F623" s="11">
        <v>41078</v>
      </c>
      <c r="G623" s="47">
        <v>3</v>
      </c>
      <c r="H623" s="48">
        <v>4522.9799999999996</v>
      </c>
      <c r="I623" s="47" t="s">
        <v>1139</v>
      </c>
      <c r="J623" s="47" t="s">
        <v>1241</v>
      </c>
    </row>
    <row r="624" spans="1:10" x14ac:dyDescent="0.25">
      <c r="A624" s="129" t="str">
        <f t="shared" si="13"/>
        <v>2086517</v>
      </c>
      <c r="B624" s="47">
        <v>208</v>
      </c>
      <c r="C624" s="47">
        <v>6517</v>
      </c>
      <c r="D624" s="47">
        <v>50007</v>
      </c>
      <c r="E624" s="47" t="s">
        <v>228</v>
      </c>
      <c r="F624" s="11">
        <v>41197</v>
      </c>
      <c r="G624" s="47">
        <v>3</v>
      </c>
      <c r="H624" s="48">
        <v>2261.4899999999998</v>
      </c>
      <c r="I624" s="47" t="s">
        <v>1141</v>
      </c>
      <c r="J624" s="47" t="s">
        <v>1241</v>
      </c>
    </row>
    <row r="625" spans="1:10" x14ac:dyDescent="0.25">
      <c r="A625" s="129" t="str">
        <f t="shared" si="13"/>
        <v>2086550</v>
      </c>
      <c r="B625" s="47">
        <v>208</v>
      </c>
      <c r="C625" s="47">
        <v>6550</v>
      </c>
      <c r="D625" s="47">
        <v>50001</v>
      </c>
      <c r="E625" s="47" t="s">
        <v>163</v>
      </c>
      <c r="F625" s="11">
        <v>41218</v>
      </c>
      <c r="G625" s="47">
        <v>3</v>
      </c>
      <c r="H625" s="48">
        <v>2261.4899999999998</v>
      </c>
      <c r="I625" s="47" t="s">
        <v>1166</v>
      </c>
      <c r="J625" s="47" t="s">
        <v>1218</v>
      </c>
    </row>
    <row r="626" spans="1:10" x14ac:dyDescent="0.25">
      <c r="A626" s="129" t="str">
        <f t="shared" si="13"/>
        <v>2086613</v>
      </c>
      <c r="B626" s="47">
        <v>208</v>
      </c>
      <c r="C626" s="47">
        <v>6613</v>
      </c>
      <c r="D626" s="47">
        <v>50007</v>
      </c>
      <c r="E626" s="47" t="s">
        <v>628</v>
      </c>
      <c r="F626" s="11">
        <v>41253</v>
      </c>
      <c r="G626" s="47">
        <v>3</v>
      </c>
      <c r="H626" s="48">
        <v>2261.4899999999998</v>
      </c>
      <c r="I626" s="47" t="s">
        <v>1121</v>
      </c>
      <c r="J626" s="47" t="s">
        <v>1241</v>
      </c>
    </row>
    <row r="627" spans="1:10" x14ac:dyDescent="0.25">
      <c r="A627" s="129" t="str">
        <f t="shared" si="13"/>
        <v>2086676</v>
      </c>
      <c r="B627" s="47">
        <v>208</v>
      </c>
      <c r="C627" s="47">
        <v>6676</v>
      </c>
      <c r="D627" s="47">
        <v>50007</v>
      </c>
      <c r="E627" s="47" t="s">
        <v>151</v>
      </c>
      <c r="F627" s="11">
        <v>41351</v>
      </c>
      <c r="G627" s="47">
        <v>3</v>
      </c>
      <c r="H627" s="48">
        <v>2722.5</v>
      </c>
      <c r="I627" s="47" t="s">
        <v>1139</v>
      </c>
      <c r="J627" s="47" t="s">
        <v>1241</v>
      </c>
    </row>
    <row r="628" spans="1:10" x14ac:dyDescent="0.25">
      <c r="A628" s="129" t="str">
        <f t="shared" si="13"/>
        <v>2087048</v>
      </c>
      <c r="B628" s="47">
        <v>208</v>
      </c>
      <c r="C628" s="47">
        <v>7048</v>
      </c>
      <c r="D628" s="47">
        <v>50007</v>
      </c>
      <c r="E628" s="139" t="s">
        <v>1028</v>
      </c>
      <c r="F628" s="11">
        <v>40562</v>
      </c>
      <c r="G628" s="47">
        <v>3</v>
      </c>
      <c r="H628" s="48">
        <v>2261.4899999999998</v>
      </c>
      <c r="I628" s="47" t="s">
        <v>1139</v>
      </c>
      <c r="J628" s="47" t="s">
        <v>1241</v>
      </c>
    </row>
    <row r="629" spans="1:10" x14ac:dyDescent="0.25">
      <c r="A629" s="129" t="str">
        <f t="shared" si="13"/>
        <v>2116555</v>
      </c>
      <c r="B629" s="47">
        <v>211</v>
      </c>
      <c r="C629" s="47">
        <v>6555</v>
      </c>
      <c r="D629" s="47">
        <v>50001</v>
      </c>
      <c r="E629" s="47" t="s">
        <v>177</v>
      </c>
      <c r="F629" s="11">
        <v>41218</v>
      </c>
      <c r="G629" s="47">
        <v>3</v>
      </c>
      <c r="H629" s="48">
        <v>2261.4899999999998</v>
      </c>
      <c r="I629" s="47" t="s">
        <v>1166</v>
      </c>
      <c r="J629" s="47" t="s">
        <v>1218</v>
      </c>
    </row>
    <row r="630" spans="1:10" x14ac:dyDescent="0.25">
      <c r="A630" s="129" t="str">
        <f t="shared" si="13"/>
        <v>2142877</v>
      </c>
      <c r="B630" s="47">
        <v>214</v>
      </c>
      <c r="C630" s="47">
        <v>2877</v>
      </c>
      <c r="D630" s="47">
        <v>50007</v>
      </c>
      <c r="E630" s="47" t="s">
        <v>647</v>
      </c>
      <c r="F630" s="11">
        <v>39283</v>
      </c>
      <c r="G630" s="47">
        <v>8</v>
      </c>
      <c r="H630" s="48">
        <v>3219.6284999999998</v>
      </c>
      <c r="I630" s="47" t="s">
        <v>1141</v>
      </c>
      <c r="J630" s="47" t="s">
        <v>1241</v>
      </c>
    </row>
    <row r="631" spans="1:10" x14ac:dyDescent="0.25">
      <c r="A631" s="129" t="str">
        <f t="shared" si="13"/>
        <v>2144196</v>
      </c>
      <c r="B631" s="47">
        <v>214</v>
      </c>
      <c r="C631" s="47">
        <v>4196</v>
      </c>
      <c r="D631" s="47">
        <v>50007</v>
      </c>
      <c r="E631" s="139" t="s">
        <v>884</v>
      </c>
      <c r="F631" s="11">
        <v>39699</v>
      </c>
      <c r="G631" s="47">
        <v>8</v>
      </c>
      <c r="H631" s="48">
        <v>2299.4564999999998</v>
      </c>
      <c r="I631" s="47" t="s">
        <v>1141</v>
      </c>
      <c r="J631" s="47" t="s">
        <v>1241</v>
      </c>
    </row>
    <row r="632" spans="1:10" x14ac:dyDescent="0.25">
      <c r="A632" s="129" t="str">
        <f t="shared" si="13"/>
        <v>2144198</v>
      </c>
      <c r="B632" s="47">
        <v>214</v>
      </c>
      <c r="C632" s="47">
        <v>4198</v>
      </c>
      <c r="D632" s="47">
        <v>50007</v>
      </c>
      <c r="E632" s="47" t="s">
        <v>592</v>
      </c>
      <c r="F632" s="11">
        <v>39700</v>
      </c>
      <c r="G632" s="47">
        <v>8</v>
      </c>
      <c r="H632" s="48">
        <v>4600.893</v>
      </c>
      <c r="I632" s="47" t="s">
        <v>1141</v>
      </c>
      <c r="J632" s="47" t="s">
        <v>1241</v>
      </c>
    </row>
    <row r="633" spans="1:10" x14ac:dyDescent="0.25">
      <c r="A633" s="129" t="str">
        <f t="shared" si="13"/>
        <v>2145445</v>
      </c>
      <c r="B633" s="47">
        <v>214</v>
      </c>
      <c r="C633" s="47">
        <v>5445</v>
      </c>
      <c r="D633" s="47">
        <v>50007</v>
      </c>
      <c r="E633" s="47" t="s">
        <v>396</v>
      </c>
      <c r="F633" s="11">
        <v>40347</v>
      </c>
      <c r="G633" s="47">
        <v>8</v>
      </c>
      <c r="H633" s="48">
        <v>2299.4564999999998</v>
      </c>
      <c r="I633" s="47" t="s">
        <v>1121</v>
      </c>
      <c r="J633" s="47" t="s">
        <v>1241</v>
      </c>
    </row>
    <row r="634" spans="1:10" x14ac:dyDescent="0.25">
      <c r="A634" s="129" t="str">
        <f t="shared" si="13"/>
        <v>2145614</v>
      </c>
      <c r="B634" s="47">
        <v>214</v>
      </c>
      <c r="C634" s="47">
        <v>5614</v>
      </c>
      <c r="D634" s="47">
        <v>50007</v>
      </c>
      <c r="E634" s="47" t="s">
        <v>548</v>
      </c>
      <c r="F634" s="11">
        <v>40427</v>
      </c>
      <c r="G634" s="47">
        <v>8</v>
      </c>
      <c r="H634" s="48">
        <v>2299.4564999999998</v>
      </c>
      <c r="I634" s="47" t="s">
        <v>1121</v>
      </c>
      <c r="J634" s="47" t="s">
        <v>1241</v>
      </c>
    </row>
    <row r="635" spans="1:10" x14ac:dyDescent="0.25">
      <c r="A635" s="129" t="str">
        <f t="shared" si="13"/>
        <v>2146472</v>
      </c>
      <c r="B635" s="47">
        <v>214</v>
      </c>
      <c r="C635" s="47">
        <v>6472</v>
      </c>
      <c r="D635" s="47">
        <v>50007</v>
      </c>
      <c r="E635" s="47" t="s">
        <v>314</v>
      </c>
      <c r="F635" s="11">
        <v>41169</v>
      </c>
      <c r="G635" s="47">
        <v>8</v>
      </c>
      <c r="H635" s="48">
        <v>2299.4564999999998</v>
      </c>
      <c r="I635" s="47" t="s">
        <v>1121</v>
      </c>
      <c r="J635" s="47" t="s">
        <v>1241</v>
      </c>
    </row>
    <row r="636" spans="1:10" x14ac:dyDescent="0.25">
      <c r="A636" s="129" t="str">
        <f t="shared" ref="A636:A676" si="14">B636&amp;C636</f>
        <v>2146587</v>
      </c>
      <c r="B636" s="47">
        <v>214</v>
      </c>
      <c r="C636" s="47">
        <v>6587</v>
      </c>
      <c r="D636" s="47">
        <v>50007</v>
      </c>
      <c r="E636" s="47" t="s">
        <v>65</v>
      </c>
      <c r="F636" s="11">
        <v>41246</v>
      </c>
      <c r="G636" s="47">
        <v>9</v>
      </c>
      <c r="H636" s="48">
        <v>2414.4119999999998</v>
      </c>
      <c r="I636" s="47" t="s">
        <v>1121</v>
      </c>
      <c r="J636" s="47" t="s">
        <v>1241</v>
      </c>
    </row>
    <row r="637" spans="1:10" x14ac:dyDescent="0.25">
      <c r="A637" s="129" t="str">
        <f t="shared" si="14"/>
        <v>2183660</v>
      </c>
      <c r="B637" s="47">
        <v>218</v>
      </c>
      <c r="C637" s="47">
        <v>3660</v>
      </c>
      <c r="D637" s="47">
        <v>50007</v>
      </c>
      <c r="E637" s="47" t="s">
        <v>393</v>
      </c>
      <c r="F637" s="11">
        <v>39522</v>
      </c>
      <c r="G637" s="47">
        <v>9</v>
      </c>
      <c r="H637" s="48">
        <v>2414.4119999999998</v>
      </c>
      <c r="I637" s="47" t="s">
        <v>1138</v>
      </c>
      <c r="J637" s="47" t="s">
        <v>1241</v>
      </c>
    </row>
    <row r="638" spans="1:10" x14ac:dyDescent="0.25">
      <c r="A638" s="129" t="str">
        <f t="shared" si="14"/>
        <v>2184205</v>
      </c>
      <c r="B638" s="47">
        <v>218</v>
      </c>
      <c r="C638" s="47">
        <v>4205</v>
      </c>
      <c r="D638" s="47">
        <v>50007</v>
      </c>
      <c r="E638" s="47" t="s">
        <v>611</v>
      </c>
      <c r="F638" s="11">
        <v>39707</v>
      </c>
      <c r="G638" s="47">
        <v>9</v>
      </c>
      <c r="H638" s="48">
        <v>3353.7569999999996</v>
      </c>
      <c r="I638" s="47" t="s">
        <v>1141</v>
      </c>
      <c r="J638" s="47" t="s">
        <v>1241</v>
      </c>
    </row>
    <row r="639" spans="1:10" x14ac:dyDescent="0.25">
      <c r="A639" s="129" t="str">
        <f t="shared" si="14"/>
        <v>2187108</v>
      </c>
      <c r="B639" s="47">
        <v>218</v>
      </c>
      <c r="C639" s="47">
        <v>7108</v>
      </c>
      <c r="D639" s="47">
        <v>50007</v>
      </c>
      <c r="E639" s="47" t="s">
        <v>791</v>
      </c>
      <c r="F639" s="11">
        <v>41680</v>
      </c>
      <c r="G639" s="47">
        <v>9</v>
      </c>
      <c r="H639" s="48">
        <v>2414.4119999999998</v>
      </c>
      <c r="I639" s="47" t="s">
        <v>1121</v>
      </c>
      <c r="J639" s="47" t="s">
        <v>1241</v>
      </c>
    </row>
    <row r="640" spans="1:10" x14ac:dyDescent="0.25">
      <c r="A640" s="129" t="str">
        <f t="shared" si="14"/>
        <v>2187118</v>
      </c>
      <c r="B640" s="47">
        <v>218</v>
      </c>
      <c r="C640" s="47">
        <v>7118</v>
      </c>
      <c r="D640" s="47">
        <v>50007</v>
      </c>
      <c r="E640" s="139" t="s">
        <v>943</v>
      </c>
      <c r="F640" s="11">
        <v>41680</v>
      </c>
      <c r="G640" s="47">
        <v>9</v>
      </c>
      <c r="H640" s="48">
        <v>2414.4119999999998</v>
      </c>
      <c r="I640" s="47" t="s">
        <v>1121</v>
      </c>
      <c r="J640" s="47" t="s">
        <v>1241</v>
      </c>
    </row>
    <row r="641" spans="1:10" x14ac:dyDescent="0.25">
      <c r="A641" s="129" t="str">
        <f t="shared" si="14"/>
        <v>2187122</v>
      </c>
      <c r="B641" s="47">
        <v>218</v>
      </c>
      <c r="C641" s="47">
        <v>7122</v>
      </c>
      <c r="D641" s="47">
        <v>50007</v>
      </c>
      <c r="E641" s="47" t="s">
        <v>193</v>
      </c>
      <c r="F641" s="11">
        <v>41680</v>
      </c>
      <c r="G641" s="47">
        <v>9</v>
      </c>
      <c r="H641" s="48">
        <v>3617.46</v>
      </c>
      <c r="I641" s="47" t="s">
        <v>1121</v>
      </c>
      <c r="J641" s="47" t="s">
        <v>1241</v>
      </c>
    </row>
    <row r="642" spans="1:10" x14ac:dyDescent="0.25">
      <c r="A642" s="129" t="str">
        <f t="shared" si="14"/>
        <v>2188570</v>
      </c>
      <c r="B642" s="47">
        <v>218</v>
      </c>
      <c r="C642" s="47">
        <v>8570</v>
      </c>
      <c r="D642" s="47">
        <v>50001</v>
      </c>
      <c r="E642" s="139" t="s">
        <v>946</v>
      </c>
      <c r="F642" s="11">
        <v>41687</v>
      </c>
      <c r="G642" s="47">
        <v>3</v>
      </c>
      <c r="H642" s="48">
        <v>1798.5</v>
      </c>
      <c r="I642" s="47" t="s">
        <v>1186</v>
      </c>
      <c r="J642" s="47" t="s">
        <v>1218</v>
      </c>
    </row>
    <row r="643" spans="1:10" x14ac:dyDescent="0.25">
      <c r="A643" s="129" t="str">
        <f t="shared" si="14"/>
        <v>2195144</v>
      </c>
      <c r="B643" s="47">
        <v>219</v>
      </c>
      <c r="C643" s="47">
        <v>5144</v>
      </c>
      <c r="D643" s="47">
        <v>50007</v>
      </c>
      <c r="E643" s="139" t="s">
        <v>957</v>
      </c>
      <c r="F643" s="11">
        <v>40196</v>
      </c>
      <c r="G643" s="47">
        <v>3</v>
      </c>
      <c r="H643" s="48">
        <v>23941.17</v>
      </c>
      <c r="I643" s="47" t="s">
        <v>1121</v>
      </c>
      <c r="J643" s="47" t="s">
        <v>1241</v>
      </c>
    </row>
    <row r="644" spans="1:10" x14ac:dyDescent="0.25">
      <c r="A644" s="129" t="str">
        <f t="shared" si="14"/>
        <v>220552</v>
      </c>
      <c r="B644" s="47">
        <v>220</v>
      </c>
      <c r="C644" s="47">
        <v>552</v>
      </c>
      <c r="D644" s="47">
        <v>50001</v>
      </c>
      <c r="E644" s="47" t="s">
        <v>427</v>
      </c>
      <c r="F644" s="11">
        <v>40441</v>
      </c>
      <c r="G644" s="47">
        <v>3</v>
      </c>
      <c r="H644" s="48">
        <v>10234.025999999998</v>
      </c>
      <c r="I644" s="47" t="s">
        <v>107</v>
      </c>
      <c r="J644" s="47" t="s">
        <v>1218</v>
      </c>
    </row>
    <row r="645" spans="1:10" x14ac:dyDescent="0.25">
      <c r="A645" s="129" t="str">
        <f t="shared" si="14"/>
        <v>2203049</v>
      </c>
      <c r="B645" s="47">
        <v>220</v>
      </c>
      <c r="C645" s="47">
        <v>3049</v>
      </c>
      <c r="D645" s="47">
        <v>50007</v>
      </c>
      <c r="E645" s="47" t="s">
        <v>390</v>
      </c>
      <c r="F645" s="11">
        <v>39326</v>
      </c>
      <c r="G645" s="47">
        <v>3</v>
      </c>
      <c r="H645" s="48">
        <v>7080.3150000000005</v>
      </c>
      <c r="I645" s="47" t="s">
        <v>1141</v>
      </c>
      <c r="J645" s="47" t="s">
        <v>1241</v>
      </c>
    </row>
    <row r="646" spans="1:10" x14ac:dyDescent="0.25">
      <c r="A646" s="129" t="str">
        <f t="shared" si="14"/>
        <v>2203801</v>
      </c>
      <c r="B646" s="47">
        <v>220</v>
      </c>
      <c r="C646" s="47">
        <v>3801</v>
      </c>
      <c r="D646" s="47">
        <v>50007</v>
      </c>
      <c r="E646" s="47" t="s">
        <v>501</v>
      </c>
      <c r="F646" s="11">
        <v>39549</v>
      </c>
      <c r="G646" s="47">
        <v>3</v>
      </c>
      <c r="H646" s="48">
        <v>3811.5</v>
      </c>
      <c r="I646" s="47" t="s">
        <v>1141</v>
      </c>
      <c r="J646" s="47" t="s">
        <v>1241</v>
      </c>
    </row>
    <row r="647" spans="1:10" x14ac:dyDescent="0.25">
      <c r="A647" s="129" t="str">
        <f t="shared" si="14"/>
        <v>2203902</v>
      </c>
      <c r="B647" s="47">
        <v>220</v>
      </c>
      <c r="C647" s="47">
        <v>3902</v>
      </c>
      <c r="D647" s="47">
        <v>50007</v>
      </c>
      <c r="E647" s="47" t="s">
        <v>591</v>
      </c>
      <c r="F647" s="11">
        <v>39570</v>
      </c>
      <c r="G647" s="47">
        <v>3</v>
      </c>
      <c r="H647" s="48">
        <v>5900.5649999999996</v>
      </c>
      <c r="I647" s="47" t="s">
        <v>1141</v>
      </c>
      <c r="J647" s="47" t="s">
        <v>1241</v>
      </c>
    </row>
    <row r="648" spans="1:10" x14ac:dyDescent="0.25">
      <c r="A648" s="129" t="str">
        <f t="shared" si="14"/>
        <v>2212984</v>
      </c>
      <c r="B648" s="47">
        <v>221</v>
      </c>
      <c r="C648" s="47">
        <v>2984</v>
      </c>
      <c r="D648" s="47">
        <v>50007</v>
      </c>
      <c r="E648" s="47" t="s">
        <v>484</v>
      </c>
      <c r="F648" s="11">
        <v>39303</v>
      </c>
      <c r="G648" s="47">
        <v>3</v>
      </c>
      <c r="H648" s="48">
        <v>2499.2550000000001</v>
      </c>
      <c r="I648" s="47" t="s">
        <v>1138</v>
      </c>
      <c r="J648" s="47" t="s">
        <v>1241</v>
      </c>
    </row>
    <row r="649" spans="1:10" x14ac:dyDescent="0.25">
      <c r="A649" s="129" t="str">
        <f t="shared" si="14"/>
        <v>2216408</v>
      </c>
      <c r="B649" s="47">
        <v>221</v>
      </c>
      <c r="C649" s="47">
        <v>6408</v>
      </c>
      <c r="D649" s="47">
        <v>50007</v>
      </c>
      <c r="E649" s="139" t="s">
        <v>982</v>
      </c>
      <c r="F649" s="11">
        <v>41113</v>
      </c>
      <c r="G649" s="47">
        <v>3</v>
      </c>
      <c r="H649" s="48">
        <v>2499.2550000000001</v>
      </c>
      <c r="I649" s="47" t="s">
        <v>1121</v>
      </c>
      <c r="J649" s="47" t="s">
        <v>1241</v>
      </c>
    </row>
    <row r="650" spans="1:10" x14ac:dyDescent="0.25">
      <c r="A650" s="129" t="str">
        <f t="shared" si="14"/>
        <v>2232462</v>
      </c>
      <c r="B650" s="47">
        <v>223</v>
      </c>
      <c r="C650" s="47">
        <v>2462</v>
      </c>
      <c r="D650" s="47">
        <v>50007</v>
      </c>
      <c r="E650" s="47" t="s">
        <v>495</v>
      </c>
      <c r="F650" s="11">
        <v>39295</v>
      </c>
      <c r="G650" s="47">
        <v>3</v>
      </c>
      <c r="H650" s="48">
        <v>2499.2550000000001</v>
      </c>
      <c r="I650" s="47" t="s">
        <v>1187</v>
      </c>
      <c r="J650" s="47" t="s">
        <v>1241</v>
      </c>
    </row>
    <row r="651" spans="1:10" x14ac:dyDescent="0.25">
      <c r="A651" s="129" t="str">
        <f t="shared" si="14"/>
        <v>2233798</v>
      </c>
      <c r="B651" s="47">
        <v>223</v>
      </c>
      <c r="C651" s="47">
        <v>3798</v>
      </c>
      <c r="D651" s="47">
        <v>50001</v>
      </c>
      <c r="E651" s="47" t="s">
        <v>294</v>
      </c>
      <c r="F651" s="11">
        <v>39547</v>
      </c>
      <c r="G651" s="47">
        <v>3</v>
      </c>
      <c r="H651" s="48">
        <v>2813.25</v>
      </c>
      <c r="I651" s="47" t="s">
        <v>1176</v>
      </c>
      <c r="J651" s="47" t="s">
        <v>1218</v>
      </c>
    </row>
    <row r="652" spans="1:10" x14ac:dyDescent="0.25">
      <c r="A652" s="129" t="str">
        <f t="shared" si="14"/>
        <v>2235140</v>
      </c>
      <c r="B652" s="47">
        <v>223</v>
      </c>
      <c r="C652" s="47">
        <v>5140</v>
      </c>
      <c r="D652" s="47">
        <v>50007</v>
      </c>
      <c r="E652" s="139" t="s">
        <v>888</v>
      </c>
      <c r="F652" s="11">
        <v>40196</v>
      </c>
      <c r="G652" s="47">
        <v>3</v>
      </c>
      <c r="H652" s="48">
        <v>8443.3799999999992</v>
      </c>
      <c r="I652" s="47" t="s">
        <v>1121</v>
      </c>
      <c r="J652" s="47" t="s">
        <v>1241</v>
      </c>
    </row>
    <row r="653" spans="1:10" x14ac:dyDescent="0.25">
      <c r="A653" s="129" t="str">
        <f t="shared" si="14"/>
        <v>2236556</v>
      </c>
      <c r="B653" s="47">
        <v>223</v>
      </c>
      <c r="C653" s="47">
        <v>6556</v>
      </c>
      <c r="D653" s="47">
        <v>50001</v>
      </c>
      <c r="E653" s="47" t="s">
        <v>424</v>
      </c>
      <c r="F653" s="11">
        <v>41218</v>
      </c>
      <c r="G653" s="47">
        <v>3</v>
      </c>
      <c r="H653" s="48">
        <v>2499.2550000000001</v>
      </c>
      <c r="I653" s="47" t="s">
        <v>1166</v>
      </c>
      <c r="J653" s="47" t="s">
        <v>1218</v>
      </c>
    </row>
    <row r="654" spans="1:10" x14ac:dyDescent="0.25">
      <c r="A654" s="129" t="str">
        <f t="shared" si="14"/>
        <v>2237075</v>
      </c>
      <c r="B654" s="47">
        <v>223</v>
      </c>
      <c r="C654" s="47">
        <v>7075</v>
      </c>
      <c r="D654" s="47">
        <v>50007</v>
      </c>
      <c r="E654" s="139" t="s">
        <v>1041</v>
      </c>
      <c r="F654" s="11">
        <v>41660</v>
      </c>
      <c r="G654" s="47">
        <v>3</v>
      </c>
      <c r="H654" s="48">
        <v>5900.5649999999996</v>
      </c>
      <c r="I654" s="47" t="s">
        <v>1121</v>
      </c>
      <c r="J654" s="47" t="s">
        <v>1241</v>
      </c>
    </row>
    <row r="655" spans="1:10" x14ac:dyDescent="0.25">
      <c r="A655" s="129" t="str">
        <f t="shared" si="14"/>
        <v>2242924</v>
      </c>
      <c r="B655" s="47">
        <v>224</v>
      </c>
      <c r="C655" s="47">
        <v>2924</v>
      </c>
      <c r="D655" s="47">
        <v>50007</v>
      </c>
      <c r="E655" s="139" t="s">
        <v>939</v>
      </c>
      <c r="F655" s="11">
        <v>39295</v>
      </c>
      <c r="G655" s="47">
        <v>3</v>
      </c>
      <c r="H655" s="48">
        <v>30589.811999999998</v>
      </c>
      <c r="I655" s="47" t="s">
        <v>1141</v>
      </c>
      <c r="J655" s="47" t="s">
        <v>1241</v>
      </c>
    </row>
    <row r="656" spans="1:10" x14ac:dyDescent="0.25">
      <c r="A656" s="129" t="str">
        <f t="shared" si="14"/>
        <v>2243925</v>
      </c>
      <c r="B656" s="47">
        <v>224</v>
      </c>
      <c r="C656" s="47">
        <v>3925</v>
      </c>
      <c r="D656" s="47">
        <v>50001</v>
      </c>
      <c r="E656" s="47" t="s">
        <v>519</v>
      </c>
      <c r="F656" s="11">
        <v>39577</v>
      </c>
      <c r="G656" s="47">
        <v>3</v>
      </c>
      <c r="H656" s="48">
        <v>5900.5649999999996</v>
      </c>
      <c r="I656" s="47" t="s">
        <v>107</v>
      </c>
      <c r="J656" s="47" t="s">
        <v>1218</v>
      </c>
    </row>
    <row r="657" spans="1:10" x14ac:dyDescent="0.25">
      <c r="A657" s="129" t="str">
        <f t="shared" si="14"/>
        <v>2243935</v>
      </c>
      <c r="B657" s="47">
        <v>224</v>
      </c>
      <c r="C657" s="47">
        <v>3935</v>
      </c>
      <c r="D657" s="47">
        <v>50001</v>
      </c>
      <c r="E657" s="47" t="s">
        <v>571</v>
      </c>
      <c r="F657" s="11">
        <v>39577</v>
      </c>
      <c r="G657" s="47">
        <v>3</v>
      </c>
      <c r="H657" s="48">
        <v>2499.2550000000001</v>
      </c>
      <c r="I657" s="47" t="s">
        <v>107</v>
      </c>
      <c r="J657" s="47" t="s">
        <v>1218</v>
      </c>
    </row>
    <row r="658" spans="1:10" x14ac:dyDescent="0.25">
      <c r="A658" s="129" t="str">
        <f t="shared" si="14"/>
        <v>2246090</v>
      </c>
      <c r="B658" s="47">
        <v>224</v>
      </c>
      <c r="C658" s="47">
        <v>6090</v>
      </c>
      <c r="D658" s="47">
        <v>50007</v>
      </c>
      <c r="E658" s="47" t="s">
        <v>378</v>
      </c>
      <c r="F658" s="11">
        <v>39454</v>
      </c>
      <c r="G658" s="47">
        <v>3</v>
      </c>
      <c r="H658" s="48">
        <v>5900.5649999999996</v>
      </c>
      <c r="I658" s="47" t="s">
        <v>1185</v>
      </c>
      <c r="J658" s="47" t="s">
        <v>1241</v>
      </c>
    </row>
    <row r="659" spans="1:10" x14ac:dyDescent="0.25">
      <c r="A659" s="129" t="str">
        <f t="shared" si="14"/>
        <v>2246553</v>
      </c>
      <c r="B659" s="47">
        <v>224</v>
      </c>
      <c r="C659" s="47">
        <v>6553</v>
      </c>
      <c r="D659" s="47">
        <v>50001</v>
      </c>
      <c r="E659" s="47" t="s">
        <v>469</v>
      </c>
      <c r="F659" s="11">
        <v>41218</v>
      </c>
      <c r="G659" s="47">
        <v>3</v>
      </c>
      <c r="H659" s="48">
        <v>2499.2550000000001</v>
      </c>
      <c r="I659" s="47" t="s">
        <v>1166</v>
      </c>
      <c r="J659" s="47" t="s">
        <v>1218</v>
      </c>
    </row>
    <row r="660" spans="1:10" x14ac:dyDescent="0.25">
      <c r="A660" s="129" t="str">
        <f t="shared" si="14"/>
        <v>2246567</v>
      </c>
      <c r="B660" s="47">
        <v>224</v>
      </c>
      <c r="C660" s="47">
        <v>6567</v>
      </c>
      <c r="D660" s="47">
        <v>50001</v>
      </c>
      <c r="E660" s="47" t="s">
        <v>587</v>
      </c>
      <c r="F660" s="11">
        <v>41218</v>
      </c>
      <c r="G660" s="47">
        <v>3</v>
      </c>
      <c r="H660" s="48">
        <v>12728.5455</v>
      </c>
      <c r="I660" s="47" t="s">
        <v>1166</v>
      </c>
      <c r="J660" s="47" t="s">
        <v>1218</v>
      </c>
    </row>
    <row r="661" spans="1:10" x14ac:dyDescent="0.25">
      <c r="A661" s="129" t="str">
        <f t="shared" si="14"/>
        <v>226540</v>
      </c>
      <c r="B661" s="47">
        <v>226</v>
      </c>
      <c r="C661" s="47">
        <v>540</v>
      </c>
      <c r="D661" s="47">
        <v>22700</v>
      </c>
      <c r="E661" s="139" t="s">
        <v>979</v>
      </c>
      <c r="F661" s="11">
        <v>40378</v>
      </c>
      <c r="G661" s="47">
        <v>3</v>
      </c>
      <c r="H661" s="48">
        <v>2499.2550000000001</v>
      </c>
      <c r="I661" s="47" t="s">
        <v>1188</v>
      </c>
      <c r="J661" s="47" t="s">
        <v>1245</v>
      </c>
    </row>
    <row r="662" spans="1:10" x14ac:dyDescent="0.25">
      <c r="A662" s="129" t="str">
        <f t="shared" si="14"/>
        <v>226629</v>
      </c>
      <c r="B662" s="47">
        <v>226</v>
      </c>
      <c r="C662" s="47">
        <v>629</v>
      </c>
      <c r="D662" s="47">
        <v>50003</v>
      </c>
      <c r="E662" s="139" t="s">
        <v>965</v>
      </c>
      <c r="F662" s="11">
        <v>36039</v>
      </c>
      <c r="G662" s="47">
        <v>3</v>
      </c>
      <c r="H662" s="48">
        <v>2499.2550000000001</v>
      </c>
      <c r="I662" s="47" t="s">
        <v>1127</v>
      </c>
      <c r="J662" s="47" t="s">
        <v>1242</v>
      </c>
    </row>
    <row r="663" spans="1:10" x14ac:dyDescent="0.25">
      <c r="A663" s="129" t="str">
        <f t="shared" si="14"/>
        <v>2262800</v>
      </c>
      <c r="B663" s="47">
        <v>226</v>
      </c>
      <c r="C663" s="47">
        <v>2800</v>
      </c>
      <c r="D663" s="47">
        <v>40300</v>
      </c>
      <c r="E663" s="139" t="s">
        <v>860</v>
      </c>
      <c r="F663" s="11">
        <v>39239</v>
      </c>
      <c r="G663" s="47">
        <v>3</v>
      </c>
      <c r="H663" s="48">
        <v>2499.2550000000001</v>
      </c>
      <c r="I663" s="47" t="s">
        <v>1134</v>
      </c>
      <c r="J663" s="47" t="s">
        <v>1237</v>
      </c>
    </row>
    <row r="664" spans="1:10" x14ac:dyDescent="0.25">
      <c r="A664" s="129" t="str">
        <f t="shared" si="14"/>
        <v>2262827</v>
      </c>
      <c r="B664" s="47">
        <v>226</v>
      </c>
      <c r="C664" s="47">
        <v>2827</v>
      </c>
      <c r="D664" s="47">
        <v>40400</v>
      </c>
      <c r="E664" s="47" t="s">
        <v>169</v>
      </c>
      <c r="F664" s="11">
        <v>39270</v>
      </c>
      <c r="G664" s="47">
        <v>3</v>
      </c>
      <c r="H664" s="48">
        <v>2499.2550000000001</v>
      </c>
      <c r="I664" s="47" t="s">
        <v>1189</v>
      </c>
      <c r="J664" s="47" t="s">
        <v>1228</v>
      </c>
    </row>
    <row r="665" spans="1:10" x14ac:dyDescent="0.25">
      <c r="A665" s="129" t="str">
        <f t="shared" si="14"/>
        <v>2262898</v>
      </c>
      <c r="B665" s="47">
        <v>226</v>
      </c>
      <c r="C665" s="47">
        <v>2898</v>
      </c>
      <c r="D665" s="47">
        <v>50001</v>
      </c>
      <c r="E665" s="47" t="s">
        <v>344</v>
      </c>
      <c r="F665" s="11">
        <v>39295</v>
      </c>
      <c r="G665" s="47">
        <v>3</v>
      </c>
      <c r="H665" s="48">
        <v>2940.2999999999997</v>
      </c>
      <c r="I665" s="47" t="s">
        <v>107</v>
      </c>
      <c r="J665" s="47" t="s">
        <v>1218</v>
      </c>
    </row>
    <row r="666" spans="1:10" x14ac:dyDescent="0.25">
      <c r="A666" s="129" t="str">
        <f t="shared" si="14"/>
        <v>2262915</v>
      </c>
      <c r="B666" s="47">
        <v>226</v>
      </c>
      <c r="C666" s="47">
        <v>2915</v>
      </c>
      <c r="D666" s="47">
        <v>40300</v>
      </c>
      <c r="E666" s="47" t="s">
        <v>604</v>
      </c>
      <c r="F666" s="11">
        <v>39295</v>
      </c>
      <c r="G666" s="47">
        <v>3</v>
      </c>
      <c r="H666" s="48">
        <v>2499.2550000000001</v>
      </c>
      <c r="I666" s="47" t="s">
        <v>1134</v>
      </c>
      <c r="J666" s="47" t="s">
        <v>1237</v>
      </c>
    </row>
    <row r="667" spans="1:10" x14ac:dyDescent="0.25">
      <c r="A667" s="129" t="str">
        <f t="shared" si="14"/>
        <v>2262937</v>
      </c>
      <c r="B667" s="47">
        <v>226</v>
      </c>
      <c r="C667" s="47">
        <v>2937</v>
      </c>
      <c r="D667" s="47">
        <v>40400</v>
      </c>
      <c r="E667" s="139" t="s">
        <v>958</v>
      </c>
      <c r="F667" s="11">
        <v>39295</v>
      </c>
      <c r="G667" s="47">
        <v>3</v>
      </c>
      <c r="H667" s="48">
        <v>6352.5</v>
      </c>
      <c r="I667" s="47" t="s">
        <v>1189</v>
      </c>
      <c r="J667" s="47" t="s">
        <v>1228</v>
      </c>
    </row>
    <row r="668" spans="1:10" x14ac:dyDescent="0.25">
      <c r="A668" s="129" t="str">
        <f t="shared" si="14"/>
        <v>2263000</v>
      </c>
      <c r="B668" s="47">
        <v>226</v>
      </c>
      <c r="C668" s="47">
        <v>3000</v>
      </c>
      <c r="D668" s="47">
        <v>50001</v>
      </c>
      <c r="E668" s="139" t="s">
        <v>1019</v>
      </c>
      <c r="F668" s="11">
        <v>39315</v>
      </c>
      <c r="G668" s="47">
        <v>3</v>
      </c>
      <c r="H668" s="48">
        <v>8167.5</v>
      </c>
      <c r="I668" s="47" t="s">
        <v>1190</v>
      </c>
      <c r="J668" s="47" t="s">
        <v>1218</v>
      </c>
    </row>
    <row r="669" spans="1:10" x14ac:dyDescent="0.25">
      <c r="A669" s="129" t="str">
        <f t="shared" si="14"/>
        <v>2263011</v>
      </c>
      <c r="B669" s="47">
        <v>226</v>
      </c>
      <c r="C669" s="47">
        <v>3011</v>
      </c>
      <c r="D669" s="47">
        <v>61400</v>
      </c>
      <c r="E669" s="47" t="s">
        <v>741</v>
      </c>
      <c r="F669" s="11">
        <v>39315</v>
      </c>
      <c r="G669" s="47">
        <v>3</v>
      </c>
      <c r="H669" s="48">
        <v>2499.2550000000001</v>
      </c>
      <c r="I669" s="47" t="s">
        <v>1164</v>
      </c>
      <c r="J669" s="47" t="s">
        <v>1229</v>
      </c>
    </row>
    <row r="670" spans="1:10" x14ac:dyDescent="0.25">
      <c r="A670" s="129" t="str">
        <f t="shared" si="14"/>
        <v>2263128</v>
      </c>
      <c r="B670" s="47">
        <v>226</v>
      </c>
      <c r="C670" s="47">
        <v>3128</v>
      </c>
      <c r="D670" s="47">
        <v>24800</v>
      </c>
      <c r="E670" s="47" t="s">
        <v>749</v>
      </c>
      <c r="F670" s="11">
        <v>39356</v>
      </c>
      <c r="G670" s="47">
        <v>3</v>
      </c>
      <c r="H670" s="48">
        <v>2499.2550000000001</v>
      </c>
      <c r="I670" s="47" t="s">
        <v>1191</v>
      </c>
      <c r="J670" s="47" t="s">
        <v>1227</v>
      </c>
    </row>
    <row r="671" spans="1:10" x14ac:dyDescent="0.25">
      <c r="A671" s="129" t="str">
        <f t="shared" si="14"/>
        <v>2263161</v>
      </c>
      <c r="B671" s="47">
        <v>226</v>
      </c>
      <c r="C671" s="47">
        <v>3161</v>
      </c>
      <c r="D671" s="47">
        <v>40400</v>
      </c>
      <c r="E671" s="139" t="s">
        <v>1076</v>
      </c>
      <c r="F671" s="11">
        <v>39365</v>
      </c>
      <c r="G671" s="47">
        <v>3</v>
      </c>
      <c r="H671" s="48">
        <v>7260</v>
      </c>
      <c r="I671" s="47" t="s">
        <v>1189</v>
      </c>
      <c r="J671" s="47" t="s">
        <v>1228</v>
      </c>
    </row>
    <row r="672" spans="1:10" x14ac:dyDescent="0.25">
      <c r="A672" s="129" t="str">
        <f t="shared" si="14"/>
        <v>2263170</v>
      </c>
      <c r="B672" s="47">
        <v>226</v>
      </c>
      <c r="C672" s="47">
        <v>3170</v>
      </c>
      <c r="D672" s="47">
        <v>21100</v>
      </c>
      <c r="E672" s="47" t="s">
        <v>580</v>
      </c>
      <c r="F672" s="11">
        <v>39365</v>
      </c>
      <c r="G672" s="47">
        <v>3</v>
      </c>
      <c r="H672" s="48">
        <v>2499.2550000000001</v>
      </c>
      <c r="I672" s="47" t="s">
        <v>1192</v>
      </c>
      <c r="J672" s="47" t="s">
        <v>1246</v>
      </c>
    </row>
    <row r="673" spans="1:10" x14ac:dyDescent="0.25">
      <c r="A673" s="129" t="str">
        <f t="shared" si="14"/>
        <v>2263199</v>
      </c>
      <c r="B673" s="47">
        <v>226</v>
      </c>
      <c r="C673" s="47">
        <v>3199</v>
      </c>
      <c r="D673" s="47">
        <v>40400</v>
      </c>
      <c r="E673" s="139" t="s">
        <v>879</v>
      </c>
      <c r="F673" s="11">
        <v>39385</v>
      </c>
      <c r="G673" s="47">
        <v>3</v>
      </c>
      <c r="H673" s="48">
        <v>2499.2550000000001</v>
      </c>
      <c r="I673" s="47" t="s">
        <v>1189</v>
      </c>
      <c r="J673" s="47" t="s">
        <v>1228</v>
      </c>
    </row>
    <row r="674" spans="1:10" x14ac:dyDescent="0.25">
      <c r="A674" s="129" t="str">
        <f t="shared" si="14"/>
        <v>2263520</v>
      </c>
      <c r="B674" s="47">
        <v>226</v>
      </c>
      <c r="C674" s="47">
        <v>3520</v>
      </c>
      <c r="D674" s="47">
        <v>40400</v>
      </c>
      <c r="E674" s="139" t="s">
        <v>887</v>
      </c>
      <c r="F674" s="11">
        <v>39459</v>
      </c>
      <c r="G674" s="47">
        <v>3</v>
      </c>
      <c r="H674" s="48">
        <v>2499.2550000000001</v>
      </c>
      <c r="I674" s="47" t="s">
        <v>1189</v>
      </c>
      <c r="J674" s="47" t="s">
        <v>1228</v>
      </c>
    </row>
    <row r="675" spans="1:10" x14ac:dyDescent="0.25">
      <c r="A675" s="129" t="str">
        <f t="shared" si="14"/>
        <v>2263573</v>
      </c>
      <c r="B675" s="47">
        <v>226</v>
      </c>
      <c r="C675" s="47">
        <v>3573</v>
      </c>
      <c r="D675" s="47">
        <v>22100</v>
      </c>
      <c r="E675" s="47" t="s">
        <v>786</v>
      </c>
      <c r="F675" s="11">
        <v>39479</v>
      </c>
      <c r="G675" s="47">
        <v>3</v>
      </c>
      <c r="H675" s="48">
        <v>2499.2550000000001</v>
      </c>
      <c r="I675" s="47" t="s">
        <v>1193</v>
      </c>
      <c r="J675" s="47" t="s">
        <v>1247</v>
      </c>
    </row>
    <row r="676" spans="1:10" x14ac:dyDescent="0.25">
      <c r="A676" s="129" t="str">
        <f t="shared" si="14"/>
        <v>2263650</v>
      </c>
      <c r="B676" s="47">
        <v>226</v>
      </c>
      <c r="C676" s="47">
        <v>3650</v>
      </c>
      <c r="D676" s="47">
        <v>40400</v>
      </c>
      <c r="E676" s="139" t="s">
        <v>942</v>
      </c>
      <c r="F676" s="11">
        <v>39521</v>
      </c>
      <c r="G676" s="47">
        <v>3</v>
      </c>
      <c r="H676" s="48">
        <v>2499.2550000000001</v>
      </c>
      <c r="I676" s="47" t="s">
        <v>1189</v>
      </c>
      <c r="J676" s="47" t="s">
        <v>1228</v>
      </c>
    </row>
    <row r="677" spans="1:10" x14ac:dyDescent="0.25">
      <c r="A677" s="129" t="str">
        <f t="shared" ref="A677:A711" si="15">B677&amp;C677</f>
        <v>2263726</v>
      </c>
      <c r="B677" s="47">
        <v>226</v>
      </c>
      <c r="C677" s="47">
        <v>3726</v>
      </c>
      <c r="D677" s="47">
        <v>40400</v>
      </c>
      <c r="E677" s="139" t="s">
        <v>932</v>
      </c>
      <c r="F677" s="11">
        <v>39539</v>
      </c>
      <c r="G677" s="47">
        <v>16</v>
      </c>
      <c r="H677" s="48">
        <v>2262.018</v>
      </c>
      <c r="I677" s="47" t="s">
        <v>1189</v>
      </c>
      <c r="J677" s="47" t="s">
        <v>1228</v>
      </c>
    </row>
    <row r="678" spans="1:10" x14ac:dyDescent="0.25">
      <c r="A678" s="129" t="str">
        <f t="shared" si="15"/>
        <v>2263817</v>
      </c>
      <c r="B678" s="47">
        <v>226</v>
      </c>
      <c r="C678" s="47">
        <v>3817</v>
      </c>
      <c r="D678" s="47">
        <v>50001</v>
      </c>
      <c r="E678" s="47" t="s">
        <v>610</v>
      </c>
      <c r="F678" s="11">
        <v>39554</v>
      </c>
      <c r="G678" s="47">
        <v>16</v>
      </c>
      <c r="H678" s="48">
        <v>2262.018</v>
      </c>
      <c r="I678" s="47" t="s">
        <v>1190</v>
      </c>
      <c r="J678" s="47" t="s">
        <v>1218</v>
      </c>
    </row>
    <row r="679" spans="1:10" x14ac:dyDescent="0.25">
      <c r="A679" s="129" t="str">
        <f t="shared" si="15"/>
        <v>2263901</v>
      </c>
      <c r="B679" s="47">
        <v>226</v>
      </c>
      <c r="C679" s="47">
        <v>3901</v>
      </c>
      <c r="D679" s="47">
        <v>70610</v>
      </c>
      <c r="E679" s="47" t="s">
        <v>722</v>
      </c>
      <c r="F679" s="11">
        <v>39570</v>
      </c>
      <c r="G679" s="47">
        <v>16</v>
      </c>
      <c r="H679" s="48">
        <v>2262.0345000000002</v>
      </c>
      <c r="I679" s="47" t="s">
        <v>1194</v>
      </c>
      <c r="J679" s="47" t="s">
        <v>1248</v>
      </c>
    </row>
    <row r="680" spans="1:10" x14ac:dyDescent="0.25">
      <c r="A680" s="129" t="str">
        <f t="shared" si="15"/>
        <v>2263938</v>
      </c>
      <c r="B680" s="47">
        <v>226</v>
      </c>
      <c r="C680" s="47">
        <v>3938</v>
      </c>
      <c r="D680" s="47">
        <v>21300</v>
      </c>
      <c r="E680" s="47" t="s">
        <v>661</v>
      </c>
      <c r="F680" s="11">
        <v>39588</v>
      </c>
      <c r="G680" s="47">
        <v>16</v>
      </c>
      <c r="H680" s="48">
        <v>4867.6154999999999</v>
      </c>
      <c r="I680" s="47" t="s">
        <v>1143</v>
      </c>
      <c r="J680" s="47" t="s">
        <v>1223</v>
      </c>
    </row>
    <row r="681" spans="1:10" x14ac:dyDescent="0.25">
      <c r="A681" s="129" t="str">
        <f t="shared" si="15"/>
        <v>2264070</v>
      </c>
      <c r="B681" s="47">
        <v>226</v>
      </c>
      <c r="C681" s="47">
        <v>4070</v>
      </c>
      <c r="D681" s="47">
        <v>24800</v>
      </c>
      <c r="E681" s="139" t="s">
        <v>1013</v>
      </c>
      <c r="F681" s="11">
        <v>39633</v>
      </c>
      <c r="G681" s="47">
        <v>16</v>
      </c>
      <c r="H681" s="48">
        <v>3166.4654999999998</v>
      </c>
      <c r="I681" s="47" t="s">
        <v>1191</v>
      </c>
      <c r="J681" s="47" t="s">
        <v>1227</v>
      </c>
    </row>
    <row r="682" spans="1:10" x14ac:dyDescent="0.25">
      <c r="A682" s="129" t="str">
        <f t="shared" si="15"/>
        <v>2264294</v>
      </c>
      <c r="B682" s="47">
        <v>226</v>
      </c>
      <c r="C682" s="47">
        <v>4294</v>
      </c>
      <c r="D682" s="47">
        <v>40400</v>
      </c>
      <c r="E682" s="47" t="s">
        <v>836</v>
      </c>
      <c r="F682" s="11">
        <v>39735</v>
      </c>
      <c r="G682" s="47">
        <v>16</v>
      </c>
      <c r="H682" s="48">
        <v>2262.018</v>
      </c>
      <c r="I682" s="47" t="s">
        <v>1195</v>
      </c>
      <c r="J682" s="47" t="s">
        <v>1228</v>
      </c>
    </row>
    <row r="683" spans="1:10" x14ac:dyDescent="0.25">
      <c r="A683" s="129" t="str">
        <f t="shared" si="15"/>
        <v>2265020</v>
      </c>
      <c r="B683" s="47">
        <v>226</v>
      </c>
      <c r="C683" s="47">
        <v>5020</v>
      </c>
      <c r="D683" s="47">
        <v>50001</v>
      </c>
      <c r="E683" s="139" t="s">
        <v>1043</v>
      </c>
      <c r="F683" s="11">
        <v>40148</v>
      </c>
      <c r="G683" s="47">
        <v>16</v>
      </c>
      <c r="H683" s="48">
        <v>2718.7874999999999</v>
      </c>
      <c r="I683" s="47" t="s">
        <v>1126</v>
      </c>
      <c r="J683" s="47" t="s">
        <v>1218</v>
      </c>
    </row>
    <row r="684" spans="1:10" x14ac:dyDescent="0.25">
      <c r="A684" s="129" t="str">
        <f t="shared" si="15"/>
        <v>2265149</v>
      </c>
      <c r="B684" s="47">
        <v>226</v>
      </c>
      <c r="C684" s="47">
        <v>5149</v>
      </c>
      <c r="D684" s="47">
        <v>50001</v>
      </c>
      <c r="E684" s="47" t="s">
        <v>217</v>
      </c>
      <c r="F684" s="11">
        <v>40197</v>
      </c>
      <c r="G684" s="47">
        <v>3</v>
      </c>
      <c r="H684" s="48">
        <v>2261.4899999999998</v>
      </c>
      <c r="I684" s="47" t="s">
        <v>1126</v>
      </c>
      <c r="J684" s="47" t="s">
        <v>1218</v>
      </c>
    </row>
    <row r="685" spans="1:10" x14ac:dyDescent="0.25">
      <c r="A685" s="129" t="str">
        <f t="shared" si="15"/>
        <v>2265155</v>
      </c>
      <c r="B685" s="47">
        <v>226</v>
      </c>
      <c r="C685" s="47">
        <v>5155</v>
      </c>
      <c r="D685" s="47">
        <v>50001</v>
      </c>
      <c r="E685" s="139" t="s">
        <v>901</v>
      </c>
      <c r="F685" s="11">
        <v>40199</v>
      </c>
      <c r="G685" s="47">
        <v>3</v>
      </c>
      <c r="H685" s="48">
        <v>2261.4899999999998</v>
      </c>
      <c r="I685" s="47" t="s">
        <v>1126</v>
      </c>
      <c r="J685" s="47" t="s">
        <v>1218</v>
      </c>
    </row>
    <row r="686" spans="1:10" x14ac:dyDescent="0.25">
      <c r="A686" s="129" t="str">
        <f t="shared" si="15"/>
        <v>2265202</v>
      </c>
      <c r="B686" s="47">
        <v>226</v>
      </c>
      <c r="C686" s="47">
        <v>5202</v>
      </c>
      <c r="D686" s="47">
        <v>50001</v>
      </c>
      <c r="E686" s="47" t="s">
        <v>783</v>
      </c>
      <c r="F686" s="11">
        <v>40240</v>
      </c>
      <c r="G686" s="47">
        <v>3</v>
      </c>
      <c r="H686" s="48">
        <v>2261.4899999999998</v>
      </c>
      <c r="I686" s="47" t="s">
        <v>1126</v>
      </c>
      <c r="J686" s="47" t="s">
        <v>1218</v>
      </c>
    </row>
    <row r="687" spans="1:10" x14ac:dyDescent="0.25">
      <c r="A687" s="129" t="str">
        <f t="shared" si="15"/>
        <v>2265418</v>
      </c>
      <c r="B687" s="47">
        <v>226</v>
      </c>
      <c r="C687" s="47">
        <v>5418</v>
      </c>
      <c r="D687" s="47">
        <v>22300</v>
      </c>
      <c r="E687" s="47" t="s">
        <v>678</v>
      </c>
      <c r="F687" s="11">
        <v>40333</v>
      </c>
      <c r="G687" s="47">
        <v>3</v>
      </c>
      <c r="H687" s="48">
        <v>4470.0644999999995</v>
      </c>
      <c r="I687" s="47" t="s">
        <v>1196</v>
      </c>
      <c r="J687" s="47" t="s">
        <v>1249</v>
      </c>
    </row>
    <row r="688" spans="1:10" x14ac:dyDescent="0.25">
      <c r="A688" s="129" t="str">
        <f t="shared" si="15"/>
        <v>2265486</v>
      </c>
      <c r="B688" s="47">
        <v>226</v>
      </c>
      <c r="C688" s="47">
        <v>5486</v>
      </c>
      <c r="D688" s="47">
        <v>24700</v>
      </c>
      <c r="E688" s="47" t="s">
        <v>524</v>
      </c>
      <c r="F688" s="11">
        <v>40371</v>
      </c>
      <c r="G688" s="47">
        <v>3</v>
      </c>
      <c r="H688" s="48">
        <v>2261.4899999999998</v>
      </c>
      <c r="I688" s="47" t="s">
        <v>1129</v>
      </c>
      <c r="J688" s="47" t="s">
        <v>1211</v>
      </c>
    </row>
    <row r="689" spans="1:10" x14ac:dyDescent="0.25">
      <c r="A689" s="129" t="str">
        <f t="shared" si="15"/>
        <v>2265546</v>
      </c>
      <c r="B689" s="47">
        <v>226</v>
      </c>
      <c r="C689" s="47">
        <v>5546</v>
      </c>
      <c r="D689" s="47">
        <v>22100</v>
      </c>
      <c r="E689" s="139" t="s">
        <v>903</v>
      </c>
      <c r="F689" s="11">
        <v>40392</v>
      </c>
      <c r="G689" s="47">
        <v>3</v>
      </c>
      <c r="H689" s="48">
        <v>3167.1749999999997</v>
      </c>
      <c r="I689" s="47" t="s">
        <v>1197</v>
      </c>
      <c r="J689" s="47" t="s">
        <v>1247</v>
      </c>
    </row>
    <row r="690" spans="1:10" x14ac:dyDescent="0.25">
      <c r="A690" s="129" t="str">
        <f t="shared" si="15"/>
        <v>2265549</v>
      </c>
      <c r="B690" s="47">
        <v>226</v>
      </c>
      <c r="C690" s="47">
        <v>5549</v>
      </c>
      <c r="D690" s="47">
        <v>24800</v>
      </c>
      <c r="E690" s="47" t="s">
        <v>301</v>
      </c>
      <c r="F690" s="11">
        <v>40392</v>
      </c>
      <c r="G690" s="47">
        <v>19</v>
      </c>
      <c r="H690" s="48">
        <v>3088.7174999999997</v>
      </c>
      <c r="I690" s="47" t="s">
        <v>1149</v>
      </c>
      <c r="J690" s="47" t="s">
        <v>1227</v>
      </c>
    </row>
    <row r="691" spans="1:10" x14ac:dyDescent="0.25">
      <c r="A691" s="129" t="str">
        <f t="shared" si="15"/>
        <v>2265627</v>
      </c>
      <c r="B691" s="47">
        <v>226</v>
      </c>
      <c r="C691" s="47">
        <v>5627</v>
      </c>
      <c r="D691" s="47">
        <v>50001</v>
      </c>
      <c r="E691" s="139" t="s">
        <v>1020</v>
      </c>
      <c r="F691" s="11">
        <v>40427</v>
      </c>
      <c r="G691" s="47">
        <v>19</v>
      </c>
      <c r="H691" s="48">
        <v>2204.6145000000001</v>
      </c>
      <c r="I691" s="47" t="s">
        <v>1126</v>
      </c>
      <c r="J691" s="47" t="s">
        <v>1218</v>
      </c>
    </row>
    <row r="692" spans="1:10" x14ac:dyDescent="0.25">
      <c r="A692" s="129" t="str">
        <f t="shared" si="15"/>
        <v>2265777</v>
      </c>
      <c r="B692" s="47">
        <v>226</v>
      </c>
      <c r="C692" s="47">
        <v>5777</v>
      </c>
      <c r="D692" s="47">
        <v>50001</v>
      </c>
      <c r="E692" s="47" t="s">
        <v>395</v>
      </c>
      <c r="F692" s="11">
        <v>40525</v>
      </c>
      <c r="G692" s="47">
        <v>19</v>
      </c>
      <c r="H692" s="48">
        <v>3300</v>
      </c>
      <c r="I692" s="47" t="s">
        <v>1126</v>
      </c>
      <c r="J692" s="47" t="s">
        <v>1218</v>
      </c>
    </row>
    <row r="693" spans="1:10" x14ac:dyDescent="0.25">
      <c r="A693" s="129" t="str">
        <f t="shared" si="15"/>
        <v>2265781</v>
      </c>
      <c r="B693" s="47">
        <v>226</v>
      </c>
      <c r="C693" s="47">
        <v>5781</v>
      </c>
      <c r="D693" s="47">
        <v>50001</v>
      </c>
      <c r="E693" s="139" t="s">
        <v>1091</v>
      </c>
      <c r="F693" s="11">
        <v>40532</v>
      </c>
      <c r="G693" s="47">
        <v>19</v>
      </c>
      <c r="H693" s="48">
        <v>2204.6145000000001</v>
      </c>
      <c r="I693" s="47" t="s">
        <v>107</v>
      </c>
      <c r="J693" s="47" t="s">
        <v>1218</v>
      </c>
    </row>
    <row r="694" spans="1:10" x14ac:dyDescent="0.25">
      <c r="A694" s="129" t="str">
        <f t="shared" si="15"/>
        <v>2265866</v>
      </c>
      <c r="B694" s="47">
        <v>226</v>
      </c>
      <c r="C694" s="47">
        <v>5866</v>
      </c>
      <c r="D694" s="47">
        <v>24800</v>
      </c>
      <c r="E694" s="47" t="s">
        <v>717</v>
      </c>
      <c r="F694" s="11">
        <v>40672</v>
      </c>
      <c r="G694" s="47">
        <v>3</v>
      </c>
      <c r="H694" s="48">
        <v>3630</v>
      </c>
      <c r="I694" s="47" t="s">
        <v>1149</v>
      </c>
      <c r="J694" s="47" t="s">
        <v>1227</v>
      </c>
    </row>
    <row r="695" spans="1:10" x14ac:dyDescent="0.25">
      <c r="A695" s="129" t="str">
        <f t="shared" si="15"/>
        <v>2265977</v>
      </c>
      <c r="B695" s="47">
        <v>226</v>
      </c>
      <c r="C695" s="47">
        <v>5977</v>
      </c>
      <c r="D695" s="47">
        <v>23300</v>
      </c>
      <c r="E695" s="139" t="s">
        <v>967</v>
      </c>
      <c r="F695" s="11">
        <v>40700</v>
      </c>
      <c r="G695" s="47">
        <v>3</v>
      </c>
      <c r="H695" s="48">
        <v>2261.4899999999998</v>
      </c>
      <c r="I695" s="47" t="s">
        <v>1198</v>
      </c>
      <c r="J695" s="47" t="s">
        <v>1250</v>
      </c>
    </row>
    <row r="696" spans="1:10" x14ac:dyDescent="0.25">
      <c r="A696" s="129" t="str">
        <f t="shared" si="15"/>
        <v>2265978</v>
      </c>
      <c r="B696" s="47">
        <v>226</v>
      </c>
      <c r="C696" s="47">
        <v>5978</v>
      </c>
      <c r="D696" s="47">
        <v>23300</v>
      </c>
      <c r="E696" s="47" t="s">
        <v>538</v>
      </c>
      <c r="F696" s="11">
        <v>40700</v>
      </c>
      <c r="G696" s="47">
        <v>3</v>
      </c>
      <c r="H696" s="48">
        <v>2261.4899999999998</v>
      </c>
      <c r="I696" s="47" t="s">
        <v>1198</v>
      </c>
      <c r="J696" s="47" t="s">
        <v>1250</v>
      </c>
    </row>
    <row r="697" spans="1:10" x14ac:dyDescent="0.25">
      <c r="A697" s="129" t="str">
        <f t="shared" si="15"/>
        <v>2265990</v>
      </c>
      <c r="B697" s="47">
        <v>226</v>
      </c>
      <c r="C697" s="47">
        <v>5990</v>
      </c>
      <c r="D697" s="47">
        <v>22700</v>
      </c>
      <c r="E697" s="139" t="s">
        <v>908</v>
      </c>
      <c r="F697" s="11">
        <v>40700</v>
      </c>
      <c r="G697" s="47">
        <v>3</v>
      </c>
      <c r="H697" s="48">
        <v>2261.4899999999998</v>
      </c>
      <c r="I697" s="47" t="s">
        <v>1199</v>
      </c>
      <c r="J697" s="47" t="s">
        <v>1245</v>
      </c>
    </row>
    <row r="698" spans="1:10" x14ac:dyDescent="0.25">
      <c r="A698" s="129" t="str">
        <f t="shared" si="15"/>
        <v>2266187</v>
      </c>
      <c r="B698" s="47">
        <v>226</v>
      </c>
      <c r="C698" s="47">
        <v>6187</v>
      </c>
      <c r="D698" s="47">
        <v>22300</v>
      </c>
      <c r="E698" s="47" t="s">
        <v>242</v>
      </c>
      <c r="F698" s="11">
        <v>40924</v>
      </c>
      <c r="G698" s="47">
        <v>3</v>
      </c>
      <c r="H698" s="48">
        <v>3167.1749999999997</v>
      </c>
      <c r="I698" s="47" t="s">
        <v>1200</v>
      </c>
      <c r="J698" s="47" t="s">
        <v>1249</v>
      </c>
    </row>
    <row r="699" spans="1:10" x14ac:dyDescent="0.25">
      <c r="A699" s="129" t="str">
        <f t="shared" si="15"/>
        <v>2266334</v>
      </c>
      <c r="B699" s="47">
        <v>226</v>
      </c>
      <c r="C699" s="47">
        <v>6334</v>
      </c>
      <c r="D699" s="47">
        <v>30300</v>
      </c>
      <c r="E699" s="47" t="s">
        <v>244</v>
      </c>
      <c r="F699" s="11">
        <v>40764</v>
      </c>
      <c r="G699" s="47">
        <v>3</v>
      </c>
      <c r="H699" s="48">
        <v>2261.4899999999998</v>
      </c>
      <c r="I699" s="47" t="s">
        <v>1201</v>
      </c>
      <c r="J699" s="47" t="s">
        <v>1224</v>
      </c>
    </row>
    <row r="700" spans="1:10" x14ac:dyDescent="0.25">
      <c r="A700" s="129" t="str">
        <f t="shared" si="15"/>
        <v>2266370</v>
      </c>
      <c r="B700" s="47">
        <v>226</v>
      </c>
      <c r="C700" s="47">
        <v>6370</v>
      </c>
      <c r="D700" s="47">
        <v>61400</v>
      </c>
      <c r="E700" s="139" t="s">
        <v>905</v>
      </c>
      <c r="F700" s="11">
        <v>39426</v>
      </c>
      <c r="G700" s="47">
        <v>3</v>
      </c>
      <c r="H700" s="48">
        <v>2261.4899999999998</v>
      </c>
      <c r="I700" s="47" t="s">
        <v>1154</v>
      </c>
      <c r="J700" s="47" t="s">
        <v>1229</v>
      </c>
    </row>
    <row r="701" spans="1:10" x14ac:dyDescent="0.25">
      <c r="A701" s="129" t="str">
        <f t="shared" si="15"/>
        <v>2266951</v>
      </c>
      <c r="B701" s="47">
        <v>226</v>
      </c>
      <c r="C701" s="47">
        <v>6951</v>
      </c>
      <c r="D701" s="47">
        <v>40400</v>
      </c>
      <c r="E701" s="47" t="s">
        <v>423</v>
      </c>
      <c r="F701" s="11">
        <v>36663</v>
      </c>
      <c r="G701" s="47">
        <v>6</v>
      </c>
      <c r="H701" s="48">
        <v>2147.145</v>
      </c>
      <c r="I701" s="47" t="s">
        <v>1202</v>
      </c>
      <c r="J701" s="47" t="s">
        <v>1228</v>
      </c>
    </row>
    <row r="702" spans="1:10" x14ac:dyDescent="0.25">
      <c r="A702" s="129" t="str">
        <f t="shared" si="15"/>
        <v>2266993</v>
      </c>
      <c r="B702" s="47">
        <v>226</v>
      </c>
      <c r="C702" s="47">
        <v>6993</v>
      </c>
      <c r="D702" s="47">
        <v>50001</v>
      </c>
      <c r="E702" s="47" t="s">
        <v>286</v>
      </c>
      <c r="F702" s="11">
        <v>41456</v>
      </c>
      <c r="G702" s="47">
        <v>6</v>
      </c>
      <c r="H702" s="48">
        <v>2147.145</v>
      </c>
      <c r="I702" s="47" t="s">
        <v>1126</v>
      </c>
      <c r="J702" s="47" t="s">
        <v>1218</v>
      </c>
    </row>
    <row r="703" spans="1:10" x14ac:dyDescent="0.25">
      <c r="A703" s="129" t="str">
        <f t="shared" si="15"/>
        <v>2267028</v>
      </c>
      <c r="B703" s="47">
        <v>226</v>
      </c>
      <c r="C703" s="47">
        <v>7028</v>
      </c>
      <c r="D703" s="47">
        <v>24800</v>
      </c>
      <c r="E703" s="47" t="s">
        <v>622</v>
      </c>
      <c r="F703" s="11">
        <v>41596</v>
      </c>
      <c r="G703" s="47">
        <v>6</v>
      </c>
      <c r="H703" s="48">
        <v>4204.6454999999996</v>
      </c>
      <c r="I703" s="47" t="s">
        <v>1203</v>
      </c>
      <c r="J703" s="47" t="s">
        <v>1227</v>
      </c>
    </row>
    <row r="704" spans="1:10" x14ac:dyDescent="0.25">
      <c r="A704" s="129" t="str">
        <f t="shared" si="15"/>
        <v>2267031</v>
      </c>
      <c r="B704" s="47">
        <v>226</v>
      </c>
      <c r="C704" s="47">
        <v>7031</v>
      </c>
      <c r="D704" s="47">
        <v>24800</v>
      </c>
      <c r="E704" s="139" t="s">
        <v>1062</v>
      </c>
      <c r="F704" s="11">
        <v>41603</v>
      </c>
      <c r="G704" s="47">
        <v>6</v>
      </c>
      <c r="H704" s="48">
        <v>2147.145</v>
      </c>
      <c r="I704" s="47" t="s">
        <v>1191</v>
      </c>
      <c r="J704" s="47" t="s">
        <v>1227</v>
      </c>
    </row>
    <row r="705" spans="1:10" x14ac:dyDescent="0.25">
      <c r="A705" s="129" t="str">
        <f t="shared" si="15"/>
        <v>2267047</v>
      </c>
      <c r="B705" s="47">
        <v>226</v>
      </c>
      <c r="C705" s="47">
        <v>7047</v>
      </c>
      <c r="D705" s="47">
        <v>22700</v>
      </c>
      <c r="E705" s="47" t="s">
        <v>298</v>
      </c>
      <c r="F705" s="11">
        <v>37956</v>
      </c>
      <c r="G705" s="47">
        <v>6</v>
      </c>
      <c r="H705" s="48">
        <v>2147.145</v>
      </c>
      <c r="I705" s="47" t="s">
        <v>1199</v>
      </c>
      <c r="J705" s="47" t="s">
        <v>1245</v>
      </c>
    </row>
    <row r="706" spans="1:10" x14ac:dyDescent="0.25">
      <c r="A706" s="129" t="str">
        <f t="shared" si="15"/>
        <v>2268561</v>
      </c>
      <c r="B706" s="47">
        <v>226</v>
      </c>
      <c r="C706" s="47">
        <v>8561</v>
      </c>
      <c r="D706" s="47">
        <v>61400</v>
      </c>
      <c r="E706" s="139" t="s">
        <v>1003</v>
      </c>
      <c r="F706" s="11">
        <v>39055</v>
      </c>
      <c r="G706" s="47">
        <v>1</v>
      </c>
      <c r="H706" s="48">
        <v>2136.5520000000001</v>
      </c>
      <c r="I706" s="47" t="s">
        <v>1164</v>
      </c>
      <c r="J706" s="47" t="s">
        <v>1229</v>
      </c>
    </row>
    <row r="707" spans="1:10" x14ac:dyDescent="0.25">
      <c r="A707" s="129" t="str">
        <f t="shared" si="15"/>
        <v>2268701</v>
      </c>
      <c r="B707" s="47">
        <v>226</v>
      </c>
      <c r="C707" s="47">
        <v>8701</v>
      </c>
      <c r="D707" s="47">
        <v>50001</v>
      </c>
      <c r="E707" s="47" t="s">
        <v>808</v>
      </c>
      <c r="F707" s="11">
        <v>41799</v>
      </c>
      <c r="G707" s="47">
        <v>14</v>
      </c>
      <c r="H707" s="48">
        <v>2722.5</v>
      </c>
      <c r="I707" s="47" t="s">
        <v>1126</v>
      </c>
      <c r="J707" s="47" t="s">
        <v>1218</v>
      </c>
    </row>
    <row r="708" spans="1:10" x14ac:dyDescent="0.25">
      <c r="A708" s="129" t="str">
        <f t="shared" si="15"/>
        <v>227584</v>
      </c>
      <c r="B708" s="47">
        <v>227</v>
      </c>
      <c r="C708" s="47">
        <v>584</v>
      </c>
      <c r="D708" s="47">
        <v>50007</v>
      </c>
      <c r="E708" s="47" t="s">
        <v>509</v>
      </c>
      <c r="F708" s="11">
        <v>40616</v>
      </c>
      <c r="G708" s="47">
        <v>14</v>
      </c>
      <c r="H708" s="48">
        <v>4509.7635</v>
      </c>
      <c r="I708" s="47" t="s">
        <v>1121</v>
      </c>
      <c r="J708" s="47" t="s">
        <v>1241</v>
      </c>
    </row>
    <row r="709" spans="1:10" x14ac:dyDescent="0.25">
      <c r="A709" s="129" t="str">
        <f t="shared" si="15"/>
        <v>2273047</v>
      </c>
      <c r="B709" s="47">
        <v>227</v>
      </c>
      <c r="C709" s="47">
        <v>3047</v>
      </c>
      <c r="D709" s="47">
        <v>50007</v>
      </c>
      <c r="E709" s="139" t="s">
        <v>968</v>
      </c>
      <c r="F709" s="11">
        <v>39326</v>
      </c>
      <c r="G709" s="47">
        <v>14</v>
      </c>
      <c r="H709" s="48">
        <v>2969.9339999999997</v>
      </c>
      <c r="I709" s="47" t="s">
        <v>1185</v>
      </c>
      <c r="J709" s="47" t="s">
        <v>1241</v>
      </c>
    </row>
    <row r="710" spans="1:10" x14ac:dyDescent="0.25">
      <c r="A710" s="129" t="str">
        <f t="shared" si="15"/>
        <v>2274567</v>
      </c>
      <c r="B710" s="47">
        <v>227</v>
      </c>
      <c r="C710" s="47">
        <v>4567</v>
      </c>
      <c r="D710" s="47">
        <v>50007</v>
      </c>
      <c r="E710" s="139" t="s">
        <v>963</v>
      </c>
      <c r="F710" s="11">
        <v>39934</v>
      </c>
      <c r="G710" s="47">
        <v>14</v>
      </c>
      <c r="H710" s="48">
        <v>2210.4389999999999</v>
      </c>
      <c r="I710" s="47" t="s">
        <v>1141</v>
      </c>
      <c r="J710" s="47" t="s">
        <v>1241</v>
      </c>
    </row>
    <row r="711" spans="1:10" x14ac:dyDescent="0.25">
      <c r="A711" s="129" t="str">
        <f t="shared" si="15"/>
        <v>2274580</v>
      </c>
      <c r="B711" s="47">
        <v>227</v>
      </c>
      <c r="C711" s="47">
        <v>4580</v>
      </c>
      <c r="D711" s="47">
        <v>50007</v>
      </c>
      <c r="E711" s="139" t="s">
        <v>894</v>
      </c>
      <c r="F711" s="11">
        <v>39947</v>
      </c>
      <c r="G711" s="47">
        <v>14</v>
      </c>
      <c r="H711" s="48">
        <v>2210.4555</v>
      </c>
      <c r="I711" s="47" t="s">
        <v>1121</v>
      </c>
      <c r="J711" s="47" t="s">
        <v>1241</v>
      </c>
    </row>
    <row r="712" spans="1:10" x14ac:dyDescent="0.25">
      <c r="A712" s="129" t="str">
        <f t="shared" ref="A712:A775" si="16">B712&amp;C712</f>
        <v>2275126</v>
      </c>
      <c r="B712" s="47">
        <v>227</v>
      </c>
      <c r="C712" s="47">
        <v>5126</v>
      </c>
      <c r="D712" s="47">
        <v>50007</v>
      </c>
      <c r="E712" s="139" t="s">
        <v>955</v>
      </c>
      <c r="F712" s="11">
        <v>40196</v>
      </c>
      <c r="G712" s="47">
        <v>14</v>
      </c>
      <c r="H712" s="48">
        <v>2210.4555</v>
      </c>
      <c r="I712" s="47" t="s">
        <v>1121</v>
      </c>
      <c r="J712" s="47" t="s">
        <v>1241</v>
      </c>
    </row>
    <row r="713" spans="1:10" x14ac:dyDescent="0.25">
      <c r="A713" s="129" t="str">
        <f t="shared" si="16"/>
        <v>2275874</v>
      </c>
      <c r="B713" s="47">
        <v>227</v>
      </c>
      <c r="C713" s="47">
        <v>5874</v>
      </c>
      <c r="D713" s="47">
        <v>50007</v>
      </c>
      <c r="E713" s="139" t="s">
        <v>1112</v>
      </c>
      <c r="F713" s="11">
        <v>40686</v>
      </c>
      <c r="G713" s="47">
        <v>14</v>
      </c>
      <c r="H713" s="48">
        <v>3263.37</v>
      </c>
      <c r="I713" s="47" t="s">
        <v>1121</v>
      </c>
      <c r="J713" s="47" t="s">
        <v>1241</v>
      </c>
    </row>
    <row r="714" spans="1:10" x14ac:dyDescent="0.25">
      <c r="A714" s="129" t="str">
        <f t="shared" si="16"/>
        <v>2276666</v>
      </c>
      <c r="B714" s="47">
        <v>227</v>
      </c>
      <c r="C714" s="47">
        <v>6666</v>
      </c>
      <c r="D714" s="47">
        <v>50002</v>
      </c>
      <c r="E714" s="47" t="s">
        <v>462</v>
      </c>
      <c r="F714" s="11">
        <v>41337</v>
      </c>
      <c r="G714" s="47">
        <v>14</v>
      </c>
      <c r="H714" s="48">
        <v>2124.8534999999997</v>
      </c>
      <c r="I714" s="47" t="s">
        <v>1162</v>
      </c>
      <c r="J714" s="47" t="s">
        <v>1240</v>
      </c>
    </row>
    <row r="715" spans="1:10" x14ac:dyDescent="0.25">
      <c r="A715" s="129" t="str">
        <f t="shared" si="16"/>
        <v>2276669</v>
      </c>
      <c r="B715" s="47">
        <v>227</v>
      </c>
      <c r="C715" s="47">
        <v>6669</v>
      </c>
      <c r="D715" s="47">
        <v>50002</v>
      </c>
      <c r="E715" s="47" t="s">
        <v>516</v>
      </c>
      <c r="F715" s="11">
        <v>41337</v>
      </c>
      <c r="G715" s="47">
        <v>7</v>
      </c>
      <c r="H715" s="48">
        <v>2299.4564999999998</v>
      </c>
      <c r="I715" s="47" t="s">
        <v>1162</v>
      </c>
      <c r="J715" s="47" t="s">
        <v>1240</v>
      </c>
    </row>
    <row r="716" spans="1:10" x14ac:dyDescent="0.25">
      <c r="A716" s="129" t="str">
        <f t="shared" si="16"/>
        <v>2276674</v>
      </c>
      <c r="B716" s="47">
        <v>227</v>
      </c>
      <c r="C716" s="47">
        <v>6674</v>
      </c>
      <c r="D716" s="47">
        <v>50002</v>
      </c>
      <c r="E716" s="139" t="s">
        <v>969</v>
      </c>
      <c r="F716" s="11">
        <v>41344</v>
      </c>
      <c r="G716" s="47">
        <v>7</v>
      </c>
      <c r="H716" s="48">
        <v>2299.4564999999998</v>
      </c>
      <c r="I716" s="47" t="s">
        <v>1162</v>
      </c>
      <c r="J716" s="47" t="s">
        <v>1240</v>
      </c>
    </row>
    <row r="717" spans="1:10" x14ac:dyDescent="0.25">
      <c r="A717" s="129" t="str">
        <f t="shared" si="16"/>
        <v>2278715</v>
      </c>
      <c r="B717" s="47">
        <v>227</v>
      </c>
      <c r="C717" s="47">
        <v>8715</v>
      </c>
      <c r="D717" s="47">
        <v>50002</v>
      </c>
      <c r="E717" s="139" t="s">
        <v>1101</v>
      </c>
      <c r="F717" s="11">
        <v>41806</v>
      </c>
      <c r="G717" s="47">
        <v>7</v>
      </c>
      <c r="H717" s="48">
        <v>3219.6449999999995</v>
      </c>
      <c r="I717" s="47" t="s">
        <v>1162</v>
      </c>
      <c r="J717" s="47" t="s">
        <v>1240</v>
      </c>
    </row>
    <row r="718" spans="1:10" x14ac:dyDescent="0.25">
      <c r="A718" s="129" t="str">
        <f t="shared" si="16"/>
        <v>2293589</v>
      </c>
      <c r="B718" s="47">
        <v>229</v>
      </c>
      <c r="C718" s="47">
        <v>3589</v>
      </c>
      <c r="D718" s="47">
        <v>50007</v>
      </c>
      <c r="E718" s="47" t="s">
        <v>582</v>
      </c>
      <c r="F718" s="11">
        <v>39497</v>
      </c>
      <c r="G718" s="47">
        <v>7</v>
      </c>
      <c r="H718" s="48">
        <v>3617.46</v>
      </c>
      <c r="I718" s="47" t="s">
        <v>1141</v>
      </c>
      <c r="J718" s="47" t="s">
        <v>1241</v>
      </c>
    </row>
    <row r="719" spans="1:10" x14ac:dyDescent="0.25">
      <c r="A719" s="129" t="str">
        <f t="shared" si="16"/>
        <v>2295582</v>
      </c>
      <c r="B719" s="47">
        <v>229</v>
      </c>
      <c r="C719" s="47">
        <v>5582</v>
      </c>
      <c r="D719" s="47">
        <v>50007</v>
      </c>
      <c r="E719" s="139" t="s">
        <v>1036</v>
      </c>
      <c r="F719" s="11">
        <v>40413</v>
      </c>
      <c r="G719" s="47">
        <v>7</v>
      </c>
      <c r="H719" s="48">
        <v>2299.4564999999998</v>
      </c>
      <c r="I719" s="47" t="s">
        <v>1121</v>
      </c>
      <c r="J719" s="47" t="s">
        <v>1241</v>
      </c>
    </row>
    <row r="720" spans="1:10" x14ac:dyDescent="0.25">
      <c r="A720" s="129" t="str">
        <f t="shared" si="16"/>
        <v>2296009</v>
      </c>
      <c r="B720" s="47">
        <v>229</v>
      </c>
      <c r="C720" s="47">
        <v>6009</v>
      </c>
      <c r="D720" s="47">
        <v>50007</v>
      </c>
      <c r="E720" s="47" t="s">
        <v>734</v>
      </c>
      <c r="F720" s="11">
        <v>40714</v>
      </c>
      <c r="G720" s="47">
        <v>7</v>
      </c>
      <c r="H720" s="48">
        <v>2713.0949999999998</v>
      </c>
      <c r="I720" s="47" t="s">
        <v>1121</v>
      </c>
      <c r="J720" s="47" t="s">
        <v>1241</v>
      </c>
    </row>
    <row r="721" spans="1:10" x14ac:dyDescent="0.25">
      <c r="A721" s="129" t="str">
        <f t="shared" si="16"/>
        <v>2296085</v>
      </c>
      <c r="B721" s="47">
        <v>229</v>
      </c>
      <c r="C721" s="47">
        <v>6085</v>
      </c>
      <c r="D721" s="47">
        <v>50007</v>
      </c>
      <c r="E721" s="139" t="s">
        <v>1070</v>
      </c>
      <c r="F721" s="11">
        <v>39307</v>
      </c>
      <c r="G721" s="47">
        <v>7</v>
      </c>
      <c r="H721" s="48">
        <v>2299.4564999999998</v>
      </c>
      <c r="I721" s="47" t="s">
        <v>1141</v>
      </c>
      <c r="J721" s="47" t="s">
        <v>1241</v>
      </c>
    </row>
    <row r="722" spans="1:10" x14ac:dyDescent="0.25">
      <c r="A722" s="129" t="str">
        <f t="shared" si="16"/>
        <v>2296369</v>
      </c>
      <c r="B722" s="47">
        <v>229</v>
      </c>
      <c r="C722" s="47">
        <v>6369</v>
      </c>
      <c r="D722" s="47">
        <v>50007</v>
      </c>
      <c r="E722" s="47" t="s">
        <v>387</v>
      </c>
      <c r="F722" s="11">
        <v>40242</v>
      </c>
      <c r="G722" s="47">
        <v>7</v>
      </c>
      <c r="H722" s="48">
        <v>2299.4564999999998</v>
      </c>
      <c r="I722" s="47" t="s">
        <v>1121</v>
      </c>
      <c r="J722" s="47" t="s">
        <v>1241</v>
      </c>
    </row>
    <row r="723" spans="1:10" x14ac:dyDescent="0.25">
      <c r="A723" s="129" t="str">
        <f t="shared" si="16"/>
        <v>2296596</v>
      </c>
      <c r="B723" s="47">
        <v>229</v>
      </c>
      <c r="C723" s="47">
        <v>6596</v>
      </c>
      <c r="D723" s="47">
        <v>50007</v>
      </c>
      <c r="E723" s="139" t="s">
        <v>910</v>
      </c>
      <c r="F723" s="11">
        <v>41246</v>
      </c>
      <c r="G723" s="47">
        <v>1</v>
      </c>
      <c r="H723" s="48">
        <v>2329.2555000000002</v>
      </c>
      <c r="I723" s="47" t="s">
        <v>1139</v>
      </c>
      <c r="J723" s="47" t="s">
        <v>1241</v>
      </c>
    </row>
    <row r="724" spans="1:10" x14ac:dyDescent="0.25">
      <c r="A724" s="129" t="str">
        <f t="shared" si="16"/>
        <v>230574</v>
      </c>
      <c r="B724" s="47">
        <v>230</v>
      </c>
      <c r="C724" s="47">
        <v>574</v>
      </c>
      <c r="D724" s="47">
        <v>50007</v>
      </c>
      <c r="E724" s="139" t="s">
        <v>954</v>
      </c>
      <c r="F724" s="11">
        <v>40603</v>
      </c>
      <c r="G724" s="47">
        <v>1</v>
      </c>
      <c r="H724" s="48">
        <v>2329.2555000000002</v>
      </c>
      <c r="I724" s="47" t="s">
        <v>1121</v>
      </c>
      <c r="J724" s="47" t="s">
        <v>1241</v>
      </c>
    </row>
    <row r="725" spans="1:10" x14ac:dyDescent="0.25">
      <c r="A725" s="129" t="str">
        <f t="shared" si="16"/>
        <v>2304495</v>
      </c>
      <c r="B725" s="47">
        <v>230</v>
      </c>
      <c r="C725" s="47">
        <v>4495</v>
      </c>
      <c r="D725" s="47">
        <v>50007</v>
      </c>
      <c r="E725" s="139" t="s">
        <v>1072</v>
      </c>
      <c r="F725" s="11">
        <v>39890</v>
      </c>
      <c r="G725" s="47">
        <v>1</v>
      </c>
      <c r="H725" s="48">
        <v>2329.2555000000002</v>
      </c>
      <c r="I725" s="47" t="s">
        <v>1141</v>
      </c>
      <c r="J725" s="47" t="s">
        <v>1241</v>
      </c>
    </row>
    <row r="726" spans="1:10" x14ac:dyDescent="0.25">
      <c r="A726" s="129" t="str">
        <f t="shared" si="16"/>
        <v>2305332</v>
      </c>
      <c r="B726" s="47">
        <v>230</v>
      </c>
      <c r="C726" s="47">
        <v>5332</v>
      </c>
      <c r="D726" s="47">
        <v>50007</v>
      </c>
      <c r="E726" s="47" t="s">
        <v>448</v>
      </c>
      <c r="F726" s="11">
        <v>40299</v>
      </c>
      <c r="G726" s="47">
        <v>1</v>
      </c>
      <c r="H726" s="48">
        <v>3263.3534999999997</v>
      </c>
      <c r="I726" s="47" t="s">
        <v>1187</v>
      </c>
      <c r="J726" s="47" t="s">
        <v>1241</v>
      </c>
    </row>
    <row r="727" spans="1:10" x14ac:dyDescent="0.25">
      <c r="A727" s="129" t="str">
        <f t="shared" si="16"/>
        <v>2305754</v>
      </c>
      <c r="B727" s="47">
        <v>230</v>
      </c>
      <c r="C727" s="47">
        <v>5754</v>
      </c>
      <c r="D727" s="47">
        <v>50007</v>
      </c>
      <c r="E727" s="47" t="s">
        <v>278</v>
      </c>
      <c r="F727" s="11">
        <v>40483</v>
      </c>
      <c r="G727" s="47">
        <v>1</v>
      </c>
      <c r="H727" s="48">
        <v>4404.7574999999997</v>
      </c>
      <c r="I727" s="47" t="s">
        <v>1121</v>
      </c>
      <c r="J727" s="47" t="s">
        <v>1241</v>
      </c>
    </row>
    <row r="728" spans="1:10" x14ac:dyDescent="0.25">
      <c r="A728" s="129" t="str">
        <f t="shared" si="16"/>
        <v>2306120</v>
      </c>
      <c r="B728" s="47">
        <v>230</v>
      </c>
      <c r="C728" s="47">
        <v>6120</v>
      </c>
      <c r="D728" s="47">
        <v>50007</v>
      </c>
      <c r="E728" s="47" t="s">
        <v>794</v>
      </c>
      <c r="F728" s="11">
        <v>40850</v>
      </c>
      <c r="G728" s="47">
        <v>18</v>
      </c>
      <c r="H728" s="48">
        <v>2097.6614999999997</v>
      </c>
      <c r="I728" s="47" t="s">
        <v>1121</v>
      </c>
      <c r="J728" s="47" t="s">
        <v>1241</v>
      </c>
    </row>
    <row r="729" spans="1:10" x14ac:dyDescent="0.25">
      <c r="A729" s="129" t="str">
        <f t="shared" si="16"/>
        <v>2323710</v>
      </c>
      <c r="B729" s="47">
        <v>232</v>
      </c>
      <c r="C729" s="47">
        <v>3710</v>
      </c>
      <c r="D729" s="47">
        <v>50007</v>
      </c>
      <c r="E729" s="47" t="s">
        <v>363</v>
      </c>
      <c r="F729" s="11">
        <v>39531</v>
      </c>
      <c r="G729" s="47">
        <v>18</v>
      </c>
      <c r="H729" s="48">
        <v>2097.6614999999997</v>
      </c>
      <c r="I729" s="47" t="s">
        <v>1141</v>
      </c>
      <c r="J729" s="47" t="s">
        <v>1241</v>
      </c>
    </row>
    <row r="730" spans="1:10" x14ac:dyDescent="0.25">
      <c r="A730" s="129" t="str">
        <f t="shared" si="16"/>
        <v>2324188</v>
      </c>
      <c r="B730" s="47">
        <v>232</v>
      </c>
      <c r="C730" s="47">
        <v>4188</v>
      </c>
      <c r="D730" s="47">
        <v>50007</v>
      </c>
      <c r="E730" s="47" t="s">
        <v>329</v>
      </c>
      <c r="F730" s="11">
        <v>39693</v>
      </c>
      <c r="G730" s="47">
        <v>18</v>
      </c>
      <c r="H730" s="48">
        <v>2097.6614999999997</v>
      </c>
      <c r="I730" s="47" t="s">
        <v>1141</v>
      </c>
      <c r="J730" s="47" t="s">
        <v>1241</v>
      </c>
    </row>
    <row r="731" spans="1:10" x14ac:dyDescent="0.25">
      <c r="A731" s="129" t="str">
        <f t="shared" si="16"/>
        <v>2325649</v>
      </c>
      <c r="B731" s="47">
        <v>232</v>
      </c>
      <c r="C731" s="47">
        <v>5649</v>
      </c>
      <c r="D731" s="47">
        <v>50007</v>
      </c>
      <c r="E731" s="139" t="s">
        <v>906</v>
      </c>
      <c r="F731" s="11">
        <v>40441</v>
      </c>
      <c r="G731" s="47">
        <v>18</v>
      </c>
      <c r="H731" s="48">
        <v>2097.6614999999997</v>
      </c>
      <c r="I731" s="47" t="s">
        <v>1121</v>
      </c>
      <c r="J731" s="47" t="s">
        <v>1241</v>
      </c>
    </row>
    <row r="732" spans="1:10" x14ac:dyDescent="0.25">
      <c r="A732" s="129" t="str">
        <f t="shared" si="16"/>
        <v>2326259</v>
      </c>
      <c r="B732" s="47">
        <v>232</v>
      </c>
      <c r="C732" s="47">
        <v>6259</v>
      </c>
      <c r="D732" s="47">
        <v>50007</v>
      </c>
      <c r="E732" s="47" t="s">
        <v>821</v>
      </c>
      <c r="F732" s="11">
        <v>41015</v>
      </c>
      <c r="G732" s="47">
        <v>18</v>
      </c>
      <c r="H732" s="48">
        <v>2937.0825</v>
      </c>
      <c r="I732" s="47" t="s">
        <v>1121</v>
      </c>
      <c r="J732" s="47" t="s">
        <v>1241</v>
      </c>
    </row>
    <row r="733" spans="1:10" x14ac:dyDescent="0.25">
      <c r="A733" s="129" t="str">
        <f t="shared" si="16"/>
        <v>2326410</v>
      </c>
      <c r="B733" s="47">
        <v>232</v>
      </c>
      <c r="C733" s="47">
        <v>6410</v>
      </c>
      <c r="D733" s="47">
        <v>50007</v>
      </c>
      <c r="E733" s="47" t="s">
        <v>837</v>
      </c>
      <c r="F733" s="11">
        <v>41113</v>
      </c>
      <c r="G733" s="47">
        <v>18</v>
      </c>
      <c r="H733" s="48">
        <v>3300</v>
      </c>
      <c r="I733" s="47" t="s">
        <v>1121</v>
      </c>
      <c r="J733" s="47" t="s">
        <v>1241</v>
      </c>
    </row>
    <row r="734" spans="1:10" x14ac:dyDescent="0.25">
      <c r="A734" s="129" t="str">
        <f t="shared" si="16"/>
        <v>2326937</v>
      </c>
      <c r="B734" s="128">
        <v>232</v>
      </c>
      <c r="C734" s="128">
        <v>6937</v>
      </c>
      <c r="D734" s="128">
        <v>50007</v>
      </c>
      <c r="E734" s="138" t="s">
        <v>542</v>
      </c>
      <c r="F734" s="137">
        <v>41519</v>
      </c>
      <c r="G734" s="47">
        <v>1</v>
      </c>
      <c r="H734" s="48">
        <v>4958.2334999999994</v>
      </c>
      <c r="I734" s="128" t="s">
        <v>1121</v>
      </c>
      <c r="J734" s="128" t="s">
        <v>1241</v>
      </c>
    </row>
    <row r="735" spans="1:10" x14ac:dyDescent="0.25">
      <c r="A735" s="129" t="str">
        <f t="shared" si="16"/>
        <v>233604</v>
      </c>
      <c r="B735" s="128">
        <v>233</v>
      </c>
      <c r="C735" s="128">
        <v>604</v>
      </c>
      <c r="D735" s="128">
        <v>50007</v>
      </c>
      <c r="E735" s="138" t="s">
        <v>492</v>
      </c>
      <c r="F735" s="137">
        <v>40644</v>
      </c>
      <c r="G735" s="47">
        <v>1</v>
      </c>
      <c r="H735" s="48">
        <v>9939.9794999999995</v>
      </c>
      <c r="I735" s="128" t="s">
        <v>1121</v>
      </c>
      <c r="J735" s="128" t="s">
        <v>1241</v>
      </c>
    </row>
    <row r="736" spans="1:10" x14ac:dyDescent="0.25">
      <c r="A736" s="129" t="str">
        <f t="shared" si="16"/>
        <v>2334140</v>
      </c>
      <c r="B736" s="128">
        <v>233</v>
      </c>
      <c r="C736" s="128">
        <v>4140</v>
      </c>
      <c r="D736" s="128">
        <v>50007</v>
      </c>
      <c r="E736" s="138" t="s">
        <v>223</v>
      </c>
      <c r="F736" s="137">
        <v>39680</v>
      </c>
      <c r="G736" s="47">
        <v>1</v>
      </c>
      <c r="H736" s="48">
        <v>10400.197499999998</v>
      </c>
      <c r="I736" s="128" t="s">
        <v>1141</v>
      </c>
      <c r="J736" s="128" t="s">
        <v>1241</v>
      </c>
    </row>
    <row r="737" spans="1:10" x14ac:dyDescent="0.25">
      <c r="A737" s="129" t="str">
        <f t="shared" si="16"/>
        <v>2335123</v>
      </c>
      <c r="B737" s="128">
        <v>233</v>
      </c>
      <c r="C737" s="128">
        <v>5123</v>
      </c>
      <c r="D737" s="128">
        <v>50007</v>
      </c>
      <c r="E737" s="138" t="s">
        <v>451</v>
      </c>
      <c r="F737" s="137">
        <v>40196</v>
      </c>
      <c r="G737" s="47">
        <v>1</v>
      </c>
      <c r="H737" s="48">
        <v>41736.073499999999</v>
      </c>
      <c r="I737" s="128" t="s">
        <v>1121</v>
      </c>
      <c r="J737" s="128" t="s">
        <v>1241</v>
      </c>
    </row>
    <row r="738" spans="1:10" x14ac:dyDescent="0.25">
      <c r="A738" s="129" t="str">
        <f t="shared" si="16"/>
        <v>2336425</v>
      </c>
      <c r="B738" s="128">
        <v>233</v>
      </c>
      <c r="C738" s="128">
        <v>6425</v>
      </c>
      <c r="D738" s="128">
        <v>50007</v>
      </c>
      <c r="E738" s="138" t="s">
        <v>539</v>
      </c>
      <c r="F738" s="137">
        <v>41127</v>
      </c>
      <c r="G738" s="47">
        <v>1</v>
      </c>
      <c r="H738" s="48">
        <v>4958.2334999999994</v>
      </c>
      <c r="I738" s="128" t="s">
        <v>1121</v>
      </c>
      <c r="J738" s="128" t="s">
        <v>1241</v>
      </c>
    </row>
    <row r="739" spans="1:10" x14ac:dyDescent="0.25">
      <c r="A739" s="129" t="str">
        <f t="shared" si="16"/>
        <v>2337022</v>
      </c>
      <c r="B739" s="128">
        <v>233</v>
      </c>
      <c r="C739" s="128">
        <v>7022</v>
      </c>
      <c r="D739" s="128">
        <v>50007</v>
      </c>
      <c r="E739" s="140" t="s">
        <v>1065</v>
      </c>
      <c r="F739" s="137">
        <v>41589</v>
      </c>
      <c r="G739" s="47">
        <v>1</v>
      </c>
      <c r="H739" s="48">
        <v>4722.1184999999996</v>
      </c>
      <c r="I739" s="128" t="s">
        <v>1121</v>
      </c>
      <c r="J739" s="128" t="s">
        <v>1241</v>
      </c>
    </row>
    <row r="740" spans="1:10" x14ac:dyDescent="0.25">
      <c r="A740" s="129" t="str">
        <f t="shared" si="16"/>
        <v>2343926</v>
      </c>
      <c r="B740" s="128">
        <v>234</v>
      </c>
      <c r="C740" s="128">
        <v>3926</v>
      </c>
      <c r="D740" s="128">
        <v>50007</v>
      </c>
      <c r="E740" s="138" t="s">
        <v>391</v>
      </c>
      <c r="F740" s="137">
        <v>39577</v>
      </c>
      <c r="G740" s="47">
        <v>1</v>
      </c>
      <c r="H740" s="48">
        <v>6873.174</v>
      </c>
      <c r="I740" s="128" t="s">
        <v>1141</v>
      </c>
      <c r="J740" s="128" t="s">
        <v>1241</v>
      </c>
    </row>
    <row r="741" spans="1:10" x14ac:dyDescent="0.25">
      <c r="A741" s="129" t="str">
        <f t="shared" si="16"/>
        <v>2344204</v>
      </c>
      <c r="B741" s="128">
        <v>234</v>
      </c>
      <c r="C741" s="128">
        <v>4204</v>
      </c>
      <c r="D741" s="128">
        <v>50007</v>
      </c>
      <c r="E741" s="140" t="s">
        <v>911</v>
      </c>
      <c r="F741" s="137">
        <v>39706</v>
      </c>
      <c r="G741" s="47">
        <v>1</v>
      </c>
      <c r="H741" s="48">
        <v>17678.5785</v>
      </c>
      <c r="I741" s="128" t="s">
        <v>1141</v>
      </c>
      <c r="J741" s="128" t="s">
        <v>1241</v>
      </c>
    </row>
    <row r="742" spans="1:10" x14ac:dyDescent="0.25">
      <c r="A742" s="129" t="str">
        <f t="shared" si="16"/>
        <v>2345587</v>
      </c>
      <c r="B742" s="128">
        <v>234</v>
      </c>
      <c r="C742" s="128">
        <v>5587</v>
      </c>
      <c r="D742" s="128">
        <v>50007</v>
      </c>
      <c r="E742" s="138" t="s">
        <v>624</v>
      </c>
      <c r="F742" s="137">
        <v>40413</v>
      </c>
      <c r="G742" s="47">
        <v>1</v>
      </c>
      <c r="H742" s="48">
        <v>4910.9939999999997</v>
      </c>
      <c r="I742" s="128" t="s">
        <v>1121</v>
      </c>
      <c r="J742" s="128" t="s">
        <v>1241</v>
      </c>
    </row>
    <row r="743" spans="1:10" x14ac:dyDescent="0.25">
      <c r="A743" s="129" t="str">
        <f t="shared" si="16"/>
        <v>2346242</v>
      </c>
      <c r="B743" s="128">
        <v>234</v>
      </c>
      <c r="C743" s="128">
        <v>6242</v>
      </c>
      <c r="D743" s="128">
        <v>50007</v>
      </c>
      <c r="E743" s="138" t="s">
        <v>145</v>
      </c>
      <c r="F743" s="137">
        <v>41001</v>
      </c>
      <c r="G743" s="47">
        <v>1</v>
      </c>
      <c r="H743" s="48">
        <v>3380.6024999999995</v>
      </c>
      <c r="I743" s="128" t="s">
        <v>1121</v>
      </c>
      <c r="J743" s="128" t="s">
        <v>1241</v>
      </c>
    </row>
    <row r="744" spans="1:10" x14ac:dyDescent="0.25">
      <c r="A744" s="129" t="str">
        <f t="shared" si="16"/>
        <v>2346741</v>
      </c>
      <c r="B744" s="128">
        <v>234</v>
      </c>
      <c r="C744" s="128">
        <v>6741</v>
      </c>
      <c r="D744" s="128">
        <v>50007</v>
      </c>
      <c r="E744" s="138" t="s">
        <v>668</v>
      </c>
      <c r="F744" s="137">
        <v>41386</v>
      </c>
      <c r="G744" s="47">
        <v>1</v>
      </c>
      <c r="H744" s="48">
        <v>4282.1129999999994</v>
      </c>
      <c r="I744" s="128" t="s">
        <v>1121</v>
      </c>
      <c r="J744" s="128" t="s">
        <v>1241</v>
      </c>
    </row>
    <row r="745" spans="1:10" x14ac:dyDescent="0.25">
      <c r="A745" s="129" t="str">
        <f t="shared" si="16"/>
        <v>235539</v>
      </c>
      <c r="B745" s="128">
        <v>235</v>
      </c>
      <c r="C745" s="128">
        <v>539</v>
      </c>
      <c r="D745" s="128">
        <v>50007</v>
      </c>
      <c r="E745" s="140" t="s">
        <v>1049</v>
      </c>
      <c r="F745" s="137">
        <v>40318</v>
      </c>
      <c r="G745" s="47">
        <v>1</v>
      </c>
      <c r="H745" s="48">
        <v>2704.4819999999995</v>
      </c>
      <c r="I745" s="128" t="s">
        <v>1121</v>
      </c>
      <c r="J745" s="128" t="s">
        <v>1241</v>
      </c>
    </row>
    <row r="746" spans="1:10" x14ac:dyDescent="0.25">
      <c r="A746" s="129" t="str">
        <f t="shared" si="16"/>
        <v>2356119</v>
      </c>
      <c r="B746" s="128">
        <v>235</v>
      </c>
      <c r="C746" s="128">
        <v>6119</v>
      </c>
      <c r="D746" s="128">
        <v>50007</v>
      </c>
      <c r="E746" s="138" t="s">
        <v>235</v>
      </c>
      <c r="F746" s="137">
        <v>40850</v>
      </c>
      <c r="G746" s="47">
        <v>1</v>
      </c>
      <c r="H746" s="48">
        <v>2704.4819999999995</v>
      </c>
      <c r="I746" s="128" t="s">
        <v>1121</v>
      </c>
      <c r="J746" s="128" t="s">
        <v>1241</v>
      </c>
    </row>
    <row r="747" spans="1:10" x14ac:dyDescent="0.25">
      <c r="A747" s="129" t="str">
        <f t="shared" si="16"/>
        <v>2356317</v>
      </c>
      <c r="B747" s="128">
        <v>235</v>
      </c>
      <c r="C747" s="128">
        <v>6317</v>
      </c>
      <c r="D747" s="128">
        <v>50007</v>
      </c>
      <c r="E747" s="138" t="s">
        <v>284</v>
      </c>
      <c r="F747" s="137">
        <v>41050</v>
      </c>
      <c r="G747" s="47">
        <v>1</v>
      </c>
      <c r="H747" s="48">
        <v>3617.46</v>
      </c>
      <c r="I747" s="128" t="s">
        <v>1121</v>
      </c>
      <c r="J747" s="128" t="s">
        <v>1241</v>
      </c>
    </row>
    <row r="748" spans="1:10" x14ac:dyDescent="0.25">
      <c r="A748" s="129" t="str">
        <f t="shared" si="16"/>
        <v>2356333</v>
      </c>
      <c r="B748" s="128">
        <v>235</v>
      </c>
      <c r="C748" s="128">
        <v>6333</v>
      </c>
      <c r="D748" s="128">
        <v>50007</v>
      </c>
      <c r="E748" s="140" t="s">
        <v>1114</v>
      </c>
      <c r="F748" s="137">
        <v>41071</v>
      </c>
      <c r="G748" s="47">
        <v>1</v>
      </c>
      <c r="H748" s="48">
        <v>3219.6284999999998</v>
      </c>
      <c r="I748" s="128" t="s">
        <v>1121</v>
      </c>
      <c r="J748" s="128" t="s">
        <v>1241</v>
      </c>
    </row>
    <row r="749" spans="1:10" x14ac:dyDescent="0.25">
      <c r="A749" s="129" t="str">
        <f t="shared" si="16"/>
        <v>2356927</v>
      </c>
      <c r="B749" s="128">
        <v>235</v>
      </c>
      <c r="C749" s="128">
        <v>6927</v>
      </c>
      <c r="D749" s="128">
        <v>50007</v>
      </c>
      <c r="E749" s="138" t="s">
        <v>773</v>
      </c>
      <c r="F749" s="137">
        <v>41505</v>
      </c>
      <c r="G749" s="47">
        <v>1</v>
      </c>
      <c r="H749" s="48">
        <v>13821.851999999997</v>
      </c>
      <c r="I749" s="128" t="s">
        <v>1121</v>
      </c>
      <c r="J749" s="128" t="s">
        <v>1241</v>
      </c>
    </row>
    <row r="750" spans="1:10" x14ac:dyDescent="0.25">
      <c r="A750" s="129" t="str">
        <f t="shared" si="16"/>
        <v>2357052</v>
      </c>
      <c r="B750" s="128">
        <v>235</v>
      </c>
      <c r="C750" s="128">
        <v>7052</v>
      </c>
      <c r="D750" s="128">
        <v>50007</v>
      </c>
      <c r="E750" s="138" t="s">
        <v>148</v>
      </c>
      <c r="F750" s="137">
        <v>41624</v>
      </c>
      <c r="G750" s="47">
        <v>1</v>
      </c>
      <c r="H750" s="48">
        <v>6956.0039999999999</v>
      </c>
      <c r="I750" s="128" t="s">
        <v>1121</v>
      </c>
      <c r="J750" s="128" t="s">
        <v>1241</v>
      </c>
    </row>
    <row r="751" spans="1:10" x14ac:dyDescent="0.25">
      <c r="A751" s="129" t="str">
        <f t="shared" si="16"/>
        <v>2364206</v>
      </c>
      <c r="B751" s="128">
        <v>236</v>
      </c>
      <c r="C751" s="128">
        <v>4206</v>
      </c>
      <c r="D751" s="128">
        <v>50007</v>
      </c>
      <c r="E751" s="138" t="s">
        <v>834</v>
      </c>
      <c r="F751" s="137">
        <v>39707</v>
      </c>
      <c r="G751" s="47">
        <v>1</v>
      </c>
      <c r="H751" s="48">
        <v>2704.4819999999995</v>
      </c>
      <c r="I751" s="128" t="s">
        <v>1141</v>
      </c>
      <c r="J751" s="128" t="s">
        <v>1241</v>
      </c>
    </row>
    <row r="752" spans="1:10" x14ac:dyDescent="0.25">
      <c r="A752" s="129" t="str">
        <f t="shared" si="16"/>
        <v>2415290</v>
      </c>
      <c r="B752" s="128">
        <v>241</v>
      </c>
      <c r="C752" s="128">
        <v>5290</v>
      </c>
      <c r="D752" s="128">
        <v>51017</v>
      </c>
      <c r="E752" s="138" t="s">
        <v>265</v>
      </c>
      <c r="F752" s="137">
        <v>40269</v>
      </c>
      <c r="G752" s="47">
        <v>1</v>
      </c>
      <c r="H752" s="48">
        <v>4722.1184999999996</v>
      </c>
      <c r="I752" s="128" t="s">
        <v>1121</v>
      </c>
      <c r="J752" s="128" t="s">
        <v>1241</v>
      </c>
    </row>
    <row r="753" spans="1:10" x14ac:dyDescent="0.25">
      <c r="A753" s="129" t="str">
        <f t="shared" si="16"/>
        <v>2428566</v>
      </c>
      <c r="B753" s="128">
        <v>242</v>
      </c>
      <c r="C753" s="128">
        <v>8566</v>
      </c>
      <c r="D753" s="128">
        <v>51027</v>
      </c>
      <c r="E753" s="140" t="s">
        <v>1056</v>
      </c>
      <c r="F753" s="137">
        <v>41687</v>
      </c>
      <c r="G753" s="47">
        <v>1</v>
      </c>
      <c r="H753" s="48">
        <v>3380.6024999999995</v>
      </c>
      <c r="I753" s="128" t="s">
        <v>1121</v>
      </c>
      <c r="J753" s="128" t="s">
        <v>1251</v>
      </c>
    </row>
    <row r="754" spans="1:10" x14ac:dyDescent="0.25">
      <c r="A754" s="129" t="str">
        <f t="shared" si="16"/>
        <v>2428567</v>
      </c>
      <c r="B754" s="128">
        <v>242</v>
      </c>
      <c r="C754" s="128">
        <v>8567</v>
      </c>
      <c r="D754" s="128">
        <v>51027</v>
      </c>
      <c r="E754" s="138" t="s">
        <v>662</v>
      </c>
      <c r="F754" s="137">
        <v>41687</v>
      </c>
      <c r="G754" s="47">
        <v>1</v>
      </c>
      <c r="H754" s="48">
        <v>6692.3009999999995</v>
      </c>
      <c r="I754" s="128" t="s">
        <v>1121</v>
      </c>
      <c r="J754" s="128" t="s">
        <v>1251</v>
      </c>
    </row>
    <row r="755" spans="1:10" x14ac:dyDescent="0.25">
      <c r="A755" s="129" t="str">
        <f t="shared" si="16"/>
        <v>2428568</v>
      </c>
      <c r="B755" s="128">
        <v>242</v>
      </c>
      <c r="C755" s="128">
        <v>8568</v>
      </c>
      <c r="D755" s="128">
        <v>51027</v>
      </c>
      <c r="E755" s="140" t="s">
        <v>1009</v>
      </c>
      <c r="F755" s="137">
        <v>41687</v>
      </c>
      <c r="G755" s="47">
        <v>1</v>
      </c>
      <c r="H755" s="48">
        <v>4282.1129999999994</v>
      </c>
      <c r="I755" s="128" t="s">
        <v>1121</v>
      </c>
      <c r="J755" s="128" t="s">
        <v>1251</v>
      </c>
    </row>
    <row r="756" spans="1:10" x14ac:dyDescent="0.25">
      <c r="A756" s="129" t="str">
        <f t="shared" si="16"/>
        <v>2428569</v>
      </c>
      <c r="B756" s="128">
        <v>242</v>
      </c>
      <c r="C756" s="128">
        <v>8569</v>
      </c>
      <c r="D756" s="128">
        <v>51027</v>
      </c>
      <c r="E756" s="138" t="s">
        <v>626</v>
      </c>
      <c r="F756" s="137">
        <v>41687</v>
      </c>
      <c r="G756" s="47">
        <v>1</v>
      </c>
      <c r="H756" s="48">
        <v>3380.6024999999995</v>
      </c>
      <c r="I756" s="128" t="s">
        <v>1121</v>
      </c>
      <c r="J756" s="128" t="s">
        <v>1251</v>
      </c>
    </row>
    <row r="757" spans="1:10" x14ac:dyDescent="0.25">
      <c r="A757" s="129" t="str">
        <f t="shared" si="16"/>
        <v>2428583</v>
      </c>
      <c r="B757" s="128">
        <v>242</v>
      </c>
      <c r="C757" s="128">
        <v>8583</v>
      </c>
      <c r="D757" s="128">
        <v>51027</v>
      </c>
      <c r="E757" s="138" t="s">
        <v>455</v>
      </c>
      <c r="F757" s="137">
        <v>41694</v>
      </c>
      <c r="G757" s="47">
        <v>1</v>
      </c>
      <c r="H757" s="48">
        <v>3617.46</v>
      </c>
      <c r="I757" s="128" t="s">
        <v>1121</v>
      </c>
      <c r="J757" s="128" t="s">
        <v>1251</v>
      </c>
    </row>
    <row r="758" spans="1:10" x14ac:dyDescent="0.25">
      <c r="A758" s="129" t="str">
        <f t="shared" si="16"/>
        <v>2428594</v>
      </c>
      <c r="B758" s="128">
        <v>242</v>
      </c>
      <c r="C758" s="128">
        <v>8594</v>
      </c>
      <c r="D758" s="128">
        <v>51027</v>
      </c>
      <c r="E758" s="138" t="s">
        <v>795</v>
      </c>
      <c r="F758" s="137">
        <v>41708</v>
      </c>
      <c r="G758" s="47">
        <v>1</v>
      </c>
      <c r="H758" s="48">
        <v>9495.8325000000004</v>
      </c>
      <c r="I758" s="128" t="s">
        <v>1139</v>
      </c>
      <c r="J758" s="128" t="s">
        <v>1251</v>
      </c>
    </row>
    <row r="759" spans="1:10" x14ac:dyDescent="0.25">
      <c r="A759" s="129" t="str">
        <f t="shared" si="16"/>
        <v>2482908</v>
      </c>
      <c r="B759" s="128">
        <v>248</v>
      </c>
      <c r="C759" s="128">
        <v>2908</v>
      </c>
      <c r="D759" s="128">
        <v>50007</v>
      </c>
      <c r="E759" s="140" t="s">
        <v>892</v>
      </c>
      <c r="F759" s="137">
        <v>39295</v>
      </c>
      <c r="G759" s="47">
        <v>1</v>
      </c>
      <c r="H759" s="48">
        <v>9900</v>
      </c>
      <c r="I759" s="128" t="s">
        <v>1141</v>
      </c>
      <c r="J759" s="128" t="s">
        <v>1241</v>
      </c>
    </row>
    <row r="760" spans="1:10" x14ac:dyDescent="0.25">
      <c r="A760" s="129" t="str">
        <f t="shared" si="16"/>
        <v>2482931</v>
      </c>
      <c r="B760" s="128">
        <v>248</v>
      </c>
      <c r="C760" s="128">
        <v>2931</v>
      </c>
      <c r="D760" s="128">
        <v>50007</v>
      </c>
      <c r="E760" s="140" t="s">
        <v>1037</v>
      </c>
      <c r="F760" s="137">
        <v>39295</v>
      </c>
      <c r="G760" s="47">
        <v>1</v>
      </c>
      <c r="H760" s="48">
        <v>4958.2334999999994</v>
      </c>
      <c r="I760" s="128" t="s">
        <v>1141</v>
      </c>
      <c r="J760" s="128" t="s">
        <v>1241</v>
      </c>
    </row>
    <row r="761" spans="1:10" x14ac:dyDescent="0.25">
      <c r="A761" s="129" t="str">
        <f t="shared" si="16"/>
        <v>2483008</v>
      </c>
      <c r="B761" s="128">
        <v>248</v>
      </c>
      <c r="C761" s="128">
        <v>3008</v>
      </c>
      <c r="D761" s="128">
        <v>50007</v>
      </c>
      <c r="E761" s="138" t="s">
        <v>797</v>
      </c>
      <c r="F761" s="137">
        <v>39315</v>
      </c>
      <c r="G761" s="47">
        <v>1</v>
      </c>
      <c r="H761" s="48">
        <v>3219.6284999999998</v>
      </c>
      <c r="I761" s="128" t="s">
        <v>1141</v>
      </c>
      <c r="J761" s="128" t="s">
        <v>1241</v>
      </c>
    </row>
    <row r="762" spans="1:10" x14ac:dyDescent="0.25">
      <c r="A762" s="129" t="str">
        <f t="shared" si="16"/>
        <v>2486066</v>
      </c>
      <c r="B762" s="128">
        <v>248</v>
      </c>
      <c r="C762" s="128">
        <v>6066</v>
      </c>
      <c r="D762" s="128">
        <v>50007</v>
      </c>
      <c r="E762" s="138" t="s">
        <v>805</v>
      </c>
      <c r="F762" s="137">
        <v>40791</v>
      </c>
      <c r="G762" s="47">
        <v>1</v>
      </c>
      <c r="H762" s="48">
        <v>11536.634999999998</v>
      </c>
      <c r="I762" s="128" t="s">
        <v>1121</v>
      </c>
      <c r="J762" s="128" t="s">
        <v>1241</v>
      </c>
    </row>
    <row r="763" spans="1:10" x14ac:dyDescent="0.25">
      <c r="A763" s="129" t="str">
        <f t="shared" si="16"/>
        <v>2505328</v>
      </c>
      <c r="B763" s="128">
        <v>250</v>
      </c>
      <c r="C763" s="128">
        <v>5328</v>
      </c>
      <c r="D763" s="128">
        <v>50007</v>
      </c>
      <c r="E763" s="138" t="s">
        <v>504</v>
      </c>
      <c r="F763" s="137">
        <v>40299</v>
      </c>
      <c r="G763" s="47">
        <v>1</v>
      </c>
      <c r="H763" s="48">
        <v>6983.2124999999996</v>
      </c>
      <c r="I763" s="128" t="s">
        <v>1121</v>
      </c>
      <c r="J763" s="128" t="s">
        <v>1241</v>
      </c>
    </row>
    <row r="764" spans="1:10" x14ac:dyDescent="0.25">
      <c r="A764" s="129" t="str">
        <f t="shared" si="16"/>
        <v>2594291</v>
      </c>
      <c r="B764" s="128">
        <v>259</v>
      </c>
      <c r="C764" s="128">
        <v>4291</v>
      </c>
      <c r="D764" s="128">
        <v>50007</v>
      </c>
      <c r="E764" s="140" t="s">
        <v>1015</v>
      </c>
      <c r="F764" s="137">
        <v>39734</v>
      </c>
      <c r="G764" s="47">
        <v>1</v>
      </c>
      <c r="H764" s="48">
        <v>6073.2374999999993</v>
      </c>
      <c r="I764" s="128" t="s">
        <v>1141</v>
      </c>
      <c r="J764" s="128" t="s">
        <v>1241</v>
      </c>
    </row>
    <row r="765" spans="1:10" x14ac:dyDescent="0.25">
      <c r="A765" s="129" t="str">
        <f t="shared" si="16"/>
        <v>2643652</v>
      </c>
      <c r="B765" s="128">
        <v>264</v>
      </c>
      <c r="C765" s="128">
        <v>3652</v>
      </c>
      <c r="D765" s="128">
        <v>50007</v>
      </c>
      <c r="E765" s="138" t="s">
        <v>221</v>
      </c>
      <c r="F765" s="137">
        <v>39521</v>
      </c>
      <c r="G765" s="47">
        <v>1</v>
      </c>
      <c r="H765" s="48">
        <v>10488.588</v>
      </c>
      <c r="I765" s="128" t="s">
        <v>1141</v>
      </c>
      <c r="J765" s="128" t="s">
        <v>1241</v>
      </c>
    </row>
    <row r="766" spans="1:10" x14ac:dyDescent="0.25">
      <c r="A766" s="129" t="str">
        <f t="shared" si="16"/>
        <v>2645657</v>
      </c>
      <c r="B766" s="128">
        <v>264</v>
      </c>
      <c r="C766" s="128">
        <v>5657</v>
      </c>
      <c r="D766" s="128">
        <v>50007</v>
      </c>
      <c r="E766" s="138" t="s">
        <v>638</v>
      </c>
      <c r="F766" s="137">
        <v>40441</v>
      </c>
      <c r="G766" s="47">
        <v>1</v>
      </c>
      <c r="H766" s="48">
        <v>4203.4079999999994</v>
      </c>
      <c r="I766" s="128" t="s">
        <v>1121</v>
      </c>
      <c r="J766" s="128" t="s">
        <v>1241</v>
      </c>
    </row>
    <row r="767" spans="1:10" x14ac:dyDescent="0.25">
      <c r="A767" s="129" t="str">
        <f t="shared" si="16"/>
        <v>2646268</v>
      </c>
      <c r="B767" s="128">
        <v>264</v>
      </c>
      <c r="C767" s="128">
        <v>6268</v>
      </c>
      <c r="D767" s="128">
        <v>50007</v>
      </c>
      <c r="E767" s="138" t="s">
        <v>529</v>
      </c>
      <c r="F767" s="137">
        <v>41015</v>
      </c>
      <c r="G767" s="47">
        <v>1</v>
      </c>
      <c r="H767" s="48">
        <v>5151.3989999999994</v>
      </c>
      <c r="I767" s="128" t="s">
        <v>1121</v>
      </c>
      <c r="J767" s="128" t="s">
        <v>1241</v>
      </c>
    </row>
    <row r="768" spans="1:10" x14ac:dyDescent="0.25">
      <c r="A768" s="129" t="str">
        <f t="shared" si="16"/>
        <v>2646881</v>
      </c>
      <c r="B768" s="128">
        <v>264</v>
      </c>
      <c r="C768" s="128">
        <v>6881</v>
      </c>
      <c r="D768" s="128">
        <v>50007</v>
      </c>
      <c r="E768" s="138" t="s">
        <v>338</v>
      </c>
      <c r="F768" s="137">
        <v>41491</v>
      </c>
      <c r="G768" s="47">
        <v>1</v>
      </c>
      <c r="H768" s="48">
        <v>3617.46</v>
      </c>
      <c r="I768" s="128" t="s">
        <v>1121</v>
      </c>
      <c r="J768" s="128" t="s">
        <v>1241</v>
      </c>
    </row>
    <row r="769" spans="1:10" x14ac:dyDescent="0.25">
      <c r="A769" s="129" t="str">
        <f t="shared" si="16"/>
        <v>2895334</v>
      </c>
      <c r="B769" s="128">
        <v>289</v>
      </c>
      <c r="C769" s="128">
        <v>5334</v>
      </c>
      <c r="D769" s="128">
        <v>50007</v>
      </c>
      <c r="E769" s="138" t="s">
        <v>147</v>
      </c>
      <c r="F769" s="137">
        <v>40299</v>
      </c>
      <c r="G769" s="47">
        <v>1</v>
      </c>
      <c r="H769" s="48">
        <v>5189.7120000000004</v>
      </c>
      <c r="I769" s="128" t="s">
        <v>1130</v>
      </c>
      <c r="J769" s="128" t="s">
        <v>1241</v>
      </c>
    </row>
    <row r="770" spans="1:10" x14ac:dyDescent="0.25">
      <c r="A770" s="129" t="str">
        <f t="shared" si="16"/>
        <v>2896751</v>
      </c>
      <c r="B770" s="128">
        <v>289</v>
      </c>
      <c r="C770" s="128">
        <v>6751</v>
      </c>
      <c r="D770" s="128">
        <v>50007</v>
      </c>
      <c r="E770" s="138" t="s">
        <v>649</v>
      </c>
      <c r="F770" s="137">
        <v>41400</v>
      </c>
      <c r="G770" s="47">
        <v>1</v>
      </c>
      <c r="H770" s="48">
        <v>3617.46</v>
      </c>
      <c r="I770" s="128" t="s">
        <v>1121</v>
      </c>
      <c r="J770" s="128" t="s">
        <v>1241</v>
      </c>
    </row>
    <row r="771" spans="1:10" x14ac:dyDescent="0.25">
      <c r="A771" s="129" t="str">
        <f t="shared" si="16"/>
        <v>2898639</v>
      </c>
      <c r="B771" s="128">
        <v>289</v>
      </c>
      <c r="C771" s="128">
        <v>8639</v>
      </c>
      <c r="D771" s="128">
        <v>50007</v>
      </c>
      <c r="E771" s="140" t="s">
        <v>914</v>
      </c>
      <c r="F771" s="137">
        <v>41743</v>
      </c>
      <c r="G771" s="47">
        <v>1</v>
      </c>
      <c r="H771" s="48">
        <v>8835.5355</v>
      </c>
      <c r="I771" s="128" t="s">
        <v>1121</v>
      </c>
      <c r="J771" s="128" t="s">
        <v>1241</v>
      </c>
    </row>
    <row r="772" spans="1:10" x14ac:dyDescent="0.25">
      <c r="A772" s="129" t="str">
        <f t="shared" si="16"/>
        <v>2898675</v>
      </c>
      <c r="B772" s="128">
        <v>289</v>
      </c>
      <c r="C772" s="128">
        <v>8675</v>
      </c>
      <c r="D772" s="128">
        <v>50007</v>
      </c>
      <c r="E772" s="140" t="s">
        <v>1022</v>
      </c>
      <c r="F772" s="137">
        <v>41771</v>
      </c>
      <c r="G772" s="47">
        <v>1</v>
      </c>
      <c r="H772" s="48">
        <v>4282.1129999999994</v>
      </c>
      <c r="I772" s="128" t="s">
        <v>1121</v>
      </c>
      <c r="J772" s="128" t="s">
        <v>1241</v>
      </c>
    </row>
    <row r="773" spans="1:10" x14ac:dyDescent="0.25">
      <c r="A773" s="129" t="str">
        <f t="shared" si="16"/>
        <v>2898678</v>
      </c>
      <c r="B773" s="128">
        <v>289</v>
      </c>
      <c r="C773" s="128">
        <v>8678</v>
      </c>
      <c r="D773" s="128">
        <v>50007</v>
      </c>
      <c r="E773" s="138" t="s">
        <v>827</v>
      </c>
      <c r="F773" s="137">
        <v>41771</v>
      </c>
      <c r="G773" s="47">
        <v>1</v>
      </c>
      <c r="H773" s="48">
        <v>2704.4819999999995</v>
      </c>
      <c r="I773" s="128" t="s">
        <v>1121</v>
      </c>
      <c r="J773" s="128" t="s">
        <v>1241</v>
      </c>
    </row>
    <row r="774" spans="1:10" x14ac:dyDescent="0.25">
      <c r="A774" s="129" t="str">
        <f t="shared" si="16"/>
        <v>2904223</v>
      </c>
      <c r="B774" s="128">
        <v>290</v>
      </c>
      <c r="C774" s="128">
        <v>4223</v>
      </c>
      <c r="D774" s="128">
        <v>50007</v>
      </c>
      <c r="E774" s="138" t="s">
        <v>401</v>
      </c>
      <c r="F774" s="137">
        <v>39706</v>
      </c>
      <c r="G774" s="47">
        <v>1</v>
      </c>
      <c r="H774" s="48">
        <v>2575.6994999999997</v>
      </c>
      <c r="I774" s="128" t="s">
        <v>1141</v>
      </c>
      <c r="J774" s="128" t="s">
        <v>1241</v>
      </c>
    </row>
    <row r="775" spans="1:10" x14ac:dyDescent="0.25">
      <c r="A775" s="129" t="str">
        <f t="shared" si="16"/>
        <v>2905298</v>
      </c>
      <c r="B775" s="128">
        <v>290</v>
      </c>
      <c r="C775" s="128">
        <v>5298</v>
      </c>
      <c r="D775" s="128">
        <v>50007</v>
      </c>
      <c r="E775" s="138" t="s">
        <v>804</v>
      </c>
      <c r="F775" s="137">
        <v>40272</v>
      </c>
      <c r="G775" s="47">
        <v>1</v>
      </c>
      <c r="H775" s="48">
        <v>2704.4819999999995</v>
      </c>
      <c r="I775" s="128" t="s">
        <v>1121</v>
      </c>
      <c r="J775" s="128" t="s">
        <v>1241</v>
      </c>
    </row>
    <row r="776" spans="1:10" x14ac:dyDescent="0.25">
      <c r="A776" s="129" t="str">
        <f t="shared" ref="A776:A839" si="17">B776&amp;C776</f>
        <v>2905472</v>
      </c>
      <c r="B776" s="128">
        <v>290</v>
      </c>
      <c r="C776" s="128">
        <v>5472</v>
      </c>
      <c r="D776" s="128">
        <v>50007</v>
      </c>
      <c r="E776" s="138" t="s">
        <v>806</v>
      </c>
      <c r="F776" s="137">
        <v>40364</v>
      </c>
      <c r="G776" s="47">
        <v>1</v>
      </c>
      <c r="H776" s="48">
        <v>4292.8379999999997</v>
      </c>
      <c r="I776" s="128" t="s">
        <v>1121</v>
      </c>
      <c r="J776" s="128" t="s">
        <v>1241</v>
      </c>
    </row>
    <row r="777" spans="1:10" x14ac:dyDescent="0.25">
      <c r="A777" s="129" t="str">
        <f t="shared" si="17"/>
        <v>2906319</v>
      </c>
      <c r="B777" s="128">
        <v>290</v>
      </c>
      <c r="C777" s="128">
        <v>6319</v>
      </c>
      <c r="D777" s="128">
        <v>50007</v>
      </c>
      <c r="E777" s="138" t="s">
        <v>322</v>
      </c>
      <c r="F777" s="137">
        <v>41050</v>
      </c>
      <c r="G777" s="47">
        <v>1</v>
      </c>
      <c r="H777" s="48">
        <v>3380.6024999999995</v>
      </c>
      <c r="I777" s="128" t="s">
        <v>1121</v>
      </c>
      <c r="J777" s="128" t="s">
        <v>1241</v>
      </c>
    </row>
    <row r="778" spans="1:10" x14ac:dyDescent="0.25">
      <c r="A778" s="129" t="str">
        <f t="shared" si="17"/>
        <v>2906336</v>
      </c>
      <c r="B778" s="128">
        <v>290</v>
      </c>
      <c r="C778" s="128">
        <v>6336</v>
      </c>
      <c r="D778" s="128">
        <v>50007</v>
      </c>
      <c r="E778" s="138" t="s">
        <v>365</v>
      </c>
      <c r="F778" s="137">
        <v>41064</v>
      </c>
      <c r="G778" s="47">
        <v>1</v>
      </c>
      <c r="H778" s="48">
        <v>3617.46</v>
      </c>
      <c r="I778" s="128" t="s">
        <v>1121</v>
      </c>
      <c r="J778" s="128" t="s">
        <v>1241</v>
      </c>
    </row>
    <row r="779" spans="1:10" x14ac:dyDescent="0.25">
      <c r="A779" s="129" t="str">
        <f t="shared" si="17"/>
        <v>2906967</v>
      </c>
      <c r="B779" s="128">
        <v>290</v>
      </c>
      <c r="C779" s="128">
        <v>6967</v>
      </c>
      <c r="D779" s="128">
        <v>50007</v>
      </c>
      <c r="E779" s="138" t="s">
        <v>146</v>
      </c>
      <c r="F779" s="137">
        <v>41540</v>
      </c>
      <c r="G779" s="47">
        <v>1</v>
      </c>
      <c r="H779" s="48">
        <v>30664.0785</v>
      </c>
      <c r="I779" s="128" t="s">
        <v>1121</v>
      </c>
      <c r="J779" s="128" t="s">
        <v>1241</v>
      </c>
    </row>
    <row r="780" spans="1:10" x14ac:dyDescent="0.25">
      <c r="A780" s="129" t="str">
        <f t="shared" si="17"/>
        <v>2935571</v>
      </c>
      <c r="B780" s="128">
        <v>293</v>
      </c>
      <c r="C780" s="128">
        <v>5571</v>
      </c>
      <c r="D780" s="128">
        <v>50007</v>
      </c>
      <c r="E780" s="138" t="s">
        <v>225</v>
      </c>
      <c r="F780" s="137">
        <v>40399</v>
      </c>
      <c r="G780" s="47">
        <v>1</v>
      </c>
      <c r="H780" s="48">
        <v>15675</v>
      </c>
      <c r="I780" s="128" t="s">
        <v>1130</v>
      </c>
      <c r="J780" s="128" t="s">
        <v>1241</v>
      </c>
    </row>
    <row r="781" spans="1:10" x14ac:dyDescent="0.25">
      <c r="A781" s="129" t="str">
        <f t="shared" si="17"/>
        <v>295297</v>
      </c>
      <c r="B781" s="128">
        <v>295</v>
      </c>
      <c r="C781" s="128">
        <v>297</v>
      </c>
      <c r="D781" s="128">
        <v>50007</v>
      </c>
      <c r="E781" s="140" t="s">
        <v>1064</v>
      </c>
      <c r="F781" s="137">
        <v>40603</v>
      </c>
      <c r="G781" s="47">
        <v>1</v>
      </c>
      <c r="H781" s="48">
        <v>2897.6639999999998</v>
      </c>
      <c r="I781" s="128" t="s">
        <v>1121</v>
      </c>
      <c r="J781" s="128" t="s">
        <v>1241</v>
      </c>
    </row>
    <row r="782" spans="1:10" x14ac:dyDescent="0.25">
      <c r="A782" s="129" t="str">
        <f t="shared" si="17"/>
        <v>295577</v>
      </c>
      <c r="B782" s="128">
        <v>295</v>
      </c>
      <c r="C782" s="128">
        <v>577</v>
      </c>
      <c r="D782" s="128">
        <v>50007</v>
      </c>
      <c r="E782" s="138" t="s">
        <v>845</v>
      </c>
      <c r="F782" s="137">
        <v>40603</v>
      </c>
      <c r="G782" s="47">
        <v>1</v>
      </c>
      <c r="H782" s="48">
        <v>3863.5409999999997</v>
      </c>
      <c r="I782" s="128" t="s">
        <v>1121</v>
      </c>
      <c r="J782" s="128" t="s">
        <v>1241</v>
      </c>
    </row>
    <row r="783" spans="1:10" x14ac:dyDescent="0.25">
      <c r="A783" s="129" t="str">
        <f t="shared" si="17"/>
        <v>2955333</v>
      </c>
      <c r="B783" s="128">
        <v>295</v>
      </c>
      <c r="C783" s="128">
        <v>5333</v>
      </c>
      <c r="D783" s="128">
        <v>50007</v>
      </c>
      <c r="E783" s="138" t="s">
        <v>372</v>
      </c>
      <c r="F783" s="137">
        <v>40299</v>
      </c>
      <c r="G783" s="47">
        <v>1</v>
      </c>
      <c r="H783" s="48">
        <v>8148.4589999999998</v>
      </c>
      <c r="I783" s="128" t="s">
        <v>1139</v>
      </c>
      <c r="J783" s="128" t="s">
        <v>1241</v>
      </c>
    </row>
    <row r="784" spans="1:10" x14ac:dyDescent="0.25">
      <c r="A784" s="129" t="str">
        <f t="shared" si="17"/>
        <v>2955470</v>
      </c>
      <c r="B784" s="128">
        <v>295</v>
      </c>
      <c r="C784" s="128">
        <v>5470</v>
      </c>
      <c r="D784" s="128">
        <v>50007</v>
      </c>
      <c r="E784" s="138" t="s">
        <v>782</v>
      </c>
      <c r="F784" s="137">
        <v>40364</v>
      </c>
      <c r="G784" s="47">
        <v>1</v>
      </c>
      <c r="H784" s="48">
        <v>3863.5409999999997</v>
      </c>
      <c r="I784" s="128" t="s">
        <v>1121</v>
      </c>
      <c r="J784" s="128" t="s">
        <v>1241</v>
      </c>
    </row>
    <row r="785" spans="1:10" x14ac:dyDescent="0.25">
      <c r="A785" s="129" t="str">
        <f t="shared" si="17"/>
        <v>2956479</v>
      </c>
      <c r="B785" s="128">
        <v>295</v>
      </c>
      <c r="C785" s="128">
        <v>6479</v>
      </c>
      <c r="D785" s="128">
        <v>50007</v>
      </c>
      <c r="E785" s="140" t="s">
        <v>854</v>
      </c>
      <c r="F785" s="137">
        <v>41183</v>
      </c>
      <c r="G785" s="47">
        <v>1</v>
      </c>
      <c r="H785" s="48">
        <v>3863.5409999999997</v>
      </c>
      <c r="I785" s="128" t="s">
        <v>1121</v>
      </c>
      <c r="J785" s="128" t="s">
        <v>1241</v>
      </c>
    </row>
    <row r="786" spans="1:10" x14ac:dyDescent="0.25">
      <c r="A786" s="129" t="str">
        <f t="shared" si="17"/>
        <v>2956957</v>
      </c>
      <c r="B786" s="128">
        <v>295</v>
      </c>
      <c r="C786" s="128">
        <v>6957</v>
      </c>
      <c r="D786" s="128">
        <v>50007</v>
      </c>
      <c r="E786" s="140" t="s">
        <v>1054</v>
      </c>
      <c r="F786" s="137">
        <v>41533</v>
      </c>
      <c r="G786" s="47">
        <v>1</v>
      </c>
      <c r="H786" s="48">
        <v>2704.4819999999995</v>
      </c>
      <c r="I786" s="128" t="s">
        <v>1121</v>
      </c>
      <c r="J786" s="128" t="s">
        <v>1241</v>
      </c>
    </row>
    <row r="787" spans="1:10" x14ac:dyDescent="0.25">
      <c r="A787" s="129" t="str">
        <f t="shared" si="17"/>
        <v>3062096</v>
      </c>
      <c r="B787" s="128">
        <v>306</v>
      </c>
      <c r="C787" s="128">
        <v>2096</v>
      </c>
      <c r="D787" s="128">
        <v>50003</v>
      </c>
      <c r="E787" s="138" t="s">
        <v>480</v>
      </c>
      <c r="F787" s="137">
        <v>38474</v>
      </c>
      <c r="G787" s="47">
        <v>1</v>
      </c>
      <c r="H787" s="48">
        <v>2575.6994999999997</v>
      </c>
      <c r="I787" s="128" t="s">
        <v>1187</v>
      </c>
      <c r="J787" s="128" t="s">
        <v>1242</v>
      </c>
    </row>
    <row r="788" spans="1:10" x14ac:dyDescent="0.25">
      <c r="A788" s="129" t="str">
        <f t="shared" si="17"/>
        <v>3066490</v>
      </c>
      <c r="B788" s="128">
        <v>306</v>
      </c>
      <c r="C788" s="128">
        <v>6490</v>
      </c>
      <c r="D788" s="128">
        <v>50007</v>
      </c>
      <c r="E788" s="138" t="s">
        <v>421</v>
      </c>
      <c r="F788" s="137">
        <v>41183</v>
      </c>
      <c r="G788" s="47">
        <v>1</v>
      </c>
      <c r="H788" s="48">
        <v>4202.5169999999998</v>
      </c>
      <c r="I788" s="128" t="s">
        <v>1121</v>
      </c>
      <c r="J788" s="128" t="s">
        <v>1241</v>
      </c>
    </row>
    <row r="789" spans="1:10" x14ac:dyDescent="0.25">
      <c r="A789" s="129" t="str">
        <f t="shared" si="17"/>
        <v>3066491</v>
      </c>
      <c r="B789" s="128">
        <v>306</v>
      </c>
      <c r="C789" s="128">
        <v>6491</v>
      </c>
      <c r="D789" s="128">
        <v>50007</v>
      </c>
      <c r="E789" s="138" t="s">
        <v>412</v>
      </c>
      <c r="F789" s="137">
        <v>41183</v>
      </c>
      <c r="G789" s="47">
        <v>1</v>
      </c>
      <c r="H789" s="48">
        <v>2704.4819999999995</v>
      </c>
      <c r="I789" s="128" t="s">
        <v>1139</v>
      </c>
      <c r="J789" s="128" t="s">
        <v>1241</v>
      </c>
    </row>
    <row r="790" spans="1:10" x14ac:dyDescent="0.25">
      <c r="A790" s="129" t="str">
        <f t="shared" si="17"/>
        <v>3066492</v>
      </c>
      <c r="B790" s="128">
        <v>306</v>
      </c>
      <c r="C790" s="128">
        <v>6492</v>
      </c>
      <c r="D790" s="128">
        <v>50007</v>
      </c>
      <c r="E790" s="138" t="s">
        <v>758</v>
      </c>
      <c r="F790" s="137">
        <v>41183</v>
      </c>
      <c r="G790" s="47">
        <v>1</v>
      </c>
      <c r="H790" s="48">
        <v>2704.4819999999995</v>
      </c>
      <c r="I790" s="128" t="s">
        <v>1139</v>
      </c>
      <c r="J790" s="128" t="s">
        <v>1241</v>
      </c>
    </row>
    <row r="791" spans="1:10" x14ac:dyDescent="0.25">
      <c r="A791" s="129" t="str">
        <f t="shared" si="17"/>
        <v>3066495</v>
      </c>
      <c r="B791" s="128">
        <v>306</v>
      </c>
      <c r="C791" s="128">
        <v>6495</v>
      </c>
      <c r="D791" s="128">
        <v>50007</v>
      </c>
      <c r="E791" s="140" t="s">
        <v>977</v>
      </c>
      <c r="F791" s="137">
        <v>41183</v>
      </c>
      <c r="G791" s="47">
        <v>1</v>
      </c>
      <c r="H791" s="48">
        <v>8835.5355</v>
      </c>
      <c r="I791" s="128" t="s">
        <v>1204</v>
      </c>
      <c r="J791" s="128" t="s">
        <v>1241</v>
      </c>
    </row>
    <row r="792" spans="1:10" x14ac:dyDescent="0.25">
      <c r="A792" s="129" t="str">
        <f t="shared" si="17"/>
        <v>3066498</v>
      </c>
      <c r="B792" s="128">
        <v>306</v>
      </c>
      <c r="C792" s="128">
        <v>6498</v>
      </c>
      <c r="D792" s="128">
        <v>50002</v>
      </c>
      <c r="E792" s="140" t="s">
        <v>985</v>
      </c>
      <c r="F792" s="137">
        <v>41183</v>
      </c>
      <c r="G792" s="47">
        <v>1</v>
      </c>
      <c r="H792" s="48">
        <v>3752.8919999999998</v>
      </c>
      <c r="I792" s="128" t="s">
        <v>1162</v>
      </c>
      <c r="J792" s="128" t="s">
        <v>1240</v>
      </c>
    </row>
    <row r="793" spans="1:10" x14ac:dyDescent="0.25">
      <c r="A793" s="129" t="str">
        <f t="shared" si="17"/>
        <v>3066499</v>
      </c>
      <c r="B793" s="128">
        <v>306</v>
      </c>
      <c r="C793" s="128">
        <v>6499</v>
      </c>
      <c r="D793" s="128">
        <v>50007</v>
      </c>
      <c r="E793" s="138" t="s">
        <v>513</v>
      </c>
      <c r="F793" s="137">
        <v>41183</v>
      </c>
      <c r="G793" s="47">
        <v>1</v>
      </c>
      <c r="H793" s="48">
        <v>5280</v>
      </c>
      <c r="I793" s="128" t="s">
        <v>1128</v>
      </c>
      <c r="J793" s="128" t="s">
        <v>1241</v>
      </c>
    </row>
    <row r="794" spans="1:10" x14ac:dyDescent="0.25">
      <c r="A794" s="129" t="str">
        <f t="shared" si="17"/>
        <v>3066501</v>
      </c>
      <c r="B794" s="128">
        <v>306</v>
      </c>
      <c r="C794" s="128">
        <v>6501</v>
      </c>
      <c r="D794" s="128">
        <v>50007</v>
      </c>
      <c r="E794" s="140" t="s">
        <v>1001</v>
      </c>
      <c r="F794" s="137">
        <v>41183</v>
      </c>
      <c r="G794" s="47">
        <v>1</v>
      </c>
      <c r="H794" s="48">
        <v>4288.5479999999998</v>
      </c>
      <c r="I794" s="128" t="s">
        <v>1139</v>
      </c>
      <c r="J794" s="128" t="s">
        <v>1241</v>
      </c>
    </row>
    <row r="795" spans="1:10" x14ac:dyDescent="0.25">
      <c r="A795" s="129" t="str">
        <f t="shared" si="17"/>
        <v>3066502</v>
      </c>
      <c r="B795" s="128">
        <v>306</v>
      </c>
      <c r="C795" s="128">
        <v>6502</v>
      </c>
      <c r="D795" s="128">
        <v>50002</v>
      </c>
      <c r="E795" s="138" t="s">
        <v>533</v>
      </c>
      <c r="F795" s="137">
        <v>41183</v>
      </c>
      <c r="G795" s="47">
        <v>1</v>
      </c>
      <c r="H795" s="48">
        <v>4202.5169999999998</v>
      </c>
      <c r="I795" s="128" t="s">
        <v>1162</v>
      </c>
      <c r="J795" s="128" t="s">
        <v>1240</v>
      </c>
    </row>
    <row r="796" spans="1:10" x14ac:dyDescent="0.25">
      <c r="A796" s="129" t="str">
        <f t="shared" si="17"/>
        <v>3066510</v>
      </c>
      <c r="B796" s="128">
        <v>306</v>
      </c>
      <c r="C796" s="128">
        <v>6510</v>
      </c>
      <c r="D796" s="128">
        <v>50007</v>
      </c>
      <c r="E796" s="138" t="s">
        <v>771</v>
      </c>
      <c r="F796" s="137">
        <v>41183</v>
      </c>
      <c r="G796" s="47">
        <v>1</v>
      </c>
      <c r="H796" s="48">
        <v>3617.46</v>
      </c>
      <c r="I796" s="128" t="s">
        <v>1139</v>
      </c>
      <c r="J796" s="128" t="s">
        <v>1241</v>
      </c>
    </row>
    <row r="797" spans="1:10" x14ac:dyDescent="0.25">
      <c r="A797" s="129" t="str">
        <f t="shared" si="17"/>
        <v>3066512</v>
      </c>
      <c r="B797" s="128">
        <v>306</v>
      </c>
      <c r="C797" s="128">
        <v>6512</v>
      </c>
      <c r="D797" s="128">
        <v>50002</v>
      </c>
      <c r="E797" s="138" t="s">
        <v>788</v>
      </c>
      <c r="F797" s="137">
        <v>41183</v>
      </c>
      <c r="G797" s="47">
        <v>1</v>
      </c>
      <c r="H797" s="48">
        <v>2704.4819999999995</v>
      </c>
      <c r="I797" s="128" t="s">
        <v>1162</v>
      </c>
      <c r="J797" s="128" t="s">
        <v>1240</v>
      </c>
    </row>
    <row r="798" spans="1:10" x14ac:dyDescent="0.25">
      <c r="A798" s="129" t="str">
        <f t="shared" si="17"/>
        <v>3066513</v>
      </c>
      <c r="B798" s="128">
        <v>306</v>
      </c>
      <c r="C798" s="128">
        <v>6513</v>
      </c>
      <c r="D798" s="128">
        <v>50007</v>
      </c>
      <c r="E798" s="138" t="s">
        <v>696</v>
      </c>
      <c r="F798" s="137">
        <v>41183</v>
      </c>
      <c r="G798" s="47">
        <v>1</v>
      </c>
      <c r="H798" s="48">
        <v>2704.4819999999995</v>
      </c>
      <c r="I798" s="128" t="s">
        <v>1121</v>
      </c>
      <c r="J798" s="128" t="s">
        <v>1241</v>
      </c>
    </row>
    <row r="799" spans="1:10" x14ac:dyDescent="0.25">
      <c r="A799" s="129" t="str">
        <f t="shared" si="17"/>
        <v>3066514</v>
      </c>
      <c r="B799" s="128">
        <v>306</v>
      </c>
      <c r="C799" s="128">
        <v>6514</v>
      </c>
      <c r="D799" s="128">
        <v>50002</v>
      </c>
      <c r="E799" s="138" t="s">
        <v>195</v>
      </c>
      <c r="F799" s="137">
        <v>41183</v>
      </c>
      <c r="G799" s="47">
        <v>1</v>
      </c>
      <c r="H799" s="48">
        <v>3752.8919999999998</v>
      </c>
      <c r="I799" s="128" t="s">
        <v>1162</v>
      </c>
      <c r="J799" s="128" t="s">
        <v>1240</v>
      </c>
    </row>
    <row r="800" spans="1:10" x14ac:dyDescent="0.25">
      <c r="A800" s="129" t="str">
        <f t="shared" si="17"/>
        <v>3066516</v>
      </c>
      <c r="B800" s="128">
        <v>306</v>
      </c>
      <c r="C800" s="128">
        <v>6516</v>
      </c>
      <c r="D800" s="128">
        <v>50007</v>
      </c>
      <c r="E800" s="140" t="s">
        <v>1077</v>
      </c>
      <c r="F800" s="137">
        <v>41183</v>
      </c>
      <c r="G800" s="47">
        <v>1</v>
      </c>
      <c r="H800" s="48">
        <v>2704.4819999999995</v>
      </c>
      <c r="I800" s="128" t="s">
        <v>1139</v>
      </c>
      <c r="J800" s="128" t="s">
        <v>1241</v>
      </c>
    </row>
    <row r="801" spans="1:10" x14ac:dyDescent="0.25">
      <c r="A801" s="129" t="str">
        <f t="shared" si="17"/>
        <v>3066520</v>
      </c>
      <c r="B801" s="128">
        <v>306</v>
      </c>
      <c r="C801" s="128">
        <v>6520</v>
      </c>
      <c r="D801" s="128">
        <v>50007</v>
      </c>
      <c r="E801" s="138" t="s">
        <v>521</v>
      </c>
      <c r="F801" s="137">
        <v>41183</v>
      </c>
      <c r="G801" s="47">
        <v>1</v>
      </c>
      <c r="H801" s="48">
        <v>17678.5785</v>
      </c>
      <c r="I801" s="128" t="s">
        <v>1121</v>
      </c>
      <c r="J801" s="128" t="s">
        <v>1241</v>
      </c>
    </row>
    <row r="802" spans="1:10" x14ac:dyDescent="0.25">
      <c r="A802" s="129" t="str">
        <f t="shared" si="17"/>
        <v>3066532</v>
      </c>
      <c r="B802" s="128">
        <v>306</v>
      </c>
      <c r="C802" s="128">
        <v>6532</v>
      </c>
      <c r="D802" s="128">
        <v>50007</v>
      </c>
      <c r="E802" s="138" t="s">
        <v>818</v>
      </c>
      <c r="F802" s="137">
        <v>41183</v>
      </c>
      <c r="G802" s="47">
        <v>1</v>
      </c>
      <c r="H802" s="48">
        <v>12322.067999999999</v>
      </c>
      <c r="I802" s="128" t="s">
        <v>1121</v>
      </c>
      <c r="J802" s="128" t="s">
        <v>1241</v>
      </c>
    </row>
    <row r="803" spans="1:10" x14ac:dyDescent="0.25">
      <c r="A803" s="129" t="str">
        <f t="shared" si="17"/>
        <v>3066533</v>
      </c>
      <c r="B803" s="128">
        <v>306</v>
      </c>
      <c r="C803" s="128">
        <v>6533</v>
      </c>
      <c r="D803" s="128">
        <v>50007</v>
      </c>
      <c r="E803" s="138" t="s">
        <v>154</v>
      </c>
      <c r="F803" s="137">
        <v>41183</v>
      </c>
      <c r="G803" s="47">
        <v>1</v>
      </c>
      <c r="H803" s="48">
        <v>13907.1405</v>
      </c>
      <c r="I803" s="128" t="s">
        <v>1139</v>
      </c>
      <c r="J803" s="128" t="s">
        <v>1241</v>
      </c>
    </row>
    <row r="804" spans="1:10" x14ac:dyDescent="0.25">
      <c r="A804" s="129" t="str">
        <f t="shared" si="17"/>
        <v>3066534</v>
      </c>
      <c r="B804" s="128">
        <v>306</v>
      </c>
      <c r="C804" s="128">
        <v>6534</v>
      </c>
      <c r="D804" s="128">
        <v>50007</v>
      </c>
      <c r="E804" s="140" t="s">
        <v>945</v>
      </c>
      <c r="F804" s="137">
        <v>41183</v>
      </c>
      <c r="G804" s="47">
        <v>1</v>
      </c>
      <c r="H804" s="48">
        <v>3863.5409999999997</v>
      </c>
      <c r="I804" s="128" t="s">
        <v>1128</v>
      </c>
      <c r="J804" s="128" t="s">
        <v>1241</v>
      </c>
    </row>
    <row r="805" spans="1:10" x14ac:dyDescent="0.25">
      <c r="A805" s="129" t="str">
        <f t="shared" si="17"/>
        <v>3066535</v>
      </c>
      <c r="B805" s="128">
        <v>306</v>
      </c>
      <c r="C805" s="128">
        <v>6535</v>
      </c>
      <c r="D805" s="128">
        <v>50007</v>
      </c>
      <c r="E805" s="140" t="s">
        <v>897</v>
      </c>
      <c r="F805" s="137">
        <v>41183</v>
      </c>
      <c r="G805" s="47">
        <v>1</v>
      </c>
      <c r="H805" s="48">
        <v>5037.7635</v>
      </c>
      <c r="I805" s="128" t="s">
        <v>1121</v>
      </c>
      <c r="J805" s="128" t="s">
        <v>1241</v>
      </c>
    </row>
    <row r="806" spans="1:10" x14ac:dyDescent="0.25">
      <c r="A806" s="129" t="str">
        <f t="shared" si="17"/>
        <v>3066538</v>
      </c>
      <c r="B806" s="128">
        <v>306</v>
      </c>
      <c r="C806" s="128">
        <v>6538</v>
      </c>
      <c r="D806" s="128">
        <v>50007</v>
      </c>
      <c r="E806" s="138" t="s">
        <v>695</v>
      </c>
      <c r="F806" s="137">
        <v>41218</v>
      </c>
      <c r="G806" s="47">
        <v>1</v>
      </c>
      <c r="H806" s="48">
        <v>7860.2865000000002</v>
      </c>
      <c r="I806" s="128" t="s">
        <v>1128</v>
      </c>
      <c r="J806" s="128" t="s">
        <v>1241</v>
      </c>
    </row>
    <row r="807" spans="1:10" x14ac:dyDescent="0.25">
      <c r="A807" s="129" t="str">
        <f t="shared" si="17"/>
        <v>3066571</v>
      </c>
      <c r="B807" s="128">
        <v>306</v>
      </c>
      <c r="C807" s="128">
        <v>6571</v>
      </c>
      <c r="D807" s="128">
        <v>50002</v>
      </c>
      <c r="E807" s="140" t="s">
        <v>1031</v>
      </c>
      <c r="F807" s="137">
        <v>41218</v>
      </c>
      <c r="G807" s="47">
        <v>1</v>
      </c>
      <c r="H807" s="48">
        <v>3863.5409999999997</v>
      </c>
      <c r="I807" s="128" t="s">
        <v>1162</v>
      </c>
      <c r="J807" s="128" t="s">
        <v>1240</v>
      </c>
    </row>
    <row r="808" spans="1:10" x14ac:dyDescent="0.25">
      <c r="A808" s="129" t="str">
        <f t="shared" si="17"/>
        <v>3066572</v>
      </c>
      <c r="B808" s="128">
        <v>306</v>
      </c>
      <c r="C808" s="128">
        <v>6572</v>
      </c>
      <c r="D808" s="128">
        <v>50002</v>
      </c>
      <c r="E808" s="138" t="s">
        <v>609</v>
      </c>
      <c r="F808" s="137">
        <v>41218</v>
      </c>
      <c r="G808" s="47">
        <v>1</v>
      </c>
      <c r="H808" s="48">
        <v>4292.8379999999997</v>
      </c>
      <c r="I808" s="128" t="s">
        <v>1162</v>
      </c>
      <c r="J808" s="128" t="s">
        <v>1240</v>
      </c>
    </row>
    <row r="809" spans="1:10" x14ac:dyDescent="0.25">
      <c r="A809" s="129" t="str">
        <f t="shared" si="17"/>
        <v>3066851</v>
      </c>
      <c r="B809" s="128">
        <v>306</v>
      </c>
      <c r="C809" s="128">
        <v>6851</v>
      </c>
      <c r="D809" s="128">
        <v>50002</v>
      </c>
      <c r="E809" s="138" t="s">
        <v>754</v>
      </c>
      <c r="F809" s="137">
        <v>41463</v>
      </c>
      <c r="G809" s="47">
        <v>1</v>
      </c>
      <c r="H809" s="48">
        <v>3833.9399999999996</v>
      </c>
      <c r="I809" s="128" t="s">
        <v>1162</v>
      </c>
      <c r="J809" s="128" t="s">
        <v>1240</v>
      </c>
    </row>
    <row r="810" spans="1:10" x14ac:dyDescent="0.25">
      <c r="A810" s="129" t="str">
        <f t="shared" si="17"/>
        <v>3066879</v>
      </c>
      <c r="B810" s="128">
        <v>306</v>
      </c>
      <c r="C810" s="128">
        <v>6879</v>
      </c>
      <c r="D810" s="128">
        <v>50002</v>
      </c>
      <c r="E810" s="138" t="s">
        <v>835</v>
      </c>
      <c r="F810" s="137">
        <v>41491</v>
      </c>
      <c r="G810" s="47">
        <v>1</v>
      </c>
      <c r="H810" s="48">
        <v>3833.9399999999996</v>
      </c>
      <c r="I810" s="128" t="s">
        <v>1205</v>
      </c>
      <c r="J810" s="128" t="s">
        <v>1240</v>
      </c>
    </row>
    <row r="811" spans="1:10" x14ac:dyDescent="0.25">
      <c r="A811" s="129" t="str">
        <f t="shared" si="17"/>
        <v>3066886</v>
      </c>
      <c r="B811" s="128">
        <v>306</v>
      </c>
      <c r="C811" s="128">
        <v>6886</v>
      </c>
      <c r="D811" s="128">
        <v>50007</v>
      </c>
      <c r="E811" s="138" t="s">
        <v>700</v>
      </c>
      <c r="F811" s="137">
        <v>41498</v>
      </c>
      <c r="G811" s="47">
        <v>1</v>
      </c>
      <c r="H811" s="48">
        <v>3804.6854999999996</v>
      </c>
      <c r="I811" s="128" t="s">
        <v>1121</v>
      </c>
      <c r="J811" s="128" t="s">
        <v>1241</v>
      </c>
    </row>
    <row r="812" spans="1:10" x14ac:dyDescent="0.25">
      <c r="A812" s="129" t="str">
        <f t="shared" si="17"/>
        <v>3067021</v>
      </c>
      <c r="B812" s="128">
        <v>306</v>
      </c>
      <c r="C812" s="128">
        <v>7021</v>
      </c>
      <c r="D812" s="128">
        <v>50002</v>
      </c>
      <c r="E812" s="138" t="s">
        <v>816</v>
      </c>
      <c r="F812" s="137">
        <v>41589</v>
      </c>
      <c r="G812" s="47">
        <v>1</v>
      </c>
      <c r="H812" s="48">
        <v>3804.6854999999996</v>
      </c>
      <c r="I812" s="128" t="s">
        <v>1205</v>
      </c>
      <c r="J812" s="128" t="s">
        <v>1240</v>
      </c>
    </row>
    <row r="813" spans="1:10" x14ac:dyDescent="0.25">
      <c r="A813" s="129" t="str">
        <f t="shared" si="17"/>
        <v>3068674</v>
      </c>
      <c r="B813" s="128">
        <v>306</v>
      </c>
      <c r="C813" s="128">
        <v>8674</v>
      </c>
      <c r="D813" s="128">
        <v>50002</v>
      </c>
      <c r="E813" s="138" t="s">
        <v>305</v>
      </c>
      <c r="F813" s="137">
        <v>41771</v>
      </c>
      <c r="G813" s="47">
        <v>1</v>
      </c>
      <c r="H813" s="48">
        <v>3804.6854999999996</v>
      </c>
      <c r="I813" s="128" t="s">
        <v>1162</v>
      </c>
      <c r="J813" s="128" t="s">
        <v>1240</v>
      </c>
    </row>
    <row r="814" spans="1:10" x14ac:dyDescent="0.25">
      <c r="A814" s="129" t="str">
        <f t="shared" si="17"/>
        <v>3068698</v>
      </c>
      <c r="B814" s="128">
        <v>306</v>
      </c>
      <c r="C814" s="128">
        <v>8698</v>
      </c>
      <c r="D814" s="128">
        <v>50007</v>
      </c>
      <c r="E814" s="138" t="s">
        <v>725</v>
      </c>
      <c r="F814" s="137">
        <v>41792</v>
      </c>
      <c r="G814" s="47">
        <v>1</v>
      </c>
      <c r="H814" s="48">
        <v>3804.6854999999996</v>
      </c>
      <c r="I814" s="128" t="s">
        <v>1128</v>
      </c>
      <c r="J814" s="128" t="s">
        <v>1241</v>
      </c>
    </row>
    <row r="815" spans="1:10" x14ac:dyDescent="0.25">
      <c r="A815" s="129" t="str">
        <f t="shared" si="17"/>
        <v>3068699</v>
      </c>
      <c r="B815" s="128">
        <v>306</v>
      </c>
      <c r="C815" s="128">
        <v>8699</v>
      </c>
      <c r="D815" s="128">
        <v>50007</v>
      </c>
      <c r="E815" s="138" t="s">
        <v>407</v>
      </c>
      <c r="F815" s="137">
        <v>41792</v>
      </c>
      <c r="G815" s="47">
        <v>1</v>
      </c>
      <c r="H815" s="48">
        <v>3775.7939999999999</v>
      </c>
      <c r="I815" s="128" t="s">
        <v>1128</v>
      </c>
      <c r="J815" s="128" t="s">
        <v>1241</v>
      </c>
    </row>
    <row r="816" spans="1:10" x14ac:dyDescent="0.25">
      <c r="A816" s="129" t="str">
        <f t="shared" si="17"/>
        <v>4017092</v>
      </c>
      <c r="B816" s="128">
        <v>401</v>
      </c>
      <c r="C816" s="128">
        <v>7092</v>
      </c>
      <c r="D816" s="128">
        <v>50007</v>
      </c>
      <c r="E816" s="138" t="s">
        <v>477</v>
      </c>
      <c r="F816" s="137">
        <v>41673</v>
      </c>
      <c r="G816" s="47">
        <v>1</v>
      </c>
      <c r="H816" s="48">
        <v>3535.2899999999995</v>
      </c>
      <c r="I816" s="128" t="s">
        <v>1128</v>
      </c>
      <c r="J816" s="128" t="s">
        <v>1241</v>
      </c>
    </row>
    <row r="817" spans="1:10" x14ac:dyDescent="0.25">
      <c r="A817" s="129" t="str">
        <f t="shared" si="17"/>
        <v>402553</v>
      </c>
      <c r="B817" s="128">
        <v>402</v>
      </c>
      <c r="C817" s="128">
        <v>553</v>
      </c>
      <c r="D817" s="128">
        <v>50007</v>
      </c>
      <c r="E817" s="138" t="s">
        <v>849</v>
      </c>
      <c r="F817" s="137">
        <v>40504</v>
      </c>
      <c r="G817" s="47">
        <v>1</v>
      </c>
      <c r="H817" s="48">
        <v>7095</v>
      </c>
      <c r="I817" s="128" t="s">
        <v>1121</v>
      </c>
      <c r="J817" s="128" t="s">
        <v>1241</v>
      </c>
    </row>
    <row r="818" spans="1:10" x14ac:dyDescent="0.25">
      <c r="A818" s="129" t="str">
        <f t="shared" si="17"/>
        <v>402567</v>
      </c>
      <c r="B818" s="128">
        <v>402</v>
      </c>
      <c r="C818" s="128">
        <v>567</v>
      </c>
      <c r="D818" s="128">
        <v>50002</v>
      </c>
      <c r="E818" s="138" t="s">
        <v>318</v>
      </c>
      <c r="F818" s="137">
        <v>40581</v>
      </c>
      <c r="G818" s="47">
        <v>1</v>
      </c>
      <c r="H818" s="48">
        <v>3718.3409999999999</v>
      </c>
      <c r="I818" s="128" t="s">
        <v>1205</v>
      </c>
      <c r="J818" s="128" t="s">
        <v>1240</v>
      </c>
    </row>
    <row r="819" spans="1:10" x14ac:dyDescent="0.25">
      <c r="A819" s="129" t="str">
        <f t="shared" si="17"/>
        <v>402568</v>
      </c>
      <c r="B819" s="128">
        <v>402</v>
      </c>
      <c r="C819" s="128">
        <v>568</v>
      </c>
      <c r="D819" s="128">
        <v>50002</v>
      </c>
      <c r="E819" s="138" t="s">
        <v>352</v>
      </c>
      <c r="F819" s="137">
        <v>40581</v>
      </c>
      <c r="G819" s="47">
        <v>1</v>
      </c>
      <c r="H819" s="48">
        <v>3718.3409999999999</v>
      </c>
      <c r="I819" s="128" t="s">
        <v>1205</v>
      </c>
      <c r="J819" s="128" t="s">
        <v>1240</v>
      </c>
    </row>
    <row r="820" spans="1:10" x14ac:dyDescent="0.25">
      <c r="A820" s="129" t="str">
        <f t="shared" si="17"/>
        <v>402588</v>
      </c>
      <c r="B820" s="128">
        <v>402</v>
      </c>
      <c r="C820" s="128">
        <v>588</v>
      </c>
      <c r="D820" s="128">
        <v>50001</v>
      </c>
      <c r="E820" s="140" t="s">
        <v>873</v>
      </c>
      <c r="F820" s="137">
        <v>40623</v>
      </c>
      <c r="G820" s="47">
        <v>1</v>
      </c>
      <c r="H820" s="48">
        <v>3690.1424999999995</v>
      </c>
      <c r="I820" s="128" t="s">
        <v>107</v>
      </c>
      <c r="J820" s="128" t="s">
        <v>1218</v>
      </c>
    </row>
    <row r="821" spans="1:10" x14ac:dyDescent="0.25">
      <c r="A821" s="129" t="str">
        <f t="shared" si="17"/>
        <v>4025264</v>
      </c>
      <c r="B821" s="128">
        <v>402</v>
      </c>
      <c r="C821" s="128">
        <v>5264</v>
      </c>
      <c r="D821" s="128">
        <v>50002</v>
      </c>
      <c r="E821" s="138" t="s">
        <v>663</v>
      </c>
      <c r="F821" s="137">
        <v>40269</v>
      </c>
      <c r="G821" s="47">
        <v>1</v>
      </c>
      <c r="H821" s="48">
        <v>3690.1424999999995</v>
      </c>
      <c r="I821" s="128" t="s">
        <v>1205</v>
      </c>
      <c r="J821" s="128" t="s">
        <v>1240</v>
      </c>
    </row>
    <row r="822" spans="1:10" x14ac:dyDescent="0.25">
      <c r="A822" s="129" t="str">
        <f t="shared" si="17"/>
        <v>4025266</v>
      </c>
      <c r="B822" s="128">
        <v>402</v>
      </c>
      <c r="C822" s="128">
        <v>5266</v>
      </c>
      <c r="D822" s="128">
        <v>50002</v>
      </c>
      <c r="E822" s="138" t="s">
        <v>358</v>
      </c>
      <c r="F822" s="137">
        <v>40269</v>
      </c>
      <c r="G822" s="47">
        <v>1</v>
      </c>
      <c r="H822" s="48">
        <v>857.17499999999995</v>
      </c>
      <c r="I822" s="128" t="s">
        <v>1205</v>
      </c>
      <c r="J822" s="128" t="s">
        <v>1240</v>
      </c>
    </row>
    <row r="823" spans="1:10" x14ac:dyDescent="0.25">
      <c r="A823" s="129" t="str">
        <f t="shared" si="17"/>
        <v>4025267</v>
      </c>
      <c r="B823" s="128">
        <v>402</v>
      </c>
      <c r="C823" s="128">
        <v>5267</v>
      </c>
      <c r="D823" s="128">
        <v>50002</v>
      </c>
      <c r="E823" s="138" t="s">
        <v>288</v>
      </c>
      <c r="F823" s="137">
        <v>40269</v>
      </c>
      <c r="G823" s="47">
        <v>1</v>
      </c>
      <c r="H823" s="48">
        <v>3634.1084999999994</v>
      </c>
      <c r="I823" s="128" t="s">
        <v>1205</v>
      </c>
      <c r="J823" s="128" t="s">
        <v>1240</v>
      </c>
    </row>
    <row r="824" spans="1:10" x14ac:dyDescent="0.25">
      <c r="A824" s="129" t="str">
        <f t="shared" si="17"/>
        <v>4025268</v>
      </c>
      <c r="B824" s="128">
        <v>402</v>
      </c>
      <c r="C824" s="128">
        <v>5268</v>
      </c>
      <c r="D824" s="128">
        <v>58042</v>
      </c>
      <c r="E824" s="140" t="s">
        <v>870</v>
      </c>
      <c r="F824" s="137">
        <v>40269</v>
      </c>
      <c r="G824" s="47">
        <v>1</v>
      </c>
      <c r="H824" s="48">
        <v>3634.1084999999994</v>
      </c>
      <c r="I824" s="128" t="s">
        <v>1205</v>
      </c>
      <c r="J824" s="128" t="s">
        <v>1240</v>
      </c>
    </row>
    <row r="825" spans="1:10" x14ac:dyDescent="0.25">
      <c r="A825" s="129" t="str">
        <f t="shared" si="17"/>
        <v>4025271</v>
      </c>
      <c r="B825" s="128">
        <v>402</v>
      </c>
      <c r="C825" s="128">
        <v>5271</v>
      </c>
      <c r="D825" s="128">
        <v>58042</v>
      </c>
      <c r="E825" s="138" t="s">
        <v>824</v>
      </c>
      <c r="F825" s="137">
        <v>40269</v>
      </c>
      <c r="G825" s="47">
        <v>1</v>
      </c>
      <c r="H825" s="48">
        <v>3634.1084999999994</v>
      </c>
      <c r="I825" s="128" t="s">
        <v>1205</v>
      </c>
      <c r="J825" s="128" t="s">
        <v>1240</v>
      </c>
    </row>
    <row r="826" spans="1:10" x14ac:dyDescent="0.25">
      <c r="A826" s="129" t="str">
        <f t="shared" si="17"/>
        <v>4025272</v>
      </c>
      <c r="B826" s="128">
        <v>402</v>
      </c>
      <c r="C826" s="128">
        <v>5272</v>
      </c>
      <c r="D826" s="128">
        <v>50002</v>
      </c>
      <c r="E826" s="138" t="s">
        <v>694</v>
      </c>
      <c r="F826" s="137">
        <v>40269</v>
      </c>
      <c r="G826" s="47">
        <v>1</v>
      </c>
      <c r="H826" s="48">
        <v>3376.56</v>
      </c>
      <c r="I826" s="128" t="s">
        <v>1205</v>
      </c>
      <c r="J826" s="128" t="s">
        <v>1240</v>
      </c>
    </row>
    <row r="827" spans="1:10" x14ac:dyDescent="0.25">
      <c r="A827" s="129" t="str">
        <f t="shared" si="17"/>
        <v>4025277</v>
      </c>
      <c r="B827" s="128">
        <v>402</v>
      </c>
      <c r="C827" s="128">
        <v>5277</v>
      </c>
      <c r="D827" s="128">
        <v>50002</v>
      </c>
      <c r="E827" s="138" t="s">
        <v>413</v>
      </c>
      <c r="F827" s="137">
        <v>40269</v>
      </c>
      <c r="G827" s="47">
        <v>1</v>
      </c>
      <c r="H827" s="48">
        <v>5908.98</v>
      </c>
      <c r="I827" s="128" t="s">
        <v>1205</v>
      </c>
      <c r="J827" s="128" t="s">
        <v>1240</v>
      </c>
    </row>
    <row r="828" spans="1:10" x14ac:dyDescent="0.25">
      <c r="A828" s="129" t="str">
        <f t="shared" si="17"/>
        <v>4025279</v>
      </c>
      <c r="B828" s="128">
        <v>402</v>
      </c>
      <c r="C828" s="128">
        <v>5279</v>
      </c>
      <c r="D828" s="128">
        <v>50002</v>
      </c>
      <c r="E828" s="138" t="s">
        <v>740</v>
      </c>
      <c r="F828" s="137">
        <v>40269</v>
      </c>
      <c r="G828" s="47">
        <v>1</v>
      </c>
      <c r="H828" s="48">
        <v>11876.468999999999</v>
      </c>
      <c r="I828" s="128" t="s">
        <v>1205</v>
      </c>
      <c r="J828" s="128" t="s">
        <v>1240</v>
      </c>
    </row>
    <row r="829" spans="1:10" x14ac:dyDescent="0.25">
      <c r="A829" s="129" t="str">
        <f t="shared" si="17"/>
        <v>4025280</v>
      </c>
      <c r="B829" s="128">
        <v>402</v>
      </c>
      <c r="C829" s="128">
        <v>5280</v>
      </c>
      <c r="D829" s="128">
        <v>50002</v>
      </c>
      <c r="E829" s="138" t="s">
        <v>553</v>
      </c>
      <c r="F829" s="137">
        <v>40269</v>
      </c>
      <c r="G829" s="47">
        <v>1</v>
      </c>
      <c r="H829" s="48">
        <v>2181.2999999999997</v>
      </c>
      <c r="I829" s="128" t="s">
        <v>1205</v>
      </c>
      <c r="J829" s="128" t="s">
        <v>1240</v>
      </c>
    </row>
    <row r="830" spans="1:10" x14ac:dyDescent="0.25">
      <c r="A830" s="129" t="str">
        <f t="shared" si="17"/>
        <v>4025281</v>
      </c>
      <c r="B830" s="128">
        <v>402</v>
      </c>
      <c r="C830" s="128">
        <v>5281</v>
      </c>
      <c r="D830" s="128">
        <v>50002</v>
      </c>
      <c r="E830" s="140" t="s">
        <v>859</v>
      </c>
      <c r="F830" s="137">
        <v>40269</v>
      </c>
      <c r="G830" s="47">
        <v>1</v>
      </c>
      <c r="H830" s="48">
        <v>2181.2999999999997</v>
      </c>
      <c r="I830" s="128" t="s">
        <v>1205</v>
      </c>
      <c r="J830" s="128" t="s">
        <v>1240</v>
      </c>
    </row>
    <row r="831" spans="1:10" x14ac:dyDescent="0.25">
      <c r="A831" s="129" t="str">
        <f t="shared" si="17"/>
        <v>4025283</v>
      </c>
      <c r="B831" s="128">
        <v>402</v>
      </c>
      <c r="C831" s="128">
        <v>5283</v>
      </c>
      <c r="D831" s="128">
        <v>50003</v>
      </c>
      <c r="E831" s="138" t="s">
        <v>759</v>
      </c>
      <c r="F831" s="137">
        <v>40269</v>
      </c>
      <c r="G831" s="47">
        <v>1</v>
      </c>
      <c r="H831" s="48">
        <v>6318.2790000000005</v>
      </c>
      <c r="I831" s="128" t="s">
        <v>107</v>
      </c>
      <c r="J831" s="128" t="s">
        <v>1242</v>
      </c>
    </row>
    <row r="832" spans="1:10" x14ac:dyDescent="0.25">
      <c r="A832" s="129" t="str">
        <f t="shared" si="17"/>
        <v>4025338</v>
      </c>
      <c r="B832" s="128">
        <v>402</v>
      </c>
      <c r="C832" s="128">
        <v>5338</v>
      </c>
      <c r="D832" s="128">
        <v>50002</v>
      </c>
      <c r="E832" s="138" t="s">
        <v>596</v>
      </c>
      <c r="F832" s="137">
        <v>40299</v>
      </c>
      <c r="G832" s="47">
        <v>1</v>
      </c>
      <c r="H832" s="48">
        <v>2181.2999999999997</v>
      </c>
      <c r="I832" s="128" t="s">
        <v>1205</v>
      </c>
      <c r="J832" s="128" t="s">
        <v>1240</v>
      </c>
    </row>
    <row r="833" spans="1:10" x14ac:dyDescent="0.25">
      <c r="A833" s="129" t="str">
        <f t="shared" si="17"/>
        <v>4025342</v>
      </c>
      <c r="B833" s="128">
        <v>402</v>
      </c>
      <c r="C833" s="128">
        <v>5342</v>
      </c>
      <c r="D833" s="128">
        <v>50002</v>
      </c>
      <c r="E833" s="138" t="s">
        <v>568</v>
      </c>
      <c r="F833" s="137">
        <v>40299</v>
      </c>
      <c r="G833" s="47">
        <v>1</v>
      </c>
      <c r="H833" s="48">
        <v>2181.2999999999997</v>
      </c>
      <c r="I833" s="128" t="s">
        <v>1205</v>
      </c>
      <c r="J833" s="128" t="s">
        <v>1240</v>
      </c>
    </row>
    <row r="834" spans="1:10" x14ac:dyDescent="0.25">
      <c r="A834" s="129" t="str">
        <f t="shared" si="17"/>
        <v>4025343</v>
      </c>
      <c r="B834" s="128">
        <v>402</v>
      </c>
      <c r="C834" s="128">
        <v>5343</v>
      </c>
      <c r="D834" s="128">
        <v>50007</v>
      </c>
      <c r="E834" s="138" t="s">
        <v>569</v>
      </c>
      <c r="F834" s="137">
        <v>40299</v>
      </c>
      <c r="G834" s="47">
        <v>1</v>
      </c>
      <c r="H834" s="48">
        <v>5653.1969999999992</v>
      </c>
      <c r="I834" s="128" t="s">
        <v>1121</v>
      </c>
      <c r="J834" s="128" t="s">
        <v>1241</v>
      </c>
    </row>
    <row r="835" spans="1:10" x14ac:dyDescent="0.25">
      <c r="A835" s="129" t="str">
        <f t="shared" si="17"/>
        <v>4025344</v>
      </c>
      <c r="B835" s="128">
        <v>402</v>
      </c>
      <c r="C835" s="128">
        <v>5344</v>
      </c>
      <c r="D835" s="128">
        <v>50002</v>
      </c>
      <c r="E835" s="140" t="s">
        <v>1005</v>
      </c>
      <c r="F835" s="137">
        <v>40299</v>
      </c>
      <c r="G835" s="47">
        <v>1</v>
      </c>
      <c r="H835" s="48">
        <v>3325.41</v>
      </c>
      <c r="I835" s="128" t="s">
        <v>1205</v>
      </c>
      <c r="J835" s="128" t="s">
        <v>1240</v>
      </c>
    </row>
    <row r="836" spans="1:10" x14ac:dyDescent="0.25">
      <c r="A836" s="129" t="str">
        <f t="shared" si="17"/>
        <v>4025345</v>
      </c>
      <c r="B836" s="128">
        <v>402</v>
      </c>
      <c r="C836" s="128">
        <v>5345</v>
      </c>
      <c r="D836" s="128">
        <v>50002</v>
      </c>
      <c r="E836" s="138" t="s">
        <v>471</v>
      </c>
      <c r="F836" s="137">
        <v>40299</v>
      </c>
      <c r="G836" s="47">
        <v>1</v>
      </c>
      <c r="H836" s="48">
        <v>2181.2999999999997</v>
      </c>
      <c r="I836" s="128" t="s">
        <v>1205</v>
      </c>
      <c r="J836" s="128" t="s">
        <v>1240</v>
      </c>
    </row>
    <row r="837" spans="1:10" x14ac:dyDescent="0.25">
      <c r="A837" s="129" t="str">
        <f t="shared" si="17"/>
        <v>4025409</v>
      </c>
      <c r="B837" s="128">
        <v>402</v>
      </c>
      <c r="C837" s="128">
        <v>5409</v>
      </c>
      <c r="D837" s="128">
        <v>50002</v>
      </c>
      <c r="E837" s="138" t="s">
        <v>227</v>
      </c>
      <c r="F837" s="137">
        <v>40330</v>
      </c>
      <c r="G837" s="47">
        <v>1</v>
      </c>
      <c r="H837" s="48">
        <v>2181.2999999999997</v>
      </c>
      <c r="I837" s="128" t="s">
        <v>1205</v>
      </c>
      <c r="J837" s="128" t="s">
        <v>1240</v>
      </c>
    </row>
    <row r="838" spans="1:10" x14ac:dyDescent="0.25">
      <c r="A838" s="129" t="str">
        <f t="shared" si="17"/>
        <v>4025412</v>
      </c>
      <c r="B838" s="128">
        <v>402</v>
      </c>
      <c r="C838" s="128">
        <v>5412</v>
      </c>
      <c r="D838" s="128">
        <v>50002</v>
      </c>
      <c r="E838" s="138" t="s">
        <v>337</v>
      </c>
      <c r="F838" s="137">
        <v>40330</v>
      </c>
      <c r="G838" s="47">
        <v>1</v>
      </c>
      <c r="H838" s="48">
        <v>3300</v>
      </c>
      <c r="I838" s="128" t="s">
        <v>1205</v>
      </c>
      <c r="J838" s="128" t="s">
        <v>1240</v>
      </c>
    </row>
    <row r="839" spans="1:10" x14ac:dyDescent="0.25">
      <c r="A839" s="129" t="str">
        <f t="shared" si="17"/>
        <v>4025555</v>
      </c>
      <c r="B839" s="128">
        <v>402</v>
      </c>
      <c r="C839" s="128">
        <v>5555</v>
      </c>
      <c r="D839" s="128">
        <v>50007</v>
      </c>
      <c r="E839" s="140" t="s">
        <v>883</v>
      </c>
      <c r="F839" s="137">
        <v>40392</v>
      </c>
      <c r="G839" s="47">
        <v>1</v>
      </c>
      <c r="H839" s="48">
        <v>6600</v>
      </c>
      <c r="I839" s="128" t="s">
        <v>1121</v>
      </c>
      <c r="J839" s="128" t="s">
        <v>1241</v>
      </c>
    </row>
    <row r="840" spans="1:10" x14ac:dyDescent="0.25">
      <c r="A840" s="129" t="str">
        <f t="shared" ref="A840:A903" si="18">B840&amp;C840</f>
        <v>4025557</v>
      </c>
      <c r="B840" s="128">
        <v>402</v>
      </c>
      <c r="C840" s="128">
        <v>5557</v>
      </c>
      <c r="D840" s="128">
        <v>50001</v>
      </c>
      <c r="E840" s="140" t="s">
        <v>1035</v>
      </c>
      <c r="F840" s="137">
        <v>40392</v>
      </c>
      <c r="G840" s="47">
        <v>1</v>
      </c>
      <c r="H840" s="48">
        <v>2181.2999999999997</v>
      </c>
      <c r="I840" s="128" t="s">
        <v>107</v>
      </c>
      <c r="J840" s="128" t="s">
        <v>1218</v>
      </c>
    </row>
    <row r="841" spans="1:10" x14ac:dyDescent="0.25">
      <c r="A841" s="129" t="str">
        <f t="shared" si="18"/>
        <v>4025695</v>
      </c>
      <c r="B841" s="128">
        <v>402</v>
      </c>
      <c r="C841" s="128">
        <v>5695</v>
      </c>
      <c r="D841" s="128">
        <v>58042</v>
      </c>
      <c r="E841" s="138" t="s">
        <v>422</v>
      </c>
      <c r="F841" s="137">
        <v>40455</v>
      </c>
      <c r="G841" s="47">
        <v>1</v>
      </c>
      <c r="H841" s="48">
        <v>9075</v>
      </c>
      <c r="I841" s="128" t="s">
        <v>1205</v>
      </c>
      <c r="J841" s="128" t="s">
        <v>1240</v>
      </c>
    </row>
    <row r="842" spans="1:10" x14ac:dyDescent="0.25">
      <c r="A842" s="129" t="str">
        <f t="shared" si="18"/>
        <v>4025716</v>
      </c>
      <c r="B842" s="128">
        <v>402</v>
      </c>
      <c r="C842" s="128">
        <v>5716</v>
      </c>
      <c r="D842" s="128">
        <v>50002</v>
      </c>
      <c r="E842" s="138" t="s">
        <v>215</v>
      </c>
      <c r="F842" s="137">
        <v>40462</v>
      </c>
      <c r="G842" s="47">
        <v>1</v>
      </c>
      <c r="H842" s="48">
        <v>4125</v>
      </c>
      <c r="I842" s="128" t="s">
        <v>1205</v>
      </c>
      <c r="J842" s="128" t="s">
        <v>1240</v>
      </c>
    </row>
    <row r="843" spans="1:10" x14ac:dyDescent="0.25">
      <c r="A843" s="129" t="str">
        <f t="shared" si="18"/>
        <v>4025750</v>
      </c>
      <c r="B843" s="128">
        <v>402</v>
      </c>
      <c r="C843" s="128">
        <v>5750</v>
      </c>
      <c r="D843" s="128">
        <v>50002</v>
      </c>
      <c r="E843" s="140" t="s">
        <v>992</v>
      </c>
      <c r="F843" s="137">
        <v>40483</v>
      </c>
      <c r="G843" s="47">
        <v>1</v>
      </c>
      <c r="H843" s="48">
        <v>825</v>
      </c>
      <c r="I843" s="128" t="s">
        <v>1205</v>
      </c>
      <c r="J843" s="128" t="s">
        <v>1240</v>
      </c>
    </row>
    <row r="844" spans="1:10" x14ac:dyDescent="0.25">
      <c r="A844" s="129" t="str">
        <f t="shared" si="18"/>
        <v>4025976</v>
      </c>
      <c r="B844" s="128">
        <v>402</v>
      </c>
      <c r="C844" s="128">
        <v>5976</v>
      </c>
      <c r="D844" s="128">
        <v>50002</v>
      </c>
      <c r="E844" s="138" t="s">
        <v>507</v>
      </c>
      <c r="F844" s="137">
        <v>40700</v>
      </c>
      <c r="G844" s="47">
        <v>1</v>
      </c>
      <c r="H844" s="48">
        <v>825</v>
      </c>
      <c r="I844" s="128" t="s">
        <v>1205</v>
      </c>
      <c r="J844" s="128" t="s">
        <v>1240</v>
      </c>
    </row>
    <row r="845" spans="1:10" x14ac:dyDescent="0.25">
      <c r="A845" s="129" t="str">
        <f t="shared" si="18"/>
        <v>4025984</v>
      </c>
      <c r="B845" s="128">
        <v>402</v>
      </c>
      <c r="C845" s="128">
        <v>5984</v>
      </c>
      <c r="D845" s="128">
        <v>50003</v>
      </c>
      <c r="E845" s="140" t="s">
        <v>993</v>
      </c>
      <c r="F845" s="137">
        <v>40700</v>
      </c>
      <c r="G845" s="47">
        <v>1</v>
      </c>
      <c r="H845" s="48">
        <v>5972.2245000000003</v>
      </c>
      <c r="I845" s="128" t="s">
        <v>107</v>
      </c>
      <c r="J845" s="128" t="s">
        <v>1242</v>
      </c>
    </row>
    <row r="846" spans="1:10" x14ac:dyDescent="0.25">
      <c r="A846" s="129" t="str">
        <f t="shared" si="18"/>
        <v>4026040</v>
      </c>
      <c r="B846" s="128">
        <v>402</v>
      </c>
      <c r="C846" s="128">
        <v>6040</v>
      </c>
      <c r="D846" s="128">
        <v>50002</v>
      </c>
      <c r="E846" s="138" t="s">
        <v>472</v>
      </c>
      <c r="F846" s="137">
        <v>40756</v>
      </c>
      <c r="G846" s="47">
        <v>1</v>
      </c>
      <c r="H846" s="48">
        <v>2475</v>
      </c>
      <c r="I846" s="128" t="s">
        <v>1162</v>
      </c>
      <c r="J846" s="128" t="s">
        <v>1240</v>
      </c>
    </row>
    <row r="847" spans="1:10" x14ac:dyDescent="0.25">
      <c r="A847" s="129" t="str">
        <f t="shared" si="18"/>
        <v>4026048</v>
      </c>
      <c r="B847" s="128">
        <v>402</v>
      </c>
      <c r="C847" s="128">
        <v>6048</v>
      </c>
      <c r="D847" s="128">
        <v>50002</v>
      </c>
      <c r="E847" s="138" t="s">
        <v>747</v>
      </c>
      <c r="F847" s="137">
        <v>40756</v>
      </c>
      <c r="G847" s="47">
        <v>2</v>
      </c>
      <c r="H847" s="48">
        <v>7676.4599999999991</v>
      </c>
      <c r="I847" s="128" t="s">
        <v>1162</v>
      </c>
      <c r="J847" s="128" t="s">
        <v>1240</v>
      </c>
    </row>
    <row r="848" spans="1:10" x14ac:dyDescent="0.25">
      <c r="A848" s="129" t="str">
        <f t="shared" si="18"/>
        <v>4026294</v>
      </c>
      <c r="B848" s="128">
        <v>402</v>
      </c>
      <c r="C848" s="128">
        <v>6294</v>
      </c>
      <c r="D848" s="128">
        <v>50001</v>
      </c>
      <c r="E848" s="140" t="s">
        <v>1113</v>
      </c>
      <c r="F848" s="137">
        <v>41031</v>
      </c>
      <c r="G848" s="47">
        <v>2</v>
      </c>
      <c r="H848" s="48">
        <v>4463.7614999999996</v>
      </c>
      <c r="I848" s="128" t="s">
        <v>107</v>
      </c>
      <c r="J848" s="128" t="s">
        <v>1218</v>
      </c>
    </row>
    <row r="849" spans="1:10" x14ac:dyDescent="0.25">
      <c r="A849" s="129" t="str">
        <f t="shared" si="18"/>
        <v>4026367</v>
      </c>
      <c r="B849" s="128">
        <v>402</v>
      </c>
      <c r="C849" s="128">
        <v>6367</v>
      </c>
      <c r="D849" s="128">
        <v>50007</v>
      </c>
      <c r="E849" s="138" t="s">
        <v>832</v>
      </c>
      <c r="F849" s="137">
        <v>41106</v>
      </c>
      <c r="G849" s="47">
        <v>2</v>
      </c>
      <c r="H849" s="48">
        <v>10467.8145</v>
      </c>
      <c r="I849" s="128" t="s">
        <v>1128</v>
      </c>
      <c r="J849" s="128" t="s">
        <v>1241</v>
      </c>
    </row>
    <row r="850" spans="1:10" x14ac:dyDescent="0.25">
      <c r="A850" s="129" t="str">
        <f t="shared" si="18"/>
        <v>4026376</v>
      </c>
      <c r="B850" s="128">
        <v>402</v>
      </c>
      <c r="C850" s="128">
        <v>6376</v>
      </c>
      <c r="D850" s="128">
        <v>50002</v>
      </c>
      <c r="E850" s="138" t="s">
        <v>767</v>
      </c>
      <c r="F850" s="137">
        <v>41113</v>
      </c>
      <c r="G850" s="47">
        <v>2</v>
      </c>
      <c r="H850" s="48">
        <v>4463.7614999999996</v>
      </c>
      <c r="I850" s="128" t="s">
        <v>1162</v>
      </c>
      <c r="J850" s="128" t="s">
        <v>1240</v>
      </c>
    </row>
    <row r="851" spans="1:10" x14ac:dyDescent="0.25">
      <c r="A851" s="129" t="str">
        <f t="shared" si="18"/>
        <v>4026488</v>
      </c>
      <c r="B851" s="128">
        <v>402</v>
      </c>
      <c r="C851" s="128">
        <v>6488</v>
      </c>
      <c r="D851" s="128">
        <v>50007</v>
      </c>
      <c r="E851" s="140" t="s">
        <v>1048</v>
      </c>
      <c r="F851" s="137">
        <v>41183</v>
      </c>
      <c r="G851" s="47">
        <v>2</v>
      </c>
      <c r="H851" s="48">
        <v>5113.6634999999997</v>
      </c>
      <c r="I851" s="128" t="s">
        <v>1189</v>
      </c>
      <c r="J851" s="128" t="s">
        <v>1241</v>
      </c>
    </row>
    <row r="852" spans="1:10" x14ac:dyDescent="0.25">
      <c r="A852" s="129" t="str">
        <f t="shared" si="18"/>
        <v>4026505</v>
      </c>
      <c r="B852" s="128">
        <v>402</v>
      </c>
      <c r="C852" s="128">
        <v>6505</v>
      </c>
      <c r="D852" s="128">
        <v>50002</v>
      </c>
      <c r="E852" s="138" t="s">
        <v>560</v>
      </c>
      <c r="F852" s="137">
        <v>41190</v>
      </c>
      <c r="G852" s="47">
        <v>2</v>
      </c>
      <c r="H852" s="48">
        <v>6200.799</v>
      </c>
      <c r="I852" s="128" t="s">
        <v>1162</v>
      </c>
      <c r="J852" s="128" t="s">
        <v>1240</v>
      </c>
    </row>
    <row r="853" spans="1:10" x14ac:dyDescent="0.25">
      <c r="A853" s="129" t="str">
        <f t="shared" si="18"/>
        <v>4026604</v>
      </c>
      <c r="B853" s="128">
        <v>402</v>
      </c>
      <c r="C853" s="128">
        <v>6604</v>
      </c>
      <c r="D853" s="128">
        <v>50002</v>
      </c>
      <c r="E853" s="140" t="s">
        <v>1057</v>
      </c>
      <c r="F853" s="137">
        <v>41246</v>
      </c>
      <c r="G853" s="47">
        <v>2</v>
      </c>
      <c r="H853" s="48">
        <v>6379.6589999999997</v>
      </c>
      <c r="I853" s="128" t="s">
        <v>1162</v>
      </c>
      <c r="J853" s="128" t="s">
        <v>1240</v>
      </c>
    </row>
    <row r="854" spans="1:10" x14ac:dyDescent="0.25">
      <c r="A854" s="129" t="str">
        <f t="shared" si="18"/>
        <v>4026655</v>
      </c>
      <c r="B854" s="128">
        <v>402</v>
      </c>
      <c r="C854" s="128">
        <v>6655</v>
      </c>
      <c r="D854" s="128">
        <v>50002</v>
      </c>
      <c r="E854" s="140" t="s">
        <v>922</v>
      </c>
      <c r="F854" s="137">
        <v>41330</v>
      </c>
      <c r="G854" s="47">
        <v>2</v>
      </c>
      <c r="H854" s="48">
        <v>6200.799</v>
      </c>
      <c r="I854" s="128" t="s">
        <v>1162</v>
      </c>
      <c r="J854" s="128" t="s">
        <v>1240</v>
      </c>
    </row>
    <row r="855" spans="1:10" x14ac:dyDescent="0.25">
      <c r="A855" s="129" t="str">
        <f t="shared" si="18"/>
        <v>4026657</v>
      </c>
      <c r="B855" s="128">
        <v>402</v>
      </c>
      <c r="C855" s="128">
        <v>6657</v>
      </c>
      <c r="D855" s="128">
        <v>50007</v>
      </c>
      <c r="E855" s="140" t="s">
        <v>881</v>
      </c>
      <c r="F855" s="137">
        <v>41330</v>
      </c>
      <c r="G855" s="47">
        <v>2</v>
      </c>
      <c r="H855" s="48">
        <v>6200.799</v>
      </c>
      <c r="I855" s="128" t="s">
        <v>1121</v>
      </c>
      <c r="J855" s="128" t="s">
        <v>1241</v>
      </c>
    </row>
    <row r="856" spans="1:10" x14ac:dyDescent="0.25">
      <c r="A856" s="129" t="str">
        <f t="shared" si="18"/>
        <v>4026672</v>
      </c>
      <c r="B856" s="128">
        <v>402</v>
      </c>
      <c r="C856" s="128">
        <v>6672</v>
      </c>
      <c r="D856" s="128">
        <v>50007</v>
      </c>
      <c r="E856" s="140" t="s">
        <v>998</v>
      </c>
      <c r="F856" s="137">
        <v>41344</v>
      </c>
      <c r="G856" s="47">
        <v>2</v>
      </c>
      <c r="H856" s="48">
        <v>10467.8145</v>
      </c>
      <c r="I856" s="128" t="s">
        <v>1128</v>
      </c>
      <c r="J856" s="128" t="s">
        <v>1241</v>
      </c>
    </row>
    <row r="857" spans="1:10" x14ac:dyDescent="0.25">
      <c r="A857" s="129" t="str">
        <f t="shared" si="18"/>
        <v>4026679</v>
      </c>
      <c r="B857" s="128">
        <v>402</v>
      </c>
      <c r="C857" s="128">
        <v>6679</v>
      </c>
      <c r="D857" s="128">
        <v>50002</v>
      </c>
      <c r="E857" s="140" t="s">
        <v>1008</v>
      </c>
      <c r="F857" s="137">
        <v>41351</v>
      </c>
      <c r="G857" s="47">
        <v>2</v>
      </c>
      <c r="H857" s="48">
        <v>10467.8145</v>
      </c>
      <c r="I857" s="128" t="s">
        <v>1162</v>
      </c>
      <c r="J857" s="128" t="s">
        <v>1240</v>
      </c>
    </row>
    <row r="858" spans="1:10" x14ac:dyDescent="0.25">
      <c r="A858" s="129" t="str">
        <f t="shared" si="18"/>
        <v>4026715</v>
      </c>
      <c r="B858" s="128">
        <v>402</v>
      </c>
      <c r="C858" s="128">
        <v>6715</v>
      </c>
      <c r="D858" s="128">
        <v>50002</v>
      </c>
      <c r="E858" s="138" t="s">
        <v>458</v>
      </c>
      <c r="F858" s="137">
        <v>41372</v>
      </c>
      <c r="G858" s="47">
        <v>2</v>
      </c>
      <c r="H858" s="48">
        <v>5743.683</v>
      </c>
      <c r="I858" s="128" t="s">
        <v>1205</v>
      </c>
      <c r="J858" s="128" t="s">
        <v>1240</v>
      </c>
    </row>
    <row r="859" spans="1:10" x14ac:dyDescent="0.25">
      <c r="A859" s="129" t="str">
        <f t="shared" si="18"/>
        <v>4026728</v>
      </c>
      <c r="B859" s="128">
        <v>402</v>
      </c>
      <c r="C859" s="128">
        <v>6728</v>
      </c>
      <c r="D859" s="128">
        <v>50007</v>
      </c>
      <c r="E859" s="138" t="s">
        <v>670</v>
      </c>
      <c r="F859" s="137">
        <v>41379</v>
      </c>
      <c r="G859" s="47">
        <v>2</v>
      </c>
      <c r="H859" s="48">
        <v>6200.799</v>
      </c>
      <c r="I859" s="128" t="s">
        <v>1121</v>
      </c>
      <c r="J859" s="128" t="s">
        <v>1241</v>
      </c>
    </row>
    <row r="860" spans="1:10" x14ac:dyDescent="0.25">
      <c r="A860" s="129" t="str">
        <f t="shared" si="18"/>
        <v>4026746</v>
      </c>
      <c r="B860" s="128">
        <v>402</v>
      </c>
      <c r="C860" s="128">
        <v>6746</v>
      </c>
      <c r="D860" s="128">
        <v>50002</v>
      </c>
      <c r="E860" s="140" t="s">
        <v>1011</v>
      </c>
      <c r="F860" s="137">
        <v>41400</v>
      </c>
      <c r="G860" s="47">
        <v>2</v>
      </c>
      <c r="H860" s="48">
        <v>6200.799</v>
      </c>
      <c r="I860" s="128" t="s">
        <v>1162</v>
      </c>
      <c r="J860" s="128" t="s">
        <v>1240</v>
      </c>
    </row>
    <row r="861" spans="1:10" x14ac:dyDescent="0.25">
      <c r="A861" s="129" t="str">
        <f t="shared" si="18"/>
        <v>4026753</v>
      </c>
      <c r="B861" s="128">
        <v>402</v>
      </c>
      <c r="C861" s="128">
        <v>6753</v>
      </c>
      <c r="D861" s="128">
        <v>50007</v>
      </c>
      <c r="E861" s="138" t="s">
        <v>160</v>
      </c>
      <c r="F861" s="137">
        <v>41400</v>
      </c>
      <c r="G861" s="47">
        <v>2</v>
      </c>
      <c r="H861" s="48">
        <v>4463.7614999999996</v>
      </c>
      <c r="I861" s="128" t="s">
        <v>1156</v>
      </c>
      <c r="J861" s="128" t="s">
        <v>1241</v>
      </c>
    </row>
    <row r="862" spans="1:10" x14ac:dyDescent="0.25">
      <c r="A862" s="129" t="str">
        <f t="shared" si="18"/>
        <v>4026837</v>
      </c>
      <c r="B862" s="128">
        <v>402</v>
      </c>
      <c r="C862" s="128">
        <v>6837</v>
      </c>
      <c r="D862" s="128">
        <v>50007</v>
      </c>
      <c r="E862" s="138" t="s">
        <v>593</v>
      </c>
      <c r="F862" s="137">
        <v>41442</v>
      </c>
      <c r="G862" s="47">
        <v>2</v>
      </c>
      <c r="H862" s="48">
        <v>43297.616999999998</v>
      </c>
      <c r="I862" s="128" t="s">
        <v>1128</v>
      </c>
      <c r="J862" s="128" t="s">
        <v>1241</v>
      </c>
    </row>
    <row r="863" spans="1:10" x14ac:dyDescent="0.25">
      <c r="A863" s="129" t="str">
        <f t="shared" si="18"/>
        <v>4026850</v>
      </c>
      <c r="B863" s="128">
        <v>402</v>
      </c>
      <c r="C863" s="128">
        <v>6850</v>
      </c>
      <c r="D863" s="128">
        <v>50002</v>
      </c>
      <c r="E863" s="138" t="s">
        <v>597</v>
      </c>
      <c r="F863" s="137">
        <v>41463</v>
      </c>
      <c r="G863" s="47">
        <v>2</v>
      </c>
      <c r="H863" s="48">
        <v>4463.7614999999996</v>
      </c>
      <c r="I863" s="128" t="s">
        <v>1162</v>
      </c>
      <c r="J863" s="128" t="s">
        <v>1240</v>
      </c>
    </row>
    <row r="864" spans="1:10" x14ac:dyDescent="0.25">
      <c r="A864" s="129" t="str">
        <f t="shared" si="18"/>
        <v>4026860</v>
      </c>
      <c r="B864" s="128">
        <v>402</v>
      </c>
      <c r="C864" s="128">
        <v>6860</v>
      </c>
      <c r="D864" s="128">
        <v>50002</v>
      </c>
      <c r="E864" s="140" t="s">
        <v>971</v>
      </c>
      <c r="F864" s="137">
        <v>41470</v>
      </c>
      <c r="G864" s="47">
        <v>2</v>
      </c>
      <c r="H864" s="48">
        <v>10467.8145</v>
      </c>
      <c r="I864" s="128" t="s">
        <v>1162</v>
      </c>
      <c r="J864" s="128" t="s">
        <v>1240</v>
      </c>
    </row>
    <row r="865" spans="1:10" x14ac:dyDescent="0.25">
      <c r="A865" s="129" t="str">
        <f t="shared" si="18"/>
        <v>4026880</v>
      </c>
      <c r="B865" s="128">
        <v>402</v>
      </c>
      <c r="C865" s="128">
        <v>6880</v>
      </c>
      <c r="D865" s="128">
        <v>50001</v>
      </c>
      <c r="E865" s="138" t="s">
        <v>531</v>
      </c>
      <c r="F865" s="137">
        <v>41491</v>
      </c>
      <c r="G865" s="47">
        <v>2</v>
      </c>
      <c r="H865" s="48">
        <v>8520.1380000000008</v>
      </c>
      <c r="I865" s="128" t="s">
        <v>1126</v>
      </c>
      <c r="J865" s="128" t="s">
        <v>1218</v>
      </c>
    </row>
    <row r="866" spans="1:10" x14ac:dyDescent="0.25">
      <c r="A866" s="129" t="str">
        <f t="shared" si="18"/>
        <v>4026914</v>
      </c>
      <c r="B866" s="128">
        <v>402</v>
      </c>
      <c r="C866" s="128">
        <v>6914</v>
      </c>
      <c r="D866" s="128">
        <v>50007</v>
      </c>
      <c r="E866" s="138" t="s">
        <v>218</v>
      </c>
      <c r="F866" s="137">
        <v>41505</v>
      </c>
      <c r="G866" s="47">
        <v>2</v>
      </c>
      <c r="H866" s="48">
        <v>6200.799</v>
      </c>
      <c r="I866" s="128" t="s">
        <v>1121</v>
      </c>
      <c r="J866" s="128" t="s">
        <v>1241</v>
      </c>
    </row>
    <row r="867" spans="1:10" x14ac:dyDescent="0.25">
      <c r="A867" s="129" t="str">
        <f t="shared" si="18"/>
        <v>4026926</v>
      </c>
      <c r="B867" s="128">
        <v>402</v>
      </c>
      <c r="C867" s="128">
        <v>6926</v>
      </c>
      <c r="D867" s="128">
        <v>50002</v>
      </c>
      <c r="E867" s="138" t="s">
        <v>271</v>
      </c>
      <c r="F867" s="137">
        <v>41505</v>
      </c>
      <c r="G867" s="47">
        <v>2</v>
      </c>
      <c r="H867" s="48">
        <v>8520.1380000000008</v>
      </c>
      <c r="I867" s="128" t="s">
        <v>1162</v>
      </c>
      <c r="J867" s="128" t="s">
        <v>1240</v>
      </c>
    </row>
    <row r="868" spans="1:10" x14ac:dyDescent="0.25">
      <c r="A868" s="129" t="str">
        <f t="shared" si="18"/>
        <v>4026941</v>
      </c>
      <c r="B868" s="128">
        <v>402</v>
      </c>
      <c r="C868" s="128">
        <v>6941</v>
      </c>
      <c r="D868" s="128">
        <v>50007</v>
      </c>
      <c r="E868" s="140" t="s">
        <v>999</v>
      </c>
      <c r="F868" s="137">
        <v>41526</v>
      </c>
      <c r="G868" s="47">
        <v>2</v>
      </c>
      <c r="H868" s="48">
        <v>4785</v>
      </c>
      <c r="I868" s="128" t="s">
        <v>1121</v>
      </c>
      <c r="J868" s="128" t="s">
        <v>1241</v>
      </c>
    </row>
    <row r="869" spans="1:10" x14ac:dyDescent="0.25">
      <c r="A869" s="129" t="str">
        <f t="shared" si="18"/>
        <v>4026999</v>
      </c>
      <c r="B869" s="128">
        <v>402</v>
      </c>
      <c r="C869" s="128">
        <v>6999</v>
      </c>
      <c r="D869" s="128">
        <v>50002</v>
      </c>
      <c r="E869" s="138" t="s">
        <v>144</v>
      </c>
      <c r="F869" s="137">
        <v>41561</v>
      </c>
      <c r="G869" s="47">
        <v>2</v>
      </c>
      <c r="H869" s="48">
        <v>4463.7614999999996</v>
      </c>
      <c r="I869" s="128" t="s">
        <v>1162</v>
      </c>
      <c r="J869" s="128" t="s">
        <v>1240</v>
      </c>
    </row>
    <row r="870" spans="1:10" x14ac:dyDescent="0.25">
      <c r="A870" s="129" t="str">
        <f t="shared" si="18"/>
        <v>4027070</v>
      </c>
      <c r="B870" s="128">
        <v>402</v>
      </c>
      <c r="C870" s="128">
        <v>7070</v>
      </c>
      <c r="D870" s="128">
        <v>50007</v>
      </c>
      <c r="E870" s="138" t="s">
        <v>133</v>
      </c>
      <c r="F870" s="137">
        <v>41660</v>
      </c>
      <c r="G870" s="47">
        <v>2</v>
      </c>
      <c r="H870" s="48">
        <v>10239.2565</v>
      </c>
      <c r="I870" s="128" t="s">
        <v>1128</v>
      </c>
      <c r="J870" s="128" t="s">
        <v>1241</v>
      </c>
    </row>
    <row r="871" spans="1:10" x14ac:dyDescent="0.25">
      <c r="A871" s="129" t="str">
        <f t="shared" si="18"/>
        <v>4027073</v>
      </c>
      <c r="B871" s="128">
        <v>402</v>
      </c>
      <c r="C871" s="128">
        <v>7073</v>
      </c>
      <c r="D871" s="128">
        <v>50002</v>
      </c>
      <c r="E871" s="140" t="s">
        <v>1029</v>
      </c>
      <c r="F871" s="137">
        <v>41660</v>
      </c>
      <c r="G871" s="47">
        <v>2</v>
      </c>
      <c r="H871" s="48">
        <v>6200.799</v>
      </c>
      <c r="I871" s="128" t="s">
        <v>1162</v>
      </c>
      <c r="J871" s="128" t="s">
        <v>1240</v>
      </c>
    </row>
    <row r="872" spans="1:10" x14ac:dyDescent="0.25">
      <c r="A872" s="129" t="str">
        <f t="shared" si="18"/>
        <v>4028668</v>
      </c>
      <c r="B872" s="128">
        <v>402</v>
      </c>
      <c r="C872" s="128">
        <v>8668</v>
      </c>
      <c r="D872" s="128">
        <v>50002</v>
      </c>
      <c r="E872" s="138" t="s">
        <v>646</v>
      </c>
      <c r="F872" s="137">
        <v>41771</v>
      </c>
      <c r="G872" s="47">
        <v>2</v>
      </c>
      <c r="H872" s="48">
        <v>4463.7614999999996</v>
      </c>
      <c r="I872" s="128" t="s">
        <v>1162</v>
      </c>
      <c r="J872" s="128" t="s">
        <v>1240</v>
      </c>
    </row>
    <row r="873" spans="1:10" x14ac:dyDescent="0.25">
      <c r="A873" s="129" t="str">
        <f t="shared" si="18"/>
        <v>5043048</v>
      </c>
      <c r="B873" s="128">
        <v>504</v>
      </c>
      <c r="C873" s="128">
        <v>3048</v>
      </c>
      <c r="D873" s="128">
        <v>50007</v>
      </c>
      <c r="E873" s="138" t="s">
        <v>777</v>
      </c>
      <c r="F873" s="137">
        <v>39326</v>
      </c>
      <c r="G873" s="47">
        <v>2</v>
      </c>
      <c r="H873" s="48">
        <v>10239.2565</v>
      </c>
      <c r="I873" s="128" t="s">
        <v>1185</v>
      </c>
      <c r="J873" s="128" t="s">
        <v>1241</v>
      </c>
    </row>
    <row r="874" spans="1:10" x14ac:dyDescent="0.25">
      <c r="A874" s="129" t="str">
        <f t="shared" si="18"/>
        <v>5044808</v>
      </c>
      <c r="B874" s="128">
        <v>504</v>
      </c>
      <c r="C874" s="128">
        <v>4808</v>
      </c>
      <c r="D874" s="128">
        <v>50007</v>
      </c>
      <c r="E874" s="138" t="s">
        <v>457</v>
      </c>
      <c r="F874" s="137">
        <v>40014</v>
      </c>
      <c r="G874" s="47">
        <v>2</v>
      </c>
      <c r="H874" s="48">
        <v>4636.6814999999997</v>
      </c>
      <c r="I874" s="128" t="s">
        <v>1139</v>
      </c>
      <c r="J874" s="128" t="s">
        <v>1241</v>
      </c>
    </row>
    <row r="875" spans="1:10" x14ac:dyDescent="0.25">
      <c r="A875" s="129" t="str">
        <f t="shared" si="18"/>
        <v>5045527</v>
      </c>
      <c r="B875" s="128">
        <v>504</v>
      </c>
      <c r="C875" s="128">
        <v>5527</v>
      </c>
      <c r="D875" s="128">
        <v>50002</v>
      </c>
      <c r="E875" s="140" t="s">
        <v>950</v>
      </c>
      <c r="F875" s="137">
        <v>40392</v>
      </c>
      <c r="G875" s="47">
        <v>2</v>
      </c>
      <c r="H875" s="48">
        <v>5426.19</v>
      </c>
      <c r="I875" s="128" t="s">
        <v>1162</v>
      </c>
      <c r="J875" s="128" t="s">
        <v>1240</v>
      </c>
    </row>
    <row r="876" spans="1:10" x14ac:dyDescent="0.25">
      <c r="A876" s="129" t="str">
        <f t="shared" si="18"/>
        <v>5045528</v>
      </c>
      <c r="B876" s="128">
        <v>504</v>
      </c>
      <c r="C876" s="128">
        <v>5528</v>
      </c>
      <c r="D876" s="128">
        <v>50002</v>
      </c>
      <c r="E876" s="138" t="s">
        <v>641</v>
      </c>
      <c r="F876" s="137">
        <v>40392</v>
      </c>
      <c r="G876" s="47">
        <v>2</v>
      </c>
      <c r="H876" s="48">
        <v>4463.7614999999996</v>
      </c>
      <c r="I876" s="128" t="s">
        <v>1162</v>
      </c>
      <c r="J876" s="128" t="s">
        <v>1240</v>
      </c>
    </row>
    <row r="877" spans="1:10" x14ac:dyDescent="0.25">
      <c r="A877" s="129" t="str">
        <f t="shared" si="18"/>
        <v>5045534</v>
      </c>
      <c r="B877" s="128">
        <v>504</v>
      </c>
      <c r="C877" s="128">
        <v>5534</v>
      </c>
      <c r="D877" s="128">
        <v>50001</v>
      </c>
      <c r="E877" s="138" t="s">
        <v>550</v>
      </c>
      <c r="F877" s="137">
        <v>40392</v>
      </c>
      <c r="G877" s="47">
        <v>2</v>
      </c>
      <c r="H877" s="48">
        <v>4785</v>
      </c>
      <c r="I877" s="128" t="s">
        <v>1178</v>
      </c>
      <c r="J877" s="128" t="s">
        <v>1218</v>
      </c>
    </row>
    <row r="878" spans="1:10" x14ac:dyDescent="0.25">
      <c r="A878" s="129" t="str">
        <f t="shared" si="18"/>
        <v>5045535</v>
      </c>
      <c r="B878" s="128">
        <v>504</v>
      </c>
      <c r="C878" s="128">
        <v>5535</v>
      </c>
      <c r="D878" s="128">
        <v>50007</v>
      </c>
      <c r="E878" s="138" t="s">
        <v>332</v>
      </c>
      <c r="F878" s="137">
        <v>40392</v>
      </c>
      <c r="G878" s="47">
        <v>2</v>
      </c>
      <c r="H878" s="48">
        <v>4463.7614999999996</v>
      </c>
      <c r="I878" s="128" t="s">
        <v>1121</v>
      </c>
      <c r="J878" s="128" t="s">
        <v>1241</v>
      </c>
    </row>
    <row r="879" spans="1:10" x14ac:dyDescent="0.25">
      <c r="A879" s="129" t="str">
        <f t="shared" si="18"/>
        <v>5045569</v>
      </c>
      <c r="B879" s="128">
        <v>504</v>
      </c>
      <c r="C879" s="128">
        <v>5569</v>
      </c>
      <c r="D879" s="128">
        <v>50007</v>
      </c>
      <c r="E879" s="138" t="s">
        <v>357</v>
      </c>
      <c r="F879" s="137">
        <v>40399</v>
      </c>
      <c r="G879" s="47">
        <v>2</v>
      </c>
      <c r="H879" s="48">
        <v>5445</v>
      </c>
      <c r="I879" s="128" t="s">
        <v>1121</v>
      </c>
      <c r="J879" s="128" t="s">
        <v>1241</v>
      </c>
    </row>
    <row r="880" spans="1:10" x14ac:dyDescent="0.25">
      <c r="A880" s="129" t="str">
        <f t="shared" si="18"/>
        <v>5045638</v>
      </c>
      <c r="B880" s="128">
        <v>504</v>
      </c>
      <c r="C880" s="128">
        <v>5638</v>
      </c>
      <c r="D880" s="128">
        <v>50007</v>
      </c>
      <c r="E880" s="138" t="s">
        <v>503</v>
      </c>
      <c r="F880" s="137">
        <v>40441</v>
      </c>
      <c r="G880" s="47">
        <v>2</v>
      </c>
      <c r="H880" s="48">
        <v>4463.7614999999996</v>
      </c>
      <c r="I880" s="128" t="s">
        <v>1162</v>
      </c>
      <c r="J880" s="128" t="s">
        <v>1241</v>
      </c>
    </row>
    <row r="881" spans="1:10" x14ac:dyDescent="0.25">
      <c r="A881" s="129" t="str">
        <f t="shared" si="18"/>
        <v>5045870</v>
      </c>
      <c r="B881" s="128">
        <v>504</v>
      </c>
      <c r="C881" s="128">
        <v>5870</v>
      </c>
      <c r="D881" s="128">
        <v>50002</v>
      </c>
      <c r="E881" s="138" t="s">
        <v>165</v>
      </c>
      <c r="F881" s="137">
        <v>40679</v>
      </c>
      <c r="G881" s="47">
        <v>2</v>
      </c>
      <c r="H881" s="48">
        <v>4463.7614999999996</v>
      </c>
      <c r="I881" s="128" t="s">
        <v>1162</v>
      </c>
      <c r="J881" s="128" t="s">
        <v>1240</v>
      </c>
    </row>
    <row r="882" spans="1:10" x14ac:dyDescent="0.25">
      <c r="A882" s="129" t="str">
        <f t="shared" si="18"/>
        <v>5046141</v>
      </c>
      <c r="B882" s="128">
        <v>504</v>
      </c>
      <c r="C882" s="128">
        <v>6141</v>
      </c>
      <c r="D882" s="128">
        <v>50007</v>
      </c>
      <c r="E882" s="138" t="s">
        <v>619</v>
      </c>
      <c r="F882" s="137">
        <v>40910</v>
      </c>
      <c r="G882" s="47">
        <v>2</v>
      </c>
      <c r="H882" s="48">
        <v>4463.7614999999996</v>
      </c>
      <c r="I882" s="128" t="s">
        <v>1121</v>
      </c>
      <c r="J882" s="128" t="s">
        <v>1241</v>
      </c>
    </row>
    <row r="883" spans="1:10" x14ac:dyDescent="0.25">
      <c r="A883" s="129" t="str">
        <f t="shared" si="18"/>
        <v>5046432</v>
      </c>
      <c r="B883" s="128">
        <v>504</v>
      </c>
      <c r="C883" s="128">
        <v>6432</v>
      </c>
      <c r="D883" s="128">
        <v>50007</v>
      </c>
      <c r="E883" s="138" t="s">
        <v>502</v>
      </c>
      <c r="F883" s="137">
        <v>41134</v>
      </c>
      <c r="G883" s="47">
        <v>2</v>
      </c>
      <c r="H883" s="48">
        <v>4785</v>
      </c>
      <c r="I883" s="128" t="s">
        <v>1121</v>
      </c>
      <c r="J883" s="128" t="s">
        <v>1241</v>
      </c>
    </row>
    <row r="884" spans="1:10" x14ac:dyDescent="0.25">
      <c r="A884" s="129" t="str">
        <f t="shared" si="18"/>
        <v>5046436</v>
      </c>
      <c r="B884" s="128">
        <v>504</v>
      </c>
      <c r="C884" s="128">
        <v>6436</v>
      </c>
      <c r="D884" s="128">
        <v>50007</v>
      </c>
      <c r="E884" s="138" t="s">
        <v>185</v>
      </c>
      <c r="F884" s="137">
        <v>41141</v>
      </c>
      <c r="G884" s="47">
        <v>2</v>
      </c>
      <c r="H884" s="48">
        <v>4785</v>
      </c>
      <c r="I884" s="128" t="s">
        <v>1121</v>
      </c>
      <c r="J884" s="128" t="s">
        <v>1241</v>
      </c>
    </row>
    <row r="885" spans="1:10" x14ac:dyDescent="0.25">
      <c r="A885" s="129" t="str">
        <f t="shared" si="18"/>
        <v>5046544</v>
      </c>
      <c r="B885" s="128">
        <v>504</v>
      </c>
      <c r="C885" s="128">
        <v>6544</v>
      </c>
      <c r="D885" s="128">
        <v>50001</v>
      </c>
      <c r="E885" s="140" t="s">
        <v>917</v>
      </c>
      <c r="F885" s="137">
        <v>41218</v>
      </c>
      <c r="G885" s="47">
        <v>2</v>
      </c>
      <c r="H885" s="48">
        <v>4463.7614999999996</v>
      </c>
      <c r="I885" s="128" t="s">
        <v>1166</v>
      </c>
      <c r="J885" s="128" t="s">
        <v>1218</v>
      </c>
    </row>
    <row r="886" spans="1:10" x14ac:dyDescent="0.25">
      <c r="A886" s="129" t="str">
        <f t="shared" si="18"/>
        <v>5046610</v>
      </c>
      <c r="B886" s="128">
        <v>504</v>
      </c>
      <c r="C886" s="128">
        <v>6610</v>
      </c>
      <c r="D886" s="128">
        <v>50002</v>
      </c>
      <c r="E886" s="140" t="s">
        <v>1089</v>
      </c>
      <c r="F886" s="137">
        <v>40028</v>
      </c>
      <c r="G886" s="47">
        <v>2</v>
      </c>
      <c r="H886" s="48">
        <v>4463.7614999999996</v>
      </c>
      <c r="I886" s="128" t="s">
        <v>1162</v>
      </c>
      <c r="J886" s="128" t="s">
        <v>1240</v>
      </c>
    </row>
    <row r="887" spans="1:10" x14ac:dyDescent="0.25">
      <c r="A887" s="129" t="str">
        <f t="shared" si="18"/>
        <v>5046712</v>
      </c>
      <c r="B887" s="128">
        <v>504</v>
      </c>
      <c r="C887" s="128">
        <v>6712</v>
      </c>
      <c r="D887" s="128">
        <v>50002</v>
      </c>
      <c r="E887" s="138" t="s">
        <v>354</v>
      </c>
      <c r="F887" s="137">
        <v>41372</v>
      </c>
      <c r="G887" s="47">
        <v>2</v>
      </c>
      <c r="H887" s="48">
        <v>4463.7614999999996</v>
      </c>
      <c r="I887" s="128" t="s">
        <v>1162</v>
      </c>
      <c r="J887" s="128" t="s">
        <v>1240</v>
      </c>
    </row>
    <row r="888" spans="1:10" x14ac:dyDescent="0.25">
      <c r="A888" s="129" t="str">
        <f t="shared" si="18"/>
        <v>5046806</v>
      </c>
      <c r="B888" s="128">
        <v>504</v>
      </c>
      <c r="C888" s="128">
        <v>6806</v>
      </c>
      <c r="D888" s="128">
        <v>50001</v>
      </c>
      <c r="E888" s="138" t="s">
        <v>594</v>
      </c>
      <c r="F888" s="137">
        <v>41428</v>
      </c>
      <c r="G888" s="47">
        <v>2</v>
      </c>
      <c r="H888" s="48">
        <v>4620</v>
      </c>
      <c r="I888" s="128" t="s">
        <v>1178</v>
      </c>
      <c r="J888" s="128" t="s">
        <v>1218</v>
      </c>
    </row>
    <row r="889" spans="1:10" x14ac:dyDescent="0.25">
      <c r="A889" s="129" t="str">
        <f t="shared" si="18"/>
        <v>5047074</v>
      </c>
      <c r="B889" s="128">
        <v>504</v>
      </c>
      <c r="C889" s="128">
        <v>7074</v>
      </c>
      <c r="D889" s="128">
        <v>50007</v>
      </c>
      <c r="E889" s="138" t="s">
        <v>184</v>
      </c>
      <c r="F889" s="137">
        <v>41660</v>
      </c>
      <c r="G889" s="47">
        <v>2</v>
      </c>
      <c r="H889" s="48">
        <v>4968.5789999999997</v>
      </c>
      <c r="I889" s="128" t="s">
        <v>1128</v>
      </c>
      <c r="J889" s="128" t="s">
        <v>1241</v>
      </c>
    </row>
    <row r="890" spans="1:10" x14ac:dyDescent="0.25">
      <c r="A890" s="129" t="str">
        <f t="shared" si="18"/>
        <v>5048702</v>
      </c>
      <c r="B890" s="128">
        <v>504</v>
      </c>
      <c r="C890" s="128">
        <v>8702</v>
      </c>
      <c r="D890" s="128">
        <v>50007</v>
      </c>
      <c r="E890" s="138" t="s">
        <v>219</v>
      </c>
      <c r="F890" s="137">
        <v>41799</v>
      </c>
      <c r="G890" s="47">
        <v>2</v>
      </c>
      <c r="H890" s="48">
        <v>7887</v>
      </c>
      <c r="I890" s="128" t="s">
        <v>1121</v>
      </c>
      <c r="J890" s="128" t="s">
        <v>1241</v>
      </c>
    </row>
    <row r="891" spans="1:10" x14ac:dyDescent="0.25">
      <c r="A891" s="129" t="str">
        <f t="shared" si="18"/>
        <v>5048706</v>
      </c>
      <c r="B891" s="128">
        <v>504</v>
      </c>
      <c r="C891" s="128">
        <v>8706</v>
      </c>
      <c r="D891" s="128">
        <v>50002</v>
      </c>
      <c r="E891" s="138" t="s">
        <v>222</v>
      </c>
      <c r="F891" s="137">
        <v>41799</v>
      </c>
      <c r="G891" s="47">
        <v>2</v>
      </c>
      <c r="H891" s="48">
        <v>12766.693499999999</v>
      </c>
      <c r="I891" s="128" t="s">
        <v>1162</v>
      </c>
      <c r="J891" s="128" t="s">
        <v>1240</v>
      </c>
    </row>
    <row r="892" spans="1:10" x14ac:dyDescent="0.25">
      <c r="A892" s="129" t="str">
        <f t="shared" si="18"/>
        <v>5048716</v>
      </c>
      <c r="B892" s="128">
        <v>504</v>
      </c>
      <c r="C892" s="128">
        <v>8716</v>
      </c>
      <c r="D892" s="128">
        <v>50002</v>
      </c>
      <c r="E892" s="138" t="s">
        <v>263</v>
      </c>
      <c r="F892" s="137">
        <v>41806</v>
      </c>
      <c r="G892" s="47">
        <v>2</v>
      </c>
      <c r="H892" s="48">
        <v>3223.605</v>
      </c>
      <c r="I892" s="128" t="s">
        <v>1162</v>
      </c>
      <c r="J892" s="128" t="s">
        <v>1240</v>
      </c>
    </row>
    <row r="893" spans="1:10" x14ac:dyDescent="0.25">
      <c r="A893" s="129" t="str">
        <f t="shared" si="18"/>
        <v>5053024</v>
      </c>
      <c r="B893" s="128">
        <v>505</v>
      </c>
      <c r="C893" s="128">
        <v>3024</v>
      </c>
      <c r="D893" s="128">
        <v>50007</v>
      </c>
      <c r="E893" s="138" t="s">
        <v>447</v>
      </c>
      <c r="F893" s="137">
        <v>39315</v>
      </c>
      <c r="G893" s="47">
        <v>2</v>
      </c>
      <c r="H893" s="48">
        <v>3223.605</v>
      </c>
      <c r="I893" s="128" t="s">
        <v>1130</v>
      </c>
      <c r="J893" s="128" t="s">
        <v>1241</v>
      </c>
    </row>
    <row r="894" spans="1:10" x14ac:dyDescent="0.25">
      <c r="A894" s="129" t="str">
        <f t="shared" si="18"/>
        <v>5053142</v>
      </c>
      <c r="B894" s="128">
        <v>505</v>
      </c>
      <c r="C894" s="128">
        <v>3142</v>
      </c>
      <c r="D894" s="128">
        <v>50007</v>
      </c>
      <c r="E894" s="138" t="s">
        <v>552</v>
      </c>
      <c r="F894" s="137">
        <v>39358</v>
      </c>
      <c r="G894" s="47">
        <v>2</v>
      </c>
      <c r="H894" s="48">
        <v>3223.605</v>
      </c>
      <c r="I894" s="128" t="s">
        <v>1139</v>
      </c>
      <c r="J894" s="128" t="s">
        <v>1241</v>
      </c>
    </row>
    <row r="895" spans="1:10" x14ac:dyDescent="0.25">
      <c r="A895" s="129" t="str">
        <f t="shared" si="18"/>
        <v>5053642</v>
      </c>
      <c r="B895" s="128">
        <v>505</v>
      </c>
      <c r="C895" s="128">
        <v>3642</v>
      </c>
      <c r="D895" s="128">
        <v>50007</v>
      </c>
      <c r="E895" s="138" t="s">
        <v>340</v>
      </c>
      <c r="F895" s="137">
        <v>39520</v>
      </c>
      <c r="G895" s="47">
        <v>2</v>
      </c>
      <c r="H895" s="48">
        <v>3609.1770000000001</v>
      </c>
      <c r="I895" s="128" t="s">
        <v>1141</v>
      </c>
      <c r="J895" s="128" t="s">
        <v>1241</v>
      </c>
    </row>
    <row r="896" spans="1:10" x14ac:dyDescent="0.25">
      <c r="A896" s="129" t="str">
        <f t="shared" si="18"/>
        <v>5053647</v>
      </c>
      <c r="B896" s="128">
        <v>505</v>
      </c>
      <c r="C896" s="128">
        <v>3647</v>
      </c>
      <c r="D896" s="128">
        <v>50007</v>
      </c>
      <c r="E896" s="138" t="s">
        <v>405</v>
      </c>
      <c r="F896" s="137">
        <v>39521</v>
      </c>
      <c r="G896" s="47">
        <v>2</v>
      </c>
      <c r="H896" s="48">
        <v>10467.8145</v>
      </c>
      <c r="I896" s="128" t="s">
        <v>1206</v>
      </c>
      <c r="J896" s="128" t="s">
        <v>1241</v>
      </c>
    </row>
    <row r="897" spans="1:10" x14ac:dyDescent="0.25">
      <c r="A897" s="129" t="str">
        <f t="shared" si="18"/>
        <v>5053797</v>
      </c>
      <c r="B897" s="128">
        <v>505</v>
      </c>
      <c r="C897" s="128">
        <v>3797</v>
      </c>
      <c r="D897" s="128">
        <v>50007</v>
      </c>
      <c r="E897" s="138" t="s">
        <v>481</v>
      </c>
      <c r="F897" s="137">
        <v>39547</v>
      </c>
      <c r="G897" s="47">
        <v>2</v>
      </c>
      <c r="H897" s="48">
        <v>5113.6634999999997</v>
      </c>
      <c r="I897" s="128" t="s">
        <v>1141</v>
      </c>
      <c r="J897" s="128" t="s">
        <v>1241</v>
      </c>
    </row>
    <row r="898" spans="1:10" x14ac:dyDescent="0.25">
      <c r="A898" s="129" t="str">
        <f t="shared" si="18"/>
        <v>5055153</v>
      </c>
      <c r="B898" s="128">
        <v>505</v>
      </c>
      <c r="C898" s="128">
        <v>5153</v>
      </c>
      <c r="D898" s="128">
        <v>50007</v>
      </c>
      <c r="E898" s="138" t="s">
        <v>324</v>
      </c>
      <c r="F898" s="137">
        <v>40198</v>
      </c>
      <c r="G898" s="47">
        <v>2</v>
      </c>
      <c r="H898" s="48">
        <v>10467.8145</v>
      </c>
      <c r="I898" s="128" t="s">
        <v>1139</v>
      </c>
      <c r="J898" s="128" t="s">
        <v>1241</v>
      </c>
    </row>
    <row r="899" spans="1:10" x14ac:dyDescent="0.25">
      <c r="A899" s="129" t="str">
        <f t="shared" si="18"/>
        <v>5055181</v>
      </c>
      <c r="B899" s="128">
        <v>505</v>
      </c>
      <c r="C899" s="128">
        <v>5181</v>
      </c>
      <c r="D899" s="128">
        <v>50007</v>
      </c>
      <c r="E899" s="138" t="s">
        <v>312</v>
      </c>
      <c r="F899" s="137">
        <v>40221</v>
      </c>
      <c r="G899" s="47">
        <v>2</v>
      </c>
      <c r="H899" s="48">
        <v>4968.5789999999997</v>
      </c>
      <c r="I899" s="128" t="s">
        <v>1139</v>
      </c>
      <c r="J899" s="128" t="s">
        <v>1241</v>
      </c>
    </row>
    <row r="900" spans="1:10" x14ac:dyDescent="0.25">
      <c r="A900" s="129" t="str">
        <f t="shared" si="18"/>
        <v>5057100</v>
      </c>
      <c r="B900" s="128">
        <v>505</v>
      </c>
      <c r="C900" s="128">
        <v>7100</v>
      </c>
      <c r="D900" s="128">
        <v>50007</v>
      </c>
      <c r="E900" s="140" t="s">
        <v>1050</v>
      </c>
      <c r="F900" s="137">
        <v>41680</v>
      </c>
      <c r="G900" s="47">
        <v>2</v>
      </c>
      <c r="H900" s="48">
        <v>4968.5789999999997</v>
      </c>
      <c r="I900" s="128" t="s">
        <v>1121</v>
      </c>
      <c r="J900" s="128" t="s">
        <v>1241</v>
      </c>
    </row>
    <row r="901" spans="1:10" x14ac:dyDescent="0.25">
      <c r="A901" s="129" t="str">
        <f t="shared" si="18"/>
        <v>5057101</v>
      </c>
      <c r="B901" s="128">
        <v>505</v>
      </c>
      <c r="C901" s="128">
        <v>7101</v>
      </c>
      <c r="D901" s="128">
        <v>50007</v>
      </c>
      <c r="E901" s="138" t="s">
        <v>617</v>
      </c>
      <c r="F901" s="137">
        <v>41680</v>
      </c>
      <c r="G901" s="47">
        <v>2</v>
      </c>
      <c r="H901" s="48">
        <v>4251.1094999999996</v>
      </c>
      <c r="I901" s="128" t="s">
        <v>1121</v>
      </c>
      <c r="J901" s="128" t="s">
        <v>1241</v>
      </c>
    </row>
    <row r="902" spans="1:10" x14ac:dyDescent="0.25">
      <c r="A902" s="129" t="str">
        <f t="shared" si="18"/>
        <v>5057103</v>
      </c>
      <c r="B902" s="128">
        <v>505</v>
      </c>
      <c r="C902" s="128">
        <v>7103</v>
      </c>
      <c r="D902" s="128">
        <v>50001</v>
      </c>
      <c r="E902" s="138" t="s">
        <v>639</v>
      </c>
      <c r="F902" s="137">
        <v>41680</v>
      </c>
      <c r="G902" s="47">
        <v>2</v>
      </c>
      <c r="H902" s="48">
        <v>21478.181999999997</v>
      </c>
      <c r="I902" s="128" t="s">
        <v>1186</v>
      </c>
      <c r="J902" s="128" t="s">
        <v>1218</v>
      </c>
    </row>
    <row r="903" spans="1:10" x14ac:dyDescent="0.25">
      <c r="A903" s="129" t="str">
        <f t="shared" si="18"/>
        <v>5057104</v>
      </c>
      <c r="B903" s="128">
        <v>505</v>
      </c>
      <c r="C903" s="128">
        <v>7104</v>
      </c>
      <c r="D903" s="128">
        <v>50007</v>
      </c>
      <c r="E903" s="140" t="s">
        <v>929</v>
      </c>
      <c r="F903" s="137">
        <v>41680</v>
      </c>
      <c r="G903" s="47">
        <v>2</v>
      </c>
      <c r="H903" s="48">
        <v>5127.5729999999994</v>
      </c>
      <c r="I903" s="128" t="s">
        <v>1121</v>
      </c>
      <c r="J903" s="128" t="s">
        <v>1241</v>
      </c>
    </row>
    <row r="904" spans="1:10" x14ac:dyDescent="0.25">
      <c r="A904" s="129" t="str">
        <f t="shared" ref="A904:A967" si="19">B904&amp;C904</f>
        <v>5057106</v>
      </c>
      <c r="B904" s="128">
        <v>505</v>
      </c>
      <c r="C904" s="128">
        <v>7106</v>
      </c>
      <c r="D904" s="128">
        <v>50007</v>
      </c>
      <c r="E904" s="140" t="s">
        <v>1006</v>
      </c>
      <c r="F904" s="137">
        <v>41680</v>
      </c>
      <c r="G904" s="47">
        <v>2</v>
      </c>
      <c r="H904" s="48">
        <v>3875.4870000000001</v>
      </c>
      <c r="I904" s="128" t="s">
        <v>1121</v>
      </c>
      <c r="J904" s="128" t="s">
        <v>1241</v>
      </c>
    </row>
    <row r="905" spans="1:10" x14ac:dyDescent="0.25">
      <c r="A905" s="129" t="str">
        <f t="shared" si="19"/>
        <v>5057107</v>
      </c>
      <c r="B905" s="128">
        <v>505</v>
      </c>
      <c r="C905" s="128">
        <v>7107</v>
      </c>
      <c r="D905" s="128">
        <v>50007</v>
      </c>
      <c r="E905" s="138" t="s">
        <v>474</v>
      </c>
      <c r="F905" s="137">
        <v>41680</v>
      </c>
      <c r="G905" s="47">
        <v>2</v>
      </c>
      <c r="H905" s="48">
        <v>4125</v>
      </c>
      <c r="I905" s="128" t="s">
        <v>1121</v>
      </c>
      <c r="J905" s="128" t="s">
        <v>1241</v>
      </c>
    </row>
    <row r="906" spans="1:10" x14ac:dyDescent="0.25">
      <c r="A906" s="129" t="str">
        <f t="shared" si="19"/>
        <v>5057110</v>
      </c>
      <c r="B906" s="128">
        <v>505</v>
      </c>
      <c r="C906" s="128">
        <v>7110</v>
      </c>
      <c r="D906" s="128">
        <v>50007</v>
      </c>
      <c r="E906" s="138" t="s">
        <v>526</v>
      </c>
      <c r="F906" s="137">
        <v>41680</v>
      </c>
      <c r="G906" s="47">
        <v>2</v>
      </c>
      <c r="H906" s="48">
        <v>3507.8174999999997</v>
      </c>
      <c r="I906" s="128" t="s">
        <v>1139</v>
      </c>
      <c r="J906" s="128" t="s">
        <v>1241</v>
      </c>
    </row>
    <row r="907" spans="1:10" x14ac:dyDescent="0.25">
      <c r="A907" s="129" t="str">
        <f t="shared" si="19"/>
        <v>5057111</v>
      </c>
      <c r="B907" s="128">
        <v>505</v>
      </c>
      <c r="C907" s="128">
        <v>7111</v>
      </c>
      <c r="D907" s="128">
        <v>50007</v>
      </c>
      <c r="E907" s="138" t="s">
        <v>768</v>
      </c>
      <c r="F907" s="137">
        <v>41680</v>
      </c>
      <c r="G907" s="47">
        <v>2</v>
      </c>
      <c r="H907" s="48">
        <v>6359.776499999999</v>
      </c>
      <c r="I907" s="128" t="s">
        <v>1121</v>
      </c>
      <c r="J907" s="128" t="s">
        <v>1241</v>
      </c>
    </row>
    <row r="908" spans="1:10" x14ac:dyDescent="0.25">
      <c r="A908" s="129" t="str">
        <f t="shared" si="19"/>
        <v>5057112</v>
      </c>
      <c r="B908" s="128">
        <v>505</v>
      </c>
      <c r="C908" s="128">
        <v>7112</v>
      </c>
      <c r="D908" s="128">
        <v>50007</v>
      </c>
      <c r="E908" s="138" t="s">
        <v>161</v>
      </c>
      <c r="F908" s="137">
        <v>41680</v>
      </c>
      <c r="G908" s="47">
        <v>2</v>
      </c>
      <c r="H908" s="48">
        <v>6856.6409999999996</v>
      </c>
      <c r="I908" s="128" t="s">
        <v>1121</v>
      </c>
      <c r="J908" s="128" t="s">
        <v>1241</v>
      </c>
    </row>
    <row r="909" spans="1:10" x14ac:dyDescent="0.25">
      <c r="A909" s="129" t="str">
        <f t="shared" si="19"/>
        <v>5057114</v>
      </c>
      <c r="B909" s="128">
        <v>505</v>
      </c>
      <c r="C909" s="128">
        <v>7114</v>
      </c>
      <c r="D909" s="128">
        <v>50001</v>
      </c>
      <c r="E909" s="138" t="s">
        <v>817</v>
      </c>
      <c r="F909" s="137">
        <v>41680</v>
      </c>
      <c r="G909" s="47">
        <v>2</v>
      </c>
      <c r="H909" s="48">
        <v>5426.19</v>
      </c>
      <c r="I909" s="128" t="s">
        <v>1186</v>
      </c>
      <c r="J909" s="128" t="s">
        <v>1218</v>
      </c>
    </row>
    <row r="910" spans="1:10" x14ac:dyDescent="0.25">
      <c r="A910" s="129" t="str">
        <f t="shared" si="19"/>
        <v>5057115</v>
      </c>
      <c r="B910" s="128">
        <v>505</v>
      </c>
      <c r="C910" s="128">
        <v>7115</v>
      </c>
      <c r="D910" s="128">
        <v>50007</v>
      </c>
      <c r="E910" s="138" t="s">
        <v>247</v>
      </c>
      <c r="F910" s="137">
        <v>41680</v>
      </c>
      <c r="G910" s="47">
        <v>2</v>
      </c>
      <c r="H910" s="48">
        <v>6117.325499999999</v>
      </c>
      <c r="I910" s="128" t="s">
        <v>1121</v>
      </c>
      <c r="J910" s="128" t="s">
        <v>1241</v>
      </c>
    </row>
    <row r="911" spans="1:10" x14ac:dyDescent="0.25">
      <c r="A911" s="129" t="str">
        <f t="shared" si="19"/>
        <v>5057116</v>
      </c>
      <c r="B911" s="128">
        <v>505</v>
      </c>
      <c r="C911" s="128">
        <v>7116</v>
      </c>
      <c r="D911" s="128">
        <v>50001</v>
      </c>
      <c r="E911" s="138" t="s">
        <v>585</v>
      </c>
      <c r="F911" s="137">
        <v>41680</v>
      </c>
      <c r="G911" s="47">
        <v>2</v>
      </c>
      <c r="H911" s="48">
        <v>2877.7979999999998</v>
      </c>
      <c r="I911" s="128" t="s">
        <v>1186</v>
      </c>
      <c r="J911" s="128" t="s">
        <v>1218</v>
      </c>
    </row>
    <row r="912" spans="1:10" x14ac:dyDescent="0.25">
      <c r="A912" s="129" t="str">
        <f t="shared" si="19"/>
        <v>5057117</v>
      </c>
      <c r="B912" s="128">
        <v>505</v>
      </c>
      <c r="C912" s="128">
        <v>7117</v>
      </c>
      <c r="D912" s="128">
        <v>50007</v>
      </c>
      <c r="E912" s="138" t="s">
        <v>510</v>
      </c>
      <c r="F912" s="137">
        <v>41680</v>
      </c>
      <c r="G912" s="47">
        <v>2</v>
      </c>
      <c r="H912" s="48">
        <v>5127.5729999999994</v>
      </c>
      <c r="I912" s="128" t="s">
        <v>1139</v>
      </c>
      <c r="J912" s="128" t="s">
        <v>1241</v>
      </c>
    </row>
    <row r="913" spans="1:10" x14ac:dyDescent="0.25">
      <c r="A913" s="129" t="str">
        <f t="shared" si="19"/>
        <v>5124145</v>
      </c>
      <c r="B913" s="128">
        <v>512</v>
      </c>
      <c r="C913" s="128">
        <v>4145</v>
      </c>
      <c r="D913" s="128">
        <v>50007</v>
      </c>
      <c r="E913" s="138" t="s">
        <v>429</v>
      </c>
      <c r="F913" s="137">
        <v>39681</v>
      </c>
      <c r="G913" s="47">
        <v>2</v>
      </c>
      <c r="H913" s="48">
        <v>21293.926499999998</v>
      </c>
      <c r="I913" s="128" t="s">
        <v>1141</v>
      </c>
      <c r="J913" s="128" t="s">
        <v>1241</v>
      </c>
    </row>
    <row r="914" spans="1:10" x14ac:dyDescent="0.25">
      <c r="A914" s="129" t="str">
        <f t="shared" si="19"/>
        <v>5125138</v>
      </c>
      <c r="B914" s="128">
        <v>512</v>
      </c>
      <c r="C914" s="128">
        <v>5138</v>
      </c>
      <c r="D914" s="128">
        <v>51127</v>
      </c>
      <c r="E914" s="138" t="s">
        <v>850</v>
      </c>
      <c r="F914" s="137">
        <v>40196</v>
      </c>
      <c r="G914" s="47">
        <v>2</v>
      </c>
      <c r="H914" s="48">
        <v>4463.7614999999996</v>
      </c>
      <c r="I914" s="128" t="s">
        <v>1121</v>
      </c>
      <c r="J914" s="128" t="s">
        <v>1241</v>
      </c>
    </row>
    <row r="915" spans="1:10" x14ac:dyDescent="0.25">
      <c r="A915" s="129" t="str">
        <f t="shared" si="19"/>
        <v>5126358</v>
      </c>
      <c r="B915" s="128">
        <v>512</v>
      </c>
      <c r="C915" s="128">
        <v>6358</v>
      </c>
      <c r="D915" s="128">
        <v>51127</v>
      </c>
      <c r="E915" s="138" t="s">
        <v>625</v>
      </c>
      <c r="F915" s="137">
        <v>41092</v>
      </c>
      <c r="G915" s="47">
        <v>2</v>
      </c>
      <c r="H915" s="48">
        <v>4479.6840000000002</v>
      </c>
      <c r="I915" s="128" t="s">
        <v>1121</v>
      </c>
      <c r="J915" s="128" t="s">
        <v>1241</v>
      </c>
    </row>
    <row r="916" spans="1:10" x14ac:dyDescent="0.25">
      <c r="A916" s="129" t="str">
        <f t="shared" si="19"/>
        <v>5126409</v>
      </c>
      <c r="B916" s="128">
        <v>512</v>
      </c>
      <c r="C916" s="128">
        <v>6409</v>
      </c>
      <c r="D916" s="128">
        <v>51122</v>
      </c>
      <c r="E916" s="138" t="s">
        <v>644</v>
      </c>
      <c r="F916" s="137">
        <v>41113</v>
      </c>
      <c r="G916" s="47">
        <v>2</v>
      </c>
      <c r="H916" s="48">
        <v>4722.1350000000002</v>
      </c>
      <c r="I916" s="128" t="s">
        <v>1162</v>
      </c>
      <c r="J916" s="128" t="s">
        <v>1252</v>
      </c>
    </row>
    <row r="917" spans="1:10" x14ac:dyDescent="0.25">
      <c r="A917" s="129" t="str">
        <f t="shared" si="19"/>
        <v>5126588</v>
      </c>
      <c r="B917" s="128">
        <v>512</v>
      </c>
      <c r="C917" s="128">
        <v>6588</v>
      </c>
      <c r="D917" s="128">
        <v>50007</v>
      </c>
      <c r="E917" s="138" t="s">
        <v>586</v>
      </c>
      <c r="F917" s="137">
        <v>41246</v>
      </c>
      <c r="G917" s="47">
        <v>2</v>
      </c>
      <c r="H917" s="48">
        <v>3165.2774999999997</v>
      </c>
      <c r="I917" s="128" t="s">
        <v>1121</v>
      </c>
      <c r="J917" s="128" t="s">
        <v>1241</v>
      </c>
    </row>
    <row r="918" spans="1:10" x14ac:dyDescent="0.25">
      <c r="A918" s="129" t="str">
        <f t="shared" si="19"/>
        <v>5126612</v>
      </c>
      <c r="B918" s="128">
        <v>512</v>
      </c>
      <c r="C918" s="128">
        <v>6612</v>
      </c>
      <c r="D918" s="128">
        <v>50007</v>
      </c>
      <c r="E918" s="140" t="s">
        <v>953</v>
      </c>
      <c r="F918" s="137">
        <v>41253</v>
      </c>
      <c r="G918" s="47">
        <v>2</v>
      </c>
      <c r="H918" s="48">
        <v>4620</v>
      </c>
      <c r="I918" s="128" t="s">
        <v>1121</v>
      </c>
      <c r="J918" s="128" t="s">
        <v>1241</v>
      </c>
    </row>
    <row r="919" spans="1:10" x14ac:dyDescent="0.25">
      <c r="A919" s="129" t="str">
        <f t="shared" si="19"/>
        <v>5126663</v>
      </c>
      <c r="B919" s="128">
        <v>512</v>
      </c>
      <c r="C919" s="128">
        <v>6663</v>
      </c>
      <c r="D919" s="128">
        <v>51122</v>
      </c>
      <c r="E919" s="138" t="s">
        <v>180</v>
      </c>
      <c r="F919" s="137">
        <v>41337</v>
      </c>
      <c r="G919" s="47">
        <v>2</v>
      </c>
      <c r="H919" s="48">
        <v>4620</v>
      </c>
      <c r="I919" s="128" t="s">
        <v>1162</v>
      </c>
      <c r="J919" s="128" t="s">
        <v>1252</v>
      </c>
    </row>
    <row r="920" spans="1:10" x14ac:dyDescent="0.25">
      <c r="A920" s="129" t="str">
        <f t="shared" si="19"/>
        <v>5126727</v>
      </c>
      <c r="B920" s="128">
        <v>512</v>
      </c>
      <c r="C920" s="128">
        <v>6727</v>
      </c>
      <c r="D920" s="128">
        <v>51127</v>
      </c>
      <c r="E920" s="138" t="s">
        <v>551</v>
      </c>
      <c r="F920" s="137">
        <v>41379</v>
      </c>
      <c r="G920" s="47">
        <v>2</v>
      </c>
      <c r="H920" s="48">
        <v>17635.1175</v>
      </c>
      <c r="I920" s="128" t="s">
        <v>1121</v>
      </c>
      <c r="J920" s="128" t="s">
        <v>1241</v>
      </c>
    </row>
    <row r="921" spans="1:10" x14ac:dyDescent="0.25">
      <c r="A921" s="129" t="str">
        <f t="shared" si="19"/>
        <v>5126980</v>
      </c>
      <c r="B921" s="128">
        <v>512</v>
      </c>
      <c r="C921" s="128">
        <v>6980</v>
      </c>
      <c r="D921" s="128">
        <v>51122</v>
      </c>
      <c r="E921" s="138" t="s">
        <v>716</v>
      </c>
      <c r="F921" s="137">
        <v>41548</v>
      </c>
      <c r="G921" s="47">
        <v>2</v>
      </c>
      <c r="H921" s="48">
        <v>4125</v>
      </c>
      <c r="I921" s="128" t="s">
        <v>1162</v>
      </c>
      <c r="J921" s="128" t="s">
        <v>1252</v>
      </c>
    </row>
    <row r="922" spans="1:10" x14ac:dyDescent="0.25">
      <c r="A922" s="129" t="str">
        <f t="shared" si="19"/>
        <v>5126981</v>
      </c>
      <c r="B922" s="128">
        <v>512</v>
      </c>
      <c r="C922" s="128">
        <v>6981</v>
      </c>
      <c r="D922" s="128">
        <v>51122</v>
      </c>
      <c r="E922" s="138" t="s">
        <v>275</v>
      </c>
      <c r="F922" s="137">
        <v>41548</v>
      </c>
      <c r="G922" s="47">
        <v>2</v>
      </c>
      <c r="H922" s="48">
        <v>4125</v>
      </c>
      <c r="I922" s="128" t="s">
        <v>1162</v>
      </c>
      <c r="J922" s="128" t="s">
        <v>1252</v>
      </c>
    </row>
    <row r="923" spans="1:10" x14ac:dyDescent="0.25">
      <c r="A923" s="129" t="str">
        <f t="shared" si="19"/>
        <v>5126986</v>
      </c>
      <c r="B923" s="128">
        <v>512</v>
      </c>
      <c r="C923" s="128">
        <v>6986</v>
      </c>
      <c r="D923" s="128">
        <v>51122</v>
      </c>
      <c r="E923" s="138" t="s">
        <v>494</v>
      </c>
      <c r="F923" s="137">
        <v>41554</v>
      </c>
      <c r="G923" s="47">
        <v>2</v>
      </c>
      <c r="H923" s="48">
        <v>2877.7979999999998</v>
      </c>
      <c r="I923" s="128" t="s">
        <v>1162</v>
      </c>
      <c r="J923" s="128" t="s">
        <v>1252</v>
      </c>
    </row>
    <row r="924" spans="1:10" x14ac:dyDescent="0.25">
      <c r="A924" s="129" t="str">
        <f t="shared" si="19"/>
        <v>5127085</v>
      </c>
      <c r="B924" s="128">
        <v>512</v>
      </c>
      <c r="C924" s="128">
        <v>7085</v>
      </c>
      <c r="D924" s="128">
        <v>51122</v>
      </c>
      <c r="E924" s="138" t="s">
        <v>394</v>
      </c>
      <c r="F924" s="137">
        <v>41673</v>
      </c>
      <c r="G924" s="47">
        <v>2</v>
      </c>
      <c r="H924" s="48">
        <v>3798.3329999999996</v>
      </c>
      <c r="I924" s="128" t="s">
        <v>1162</v>
      </c>
      <c r="J924" s="128" t="s">
        <v>1252</v>
      </c>
    </row>
    <row r="925" spans="1:10" x14ac:dyDescent="0.25">
      <c r="A925" s="129" t="str">
        <f t="shared" si="19"/>
        <v>5128581</v>
      </c>
      <c r="B925" s="128">
        <v>512</v>
      </c>
      <c r="C925" s="128">
        <v>8581</v>
      </c>
      <c r="D925" s="128">
        <v>51127</v>
      </c>
      <c r="E925" s="138" t="s">
        <v>792</v>
      </c>
      <c r="F925" s="137">
        <v>41694</v>
      </c>
      <c r="G925" s="47">
        <v>2</v>
      </c>
      <c r="H925" s="48">
        <v>3798.3329999999996</v>
      </c>
      <c r="I925" s="128" t="s">
        <v>1121</v>
      </c>
      <c r="J925" s="128" t="s">
        <v>1241</v>
      </c>
    </row>
    <row r="926" spans="1:10" x14ac:dyDescent="0.25">
      <c r="A926" s="129" t="str">
        <f t="shared" si="19"/>
        <v>5128741</v>
      </c>
      <c r="B926" s="128">
        <v>512</v>
      </c>
      <c r="C926" s="128">
        <v>8741</v>
      </c>
      <c r="D926" s="128">
        <v>51122</v>
      </c>
      <c r="E926" s="140" t="s">
        <v>1063</v>
      </c>
      <c r="F926" s="137">
        <v>41834</v>
      </c>
      <c r="G926" s="47">
        <v>2</v>
      </c>
      <c r="H926" s="48">
        <v>2877.7979999999998</v>
      </c>
      <c r="I926" s="128" t="s">
        <v>1162</v>
      </c>
      <c r="J926" s="128" t="s">
        <v>1252</v>
      </c>
    </row>
    <row r="927" spans="1:10" x14ac:dyDescent="0.25">
      <c r="A927" s="129" t="str">
        <f t="shared" si="19"/>
        <v>5206920</v>
      </c>
      <c r="B927" s="128">
        <v>520</v>
      </c>
      <c r="C927" s="128">
        <v>6920</v>
      </c>
      <c r="D927" s="128">
        <v>24200</v>
      </c>
      <c r="E927" s="138" t="s">
        <v>518</v>
      </c>
      <c r="F927" s="137">
        <v>41505</v>
      </c>
      <c r="G927" s="47">
        <v>2</v>
      </c>
      <c r="H927" s="48">
        <v>4575.9944999999998</v>
      </c>
      <c r="I927" s="128" t="s">
        <v>1142</v>
      </c>
      <c r="J927" s="128" t="s">
        <v>108</v>
      </c>
    </row>
    <row r="928" spans="1:10" x14ac:dyDescent="0.25">
      <c r="A928" s="129" t="str">
        <f t="shared" si="19"/>
        <v>5206955</v>
      </c>
      <c r="B928" s="128">
        <v>520</v>
      </c>
      <c r="C928" s="128">
        <v>6955</v>
      </c>
      <c r="D928" s="128">
        <v>24200</v>
      </c>
      <c r="E928" s="138" t="s">
        <v>478</v>
      </c>
      <c r="F928" s="137">
        <v>37319</v>
      </c>
      <c r="G928" s="47">
        <v>2</v>
      </c>
      <c r="H928" s="48">
        <v>3399.2804999999998</v>
      </c>
      <c r="I928" s="128" t="s">
        <v>1126</v>
      </c>
      <c r="J928" s="128" t="s">
        <v>108</v>
      </c>
    </row>
    <row r="929" spans="1:10" x14ac:dyDescent="0.25">
      <c r="A929" s="129" t="str">
        <f t="shared" si="19"/>
        <v>5207064</v>
      </c>
      <c r="B929" s="128">
        <v>520</v>
      </c>
      <c r="C929" s="128">
        <v>7064</v>
      </c>
      <c r="D929" s="128">
        <v>24200</v>
      </c>
      <c r="E929" s="138" t="s">
        <v>493</v>
      </c>
      <c r="F929" s="137">
        <v>41548</v>
      </c>
      <c r="G929" s="47">
        <v>2</v>
      </c>
      <c r="H929" s="48">
        <v>3399.2804999999998</v>
      </c>
      <c r="I929" s="128" t="s">
        <v>1142</v>
      </c>
      <c r="J929" s="128" t="s">
        <v>108</v>
      </c>
    </row>
    <row r="930" spans="1:10" x14ac:dyDescent="0.25">
      <c r="A930" s="129" t="str">
        <f t="shared" si="19"/>
        <v>6016681</v>
      </c>
      <c r="B930" s="128">
        <v>601</v>
      </c>
      <c r="C930" s="128">
        <v>6681</v>
      </c>
      <c r="D930" s="128">
        <v>50007</v>
      </c>
      <c r="E930" s="138" t="s">
        <v>687</v>
      </c>
      <c r="F930" s="137">
        <v>41351</v>
      </c>
      <c r="G930" s="47">
        <v>2</v>
      </c>
      <c r="H930" s="48">
        <v>3399.2804999999998</v>
      </c>
      <c r="I930" s="128" t="s">
        <v>1139</v>
      </c>
      <c r="J930" s="128" t="s">
        <v>1241</v>
      </c>
    </row>
    <row r="931" spans="1:10" x14ac:dyDescent="0.25">
      <c r="A931" s="129" t="str">
        <f t="shared" si="19"/>
        <v>6016683</v>
      </c>
      <c r="B931" s="128">
        <v>601</v>
      </c>
      <c r="C931" s="128">
        <v>6683</v>
      </c>
      <c r="D931" s="128">
        <v>50007</v>
      </c>
      <c r="E931" s="138" t="s">
        <v>599</v>
      </c>
      <c r="F931" s="137">
        <v>41351</v>
      </c>
      <c r="G931" s="47">
        <v>2</v>
      </c>
      <c r="H931" s="48">
        <v>3399.2804999999998</v>
      </c>
      <c r="I931" s="128" t="s">
        <v>1139</v>
      </c>
      <c r="J931" s="128" t="s">
        <v>1241</v>
      </c>
    </row>
    <row r="932" spans="1:10" x14ac:dyDescent="0.25">
      <c r="A932" s="129" t="str">
        <f t="shared" si="19"/>
        <v>6016684</v>
      </c>
      <c r="B932" s="128">
        <v>601</v>
      </c>
      <c r="C932" s="128">
        <v>6684</v>
      </c>
      <c r="D932" s="128">
        <v>50007</v>
      </c>
      <c r="E932" s="138" t="s">
        <v>732</v>
      </c>
      <c r="F932" s="137">
        <v>41351</v>
      </c>
      <c r="G932" s="47">
        <v>2</v>
      </c>
      <c r="H932" s="48">
        <v>3712.5</v>
      </c>
      <c r="I932" s="128" t="s">
        <v>1139</v>
      </c>
      <c r="J932" s="128" t="s">
        <v>1241</v>
      </c>
    </row>
    <row r="933" spans="1:10" x14ac:dyDescent="0.25">
      <c r="A933" s="129" t="str">
        <f t="shared" si="19"/>
        <v>6016686</v>
      </c>
      <c r="B933" s="128">
        <v>601</v>
      </c>
      <c r="C933" s="128">
        <v>6686</v>
      </c>
      <c r="D933" s="128">
        <v>50007</v>
      </c>
      <c r="E933" s="138" t="s">
        <v>241</v>
      </c>
      <c r="F933" s="137">
        <v>41351</v>
      </c>
      <c r="G933" s="47">
        <v>2</v>
      </c>
      <c r="H933" s="48">
        <v>3399.2804999999998</v>
      </c>
      <c r="I933" s="128" t="s">
        <v>1128</v>
      </c>
      <c r="J933" s="128" t="s">
        <v>1241</v>
      </c>
    </row>
    <row r="934" spans="1:10" x14ac:dyDescent="0.25">
      <c r="A934" s="129" t="str">
        <f t="shared" si="19"/>
        <v>6016687</v>
      </c>
      <c r="B934" s="128">
        <v>601</v>
      </c>
      <c r="C934" s="128">
        <v>6687</v>
      </c>
      <c r="D934" s="128">
        <v>50007</v>
      </c>
      <c r="E934" s="138" t="s">
        <v>701</v>
      </c>
      <c r="F934" s="137">
        <v>41351</v>
      </c>
      <c r="G934" s="47">
        <v>2</v>
      </c>
      <c r="H934" s="48">
        <v>3399.2804999999998</v>
      </c>
      <c r="I934" s="128" t="s">
        <v>1121</v>
      </c>
      <c r="J934" s="128" t="s">
        <v>1241</v>
      </c>
    </row>
    <row r="935" spans="1:10" x14ac:dyDescent="0.25">
      <c r="A935" s="129" t="str">
        <f t="shared" si="19"/>
        <v>6016688</v>
      </c>
      <c r="B935" s="128">
        <v>601</v>
      </c>
      <c r="C935" s="128">
        <v>6688</v>
      </c>
      <c r="D935" s="128">
        <v>50007</v>
      </c>
      <c r="E935" s="138" t="s">
        <v>330</v>
      </c>
      <c r="F935" s="137">
        <v>41351</v>
      </c>
      <c r="G935" s="47">
        <v>2</v>
      </c>
      <c r="H935" s="48">
        <v>3712.5</v>
      </c>
      <c r="I935" s="128" t="s">
        <v>1128</v>
      </c>
      <c r="J935" s="128" t="s">
        <v>1241</v>
      </c>
    </row>
    <row r="936" spans="1:10" x14ac:dyDescent="0.25">
      <c r="A936" s="129" t="str">
        <f t="shared" si="19"/>
        <v>6016689</v>
      </c>
      <c r="B936" s="128">
        <v>601</v>
      </c>
      <c r="C936" s="128">
        <v>6689</v>
      </c>
      <c r="D936" s="128">
        <v>50007</v>
      </c>
      <c r="E936" s="138" t="s">
        <v>376</v>
      </c>
      <c r="F936" s="137">
        <v>41351</v>
      </c>
      <c r="G936" s="47">
        <v>2</v>
      </c>
      <c r="H936" s="48">
        <v>4125</v>
      </c>
      <c r="I936" s="128" t="s">
        <v>1121</v>
      </c>
      <c r="J936" s="128" t="s">
        <v>1241</v>
      </c>
    </row>
    <row r="937" spans="1:10" x14ac:dyDescent="0.25">
      <c r="A937" s="129" t="str">
        <f t="shared" si="19"/>
        <v>6016690</v>
      </c>
      <c r="B937" s="128">
        <v>601</v>
      </c>
      <c r="C937" s="128">
        <v>6690</v>
      </c>
      <c r="D937" s="128">
        <v>50007</v>
      </c>
      <c r="E937" s="138" t="s">
        <v>142</v>
      </c>
      <c r="F937" s="137">
        <v>41351</v>
      </c>
      <c r="G937" s="47">
        <v>2</v>
      </c>
      <c r="H937" s="48">
        <v>3165.2774999999997</v>
      </c>
      <c r="I937" s="128" t="s">
        <v>1139</v>
      </c>
      <c r="J937" s="128" t="s">
        <v>1241</v>
      </c>
    </row>
    <row r="938" spans="1:10" x14ac:dyDescent="0.25">
      <c r="A938" s="129" t="str">
        <f t="shared" si="19"/>
        <v>6016693</v>
      </c>
      <c r="B938" s="128">
        <v>601</v>
      </c>
      <c r="C938" s="128">
        <v>6693</v>
      </c>
      <c r="D938" s="128">
        <v>50007</v>
      </c>
      <c r="E938" s="138" t="s">
        <v>362</v>
      </c>
      <c r="F938" s="137">
        <v>41351</v>
      </c>
      <c r="G938" s="47">
        <v>2</v>
      </c>
      <c r="H938" s="48">
        <v>2679.6</v>
      </c>
      <c r="I938" s="128" t="s">
        <v>1121</v>
      </c>
      <c r="J938" s="128" t="s">
        <v>1241</v>
      </c>
    </row>
    <row r="939" spans="1:10" x14ac:dyDescent="0.25">
      <c r="A939" s="129" t="str">
        <f t="shared" si="19"/>
        <v>6016694</v>
      </c>
      <c r="B939" s="128">
        <v>601</v>
      </c>
      <c r="C939" s="128">
        <v>6694</v>
      </c>
      <c r="D939" s="128">
        <v>50007</v>
      </c>
      <c r="E939" s="138" t="s">
        <v>658</v>
      </c>
      <c r="F939" s="137">
        <v>41351</v>
      </c>
      <c r="G939" s="47">
        <v>2</v>
      </c>
      <c r="H939" s="48">
        <v>2679.6</v>
      </c>
      <c r="I939" s="128" t="s">
        <v>1139</v>
      </c>
      <c r="J939" s="128" t="s">
        <v>1241</v>
      </c>
    </row>
    <row r="940" spans="1:10" x14ac:dyDescent="0.25">
      <c r="A940" s="129" t="str">
        <f t="shared" si="19"/>
        <v>6016698</v>
      </c>
      <c r="B940" s="128">
        <v>601</v>
      </c>
      <c r="C940" s="128">
        <v>6698</v>
      </c>
      <c r="D940" s="128">
        <v>50007</v>
      </c>
      <c r="E940" s="138" t="s">
        <v>748</v>
      </c>
      <c r="F940" s="137">
        <v>41351</v>
      </c>
      <c r="G940" s="47">
        <v>2</v>
      </c>
      <c r="H940" s="48">
        <v>2970</v>
      </c>
      <c r="I940" s="128" t="s">
        <v>1139</v>
      </c>
      <c r="J940" s="128" t="s">
        <v>1241</v>
      </c>
    </row>
    <row r="941" spans="1:10" x14ac:dyDescent="0.25">
      <c r="A941" s="129" t="str">
        <f t="shared" si="19"/>
        <v>6016738</v>
      </c>
      <c r="B941" s="128">
        <v>601</v>
      </c>
      <c r="C941" s="128">
        <v>6738</v>
      </c>
      <c r="D941" s="128">
        <v>50007</v>
      </c>
      <c r="E941" s="138" t="s">
        <v>261</v>
      </c>
      <c r="F941" s="137">
        <v>41374</v>
      </c>
      <c r="G941" s="47">
        <v>2</v>
      </c>
      <c r="H941" s="48">
        <v>2821.5989999999997</v>
      </c>
      <c r="I941" s="128" t="s">
        <v>1121</v>
      </c>
      <c r="J941" s="128" t="s">
        <v>1241</v>
      </c>
    </row>
    <row r="942" spans="1:10" x14ac:dyDescent="0.25">
      <c r="A942" s="129" t="str">
        <f t="shared" si="19"/>
        <v>6016740</v>
      </c>
      <c r="B942" s="128">
        <v>601</v>
      </c>
      <c r="C942" s="128">
        <v>6740</v>
      </c>
      <c r="D942" s="128">
        <v>50007</v>
      </c>
      <c r="E942" s="138" t="s">
        <v>345</v>
      </c>
      <c r="F942" s="137">
        <v>41374</v>
      </c>
      <c r="G942" s="47">
        <v>2</v>
      </c>
      <c r="H942" s="48">
        <v>6234.1124999999993</v>
      </c>
      <c r="I942" s="128" t="s">
        <v>1121</v>
      </c>
      <c r="J942" s="128" t="s">
        <v>1241</v>
      </c>
    </row>
    <row r="943" spans="1:10" x14ac:dyDescent="0.25">
      <c r="A943" s="129" t="str">
        <f t="shared" si="19"/>
        <v>6016826</v>
      </c>
      <c r="B943" s="128">
        <v>601</v>
      </c>
      <c r="C943" s="128">
        <v>6826</v>
      </c>
      <c r="D943" s="128">
        <v>50002</v>
      </c>
      <c r="E943" s="138" t="s">
        <v>676</v>
      </c>
      <c r="F943" s="137">
        <v>40831</v>
      </c>
      <c r="G943" s="47">
        <v>2</v>
      </c>
      <c r="H943" s="48">
        <v>3382.5</v>
      </c>
      <c r="I943" s="128" t="s">
        <v>1187</v>
      </c>
      <c r="J943" s="128" t="s">
        <v>1240</v>
      </c>
    </row>
    <row r="944" spans="1:10" x14ac:dyDescent="0.25">
      <c r="A944" s="129" t="str">
        <f t="shared" si="19"/>
        <v>6017015</v>
      </c>
      <c r="B944" s="128">
        <v>601</v>
      </c>
      <c r="C944" s="128">
        <v>7015</v>
      </c>
      <c r="D944" s="128">
        <v>50007</v>
      </c>
      <c r="E944" s="140" t="s">
        <v>990</v>
      </c>
      <c r="F944" s="137">
        <v>41579</v>
      </c>
      <c r="G944" s="47">
        <v>2</v>
      </c>
      <c r="H944" s="48">
        <v>3143.7779999999998</v>
      </c>
      <c r="I944" s="128" t="s">
        <v>1128</v>
      </c>
      <c r="J944" s="128" t="s">
        <v>1241</v>
      </c>
    </row>
    <row r="945" spans="1:10" x14ac:dyDescent="0.25">
      <c r="A945" s="129" t="str">
        <f t="shared" si="19"/>
        <v>6017023</v>
      </c>
      <c r="B945" s="128">
        <v>601</v>
      </c>
      <c r="C945" s="128">
        <v>7023</v>
      </c>
      <c r="D945" s="128">
        <v>50007</v>
      </c>
      <c r="E945" s="138" t="s">
        <v>613</v>
      </c>
      <c r="F945" s="137">
        <v>41153</v>
      </c>
      <c r="G945" s="47">
        <v>2</v>
      </c>
      <c r="H945" s="48">
        <v>2651.4674999999997</v>
      </c>
      <c r="I945" s="128" t="s">
        <v>1128</v>
      </c>
      <c r="J945" s="128" t="s">
        <v>1241</v>
      </c>
    </row>
    <row r="946" spans="1:10" x14ac:dyDescent="0.25">
      <c r="A946" s="129" t="str">
        <f t="shared" si="19"/>
        <v>6018727</v>
      </c>
      <c r="B946" s="128">
        <v>601</v>
      </c>
      <c r="C946" s="128">
        <v>8727</v>
      </c>
      <c r="D946" s="128">
        <v>50007</v>
      </c>
      <c r="E946" s="138" t="s">
        <v>325</v>
      </c>
      <c r="F946" s="137">
        <v>41800</v>
      </c>
      <c r="G946" s="47">
        <v>2</v>
      </c>
      <c r="H946" s="48">
        <v>4318.875</v>
      </c>
      <c r="I946" s="128" t="s">
        <v>1128</v>
      </c>
      <c r="J946" s="128" t="s">
        <v>1241</v>
      </c>
    </row>
    <row r="947" spans="1:10" x14ac:dyDescent="0.25">
      <c r="A947" s="129" t="str">
        <f t="shared" si="19"/>
        <v>6018729</v>
      </c>
      <c r="B947" s="128">
        <v>601</v>
      </c>
      <c r="C947" s="128">
        <v>8729</v>
      </c>
      <c r="D947" s="128">
        <v>50007</v>
      </c>
      <c r="E947" s="138" t="s">
        <v>137</v>
      </c>
      <c r="F947" s="137">
        <v>41806</v>
      </c>
      <c r="G947" s="47">
        <v>2</v>
      </c>
      <c r="H947" s="48">
        <v>2931.9674999999997</v>
      </c>
      <c r="I947" s="128" t="s">
        <v>1139</v>
      </c>
      <c r="J947" s="128" t="s">
        <v>1241</v>
      </c>
    </row>
    <row r="948" spans="1:10" x14ac:dyDescent="0.25">
      <c r="A948" s="129" t="str">
        <f t="shared" si="19"/>
        <v>6018749</v>
      </c>
      <c r="B948" s="128">
        <v>601</v>
      </c>
      <c r="C948" s="128">
        <v>8749</v>
      </c>
      <c r="D948" s="128">
        <v>50007</v>
      </c>
      <c r="E948" s="140" t="s">
        <v>1055</v>
      </c>
      <c r="F948" s="137">
        <v>41197</v>
      </c>
      <c r="G948" s="47">
        <v>2</v>
      </c>
      <c r="H948" s="48">
        <v>3545.3879999999995</v>
      </c>
      <c r="I948" s="128" t="s">
        <v>1128</v>
      </c>
      <c r="J948" s="128" t="s">
        <v>1241</v>
      </c>
    </row>
    <row r="949" spans="1:10" x14ac:dyDescent="0.25">
      <c r="A949" s="129" t="str">
        <f t="shared" si="19"/>
        <v>7016759</v>
      </c>
      <c r="B949" s="128">
        <v>701</v>
      </c>
      <c r="C949" s="128">
        <v>6759</v>
      </c>
      <c r="D949" s="128">
        <v>50007</v>
      </c>
      <c r="E949" s="140" t="s">
        <v>1002</v>
      </c>
      <c r="F949" s="137">
        <v>41404</v>
      </c>
      <c r="G949" s="47">
        <v>2</v>
      </c>
      <c r="H949" s="48">
        <v>3124.8359999999998</v>
      </c>
      <c r="I949" s="128" t="s">
        <v>1139</v>
      </c>
      <c r="J949" s="128" t="s">
        <v>1241</v>
      </c>
    </row>
    <row r="950" spans="1:10" x14ac:dyDescent="0.25">
      <c r="A950" s="129" t="str">
        <f t="shared" si="19"/>
        <v>7016760</v>
      </c>
      <c r="B950" s="128">
        <v>701</v>
      </c>
      <c r="C950" s="128">
        <v>6760</v>
      </c>
      <c r="D950" s="128">
        <v>50002</v>
      </c>
      <c r="E950" s="138" t="s">
        <v>309</v>
      </c>
      <c r="F950" s="137">
        <v>41404</v>
      </c>
      <c r="G950" s="47">
        <v>2</v>
      </c>
      <c r="H950" s="48">
        <v>2475</v>
      </c>
      <c r="I950" s="128" t="s">
        <v>1205</v>
      </c>
      <c r="J950" s="128" t="s">
        <v>1240</v>
      </c>
    </row>
    <row r="951" spans="1:10" x14ac:dyDescent="0.25">
      <c r="A951" s="129" t="str">
        <f t="shared" si="19"/>
        <v>7016761</v>
      </c>
      <c r="B951" s="128">
        <v>701</v>
      </c>
      <c r="C951" s="128">
        <v>6761</v>
      </c>
      <c r="D951" s="128">
        <v>50002</v>
      </c>
      <c r="E951" s="140" t="s">
        <v>1110</v>
      </c>
      <c r="F951" s="137">
        <v>41404</v>
      </c>
      <c r="G951" s="47">
        <v>2</v>
      </c>
      <c r="H951" s="48">
        <v>2475</v>
      </c>
      <c r="I951" s="128" t="s">
        <v>1205</v>
      </c>
      <c r="J951" s="128" t="s">
        <v>1240</v>
      </c>
    </row>
    <row r="952" spans="1:10" x14ac:dyDescent="0.25">
      <c r="A952" s="129" t="str">
        <f t="shared" si="19"/>
        <v>7016762</v>
      </c>
      <c r="B952" s="128">
        <v>701</v>
      </c>
      <c r="C952" s="128">
        <v>6762</v>
      </c>
      <c r="D952" s="128">
        <v>50002</v>
      </c>
      <c r="E952" s="138" t="s">
        <v>746</v>
      </c>
      <c r="F952" s="137">
        <v>41404</v>
      </c>
      <c r="G952" s="47">
        <v>2</v>
      </c>
      <c r="H952" s="48">
        <v>2475</v>
      </c>
      <c r="I952" s="128" t="s">
        <v>1205</v>
      </c>
      <c r="J952" s="128" t="s">
        <v>1240</v>
      </c>
    </row>
    <row r="953" spans="1:10" x14ac:dyDescent="0.25">
      <c r="A953" s="129" t="str">
        <f t="shared" si="19"/>
        <v>7016763</v>
      </c>
      <c r="B953" s="128">
        <v>701</v>
      </c>
      <c r="C953" s="128">
        <v>6763</v>
      </c>
      <c r="D953" s="128">
        <v>50002</v>
      </c>
      <c r="E953" s="140" t="s">
        <v>864</v>
      </c>
      <c r="F953" s="137">
        <v>41404</v>
      </c>
      <c r="G953" s="47">
        <v>1</v>
      </c>
      <c r="H953" s="48">
        <v>9515.8964999999989</v>
      </c>
      <c r="I953" s="128" t="s">
        <v>1205</v>
      </c>
      <c r="J953" s="128" t="s">
        <v>1240</v>
      </c>
    </row>
    <row r="954" spans="1:10" x14ac:dyDescent="0.25">
      <c r="A954" s="129" t="str">
        <f t="shared" si="19"/>
        <v>7016764</v>
      </c>
      <c r="B954" s="128">
        <v>701</v>
      </c>
      <c r="C954" s="128">
        <v>6764</v>
      </c>
      <c r="D954" s="128">
        <v>50007</v>
      </c>
      <c r="E954" s="140" t="s">
        <v>994</v>
      </c>
      <c r="F954" s="137">
        <v>41405</v>
      </c>
      <c r="G954" s="47">
        <v>1</v>
      </c>
      <c r="H954" s="48">
        <v>21707.053500000002</v>
      </c>
      <c r="I954" s="128" t="s">
        <v>1139</v>
      </c>
      <c r="J954" s="128" t="s">
        <v>1241</v>
      </c>
    </row>
    <row r="955" spans="1:10" x14ac:dyDescent="0.25">
      <c r="A955" s="129" t="str">
        <f t="shared" si="19"/>
        <v>7016765</v>
      </c>
      <c r="B955" s="128">
        <v>701</v>
      </c>
      <c r="C955" s="128">
        <v>6765</v>
      </c>
      <c r="D955" s="128">
        <v>50007</v>
      </c>
      <c r="E955" s="138" t="s">
        <v>583</v>
      </c>
      <c r="F955" s="137">
        <v>41405</v>
      </c>
      <c r="G955" s="47">
        <v>1</v>
      </c>
      <c r="H955" s="48">
        <v>27720.692999999996</v>
      </c>
      <c r="I955" s="128" t="s">
        <v>1121</v>
      </c>
      <c r="J955" s="128" t="s">
        <v>1241</v>
      </c>
    </row>
    <row r="956" spans="1:10" x14ac:dyDescent="0.25">
      <c r="A956" s="129" t="str">
        <f t="shared" si="19"/>
        <v>7016767</v>
      </c>
      <c r="B956" s="128">
        <v>701</v>
      </c>
      <c r="C956" s="128">
        <v>6767</v>
      </c>
      <c r="D956" s="128">
        <v>50007</v>
      </c>
      <c r="E956" s="138" t="s">
        <v>203</v>
      </c>
      <c r="F956" s="137">
        <v>41405</v>
      </c>
      <c r="G956" s="47">
        <v>1</v>
      </c>
      <c r="H956" s="48">
        <v>12123.325499999999</v>
      </c>
      <c r="I956" s="128" t="s">
        <v>1139</v>
      </c>
      <c r="J956" s="128" t="s">
        <v>1241</v>
      </c>
    </row>
    <row r="957" spans="1:10" x14ac:dyDescent="0.25">
      <c r="A957" s="129" t="str">
        <f t="shared" si="19"/>
        <v>7016768</v>
      </c>
      <c r="B957" s="128">
        <v>701</v>
      </c>
      <c r="C957" s="128">
        <v>6768</v>
      </c>
      <c r="D957" s="128">
        <v>50007</v>
      </c>
      <c r="E957" s="138" t="s">
        <v>361</v>
      </c>
      <c r="F957" s="137">
        <v>41405</v>
      </c>
      <c r="G957" s="47">
        <v>1</v>
      </c>
      <c r="H957" s="48">
        <v>9250.7909999999993</v>
      </c>
      <c r="I957" s="128" t="s">
        <v>1121</v>
      </c>
      <c r="J957" s="128" t="s">
        <v>1241</v>
      </c>
    </row>
    <row r="958" spans="1:10" x14ac:dyDescent="0.25">
      <c r="A958" s="129" t="str">
        <f t="shared" si="19"/>
        <v>7016769</v>
      </c>
      <c r="B958" s="128">
        <v>701</v>
      </c>
      <c r="C958" s="128">
        <v>6769</v>
      </c>
      <c r="D958" s="128">
        <v>50007</v>
      </c>
      <c r="E958" s="140" t="s">
        <v>1047</v>
      </c>
      <c r="F958" s="137">
        <v>41405</v>
      </c>
      <c r="G958" s="47">
        <v>1</v>
      </c>
      <c r="H958" s="48">
        <v>11115.010499999999</v>
      </c>
      <c r="I958" s="128" t="s">
        <v>1136</v>
      </c>
      <c r="J958" s="128" t="s">
        <v>1241</v>
      </c>
    </row>
    <row r="959" spans="1:10" x14ac:dyDescent="0.25">
      <c r="A959" s="129" t="str">
        <f t="shared" si="19"/>
        <v>7016770</v>
      </c>
      <c r="B959" s="128">
        <v>701</v>
      </c>
      <c r="C959" s="128">
        <v>6770</v>
      </c>
      <c r="D959" s="128">
        <v>50002</v>
      </c>
      <c r="E959" s="138" t="s">
        <v>517</v>
      </c>
      <c r="F959" s="137">
        <v>41405</v>
      </c>
      <c r="G959" s="47">
        <v>1</v>
      </c>
      <c r="H959" s="48">
        <v>32650.661999999997</v>
      </c>
      <c r="I959" s="128" t="s">
        <v>1205</v>
      </c>
      <c r="J959" s="128" t="s">
        <v>1240</v>
      </c>
    </row>
    <row r="960" spans="1:10" x14ac:dyDescent="0.25">
      <c r="A960" s="129" t="str">
        <f t="shared" si="19"/>
        <v>7016772</v>
      </c>
      <c r="B960" s="128">
        <v>701</v>
      </c>
      <c r="C960" s="128">
        <v>6772</v>
      </c>
      <c r="D960" s="128">
        <v>50002</v>
      </c>
      <c r="E960" s="140" t="s">
        <v>966</v>
      </c>
      <c r="F960" s="137">
        <v>41405</v>
      </c>
      <c r="G960" s="47">
        <v>1</v>
      </c>
      <c r="H960" s="48">
        <v>25012.877999999997</v>
      </c>
      <c r="I960" s="128" t="s">
        <v>1205</v>
      </c>
      <c r="J960" s="128" t="s">
        <v>1240</v>
      </c>
    </row>
    <row r="961" spans="1:10" x14ac:dyDescent="0.25">
      <c r="A961" s="129" t="str">
        <f t="shared" si="19"/>
        <v>7016773</v>
      </c>
      <c r="B961" s="128">
        <v>701</v>
      </c>
      <c r="C961" s="128">
        <v>6773</v>
      </c>
      <c r="D961" s="128">
        <v>50002</v>
      </c>
      <c r="E961" s="138" t="s">
        <v>514</v>
      </c>
      <c r="F961" s="137">
        <v>41405</v>
      </c>
      <c r="G961" s="47">
        <v>1</v>
      </c>
      <c r="H961" s="48">
        <v>21214.280999999999</v>
      </c>
      <c r="I961" s="128" t="s">
        <v>1205</v>
      </c>
      <c r="J961" s="128" t="s">
        <v>1240</v>
      </c>
    </row>
    <row r="962" spans="1:10" x14ac:dyDescent="0.25">
      <c r="A962" s="129" t="str">
        <f t="shared" si="19"/>
        <v>7016774</v>
      </c>
      <c r="B962" s="128">
        <v>701</v>
      </c>
      <c r="C962" s="128">
        <v>6774</v>
      </c>
      <c r="D962" s="128">
        <v>50002</v>
      </c>
      <c r="E962" s="140" t="s">
        <v>973</v>
      </c>
      <c r="F962" s="137">
        <v>41405</v>
      </c>
      <c r="G962" s="47">
        <v>1</v>
      </c>
      <c r="H962" s="48">
        <v>8347.2014999999992</v>
      </c>
      <c r="I962" s="128" t="s">
        <v>1205</v>
      </c>
      <c r="J962" s="128" t="s">
        <v>1240</v>
      </c>
    </row>
    <row r="963" spans="1:10" x14ac:dyDescent="0.25">
      <c r="A963" s="129" t="str">
        <f t="shared" si="19"/>
        <v>7016775</v>
      </c>
      <c r="B963" s="128">
        <v>701</v>
      </c>
      <c r="C963" s="128">
        <v>6775</v>
      </c>
      <c r="D963" s="128">
        <v>50002</v>
      </c>
      <c r="E963" s="138" t="s">
        <v>520</v>
      </c>
      <c r="F963" s="137">
        <v>41405</v>
      </c>
      <c r="G963" s="47">
        <v>1</v>
      </c>
      <c r="H963" s="48">
        <v>13412.156999999999</v>
      </c>
      <c r="I963" s="128" t="s">
        <v>1205</v>
      </c>
      <c r="J963" s="128" t="s">
        <v>1240</v>
      </c>
    </row>
    <row r="964" spans="1:10" x14ac:dyDescent="0.25">
      <c r="A964" s="129" t="str">
        <f t="shared" si="19"/>
        <v>7016776</v>
      </c>
      <c r="B964" s="128">
        <v>701</v>
      </c>
      <c r="C964" s="128">
        <v>6776</v>
      </c>
      <c r="D964" s="128">
        <v>50002</v>
      </c>
      <c r="E964" s="138" t="s">
        <v>355</v>
      </c>
      <c r="F964" s="137">
        <v>41405</v>
      </c>
      <c r="G964" s="47">
        <v>1</v>
      </c>
      <c r="H964" s="48">
        <v>7095.2639999999992</v>
      </c>
      <c r="I964" s="128" t="s">
        <v>1205</v>
      </c>
      <c r="J964" s="128" t="s">
        <v>1240</v>
      </c>
    </row>
    <row r="965" spans="1:10" x14ac:dyDescent="0.25">
      <c r="A965" s="129" t="str">
        <f t="shared" si="19"/>
        <v>7016777</v>
      </c>
      <c r="B965" s="128">
        <v>701</v>
      </c>
      <c r="C965" s="128">
        <v>6777</v>
      </c>
      <c r="D965" s="128">
        <v>50002</v>
      </c>
      <c r="E965" s="138" t="s">
        <v>775</v>
      </c>
      <c r="F965" s="137">
        <v>41405</v>
      </c>
      <c r="G965" s="47">
        <v>1</v>
      </c>
      <c r="H965" s="48">
        <v>6592.3769999999995</v>
      </c>
      <c r="I965" s="128" t="s">
        <v>1207</v>
      </c>
      <c r="J965" s="128" t="s">
        <v>1240</v>
      </c>
    </row>
    <row r="966" spans="1:10" x14ac:dyDescent="0.25">
      <c r="A966" s="129" t="str">
        <f t="shared" si="19"/>
        <v>7016778</v>
      </c>
      <c r="B966" s="128">
        <v>701</v>
      </c>
      <c r="C966" s="128">
        <v>6778</v>
      </c>
      <c r="D966" s="128">
        <v>50002</v>
      </c>
      <c r="E966" s="138" t="s">
        <v>491</v>
      </c>
      <c r="F966" s="137">
        <v>41407</v>
      </c>
      <c r="G966" s="47">
        <v>1</v>
      </c>
      <c r="H966" s="48">
        <v>12904.386</v>
      </c>
      <c r="I966" s="128" t="s">
        <v>1205</v>
      </c>
      <c r="J966" s="128" t="s">
        <v>1240</v>
      </c>
    </row>
    <row r="967" spans="1:10" x14ac:dyDescent="0.25">
      <c r="A967" s="129" t="str">
        <f t="shared" si="19"/>
        <v>7016779</v>
      </c>
      <c r="B967" s="128">
        <v>701</v>
      </c>
      <c r="C967" s="128">
        <v>6779</v>
      </c>
      <c r="D967" s="128">
        <v>50007</v>
      </c>
      <c r="E967" s="138" t="s">
        <v>616</v>
      </c>
      <c r="F967" s="137">
        <v>41406</v>
      </c>
      <c r="G967" s="47">
        <v>1</v>
      </c>
      <c r="H967" s="48">
        <v>9658.902</v>
      </c>
      <c r="I967" s="128" t="s">
        <v>1121</v>
      </c>
      <c r="J967" s="128" t="s">
        <v>1241</v>
      </c>
    </row>
    <row r="968" spans="1:10" x14ac:dyDescent="0.25">
      <c r="A968" s="129" t="str">
        <f t="shared" ref="A968:A1001" si="20">B968&amp;C968</f>
        <v>7016780</v>
      </c>
      <c r="B968" s="128">
        <v>701</v>
      </c>
      <c r="C968" s="128">
        <v>6780</v>
      </c>
      <c r="D968" s="128">
        <v>50007</v>
      </c>
      <c r="E968" s="138" t="s">
        <v>175</v>
      </c>
      <c r="F968" s="137">
        <v>41406</v>
      </c>
      <c r="G968" s="47">
        <v>1</v>
      </c>
      <c r="H968" s="48">
        <v>11590.688999999998</v>
      </c>
      <c r="I968" s="128" t="s">
        <v>1121</v>
      </c>
      <c r="J968" s="128" t="s">
        <v>1241</v>
      </c>
    </row>
    <row r="969" spans="1:10" x14ac:dyDescent="0.25">
      <c r="A969" s="129" t="str">
        <f t="shared" si="20"/>
        <v>7016781</v>
      </c>
      <c r="B969" s="128">
        <v>701</v>
      </c>
      <c r="C969" s="128">
        <v>6781</v>
      </c>
      <c r="D969" s="128">
        <v>50002</v>
      </c>
      <c r="E969" s="138" t="s">
        <v>252</v>
      </c>
      <c r="F969" s="137">
        <v>41407</v>
      </c>
      <c r="G969" s="47">
        <v>1</v>
      </c>
      <c r="H969" s="48">
        <v>22256.420999999998</v>
      </c>
      <c r="I969" s="128" t="s">
        <v>1205</v>
      </c>
      <c r="J969" s="128" t="s">
        <v>1240</v>
      </c>
    </row>
    <row r="970" spans="1:10" x14ac:dyDescent="0.25">
      <c r="A970" s="129" t="str">
        <f t="shared" si="20"/>
        <v>7016785</v>
      </c>
      <c r="B970" s="128">
        <v>701</v>
      </c>
      <c r="C970" s="128">
        <v>6785</v>
      </c>
      <c r="D970" s="128">
        <v>50007</v>
      </c>
      <c r="E970" s="138" t="s">
        <v>66</v>
      </c>
      <c r="F970" s="137">
        <v>41404</v>
      </c>
      <c r="G970" s="47">
        <v>1</v>
      </c>
      <c r="H970" s="48">
        <v>9555.8759999999984</v>
      </c>
      <c r="I970" s="128" t="s">
        <v>1128</v>
      </c>
      <c r="J970" s="128" t="s">
        <v>1241</v>
      </c>
    </row>
    <row r="971" spans="1:10" x14ac:dyDescent="0.25">
      <c r="A971" s="129" t="str">
        <f t="shared" si="20"/>
        <v>7016787</v>
      </c>
      <c r="B971" s="128">
        <v>701</v>
      </c>
      <c r="C971" s="128">
        <v>6787</v>
      </c>
      <c r="D971" s="128">
        <v>50007</v>
      </c>
      <c r="E971" s="138" t="s">
        <v>130</v>
      </c>
      <c r="F971" s="137">
        <v>41404</v>
      </c>
      <c r="G971" s="47">
        <v>1</v>
      </c>
      <c r="H971" s="48">
        <v>6600</v>
      </c>
      <c r="I971" s="128" t="s">
        <v>1121</v>
      </c>
      <c r="J971" s="128" t="s">
        <v>1241</v>
      </c>
    </row>
    <row r="972" spans="1:10" x14ac:dyDescent="0.25">
      <c r="A972" s="129" t="str">
        <f t="shared" si="20"/>
        <v>7016818</v>
      </c>
      <c r="B972" s="128">
        <v>701</v>
      </c>
      <c r="C972" s="128">
        <v>6818</v>
      </c>
      <c r="D972" s="128">
        <v>50007</v>
      </c>
      <c r="E972" s="138" t="s">
        <v>682</v>
      </c>
      <c r="F972" s="137">
        <v>41428</v>
      </c>
      <c r="G972" s="47">
        <v>1</v>
      </c>
      <c r="H972" s="48">
        <v>12192.873</v>
      </c>
      <c r="I972" s="128" t="s">
        <v>1128</v>
      </c>
      <c r="J972" s="128" t="s">
        <v>1241</v>
      </c>
    </row>
    <row r="973" spans="1:10" x14ac:dyDescent="0.25">
      <c r="A973" s="129" t="str">
        <f t="shared" si="20"/>
        <v>7016819</v>
      </c>
      <c r="B973" s="128">
        <v>701</v>
      </c>
      <c r="C973" s="128">
        <v>6819</v>
      </c>
      <c r="D973" s="128">
        <v>50007</v>
      </c>
      <c r="E973" s="140" t="s">
        <v>1014</v>
      </c>
      <c r="F973" s="137">
        <v>41428</v>
      </c>
      <c r="G973" s="47">
        <v>1</v>
      </c>
      <c r="H973" s="48">
        <v>6592.3769999999995</v>
      </c>
      <c r="I973" s="128" t="s">
        <v>1128</v>
      </c>
      <c r="J973" s="128" t="s">
        <v>1241</v>
      </c>
    </row>
    <row r="974" spans="1:10" x14ac:dyDescent="0.25">
      <c r="A974" s="129" t="str">
        <f t="shared" si="20"/>
        <v>7016820</v>
      </c>
      <c r="B974" s="128">
        <v>701</v>
      </c>
      <c r="C974" s="128">
        <v>6820</v>
      </c>
      <c r="D974" s="128">
        <v>50007</v>
      </c>
      <c r="E974" s="138" t="s">
        <v>335</v>
      </c>
      <c r="F974" s="137">
        <v>41428</v>
      </c>
      <c r="G974" s="47">
        <v>1</v>
      </c>
      <c r="H974" s="48">
        <v>21214.280999999999</v>
      </c>
      <c r="I974" s="128" t="s">
        <v>1187</v>
      </c>
      <c r="J974" s="128" t="s">
        <v>1241</v>
      </c>
    </row>
    <row r="975" spans="1:10" x14ac:dyDescent="0.25">
      <c r="A975" s="129" t="str">
        <f t="shared" si="20"/>
        <v>7016821</v>
      </c>
      <c r="B975" s="128">
        <v>701</v>
      </c>
      <c r="C975" s="128">
        <v>6821</v>
      </c>
      <c r="D975" s="128">
        <v>50007</v>
      </c>
      <c r="E975" s="138" t="s">
        <v>297</v>
      </c>
      <c r="F975" s="137">
        <v>41428</v>
      </c>
      <c r="G975" s="47">
        <v>1</v>
      </c>
      <c r="H975" s="48">
        <v>14883</v>
      </c>
      <c r="I975" s="128" t="s">
        <v>1121</v>
      </c>
      <c r="J975" s="128" t="s">
        <v>1241</v>
      </c>
    </row>
    <row r="976" spans="1:10" x14ac:dyDescent="0.25">
      <c r="A976" s="129" t="str">
        <f t="shared" si="20"/>
        <v>7016888</v>
      </c>
      <c r="B976" s="128">
        <v>701</v>
      </c>
      <c r="C976" s="128">
        <v>6888</v>
      </c>
      <c r="D976" s="128">
        <v>50007</v>
      </c>
      <c r="E976" s="138" t="s">
        <v>292</v>
      </c>
      <c r="F976" s="137">
        <v>41495</v>
      </c>
      <c r="G976" s="47">
        <v>1</v>
      </c>
      <c r="H976" s="48">
        <v>8347.2014999999992</v>
      </c>
      <c r="I976" s="128" t="s">
        <v>1136</v>
      </c>
      <c r="J976" s="128" t="s">
        <v>1241</v>
      </c>
    </row>
    <row r="977" spans="1:10" x14ac:dyDescent="0.25">
      <c r="A977" s="129" t="str">
        <f t="shared" si="20"/>
        <v>7016890</v>
      </c>
      <c r="B977" s="128">
        <v>701</v>
      </c>
      <c r="C977" s="128">
        <v>6890</v>
      </c>
      <c r="D977" s="128">
        <v>50002</v>
      </c>
      <c r="E977" s="138" t="s">
        <v>236</v>
      </c>
      <c r="F977" s="137">
        <v>41498</v>
      </c>
      <c r="G977" s="47">
        <v>1</v>
      </c>
      <c r="H977" s="48">
        <v>12192.873</v>
      </c>
      <c r="I977" s="128" t="s">
        <v>1205</v>
      </c>
      <c r="J977" s="128" t="s">
        <v>1240</v>
      </c>
    </row>
    <row r="978" spans="1:10" x14ac:dyDescent="0.25">
      <c r="A978" s="129" t="str">
        <f t="shared" si="20"/>
        <v>7016931</v>
      </c>
      <c r="B978" s="128">
        <v>701</v>
      </c>
      <c r="C978" s="128">
        <v>6931</v>
      </c>
      <c r="D978" s="128">
        <v>50002</v>
      </c>
      <c r="E978" s="138" t="s">
        <v>353</v>
      </c>
      <c r="F978" s="137">
        <v>41500</v>
      </c>
      <c r="G978" s="47">
        <v>1</v>
      </c>
      <c r="H978" s="48">
        <v>15675</v>
      </c>
      <c r="I978" s="128" t="s">
        <v>1205</v>
      </c>
      <c r="J978" s="128" t="s">
        <v>1240</v>
      </c>
    </row>
    <row r="979" spans="1:10" x14ac:dyDescent="0.25">
      <c r="A979" s="129" t="str">
        <f t="shared" si="20"/>
        <v>7016969</v>
      </c>
      <c r="B979" s="128">
        <v>701</v>
      </c>
      <c r="C979" s="128">
        <v>6969</v>
      </c>
      <c r="D979" s="128">
        <v>50002</v>
      </c>
      <c r="E979" s="138" t="s">
        <v>454</v>
      </c>
      <c r="F979" s="137">
        <v>41528</v>
      </c>
      <c r="G979" s="47">
        <v>1</v>
      </c>
      <c r="H979" s="48">
        <v>3434.2604999999994</v>
      </c>
      <c r="I979" s="128" t="s">
        <v>1205</v>
      </c>
      <c r="J979" s="128" t="s">
        <v>1240</v>
      </c>
    </row>
    <row r="980" spans="1:10" x14ac:dyDescent="0.25">
      <c r="A980" s="129" t="str">
        <f t="shared" si="20"/>
        <v>7016972</v>
      </c>
      <c r="B980" s="128">
        <v>701</v>
      </c>
      <c r="C980" s="128">
        <v>6972</v>
      </c>
      <c r="D980" s="128">
        <v>50007</v>
      </c>
      <c r="E980" s="140" t="s">
        <v>858</v>
      </c>
      <c r="F980" s="137">
        <v>41534</v>
      </c>
      <c r="G980" s="47">
        <v>1</v>
      </c>
      <c r="H980" s="48">
        <v>7260</v>
      </c>
      <c r="I980" s="128" t="s">
        <v>1121</v>
      </c>
      <c r="J980" s="128" t="s">
        <v>1241</v>
      </c>
    </row>
    <row r="981" spans="1:10" x14ac:dyDescent="0.25">
      <c r="A981" s="129" t="str">
        <f t="shared" si="20"/>
        <v>7016973</v>
      </c>
      <c r="B981" s="128">
        <v>701</v>
      </c>
      <c r="C981" s="128">
        <v>6973</v>
      </c>
      <c r="D981" s="128">
        <v>50007</v>
      </c>
      <c r="E981" s="138" t="s">
        <v>333</v>
      </c>
      <c r="F981" s="137">
        <v>41527</v>
      </c>
      <c r="G981" s="47">
        <v>1</v>
      </c>
      <c r="H981" s="48">
        <v>6592.3769999999995</v>
      </c>
      <c r="I981" s="128" t="s">
        <v>1139</v>
      </c>
      <c r="J981" s="128" t="s">
        <v>1241</v>
      </c>
    </row>
    <row r="982" spans="1:10" x14ac:dyDescent="0.25">
      <c r="A982" s="129" t="str">
        <f t="shared" si="20"/>
        <v>7016975</v>
      </c>
      <c r="B982" s="128">
        <v>701</v>
      </c>
      <c r="C982" s="128">
        <v>6975</v>
      </c>
      <c r="D982" s="128">
        <v>50007</v>
      </c>
      <c r="E982" s="138" t="s">
        <v>631</v>
      </c>
      <c r="F982" s="137">
        <v>41521</v>
      </c>
      <c r="G982" s="47">
        <v>1</v>
      </c>
      <c r="H982" s="48">
        <v>32190.427499999994</v>
      </c>
      <c r="I982" s="128" t="s">
        <v>1128</v>
      </c>
      <c r="J982" s="128" t="s">
        <v>1241</v>
      </c>
    </row>
    <row r="983" spans="1:10" x14ac:dyDescent="0.25">
      <c r="A983" s="129" t="str">
        <f t="shared" si="20"/>
        <v>7016996</v>
      </c>
      <c r="B983" s="128">
        <v>701</v>
      </c>
      <c r="C983" s="128">
        <v>6996</v>
      </c>
      <c r="D983" s="128">
        <v>50007</v>
      </c>
      <c r="E983" s="138" t="s">
        <v>381</v>
      </c>
      <c r="F983" s="137">
        <v>41548</v>
      </c>
      <c r="G983" s="47">
        <v>1</v>
      </c>
      <c r="H983" s="48">
        <v>7949.7164999999995</v>
      </c>
      <c r="I983" s="128" t="s">
        <v>1128</v>
      </c>
      <c r="J983" s="128" t="s">
        <v>1241</v>
      </c>
    </row>
    <row r="984" spans="1:10" x14ac:dyDescent="0.25">
      <c r="A984" s="129" t="str">
        <f t="shared" si="20"/>
        <v>7017011</v>
      </c>
      <c r="B984" s="128">
        <v>701</v>
      </c>
      <c r="C984" s="128">
        <v>7011</v>
      </c>
      <c r="D984" s="128">
        <v>50007</v>
      </c>
      <c r="E984" s="138" t="s">
        <v>182</v>
      </c>
      <c r="F984" s="137">
        <v>41568</v>
      </c>
      <c r="G984" s="47">
        <v>1</v>
      </c>
      <c r="H984" s="48">
        <v>16865.326499999999</v>
      </c>
      <c r="I984" s="128" t="s">
        <v>1128</v>
      </c>
      <c r="J984" s="128" t="s">
        <v>1241</v>
      </c>
    </row>
    <row r="985" spans="1:10" x14ac:dyDescent="0.25">
      <c r="A985" s="129" t="str">
        <f t="shared" si="20"/>
        <v>7017076</v>
      </c>
      <c r="B985" s="128">
        <v>701</v>
      </c>
      <c r="C985" s="128">
        <v>7076</v>
      </c>
      <c r="D985" s="128">
        <v>50007</v>
      </c>
      <c r="E985" s="140" t="s">
        <v>902</v>
      </c>
      <c r="F985" s="137">
        <v>41660</v>
      </c>
      <c r="G985" s="47">
        <v>1</v>
      </c>
      <c r="H985" s="48">
        <v>8943.4454999999998</v>
      </c>
      <c r="I985" s="128" t="s">
        <v>1121</v>
      </c>
      <c r="J985" s="128" t="s">
        <v>1241</v>
      </c>
    </row>
    <row r="986" spans="1:10" x14ac:dyDescent="0.25">
      <c r="A986" s="129" t="str">
        <f t="shared" si="20"/>
        <v>7017078</v>
      </c>
      <c r="B986" s="128">
        <v>701</v>
      </c>
      <c r="C986" s="128">
        <v>7078</v>
      </c>
      <c r="D986" s="128">
        <v>50007</v>
      </c>
      <c r="E986" s="140" t="s">
        <v>871</v>
      </c>
      <c r="F986" s="137">
        <v>41660</v>
      </c>
      <c r="G986" s="47">
        <v>1</v>
      </c>
      <c r="H986" s="48">
        <v>16956.819</v>
      </c>
      <c r="I986" s="128" t="s">
        <v>1121</v>
      </c>
      <c r="J986" s="128" t="s">
        <v>1241</v>
      </c>
    </row>
    <row r="987" spans="1:10" x14ac:dyDescent="0.25">
      <c r="A987" s="129" t="str">
        <f t="shared" si="20"/>
        <v>7017079</v>
      </c>
      <c r="B987" s="128">
        <v>701</v>
      </c>
      <c r="C987" s="128">
        <v>7079</v>
      </c>
      <c r="D987" s="128">
        <v>50007</v>
      </c>
      <c r="E987" s="138" t="s">
        <v>653</v>
      </c>
      <c r="F987" s="137">
        <v>41660</v>
      </c>
      <c r="G987" s="47">
        <v>1</v>
      </c>
      <c r="H987" s="48">
        <v>8347.2014999999992</v>
      </c>
      <c r="I987" s="128" t="s">
        <v>1121</v>
      </c>
      <c r="J987" s="128" t="s">
        <v>1241</v>
      </c>
    </row>
    <row r="988" spans="1:10" x14ac:dyDescent="0.25">
      <c r="A988" s="129" t="str">
        <f t="shared" si="20"/>
        <v>7017083</v>
      </c>
      <c r="B988" s="128">
        <v>701</v>
      </c>
      <c r="C988" s="128">
        <v>7083</v>
      </c>
      <c r="D988" s="128">
        <v>50007</v>
      </c>
      <c r="E988" s="140" t="s">
        <v>980</v>
      </c>
      <c r="F988" s="137">
        <v>41660</v>
      </c>
      <c r="G988" s="47">
        <v>1</v>
      </c>
      <c r="H988" s="48">
        <v>16864.749</v>
      </c>
      <c r="I988" s="128" t="s">
        <v>1121</v>
      </c>
      <c r="J988" s="128" t="s">
        <v>1241</v>
      </c>
    </row>
    <row r="989" spans="1:10" x14ac:dyDescent="0.25">
      <c r="A989" s="129" t="str">
        <f t="shared" si="20"/>
        <v>7018576</v>
      </c>
      <c r="B989" s="128">
        <v>701</v>
      </c>
      <c r="C989" s="128">
        <v>8576</v>
      </c>
      <c r="D989" s="128">
        <v>50007</v>
      </c>
      <c r="E989" s="138" t="s">
        <v>807</v>
      </c>
      <c r="F989" s="137">
        <v>41684</v>
      </c>
      <c r="G989" s="47">
        <v>1</v>
      </c>
      <c r="H989" s="48">
        <v>11517.148499999999</v>
      </c>
      <c r="I989" s="128" t="s">
        <v>1121</v>
      </c>
      <c r="J989" s="128" t="s">
        <v>1241</v>
      </c>
    </row>
    <row r="990" spans="1:10" x14ac:dyDescent="0.25">
      <c r="A990" s="129" t="str">
        <f t="shared" si="20"/>
        <v>7018606</v>
      </c>
      <c r="B990" s="128">
        <v>701</v>
      </c>
      <c r="C990" s="128">
        <v>8606</v>
      </c>
      <c r="D990" s="128">
        <v>50007</v>
      </c>
      <c r="E990" s="138" t="s">
        <v>270</v>
      </c>
      <c r="F990" s="137">
        <v>41711</v>
      </c>
      <c r="G990" s="47">
        <v>1</v>
      </c>
      <c r="H990" s="48">
        <v>11517.148499999999</v>
      </c>
      <c r="I990" s="128" t="s">
        <v>1128</v>
      </c>
      <c r="J990" s="128" t="s">
        <v>1241</v>
      </c>
    </row>
    <row r="991" spans="1:10" x14ac:dyDescent="0.25">
      <c r="A991" s="129" t="str">
        <f t="shared" si="20"/>
        <v>7018623</v>
      </c>
      <c r="B991" s="128">
        <v>701</v>
      </c>
      <c r="C991" s="128">
        <v>8623</v>
      </c>
      <c r="D991" s="128">
        <v>50002</v>
      </c>
      <c r="E991" s="138" t="s">
        <v>468</v>
      </c>
      <c r="F991" s="137">
        <v>41717</v>
      </c>
      <c r="G991" s="47">
        <v>1</v>
      </c>
      <c r="H991" s="48">
        <v>8347.2014999999992</v>
      </c>
      <c r="I991" s="128" t="s">
        <v>1121</v>
      </c>
      <c r="J991" s="128" t="s">
        <v>1240</v>
      </c>
    </row>
    <row r="992" spans="1:10" x14ac:dyDescent="0.25">
      <c r="A992" s="129" t="str">
        <f t="shared" si="20"/>
        <v>7018625</v>
      </c>
      <c r="B992" s="128">
        <v>701</v>
      </c>
      <c r="C992" s="128">
        <v>8625</v>
      </c>
      <c r="D992" s="128">
        <v>50007</v>
      </c>
      <c r="E992" s="138" t="s">
        <v>684</v>
      </c>
      <c r="F992" s="137">
        <v>41717</v>
      </c>
      <c r="G992" s="47">
        <v>1</v>
      </c>
      <c r="H992" s="48">
        <v>8347.2014999999992</v>
      </c>
      <c r="I992" s="128" t="s">
        <v>1121</v>
      </c>
      <c r="J992" s="128" t="s">
        <v>1241</v>
      </c>
    </row>
    <row r="993" spans="1:10" x14ac:dyDescent="0.25">
      <c r="A993" s="129" t="str">
        <f t="shared" si="20"/>
        <v>7018627</v>
      </c>
      <c r="B993" s="128">
        <v>701</v>
      </c>
      <c r="C993" s="128">
        <v>8627</v>
      </c>
      <c r="D993" s="128">
        <v>50007</v>
      </c>
      <c r="E993" s="140" t="s">
        <v>1099</v>
      </c>
      <c r="F993" s="137">
        <v>41717</v>
      </c>
      <c r="G993" s="47">
        <v>1</v>
      </c>
      <c r="H993" s="48">
        <v>8347.2014999999992</v>
      </c>
      <c r="I993" s="128" t="s">
        <v>1121</v>
      </c>
      <c r="J993" s="128" t="s">
        <v>1241</v>
      </c>
    </row>
    <row r="994" spans="1:10" x14ac:dyDescent="0.25">
      <c r="A994" s="129" t="str">
        <f t="shared" si="20"/>
        <v>7018643</v>
      </c>
      <c r="B994" s="128">
        <v>701</v>
      </c>
      <c r="C994" s="128">
        <v>8643</v>
      </c>
      <c r="D994" s="128">
        <v>50007</v>
      </c>
      <c r="E994" s="140" t="s">
        <v>972</v>
      </c>
      <c r="F994" s="137">
        <v>41732</v>
      </c>
      <c r="G994" s="47">
        <v>1</v>
      </c>
      <c r="H994" s="48">
        <v>8347.2014999999992</v>
      </c>
      <c r="I994" s="128" t="s">
        <v>1205</v>
      </c>
      <c r="J994" s="128" t="s">
        <v>1241</v>
      </c>
    </row>
    <row r="995" spans="1:10" x14ac:dyDescent="0.25">
      <c r="A995" s="129" t="str">
        <f t="shared" si="20"/>
        <v>7018644</v>
      </c>
      <c r="B995" s="128">
        <v>701</v>
      </c>
      <c r="C995" s="128">
        <v>8644</v>
      </c>
      <c r="D995" s="128">
        <v>50007</v>
      </c>
      <c r="E995" s="138" t="s">
        <v>563</v>
      </c>
      <c r="F995" s="137">
        <v>41730</v>
      </c>
      <c r="G995" s="47">
        <v>1</v>
      </c>
      <c r="H995" s="48">
        <v>8347.2014999999992</v>
      </c>
      <c r="I995" s="128" t="s">
        <v>1139</v>
      </c>
      <c r="J995" s="128" t="s">
        <v>1241</v>
      </c>
    </row>
    <row r="996" spans="1:10" x14ac:dyDescent="0.25">
      <c r="A996" s="129" t="str">
        <f t="shared" si="20"/>
        <v>7018688</v>
      </c>
      <c r="B996" s="128">
        <v>701</v>
      </c>
      <c r="C996" s="128">
        <v>8688</v>
      </c>
      <c r="D996" s="128">
        <v>50002</v>
      </c>
      <c r="E996" s="138" t="s">
        <v>341</v>
      </c>
      <c r="F996" s="137">
        <v>41767</v>
      </c>
      <c r="G996" s="47">
        <v>1</v>
      </c>
      <c r="H996" s="48">
        <v>8347.2014999999992</v>
      </c>
      <c r="I996" s="128" t="s">
        <v>1205</v>
      </c>
      <c r="J996" s="128" t="s">
        <v>1240</v>
      </c>
    </row>
    <row r="997" spans="1:10" x14ac:dyDescent="0.25">
      <c r="A997" s="129" t="str">
        <f t="shared" si="20"/>
        <v>7018720</v>
      </c>
      <c r="B997" s="128">
        <v>701</v>
      </c>
      <c r="C997" s="128">
        <v>8720</v>
      </c>
      <c r="D997" s="128">
        <v>50002</v>
      </c>
      <c r="E997" s="138" t="s">
        <v>442</v>
      </c>
      <c r="F997" s="137">
        <v>41803</v>
      </c>
      <c r="G997" s="47">
        <v>1</v>
      </c>
      <c r="H997" s="48">
        <v>8810.2739999999994</v>
      </c>
      <c r="I997" s="128" t="s">
        <v>1205</v>
      </c>
      <c r="J997" s="128" t="s">
        <v>1240</v>
      </c>
    </row>
    <row r="998" spans="1:10" x14ac:dyDescent="0.25">
      <c r="A998" s="129" t="str">
        <f t="shared" si="20"/>
        <v>7018721</v>
      </c>
      <c r="B998" s="128">
        <v>701</v>
      </c>
      <c r="C998" s="128">
        <v>8721</v>
      </c>
      <c r="D998" s="128">
        <v>50002</v>
      </c>
      <c r="E998" s="140" t="s">
        <v>1105</v>
      </c>
      <c r="F998" s="137">
        <v>41796</v>
      </c>
      <c r="G998" s="47">
        <v>1</v>
      </c>
      <c r="H998" s="48">
        <v>10238.431499999999</v>
      </c>
      <c r="I998" s="128" t="s">
        <v>1205</v>
      </c>
      <c r="J998" s="128" t="s">
        <v>1240</v>
      </c>
    </row>
    <row r="999" spans="1:10" x14ac:dyDescent="0.25">
      <c r="A999" s="129" t="str">
        <f t="shared" si="20"/>
        <v>7018722</v>
      </c>
      <c r="B999" s="128">
        <v>701</v>
      </c>
      <c r="C999" s="128">
        <v>8722</v>
      </c>
      <c r="D999" s="128">
        <v>50007</v>
      </c>
      <c r="E999" s="138" t="s">
        <v>316</v>
      </c>
      <c r="F999" s="137">
        <v>41800</v>
      </c>
      <c r="G999" s="47">
        <v>1</v>
      </c>
      <c r="H999" s="48">
        <v>7949.7164999999995</v>
      </c>
      <c r="I999" s="128" t="s">
        <v>1139</v>
      </c>
      <c r="J999" s="128" t="s">
        <v>1241</v>
      </c>
    </row>
    <row r="1000" spans="1:10" x14ac:dyDescent="0.25">
      <c r="A1000" s="129" t="str">
        <f t="shared" si="20"/>
        <v>7018723</v>
      </c>
      <c r="B1000" s="128">
        <v>701</v>
      </c>
      <c r="C1000" s="128">
        <v>8723</v>
      </c>
      <c r="D1000" s="128">
        <v>50002</v>
      </c>
      <c r="E1000" s="138" t="s">
        <v>686</v>
      </c>
      <c r="F1000" s="137">
        <v>41803</v>
      </c>
      <c r="G1000" s="47">
        <v>1</v>
      </c>
      <c r="H1000" s="48">
        <v>4521.8249999999998</v>
      </c>
      <c r="I1000" s="128" t="s">
        <v>1205</v>
      </c>
      <c r="J1000" s="128" t="s">
        <v>1240</v>
      </c>
    </row>
    <row r="1001" spans="1:10" x14ac:dyDescent="0.25">
      <c r="A1001" s="129" t="str">
        <f t="shared" si="20"/>
        <v>7018725</v>
      </c>
      <c r="B1001" s="128">
        <v>701</v>
      </c>
      <c r="C1001" s="128">
        <v>8725</v>
      </c>
      <c r="D1001" s="128">
        <v>50002</v>
      </c>
      <c r="E1001" s="138" t="s">
        <v>426</v>
      </c>
      <c r="F1001" s="137">
        <v>41800</v>
      </c>
      <c r="G1001" s="47">
        <v>1</v>
      </c>
      <c r="H1001" s="48">
        <v>9579.4049999999988</v>
      </c>
      <c r="I1001" s="128" t="s">
        <v>1121</v>
      </c>
      <c r="J1001" s="128" t="s">
        <v>1240</v>
      </c>
    </row>
  </sheetData>
  <autoFilter ref="A1:I1001"/>
  <sortState ref="E2:E1001">
    <sortCondition ref="E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Tutorial</vt:lpstr>
      <vt:lpstr>Análise</vt:lpstr>
      <vt:lpstr>Config</vt:lpstr>
      <vt:lpstr>Cálculo</vt:lpstr>
      <vt:lpstr>Dados</vt:lpstr>
      <vt:lpstr>Cálculo!Area_de_impressao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Ribeiro Parente</dc:creator>
  <cp:lastModifiedBy>Luis Ribeiro Parente</cp:lastModifiedBy>
  <cp:lastPrinted>2015-08-02T01:52:12Z</cp:lastPrinted>
  <dcterms:created xsi:type="dcterms:W3CDTF">2015-08-01T00:14:23Z</dcterms:created>
  <dcterms:modified xsi:type="dcterms:W3CDTF">2017-01-25T02:57:25Z</dcterms:modified>
</cp:coreProperties>
</file>