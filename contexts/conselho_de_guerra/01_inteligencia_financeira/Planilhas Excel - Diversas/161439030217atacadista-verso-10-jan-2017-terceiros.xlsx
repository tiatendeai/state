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9e\AC\Temp\"/>
    </mc:Choice>
  </mc:AlternateContent>
  <xr:revisionPtr revIDLastSave="0" documentId="8_{4C1C2168-F33B-864A-A584-9B4A781CFAA9}" xr6:coauthVersionLast="28" xr6:coauthVersionMax="28" xr10:uidLastSave="{00000000-0000-0000-0000-000000000000}"/>
  <bookViews>
    <workbookView xWindow="360" yWindow="15" windowWidth="11340" windowHeight="65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Plan1!$A$1:$L$222</definedName>
    <definedName name="Z_460CB104_CE2B_47CF_8F06_CC02CC8B9BA3_.wvu.Cols" localSheetId="0" hidden="1">Plan1!$I:$I</definedName>
    <definedName name="Z_460CB104_CE2B_47CF_8F06_CC02CC8B9BA3_.wvu.PrintArea" localSheetId="0" hidden="1">Plan1!$A$1:$L$222</definedName>
    <definedName name="Z_460CB104_CE2B_47CF_8F06_CC02CC8B9BA3_.wvu.Rows" localSheetId="0" hidden="1">Plan1!#REF!,Plan1!$225:$231</definedName>
  </definedNames>
  <calcPr calcId="171026"/>
  <customWorkbookViews>
    <customWorkbookView name="Rider - Modo de exibição pessoal" guid="{460CB104-CE2B-47CF-8F06-CC02CC8B9BA3}" mergeInterval="0" personalView="1" maximized="1" xWindow="1" yWindow="1" windowWidth="1680" windowHeight="762" activeSheetId="1"/>
  </customWorkbookViews>
</workbook>
</file>

<file path=xl/calcChain.xml><?xml version="1.0" encoding="utf-8"?>
<calcChain xmlns="http://schemas.openxmlformats.org/spreadsheetml/2006/main">
  <c r="F57" i="1" l="1"/>
  <c r="J57" i="1"/>
  <c r="J61" i="1"/>
  <c r="J71" i="1"/>
  <c r="J72" i="1"/>
  <c r="G120" i="1"/>
  <c r="C196" i="1"/>
  <c r="J54" i="1"/>
  <c r="J59" i="1"/>
  <c r="F52" i="1"/>
  <c r="G114" i="1"/>
  <c r="E52" i="1"/>
  <c r="E64" i="1"/>
  <c r="E74" i="1"/>
  <c r="J51" i="1"/>
  <c r="G29" i="1"/>
  <c r="E24" i="1"/>
  <c r="C24" i="1"/>
  <c r="G22" i="1"/>
  <c r="F35" i="1"/>
  <c r="J35" i="1"/>
  <c r="G9" i="1"/>
  <c r="J53" i="1"/>
  <c r="G6" i="1"/>
  <c r="F21" i="1"/>
  <c r="G23" i="1"/>
  <c r="G19" i="1"/>
  <c r="G20" i="1"/>
  <c r="G24" i="1"/>
  <c r="L86" i="1"/>
  <c r="J73" i="1"/>
  <c r="J62" i="1"/>
  <c r="J50" i="1"/>
  <c r="F36" i="1"/>
  <c r="J36" i="1"/>
  <c r="G28" i="1"/>
  <c r="E18" i="1"/>
  <c r="J86" i="1"/>
  <c r="K86" i="1"/>
  <c r="C18" i="1"/>
  <c r="G17" i="1"/>
  <c r="G16" i="1"/>
  <c r="G7" i="1"/>
  <c r="G8" i="1"/>
  <c r="G10" i="1"/>
  <c r="G11" i="1"/>
  <c r="G12" i="1"/>
  <c r="G13" i="1"/>
  <c r="G14" i="1"/>
  <c r="G15" i="1"/>
  <c r="G26" i="1"/>
  <c r="G27" i="1"/>
  <c r="G30" i="1"/>
  <c r="F37" i="1"/>
  <c r="J37" i="1"/>
  <c r="F38" i="1"/>
  <c r="J38" i="1"/>
  <c r="F39" i="1"/>
  <c r="J39" i="1"/>
  <c r="F40" i="1"/>
  <c r="J40" i="1"/>
  <c r="F41" i="1"/>
  <c r="J41" i="1"/>
  <c r="F42" i="1"/>
  <c r="J42" i="1"/>
  <c r="J44" i="1"/>
  <c r="J45" i="1"/>
  <c r="J46" i="1"/>
  <c r="J47" i="1"/>
  <c r="J48" i="1"/>
  <c r="J49" i="1"/>
  <c r="J55" i="1"/>
  <c r="J56" i="1"/>
  <c r="J58" i="1"/>
  <c r="J60" i="1"/>
  <c r="J63" i="1"/>
  <c r="J65" i="1"/>
  <c r="J66" i="1"/>
  <c r="J67" i="1"/>
  <c r="J68" i="1"/>
  <c r="J69" i="1"/>
  <c r="J70" i="1"/>
  <c r="E83" i="1"/>
  <c r="C182" i="1"/>
  <c r="E182" i="1"/>
  <c r="E85" i="1"/>
  <c r="G104" i="1"/>
  <c r="G130" i="1"/>
  <c r="G137" i="1"/>
  <c r="G138" i="1"/>
  <c r="H159" i="1"/>
  <c r="F166" i="1"/>
  <c r="H187" i="1"/>
  <c r="E191" i="1"/>
  <c r="H191" i="1"/>
  <c r="J43" i="1"/>
  <c r="G119" i="1"/>
  <c r="C195" i="1"/>
  <c r="E195" i="1"/>
  <c r="H120" i="1"/>
  <c r="E196" i="1"/>
  <c r="E25" i="1"/>
  <c r="E31" i="1"/>
  <c r="L136" i="1"/>
  <c r="E199" i="1"/>
  <c r="H190" i="1"/>
  <c r="C25" i="1"/>
  <c r="C31" i="1"/>
  <c r="K114" i="1"/>
  <c r="G124" i="1"/>
  <c r="H189" i="1"/>
  <c r="H184" i="1"/>
  <c r="G18" i="1"/>
  <c r="G25" i="1"/>
  <c r="D94" i="1"/>
  <c r="K135" i="1"/>
  <c r="J64" i="1"/>
  <c r="J74" i="1"/>
  <c r="F152" i="1"/>
  <c r="H104" i="1"/>
  <c r="K104" i="1"/>
  <c r="H119" i="1"/>
  <c r="H121" i="1"/>
  <c r="K130" i="1"/>
  <c r="F64" i="1"/>
  <c r="F74" i="1"/>
  <c r="E84" i="1"/>
  <c r="G31" i="1"/>
  <c r="H156" i="1"/>
  <c r="H180" i="1"/>
  <c r="D95" i="1"/>
  <c r="D96" i="1"/>
  <c r="H131" i="1"/>
  <c r="E87" i="1"/>
  <c r="F84" i="1"/>
  <c r="J84" i="1"/>
  <c r="F95" i="1"/>
  <c r="K95" i="1"/>
  <c r="K97" i="1"/>
  <c r="F83" i="1"/>
  <c r="F85" i="1"/>
  <c r="F94" i="1"/>
  <c r="F87" i="1"/>
  <c r="J83" i="1"/>
  <c r="K84" i="1"/>
  <c r="H115" i="1"/>
  <c r="G115" i="1"/>
  <c r="F96" i="1"/>
  <c r="L96" i="1"/>
  <c r="L97" i="1"/>
  <c r="J85" i="1"/>
  <c r="H133" i="1"/>
  <c r="H116" i="1"/>
  <c r="H182" i="1"/>
  <c r="F154" i="1"/>
  <c r="H117" i="1"/>
  <c r="L115" i="1"/>
  <c r="C184" i="1"/>
  <c r="E184" i="1"/>
  <c r="G106" i="1"/>
  <c r="J87" i="1"/>
  <c r="K83" i="1"/>
  <c r="G105" i="1"/>
  <c r="F97" i="1"/>
  <c r="J94" i="1"/>
  <c r="J97" i="1"/>
  <c r="H105" i="1"/>
  <c r="H132" i="1"/>
  <c r="H134" i="1"/>
  <c r="L134" i="1"/>
  <c r="K139" i="1"/>
  <c r="F153" i="1"/>
  <c r="F163" i="1"/>
  <c r="F167" i="1"/>
  <c r="H181" i="1"/>
  <c r="H183" i="1"/>
  <c r="H192" i="1"/>
  <c r="H106" i="1"/>
  <c r="E185" i="1"/>
  <c r="E186" i="1"/>
  <c r="L122" i="1"/>
  <c r="L123" i="1"/>
  <c r="H158" i="1"/>
  <c r="K118" i="1"/>
  <c r="K123" i="1"/>
  <c r="J196" i="1"/>
  <c r="H146" i="1"/>
  <c r="K124" i="1"/>
  <c r="E188" i="1"/>
  <c r="E192" i="1"/>
  <c r="J195" i="1"/>
  <c r="J197" i="1"/>
  <c r="L105" i="1"/>
  <c r="J199" i="1"/>
  <c r="G145" i="1"/>
  <c r="G147" i="1"/>
  <c r="F170" i="1"/>
  <c r="H124" i="1"/>
  <c r="D199" i="1"/>
  <c r="H162" i="1"/>
  <c r="H157" i="1"/>
  <c r="K107" i="1"/>
  <c r="H144" i="1"/>
  <c r="H147" i="1"/>
  <c r="H163" i="1"/>
  <c r="F168" i="1"/>
  <c r="F169" i="1"/>
</calcChain>
</file>

<file path=xl/sharedStrings.xml><?xml version="1.0" encoding="utf-8"?>
<sst xmlns="http://schemas.openxmlformats.org/spreadsheetml/2006/main" count="272" uniqueCount="198">
  <si>
    <t>Registro de Entradas</t>
  </si>
  <si>
    <t>Valor Contábil</t>
  </si>
  <si>
    <t>Base de Cálculo</t>
  </si>
  <si>
    <t>%</t>
  </si>
  <si>
    <t>Crédito de ICMS</t>
  </si>
  <si>
    <t>TOTAL</t>
  </si>
  <si>
    <t>Registro de Saídas</t>
  </si>
  <si>
    <t>Operação (Destino)</t>
  </si>
  <si>
    <t>ES</t>
  </si>
  <si>
    <t>Estado</t>
  </si>
  <si>
    <t>Base do ICMS</t>
  </si>
  <si>
    <t>ICMS R$</t>
  </si>
  <si>
    <t>Consumidor Final</t>
  </si>
  <si>
    <t>Varejista</t>
  </si>
  <si>
    <t xml:space="preserve">ES </t>
  </si>
  <si>
    <t>Benefício</t>
  </si>
  <si>
    <t>% do Total</t>
  </si>
  <si>
    <t>Sem Benefício</t>
  </si>
  <si>
    <t>Totais</t>
  </si>
  <si>
    <t>Registro de Apuração do ICMS</t>
  </si>
  <si>
    <t>Histórico</t>
  </si>
  <si>
    <t>Débito</t>
  </si>
  <si>
    <t>Crédito</t>
  </si>
  <si>
    <t>Reg. Saída-Débito Total</t>
  </si>
  <si>
    <t>Totais:</t>
  </si>
  <si>
    <t>Apuração:</t>
  </si>
  <si>
    <t>Total do Débito</t>
  </si>
  <si>
    <t>(-)Total do Crédito</t>
  </si>
  <si>
    <t>Reg. Entrada- Crédito Total</t>
  </si>
  <si>
    <t>(=) Saldo do Devedor/Credor</t>
  </si>
  <si>
    <t>Crédito Total</t>
  </si>
  <si>
    <t>% do Total Vendas Tributada</t>
  </si>
  <si>
    <t>Aliq.%</t>
  </si>
  <si>
    <t>Operação Dentro do Estado</t>
  </si>
  <si>
    <t>Aliq.</t>
  </si>
  <si>
    <t>Valor da Operação</t>
  </si>
  <si>
    <t>Imposto</t>
  </si>
  <si>
    <t>Operação Fora do Estado</t>
  </si>
  <si>
    <t>Operação</t>
  </si>
  <si>
    <t>Imposto devido</t>
  </si>
  <si>
    <t>Verificação do Cálculo (Tirando a Prova)</t>
  </si>
  <si>
    <t>Bonificação</t>
  </si>
  <si>
    <t>Fora</t>
  </si>
  <si>
    <t>Outras Com Benef</t>
  </si>
  <si>
    <t>Outras Com  Benef</t>
  </si>
  <si>
    <t>Sub-Total p/o Regime</t>
  </si>
  <si>
    <r>
      <t>Devolução de Vendas-Clientes</t>
    </r>
    <r>
      <rPr>
        <b/>
        <sz val="10"/>
        <rFont val="Arial"/>
        <family val="2"/>
      </rPr>
      <t>(C)</t>
    </r>
  </si>
  <si>
    <r>
      <t>Devolução Compra</t>
    </r>
    <r>
      <rPr>
        <b/>
        <sz val="10"/>
        <rFont val="Arial"/>
        <family val="2"/>
      </rPr>
      <t>(B)</t>
    </r>
  </si>
  <si>
    <r>
      <t xml:space="preserve">Estorno de devolução de Compra </t>
    </r>
    <r>
      <rPr>
        <b/>
        <sz val="10"/>
        <rFont val="Arial"/>
        <family val="2"/>
      </rPr>
      <t>(B)</t>
    </r>
  </si>
  <si>
    <r>
      <t>Demonstração</t>
    </r>
    <r>
      <rPr>
        <b/>
        <sz val="10"/>
        <rFont val="Arial"/>
        <family val="2"/>
      </rPr>
      <t>(A)</t>
    </r>
  </si>
  <si>
    <t>Estorno de:</t>
  </si>
  <si>
    <t>Compras de Outros Estados</t>
  </si>
  <si>
    <t>Compras do Esp. Santo</t>
  </si>
  <si>
    <r>
      <t xml:space="preserve">Transferência </t>
    </r>
    <r>
      <rPr>
        <b/>
        <sz val="10"/>
        <rFont val="Arial"/>
        <family val="2"/>
      </rPr>
      <t>(D)</t>
    </r>
  </si>
  <si>
    <t>Ajuste (+)</t>
  </si>
  <si>
    <t>Valor do Imposto</t>
  </si>
  <si>
    <t>(=) Parte do Crédito Fora do Regime</t>
  </si>
  <si>
    <t>Saldo credor do período anterior</t>
  </si>
  <si>
    <t>Transferência de Fora do Estado</t>
  </si>
  <si>
    <t>Ajuste (-)</t>
  </si>
  <si>
    <t>Ajuste</t>
  </si>
  <si>
    <t>Centavos</t>
  </si>
  <si>
    <t>Ajuste Centvs</t>
  </si>
  <si>
    <t>Base Cálculo</t>
  </si>
  <si>
    <t>ICMS</t>
  </si>
  <si>
    <t>Transferência do Espírito Santo</t>
  </si>
  <si>
    <t>Valor</t>
  </si>
  <si>
    <t>Cálculo</t>
  </si>
  <si>
    <t>Saída</t>
  </si>
  <si>
    <t>Crédito (limite 7%) §2º</t>
  </si>
  <si>
    <t>Saída sem Benefício</t>
  </si>
  <si>
    <t>(=) Crédito outras operações</t>
  </si>
  <si>
    <t>Aliq.(%) da Operação</t>
  </si>
  <si>
    <t>Fora do Estado</t>
  </si>
  <si>
    <t>Redução de Base - ES</t>
  </si>
  <si>
    <t>Crédito Outras Oper.</t>
  </si>
  <si>
    <t xml:space="preserve">Sub-Total - Créditos </t>
  </si>
  <si>
    <t>Sub-total (para simples conferência)</t>
  </si>
  <si>
    <t>Saldo Devedor(+)  ou Credor(-)</t>
  </si>
  <si>
    <t>Saldo devedor (parcial) - ou credor</t>
  </si>
  <si>
    <t>Saldo Devedor (+) ou Credor (-)</t>
  </si>
  <si>
    <t>Saldo Credor Período Anterior</t>
  </si>
  <si>
    <t>Resumo das Apurações</t>
  </si>
  <si>
    <t>Operações com Pessoas Físicas ou não Contribuintes</t>
  </si>
  <si>
    <t>Total dos Valores Apurados</t>
  </si>
  <si>
    <t>Sub-total</t>
  </si>
  <si>
    <t>Saídas</t>
  </si>
  <si>
    <t>Entradas</t>
  </si>
  <si>
    <t>Diferença de Crédito</t>
  </si>
  <si>
    <t>Operação Fora do Regime</t>
  </si>
  <si>
    <t>Total do Crédito do Período</t>
  </si>
  <si>
    <t>Débito ICMS Fora do Regime</t>
  </si>
  <si>
    <t>(=) Saldo (+)Devedor  ou  (-)Credor</t>
  </si>
  <si>
    <t>Resumo ICMS</t>
  </si>
  <si>
    <t>Dentro do Estado</t>
  </si>
  <si>
    <t>Fora do Regime</t>
  </si>
  <si>
    <t>Vlr.Imposto - Devedor</t>
  </si>
  <si>
    <t>Autor: Rider (27)2104-0900</t>
  </si>
  <si>
    <t>Débitos de outras operações</t>
  </si>
  <si>
    <t>Créditos de outras operações</t>
  </si>
  <si>
    <t>Débito de outras operações</t>
  </si>
  <si>
    <t>Crédito de outras operações</t>
  </si>
  <si>
    <t>Estornos de débitos</t>
  </si>
  <si>
    <t>Imposto Apurado Fora do Estado</t>
  </si>
  <si>
    <t>C/Corrente ICMS</t>
  </si>
  <si>
    <t>Saldo Credor - Período Anterior</t>
  </si>
  <si>
    <t>Saldo Credor - Anterior</t>
  </si>
  <si>
    <t>Imposto fora do Estado</t>
  </si>
  <si>
    <t>Demonstrativos dos Créditos Registrados</t>
  </si>
  <si>
    <t>Crédito registrado ou limitado - Base Reduzida</t>
  </si>
  <si>
    <t>Crédito registrado ou limitado - Fora do Estado</t>
  </si>
  <si>
    <t>Outras Entradas Tributadas (no Regime)</t>
  </si>
  <si>
    <t>Outros:</t>
  </si>
  <si>
    <t>Operações Íncluídas no Regime</t>
  </si>
  <si>
    <r>
      <t xml:space="preserve">Outras </t>
    </r>
    <r>
      <rPr>
        <b/>
        <sz val="10"/>
        <rFont val="Arial"/>
        <family val="2"/>
      </rPr>
      <t>Fora</t>
    </r>
    <r>
      <rPr>
        <sz val="10"/>
        <rFont val="Arial"/>
      </rPr>
      <t xml:space="preserve"> Regime</t>
    </r>
  </si>
  <si>
    <t>Crédito  Art.534-ZZA</t>
  </si>
  <si>
    <t>Operações INTERNAS - Base Reduzida - Apuração  art.534-Z-Z-A</t>
  </si>
  <si>
    <t>Crédito registrado (§2º,III,b)</t>
  </si>
  <si>
    <t>Crédito (limite 7%) § 1º</t>
  </si>
  <si>
    <t>(-) Estorno art. 534-Z-Z-A</t>
  </si>
  <si>
    <t>Operações Internas - Base Reduzida - Art. 534-Z-Z-A</t>
  </si>
  <si>
    <t>Estorno(dedução do crédito total-Art.534-ZZA,§2º,III,a)</t>
  </si>
  <si>
    <t>Sub-Total(1) - Oper.Tribut. no Regime</t>
  </si>
  <si>
    <t>Sub-Total(2) - Oper.Tribut. no Regime</t>
  </si>
  <si>
    <t>Sub-Total(3) - Oper.Tribut. no Regime</t>
  </si>
  <si>
    <t>7%+Rateio</t>
  </si>
  <si>
    <r>
      <t>Crédito p/rateio</t>
    </r>
    <r>
      <rPr>
        <b/>
        <sz val="10"/>
        <rFont val="Arial"/>
        <family val="2"/>
      </rPr>
      <t xml:space="preserve"> (F)</t>
    </r>
  </si>
  <si>
    <r>
      <t xml:space="preserve">Compras Simples Nacional </t>
    </r>
    <r>
      <rPr>
        <b/>
        <sz val="10"/>
        <rFont val="Arial"/>
        <family val="2"/>
      </rPr>
      <t>(E)</t>
    </r>
  </si>
  <si>
    <t>Crédito Rateio</t>
  </si>
  <si>
    <t>Sub-Total (ICMS)</t>
  </si>
  <si>
    <t xml:space="preserve">Mês/Ano: </t>
  </si>
  <si>
    <t>Sub-Total para 1,1%</t>
  </si>
  <si>
    <t>Sub-total (Carga Efetiva total)</t>
  </si>
  <si>
    <t>Carga Efetiva</t>
  </si>
  <si>
    <t>Destinadas a comerc.ou Industr. - caput</t>
  </si>
  <si>
    <r>
      <t xml:space="preserve">Autor: </t>
    </r>
    <r>
      <rPr>
        <b/>
        <i/>
        <sz val="10"/>
        <rFont val="Times New Roman"/>
        <family val="1"/>
      </rPr>
      <t>Rider</t>
    </r>
    <r>
      <rPr>
        <b/>
        <i/>
        <sz val="9"/>
        <rFont val="Times New Roman"/>
        <family val="1"/>
      </rPr>
      <t xml:space="preserve"> (27)2104-0900            Site: www.unicon.com.br </t>
    </r>
  </si>
  <si>
    <t>Demonstrativo das Saídas tributadas para dedução do crédito total e utilização nas apurações, art.534-Z-Z-A,§2º,I;  e art.530LRK,§4º,inc.I</t>
  </si>
  <si>
    <t>art.534-Z-Z-A,§2º,III,b;    e   art.530LRK, §4º,inc.I,II e III</t>
  </si>
  <si>
    <t>Crédito Art.530LRK</t>
  </si>
  <si>
    <r>
      <t>Operações FORA DO ESTADO - Apuração  art.530-L-R-K, §1º (</t>
    </r>
    <r>
      <rPr>
        <b/>
        <i/>
        <sz val="10"/>
        <color indexed="30"/>
        <rFont val="Arial"/>
        <family val="2"/>
      </rPr>
      <t>com recolhimento em DUA código 380-8</t>
    </r>
    <r>
      <rPr>
        <b/>
        <sz val="10"/>
        <rFont val="Arial"/>
        <family val="2"/>
      </rPr>
      <t>)</t>
    </r>
  </si>
  <si>
    <t>Saída (considerando carga tributária normal - §4º</t>
  </si>
  <si>
    <t>Crédito registrado (§4º,III,b)</t>
  </si>
  <si>
    <t>Estorno adicional de débito (caput)</t>
  </si>
  <si>
    <t>Operações com Pessoas Físicas, Não Contribuintes e Outras (art. 534-Z-Z-A,§3º  e  530LRK §3º)</t>
  </si>
  <si>
    <t>(-) Estorno art. 530-L-R-K</t>
  </si>
  <si>
    <t>Operações Fora do Estado - Art. 530-L-R-K</t>
  </si>
  <si>
    <r>
      <t>Estorno(dedução do crédito total-</t>
    </r>
    <r>
      <rPr>
        <sz val="9"/>
        <rFont val="Arial"/>
        <family val="2"/>
      </rPr>
      <t>Art.530LRK,§4º,I,II e III)</t>
    </r>
  </si>
  <si>
    <t>Entr.proporc.(art.534-ZZA,§1º; e 530LRK,§2º) limite de créditos</t>
  </si>
  <si>
    <r>
      <t xml:space="preserve">Base Reduzida de forma que resulte em  7%: </t>
    </r>
    <r>
      <rPr>
        <b/>
        <sz val="10"/>
        <rFont val="Times New Roman"/>
        <family val="1"/>
      </rPr>
      <t>(*1)</t>
    </r>
    <r>
      <rPr>
        <sz val="10"/>
        <rFont val="Times New Roman"/>
        <family val="1"/>
      </rPr>
      <t xml:space="preserve"> BC c/ 12% x 0,583333;    </t>
    </r>
    <r>
      <rPr>
        <b/>
        <sz val="10"/>
        <rFont val="Times New Roman"/>
        <family val="1"/>
      </rPr>
      <t>(*2)</t>
    </r>
    <r>
      <rPr>
        <sz val="10"/>
        <rFont val="Times New Roman"/>
        <family val="1"/>
      </rPr>
      <t xml:space="preserve"> BC c/17% x 0,411765,    </t>
    </r>
    <r>
      <rPr>
        <b/>
        <sz val="10"/>
        <rFont val="Times New Roman"/>
        <family val="1"/>
      </rPr>
      <t>(*3)</t>
    </r>
    <r>
      <rPr>
        <sz val="10"/>
        <rFont val="Times New Roman"/>
        <family val="1"/>
      </rPr>
      <t xml:space="preserve"> BC c/25% X 0,280000</t>
    </r>
  </si>
  <si>
    <t>Informar o Nome</t>
  </si>
  <si>
    <t>DUA Cod. 121-0</t>
  </si>
  <si>
    <t>DUA Cod. 380-8</t>
  </si>
  <si>
    <r>
      <t xml:space="preserve"> </t>
    </r>
    <r>
      <rPr>
        <b/>
        <i/>
        <sz val="10"/>
        <rFont val="Times New Roman"/>
        <family val="1"/>
      </rPr>
      <t>(*1)</t>
    </r>
    <r>
      <rPr>
        <i/>
        <sz val="10"/>
        <rFont val="Times New Roman"/>
        <family val="1"/>
      </rPr>
      <t xml:space="preserve"> Para estornos nesta linha ver observações "B",  "C" e "D"abaixo (análise criteriosa de cada caso).</t>
    </r>
  </si>
  <si>
    <r>
      <t xml:space="preserve">Estorno débito devoluções/outras (para o ES)  </t>
    </r>
    <r>
      <rPr>
        <b/>
        <i/>
        <sz val="10"/>
        <rFont val="Arial"/>
        <family val="2"/>
      </rPr>
      <t>(*1)</t>
    </r>
  </si>
  <si>
    <r>
      <t xml:space="preserve">Estorno débito devoluções/outras (para fora estado) </t>
    </r>
    <r>
      <rPr>
        <b/>
        <i/>
        <sz val="10"/>
        <rFont val="Arial"/>
        <family val="2"/>
      </rPr>
      <t>(*1)</t>
    </r>
  </si>
  <si>
    <t>-</t>
  </si>
  <si>
    <t>(-) Estorno/dedução art.534-ZZA</t>
  </si>
  <si>
    <t>(-) Estorno/dedução art.530-LRK</t>
  </si>
  <si>
    <r>
      <t xml:space="preserve">Empresa: </t>
    </r>
    <r>
      <rPr>
        <b/>
        <i/>
        <sz val="12"/>
        <color indexed="10"/>
        <rFont val="Arial"/>
        <family val="2"/>
      </rPr>
      <t xml:space="preserve">  </t>
    </r>
  </si>
  <si>
    <r>
      <rPr>
        <b/>
        <sz val="12"/>
        <rFont val="Times New Roman"/>
        <family val="1"/>
      </rPr>
      <t>(A)</t>
    </r>
    <r>
      <rPr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Demonstração</t>
    </r>
    <r>
      <rPr>
        <sz val="12"/>
        <rFont val="Times New Roman"/>
        <family val="1"/>
      </rPr>
      <t>: não faz parte dos cálculos relacionados ao regime, ou seja, o débito  pelas saídas será recuperado quando do retorno sem interferir nas reduções e estornos do regime, até porque quando uma demonstração transforma-se em venda há o retorno simbólico e emissão de uma NF de venda.</t>
    </r>
  </si>
  <si>
    <r>
      <rPr>
        <b/>
        <sz val="12"/>
        <rFont val="Times New Roman"/>
        <family val="1"/>
      </rPr>
      <t>(B)</t>
    </r>
    <r>
      <rPr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Devolução de Compras</t>
    </r>
    <r>
      <rPr>
        <sz val="12"/>
        <rFont val="Times New Roman"/>
        <family val="1"/>
      </rPr>
      <t xml:space="preserve">: considerando que o crédito correspondente a entrada das mercadorias sofre estorno/limitação a 7%, proceder ao estorno do débito gerado pela devolução ao Fornecedor, de forma que este débito fique igual ao valor creditado quando de sua entrada. Nas devoluções para </t>
    </r>
    <r>
      <rPr>
        <u/>
        <sz val="12"/>
        <rFont val="Times New Roman"/>
        <family val="1"/>
      </rPr>
      <t>fora do estado</t>
    </r>
    <r>
      <rPr>
        <sz val="12"/>
        <rFont val="Times New Roman"/>
        <family val="1"/>
      </rPr>
      <t xml:space="preserve"> o estorno deve ser analisado caso a caso específico, visto que este pode ser integral, parcial ou zero, considerando que os cálculos podem conduzir a abandonar os créditos, quando da entrada, integralmente ou parcialmente. Nas devoluções para </t>
    </r>
    <r>
      <rPr>
        <u/>
        <sz val="12"/>
        <rFont val="Times New Roman"/>
        <family val="1"/>
      </rPr>
      <t>dentro do estado</t>
    </r>
    <r>
      <rPr>
        <sz val="12"/>
        <rFont val="Times New Roman"/>
        <family val="1"/>
      </rPr>
      <t>, quando debitado alíquota superior a 7% (ex:17% estornar 10%), de forma a anular o crédito apropriado de 7% (não há previsão contida no regime, sendo o presente comentário resultado de interpretação - com decisão do contribuinte).</t>
    </r>
  </si>
  <si>
    <r>
      <rPr>
        <b/>
        <sz val="12"/>
        <rFont val="Times New Roman"/>
        <family val="1"/>
      </rPr>
      <t>F)</t>
    </r>
    <r>
      <rPr>
        <sz val="12"/>
        <rFont val="Times New Roman"/>
        <family val="1"/>
      </rPr>
      <t xml:space="preserve"> O "</t>
    </r>
    <r>
      <rPr>
        <b/>
        <u/>
        <sz val="12"/>
        <rFont val="Times New Roman"/>
        <family val="1"/>
      </rPr>
      <t>Crédito p/Rateio</t>
    </r>
    <r>
      <rPr>
        <sz val="12"/>
        <rFont val="Times New Roman"/>
        <family val="1"/>
      </rPr>
      <t xml:space="preserve">", originado de entradas com </t>
    </r>
    <r>
      <rPr>
        <b/>
        <u/>
        <sz val="12"/>
        <rFont val="Times New Roman"/>
        <family val="1"/>
      </rPr>
      <t>alíquotas iguais ou inferiores a 7% e BC reduzida a 7%</t>
    </r>
    <r>
      <rPr>
        <sz val="12"/>
        <rFont val="Times New Roman"/>
        <family val="1"/>
      </rPr>
      <t>(compra atacad.ES), é demonstrado em campo próprio, do Reg.Entradas, para distribuição proporcional no quadro limite de créditos.</t>
    </r>
  </si>
  <si>
    <r>
      <rPr>
        <b/>
        <sz val="12"/>
        <rFont val="Times New Roman"/>
        <family val="1"/>
      </rPr>
      <t>E)</t>
    </r>
    <r>
      <rPr>
        <sz val="12"/>
        <rFont val="Times New Roman"/>
        <family val="1"/>
      </rPr>
      <t xml:space="preserve"> O somatório dos Créditos no quadro </t>
    </r>
    <r>
      <rPr>
        <b/>
        <sz val="12"/>
        <rFont val="Times New Roman"/>
        <family val="1"/>
      </rPr>
      <t>Registro de Entradas</t>
    </r>
    <r>
      <rPr>
        <sz val="12"/>
        <rFont val="Times New Roman"/>
        <family val="1"/>
      </rPr>
      <t xml:space="preserve"> de </t>
    </r>
    <r>
      <rPr>
        <b/>
        <u/>
        <sz val="12"/>
        <rFont val="Times New Roman"/>
        <family val="1"/>
      </rPr>
      <t>empresas do Simples Nacional</t>
    </r>
    <r>
      <rPr>
        <sz val="12"/>
        <rFont val="Times New Roman"/>
        <family val="1"/>
      </rPr>
      <t>, estão agrupados em linha própria (por motivo de enquadramento em alíquotas diversas).</t>
    </r>
  </si>
  <si>
    <t>(ex:Venda Merc.Import.)</t>
  </si>
  <si>
    <t>Transf.Merc.Res.13/2012</t>
  </si>
  <si>
    <t>CFOP</t>
  </si>
  <si>
    <r>
      <t xml:space="preserve">Consumidor Final </t>
    </r>
    <r>
      <rPr>
        <b/>
        <sz val="10"/>
        <rFont val="Arial"/>
        <family val="2"/>
      </rPr>
      <t>(*4)</t>
    </r>
  </si>
  <si>
    <r>
      <t xml:space="preserve">Varejista </t>
    </r>
    <r>
      <rPr>
        <b/>
        <sz val="10"/>
        <rFont val="Arial"/>
        <family val="2"/>
      </rPr>
      <t>(*2)</t>
    </r>
  </si>
  <si>
    <r>
      <t xml:space="preserve">Varejista </t>
    </r>
    <r>
      <rPr>
        <b/>
        <sz val="10"/>
        <rFont val="Arial"/>
        <family val="2"/>
      </rPr>
      <t>(*3)</t>
    </r>
  </si>
  <si>
    <r>
      <t xml:space="preserve">Bonificação </t>
    </r>
    <r>
      <rPr>
        <b/>
        <sz val="10"/>
        <rFont val="Arial"/>
        <family val="2"/>
      </rPr>
      <t>(*2)</t>
    </r>
  </si>
  <si>
    <r>
      <t xml:space="preserve">Bonificação </t>
    </r>
    <r>
      <rPr>
        <b/>
        <sz val="10"/>
        <rFont val="Arial"/>
        <family val="2"/>
      </rPr>
      <t>(*3)</t>
    </r>
  </si>
  <si>
    <r>
      <t xml:space="preserve">Outras Com Benef </t>
    </r>
    <r>
      <rPr>
        <b/>
        <sz val="10"/>
        <rFont val="Arial"/>
        <family val="2"/>
      </rPr>
      <t>(*1)</t>
    </r>
  </si>
  <si>
    <t>Compra c/ 4%</t>
  </si>
  <si>
    <t>Compra/Devol. c/ BC Reduz. p/7% (Atacad.)</t>
  </si>
  <si>
    <t>Outras (sempre que resultar &lt;7%)</t>
  </si>
  <si>
    <t xml:space="preserve">ICMS-Retido (substituto) </t>
  </si>
  <si>
    <r>
      <rPr>
        <b/>
        <u/>
        <sz val="12"/>
        <rFont val="Times New Roman"/>
        <family val="1"/>
      </rPr>
      <t>Importante</t>
    </r>
    <r>
      <rPr>
        <b/>
        <sz val="12"/>
        <rFont val="Times New Roman"/>
        <family val="1"/>
      </rPr>
      <t xml:space="preserve">: 
1. </t>
    </r>
    <r>
      <rPr>
        <sz val="12"/>
        <rFont val="Times New Roman"/>
        <family val="1"/>
      </rPr>
      <t xml:space="preserve">A presente planilha foi criada com objetivo de facilitar a apuração do regime Atacadista no ES, sendo contudo, </t>
    </r>
    <r>
      <rPr>
        <u/>
        <sz val="12"/>
        <rFont val="Times New Roman"/>
        <family val="1"/>
      </rPr>
      <t>indispensável</t>
    </r>
    <r>
      <rPr>
        <sz val="12"/>
        <rFont val="Times New Roman"/>
        <family val="1"/>
      </rPr>
      <t xml:space="preserve">, que o seu usuário confira o resultado do cálculo com base na legislação pertinente, considerando, inclusive, eventuais particularidades da operação. 
</t>
    </r>
    <r>
      <rPr>
        <b/>
        <sz val="12"/>
        <rFont val="Times New Roman"/>
        <family val="1"/>
      </rPr>
      <t>2.</t>
    </r>
    <r>
      <rPr>
        <sz val="12"/>
        <rFont val="Times New Roman"/>
        <family val="1"/>
      </rPr>
      <t xml:space="preserve"> DIFAL - EC 87/2015 (Convênio 93/2015 e suas atualizações): considerando tratar-se de regras próprias a apuração do ICMS do Diferencial de Alíquota, cuja responsabilidade seja atribuída ao remetente, nas operações a Consumidor Final de outros Estados (para pessoas não inscritas), devido ao Estado de Destino (e  ao ES em regra de transição em 2016 a 2018) deverá ser apurado em relatório separado, especialmente gerado para este fim. Desta forma a Planilha contempla apenas o cálculo do ICMS Atacadista.</t>
    </r>
  </si>
  <si>
    <t>Operações   Contempladas   no   Regime</t>
  </si>
  <si>
    <t>Operações   Fora   do   Regime</t>
  </si>
  <si>
    <t>Operações  Contempladas  no  Regime</t>
  </si>
  <si>
    <t>Fora Regime</t>
  </si>
  <si>
    <r>
      <t>Base Reduzida de forma que resulte em 17%:</t>
    </r>
    <r>
      <rPr>
        <b/>
        <sz val="10"/>
        <rFont val="Times New Roman"/>
        <family val="1"/>
      </rPr>
      <t>(*4)</t>
    </r>
    <r>
      <rPr>
        <sz val="10"/>
        <rFont val="Times New Roman"/>
        <family val="1"/>
      </rPr>
      <t xml:space="preserve"> BC c/ 25% x 0,680000;    </t>
    </r>
    <r>
      <rPr>
        <b/>
        <sz val="10"/>
        <rFont val="Times New Roman"/>
        <family val="1"/>
      </rPr>
      <t>(*5)</t>
    </r>
    <r>
      <rPr>
        <sz val="10"/>
        <rFont val="Times New Roman"/>
        <family val="1"/>
      </rPr>
      <t xml:space="preserve"> Fora do Regime art.530LRK e art.530LS,§1º,I;sem adesão SEDES</t>
    </r>
  </si>
  <si>
    <t>Outras (Fora do Regime)</t>
  </si>
  <si>
    <r>
      <rPr>
        <sz val="9"/>
        <rFont val="Arial"/>
        <family val="2"/>
      </rPr>
      <t xml:space="preserve">Saídas sem Adesão </t>
    </r>
    <r>
      <rPr>
        <b/>
        <sz val="10"/>
        <rFont val="Arial"/>
        <family val="2"/>
      </rPr>
      <t>(*5)</t>
    </r>
  </si>
  <si>
    <r>
      <rPr>
        <sz val="8"/>
        <rFont val="Arial"/>
        <family val="2"/>
      </rPr>
      <t>Retorno Demonstr</t>
    </r>
    <r>
      <rPr>
        <sz val="9"/>
        <rFont val="Arial"/>
        <family val="2"/>
      </rPr>
      <t>.</t>
    </r>
    <r>
      <rPr>
        <sz val="10"/>
        <rFont val="Arial"/>
        <family val="2"/>
      </rPr>
      <t xml:space="preserve"> (</t>
    </r>
    <r>
      <rPr>
        <b/>
        <sz val="10"/>
        <rFont val="Arial"/>
        <family val="2"/>
      </rPr>
      <t>A</t>
    </r>
    <r>
      <rPr>
        <sz val="10"/>
        <rFont val="Arial"/>
      </rPr>
      <t>)</t>
    </r>
  </si>
  <si>
    <r>
      <rPr>
        <b/>
        <sz val="12"/>
        <rFont val="Times New Roman"/>
        <family val="1"/>
      </rPr>
      <t>D)</t>
    </r>
    <r>
      <rPr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Transferências (para dentro e fora do Estado)</t>
    </r>
    <r>
      <rPr>
        <sz val="12"/>
        <rFont val="Times New Roman"/>
        <family val="1"/>
      </rPr>
      <t xml:space="preserve">: As transferências </t>
    </r>
    <r>
      <rPr>
        <u/>
        <sz val="12"/>
        <rFont val="Times New Roman"/>
        <family val="1"/>
      </rPr>
      <t>são</t>
    </r>
    <r>
      <rPr>
        <sz val="12"/>
        <rFont val="Times New Roman"/>
        <family val="1"/>
      </rPr>
      <t xml:space="preserve"> contempladas no cálculo do regime tanto nas operações internas (art.534-Z-Z-A,§2º), quanto nas operações de saídas interestaduais (art.530-L-R-K,caput).  </t>
    </r>
    <r>
      <rPr>
        <b/>
        <u/>
        <sz val="12"/>
        <rFont val="Times New Roman"/>
        <family val="1"/>
      </rPr>
      <t>Atenção</t>
    </r>
    <r>
      <rPr>
        <sz val="12"/>
        <rFont val="Times New Roman"/>
        <family val="1"/>
      </rPr>
      <t xml:space="preserve">: não se aplica nas transferências de mercadorias </t>
    </r>
    <r>
      <rPr>
        <u/>
        <sz val="12"/>
        <rFont val="Times New Roman"/>
        <family val="1"/>
      </rPr>
      <t>para fora do estado</t>
    </r>
    <r>
      <rPr>
        <sz val="12"/>
        <rFont val="Times New Roman"/>
        <family val="1"/>
      </rPr>
      <t xml:space="preserve"> sujeitas aos efeitos da Resolução 13/2012/Senado Federal - conforme previsão do item VII, §3º do art. 530-LRK; devendo nesta ocorrência observar, caso a caso, conforme orientações contidas na letra </t>
    </r>
    <r>
      <rPr>
        <b/>
        <sz val="12"/>
        <rFont val="Times New Roman"/>
        <family val="1"/>
      </rPr>
      <t>"B"</t>
    </r>
    <r>
      <rPr>
        <sz val="12"/>
        <rFont val="Times New Roman"/>
        <family val="1"/>
      </rPr>
      <t xml:space="preserve"> acima (Devoluções de Compras). 
</t>
    </r>
  </si>
  <si>
    <r>
      <rPr>
        <sz val="9"/>
        <rFont val="Arial"/>
        <family val="2"/>
      </rPr>
      <t>Destin.a "PJ,Cons.Final,Não Contribuinte"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(§7º,art.530LRK)</t>
    </r>
    <r>
      <rPr>
        <sz val="10"/>
        <rFont val="Arial"/>
        <family val="2"/>
      </rPr>
      <t xml:space="preserve"> </t>
    </r>
  </si>
  <si>
    <t>ICMS Fora Estado</t>
  </si>
  <si>
    <r>
      <t xml:space="preserve"> (Versão 10)   
</t>
    </r>
    <r>
      <rPr>
        <b/>
        <i/>
        <sz val="11"/>
        <rFont val="Times New Roman"/>
        <family val="1"/>
      </rPr>
      <t>A partir de JAN-2017</t>
    </r>
  </si>
  <si>
    <r>
      <t>530 LRK,§7º (</t>
    </r>
    <r>
      <rPr>
        <b/>
        <sz val="9"/>
        <rFont val="Arial"/>
        <family val="2"/>
      </rPr>
      <t>1,25%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(*6)</t>
    </r>
  </si>
  <si>
    <r>
      <rPr>
        <b/>
        <sz val="10"/>
        <rFont val="Times New Roman"/>
        <family val="1"/>
      </rPr>
      <t>(*6)</t>
    </r>
    <r>
      <rPr>
        <sz val="10"/>
        <rFont val="Times New Roman"/>
        <family val="1"/>
      </rPr>
      <t>: A partir Jan-2017 c/ 1,25% para "PJ, na cond.de Cons.Final, não contrib.do imposto" (§7º,art.530 LRK c/c art.530 LRI, I, II e III) e §7º,art.16,da Lei 10.568/2016.</t>
    </r>
  </si>
  <si>
    <r>
      <rPr>
        <b/>
        <sz val="14"/>
        <rFont val="Arial"/>
        <family val="2"/>
      </rPr>
      <t xml:space="preserve">ICMS ATACADISTA-ES - Planilha de Apuração                      </t>
    </r>
    <r>
      <rPr>
        <b/>
        <sz val="12"/>
        <rFont val="Arial"/>
        <family val="2"/>
      </rPr>
      <t xml:space="preserve">                </t>
    </r>
    <r>
      <rPr>
        <b/>
        <i/>
        <sz val="12"/>
        <rFont val="Times New Roman"/>
        <family val="1"/>
      </rPr>
      <t>Lei 10.568/2016 (art.534-Z-Z-A, 530LRK a 530 LY do RICMS-ES)</t>
    </r>
  </si>
  <si>
    <r>
      <t>Fundamentação:</t>
    </r>
    <r>
      <rPr>
        <i/>
        <sz val="10"/>
        <rFont val="Times New Roman"/>
        <family val="1"/>
      </rPr>
      <t>RICMS-ES: arts.534-Z-Z-A; 530-LRI - 530-L-R-K;  530-L-S a 530-LY (Cap.XXXIX) c/alterações do Dec.3844-R/15 e Dec.3984-R/16 e Lei 10.568/2016.</t>
    </r>
  </si>
  <si>
    <r>
      <rPr>
        <b/>
        <sz val="12"/>
        <rFont val="Times New Roman"/>
        <family val="1"/>
      </rPr>
      <t>C)</t>
    </r>
    <r>
      <rPr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Devolução de Vendas</t>
    </r>
    <r>
      <rPr>
        <sz val="12"/>
        <rFont val="Times New Roman"/>
        <family val="1"/>
      </rPr>
      <t xml:space="preserve">: Quando as operações da empresa são praticadas para </t>
    </r>
    <r>
      <rPr>
        <u/>
        <sz val="12"/>
        <rFont val="Times New Roman"/>
        <family val="1"/>
      </rPr>
      <t>fora do Estado</t>
    </r>
    <r>
      <rPr>
        <sz val="12"/>
        <rFont val="Times New Roman"/>
        <family val="1"/>
      </rPr>
      <t xml:space="preserve"> há uma perda do percentual aplicado na venda (1,1% e 1,25%), visto que haverá tributação sobre uma nova operação. Nosso entendimento seria da utilização do crédito correspondente ao percentual debitado e pago na operação de venda anterior (não há previsão contida no regime, sendo o presente comentário resultado de interpretação - com decisão do contribuinte). Quando são praticadas </t>
    </r>
    <r>
      <rPr>
        <u/>
        <sz val="12"/>
        <rFont val="Times New Roman"/>
        <family val="1"/>
      </rPr>
      <t>dentro do Estado</t>
    </r>
    <r>
      <rPr>
        <sz val="12"/>
        <rFont val="Times New Roman"/>
        <family val="1"/>
      </rPr>
      <t xml:space="preserve"> não há perda para o contribuinte, visto que há um novo débito de 7% e um novo crédito também de 7% sobre a nova entrada.</t>
    </r>
  </si>
  <si>
    <t>Com. Subst. Tribut</t>
  </si>
  <si>
    <t>IPI (das saídas)</t>
  </si>
  <si>
    <r>
      <rPr>
        <b/>
        <u/>
        <sz val="12"/>
        <rFont val="Times New Roman"/>
        <family val="1"/>
      </rPr>
      <t>Planilha em Excell</t>
    </r>
    <r>
      <rPr>
        <sz val="12"/>
        <rFont val="Times New Roman"/>
        <family val="1"/>
      </rPr>
      <t xml:space="preserve">: 
</t>
    </r>
    <r>
      <rPr>
        <b/>
        <sz val="12"/>
        <rFont val="Times New Roman"/>
        <family val="1"/>
      </rPr>
      <t>1)</t>
    </r>
    <r>
      <rPr>
        <sz val="12"/>
        <rFont val="Times New Roman"/>
        <family val="1"/>
      </rPr>
      <t xml:space="preserve"> Desproteger e Proteger Células da Planilha: clicar em Revisão, desproteger/proteger planilha e senha </t>
    </r>
    <r>
      <rPr>
        <i/>
        <sz val="12"/>
        <rFont val="Times New Roman"/>
        <family val="1"/>
      </rPr>
      <t>(senha: Rider)</t>
    </r>
    <r>
      <rPr>
        <sz val="12"/>
        <rFont val="Times New Roman"/>
        <family val="1"/>
      </rPr>
      <t xml:space="preserve">  
</t>
    </r>
    <r>
      <rPr>
        <b/>
        <sz val="12"/>
        <rFont val="Times New Roman"/>
        <family val="1"/>
      </rPr>
      <t xml:space="preserve">2) </t>
    </r>
    <r>
      <rPr>
        <sz val="12"/>
        <rFont val="Times New Roman"/>
        <family val="1"/>
      </rPr>
      <t xml:space="preserve">Na inclusão de uma nova informação (linha e fórmula) proteger a mesma separadamente: Primeiro desproteger Planilha (item 1 acima), selecionar as células com as novas fórmulas, clicar com botão direito na mesma; Formatar Células; aba Proteção; marcar ou desmarcar Bloqueadas; e Ok. Neste caso revisar a fórmula do campo para onde será transportado o novo dado. Para finalizar: repetir rotina de Proteger/Desproteger (item 1 acima) e salvar.  
</t>
    </r>
    <r>
      <rPr>
        <b/>
        <sz val="12"/>
        <rFont val="Times New Roman"/>
        <family val="1"/>
      </rPr>
      <t>3)</t>
    </r>
    <r>
      <rPr>
        <sz val="12"/>
        <rFont val="Times New Roman"/>
        <family val="1"/>
      </rPr>
      <t xml:space="preserve"> É aconselhável que a senha para uso da planilha permaneça  em poder do responsável (Gerência).  </t>
    </r>
    <r>
      <rPr>
        <b/>
        <sz val="12"/>
        <rFont val="Times New Roman"/>
        <family val="1"/>
      </rPr>
      <t xml:space="preserve"> 
4) </t>
    </r>
    <r>
      <rPr>
        <sz val="12"/>
        <rFont val="Times New Roman"/>
        <family val="1"/>
      </rPr>
      <t>Lembrar sempre ao finalizar uma alteração de novamente Proteger Planilha (preservando as fórmulas).</t>
    </r>
    <r>
      <rPr>
        <b/>
        <sz val="12"/>
        <rFont val="Times New Roman"/>
        <family val="1"/>
      </rPr>
      <t xml:space="preserve">
Atenção: Este procedimento poderá implicar em erros de cálculos, devendo ser adotado apenas por profissional responsável.</t>
    </r>
  </si>
  <si>
    <t>www.unicon.com.br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</si>
</sst>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00%"/>
    <numFmt numFmtId="166" formatCode="#,##0.00_ ;[Red]\-#,##0.00\ "/>
    <numFmt numFmtId="167" formatCode="0.0%"/>
  </numFmts>
  <fonts count="3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</font>
    <font>
      <b/>
      <sz val="9.1999999999999993"/>
      <name val="Arial"/>
      <family val="2"/>
    </font>
    <font>
      <sz val="9"/>
      <name val="Arial"/>
      <family val="2"/>
    </font>
    <font>
      <i/>
      <sz val="10"/>
      <name val="Times New Roman"/>
      <family val="1"/>
    </font>
    <font>
      <b/>
      <i/>
      <sz val="9"/>
      <name val="Times New Roman"/>
      <family val="1"/>
    </font>
    <font>
      <b/>
      <i/>
      <u/>
      <sz val="10"/>
      <name val="Times New Roman"/>
      <family val="1"/>
    </font>
    <font>
      <sz val="10"/>
      <name val="Times New Roman"/>
      <family val="1"/>
    </font>
    <font>
      <b/>
      <i/>
      <sz val="10"/>
      <name val="Arial"/>
      <family val="2"/>
    </font>
    <font>
      <sz val="7"/>
      <name val="Arial"/>
      <family val="2"/>
    </font>
    <font>
      <b/>
      <i/>
      <sz val="10"/>
      <name val="Times New Roman"/>
      <family val="1"/>
    </font>
    <font>
      <b/>
      <i/>
      <sz val="10"/>
      <color indexed="30"/>
      <name val="Arial"/>
      <family val="2"/>
    </font>
    <font>
      <b/>
      <sz val="10"/>
      <name val="Times New Roman"/>
      <family val="1"/>
    </font>
    <font>
      <b/>
      <sz val="14"/>
      <name val="Arial"/>
      <family val="2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2"/>
      <name val="Arial"/>
      <family val="2"/>
    </font>
    <font>
      <b/>
      <i/>
      <sz val="12"/>
      <color indexed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Arial"/>
      <family val="2"/>
    </font>
    <font>
      <u/>
      <sz val="12"/>
      <name val="Times New Roman"/>
      <family val="1"/>
    </font>
    <font>
      <i/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499984740745262"/>
      <name val="Arial"/>
      <family val="2"/>
    </font>
    <font>
      <sz val="10"/>
      <color theme="3" tint="0.59999389629810485"/>
      <name val="Arial"/>
      <family val="2"/>
    </font>
    <font>
      <sz val="10"/>
      <color rgb="FFFF0000"/>
      <name val="Arial"/>
      <family val="2"/>
    </font>
    <font>
      <b/>
      <i/>
      <sz val="13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39">
    <xf numFmtId="0" fontId="0" fillId="0" borderId="0" xfId="0"/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4" fontId="0" fillId="0" borderId="1" xfId="0" applyNumberFormat="1" applyBorder="1" applyProtection="1">
      <protection locked="0"/>
    </xf>
    <xf numFmtId="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4" fontId="0" fillId="0" borderId="1" xfId="0" applyNumberFormat="1" applyBorder="1" applyAlignment="1" applyProtection="1">
      <alignment horizontal="right"/>
      <protection locked="0"/>
    </xf>
    <xf numFmtId="0" fontId="0" fillId="0" borderId="1" xfId="0" applyBorder="1" applyAlignment="1" applyProtection="1">
      <protection locked="0"/>
    </xf>
    <xf numFmtId="4" fontId="4" fillId="0" borderId="1" xfId="0" applyNumberFormat="1" applyFont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9" fontId="0" fillId="0" borderId="1" xfId="0" applyNumberForma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0" fillId="0" borderId="5" xfId="0" applyBorder="1" applyProtection="1">
      <protection locked="0"/>
    </xf>
    <xf numFmtId="4" fontId="0" fillId="0" borderId="5" xfId="0" applyNumberFormat="1" applyBorder="1" applyAlignment="1" applyProtection="1">
      <alignment horizontal="right"/>
      <protection locked="0"/>
    </xf>
    <xf numFmtId="0" fontId="0" fillId="5" borderId="6" xfId="0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0" fillId="5" borderId="2" xfId="0" applyFill="1" applyBorder="1" applyProtection="1">
      <protection locked="0"/>
    </xf>
    <xf numFmtId="0" fontId="2" fillId="3" borderId="0" xfId="0" applyFont="1" applyFill="1" applyBorder="1" applyAlignment="1" applyProtection="1">
      <alignment horizontal="left"/>
      <protection locked="0"/>
    </xf>
    <xf numFmtId="0" fontId="2" fillId="3" borderId="0" xfId="0" applyFont="1" applyFill="1" applyBorder="1" applyAlignment="1" applyProtection="1">
      <alignment vertical="center" wrapText="1"/>
      <protection locked="0"/>
    </xf>
    <xf numFmtId="0" fontId="0" fillId="6" borderId="1" xfId="0" applyFill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6" borderId="4" xfId="0" applyFill="1" applyBorder="1" applyAlignment="1" applyProtection="1">
      <protection locked="0"/>
    </xf>
    <xf numFmtId="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" fontId="4" fillId="0" borderId="0" xfId="0" applyNumberFormat="1" applyFont="1" applyFill="1" applyBorder="1" applyAlignment="1" applyProtection="1">
      <alignment horizontal="left"/>
      <protection locked="0"/>
    </xf>
    <xf numFmtId="4" fontId="4" fillId="0" borderId="0" xfId="0" applyNumberFormat="1" applyFont="1" applyFill="1" applyBorder="1" applyAlignment="1" applyProtection="1">
      <protection locked="0"/>
    </xf>
    <xf numFmtId="4" fontId="4" fillId="0" borderId="0" xfId="0" applyNumberFormat="1" applyFont="1" applyFill="1" applyBorder="1" applyAlignment="1" applyProtection="1">
      <alignment horizontal="right"/>
      <protection locked="0"/>
    </xf>
    <xf numFmtId="166" fontId="4" fillId="0" borderId="0" xfId="0" applyNumberFormat="1" applyFont="1" applyBorder="1" applyAlignment="1" applyProtection="1">
      <alignment horizontal="center"/>
      <protection locked="0"/>
    </xf>
    <xf numFmtId="4" fontId="4" fillId="0" borderId="0" xfId="0" applyNumberFormat="1" applyFont="1" applyBorder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4" fontId="4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right"/>
      <protection locked="0"/>
    </xf>
    <xf numFmtId="9" fontId="4" fillId="0" borderId="0" xfId="0" applyNumberFormat="1" applyFont="1" applyFill="1" applyBorder="1" applyAlignment="1" applyProtection="1">
      <alignment horizontal="left"/>
      <protection locked="0"/>
    </xf>
    <xf numFmtId="166" fontId="4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4" fontId="2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7" xfId="0" applyFont="1" applyFill="1" applyBorder="1" applyAlignment="1" applyProtection="1">
      <alignment horizontal="center" wrapText="1"/>
      <protection locked="0"/>
    </xf>
    <xf numFmtId="0" fontId="4" fillId="0" borderId="0" xfId="0" applyFont="1" applyBorder="1" applyProtection="1"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9" fontId="0" fillId="0" borderId="1" xfId="0" applyNumberFormat="1" applyBorder="1" applyAlignment="1" applyProtection="1">
      <alignment horizontal="center"/>
      <protection locked="0"/>
    </xf>
    <xf numFmtId="4" fontId="4" fillId="0" borderId="5" xfId="0" applyNumberFormat="1" applyFont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4" fontId="2" fillId="0" borderId="5" xfId="0" applyNumberFormat="1" applyFont="1" applyBorder="1" applyProtection="1"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2" fillId="0" borderId="1" xfId="0" applyFont="1" applyBorder="1" applyProtection="1">
      <protection locked="0"/>
    </xf>
    <xf numFmtId="4" fontId="2" fillId="0" borderId="1" xfId="0" applyNumberFormat="1" applyFont="1" applyBorder="1" applyProtection="1">
      <protection locked="0"/>
    </xf>
    <xf numFmtId="0" fontId="0" fillId="0" borderId="7" xfId="0" applyFill="1" applyBorder="1" applyProtection="1">
      <protection locked="0"/>
    </xf>
    <xf numFmtId="0" fontId="2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4" fontId="0" fillId="0" borderId="1" xfId="0" applyNumberFormat="1" applyBorder="1" applyProtection="1"/>
    <xf numFmtId="4" fontId="0" fillId="0" borderId="5" xfId="0" applyNumberFormat="1" applyBorder="1" applyProtection="1"/>
    <xf numFmtId="4" fontId="0" fillId="0" borderId="8" xfId="0" applyNumberFormat="1" applyBorder="1" applyProtection="1"/>
    <xf numFmtId="0" fontId="10" fillId="0" borderId="0" xfId="0" applyFont="1" applyProtection="1"/>
    <xf numFmtId="164" fontId="0" fillId="0" borderId="2" xfId="3" applyFont="1" applyBorder="1" applyAlignment="1" applyProtection="1">
      <alignment horizontal="right"/>
      <protection locked="0"/>
    </xf>
    <xf numFmtId="164" fontId="0" fillId="0" borderId="1" xfId="3" applyFont="1" applyBorder="1" applyProtection="1">
      <protection locked="0"/>
    </xf>
    <xf numFmtId="164" fontId="0" fillId="0" borderId="1" xfId="3" applyFont="1" applyBorder="1" applyAlignment="1" applyProtection="1">
      <alignment horizontal="right"/>
      <protection locked="0"/>
    </xf>
    <xf numFmtId="164" fontId="0" fillId="0" borderId="1" xfId="3" applyFont="1" applyBorder="1" applyProtection="1"/>
    <xf numFmtId="164" fontId="0" fillId="0" borderId="5" xfId="3" applyFont="1" applyBorder="1" applyProtection="1">
      <protection locked="0"/>
    </xf>
    <xf numFmtId="164" fontId="0" fillId="0" borderId="10" xfId="3" applyFont="1" applyBorder="1" applyAlignment="1" applyProtection="1">
      <alignment horizontal="right"/>
      <protection locked="0"/>
    </xf>
    <xf numFmtId="164" fontId="0" fillId="0" borderId="1" xfId="3" applyFont="1" applyBorder="1" applyAlignment="1" applyProtection="1">
      <alignment horizontal="right"/>
    </xf>
    <xf numFmtId="164" fontId="0" fillId="0" borderId="2" xfId="3" applyFont="1" applyBorder="1" applyProtection="1">
      <protection locked="0"/>
    </xf>
    <xf numFmtId="164" fontId="0" fillId="0" borderId="5" xfId="3" applyFont="1" applyBorder="1" applyProtection="1"/>
    <xf numFmtId="164" fontId="6" fillId="7" borderId="1" xfId="3" applyFont="1" applyFill="1" applyBorder="1" applyProtection="1">
      <protection locked="0"/>
    </xf>
    <xf numFmtId="164" fontId="0" fillId="0" borderId="1" xfId="3" applyFont="1" applyFill="1" applyBorder="1" applyProtection="1"/>
    <xf numFmtId="164" fontId="2" fillId="0" borderId="1" xfId="3" applyFont="1" applyFill="1" applyBorder="1" applyAlignment="1" applyProtection="1">
      <alignment horizontal="center"/>
      <protection locked="0"/>
    </xf>
    <xf numFmtId="164" fontId="2" fillId="7" borderId="1" xfId="3" applyFont="1" applyFill="1" applyBorder="1" applyAlignment="1" applyProtection="1">
      <alignment horizontal="center"/>
      <protection locked="0"/>
    </xf>
    <xf numFmtId="164" fontId="4" fillId="0" borderId="1" xfId="3" applyFont="1" applyFill="1" applyBorder="1" applyAlignment="1" applyProtection="1">
      <alignment vertical="center" wrapText="1"/>
    </xf>
    <xf numFmtId="164" fontId="4" fillId="0" borderId="1" xfId="3" applyFont="1" applyBorder="1" applyAlignment="1" applyProtection="1">
      <alignment horizontal="right"/>
    </xf>
    <xf numFmtId="164" fontId="4" fillId="7" borderId="1" xfId="3" applyFont="1" applyFill="1" applyBorder="1" applyAlignment="1" applyProtection="1">
      <alignment horizontal="right"/>
      <protection locked="0"/>
    </xf>
    <xf numFmtId="164" fontId="2" fillId="0" borderId="1" xfId="3" applyFont="1" applyFill="1" applyBorder="1" applyAlignment="1" applyProtection="1">
      <protection locked="0"/>
    </xf>
    <xf numFmtId="164" fontId="4" fillId="0" borderId="1" xfId="3" applyFont="1" applyFill="1" applyBorder="1" applyAlignment="1" applyProtection="1">
      <alignment horizontal="right"/>
      <protection locked="0"/>
    </xf>
    <xf numFmtId="164" fontId="4" fillId="0" borderId="1" xfId="3" applyFont="1" applyFill="1" applyBorder="1" applyAlignment="1" applyProtection="1">
      <alignment horizontal="right"/>
    </xf>
    <xf numFmtId="164" fontId="4" fillId="0" borderId="8" xfId="3" applyFont="1" applyFill="1" applyBorder="1" applyAlignment="1" applyProtection="1">
      <alignment horizontal="right"/>
      <protection locked="0"/>
    </xf>
    <xf numFmtId="164" fontId="2" fillId="0" borderId="1" xfId="3" applyFont="1" applyFill="1" applyBorder="1" applyAlignment="1" applyProtection="1">
      <alignment horizontal="right"/>
      <protection locked="0"/>
    </xf>
    <xf numFmtId="164" fontId="2" fillId="0" borderId="1" xfId="3" applyFont="1" applyFill="1" applyBorder="1" applyAlignment="1" applyProtection="1">
      <alignment horizontal="right"/>
    </xf>
    <xf numFmtId="164" fontId="2" fillId="0" borderId="1" xfId="3" applyFont="1" applyFill="1" applyBorder="1" applyAlignment="1" applyProtection="1">
      <alignment horizontal="right" vertical="center" wrapText="1"/>
    </xf>
    <xf numFmtId="164" fontId="2" fillId="7" borderId="1" xfId="3" applyFont="1" applyFill="1" applyBorder="1" applyAlignment="1" applyProtection="1">
      <alignment horizontal="right"/>
      <protection locked="0"/>
    </xf>
    <xf numFmtId="164" fontId="4" fillId="7" borderId="1" xfId="3" applyFont="1" applyFill="1" applyBorder="1" applyAlignment="1" applyProtection="1">
      <protection locked="0"/>
    </xf>
    <xf numFmtId="164" fontId="4" fillId="7" borderId="2" xfId="3" applyFont="1" applyFill="1" applyBorder="1" applyAlignment="1" applyProtection="1">
      <alignment horizontal="right"/>
      <protection locked="0"/>
    </xf>
    <xf numFmtId="164" fontId="4" fillId="0" borderId="2" xfId="3" applyFont="1" applyFill="1" applyBorder="1" applyAlignment="1" applyProtection="1"/>
    <xf numFmtId="164" fontId="2" fillId="0" borderId="2" xfId="3" applyFont="1" applyFill="1" applyBorder="1" applyAlignment="1" applyProtection="1">
      <alignment horizontal="right"/>
    </xf>
    <xf numFmtId="164" fontId="2" fillId="0" borderId="5" xfId="3" applyFont="1" applyBorder="1" applyProtection="1"/>
    <xf numFmtId="164" fontId="0" fillId="0" borderId="9" xfId="3" applyFont="1" applyBorder="1" applyProtection="1"/>
    <xf numFmtId="164" fontId="0" fillId="0" borderId="2" xfId="3" applyFont="1" applyBorder="1" applyProtection="1"/>
    <xf numFmtId="164" fontId="2" fillId="0" borderId="2" xfId="3" applyFont="1" applyBorder="1" applyProtection="1"/>
    <xf numFmtId="164" fontId="4" fillId="8" borderId="1" xfId="3" applyFont="1" applyFill="1" applyBorder="1" applyAlignment="1" applyProtection="1">
      <alignment horizontal="right"/>
      <protection locked="0"/>
    </xf>
    <xf numFmtId="164" fontId="6" fillId="7" borderId="1" xfId="3" applyFont="1" applyFill="1" applyBorder="1" applyProtection="1"/>
    <xf numFmtId="9" fontId="0" fillId="0" borderId="1" xfId="0" applyNumberFormat="1" applyBorder="1" applyProtection="1"/>
    <xf numFmtId="9" fontId="0" fillId="0" borderId="1" xfId="0" applyNumberFormat="1" applyBorder="1" applyAlignment="1" applyProtection="1">
      <alignment horizontal="right"/>
    </xf>
    <xf numFmtId="9" fontId="4" fillId="0" borderId="1" xfId="0" applyNumberFormat="1" applyFont="1" applyBorder="1" applyAlignment="1" applyProtection="1">
      <alignment horizontal="right"/>
    </xf>
    <xf numFmtId="0" fontId="0" fillId="0" borderId="1" xfId="0" applyBorder="1" applyAlignment="1" applyProtection="1">
      <alignment horizontal="center"/>
    </xf>
    <xf numFmtId="9" fontId="0" fillId="0" borderId="1" xfId="0" applyNumberFormat="1" applyBorder="1" applyAlignment="1" applyProtection="1">
      <alignment horizontal="center"/>
    </xf>
    <xf numFmtId="9" fontId="0" fillId="0" borderId="5" xfId="0" applyNumberFormat="1" applyBorder="1" applyAlignment="1" applyProtection="1">
      <alignment horizontal="center"/>
    </xf>
    <xf numFmtId="9" fontId="0" fillId="0" borderId="5" xfId="0" applyNumberFormat="1" applyBorder="1" applyProtection="1">
      <protection locked="0"/>
    </xf>
    <xf numFmtId="164" fontId="2" fillId="0" borderId="1" xfId="3" applyFont="1" applyBorder="1" applyProtection="1"/>
    <xf numFmtId="0" fontId="2" fillId="9" borderId="8" xfId="0" applyFont="1" applyFill="1" applyBorder="1" applyProtection="1">
      <protection locked="0"/>
    </xf>
    <xf numFmtId="0" fontId="4" fillId="9" borderId="1" xfId="0" applyFont="1" applyFill="1" applyBorder="1" applyAlignment="1" applyProtection="1">
      <alignment horizontal="center"/>
      <protection locked="0"/>
    </xf>
    <xf numFmtId="164" fontId="2" fillId="9" borderId="1" xfId="3" applyFont="1" applyFill="1" applyBorder="1" applyProtection="1"/>
    <xf numFmtId="164" fontId="6" fillId="9" borderId="1" xfId="3" applyFont="1" applyFill="1" applyBorder="1" applyProtection="1">
      <protection locked="0"/>
    </xf>
    <xf numFmtId="9" fontId="2" fillId="9" borderId="1" xfId="0" applyNumberFormat="1" applyFont="1" applyFill="1" applyBorder="1" applyProtection="1"/>
    <xf numFmtId="164" fontId="2" fillId="9" borderId="1" xfId="3" applyFont="1" applyFill="1" applyBorder="1" applyAlignment="1" applyProtection="1">
      <alignment horizontal="right"/>
    </xf>
    <xf numFmtId="9" fontId="2" fillId="9" borderId="1" xfId="0" applyNumberFormat="1" applyFont="1" applyFill="1" applyBorder="1" applyProtection="1">
      <protection locked="0"/>
    </xf>
    <xf numFmtId="0" fontId="2" fillId="9" borderId="1" xfId="0" applyFont="1" applyFill="1" applyBorder="1" applyAlignment="1" applyProtection="1">
      <alignment horizontal="center"/>
      <protection locked="0"/>
    </xf>
    <xf numFmtId="4" fontId="2" fillId="9" borderId="9" xfId="0" applyNumberFormat="1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164" fontId="4" fillId="0" borderId="1" xfId="3" applyNumberFormat="1" applyFont="1" applyFill="1" applyBorder="1" applyAlignment="1" applyProtection="1">
      <alignment horizontal="right"/>
    </xf>
    <xf numFmtId="0" fontId="2" fillId="9" borderId="5" xfId="0" applyFont="1" applyFill="1" applyBorder="1" applyAlignment="1" applyProtection="1">
      <alignment horizontal="center" vertical="center"/>
      <protection locked="0"/>
    </xf>
    <xf numFmtId="9" fontId="2" fillId="9" borderId="1" xfId="0" applyNumberFormat="1" applyFont="1" applyFill="1" applyBorder="1" applyAlignment="1" applyProtection="1">
      <alignment horizontal="center"/>
    </xf>
    <xf numFmtId="0" fontId="2" fillId="9" borderId="11" xfId="0" applyFont="1" applyFill="1" applyBorder="1" applyAlignment="1" applyProtection="1">
      <alignment horizontal="center"/>
      <protection locked="0"/>
    </xf>
    <xf numFmtId="164" fontId="2" fillId="9" borderId="11" xfId="3" applyFont="1" applyFill="1" applyBorder="1" applyAlignment="1" applyProtection="1">
      <alignment horizontal="right"/>
    </xf>
    <xf numFmtId="9" fontId="2" fillId="9" borderId="11" xfId="0" applyNumberFormat="1" applyFont="1" applyFill="1" applyBorder="1" applyAlignment="1" applyProtection="1">
      <alignment horizontal="center"/>
    </xf>
    <xf numFmtId="9" fontId="2" fillId="4" borderId="11" xfId="0" applyNumberFormat="1" applyFont="1" applyFill="1" applyBorder="1" applyAlignment="1" applyProtection="1">
      <alignment horizontal="center"/>
      <protection locked="0"/>
    </xf>
    <xf numFmtId="164" fontId="2" fillId="9" borderId="12" xfId="3" applyFont="1" applyFill="1" applyBorder="1" applyAlignment="1" applyProtection="1">
      <alignment horizontal="center"/>
      <protection locked="0"/>
    </xf>
    <xf numFmtId="164" fontId="34" fillId="9" borderId="13" xfId="3" applyFont="1" applyFill="1" applyBorder="1" applyProtection="1">
      <protection locked="0"/>
    </xf>
    <xf numFmtId="164" fontId="4" fillId="0" borderId="1" xfId="3" applyFont="1" applyBorder="1" applyProtection="1">
      <protection locked="0"/>
    </xf>
    <xf numFmtId="164" fontId="4" fillId="0" borderId="1" xfId="3" applyFont="1" applyBorder="1" applyAlignment="1" applyProtection="1">
      <alignment horizontal="right"/>
      <protection locked="0"/>
    </xf>
    <xf numFmtId="0" fontId="0" fillId="10" borderId="1" xfId="0" applyFill="1" applyBorder="1" applyProtection="1">
      <protection locked="0"/>
    </xf>
    <xf numFmtId="0" fontId="0" fillId="11" borderId="1" xfId="0" applyFill="1" applyBorder="1" applyProtection="1">
      <protection locked="0"/>
    </xf>
    <xf numFmtId="164" fontId="0" fillId="0" borderId="8" xfId="3" applyFont="1" applyBorder="1" applyProtection="1">
      <protection locked="0"/>
    </xf>
    <xf numFmtId="9" fontId="0" fillId="0" borderId="8" xfId="0" applyNumberFormat="1" applyBorder="1" applyAlignment="1" applyProtection="1">
      <alignment horizontal="right"/>
    </xf>
    <xf numFmtId="9" fontId="0" fillId="0" borderId="8" xfId="0" applyNumberFormat="1" applyBorder="1" applyAlignment="1" applyProtection="1">
      <alignment horizontal="right"/>
      <protection locked="0"/>
    </xf>
    <xf numFmtId="164" fontId="0" fillId="0" borderId="8" xfId="3" applyFont="1" applyBorder="1" applyAlignment="1" applyProtection="1">
      <alignment horizontal="right"/>
    </xf>
    <xf numFmtId="164" fontId="0" fillId="0" borderId="9" xfId="3" applyFont="1" applyBorder="1" applyAlignment="1" applyProtection="1">
      <alignment horizontal="right"/>
      <protection locked="0"/>
    </xf>
    <xf numFmtId="0" fontId="0" fillId="11" borderId="14" xfId="0" applyFill="1" applyBorder="1" applyProtection="1">
      <protection locked="0"/>
    </xf>
    <xf numFmtId="164" fontId="0" fillId="0" borderId="14" xfId="3" applyFont="1" applyBorder="1" applyProtection="1">
      <protection locked="0"/>
    </xf>
    <xf numFmtId="9" fontId="0" fillId="0" borderId="14" xfId="0" applyNumberFormat="1" applyBorder="1" applyAlignment="1" applyProtection="1">
      <alignment horizontal="right"/>
    </xf>
    <xf numFmtId="9" fontId="0" fillId="0" borderId="14" xfId="0" applyNumberFormat="1" applyBorder="1" applyAlignment="1" applyProtection="1">
      <alignment horizontal="right"/>
      <protection locked="0"/>
    </xf>
    <xf numFmtId="164" fontId="0" fillId="0" borderId="14" xfId="3" applyFont="1" applyBorder="1" applyAlignment="1" applyProtection="1">
      <alignment horizontal="right"/>
    </xf>
    <xf numFmtId="164" fontId="0" fillId="0" borderId="6" xfId="3" applyFont="1" applyBorder="1" applyAlignment="1" applyProtection="1">
      <alignment horizontal="right"/>
      <protection locked="0"/>
    </xf>
    <xf numFmtId="0" fontId="4" fillId="11" borderId="11" xfId="0" applyFont="1" applyFill="1" applyBorder="1" applyProtection="1">
      <protection locked="0"/>
    </xf>
    <xf numFmtId="164" fontId="4" fillId="0" borderId="11" xfId="3" applyFont="1" applyBorder="1" applyProtection="1">
      <protection locked="0"/>
    </xf>
    <xf numFmtId="9" fontId="0" fillId="0" borderId="11" xfId="0" applyNumberFormat="1" applyBorder="1" applyAlignment="1" applyProtection="1">
      <alignment horizontal="right"/>
      <protection locked="0"/>
    </xf>
    <xf numFmtId="164" fontId="0" fillId="0" borderId="11" xfId="3" applyFont="1" applyBorder="1" applyAlignment="1" applyProtection="1">
      <alignment horizontal="right"/>
    </xf>
    <xf numFmtId="164" fontId="0" fillId="0" borderId="15" xfId="3" applyFont="1" applyBorder="1" applyAlignment="1" applyProtection="1">
      <alignment horizontal="right"/>
      <protection locked="0"/>
    </xf>
    <xf numFmtId="0" fontId="0" fillId="10" borderId="14" xfId="0" applyFill="1" applyBorder="1" applyProtection="1">
      <protection locked="0"/>
    </xf>
    <xf numFmtId="164" fontId="0" fillId="0" borderId="11" xfId="3" applyFont="1" applyBorder="1" applyProtection="1">
      <protection locked="0"/>
    </xf>
    <xf numFmtId="164" fontId="2" fillId="9" borderId="8" xfId="3" applyFont="1" applyFill="1" applyBorder="1" applyProtection="1"/>
    <xf numFmtId="9" fontId="2" fillId="9" borderId="8" xfId="0" applyNumberFormat="1" applyFont="1" applyFill="1" applyBorder="1" applyAlignment="1" applyProtection="1">
      <alignment horizontal="right"/>
    </xf>
    <xf numFmtId="9" fontId="2" fillId="4" borderId="8" xfId="0" applyNumberFormat="1" applyFont="1" applyFill="1" applyBorder="1" applyAlignment="1" applyProtection="1">
      <alignment horizontal="right"/>
      <protection locked="0"/>
    </xf>
    <xf numFmtId="164" fontId="2" fillId="9" borderId="8" xfId="3" applyFont="1" applyFill="1" applyBorder="1" applyAlignment="1" applyProtection="1">
      <alignment horizontal="right"/>
    </xf>
    <xf numFmtId="164" fontId="2" fillId="9" borderId="9" xfId="3" applyFont="1" applyFill="1" applyBorder="1" applyAlignment="1" applyProtection="1">
      <alignment horizontal="right"/>
      <protection locked="0"/>
    </xf>
    <xf numFmtId="164" fontId="35" fillId="9" borderId="8" xfId="3" applyFont="1" applyFill="1" applyBorder="1" applyProtection="1">
      <protection locked="0"/>
    </xf>
    <xf numFmtId="164" fontId="4" fillId="0" borderId="11" xfId="3" applyFont="1" applyBorder="1" applyAlignment="1" applyProtection="1">
      <alignment horizontal="right"/>
      <protection locked="0"/>
    </xf>
    <xf numFmtId="4" fontId="0" fillId="0" borderId="11" xfId="0" applyNumberFormat="1" applyBorder="1" applyAlignment="1" applyProtection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0" fillId="11" borderId="8" xfId="0" applyFill="1" applyBorder="1" applyProtection="1">
      <protection locked="0"/>
    </xf>
    <xf numFmtId="164" fontId="6" fillId="0" borderId="1" xfId="3" applyFont="1" applyFill="1" applyBorder="1" applyProtection="1">
      <protection locked="0"/>
    </xf>
    <xf numFmtId="9" fontId="4" fillId="0" borderId="1" xfId="0" applyNumberFormat="1" applyFont="1" applyFill="1" applyBorder="1" applyProtection="1"/>
    <xf numFmtId="164" fontId="4" fillId="0" borderId="1" xfId="3" applyFont="1" applyFill="1" applyBorder="1" applyProtection="1">
      <protection locked="0"/>
    </xf>
    <xf numFmtId="10" fontId="14" fillId="0" borderId="1" xfId="0" applyNumberFormat="1" applyFont="1" applyFill="1" applyBorder="1" applyProtection="1"/>
    <xf numFmtId="9" fontId="4" fillId="0" borderId="1" xfId="0" applyNumberFormat="1" applyFont="1" applyFill="1" applyBorder="1" applyProtection="1">
      <protection locked="0"/>
    </xf>
    <xf numFmtId="164" fontId="0" fillId="0" borderId="2" xfId="3" applyFont="1" applyBorder="1" applyAlignment="1" applyProtection="1"/>
    <xf numFmtId="0" fontId="0" fillId="0" borderId="4" xfId="0" applyBorder="1" applyAlignment="1" applyProtection="1">
      <protection locked="0"/>
    </xf>
    <xf numFmtId="0" fontId="4" fillId="0" borderId="2" xfId="0" applyFont="1" applyBorder="1" applyAlignment="1" applyProtection="1">
      <protection locked="0"/>
    </xf>
    <xf numFmtId="164" fontId="0" fillId="0" borderId="3" xfId="3" applyFont="1" applyBorder="1" applyAlignment="1" applyProtection="1"/>
    <xf numFmtId="0" fontId="9" fillId="0" borderId="16" xfId="0" applyFont="1" applyBorder="1" applyAlignment="1" applyProtection="1">
      <protection locked="0"/>
    </xf>
    <xf numFmtId="164" fontId="0" fillId="0" borderId="5" xfId="3" applyFont="1" applyBorder="1" applyAlignment="1" applyProtection="1">
      <alignment horizontal="right"/>
    </xf>
    <xf numFmtId="9" fontId="0" fillId="0" borderId="5" xfId="0" applyNumberFormat="1" applyBorder="1" applyAlignment="1" applyProtection="1">
      <alignment horizontal="right"/>
      <protection locked="0"/>
    </xf>
    <xf numFmtId="0" fontId="13" fillId="10" borderId="1" xfId="0" applyFont="1" applyFill="1" applyBorder="1" applyProtection="1">
      <protection locked="0"/>
    </xf>
    <xf numFmtId="9" fontId="13" fillId="0" borderId="5" xfId="0" applyNumberFormat="1" applyFont="1" applyBorder="1" applyAlignment="1" applyProtection="1">
      <alignment horizontal="right"/>
      <protection locked="0"/>
    </xf>
    <xf numFmtId="164" fontId="2" fillId="0" borderId="3" xfId="3" applyFont="1" applyFill="1" applyBorder="1" applyAlignment="1" applyProtection="1">
      <alignment vertical="center" wrapText="1"/>
    </xf>
    <xf numFmtId="164" fontId="2" fillId="0" borderId="4" xfId="3" applyFont="1" applyFill="1" applyBorder="1" applyAlignment="1" applyProtection="1">
      <alignment vertical="center" wrapText="1"/>
    </xf>
    <xf numFmtId="10" fontId="2" fillId="0" borderId="2" xfId="2" applyNumberFormat="1" applyFont="1" applyFill="1" applyBorder="1" applyAlignment="1" applyProtection="1">
      <alignment vertical="center" wrapText="1"/>
    </xf>
    <xf numFmtId="167" fontId="0" fillId="0" borderId="8" xfId="0" applyNumberFormat="1" applyBorder="1" applyAlignment="1" applyProtection="1">
      <alignment horizontal="center"/>
    </xf>
    <xf numFmtId="164" fontId="0" fillId="0" borderId="1" xfId="0" applyNumberFormat="1" applyBorder="1" applyProtection="1">
      <protection locked="0"/>
    </xf>
    <xf numFmtId="164" fontId="13" fillId="0" borderId="5" xfId="3" applyFont="1" applyBorder="1" applyProtection="1"/>
    <xf numFmtId="167" fontId="4" fillId="0" borderId="1" xfId="0" applyNumberFormat="1" applyFont="1" applyFill="1" applyBorder="1" applyAlignment="1" applyProtection="1"/>
    <xf numFmtId="0" fontId="9" fillId="0" borderId="0" xfId="0" applyFont="1" applyBorder="1" applyAlignment="1" applyProtection="1">
      <alignment horizontal="left"/>
      <protection locked="0"/>
    </xf>
    <xf numFmtId="0" fontId="33" fillId="0" borderId="0" xfId="1" applyBorder="1" applyAlignment="1" applyProtection="1">
      <alignment horizontal="center" wrapText="1"/>
      <protection locked="0"/>
    </xf>
    <xf numFmtId="0" fontId="0" fillId="8" borderId="11" xfId="0" applyFill="1" applyBorder="1" applyProtection="1">
      <protection locked="0"/>
    </xf>
    <xf numFmtId="0" fontId="0" fillId="8" borderId="14" xfId="0" applyFill="1" applyBorder="1" applyProtection="1">
      <protection locked="0"/>
    </xf>
    <xf numFmtId="0" fontId="4" fillId="8" borderId="1" xfId="0" applyFont="1" applyFill="1" applyBorder="1" applyProtection="1">
      <protection locked="0"/>
    </xf>
    <xf numFmtId="0" fontId="0" fillId="8" borderId="1" xfId="0" applyFill="1" applyBorder="1" applyProtection="1">
      <protection locked="0"/>
    </xf>
    <xf numFmtId="0" fontId="2" fillId="9" borderId="1" xfId="0" applyFont="1" applyFill="1" applyBorder="1" applyAlignment="1" applyProtection="1">
      <alignment vertical="center" wrapText="1"/>
      <protection locked="0"/>
    </xf>
    <xf numFmtId="9" fontId="2" fillId="9" borderId="1" xfId="0" applyNumberFormat="1" applyFont="1" applyFill="1" applyBorder="1" applyAlignment="1" applyProtection="1">
      <alignment vertical="center" wrapText="1"/>
    </xf>
    <xf numFmtId="164" fontId="2" fillId="9" borderId="1" xfId="3" applyFont="1" applyFill="1" applyBorder="1" applyAlignment="1" applyProtection="1">
      <alignment vertical="center" wrapText="1"/>
    </xf>
    <xf numFmtId="0" fontId="0" fillId="9" borderId="1" xfId="0" applyFill="1" applyBorder="1" applyAlignment="1" applyProtection="1">
      <protection locked="0"/>
    </xf>
    <xf numFmtId="164" fontId="2" fillId="9" borderId="1" xfId="3" applyFont="1" applyFill="1" applyBorder="1" applyAlignment="1" applyProtection="1"/>
    <xf numFmtId="164" fontId="6" fillId="9" borderId="1" xfId="3" applyFont="1" applyFill="1" applyBorder="1" applyAlignment="1" applyProtection="1">
      <protection locked="0"/>
    </xf>
    <xf numFmtId="0" fontId="2" fillId="5" borderId="10" xfId="0" applyFont="1" applyFill="1" applyBorder="1" applyAlignment="1" applyProtection="1">
      <alignment horizontal="left"/>
      <protection locked="0"/>
    </xf>
    <xf numFmtId="0" fontId="4" fillId="5" borderId="8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 applyProtection="1">
      <alignment horizontal="center"/>
      <protection locked="0"/>
    </xf>
    <xf numFmtId="0" fontId="13" fillId="0" borderId="18" xfId="0" applyFont="1" applyBorder="1" applyAlignment="1" applyProtection="1">
      <protection locked="0"/>
    </xf>
    <xf numFmtId="0" fontId="9" fillId="0" borderId="19" xfId="0" applyFont="1" applyBorder="1" applyAlignment="1" applyProtection="1">
      <protection locked="0"/>
    </xf>
    <xf numFmtId="10" fontId="0" fillId="0" borderId="1" xfId="0" applyNumberFormat="1" applyBorder="1" applyProtection="1">
      <protection locked="0"/>
    </xf>
    <xf numFmtId="0" fontId="21" fillId="0" borderId="17" xfId="0" applyFont="1" applyBorder="1" applyAlignment="1" applyProtection="1">
      <alignment horizontal="left" vertical="center" wrapText="1"/>
      <protection locked="0"/>
    </xf>
    <xf numFmtId="0" fontId="23" fillId="0" borderId="0" xfId="0" applyFont="1" applyProtection="1"/>
    <xf numFmtId="0" fontId="23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4" fillId="0" borderId="0" xfId="0" applyFont="1" applyAlignment="1" applyProtection="1">
      <alignment vertical="top" wrapText="1"/>
    </xf>
    <xf numFmtId="0" fontId="24" fillId="0" borderId="0" xfId="0" applyFont="1" applyAlignment="1" applyProtection="1">
      <alignment horizontal="justify" vertical="top" wrapText="1"/>
    </xf>
    <xf numFmtId="0" fontId="23" fillId="0" borderId="0" xfId="0" applyFont="1" applyAlignment="1" applyProtection="1">
      <alignment vertical="top"/>
    </xf>
    <xf numFmtId="0" fontId="2" fillId="9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0" fillId="0" borderId="4" xfId="0" applyBorder="1" applyProtection="1">
      <protection locked="0"/>
    </xf>
    <xf numFmtId="0" fontId="4" fillId="0" borderId="4" xfId="0" applyFont="1" applyBorder="1" applyProtection="1">
      <protection locked="0"/>
    </xf>
    <xf numFmtId="0" fontId="4" fillId="0" borderId="22" xfId="0" applyFont="1" applyBorder="1" applyProtection="1">
      <protection locked="0"/>
    </xf>
    <xf numFmtId="0" fontId="8" fillId="0" borderId="4" xfId="0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4" fillId="0" borderId="20" xfId="0" applyFont="1" applyBorder="1" applyProtection="1">
      <protection locked="0"/>
    </xf>
    <xf numFmtId="0" fontId="0" fillId="0" borderId="22" xfId="0" applyBorder="1" applyProtection="1">
      <protection locked="0"/>
    </xf>
    <xf numFmtId="0" fontId="5" fillId="9" borderId="23" xfId="0" applyFont="1" applyFill="1" applyBorder="1" applyProtection="1">
      <protection locked="0"/>
    </xf>
    <xf numFmtId="0" fontId="2" fillId="9" borderId="22" xfId="0" applyFon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29" fillId="0" borderId="0" xfId="0" applyFont="1" applyProtection="1">
      <protection locked="0"/>
    </xf>
    <xf numFmtId="0" fontId="0" fillId="0" borderId="20" xfId="0" applyBorder="1" applyProtection="1">
      <protection locked="0"/>
    </xf>
    <xf numFmtId="0" fontId="8" fillId="0" borderId="20" xfId="0" applyFont="1" applyBorder="1" applyProtection="1">
      <protection locked="0"/>
    </xf>
    <xf numFmtId="9" fontId="4" fillId="0" borderId="1" xfId="0" applyNumberFormat="1" applyFont="1" applyBorder="1" applyAlignment="1" applyProtection="1">
      <alignment horizontal="right"/>
      <protection locked="0"/>
    </xf>
    <xf numFmtId="0" fontId="4" fillId="0" borderId="21" xfId="0" applyFont="1" applyBorder="1" applyProtection="1">
      <protection locked="0"/>
    </xf>
    <xf numFmtId="0" fontId="4" fillId="0" borderId="23" xfId="0" applyFont="1" applyBorder="1" applyProtection="1">
      <protection locked="0"/>
    </xf>
    <xf numFmtId="0" fontId="29" fillId="0" borderId="4" xfId="0" applyFont="1" applyBorder="1" applyAlignment="1" applyProtection="1">
      <alignment horizontal="right"/>
      <protection locked="0"/>
    </xf>
    <xf numFmtId="0" fontId="30" fillId="9" borderId="22" xfId="0" applyFont="1" applyFill="1" applyBorder="1" applyAlignment="1" applyProtection="1">
      <alignment horizontal="center"/>
      <protection locked="0"/>
    </xf>
    <xf numFmtId="0" fontId="29" fillId="0" borderId="4" xfId="0" applyFont="1" applyBorder="1" applyProtection="1">
      <protection locked="0"/>
    </xf>
    <xf numFmtId="164" fontId="29" fillId="9" borderId="4" xfId="3" applyFont="1" applyFill="1" applyBorder="1" applyAlignment="1" applyProtection="1">
      <alignment horizontal="center"/>
      <protection locked="0"/>
    </xf>
    <xf numFmtId="164" fontId="30" fillId="9" borderId="4" xfId="3" applyFont="1" applyFill="1" applyBorder="1" applyAlignment="1" applyProtection="1">
      <alignment horizontal="center"/>
      <protection locked="0"/>
    </xf>
    <xf numFmtId="164" fontId="29" fillId="9" borderId="4" xfId="3" applyFont="1" applyFill="1" applyBorder="1" applyAlignment="1" applyProtection="1">
      <alignment horizontal="right"/>
      <protection locked="0"/>
    </xf>
    <xf numFmtId="164" fontId="36" fillId="7" borderId="2" xfId="3" applyFont="1" applyFill="1" applyBorder="1" applyAlignment="1" applyProtection="1">
      <alignment horizontal="right"/>
    </xf>
    <xf numFmtId="9" fontId="0" fillId="0" borderId="5" xfId="0" quotePrefix="1" applyNumberFormat="1" applyBorder="1" applyAlignment="1" applyProtection="1">
      <alignment horizontal="right"/>
      <protection locked="0"/>
    </xf>
    <xf numFmtId="10" fontId="4" fillId="0" borderId="1" xfId="0" applyNumberFormat="1" applyFont="1" applyFill="1" applyBorder="1" applyAlignment="1" applyProtection="1"/>
    <xf numFmtId="0" fontId="33" fillId="0" borderId="0" xfId="1" applyAlignment="1" applyProtection="1">
      <protection locked="0"/>
    </xf>
    <xf numFmtId="0" fontId="0" fillId="0" borderId="1" xfId="0" applyBorder="1" applyAlignment="1" applyProtection="1">
      <protection locked="0"/>
    </xf>
    <xf numFmtId="0" fontId="29" fillId="0" borderId="2" xfId="0" applyFont="1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2" fillId="9" borderId="24" xfId="0" applyFont="1" applyFill="1" applyBorder="1" applyAlignment="1" applyProtection="1">
      <alignment horizontal="center"/>
      <protection locked="0"/>
    </xf>
    <xf numFmtId="0" fontId="2" fillId="9" borderId="25" xfId="0" applyFont="1" applyFill="1" applyBorder="1" applyAlignment="1" applyProtection="1">
      <alignment horizontal="center"/>
      <protection locked="0"/>
    </xf>
    <xf numFmtId="0" fontId="2" fillId="9" borderId="26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164" fontId="4" fillId="0" borderId="2" xfId="3" applyFont="1" applyBorder="1" applyAlignment="1" applyProtection="1">
      <alignment horizontal="right"/>
      <protection locked="0"/>
    </xf>
    <xf numFmtId="164" fontId="4" fillId="0" borderId="4" xfId="3" applyFont="1" applyBorder="1" applyAlignment="1" applyProtection="1">
      <alignment horizontal="right"/>
      <protection locked="0"/>
    </xf>
    <xf numFmtId="164" fontId="0" fillId="0" borderId="5" xfId="3" applyFont="1" applyBorder="1" applyAlignment="1" applyProtection="1">
      <alignment horizontal="right"/>
    </xf>
    <xf numFmtId="164" fontId="0" fillId="0" borderId="1" xfId="3" applyFont="1" applyBorder="1" applyAlignment="1" applyProtection="1"/>
    <xf numFmtId="164" fontId="0" fillId="0" borderId="2" xfId="3" applyFont="1" applyBorder="1" applyAlignment="1" applyProtection="1"/>
    <xf numFmtId="164" fontId="0" fillId="0" borderId="1" xfId="3" applyFont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64" fontId="4" fillId="0" borderId="2" xfId="3" applyFont="1" applyFill="1" applyBorder="1" applyAlignment="1" applyProtection="1">
      <alignment horizontal="right" wrapText="1"/>
      <protection locked="0"/>
    </xf>
    <xf numFmtId="164" fontId="4" fillId="0" borderId="4" xfId="3" applyFont="1" applyFill="1" applyBorder="1" applyAlignment="1" applyProtection="1">
      <alignment horizontal="right" wrapText="1"/>
      <protection locked="0"/>
    </xf>
    <xf numFmtId="164" fontId="4" fillId="0" borderId="2" xfId="3" applyFont="1" applyBorder="1" applyAlignment="1" applyProtection="1">
      <alignment horizontal="center"/>
      <protection locked="0"/>
    </xf>
    <xf numFmtId="164" fontId="4" fillId="0" borderId="4" xfId="3" applyFont="1" applyBorder="1" applyAlignment="1" applyProtection="1">
      <alignment horizontal="center"/>
      <protection locked="0"/>
    </xf>
    <xf numFmtId="164" fontId="0" fillId="0" borderId="2" xfId="3" applyFont="1" applyBorder="1" applyAlignment="1" applyProtection="1">
      <alignment horizontal="right"/>
      <protection locked="0"/>
    </xf>
    <xf numFmtId="164" fontId="0" fillId="0" borderId="4" xfId="3" applyFont="1" applyBorder="1" applyAlignment="1" applyProtection="1">
      <alignment horizontal="right"/>
      <protection locked="0"/>
    </xf>
    <xf numFmtId="164" fontId="2" fillId="9" borderId="2" xfId="3" applyFont="1" applyFill="1" applyBorder="1" applyAlignment="1" applyProtection="1">
      <alignment horizontal="right"/>
    </xf>
    <xf numFmtId="164" fontId="2" fillId="9" borderId="4" xfId="3" applyFont="1" applyFill="1" applyBorder="1" applyAlignment="1" applyProtection="1">
      <alignment horizontal="right"/>
    </xf>
    <xf numFmtId="164" fontId="4" fillId="0" borderId="2" xfId="3" applyFont="1" applyFill="1" applyBorder="1" applyAlignment="1" applyProtection="1">
      <alignment horizontal="right"/>
      <protection locked="0"/>
    </xf>
    <xf numFmtId="164" fontId="4" fillId="0" borderId="4" xfId="3" applyFont="1" applyFill="1" applyBorder="1" applyAlignment="1" applyProtection="1">
      <alignment horizontal="right"/>
      <protection locked="0"/>
    </xf>
    <xf numFmtId="0" fontId="4" fillId="0" borderId="2" xfId="0" applyFont="1" applyBorder="1" applyAlignment="1" applyProtection="1">
      <alignment horizontal="left"/>
      <protection locked="0"/>
    </xf>
    <xf numFmtId="164" fontId="0" fillId="0" borderId="3" xfId="3" applyFont="1" applyBorder="1" applyAlignment="1" applyProtection="1"/>
    <xf numFmtId="164" fontId="0" fillId="0" borderId="15" xfId="3" applyFont="1" applyBorder="1" applyAlignment="1" applyProtection="1">
      <alignment horizontal="right"/>
      <protection locked="0"/>
    </xf>
    <xf numFmtId="164" fontId="0" fillId="0" borderId="22" xfId="3" applyFont="1" applyBorder="1" applyAlignment="1" applyProtection="1">
      <alignment horizontal="right"/>
      <protection locked="0"/>
    </xf>
    <xf numFmtId="164" fontId="0" fillId="0" borderId="9" xfId="3" applyFont="1" applyBorder="1" applyAlignment="1" applyProtection="1"/>
    <xf numFmtId="164" fontId="0" fillId="0" borderId="23" xfId="3" applyFont="1" applyBorder="1" applyProtection="1"/>
    <xf numFmtId="0" fontId="2" fillId="9" borderId="1" xfId="0" applyFont="1" applyFill="1" applyBorder="1" applyAlignment="1" applyProtection="1">
      <alignment horizontal="center" vertical="center"/>
      <protection locked="0"/>
    </xf>
    <xf numFmtId="164" fontId="0" fillId="0" borderId="9" xfId="3" applyFont="1" applyBorder="1" applyAlignment="1" applyProtection="1">
      <alignment horizontal="center"/>
      <protection locked="0"/>
    </xf>
    <xf numFmtId="164" fontId="0" fillId="0" borderId="16" xfId="3" applyFont="1" applyBorder="1" applyAlignment="1" applyProtection="1">
      <alignment horizontal="center"/>
      <protection locked="0"/>
    </xf>
    <xf numFmtId="164" fontId="0" fillId="0" borderId="23" xfId="3" applyFont="1" applyBorder="1" applyAlignment="1" applyProtection="1">
      <alignment horizontal="center"/>
      <protection locked="0"/>
    </xf>
    <xf numFmtId="164" fontId="0" fillId="0" borderId="2" xfId="3" applyFont="1" applyBorder="1" applyAlignment="1" applyProtection="1">
      <protection locked="0"/>
    </xf>
    <xf numFmtId="164" fontId="0" fillId="0" borderId="3" xfId="3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33" fillId="0" borderId="27" xfId="1" applyBorder="1" applyAlignment="1" applyProtection="1">
      <alignment horizontal="center" wrapText="1"/>
      <protection locked="0"/>
    </xf>
    <xf numFmtId="0" fontId="33" fillId="0" borderId="28" xfId="1" applyBorder="1" applyAlignment="1" applyProtection="1">
      <alignment horizontal="center" wrapText="1"/>
      <protection locked="0"/>
    </xf>
    <xf numFmtId="0" fontId="33" fillId="0" borderId="29" xfId="1" applyBorder="1" applyAlignment="1" applyProtection="1">
      <alignment horizontal="center" wrapText="1"/>
      <protection locked="0"/>
    </xf>
    <xf numFmtId="0" fontId="33" fillId="0" borderId="30" xfId="1" applyBorder="1" applyAlignment="1" applyProtection="1">
      <alignment horizontal="center" wrapText="1"/>
      <protection locked="0"/>
    </xf>
    <xf numFmtId="0" fontId="33" fillId="0" borderId="31" xfId="1" applyBorder="1" applyAlignment="1" applyProtection="1">
      <alignment horizontal="center" wrapText="1"/>
      <protection locked="0"/>
    </xf>
    <xf numFmtId="0" fontId="33" fillId="0" borderId="12" xfId="1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2" fillId="9" borderId="32" xfId="0" applyFont="1" applyFill="1" applyBorder="1" applyAlignment="1" applyProtection="1">
      <alignment horizontal="center"/>
      <protection locked="0"/>
    </xf>
    <xf numFmtId="0" fontId="2" fillId="9" borderId="33" xfId="0" applyFont="1" applyFill="1" applyBorder="1" applyAlignment="1" applyProtection="1">
      <alignment horizontal="center"/>
      <protection locked="0"/>
    </xf>
    <xf numFmtId="164" fontId="0" fillId="0" borderId="4" xfId="3" applyFont="1" applyBorder="1" applyProtection="1">
      <protection locked="0"/>
    </xf>
    <xf numFmtId="164" fontId="2" fillId="0" borderId="15" xfId="3" applyFont="1" applyBorder="1" applyAlignment="1" applyProtection="1">
      <alignment horizontal="right" wrapText="1"/>
    </xf>
    <xf numFmtId="164" fontId="2" fillId="0" borderId="34" xfId="3" applyFont="1" applyBorder="1" applyAlignment="1" applyProtection="1">
      <alignment horizontal="right" wrapText="1"/>
    </xf>
    <xf numFmtId="164" fontId="2" fillId="0" borderId="22" xfId="3" applyFont="1" applyBorder="1" applyAlignment="1" applyProtection="1">
      <alignment horizontal="right" wrapText="1"/>
    </xf>
    <xf numFmtId="164" fontId="15" fillId="7" borderId="1" xfId="3" applyFont="1" applyFill="1" applyBorder="1" applyAlignment="1" applyProtection="1">
      <alignment horizontal="left"/>
      <protection locked="0"/>
    </xf>
    <xf numFmtId="164" fontId="9" fillId="7" borderId="1" xfId="3" applyFont="1" applyFill="1" applyBorder="1" applyAlignment="1" applyProtection="1">
      <alignment horizontal="left"/>
      <protection locked="0"/>
    </xf>
    <xf numFmtId="164" fontId="0" fillId="0" borderId="2" xfId="3" applyFont="1" applyBorder="1" applyAlignment="1" applyProtection="1">
      <alignment horizontal="right"/>
    </xf>
    <xf numFmtId="164" fontId="0" fillId="0" borderId="3" xfId="3" applyFont="1" applyBorder="1" applyAlignment="1" applyProtection="1">
      <alignment horizontal="right"/>
    </xf>
    <xf numFmtId="164" fontId="0" fillId="0" borderId="4" xfId="3" applyFont="1" applyBorder="1" applyAlignment="1" applyProtection="1">
      <alignment horizontal="right"/>
    </xf>
    <xf numFmtId="164" fontId="2" fillId="0" borderId="2" xfId="3" applyFont="1" applyBorder="1" applyAlignment="1" applyProtection="1"/>
    <xf numFmtId="164" fontId="2" fillId="0" borderId="3" xfId="3" applyFont="1" applyBorder="1" applyAlignment="1" applyProtection="1"/>
    <xf numFmtId="0" fontId="0" fillId="0" borderId="2" xfId="0" applyBorder="1" applyAlignment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36" xfId="0" applyFont="1" applyFill="1" applyBorder="1" applyAlignment="1" applyProtection="1">
      <alignment horizontal="left"/>
      <protection locked="0"/>
    </xf>
    <xf numFmtId="0" fontId="2" fillId="0" borderId="37" xfId="0" applyFont="1" applyFill="1" applyBorder="1" applyAlignment="1" applyProtection="1">
      <alignment horizontal="left"/>
      <protection locked="0"/>
    </xf>
    <xf numFmtId="0" fontId="2" fillId="0" borderId="38" xfId="0" applyFont="1" applyFill="1" applyBorder="1" applyAlignment="1" applyProtection="1">
      <alignment horizontal="left"/>
      <protection locked="0"/>
    </xf>
    <xf numFmtId="164" fontId="0" fillId="0" borderId="1" xfId="3" applyFont="1" applyBorder="1" applyAlignment="1" applyProtection="1">
      <alignment horizontal="right"/>
      <protection locked="0"/>
    </xf>
    <xf numFmtId="164" fontId="37" fillId="0" borderId="2" xfId="3" applyFont="1" applyBorder="1" applyAlignment="1" applyProtection="1">
      <alignment horizontal="right"/>
      <protection locked="0"/>
    </xf>
    <xf numFmtId="164" fontId="0" fillId="0" borderId="3" xfId="3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/>
      <protection locked="0"/>
    </xf>
    <xf numFmtId="164" fontId="0" fillId="0" borderId="8" xfId="3" applyFont="1" applyBorder="1" applyAlignment="1" applyProtection="1"/>
    <xf numFmtId="164" fontId="6" fillId="7" borderId="1" xfId="3" applyFont="1" applyFill="1" applyBorder="1" applyAlignment="1" applyProtection="1">
      <alignment horizontal="right"/>
      <protection locked="0"/>
    </xf>
    <xf numFmtId="0" fontId="2" fillId="0" borderId="39" xfId="0" applyFont="1" applyFill="1" applyBorder="1" applyAlignment="1" applyProtection="1">
      <alignment horizontal="left"/>
      <protection locked="0"/>
    </xf>
    <xf numFmtId="0" fontId="2" fillId="0" borderId="40" xfId="0" applyFont="1" applyFill="1" applyBorder="1" applyAlignment="1" applyProtection="1">
      <alignment horizontal="left"/>
      <protection locked="0"/>
    </xf>
    <xf numFmtId="0" fontId="2" fillId="0" borderId="20" xfId="0" applyFont="1" applyFill="1" applyBorder="1" applyAlignment="1" applyProtection="1">
      <alignment horizontal="left"/>
      <protection locked="0"/>
    </xf>
    <xf numFmtId="164" fontId="6" fillId="7" borderId="2" xfId="3" applyFont="1" applyFill="1" applyBorder="1" applyAlignment="1" applyProtection="1">
      <alignment horizontal="right"/>
    </xf>
    <xf numFmtId="164" fontId="6" fillId="7" borderId="4" xfId="3" applyFont="1" applyFill="1" applyBorder="1" applyAlignment="1" applyProtection="1">
      <alignment horizontal="right"/>
    </xf>
    <xf numFmtId="164" fontId="4" fillId="0" borderId="2" xfId="3" applyFont="1" applyFill="1" applyBorder="1" applyAlignment="1" applyProtection="1">
      <alignment horizontal="right"/>
    </xf>
    <xf numFmtId="164" fontId="4" fillId="0" borderId="4" xfId="3" applyFont="1" applyFill="1" applyBorder="1" applyAlignment="1" applyProtection="1">
      <alignment horizontal="right"/>
    </xf>
    <xf numFmtId="164" fontId="4" fillId="0" borderId="2" xfId="3" applyFont="1" applyFill="1" applyBorder="1" applyAlignment="1" applyProtection="1">
      <alignment horizontal="left"/>
      <protection locked="0"/>
    </xf>
    <xf numFmtId="164" fontId="4" fillId="0" borderId="3" xfId="3" applyFont="1" applyFill="1" applyBorder="1" applyAlignment="1" applyProtection="1">
      <alignment horizontal="left"/>
      <protection locked="0"/>
    </xf>
    <xf numFmtId="164" fontId="4" fillId="0" borderId="4" xfId="3" applyFont="1" applyFill="1" applyBorder="1" applyAlignment="1" applyProtection="1">
      <alignment horizontal="left"/>
      <protection locked="0"/>
    </xf>
    <xf numFmtId="9" fontId="4" fillId="0" borderId="1" xfId="0" applyNumberFormat="1" applyFont="1" applyFill="1" applyBorder="1" applyAlignment="1" applyProtection="1">
      <alignment horizontal="left"/>
      <protection locked="0"/>
    </xf>
    <xf numFmtId="164" fontId="2" fillId="0" borderId="1" xfId="3" applyFont="1" applyBorder="1" applyAlignment="1" applyProtection="1">
      <alignment horizontal="right"/>
    </xf>
    <xf numFmtId="164" fontId="2" fillId="9" borderId="2" xfId="3" applyFont="1" applyFill="1" applyBorder="1" applyAlignment="1" applyProtection="1">
      <alignment horizontal="right" wrapText="1"/>
    </xf>
    <xf numFmtId="164" fontId="2" fillId="9" borderId="4" xfId="3" applyFont="1" applyFill="1" applyBorder="1" applyAlignment="1" applyProtection="1">
      <alignment horizontal="right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164" fontId="6" fillId="7" borderId="2" xfId="3" applyFont="1" applyFill="1" applyBorder="1" applyAlignment="1" applyProtection="1">
      <alignment horizontal="center"/>
      <protection locked="0"/>
    </xf>
    <xf numFmtId="164" fontId="6" fillId="7" borderId="4" xfId="3" applyFont="1" applyFill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164" fontId="6" fillId="7" borderId="2" xfId="3" applyFont="1" applyFill="1" applyBorder="1" applyAlignment="1" applyProtection="1">
      <alignment horizontal="right"/>
      <protection locked="0"/>
    </xf>
    <xf numFmtId="164" fontId="6" fillId="7" borderId="3" xfId="3" applyFont="1" applyFill="1" applyBorder="1" applyAlignment="1" applyProtection="1">
      <alignment horizontal="right"/>
      <protection locked="0"/>
    </xf>
    <xf numFmtId="164" fontId="6" fillId="7" borderId="4" xfId="3" applyFont="1" applyFill="1" applyBorder="1" applyAlignment="1" applyProtection="1">
      <alignment horizontal="right"/>
      <protection locked="0"/>
    </xf>
    <xf numFmtId="164" fontId="4" fillId="0" borderId="3" xfId="3" applyFont="1" applyFill="1" applyBorder="1" applyAlignment="1" applyProtection="1">
      <alignment horizontal="right"/>
    </xf>
    <xf numFmtId="164" fontId="0" fillId="0" borderId="1" xfId="3" applyFont="1" applyBorder="1" applyAlignment="1" applyProtection="1">
      <alignment horizontal="right"/>
    </xf>
    <xf numFmtId="0" fontId="2" fillId="5" borderId="32" xfId="0" applyFont="1" applyFill="1" applyBorder="1" applyAlignment="1" applyProtection="1">
      <alignment horizontal="center"/>
      <protection locked="0"/>
    </xf>
    <xf numFmtId="0" fontId="2" fillId="5" borderId="33" xfId="0" applyFont="1" applyFill="1" applyBorder="1" applyAlignment="1" applyProtection="1">
      <alignment horizontal="center"/>
      <protection locked="0"/>
    </xf>
    <xf numFmtId="0" fontId="2" fillId="5" borderId="41" xfId="0" applyFont="1" applyFill="1" applyBorder="1" applyAlignment="1" applyProtection="1">
      <alignment horizontal="center"/>
      <protection locked="0"/>
    </xf>
    <xf numFmtId="164" fontId="0" fillId="0" borderId="4" xfId="3" applyFont="1" applyBorder="1" applyAlignment="1" applyProtection="1">
      <protection locked="0"/>
    </xf>
    <xf numFmtId="164" fontId="0" fillId="0" borderId="15" xfId="3" applyFont="1" applyBorder="1" applyAlignment="1" applyProtection="1">
      <protection locked="0"/>
    </xf>
    <xf numFmtId="164" fontId="0" fillId="0" borderId="22" xfId="3" applyFont="1" applyBorder="1" applyProtection="1">
      <protection locked="0"/>
    </xf>
    <xf numFmtId="0" fontId="12" fillId="0" borderId="37" xfId="0" applyFont="1" applyBorder="1" applyAlignment="1" applyProtection="1">
      <alignment horizontal="left"/>
      <protection locked="0"/>
    </xf>
    <xf numFmtId="164" fontId="0" fillId="0" borderId="6" xfId="3" applyFont="1" applyBorder="1" applyAlignment="1" applyProtection="1">
      <protection locked="0"/>
    </xf>
    <xf numFmtId="164" fontId="0" fillId="0" borderId="21" xfId="3" applyFont="1" applyBorder="1" applyProtection="1">
      <protection locked="0"/>
    </xf>
    <xf numFmtId="0" fontId="2" fillId="9" borderId="2" xfId="0" applyFont="1" applyFill="1" applyBorder="1" applyAlignment="1" applyProtection="1">
      <alignment horizontal="left"/>
      <protection locked="0"/>
    </xf>
    <xf numFmtId="0" fontId="2" fillId="9" borderId="3" xfId="0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 applyProtection="1">
      <alignment horizontal="left"/>
      <protection locked="0"/>
    </xf>
    <xf numFmtId="164" fontId="0" fillId="0" borderId="4" xfId="3" applyFont="1" applyBorder="1" applyProtection="1"/>
    <xf numFmtId="0" fontId="2" fillId="9" borderId="1" xfId="0" applyFont="1" applyFill="1" applyBorder="1" applyAlignment="1" applyProtection="1">
      <protection locked="0"/>
    </xf>
    <xf numFmtId="0" fontId="4" fillId="0" borderId="2" xfId="0" applyFont="1" applyFill="1" applyBorder="1" applyAlignment="1" applyProtection="1">
      <alignment horizontal="left"/>
      <protection locked="0"/>
    </xf>
    <xf numFmtId="0" fontId="4" fillId="0" borderId="3" xfId="0" applyFont="1" applyFill="1" applyBorder="1" applyAlignment="1" applyProtection="1">
      <alignment horizontal="left"/>
      <protection locked="0"/>
    </xf>
    <xf numFmtId="0" fontId="4" fillId="0" borderId="4" xfId="0" applyFont="1" applyFill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4" fillId="0" borderId="4" xfId="0" applyFont="1" applyBorder="1" applyAlignment="1" applyProtection="1">
      <alignment horizontal="left" wrapText="1"/>
      <protection locked="0"/>
    </xf>
    <xf numFmtId="9" fontId="2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164" fontId="2" fillId="9" borderId="9" xfId="3" applyFont="1" applyFill="1" applyBorder="1" applyAlignment="1" applyProtection="1">
      <alignment horizontal="right"/>
    </xf>
    <xf numFmtId="164" fontId="2" fillId="9" borderId="23" xfId="3" applyFont="1" applyFill="1" applyBorder="1" applyAlignment="1" applyProtection="1">
      <alignment horizontal="right"/>
    </xf>
    <xf numFmtId="164" fontId="0" fillId="0" borderId="6" xfId="3" applyFont="1" applyBorder="1" applyAlignment="1" applyProtection="1"/>
    <xf numFmtId="164" fontId="0" fillId="0" borderId="21" xfId="3" applyFont="1" applyBorder="1" applyProtection="1"/>
    <xf numFmtId="0" fontId="4" fillId="0" borderId="2" xfId="0" applyFont="1" applyFill="1" applyBorder="1" applyAlignment="1" applyProtection="1">
      <alignment horizontal="left" wrapText="1"/>
      <protection locked="0"/>
    </xf>
    <xf numFmtId="0" fontId="4" fillId="0" borderId="3" xfId="0" applyFont="1" applyFill="1" applyBorder="1" applyAlignment="1" applyProtection="1">
      <alignment horizontal="left" wrapText="1"/>
      <protection locked="0"/>
    </xf>
    <xf numFmtId="0" fontId="4" fillId="0" borderId="4" xfId="0" applyFont="1" applyFill="1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2" fillId="2" borderId="23" xfId="0" applyFont="1" applyFill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2" fillId="9" borderId="9" xfId="0" applyFont="1" applyFill="1" applyBorder="1" applyAlignment="1" applyProtection="1">
      <alignment horizontal="center"/>
      <protection locked="0"/>
    </xf>
    <xf numFmtId="0" fontId="2" fillId="9" borderId="23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5" borderId="36" xfId="0" applyFont="1" applyFill="1" applyBorder="1" applyAlignment="1" applyProtection="1">
      <alignment horizontal="center" vertical="top" wrapText="1"/>
      <protection locked="0"/>
    </xf>
    <xf numFmtId="0" fontId="0" fillId="0" borderId="37" xfId="0" applyBorder="1" applyAlignment="1" applyProtection="1">
      <alignment horizontal="center" vertical="top" wrapText="1"/>
      <protection locked="0"/>
    </xf>
    <xf numFmtId="0" fontId="0" fillId="0" borderId="42" xfId="0" applyBorder="1" applyAlignment="1" applyProtection="1">
      <alignment horizontal="center" vertical="top" wrapText="1"/>
      <protection locked="0"/>
    </xf>
    <xf numFmtId="0" fontId="0" fillId="0" borderId="43" xfId="0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 vertical="top" wrapText="1"/>
      <protection locked="0"/>
    </xf>
    <xf numFmtId="0" fontId="0" fillId="0" borderId="44" xfId="0" applyBorder="1" applyAlignment="1" applyProtection="1">
      <alignment horizontal="center" vertical="top" wrapText="1"/>
      <protection locked="0"/>
    </xf>
    <xf numFmtId="0" fontId="2" fillId="9" borderId="5" xfId="0" applyFont="1" applyFill="1" applyBorder="1" applyAlignment="1" applyProtection="1">
      <alignment horizontal="center" vertical="center"/>
      <protection locked="0"/>
    </xf>
    <xf numFmtId="0" fontId="2" fillId="5" borderId="42" xfId="0" applyFont="1" applyFill="1" applyBorder="1" applyAlignment="1" applyProtection="1">
      <alignment horizontal="center" vertical="top" wrapText="1"/>
      <protection locked="0"/>
    </xf>
    <xf numFmtId="0" fontId="2" fillId="5" borderId="43" xfId="0" applyFont="1" applyFill="1" applyBorder="1" applyAlignment="1" applyProtection="1">
      <alignment horizontal="center" vertical="top" wrapText="1"/>
      <protection locked="0"/>
    </xf>
    <xf numFmtId="0" fontId="2" fillId="5" borderId="44" xfId="0" applyFont="1" applyFill="1" applyBorder="1" applyAlignment="1" applyProtection="1">
      <alignment horizontal="center" vertical="top" wrapText="1"/>
      <protection locked="0"/>
    </xf>
    <xf numFmtId="0" fontId="2" fillId="2" borderId="32" xfId="0" applyFont="1" applyFill="1" applyBorder="1" applyAlignment="1" applyProtection="1">
      <alignment horizontal="left"/>
      <protection locked="0"/>
    </xf>
    <xf numFmtId="0" fontId="2" fillId="2" borderId="33" xfId="0" applyFont="1" applyFill="1" applyBorder="1" applyAlignment="1" applyProtection="1">
      <alignment horizontal="left"/>
      <protection locked="0"/>
    </xf>
    <xf numFmtId="0" fontId="2" fillId="2" borderId="37" xfId="0" applyFont="1" applyFill="1" applyBorder="1" applyAlignment="1" applyProtection="1">
      <alignment horizontal="left"/>
      <protection locked="0"/>
    </xf>
    <xf numFmtId="0" fontId="2" fillId="2" borderId="41" xfId="0" applyFont="1" applyFill="1" applyBorder="1" applyAlignment="1" applyProtection="1">
      <alignment horizontal="left"/>
      <protection locked="0"/>
    </xf>
    <xf numFmtId="9" fontId="2" fillId="9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9" borderId="45" xfId="0" applyFill="1" applyBorder="1" applyProtection="1">
      <protection locked="0"/>
    </xf>
    <xf numFmtId="0" fontId="0" fillId="9" borderId="9" xfId="0" applyFill="1" applyBorder="1" applyProtection="1">
      <protection locked="0"/>
    </xf>
    <xf numFmtId="0" fontId="0" fillId="9" borderId="23" xfId="0" applyFill="1" applyBorder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0" fontId="0" fillId="9" borderId="10" xfId="0" applyFill="1" applyBorder="1" applyAlignment="1" applyProtection="1">
      <alignment horizontal="center"/>
      <protection locked="0"/>
    </xf>
    <xf numFmtId="0" fontId="0" fillId="9" borderId="9" xfId="0" applyFill="1" applyBorder="1" applyAlignment="1" applyProtection="1">
      <alignment horizontal="center"/>
      <protection locked="0"/>
    </xf>
    <xf numFmtId="10" fontId="2" fillId="9" borderId="2" xfId="0" applyNumberFormat="1" applyFont="1" applyFill="1" applyBorder="1" applyAlignment="1" applyProtection="1">
      <alignment horizontal="center" vertical="center" wrapText="1"/>
    </xf>
    <xf numFmtId="10" fontId="2" fillId="9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0" fillId="5" borderId="46" xfId="0" applyFill="1" applyBorder="1" applyAlignment="1" applyProtection="1">
      <alignment horizontal="center"/>
      <protection locked="0"/>
    </xf>
    <xf numFmtId="0" fontId="0" fillId="5" borderId="47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9" borderId="8" xfId="0" applyFont="1" applyFill="1" applyBorder="1" applyAlignment="1" applyProtection="1">
      <alignment horizontal="center" vertical="center" wrapText="1"/>
      <protection locked="0"/>
    </xf>
    <xf numFmtId="0" fontId="2" fillId="9" borderId="5" xfId="0" applyFont="1" applyFill="1" applyBorder="1" applyAlignment="1" applyProtection="1">
      <alignment horizontal="center" wrapText="1"/>
      <protection locked="0"/>
    </xf>
    <xf numFmtId="0" fontId="2" fillId="9" borderId="8" xfId="0" applyFont="1" applyFill="1" applyBorder="1" applyAlignment="1" applyProtection="1">
      <alignment horizontal="center" wrapText="1"/>
      <protection locked="0"/>
    </xf>
    <xf numFmtId="164" fontId="0" fillId="0" borderId="10" xfId="3" applyFont="1" applyBorder="1" applyAlignment="1" applyProtection="1">
      <alignment horizontal="right"/>
      <protection locked="0"/>
    </xf>
    <xf numFmtId="164" fontId="0" fillId="0" borderId="20" xfId="3" applyFont="1" applyBorder="1" applyAlignment="1" applyProtection="1">
      <alignment horizontal="right"/>
      <protection locked="0"/>
    </xf>
    <xf numFmtId="164" fontId="2" fillId="9" borderId="15" xfId="3" applyFont="1" applyFill="1" applyBorder="1" applyAlignment="1" applyProtection="1">
      <alignment horizontal="right"/>
    </xf>
    <xf numFmtId="164" fontId="2" fillId="9" borderId="22" xfId="3" applyFont="1" applyFill="1" applyBorder="1" applyAlignment="1" applyProtection="1">
      <alignment horizontal="right"/>
    </xf>
    <xf numFmtId="0" fontId="2" fillId="9" borderId="48" xfId="0" applyFont="1" applyFill="1" applyBorder="1" applyAlignment="1" applyProtection="1">
      <alignment horizontal="center" vertical="center" wrapText="1"/>
      <protection locked="0"/>
    </xf>
    <xf numFmtId="0" fontId="2" fillId="9" borderId="5" xfId="0" applyFont="1" applyFill="1" applyBorder="1" applyAlignment="1" applyProtection="1">
      <alignment horizontal="center" vertical="center" wrapText="1"/>
      <protection locked="0"/>
    </xf>
    <xf numFmtId="164" fontId="2" fillId="9" borderId="1" xfId="3" applyFont="1" applyFill="1" applyBorder="1" applyAlignment="1" applyProtection="1">
      <alignment horizontal="center"/>
      <protection locked="0"/>
    </xf>
    <xf numFmtId="10" fontId="2" fillId="9" borderId="1" xfId="0" applyNumberFormat="1" applyFont="1" applyFill="1" applyBorder="1" applyAlignment="1" applyProtection="1">
      <alignment horizontal="center"/>
    </xf>
    <xf numFmtId="0" fontId="2" fillId="9" borderId="1" xfId="0" applyFont="1" applyFill="1" applyBorder="1" applyAlignment="1" applyProtection="1">
      <alignment horizontal="center"/>
      <protection locked="0"/>
    </xf>
    <xf numFmtId="9" fontId="2" fillId="11" borderId="2" xfId="0" applyNumberFormat="1" applyFont="1" applyFill="1" applyBorder="1" applyAlignment="1" applyProtection="1">
      <alignment horizontal="center"/>
      <protection locked="0"/>
    </xf>
    <xf numFmtId="9" fontId="2" fillId="11" borderId="3" xfId="0" applyNumberFormat="1" applyFont="1" applyFill="1" applyBorder="1" applyAlignment="1" applyProtection="1">
      <alignment horizontal="center"/>
      <protection locked="0"/>
    </xf>
    <xf numFmtId="9" fontId="2" fillId="11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Protection="1"/>
    <xf numFmtId="4" fontId="2" fillId="0" borderId="2" xfId="0" applyNumberFormat="1" applyFont="1" applyFill="1" applyBorder="1" applyAlignment="1" applyProtection="1">
      <alignment horizontal="left"/>
      <protection locked="0"/>
    </xf>
    <xf numFmtId="4" fontId="2" fillId="0" borderId="3" xfId="0" applyNumberFormat="1" applyFont="1" applyFill="1" applyBorder="1" applyAlignment="1" applyProtection="1">
      <alignment horizontal="left"/>
      <protection locked="0"/>
    </xf>
    <xf numFmtId="4" fontId="2" fillId="0" borderId="4" xfId="0" applyNumberFormat="1" applyFont="1" applyFill="1" applyBorder="1" applyAlignment="1" applyProtection="1">
      <alignment horizontal="left"/>
      <protection locked="0"/>
    </xf>
    <xf numFmtId="164" fontId="4" fillId="0" borderId="2" xfId="3" applyFont="1" applyFill="1" applyBorder="1" applyAlignment="1" applyProtection="1">
      <alignment horizontal="right" vertical="center" wrapText="1"/>
    </xf>
    <xf numFmtId="164" fontId="4" fillId="0" borderId="3" xfId="3" applyFont="1" applyFill="1" applyBorder="1" applyAlignment="1" applyProtection="1">
      <alignment horizontal="right" vertical="center" wrapText="1"/>
    </xf>
    <xf numFmtId="164" fontId="4" fillId="0" borderId="4" xfId="3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horizontal="left" vertical="center" wrapText="1"/>
      <protection locked="0"/>
    </xf>
    <xf numFmtId="0" fontId="4" fillId="0" borderId="3" xfId="0" applyFont="1" applyFill="1" applyBorder="1" applyAlignment="1" applyProtection="1">
      <alignment horizontal="left" vertical="center" wrapText="1"/>
      <protection locked="0"/>
    </xf>
    <xf numFmtId="0" fontId="4" fillId="0" borderId="4" xfId="0" applyFont="1" applyFill="1" applyBorder="1" applyAlignment="1" applyProtection="1">
      <alignment horizontal="left" vertical="center" wrapText="1"/>
      <protection locked="0"/>
    </xf>
    <xf numFmtId="9" fontId="4" fillId="0" borderId="2" xfId="0" applyNumberFormat="1" applyFont="1" applyFill="1" applyBorder="1" applyAlignment="1" applyProtection="1">
      <alignment horizontal="left"/>
      <protection locked="0"/>
    </xf>
    <xf numFmtId="9" fontId="4" fillId="0" borderId="3" xfId="0" applyNumberFormat="1" applyFont="1" applyFill="1" applyBorder="1" applyAlignment="1" applyProtection="1">
      <alignment horizontal="left"/>
      <protection locked="0"/>
    </xf>
    <xf numFmtId="9" fontId="4" fillId="0" borderId="4" xfId="0" applyNumberFormat="1" applyFont="1" applyFill="1" applyBorder="1" applyAlignment="1" applyProtection="1">
      <alignment horizontal="left"/>
      <protection locked="0"/>
    </xf>
    <xf numFmtId="164" fontId="4" fillId="0" borderId="2" xfId="3" applyFont="1" applyFill="1" applyBorder="1" applyAlignment="1" applyProtection="1">
      <alignment horizontal="center"/>
      <protection locked="0"/>
    </xf>
    <xf numFmtId="164" fontId="4" fillId="0" borderId="3" xfId="3" applyFont="1" applyFill="1" applyBorder="1" applyAlignment="1" applyProtection="1">
      <alignment horizontal="center"/>
      <protection locked="0"/>
    </xf>
    <xf numFmtId="164" fontId="4" fillId="0" borderId="4" xfId="3" applyFont="1" applyFill="1" applyBorder="1" applyAlignment="1" applyProtection="1">
      <alignment horizontal="center"/>
      <protection locked="0"/>
    </xf>
    <xf numFmtId="164" fontId="4" fillId="0" borderId="5" xfId="3" applyFont="1" applyFill="1" applyBorder="1" applyAlignment="1" applyProtection="1">
      <alignment horizontal="right"/>
    </xf>
    <xf numFmtId="164" fontId="4" fillId="0" borderId="8" xfId="3" applyFont="1" applyFill="1" applyBorder="1" applyAlignment="1" applyProtection="1">
      <alignment horizontal="right"/>
    </xf>
    <xf numFmtId="9" fontId="2" fillId="9" borderId="1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164" fontId="2" fillId="0" borderId="2" xfId="3" applyFont="1" applyBorder="1" applyAlignment="1" applyProtection="1">
      <alignment horizontal="right"/>
    </xf>
    <xf numFmtId="164" fontId="2" fillId="0" borderId="3" xfId="3" applyFont="1" applyBorder="1" applyAlignment="1" applyProtection="1">
      <alignment horizontal="right"/>
    </xf>
    <xf numFmtId="164" fontId="2" fillId="0" borderId="4" xfId="3" applyFont="1" applyBorder="1" applyAlignment="1" applyProtection="1">
      <alignment horizontal="right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2" fillId="9" borderId="6" xfId="0" applyFont="1" applyFill="1" applyBorder="1" applyAlignment="1" applyProtection="1">
      <alignment horizontal="center" vertical="center" wrapText="1"/>
      <protection locked="0"/>
    </xf>
    <xf numFmtId="0" fontId="2" fillId="9" borderId="21" xfId="0" applyFont="1" applyFill="1" applyBorder="1" applyAlignment="1" applyProtection="1">
      <alignment horizontal="center" vertical="center" wrapText="1"/>
      <protection locked="0"/>
    </xf>
    <xf numFmtId="2" fontId="4" fillId="0" borderId="2" xfId="0" applyNumberFormat="1" applyFont="1" applyBorder="1" applyAlignment="1" applyProtection="1">
      <alignment horizontal="left" vertical="center" wrapText="1"/>
      <protection locked="0"/>
    </xf>
    <xf numFmtId="2" fontId="4" fillId="0" borderId="3" xfId="0" applyNumberFormat="1" applyFont="1" applyBorder="1" applyAlignment="1" applyProtection="1">
      <alignment horizontal="left" vertical="center" wrapText="1"/>
      <protection locked="0"/>
    </xf>
    <xf numFmtId="2" fontId="4" fillId="0" borderId="4" xfId="0" applyNumberFormat="1" applyFont="1" applyBorder="1" applyAlignment="1" applyProtection="1">
      <alignment horizontal="left" vertical="center" wrapText="1"/>
      <protection locked="0"/>
    </xf>
    <xf numFmtId="0" fontId="2" fillId="9" borderId="35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164" fontId="2" fillId="0" borderId="2" xfId="3" applyFont="1" applyFill="1" applyBorder="1" applyAlignment="1" applyProtection="1">
      <alignment horizontal="center"/>
    </xf>
    <xf numFmtId="164" fontId="2" fillId="0" borderId="3" xfId="3" applyFont="1" applyFill="1" applyBorder="1" applyAlignment="1" applyProtection="1">
      <alignment horizontal="center"/>
    </xf>
    <xf numFmtId="164" fontId="2" fillId="0" borderId="4" xfId="3" applyFont="1" applyFill="1" applyBorder="1" applyAlignment="1" applyProtection="1">
      <alignment horizontal="center"/>
    </xf>
    <xf numFmtId="164" fontId="4" fillId="0" borderId="2" xfId="3" applyFont="1" applyFill="1" applyBorder="1" applyAlignment="1" applyProtection="1">
      <alignment horizontal="center"/>
    </xf>
    <xf numFmtId="164" fontId="4" fillId="0" borderId="3" xfId="3" applyFont="1" applyFill="1" applyBorder="1" applyAlignment="1" applyProtection="1">
      <alignment horizontal="center"/>
    </xf>
    <xf numFmtId="164" fontId="4" fillId="0" borderId="4" xfId="3" applyFont="1" applyFill="1" applyBorder="1" applyAlignment="1" applyProtection="1">
      <alignment horizontal="center"/>
    </xf>
    <xf numFmtId="4" fontId="2" fillId="9" borderId="9" xfId="0" applyNumberFormat="1" applyFont="1" applyFill="1" applyBorder="1" applyAlignment="1" applyProtection="1">
      <alignment horizontal="center"/>
      <protection locked="0"/>
    </xf>
    <xf numFmtId="4" fontId="4" fillId="9" borderId="16" xfId="0" applyNumberFormat="1" applyFont="1" applyFill="1" applyBorder="1" applyAlignment="1" applyProtection="1">
      <alignment horizontal="center"/>
      <protection locked="0"/>
    </xf>
    <xf numFmtId="4" fontId="4" fillId="9" borderId="23" xfId="0" applyNumberFormat="1" applyFont="1" applyFill="1" applyBorder="1" applyAlignment="1" applyProtection="1">
      <alignment horizontal="center"/>
      <protection locked="0"/>
    </xf>
    <xf numFmtId="164" fontId="4" fillId="0" borderId="5" xfId="3" applyFont="1" applyBorder="1" applyAlignment="1" applyProtection="1">
      <alignment horizontal="right"/>
    </xf>
    <xf numFmtId="164" fontId="4" fillId="0" borderId="8" xfId="3" applyFont="1" applyBorder="1" applyAlignment="1" applyProtection="1">
      <alignment horizontal="right"/>
    </xf>
    <xf numFmtId="164" fontId="0" fillId="0" borderId="2" xfId="3" applyFont="1" applyBorder="1" applyAlignment="1" applyProtection="1">
      <alignment horizontal="center"/>
      <protection locked="0"/>
    </xf>
    <xf numFmtId="164" fontId="0" fillId="0" borderId="4" xfId="3" applyFont="1" applyBorder="1" applyAlignment="1" applyProtection="1">
      <alignment horizontal="center"/>
      <protection locked="0"/>
    </xf>
    <xf numFmtId="164" fontId="4" fillId="0" borderId="2" xfId="3" applyFont="1" applyFill="1" applyBorder="1" applyAlignment="1" applyProtection="1">
      <alignment horizontal="left"/>
    </xf>
    <xf numFmtId="164" fontId="4" fillId="0" borderId="3" xfId="3" applyFont="1" applyFill="1" applyBorder="1" applyAlignment="1" applyProtection="1">
      <alignment horizontal="left"/>
    </xf>
    <xf numFmtId="164" fontId="4" fillId="0" borderId="4" xfId="3" applyFont="1" applyFill="1" applyBorder="1" applyAlignment="1" applyProtection="1">
      <alignment horizontal="left"/>
    </xf>
    <xf numFmtId="9" fontId="2" fillId="8" borderId="2" xfId="0" applyNumberFormat="1" applyFont="1" applyFill="1" applyBorder="1" applyAlignment="1" applyProtection="1">
      <alignment horizontal="center"/>
      <protection locked="0"/>
    </xf>
    <xf numFmtId="9" fontId="2" fillId="8" borderId="3" xfId="0" applyNumberFormat="1" applyFont="1" applyFill="1" applyBorder="1" applyAlignment="1" applyProtection="1">
      <alignment horizontal="center"/>
      <protection locked="0"/>
    </xf>
    <xf numFmtId="9" fontId="2" fillId="8" borderId="4" xfId="0" applyNumberFormat="1" applyFont="1" applyFill="1" applyBorder="1" applyAlignment="1" applyProtection="1">
      <alignment horizontal="center"/>
      <protection locked="0"/>
    </xf>
    <xf numFmtId="9" fontId="2" fillId="0" borderId="2" xfId="0" applyNumberFormat="1" applyFont="1" applyFill="1" applyBorder="1" applyAlignment="1" applyProtection="1">
      <alignment horizontal="left"/>
      <protection locked="0"/>
    </xf>
    <xf numFmtId="9" fontId="2" fillId="0" borderId="3" xfId="0" applyNumberFormat="1" applyFont="1" applyFill="1" applyBorder="1" applyAlignment="1" applyProtection="1">
      <alignment horizontal="left"/>
      <protection locked="0"/>
    </xf>
    <xf numFmtId="9" fontId="2" fillId="0" borderId="4" xfId="0" applyNumberFormat="1" applyFont="1" applyFill="1" applyBorder="1" applyAlignment="1" applyProtection="1">
      <alignment horizontal="left"/>
      <protection locked="0"/>
    </xf>
    <xf numFmtId="164" fontId="2" fillId="0" borderId="2" xfId="3" applyFont="1" applyFill="1" applyBorder="1" applyAlignment="1" applyProtection="1">
      <alignment horizontal="right"/>
      <protection locked="0"/>
    </xf>
    <xf numFmtId="164" fontId="2" fillId="0" borderId="3" xfId="3" applyFont="1" applyFill="1" applyBorder="1" applyAlignment="1" applyProtection="1">
      <alignment horizontal="right"/>
      <protection locked="0"/>
    </xf>
    <xf numFmtId="164" fontId="2" fillId="0" borderId="4" xfId="3" applyFont="1" applyFill="1" applyBorder="1" applyAlignment="1" applyProtection="1">
      <alignment horizontal="right"/>
      <protection locked="0"/>
    </xf>
    <xf numFmtId="164" fontId="4" fillId="0" borderId="3" xfId="3" applyFont="1" applyFill="1" applyBorder="1" applyAlignment="1" applyProtection="1">
      <alignment horizontal="right"/>
      <protection locked="0"/>
    </xf>
    <xf numFmtId="9" fontId="2" fillId="10" borderId="2" xfId="0" applyNumberFormat="1" applyFont="1" applyFill="1" applyBorder="1" applyAlignment="1" applyProtection="1">
      <alignment horizontal="center"/>
      <protection locked="0"/>
    </xf>
    <xf numFmtId="9" fontId="2" fillId="10" borderId="3" xfId="0" applyNumberFormat="1" applyFont="1" applyFill="1" applyBorder="1" applyAlignment="1" applyProtection="1">
      <alignment horizontal="center"/>
      <protection locked="0"/>
    </xf>
    <xf numFmtId="9" fontId="2" fillId="10" borderId="4" xfId="0" applyNumberFormat="1" applyFont="1" applyFill="1" applyBorder="1" applyAlignment="1" applyProtection="1">
      <alignment horizontal="center"/>
      <protection locked="0"/>
    </xf>
    <xf numFmtId="164" fontId="2" fillId="0" borderId="2" xfId="3" applyFont="1" applyFill="1" applyBorder="1" applyAlignment="1" applyProtection="1">
      <alignment horizontal="center"/>
      <protection locked="0"/>
    </xf>
    <xf numFmtId="164" fontId="2" fillId="0" borderId="3" xfId="3" applyFont="1" applyFill="1" applyBorder="1" applyAlignment="1" applyProtection="1">
      <alignment horizontal="center"/>
      <protection locked="0"/>
    </xf>
    <xf numFmtId="164" fontId="2" fillId="0" borderId="4" xfId="3" applyFont="1" applyFill="1" applyBorder="1" applyAlignment="1" applyProtection="1">
      <alignment horizontal="center"/>
      <protection locked="0"/>
    </xf>
    <xf numFmtId="9" fontId="4" fillId="0" borderId="2" xfId="0" applyNumberFormat="1" applyFont="1" applyFill="1" applyBorder="1" applyAlignment="1" applyProtection="1">
      <alignment horizontal="left" wrapText="1"/>
      <protection locked="0"/>
    </xf>
    <xf numFmtId="9" fontId="4" fillId="0" borderId="3" xfId="0" applyNumberFormat="1" applyFont="1" applyFill="1" applyBorder="1" applyAlignment="1" applyProtection="1">
      <alignment horizontal="left" wrapText="1"/>
      <protection locked="0"/>
    </xf>
    <xf numFmtId="9" fontId="4" fillId="0" borderId="4" xfId="0" applyNumberFormat="1" applyFont="1" applyFill="1" applyBorder="1" applyAlignment="1" applyProtection="1">
      <alignment horizontal="left" wrapText="1"/>
      <protection locked="0"/>
    </xf>
    <xf numFmtId="164" fontId="2" fillId="0" borderId="50" xfId="3" applyFont="1" applyFill="1" applyBorder="1" applyAlignment="1" applyProtection="1">
      <alignment horizontal="right"/>
    </xf>
    <xf numFmtId="164" fontId="2" fillId="0" borderId="38" xfId="3" applyFont="1" applyFill="1" applyBorder="1" applyAlignment="1" applyProtection="1">
      <alignment horizontal="right"/>
    </xf>
    <xf numFmtId="164" fontId="2" fillId="0" borderId="10" xfId="3" applyFont="1" applyFill="1" applyBorder="1" applyAlignment="1" applyProtection="1">
      <alignment horizontal="right"/>
    </xf>
    <xf numFmtId="164" fontId="2" fillId="0" borderId="20" xfId="3" applyFont="1" applyFill="1" applyBorder="1" applyAlignment="1" applyProtection="1">
      <alignment horizontal="right"/>
    </xf>
    <xf numFmtId="0" fontId="4" fillId="0" borderId="8" xfId="0" applyFont="1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3" fillId="0" borderId="0" xfId="0" applyFont="1" applyAlignment="1" applyProtection="1">
      <alignment horizontal="justify" vertical="top" wrapText="1"/>
    </xf>
    <xf numFmtId="0" fontId="0" fillId="0" borderId="5" xfId="0" applyBorder="1" applyAlignment="1" applyProtection="1">
      <alignment horizontal="left"/>
      <protection locked="0"/>
    </xf>
    <xf numFmtId="164" fontId="0" fillId="0" borderId="2" xfId="3" applyFont="1" applyBorder="1" applyAlignment="1" applyProtection="1">
      <alignment horizontal="center" wrapText="1"/>
    </xf>
    <xf numFmtId="164" fontId="0" fillId="0" borderId="4" xfId="3" applyFont="1" applyBorder="1" applyAlignment="1" applyProtection="1">
      <alignment horizontal="center" wrapText="1"/>
    </xf>
    <xf numFmtId="0" fontId="2" fillId="9" borderId="49" xfId="0" applyFont="1" applyFill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 vertical="top" wrapText="1"/>
    </xf>
    <xf numFmtId="0" fontId="10" fillId="0" borderId="25" xfId="0" applyFont="1" applyBorder="1" applyAlignment="1" applyProtection="1">
      <alignment horizontal="center" vertical="top" wrapText="1"/>
    </xf>
    <xf numFmtId="0" fontId="11" fillId="0" borderId="25" xfId="0" applyFont="1" applyBorder="1" applyAlignment="1" applyProtection="1">
      <alignment horizontal="left" wrapText="1"/>
      <protection locked="0"/>
    </xf>
    <xf numFmtId="0" fontId="11" fillId="0" borderId="18" xfId="0" applyFont="1" applyBorder="1" applyAlignment="1" applyProtection="1">
      <alignment horizontal="left" wrapText="1"/>
      <protection locked="0"/>
    </xf>
    <xf numFmtId="0" fontId="11" fillId="0" borderId="19" xfId="0" applyFont="1" applyBorder="1" applyAlignment="1" applyProtection="1">
      <alignment horizontal="left" wrapText="1"/>
      <protection locked="0"/>
    </xf>
    <xf numFmtId="164" fontId="0" fillId="0" borderId="3" xfId="3" applyFont="1" applyBorder="1" applyAlignment="1" applyProtection="1">
      <alignment horizontal="center"/>
      <protection locked="0"/>
    </xf>
    <xf numFmtId="164" fontId="4" fillId="7" borderId="2" xfId="3" applyFont="1" applyFill="1" applyBorder="1" applyAlignment="1" applyProtection="1">
      <alignment horizontal="center"/>
      <protection locked="0"/>
    </xf>
    <xf numFmtId="164" fontId="4" fillId="7" borderId="3" xfId="3" applyFont="1" applyFill="1" applyBorder="1" applyAlignment="1" applyProtection="1">
      <alignment horizontal="center"/>
      <protection locked="0"/>
    </xf>
    <xf numFmtId="164" fontId="4" fillId="7" borderId="4" xfId="3" applyFont="1" applyFill="1" applyBorder="1" applyAlignment="1" applyProtection="1">
      <alignment horizontal="center"/>
      <protection locked="0"/>
    </xf>
    <xf numFmtId="9" fontId="2" fillId="5" borderId="32" xfId="0" applyNumberFormat="1" applyFont="1" applyFill="1" applyBorder="1" applyAlignment="1" applyProtection="1">
      <alignment horizontal="center"/>
      <protection locked="0"/>
    </xf>
    <xf numFmtId="9" fontId="2" fillId="5" borderId="33" xfId="0" applyNumberFormat="1" applyFont="1" applyFill="1" applyBorder="1" applyAlignment="1" applyProtection="1">
      <alignment horizontal="center"/>
      <protection locked="0"/>
    </xf>
    <xf numFmtId="9" fontId="2" fillId="5" borderId="41" xfId="0" applyNumberFormat="1" applyFont="1" applyFill="1" applyBorder="1" applyAlignment="1" applyProtection="1">
      <alignment horizontal="center"/>
      <protection locked="0"/>
    </xf>
    <xf numFmtId="9" fontId="2" fillId="9" borderId="8" xfId="0" applyNumberFormat="1" applyFont="1" applyFill="1" applyBorder="1" applyAlignment="1" applyProtection="1">
      <alignment horizontal="center"/>
      <protection locked="0"/>
    </xf>
    <xf numFmtId="9" fontId="9" fillId="0" borderId="40" xfId="0" applyNumberFormat="1" applyFont="1" applyFill="1" applyBorder="1" applyAlignment="1" applyProtection="1">
      <alignment horizontal="left" wrapText="1"/>
      <protection locked="0"/>
    </xf>
    <xf numFmtId="0" fontId="3" fillId="10" borderId="14" xfId="0" applyFont="1" applyFill="1" applyBorder="1" applyAlignment="1" applyProtection="1">
      <alignment horizontal="center" vertical="center" wrapText="1"/>
      <protection locked="0"/>
    </xf>
    <xf numFmtId="0" fontId="3" fillId="10" borderId="11" xfId="0" applyFont="1" applyFill="1" applyBorder="1" applyAlignment="1" applyProtection="1">
      <alignment horizontal="center" vertical="center" wrapText="1"/>
      <protection locked="0"/>
    </xf>
    <xf numFmtId="164" fontId="0" fillId="0" borderId="2" xfId="3" applyFont="1" applyFill="1" applyBorder="1" applyAlignment="1" applyProtection="1">
      <alignment horizontal="right"/>
    </xf>
    <xf numFmtId="164" fontId="0" fillId="0" borderId="4" xfId="3" applyFont="1" applyFill="1" applyBorder="1" applyAlignment="1" applyProtection="1">
      <alignment horizontal="right"/>
    </xf>
    <xf numFmtId="164" fontId="6" fillId="7" borderId="5" xfId="3" applyFont="1" applyFill="1" applyBorder="1" applyAlignment="1" applyProtection="1">
      <alignment horizontal="right"/>
      <protection locked="0"/>
    </xf>
    <xf numFmtId="164" fontId="13" fillId="0" borderId="2" xfId="3" applyFont="1" applyBorder="1" applyAlignment="1" applyProtection="1">
      <alignment horizontal="right"/>
    </xf>
    <xf numFmtId="164" fontId="13" fillId="0" borderId="4" xfId="3" applyFont="1" applyBorder="1" applyAlignment="1" applyProtection="1">
      <alignment horizontal="right"/>
    </xf>
    <xf numFmtId="0" fontId="15" fillId="5" borderId="14" xfId="0" applyFont="1" applyFill="1" applyBorder="1" applyAlignment="1" applyProtection="1">
      <alignment horizontal="center" vertical="center" wrapText="1"/>
      <protection locked="0"/>
    </xf>
    <xf numFmtId="0" fontId="15" fillId="5" borderId="28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38" fillId="0" borderId="18" xfId="0" applyFont="1" applyBorder="1" applyAlignment="1" applyProtection="1">
      <alignment horizontal="left" vertical="center" wrapText="1"/>
      <protection locked="0"/>
    </xf>
    <xf numFmtId="0" fontId="38" fillId="0" borderId="19" xfId="0" applyFont="1" applyBorder="1" applyAlignment="1" applyProtection="1">
      <alignment horizontal="left" vertical="center" wrapText="1"/>
      <protection locked="0"/>
    </xf>
    <xf numFmtId="0" fontId="3" fillId="0" borderId="27" xfId="0" applyFont="1" applyFill="1" applyBorder="1" applyAlignment="1" applyProtection="1">
      <alignment horizontal="center"/>
      <protection locked="0"/>
    </xf>
    <xf numFmtId="0" fontId="3" fillId="0" borderId="31" xfId="0" applyFont="1" applyFill="1" applyBorder="1" applyAlignment="1" applyProtection="1">
      <alignment horizontal="center"/>
      <protection locked="0"/>
    </xf>
    <xf numFmtId="0" fontId="31" fillId="12" borderId="51" xfId="0" applyFont="1" applyFill="1" applyBorder="1" applyAlignment="1" applyProtection="1">
      <alignment horizontal="center" vertical="center" textRotation="90" wrapText="1"/>
      <protection locked="0"/>
    </xf>
    <xf numFmtId="0" fontId="31" fillId="12" borderId="52" xfId="0" applyFont="1" applyFill="1" applyBorder="1" applyAlignment="1" applyProtection="1">
      <alignment horizontal="center" vertical="center" textRotation="90" wrapText="1"/>
      <protection locked="0"/>
    </xf>
    <xf numFmtId="0" fontId="31" fillId="12" borderId="53" xfId="0" applyFont="1" applyFill="1" applyBorder="1" applyAlignment="1" applyProtection="1">
      <alignment horizontal="center" vertical="center" textRotation="90" wrapText="1"/>
      <protection locked="0"/>
    </xf>
    <xf numFmtId="0" fontId="32" fillId="12" borderId="52" xfId="0" applyFont="1" applyFill="1" applyBorder="1" applyAlignment="1" applyProtection="1">
      <alignment horizontal="center" vertical="center" textRotation="90" wrapText="1"/>
      <protection locked="0"/>
    </xf>
    <xf numFmtId="0" fontId="32" fillId="12" borderId="53" xfId="0" applyFont="1" applyFill="1" applyBorder="1" applyAlignment="1" applyProtection="1">
      <alignment horizontal="center" vertical="center" textRotation="90" wrapText="1"/>
      <protection locked="0"/>
    </xf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 /><Relationship Id="rId2" Type="http://schemas.openxmlformats.org/officeDocument/2006/relationships/image" Target="../media/image1.jpeg" /><Relationship Id="rId1" Type="http://schemas.openxmlformats.org/officeDocument/2006/relationships/hyperlink" Target="http://www.unicon.com.br/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171</xdr:row>
      <xdr:rowOff>114300</xdr:rowOff>
    </xdr:from>
    <xdr:to>
      <xdr:col>3</xdr:col>
      <xdr:colOff>28575</xdr:colOff>
      <xdr:row>174</xdr:row>
      <xdr:rowOff>76200</xdr:rowOff>
    </xdr:to>
    <xdr:pic>
      <xdr:nvPicPr>
        <xdr:cNvPr id="1446" name="Imagem 1" descr="Logo Unicon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A90CD-5311-4FB1-A9A2-75641A6C8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8622625"/>
          <a:ext cx="11049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0</xdr:row>
      <xdr:rowOff>76200</xdr:rowOff>
    </xdr:from>
    <xdr:to>
      <xdr:col>2</xdr:col>
      <xdr:colOff>1228725</xdr:colOff>
      <xdr:row>1</xdr:row>
      <xdr:rowOff>228600</xdr:rowOff>
    </xdr:to>
    <xdr:pic>
      <xdr:nvPicPr>
        <xdr:cNvPr id="1447" name="Imagem 1" descr="Logo Unicon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653FE-AA5F-4756-9F59-E07A72932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76200"/>
          <a:ext cx="11049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 /><Relationship Id="rId2" Type="http://schemas.openxmlformats.org/officeDocument/2006/relationships/hyperlink" Target="http://www.unicon.com.br/" TargetMode="External" /><Relationship Id="rId1" Type="http://schemas.openxmlformats.org/officeDocument/2006/relationships/printerSettings" Target="../printerSettings/printerSettings1.bin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"/>
  <sheetViews>
    <sheetView showGridLines="0" tabSelected="1" topLeftCell="A193" zoomScale="130" zoomScaleNormal="130" zoomScaleSheetLayoutView="100" workbookViewId="0" xr3:uid="{AEA406A1-0E4B-5B11-9CD5-51D6E497D94C}">
      <selection activeCell="E202" sqref="E202"/>
    </sheetView>
  </sheetViews>
  <sheetFormatPr defaultColWidth="9.16796875" defaultRowHeight="12.75" x14ac:dyDescent="0.15"/>
  <cols>
    <col min="1" max="1" width="2.55859375" style="1" customWidth="1"/>
    <col min="2" max="2" width="12.5390625" style="1" customWidth="1"/>
    <col min="3" max="3" width="21.171875" style="1" customWidth="1"/>
    <col min="4" max="4" width="6.47265625" style="1" customWidth="1"/>
    <col min="5" max="5" width="17.80078125" style="1" customWidth="1"/>
    <col min="6" max="6" width="6.3359375" style="1" bestFit="1" customWidth="1"/>
    <col min="7" max="7" width="26.4296875" style="1" customWidth="1"/>
    <col min="8" max="8" width="8.76171875" style="1" customWidth="1"/>
    <col min="9" max="9" width="5.93359375" style="1" hidden="1" customWidth="1"/>
    <col min="10" max="10" width="13.34765625" style="1" customWidth="1"/>
    <col min="11" max="11" width="14.83203125" style="1" customWidth="1"/>
    <col min="12" max="12" width="12.5390625" style="1" customWidth="1"/>
    <col min="13" max="16384" width="9.16796875" style="1"/>
  </cols>
  <sheetData>
    <row r="1" spans="1:12" ht="22.5" customHeight="1" x14ac:dyDescent="0.15">
      <c r="C1" s="532"/>
      <c r="D1" s="519" t="s">
        <v>191</v>
      </c>
      <c r="E1" s="519"/>
      <c r="F1" s="519"/>
      <c r="G1" s="519"/>
      <c r="H1" s="519"/>
      <c r="I1" s="519"/>
      <c r="J1" s="519"/>
      <c r="K1" s="526" t="s">
        <v>188</v>
      </c>
      <c r="L1" s="527"/>
    </row>
    <row r="2" spans="1:12" ht="21" customHeight="1" thickBot="1" x14ac:dyDescent="0.2">
      <c r="C2" s="533"/>
      <c r="D2" s="520"/>
      <c r="E2" s="520"/>
      <c r="F2" s="520"/>
      <c r="G2" s="520"/>
      <c r="H2" s="520"/>
      <c r="I2" s="520"/>
      <c r="J2" s="520"/>
      <c r="K2" s="528"/>
      <c r="L2" s="529"/>
    </row>
    <row r="3" spans="1:12" ht="22.5" customHeight="1" thickBot="1" x14ac:dyDescent="0.2">
      <c r="B3" s="2"/>
      <c r="C3" s="200" t="s">
        <v>158</v>
      </c>
      <c r="D3" s="530" t="s">
        <v>149</v>
      </c>
      <c r="E3" s="530"/>
      <c r="F3" s="530"/>
      <c r="G3" s="530"/>
      <c r="H3" s="531"/>
      <c r="I3" s="170"/>
      <c r="J3" s="196" t="s">
        <v>130</v>
      </c>
      <c r="K3" s="197"/>
      <c r="L3" s="198"/>
    </row>
    <row r="4" spans="1:12" ht="16.5" customHeight="1" thickBot="1" x14ac:dyDescent="0.2">
      <c r="C4" s="372" t="s">
        <v>0</v>
      </c>
      <c r="D4" s="373"/>
      <c r="E4" s="373"/>
      <c r="F4" s="373"/>
      <c r="G4" s="373"/>
      <c r="H4" s="373"/>
      <c r="I4" s="363"/>
      <c r="J4" s="373"/>
      <c r="K4" s="374"/>
      <c r="L4" s="195" t="s">
        <v>60</v>
      </c>
    </row>
    <row r="5" spans="1:12" x14ac:dyDescent="0.15">
      <c r="A5" s="534" t="s">
        <v>179</v>
      </c>
      <c r="B5" s="229" t="s">
        <v>165</v>
      </c>
      <c r="C5" s="377" t="s">
        <v>1</v>
      </c>
      <c r="D5" s="378"/>
      <c r="E5" s="110" t="s">
        <v>2</v>
      </c>
      <c r="F5" s="110" t="s">
        <v>3</v>
      </c>
      <c r="G5" s="110" t="s">
        <v>4</v>
      </c>
      <c r="H5" s="350" t="s">
        <v>113</v>
      </c>
      <c r="I5" s="351"/>
      <c r="J5" s="351"/>
      <c r="K5" s="352"/>
      <c r="L5" s="111" t="s">
        <v>61</v>
      </c>
    </row>
    <row r="6" spans="1:12" x14ac:dyDescent="0.15">
      <c r="A6" s="535"/>
      <c r="B6" s="225"/>
      <c r="C6" s="255"/>
      <c r="D6" s="256"/>
      <c r="E6" s="69"/>
      <c r="F6" s="102">
        <v>0.17</v>
      </c>
      <c r="G6" s="71">
        <f>ROUND(E6*F6,2)+L6</f>
        <v>0</v>
      </c>
      <c r="H6" s="379" t="s">
        <v>52</v>
      </c>
      <c r="I6" s="371"/>
      <c r="J6" s="371"/>
      <c r="K6" s="371"/>
      <c r="L6" s="69"/>
    </row>
    <row r="7" spans="1:12" x14ac:dyDescent="0.15">
      <c r="A7" s="535"/>
      <c r="B7" s="225"/>
      <c r="C7" s="470"/>
      <c r="D7" s="471"/>
      <c r="E7" s="69"/>
      <c r="F7" s="102">
        <v>0.25</v>
      </c>
      <c r="G7" s="71">
        <f t="shared" ref="G7:G15" si="0">ROUND(E7*F7,2)+L7</f>
        <v>0</v>
      </c>
      <c r="H7" s="261" t="s">
        <v>52</v>
      </c>
      <c r="I7" s="375"/>
      <c r="J7" s="375"/>
      <c r="K7" s="376"/>
      <c r="L7" s="69"/>
    </row>
    <row r="8" spans="1:12" x14ac:dyDescent="0.15">
      <c r="A8" s="535"/>
      <c r="B8" s="225"/>
      <c r="C8" s="309"/>
      <c r="D8" s="309"/>
      <c r="E8" s="69"/>
      <c r="F8" s="4"/>
      <c r="G8" s="71">
        <f t="shared" si="0"/>
        <v>0</v>
      </c>
      <c r="H8" s="242" t="s">
        <v>65</v>
      </c>
      <c r="I8" s="281"/>
      <c r="J8" s="281"/>
      <c r="K8" s="243"/>
      <c r="L8" s="69"/>
    </row>
    <row r="9" spans="1:12" x14ac:dyDescent="0.15">
      <c r="A9" s="535"/>
      <c r="B9" s="225"/>
      <c r="C9" s="255"/>
      <c r="D9" s="256"/>
      <c r="E9" s="69"/>
      <c r="F9" s="102">
        <v>7.0000000000000007E-2</v>
      </c>
      <c r="G9" s="71">
        <f>ROUND(E9*F9,2)+L9</f>
        <v>0</v>
      </c>
      <c r="H9" s="371" t="s">
        <v>51</v>
      </c>
      <c r="I9" s="371"/>
      <c r="J9" s="371"/>
      <c r="K9" s="371"/>
      <c r="L9" s="69"/>
    </row>
    <row r="10" spans="1:12" x14ac:dyDescent="0.15">
      <c r="A10" s="535"/>
      <c r="B10" s="225"/>
      <c r="C10" s="255"/>
      <c r="D10" s="256"/>
      <c r="E10" s="69"/>
      <c r="F10" s="102">
        <v>0.12</v>
      </c>
      <c r="G10" s="71">
        <f t="shared" si="0"/>
        <v>0</v>
      </c>
      <c r="H10" s="6" t="s">
        <v>51</v>
      </c>
      <c r="I10" s="7"/>
      <c r="J10" s="7"/>
      <c r="K10" s="8"/>
      <c r="L10" s="69"/>
    </row>
    <row r="11" spans="1:12" x14ac:dyDescent="0.15">
      <c r="A11" s="535"/>
      <c r="B11" s="225"/>
      <c r="C11" s="255"/>
      <c r="D11" s="256"/>
      <c r="E11" s="69"/>
      <c r="F11" s="4"/>
      <c r="G11" s="71">
        <f t="shared" si="0"/>
        <v>0</v>
      </c>
      <c r="H11" s="242" t="s">
        <v>58</v>
      </c>
      <c r="I11" s="281"/>
      <c r="J11" s="281"/>
      <c r="K11" s="243"/>
      <c r="L11" s="69"/>
    </row>
    <row r="12" spans="1:12" x14ac:dyDescent="0.15">
      <c r="A12" s="535"/>
      <c r="B12" s="225"/>
      <c r="C12" s="255"/>
      <c r="D12" s="256"/>
      <c r="E12" s="69"/>
      <c r="F12" s="102">
        <v>0.12</v>
      </c>
      <c r="G12" s="71">
        <f t="shared" si="0"/>
        <v>0</v>
      </c>
      <c r="H12" s="242" t="s">
        <v>46</v>
      </c>
      <c r="I12" s="281"/>
      <c r="J12" s="281"/>
      <c r="K12" s="243"/>
      <c r="L12" s="69"/>
    </row>
    <row r="13" spans="1:12" x14ac:dyDescent="0.15">
      <c r="A13" s="535"/>
      <c r="B13" s="225"/>
      <c r="C13" s="255"/>
      <c r="D13" s="256"/>
      <c r="E13" s="69"/>
      <c r="F13" s="102">
        <v>0.17</v>
      </c>
      <c r="G13" s="71">
        <f t="shared" si="0"/>
        <v>0</v>
      </c>
      <c r="H13" s="297" t="s">
        <v>46</v>
      </c>
      <c r="I13" s="237"/>
      <c r="J13" s="237"/>
      <c r="K13" s="238"/>
      <c r="L13" s="69"/>
    </row>
    <row r="14" spans="1:12" x14ac:dyDescent="0.15">
      <c r="A14" s="535"/>
      <c r="B14" s="225"/>
      <c r="C14" s="244"/>
      <c r="D14" s="245"/>
      <c r="E14" s="69"/>
      <c r="F14" s="4"/>
      <c r="G14" s="71">
        <f t="shared" si="0"/>
        <v>0</v>
      </c>
      <c r="H14" s="242"/>
      <c r="I14" s="281"/>
      <c r="J14" s="281"/>
      <c r="K14" s="243"/>
      <c r="L14" s="69"/>
    </row>
    <row r="15" spans="1:12" x14ac:dyDescent="0.15">
      <c r="A15" s="535"/>
      <c r="B15" s="225"/>
      <c r="C15" s="244"/>
      <c r="D15" s="245"/>
      <c r="E15" s="69"/>
      <c r="F15" s="4"/>
      <c r="G15" s="71">
        <f t="shared" si="0"/>
        <v>0</v>
      </c>
      <c r="H15" s="242"/>
      <c r="I15" s="281"/>
      <c r="J15" s="281"/>
      <c r="K15" s="243"/>
      <c r="L15" s="69"/>
    </row>
    <row r="16" spans="1:12" x14ac:dyDescent="0.15">
      <c r="A16" s="535"/>
      <c r="B16" s="225"/>
      <c r="C16" s="244"/>
      <c r="D16" s="245"/>
      <c r="E16" s="69"/>
      <c r="F16" s="4"/>
      <c r="G16" s="71">
        <f>ROUND(E16*F16,2)+L16</f>
        <v>0</v>
      </c>
      <c r="H16" s="235" t="s">
        <v>111</v>
      </c>
      <c r="I16" s="235"/>
      <c r="J16" s="235"/>
      <c r="K16" s="235"/>
      <c r="L16" s="69"/>
    </row>
    <row r="17" spans="1:12" x14ac:dyDescent="0.15">
      <c r="A17" s="535"/>
      <c r="B17" s="225"/>
      <c r="C17" s="244"/>
      <c r="D17" s="245"/>
      <c r="E17" s="69"/>
      <c r="F17" s="4"/>
      <c r="G17" s="71">
        <f>ROUND(E17*F17,2)+L17</f>
        <v>0</v>
      </c>
      <c r="H17" s="235" t="s">
        <v>111</v>
      </c>
      <c r="I17" s="235"/>
      <c r="J17" s="235"/>
      <c r="K17" s="235"/>
      <c r="L17" s="69"/>
    </row>
    <row r="18" spans="1:12" x14ac:dyDescent="0.15">
      <c r="A18" s="535"/>
      <c r="B18" s="230"/>
      <c r="C18" s="257">
        <f>SUM(C6:D17)</f>
        <v>0</v>
      </c>
      <c r="D18" s="258"/>
      <c r="E18" s="112">
        <f>SUM(E6:E17)</f>
        <v>0</v>
      </c>
      <c r="F18" s="114"/>
      <c r="G18" s="112">
        <f>SUM(G6:G17)</f>
        <v>0</v>
      </c>
      <c r="H18" s="354" t="s">
        <v>122</v>
      </c>
      <c r="I18" s="354"/>
      <c r="J18" s="354"/>
      <c r="K18" s="354"/>
      <c r="L18" s="113"/>
    </row>
    <row r="19" spans="1:12" x14ac:dyDescent="0.15">
      <c r="A19" s="535"/>
      <c r="B19" s="225"/>
      <c r="C19" s="251"/>
      <c r="D19" s="252"/>
      <c r="E19" s="163"/>
      <c r="F19" s="162">
        <v>0.04</v>
      </c>
      <c r="G19" s="71">
        <f>ROUND(E19*F19,2)+L19</f>
        <v>0</v>
      </c>
      <c r="H19" s="355" t="s">
        <v>172</v>
      </c>
      <c r="I19" s="356"/>
      <c r="J19" s="356"/>
      <c r="K19" s="357"/>
      <c r="L19" s="161"/>
    </row>
    <row r="20" spans="1:12" x14ac:dyDescent="0.15">
      <c r="A20" s="535"/>
      <c r="B20" s="225"/>
      <c r="C20" s="251"/>
      <c r="D20" s="252"/>
      <c r="E20" s="163"/>
      <c r="F20" s="162">
        <v>0.17</v>
      </c>
      <c r="G20" s="71">
        <f>ROUND(E20*F20,2)+L20</f>
        <v>0</v>
      </c>
      <c r="H20" s="355" t="s">
        <v>173</v>
      </c>
      <c r="I20" s="356"/>
      <c r="J20" s="356"/>
      <c r="K20" s="357"/>
      <c r="L20" s="161"/>
    </row>
    <row r="21" spans="1:12" x14ac:dyDescent="0.15">
      <c r="A21" s="535"/>
      <c r="B21" s="225"/>
      <c r="C21" s="251"/>
      <c r="D21" s="252"/>
      <c r="E21" s="163"/>
      <c r="F21" s="164" t="e">
        <f>G21/E21</f>
        <v>#DIV/0!</v>
      </c>
      <c r="G21" s="69"/>
      <c r="H21" s="355" t="s">
        <v>127</v>
      </c>
      <c r="I21" s="356"/>
      <c r="J21" s="356"/>
      <c r="K21" s="357"/>
      <c r="L21" s="161"/>
    </row>
    <row r="22" spans="1:12" x14ac:dyDescent="0.15">
      <c r="A22" s="535"/>
      <c r="B22" s="225"/>
      <c r="C22" s="251"/>
      <c r="D22" s="252"/>
      <c r="E22" s="163"/>
      <c r="F22" s="165"/>
      <c r="G22" s="69">
        <f>ROUND(E22*F22,2)+L22</f>
        <v>0</v>
      </c>
      <c r="H22" s="355"/>
      <c r="I22" s="356"/>
      <c r="J22" s="356"/>
      <c r="K22" s="357"/>
      <c r="L22" s="161"/>
    </row>
    <row r="23" spans="1:12" x14ac:dyDescent="0.15">
      <c r="A23" s="535"/>
      <c r="B23" s="225"/>
      <c r="C23" s="259"/>
      <c r="D23" s="260"/>
      <c r="E23" s="163"/>
      <c r="F23" s="165"/>
      <c r="G23" s="71">
        <f>ROUND(E23*F23,2)+L23</f>
        <v>0</v>
      </c>
      <c r="H23" s="368" t="s">
        <v>174</v>
      </c>
      <c r="I23" s="369"/>
      <c r="J23" s="369"/>
      <c r="K23" s="370"/>
      <c r="L23" s="161"/>
    </row>
    <row r="24" spans="1:12" x14ac:dyDescent="0.15">
      <c r="A24" s="535"/>
      <c r="B24" s="230"/>
      <c r="C24" s="327">
        <f>C19+C20+C21+C22+C23</f>
        <v>0</v>
      </c>
      <c r="D24" s="328"/>
      <c r="E24" s="112">
        <f>E19+E20+E21+E22+E23</f>
        <v>0</v>
      </c>
      <c r="F24" s="114"/>
      <c r="G24" s="112">
        <f>G19+G20+G21+G22+G23</f>
        <v>0</v>
      </c>
      <c r="H24" s="354" t="s">
        <v>123</v>
      </c>
      <c r="I24" s="354"/>
      <c r="J24" s="354"/>
      <c r="K24" s="354"/>
      <c r="L24" s="113"/>
    </row>
    <row r="25" spans="1:12" ht="13.5" thickBot="1" x14ac:dyDescent="0.2">
      <c r="A25" s="536"/>
      <c r="B25" s="230"/>
      <c r="C25" s="327">
        <f>C18+C24</f>
        <v>0</v>
      </c>
      <c r="D25" s="328"/>
      <c r="E25" s="112">
        <f>E18+E24</f>
        <v>0</v>
      </c>
      <c r="F25" s="114"/>
      <c r="G25" s="112">
        <f>G18+G24</f>
        <v>0</v>
      </c>
      <c r="H25" s="354" t="s">
        <v>124</v>
      </c>
      <c r="I25" s="354"/>
      <c r="J25" s="354"/>
      <c r="K25" s="354"/>
      <c r="L25" s="113"/>
    </row>
    <row r="26" spans="1:12" x14ac:dyDescent="0.15">
      <c r="A26" s="534" t="s">
        <v>180</v>
      </c>
      <c r="B26" s="225"/>
      <c r="C26" s="255"/>
      <c r="D26" s="256"/>
      <c r="E26" s="69"/>
      <c r="F26" s="4">
        <v>0.17</v>
      </c>
      <c r="G26" s="71">
        <f>ROUND(E26*F26,2)+L26</f>
        <v>0</v>
      </c>
      <c r="H26" s="273" t="s">
        <v>184</v>
      </c>
      <c r="I26" s="235"/>
      <c r="J26" s="235"/>
      <c r="K26" s="235"/>
      <c r="L26" s="69"/>
    </row>
    <row r="27" spans="1:12" x14ac:dyDescent="0.15">
      <c r="A27" s="537"/>
      <c r="B27" s="225"/>
      <c r="C27" s="255"/>
      <c r="D27" s="256"/>
      <c r="E27" s="69"/>
      <c r="F27" s="4"/>
      <c r="G27" s="71">
        <f>ROUND(E27*F27,2)+L27</f>
        <v>0</v>
      </c>
      <c r="H27" s="261"/>
      <c r="I27" s="281"/>
      <c r="J27" s="281"/>
      <c r="K27" s="243"/>
      <c r="L27" s="69"/>
    </row>
    <row r="28" spans="1:12" x14ac:dyDescent="0.15">
      <c r="A28" s="537"/>
      <c r="B28" s="225"/>
      <c r="C28" s="244"/>
      <c r="D28" s="245"/>
      <c r="E28" s="70"/>
      <c r="F28" s="4"/>
      <c r="G28" s="71">
        <f>ROUND(E28*F28,2)+L28</f>
        <v>0</v>
      </c>
      <c r="H28" s="261"/>
      <c r="I28" s="281"/>
      <c r="J28" s="281"/>
      <c r="K28" s="243"/>
      <c r="L28" s="69"/>
    </row>
    <row r="29" spans="1:12" x14ac:dyDescent="0.15">
      <c r="A29" s="537"/>
      <c r="B29" s="225"/>
      <c r="C29" s="253"/>
      <c r="D29" s="254"/>
      <c r="E29" s="70"/>
      <c r="F29" s="4"/>
      <c r="G29" s="71">
        <f>ROUND(E29*F29,2)+L29</f>
        <v>0</v>
      </c>
      <c r="H29" s="358"/>
      <c r="I29" s="359"/>
      <c r="J29" s="359"/>
      <c r="K29" s="360"/>
      <c r="L29" s="69"/>
    </row>
    <row r="30" spans="1:12" ht="13.35" customHeight="1" x14ac:dyDescent="0.15">
      <c r="A30" s="537"/>
      <c r="B30" s="225"/>
      <c r="C30" s="244"/>
      <c r="D30" s="245"/>
      <c r="E30" s="69"/>
      <c r="F30" s="4"/>
      <c r="G30" s="71">
        <f>ROUND(E30*F30,2)+L30</f>
        <v>0</v>
      </c>
      <c r="H30" s="236" t="s">
        <v>182</v>
      </c>
      <c r="I30" s="237"/>
      <c r="J30" s="237"/>
      <c r="K30" s="238"/>
      <c r="L30" s="69"/>
    </row>
    <row r="31" spans="1:12" ht="13.5" thickBot="1" x14ac:dyDescent="0.2">
      <c r="A31" s="538"/>
      <c r="B31" s="230"/>
      <c r="C31" s="257">
        <f>C25+C26+C27+C28+C29+C30</f>
        <v>0</v>
      </c>
      <c r="D31" s="258"/>
      <c r="E31" s="115">
        <f>E25+E26+E27+E28+E29+E30</f>
        <v>0</v>
      </c>
      <c r="F31" s="122"/>
      <c r="G31" s="115">
        <f>G25+G26+G27++G28+G29+G30</f>
        <v>0</v>
      </c>
      <c r="H31" s="350" t="s">
        <v>18</v>
      </c>
      <c r="I31" s="351"/>
      <c r="J31" s="351"/>
      <c r="K31" s="352"/>
      <c r="L31" s="113"/>
    </row>
    <row r="32" spans="1:12" x14ac:dyDescent="0.15">
      <c r="B32" s="219"/>
      <c r="C32" s="218"/>
    </row>
    <row r="33" spans="1:12" ht="13.5" thickBot="1" x14ac:dyDescent="0.2">
      <c r="B33" s="219"/>
      <c r="C33" s="362" t="s">
        <v>6</v>
      </c>
      <c r="D33" s="363"/>
      <c r="E33" s="363"/>
      <c r="F33" s="363"/>
      <c r="G33" s="363"/>
      <c r="H33" s="363"/>
      <c r="I33" s="363"/>
      <c r="J33" s="363"/>
      <c r="K33" s="12" t="s">
        <v>62</v>
      </c>
      <c r="L33" s="119" t="s">
        <v>62</v>
      </c>
    </row>
    <row r="34" spans="1:12" ht="13.5" thickBot="1" x14ac:dyDescent="0.2">
      <c r="A34" s="534" t="s">
        <v>177</v>
      </c>
      <c r="B34" s="228" t="s">
        <v>165</v>
      </c>
      <c r="C34" s="207" t="s">
        <v>7</v>
      </c>
      <c r="D34" s="121" t="s">
        <v>9</v>
      </c>
      <c r="E34" s="121" t="s">
        <v>1</v>
      </c>
      <c r="F34" s="386" t="s">
        <v>10</v>
      </c>
      <c r="G34" s="386"/>
      <c r="H34" s="121" t="s">
        <v>32</v>
      </c>
      <c r="I34" s="121" t="s">
        <v>3</v>
      </c>
      <c r="J34" s="159" t="s">
        <v>11</v>
      </c>
      <c r="K34" s="121" t="s">
        <v>63</v>
      </c>
      <c r="L34" s="121" t="s">
        <v>64</v>
      </c>
    </row>
    <row r="35" spans="1:12" ht="15" customHeight="1" x14ac:dyDescent="0.15">
      <c r="A35" s="535"/>
      <c r="B35" s="225"/>
      <c r="C35" s="223" t="s">
        <v>167</v>
      </c>
      <c r="D35" s="138" t="s">
        <v>8</v>
      </c>
      <c r="E35" s="139"/>
      <c r="F35" s="366">
        <f>E35*(7/17)+K35</f>
        <v>0</v>
      </c>
      <c r="G35" s="367"/>
      <c r="H35" s="140">
        <v>0.17</v>
      </c>
      <c r="I35" s="141">
        <v>0.17</v>
      </c>
      <c r="J35" s="142">
        <f t="shared" ref="J35:J63" si="1">ROUND(F35*H35,2)+L35</f>
        <v>0</v>
      </c>
      <c r="K35" s="143"/>
      <c r="L35" s="139"/>
    </row>
    <row r="36" spans="1:12" x14ac:dyDescent="0.15">
      <c r="A36" s="535"/>
      <c r="B36" s="225"/>
      <c r="C36" s="224" t="s">
        <v>168</v>
      </c>
      <c r="D36" s="160" t="s">
        <v>8</v>
      </c>
      <c r="E36" s="133"/>
      <c r="F36" s="265">
        <f>E36*(7/25)+K36</f>
        <v>0</v>
      </c>
      <c r="G36" s="266"/>
      <c r="H36" s="134">
        <v>0.25</v>
      </c>
      <c r="I36" s="135">
        <v>0.25</v>
      </c>
      <c r="J36" s="136">
        <f t="shared" si="1"/>
        <v>0</v>
      </c>
      <c r="K36" s="137"/>
      <c r="L36" s="133"/>
    </row>
    <row r="37" spans="1:12" x14ac:dyDescent="0.15">
      <c r="A37" s="535"/>
      <c r="B37" s="225"/>
      <c r="C37" s="210" t="s">
        <v>169</v>
      </c>
      <c r="D37" s="132" t="s">
        <v>8</v>
      </c>
      <c r="E37" s="69"/>
      <c r="F37" s="248">
        <f>E37*(7/17)+K37</f>
        <v>0</v>
      </c>
      <c r="G37" s="353"/>
      <c r="H37" s="103">
        <v>0.17</v>
      </c>
      <c r="I37" s="13"/>
      <c r="J37" s="74">
        <f t="shared" si="1"/>
        <v>0</v>
      </c>
      <c r="K37" s="68"/>
      <c r="L37" s="69"/>
    </row>
    <row r="38" spans="1:12" x14ac:dyDescent="0.15">
      <c r="A38" s="535"/>
      <c r="B38" s="225"/>
      <c r="C38" s="210" t="s">
        <v>170</v>
      </c>
      <c r="D38" s="132" t="s">
        <v>8</v>
      </c>
      <c r="E38" s="69"/>
      <c r="F38" s="248">
        <f>E38*(7/25)+K38</f>
        <v>0</v>
      </c>
      <c r="G38" s="353"/>
      <c r="H38" s="103">
        <v>0.25</v>
      </c>
      <c r="I38" s="13"/>
      <c r="J38" s="74">
        <f t="shared" si="1"/>
        <v>0</v>
      </c>
      <c r="K38" s="68"/>
      <c r="L38" s="69"/>
    </row>
    <row r="39" spans="1:12" x14ac:dyDescent="0.15">
      <c r="A39" s="535"/>
      <c r="B39" s="225"/>
      <c r="C39" s="209" t="s">
        <v>43</v>
      </c>
      <c r="D39" s="132" t="s">
        <v>8</v>
      </c>
      <c r="E39" s="69"/>
      <c r="F39" s="248">
        <f>E39*(7/17)+K39</f>
        <v>0</v>
      </c>
      <c r="G39" s="353"/>
      <c r="H39" s="103">
        <v>0.17</v>
      </c>
      <c r="I39" s="13"/>
      <c r="J39" s="74">
        <f t="shared" si="1"/>
        <v>0</v>
      </c>
      <c r="K39" s="68"/>
      <c r="L39" s="69"/>
    </row>
    <row r="40" spans="1:12" x14ac:dyDescent="0.15">
      <c r="A40" s="535"/>
      <c r="B40" s="225"/>
      <c r="C40" s="209" t="s">
        <v>43</v>
      </c>
      <c r="D40" s="132" t="s">
        <v>8</v>
      </c>
      <c r="E40" s="69"/>
      <c r="F40" s="248">
        <f>E40*(7/25)+K40</f>
        <v>0</v>
      </c>
      <c r="G40" s="353"/>
      <c r="H40" s="103">
        <v>0.25</v>
      </c>
      <c r="I40" s="13"/>
      <c r="J40" s="74">
        <f t="shared" si="1"/>
        <v>0</v>
      </c>
      <c r="K40" s="68"/>
      <c r="L40" s="69"/>
    </row>
    <row r="41" spans="1:12" x14ac:dyDescent="0.15">
      <c r="A41" s="535"/>
      <c r="B41" s="225"/>
      <c r="C41" s="210" t="s">
        <v>171</v>
      </c>
      <c r="D41" s="132" t="s">
        <v>8</v>
      </c>
      <c r="E41" s="69"/>
      <c r="F41" s="248">
        <f>E41*(7/12)+K41</f>
        <v>0</v>
      </c>
      <c r="G41" s="353"/>
      <c r="H41" s="103">
        <v>0.12</v>
      </c>
      <c r="I41" s="13"/>
      <c r="J41" s="74">
        <f t="shared" si="1"/>
        <v>0</v>
      </c>
      <c r="K41" s="68"/>
      <c r="L41" s="69"/>
    </row>
    <row r="42" spans="1:12" x14ac:dyDescent="0.15">
      <c r="A42" s="535"/>
      <c r="B42" s="225"/>
      <c r="C42" s="209" t="s">
        <v>53</v>
      </c>
      <c r="D42" s="132" t="s">
        <v>8</v>
      </c>
      <c r="E42" s="69"/>
      <c r="F42" s="248">
        <f>E42*(7/17)+K42</f>
        <v>0</v>
      </c>
      <c r="G42" s="353"/>
      <c r="H42" s="102">
        <v>0.17</v>
      </c>
      <c r="I42" s="3"/>
      <c r="J42" s="74">
        <f>ROUND(F42*H42,2)+L42</f>
        <v>0</v>
      </c>
      <c r="K42" s="75"/>
      <c r="L42" s="69"/>
    </row>
    <row r="43" spans="1:12" x14ac:dyDescent="0.15">
      <c r="A43" s="535"/>
      <c r="B43" s="225"/>
      <c r="C43" s="210"/>
      <c r="D43" s="132" t="s">
        <v>8</v>
      </c>
      <c r="E43" s="129"/>
      <c r="F43" s="470"/>
      <c r="G43" s="471"/>
      <c r="H43" s="4"/>
      <c r="I43" s="3"/>
      <c r="J43" s="74">
        <f>ROUND(F43*H43,2)+L43</f>
        <v>0</v>
      </c>
      <c r="K43" s="75"/>
      <c r="L43" s="69"/>
    </row>
    <row r="44" spans="1:12" ht="13.5" thickBot="1" x14ac:dyDescent="0.2">
      <c r="A44" s="535"/>
      <c r="B44" s="225"/>
      <c r="C44" s="211"/>
      <c r="D44" s="144" t="s">
        <v>8</v>
      </c>
      <c r="E44" s="145"/>
      <c r="F44" s="345"/>
      <c r="G44" s="346"/>
      <c r="H44" s="146"/>
      <c r="I44" s="146"/>
      <c r="J44" s="147">
        <f t="shared" si="1"/>
        <v>0</v>
      </c>
      <c r="K44" s="148"/>
      <c r="L44" s="150"/>
    </row>
    <row r="45" spans="1:12" ht="15.6" customHeight="1" x14ac:dyDescent="0.15">
      <c r="A45" s="535"/>
      <c r="B45" s="225"/>
      <c r="C45" s="208" t="s">
        <v>13</v>
      </c>
      <c r="D45" s="149" t="s">
        <v>42</v>
      </c>
      <c r="E45" s="139"/>
      <c r="F45" s="348"/>
      <c r="G45" s="349"/>
      <c r="H45" s="140">
        <v>0.12</v>
      </c>
      <c r="I45" s="141">
        <v>0.12</v>
      </c>
      <c r="J45" s="142">
        <f>ROUND(F45*H45,2)+L45</f>
        <v>0</v>
      </c>
      <c r="K45" s="143"/>
      <c r="L45" s="139"/>
    </row>
    <row r="46" spans="1:12" x14ac:dyDescent="0.15">
      <c r="A46" s="535"/>
      <c r="B46" s="225"/>
      <c r="C46" s="209" t="s">
        <v>41</v>
      </c>
      <c r="D46" s="131" t="s">
        <v>42</v>
      </c>
      <c r="E46" s="69"/>
      <c r="F46" s="271"/>
      <c r="G46" s="286"/>
      <c r="H46" s="103">
        <v>0.12</v>
      </c>
      <c r="I46" s="13"/>
      <c r="J46" s="74">
        <f t="shared" si="1"/>
        <v>0</v>
      </c>
      <c r="K46" s="68"/>
      <c r="L46" s="69"/>
    </row>
    <row r="47" spans="1:12" x14ac:dyDescent="0.15">
      <c r="A47" s="535"/>
      <c r="B47" s="225"/>
      <c r="C47" s="209" t="s">
        <v>44</v>
      </c>
      <c r="D47" s="131" t="s">
        <v>42</v>
      </c>
      <c r="E47" s="69"/>
      <c r="F47" s="271"/>
      <c r="G47" s="286"/>
      <c r="H47" s="103">
        <v>0.12</v>
      </c>
      <c r="I47" s="13"/>
      <c r="J47" s="74">
        <f t="shared" si="1"/>
        <v>0</v>
      </c>
      <c r="K47" s="68"/>
      <c r="L47" s="69"/>
    </row>
    <row r="48" spans="1:12" x14ac:dyDescent="0.15">
      <c r="A48" s="535"/>
      <c r="B48" s="225"/>
      <c r="C48" s="212" t="s">
        <v>163</v>
      </c>
      <c r="D48" s="131" t="s">
        <v>42</v>
      </c>
      <c r="E48" s="69"/>
      <c r="F48" s="255"/>
      <c r="G48" s="286"/>
      <c r="H48" s="222">
        <v>0.04</v>
      </c>
      <c r="I48" s="13"/>
      <c r="J48" s="74">
        <f t="shared" si="1"/>
        <v>0</v>
      </c>
      <c r="K48" s="68"/>
      <c r="L48" s="69"/>
    </row>
    <row r="49" spans="1:12" x14ac:dyDescent="0.15">
      <c r="A49" s="535"/>
      <c r="B49" s="225"/>
      <c r="C49" s="209" t="s">
        <v>53</v>
      </c>
      <c r="D49" s="131" t="s">
        <v>42</v>
      </c>
      <c r="E49" s="69"/>
      <c r="F49" s="255"/>
      <c r="G49" s="286"/>
      <c r="H49" s="103">
        <v>0.12</v>
      </c>
      <c r="I49" s="13"/>
      <c r="J49" s="74">
        <f t="shared" ref="J49:J59" si="2">ROUND(F49*H49,2)+L49</f>
        <v>0</v>
      </c>
      <c r="K49" s="68"/>
      <c r="L49" s="69"/>
    </row>
    <row r="50" spans="1:12" x14ac:dyDescent="0.15">
      <c r="A50" s="535"/>
      <c r="B50" s="225"/>
      <c r="C50" s="209"/>
      <c r="D50" s="131" t="s">
        <v>42</v>
      </c>
      <c r="E50" s="69"/>
      <c r="F50" s="255"/>
      <c r="G50" s="256"/>
      <c r="H50" s="13"/>
      <c r="I50" s="13"/>
      <c r="J50" s="74">
        <f t="shared" si="2"/>
        <v>0</v>
      </c>
      <c r="K50" s="68"/>
      <c r="L50" s="69"/>
    </row>
    <row r="51" spans="1:12" x14ac:dyDescent="0.15">
      <c r="A51" s="535"/>
      <c r="B51" s="225"/>
      <c r="C51" s="220"/>
      <c r="D51" s="131" t="s">
        <v>42</v>
      </c>
      <c r="E51" s="72"/>
      <c r="F51" s="255"/>
      <c r="G51" s="256"/>
      <c r="H51" s="172"/>
      <c r="I51" s="172"/>
      <c r="J51" s="74">
        <f t="shared" si="2"/>
        <v>0</v>
      </c>
      <c r="K51" s="73"/>
      <c r="L51" s="72"/>
    </row>
    <row r="52" spans="1:12" ht="13.5" thickBot="1" x14ac:dyDescent="0.2">
      <c r="A52" s="535"/>
      <c r="B52" s="225"/>
      <c r="C52" s="213" t="s">
        <v>131</v>
      </c>
      <c r="D52" s="173" t="s">
        <v>42</v>
      </c>
      <c r="E52" s="180">
        <f>SUM(E45:E51)</f>
        <v>0</v>
      </c>
      <c r="F52" s="524">
        <f>SUM(F45:F51)</f>
        <v>0</v>
      </c>
      <c r="G52" s="525"/>
      <c r="H52" s="123"/>
      <c r="I52" s="174"/>
      <c r="J52" s="123"/>
      <c r="K52" s="123"/>
      <c r="L52" s="123"/>
    </row>
    <row r="53" spans="1:12" x14ac:dyDescent="0.15">
      <c r="A53" s="535"/>
      <c r="B53" s="225"/>
      <c r="C53" s="221" t="s">
        <v>189</v>
      </c>
      <c r="D53" s="131" t="s">
        <v>42</v>
      </c>
      <c r="E53" s="72"/>
      <c r="F53" s="244"/>
      <c r="G53" s="245"/>
      <c r="H53" s="172">
        <v>0.12</v>
      </c>
      <c r="I53" s="172"/>
      <c r="J53" s="171">
        <f>ROUND(F53*H53,2)+L53</f>
        <v>0</v>
      </c>
      <c r="K53" s="73"/>
      <c r="L53" s="72"/>
    </row>
    <row r="54" spans="1:12" ht="13.5" thickBot="1" x14ac:dyDescent="0.2">
      <c r="A54" s="536"/>
      <c r="B54" s="225"/>
      <c r="C54" s="221" t="s">
        <v>189</v>
      </c>
      <c r="D54" s="131" t="s">
        <v>42</v>
      </c>
      <c r="E54" s="72"/>
      <c r="F54" s="244"/>
      <c r="G54" s="245"/>
      <c r="H54" s="232">
        <v>0.04</v>
      </c>
      <c r="I54" s="172"/>
      <c r="J54" s="171">
        <f>ROUND(F54*H54,2)+L54</f>
        <v>0</v>
      </c>
      <c r="K54" s="73"/>
      <c r="L54" s="72"/>
    </row>
    <row r="55" spans="1:12" ht="15.6" customHeight="1" x14ac:dyDescent="0.15">
      <c r="A55" s="534" t="s">
        <v>178</v>
      </c>
      <c r="B55" s="225"/>
      <c r="C55" s="208" t="s">
        <v>12</v>
      </c>
      <c r="D55" s="185" t="s">
        <v>14</v>
      </c>
      <c r="E55" s="139"/>
      <c r="F55" s="348"/>
      <c r="G55" s="349"/>
      <c r="H55" s="140">
        <v>0.17</v>
      </c>
      <c r="I55" s="141">
        <v>0.17</v>
      </c>
      <c r="J55" s="142">
        <f t="shared" si="2"/>
        <v>0</v>
      </c>
      <c r="K55" s="143"/>
      <c r="L55" s="139"/>
    </row>
    <row r="56" spans="1:12" x14ac:dyDescent="0.15">
      <c r="A56" s="535"/>
      <c r="B56" s="225"/>
      <c r="C56" s="210" t="s">
        <v>12</v>
      </c>
      <c r="D56" s="186" t="s">
        <v>8</v>
      </c>
      <c r="E56" s="69"/>
      <c r="F56" s="271"/>
      <c r="G56" s="344"/>
      <c r="H56" s="103">
        <v>0.25</v>
      </c>
      <c r="I56" s="13"/>
      <c r="J56" s="74">
        <f t="shared" si="2"/>
        <v>0</v>
      </c>
      <c r="K56" s="68"/>
      <c r="L56" s="69"/>
    </row>
    <row r="57" spans="1:12" x14ac:dyDescent="0.15">
      <c r="A57" s="535"/>
      <c r="B57" s="225"/>
      <c r="C57" s="210" t="s">
        <v>166</v>
      </c>
      <c r="D57" s="186" t="s">
        <v>8</v>
      </c>
      <c r="E57" s="69"/>
      <c r="F57" s="292">
        <f>E57*(17/25)+K57</f>
        <v>0</v>
      </c>
      <c r="G57" s="294"/>
      <c r="H57" s="103">
        <v>0.25</v>
      </c>
      <c r="I57" s="13"/>
      <c r="J57" s="74">
        <f>ROUND(F57*H57,2)+L57</f>
        <v>0</v>
      </c>
      <c r="K57" s="68"/>
      <c r="L57" s="69"/>
    </row>
    <row r="58" spans="1:12" x14ac:dyDescent="0.15">
      <c r="A58" s="535"/>
      <c r="B58" s="225"/>
      <c r="C58" s="209" t="s">
        <v>12</v>
      </c>
      <c r="D58" s="187" t="s">
        <v>42</v>
      </c>
      <c r="E58" s="69"/>
      <c r="F58" s="271"/>
      <c r="G58" s="286"/>
      <c r="H58" s="103">
        <v>0.12</v>
      </c>
      <c r="I58" s="13">
        <v>0.17</v>
      </c>
      <c r="J58" s="74">
        <f t="shared" si="2"/>
        <v>0</v>
      </c>
      <c r="K58" s="68"/>
      <c r="L58" s="69"/>
    </row>
    <row r="59" spans="1:12" x14ac:dyDescent="0.15">
      <c r="A59" s="535"/>
      <c r="B59" s="225"/>
      <c r="C59" s="209" t="s">
        <v>12</v>
      </c>
      <c r="D59" s="187" t="s">
        <v>42</v>
      </c>
      <c r="E59" s="69"/>
      <c r="F59" s="470"/>
      <c r="G59" s="471"/>
      <c r="H59" s="103">
        <v>0.04</v>
      </c>
      <c r="I59" s="13"/>
      <c r="J59" s="74">
        <f t="shared" si="2"/>
        <v>0</v>
      </c>
      <c r="K59" s="68"/>
      <c r="L59" s="69"/>
    </row>
    <row r="60" spans="1:12" x14ac:dyDescent="0.15">
      <c r="A60" s="535"/>
      <c r="B60" s="225"/>
      <c r="C60" s="210" t="s">
        <v>183</v>
      </c>
      <c r="D60" s="187" t="s">
        <v>42</v>
      </c>
      <c r="E60" s="70"/>
      <c r="F60" s="255"/>
      <c r="G60" s="286"/>
      <c r="H60" s="13">
        <v>0.12</v>
      </c>
      <c r="I60" s="9"/>
      <c r="J60" s="74">
        <f t="shared" si="1"/>
        <v>0</v>
      </c>
      <c r="K60" s="68"/>
      <c r="L60" s="69"/>
    </row>
    <row r="61" spans="1:12" x14ac:dyDescent="0.15">
      <c r="A61" s="535"/>
      <c r="B61" s="225"/>
      <c r="C61" s="210" t="s">
        <v>183</v>
      </c>
      <c r="D61" s="186" t="s">
        <v>42</v>
      </c>
      <c r="E61" s="70"/>
      <c r="F61" s="255"/>
      <c r="G61" s="256"/>
      <c r="H61" s="13">
        <v>0.04</v>
      </c>
      <c r="I61" s="9"/>
      <c r="J61" s="74">
        <f t="shared" si="1"/>
        <v>0</v>
      </c>
      <c r="K61" s="68"/>
      <c r="L61" s="69"/>
    </row>
    <row r="62" spans="1:12" x14ac:dyDescent="0.15">
      <c r="A62" s="535"/>
      <c r="B62" s="225"/>
      <c r="C62" s="210" t="s">
        <v>164</v>
      </c>
      <c r="D62" s="187" t="s">
        <v>42</v>
      </c>
      <c r="E62" s="130"/>
      <c r="F62" s="470"/>
      <c r="G62" s="471"/>
      <c r="H62" s="13">
        <v>0.04</v>
      </c>
      <c r="I62" s="9"/>
      <c r="J62" s="74">
        <f t="shared" si="1"/>
        <v>0</v>
      </c>
      <c r="K62" s="68"/>
      <c r="L62" s="69"/>
    </row>
    <row r="63" spans="1:12" ht="13.5" thickBot="1" x14ac:dyDescent="0.2">
      <c r="A63" s="535"/>
      <c r="B63" s="225"/>
      <c r="C63" s="215"/>
      <c r="D63" s="184"/>
      <c r="E63" s="157"/>
      <c r="F63" s="263"/>
      <c r="G63" s="264"/>
      <c r="H63" s="146"/>
      <c r="I63" s="158"/>
      <c r="J63" s="147">
        <f t="shared" si="1"/>
        <v>0</v>
      </c>
      <c r="K63" s="148"/>
      <c r="L63" s="150"/>
    </row>
    <row r="64" spans="1:12" ht="13.5" thickBot="1" x14ac:dyDescent="0.2">
      <c r="A64" s="535"/>
      <c r="B64" s="226"/>
      <c r="C64" s="216" t="s">
        <v>45</v>
      </c>
      <c r="D64" s="110"/>
      <c r="E64" s="151">
        <f>SUM(E35:E63)-E52</f>
        <v>0</v>
      </c>
      <c r="F64" s="364">
        <f>SUM(F35:G63)-F52</f>
        <v>0</v>
      </c>
      <c r="G64" s="365"/>
      <c r="H64" s="152"/>
      <c r="I64" s="153"/>
      <c r="J64" s="154">
        <f>SUM(J35:J63)-J52</f>
        <v>0</v>
      </c>
      <c r="K64" s="155"/>
      <c r="L64" s="156"/>
    </row>
    <row r="65" spans="1:12" x14ac:dyDescent="0.15">
      <c r="A65" s="535"/>
      <c r="B65" s="227"/>
      <c r="C65" s="210" t="s">
        <v>47</v>
      </c>
      <c r="D65" s="5" t="s">
        <v>8</v>
      </c>
      <c r="E65" s="69"/>
      <c r="F65" s="255"/>
      <c r="G65" s="256"/>
      <c r="H65" s="4">
        <v>0.17</v>
      </c>
      <c r="I65" s="3"/>
      <c r="J65" s="71">
        <f t="shared" ref="J65:J73" si="3">F65*H65+L65</f>
        <v>0</v>
      </c>
      <c r="K65" s="75"/>
      <c r="L65" s="69"/>
    </row>
    <row r="66" spans="1:12" x14ac:dyDescent="0.15">
      <c r="A66" s="535"/>
      <c r="B66" s="227"/>
      <c r="C66" s="209" t="s">
        <v>194</v>
      </c>
      <c r="D66" s="5" t="s">
        <v>8</v>
      </c>
      <c r="E66" s="69"/>
      <c r="F66" s="255"/>
      <c r="G66" s="256"/>
      <c r="H66" s="13"/>
      <c r="I66" s="9"/>
      <c r="J66" s="71">
        <f>F66*H66+L66</f>
        <v>0</v>
      </c>
      <c r="K66" s="68"/>
      <c r="L66" s="69"/>
    </row>
    <row r="67" spans="1:12" x14ac:dyDescent="0.15">
      <c r="A67" s="535"/>
      <c r="B67" s="227"/>
      <c r="C67" s="209" t="s">
        <v>49</v>
      </c>
      <c r="D67" s="5" t="s">
        <v>8</v>
      </c>
      <c r="E67" s="69"/>
      <c r="F67" s="255"/>
      <c r="G67" s="256"/>
      <c r="H67" s="13">
        <v>0.17</v>
      </c>
      <c r="I67" s="9"/>
      <c r="J67" s="71">
        <f t="shared" si="3"/>
        <v>0</v>
      </c>
      <c r="K67" s="68"/>
      <c r="L67" s="69"/>
    </row>
    <row r="68" spans="1:12" x14ac:dyDescent="0.15">
      <c r="A68" s="535"/>
      <c r="B68" s="227"/>
      <c r="C68" s="209" t="s">
        <v>47</v>
      </c>
      <c r="D68" s="5" t="s">
        <v>42</v>
      </c>
      <c r="E68" s="69"/>
      <c r="F68" s="255"/>
      <c r="G68" s="256"/>
      <c r="H68" s="4">
        <v>7.0000000000000007E-2</v>
      </c>
      <c r="I68" s="3"/>
      <c r="J68" s="71">
        <f t="shared" si="3"/>
        <v>0</v>
      </c>
      <c r="K68" s="75"/>
      <c r="L68" s="69"/>
    </row>
    <row r="69" spans="1:12" x14ac:dyDescent="0.15">
      <c r="A69" s="535"/>
      <c r="B69" s="227"/>
      <c r="C69" s="210" t="s">
        <v>49</v>
      </c>
      <c r="D69" s="5" t="s">
        <v>42</v>
      </c>
      <c r="E69" s="69"/>
      <c r="F69" s="255"/>
      <c r="G69" s="256"/>
      <c r="H69" s="13">
        <v>0.12</v>
      </c>
      <c r="I69" s="9"/>
      <c r="J69" s="71">
        <f t="shared" si="3"/>
        <v>0</v>
      </c>
      <c r="K69" s="68"/>
      <c r="L69" s="69"/>
    </row>
    <row r="70" spans="1:12" x14ac:dyDescent="0.15">
      <c r="A70" s="535"/>
      <c r="B70" s="227"/>
      <c r="C70" s="221" t="s">
        <v>175</v>
      </c>
      <c r="D70" s="5"/>
      <c r="E70" s="69"/>
      <c r="F70" s="309"/>
      <c r="G70" s="309"/>
      <c r="H70" s="4"/>
      <c r="I70" s="3"/>
      <c r="J70" s="71">
        <f t="shared" si="3"/>
        <v>0</v>
      </c>
      <c r="K70" s="75"/>
      <c r="L70" s="69"/>
    </row>
    <row r="71" spans="1:12" x14ac:dyDescent="0.15">
      <c r="A71" s="535"/>
      <c r="B71" s="227"/>
      <c r="C71" s="214" t="s">
        <v>195</v>
      </c>
      <c r="D71" s="15"/>
      <c r="E71" s="72"/>
      <c r="F71" s="411"/>
      <c r="G71" s="412"/>
      <c r="H71" s="108"/>
      <c r="I71" s="16"/>
      <c r="J71" s="76">
        <f t="shared" si="3"/>
        <v>0</v>
      </c>
      <c r="K71" s="73"/>
      <c r="L71" s="72"/>
    </row>
    <row r="72" spans="1:12" x14ac:dyDescent="0.15">
      <c r="A72" s="535"/>
      <c r="B72" s="227"/>
      <c r="C72" s="214"/>
      <c r="D72" s="15"/>
      <c r="E72" s="72"/>
      <c r="F72" s="255"/>
      <c r="G72" s="256"/>
      <c r="H72" s="108"/>
      <c r="I72" s="16"/>
      <c r="J72" s="76">
        <f t="shared" si="3"/>
        <v>0</v>
      </c>
      <c r="K72" s="73"/>
      <c r="L72" s="72"/>
    </row>
    <row r="73" spans="1:12" x14ac:dyDescent="0.15">
      <c r="A73" s="535"/>
      <c r="B73" s="227"/>
      <c r="C73" s="214" t="s">
        <v>114</v>
      </c>
      <c r="D73" s="5"/>
      <c r="E73" s="69"/>
      <c r="F73" s="470"/>
      <c r="G73" s="471"/>
      <c r="H73" s="4"/>
      <c r="I73" s="9"/>
      <c r="J73" s="76">
        <f t="shared" si="3"/>
        <v>0</v>
      </c>
      <c r="K73" s="70"/>
      <c r="L73" s="69"/>
    </row>
    <row r="74" spans="1:12" ht="13.5" thickBot="1" x14ac:dyDescent="0.2">
      <c r="A74" s="536"/>
      <c r="B74" s="226"/>
      <c r="C74" s="217" t="s">
        <v>5</v>
      </c>
      <c r="D74" s="123"/>
      <c r="E74" s="124">
        <f>E64+E65+E66+E67+E68+E69+E70+E71+E72+E73</f>
        <v>0</v>
      </c>
      <c r="F74" s="413">
        <f>F64+F65+F66+F67+F68+F69+F70+F71+F72+F73</f>
        <v>0</v>
      </c>
      <c r="G74" s="414"/>
      <c r="H74" s="125"/>
      <c r="I74" s="126"/>
      <c r="J74" s="124">
        <f>J64+J65+J66+J67+J68+J69+J70+J71+J72+J73</f>
        <v>0</v>
      </c>
      <c r="K74" s="127"/>
      <c r="L74" s="128"/>
    </row>
    <row r="75" spans="1:12" ht="13.5" x14ac:dyDescent="0.15">
      <c r="C75" s="347" t="s">
        <v>148</v>
      </c>
      <c r="D75" s="347"/>
      <c r="E75" s="347"/>
      <c r="F75" s="347"/>
      <c r="G75" s="347"/>
      <c r="H75" s="347"/>
      <c r="I75" s="347"/>
      <c r="J75" s="347"/>
      <c r="K75" s="347"/>
      <c r="L75" s="347"/>
    </row>
    <row r="76" spans="1:12" ht="13.5" x14ac:dyDescent="0.15">
      <c r="C76" s="398" t="s">
        <v>181</v>
      </c>
      <c r="D76" s="398"/>
      <c r="E76" s="398"/>
      <c r="F76" s="398"/>
      <c r="G76" s="398"/>
      <c r="H76" s="398"/>
      <c r="I76" s="398"/>
      <c r="J76" s="398"/>
      <c r="K76" s="398"/>
      <c r="L76" s="398"/>
    </row>
    <row r="77" spans="1:12" ht="14.25" thickBot="1" x14ac:dyDescent="0.2">
      <c r="C77" s="398" t="s">
        <v>190</v>
      </c>
      <c r="D77" s="398"/>
      <c r="E77" s="398"/>
      <c r="F77" s="398"/>
      <c r="G77" s="398"/>
      <c r="H77" s="398"/>
      <c r="I77" s="398"/>
      <c r="J77" s="398"/>
      <c r="K77" s="398"/>
      <c r="L77" s="398"/>
    </row>
    <row r="78" spans="1:12" x14ac:dyDescent="0.15">
      <c r="C78" s="380" t="s">
        <v>136</v>
      </c>
      <c r="D78" s="381"/>
      <c r="E78" s="381"/>
      <c r="F78" s="381"/>
      <c r="G78" s="382"/>
      <c r="H78" s="405"/>
      <c r="I78" s="17"/>
      <c r="J78" s="380" t="s">
        <v>147</v>
      </c>
      <c r="K78" s="387"/>
      <c r="L78" s="18"/>
    </row>
    <row r="79" spans="1:12" ht="12.95" customHeight="1" x14ac:dyDescent="0.15">
      <c r="C79" s="383"/>
      <c r="D79" s="384"/>
      <c r="E79" s="384"/>
      <c r="F79" s="384"/>
      <c r="G79" s="385"/>
      <c r="H79" s="406"/>
      <c r="I79" s="19"/>
      <c r="J79" s="388"/>
      <c r="K79" s="389"/>
      <c r="L79" s="18"/>
    </row>
    <row r="80" spans="1:12" ht="0.75" customHeight="1" x14ac:dyDescent="0.15">
      <c r="C80" s="383"/>
      <c r="D80" s="384"/>
      <c r="E80" s="384"/>
      <c r="F80" s="384"/>
      <c r="G80" s="385"/>
      <c r="H80" s="406"/>
      <c r="I80" s="194"/>
      <c r="J80" s="388"/>
      <c r="K80" s="389"/>
      <c r="L80" s="20"/>
    </row>
    <row r="81" spans="3:12" x14ac:dyDescent="0.15">
      <c r="C81" s="332" t="s">
        <v>15</v>
      </c>
      <c r="D81" s="332"/>
      <c r="E81" s="267" t="s">
        <v>1</v>
      </c>
      <c r="F81" s="332" t="s">
        <v>16</v>
      </c>
      <c r="G81" s="332"/>
      <c r="H81" s="404"/>
      <c r="I81" s="22"/>
      <c r="J81" s="267" t="s">
        <v>66</v>
      </c>
      <c r="K81" s="361" t="s">
        <v>125</v>
      </c>
      <c r="L81" s="21"/>
    </row>
    <row r="82" spans="3:12" x14ac:dyDescent="0.15">
      <c r="C82" s="332"/>
      <c r="D82" s="332"/>
      <c r="E82" s="267"/>
      <c r="F82" s="332"/>
      <c r="G82" s="332"/>
      <c r="H82" s="404"/>
      <c r="I82" s="22"/>
      <c r="J82" s="267"/>
      <c r="K82" s="332"/>
      <c r="L82" s="21"/>
    </row>
    <row r="83" spans="3:12" x14ac:dyDescent="0.15">
      <c r="C83" s="5" t="s">
        <v>74</v>
      </c>
      <c r="D83" s="102"/>
      <c r="E83" s="71">
        <f>SUM(E35:E44)</f>
        <v>0</v>
      </c>
      <c r="F83" s="250">
        <f>E83/E87</f>
        <v>0</v>
      </c>
      <c r="G83" s="250"/>
      <c r="H83" s="10"/>
      <c r="I83" s="10"/>
      <c r="J83" s="71">
        <f>$E$18*F83</f>
        <v>0</v>
      </c>
      <c r="K83" s="71">
        <f>0.07*J83+L86*F83</f>
        <v>0</v>
      </c>
      <c r="L83" s="18"/>
    </row>
    <row r="84" spans="3:12" x14ac:dyDescent="0.15">
      <c r="C84" s="5" t="s">
        <v>73</v>
      </c>
      <c r="D84" s="102"/>
      <c r="E84" s="71">
        <f>SUM(E52:E54)</f>
        <v>0</v>
      </c>
      <c r="F84" s="250">
        <f>E84/E87</f>
        <v>0</v>
      </c>
      <c r="G84" s="250"/>
      <c r="H84" s="10"/>
      <c r="I84" s="10"/>
      <c r="J84" s="71">
        <f>$E$18*F84</f>
        <v>0</v>
      </c>
      <c r="K84" s="71">
        <f>0.07*J84+L86*F84</f>
        <v>0</v>
      </c>
      <c r="L84" s="18"/>
    </row>
    <row r="85" spans="3:12" x14ac:dyDescent="0.15">
      <c r="C85" s="5" t="s">
        <v>17</v>
      </c>
      <c r="D85" s="104"/>
      <c r="E85" s="71">
        <f>SUM(E55:E63)</f>
        <v>0</v>
      </c>
      <c r="F85" s="250">
        <f>E85/E87</f>
        <v>0</v>
      </c>
      <c r="G85" s="250"/>
      <c r="H85" s="10"/>
      <c r="I85" s="10"/>
      <c r="J85" s="71">
        <f>$E$18*F85</f>
        <v>0</v>
      </c>
      <c r="K85" s="101"/>
      <c r="L85" s="18"/>
    </row>
    <row r="86" spans="3:12" x14ac:dyDescent="0.15">
      <c r="C86" s="14" t="s">
        <v>126</v>
      </c>
      <c r="D86" s="102"/>
      <c r="E86" s="69"/>
      <c r="F86" s="335"/>
      <c r="G86" s="335"/>
      <c r="H86" s="10"/>
      <c r="I86" s="10"/>
      <c r="J86" s="71">
        <f>$E$18*F86</f>
        <v>0</v>
      </c>
      <c r="K86" s="71">
        <f>0.07*J86</f>
        <v>0</v>
      </c>
      <c r="L86" s="64">
        <f>G24</f>
        <v>0</v>
      </c>
    </row>
    <row r="87" spans="3:12" x14ac:dyDescent="0.15">
      <c r="C87" s="188" t="s">
        <v>18</v>
      </c>
      <c r="D87" s="189"/>
      <c r="E87" s="190">
        <f>SUM(E83:E86)+0.0000000001</f>
        <v>1E-10</v>
      </c>
      <c r="F87" s="401">
        <f>SUM(F83:G86)</f>
        <v>0</v>
      </c>
      <c r="G87" s="402"/>
      <c r="H87" s="191"/>
      <c r="I87" s="22"/>
      <c r="J87" s="192">
        <f>SUM(J83:J86)</f>
        <v>0</v>
      </c>
      <c r="K87" s="193"/>
      <c r="L87" s="23"/>
    </row>
    <row r="88" spans="3:12" x14ac:dyDescent="0.15">
      <c r="D88" s="24"/>
      <c r="F88" s="403"/>
      <c r="G88" s="403"/>
    </row>
    <row r="89" spans="3:12" ht="12.75" customHeight="1" thickBot="1" x14ac:dyDescent="0.2">
      <c r="D89" s="24"/>
      <c r="F89" s="25"/>
      <c r="G89" s="25"/>
    </row>
    <row r="90" spans="3:12" ht="13.5" thickBot="1" x14ac:dyDescent="0.2">
      <c r="C90" s="390" t="s">
        <v>108</v>
      </c>
      <c r="D90" s="391"/>
      <c r="E90" s="391"/>
      <c r="F90" s="391"/>
      <c r="G90" s="391"/>
      <c r="H90" s="391"/>
      <c r="I90" s="391"/>
      <c r="J90" s="391"/>
      <c r="K90" s="391"/>
      <c r="L90" s="393"/>
    </row>
    <row r="91" spans="3:12" ht="15.75" customHeight="1" thickBot="1" x14ac:dyDescent="0.2">
      <c r="C91" s="390" t="s">
        <v>137</v>
      </c>
      <c r="D91" s="391"/>
      <c r="E91" s="391"/>
      <c r="F91" s="392"/>
      <c r="G91" s="392"/>
      <c r="H91" s="392"/>
      <c r="I91" s="392"/>
      <c r="J91" s="392"/>
      <c r="K91" s="392"/>
      <c r="L91" s="393"/>
    </row>
    <row r="92" spans="3:12" ht="12.95" customHeight="1" x14ac:dyDescent="0.15">
      <c r="C92" s="408" t="s">
        <v>72</v>
      </c>
      <c r="D92" s="394" t="s">
        <v>30</v>
      </c>
      <c r="E92" s="395"/>
      <c r="F92" s="332" t="s">
        <v>31</v>
      </c>
      <c r="G92" s="332"/>
      <c r="H92" s="399"/>
      <c r="I92" s="26"/>
      <c r="J92" s="409" t="s">
        <v>115</v>
      </c>
      <c r="K92" s="416" t="s">
        <v>138</v>
      </c>
      <c r="L92" s="415" t="s">
        <v>75</v>
      </c>
    </row>
    <row r="93" spans="3:12" x14ac:dyDescent="0.15">
      <c r="C93" s="332"/>
      <c r="D93" s="396"/>
      <c r="E93" s="397"/>
      <c r="F93" s="332"/>
      <c r="G93" s="332"/>
      <c r="H93" s="400"/>
      <c r="I93" s="26"/>
      <c r="J93" s="410"/>
      <c r="K93" s="408"/>
      <c r="L93" s="408"/>
    </row>
    <row r="94" spans="3:12" x14ac:dyDescent="0.15">
      <c r="C94" s="27" t="s">
        <v>74</v>
      </c>
      <c r="D94" s="249">
        <f>G25</f>
        <v>0</v>
      </c>
      <c r="E94" s="249"/>
      <c r="F94" s="250">
        <f>F83</f>
        <v>0</v>
      </c>
      <c r="G94" s="250"/>
      <c r="H94" s="407"/>
      <c r="I94" s="407"/>
      <c r="J94" s="71">
        <f>ROUND(D94*F94,2)</f>
        <v>0</v>
      </c>
      <c r="K94" s="77"/>
      <c r="L94" s="77"/>
    </row>
    <row r="95" spans="3:12" x14ac:dyDescent="0.15">
      <c r="C95" s="27" t="s">
        <v>73</v>
      </c>
      <c r="D95" s="249">
        <f>G25</f>
        <v>0</v>
      </c>
      <c r="E95" s="249"/>
      <c r="F95" s="250">
        <f>F84</f>
        <v>0</v>
      </c>
      <c r="G95" s="250"/>
      <c r="H95" s="407"/>
      <c r="I95" s="407"/>
      <c r="J95" s="77"/>
      <c r="K95" s="71">
        <f>ROUND(D95*F95,2)</f>
        <v>0</v>
      </c>
      <c r="L95" s="101"/>
    </row>
    <row r="96" spans="3:12" ht="13.5" customHeight="1" x14ac:dyDescent="0.15">
      <c r="C96" s="4" t="s">
        <v>17</v>
      </c>
      <c r="D96" s="249">
        <f>G25</f>
        <v>0</v>
      </c>
      <c r="E96" s="249"/>
      <c r="F96" s="250">
        <f>F85</f>
        <v>0</v>
      </c>
      <c r="G96" s="250"/>
      <c r="H96" s="28"/>
      <c r="I96" s="28"/>
      <c r="J96" s="77"/>
      <c r="K96" s="77"/>
      <c r="L96" s="78">
        <f>ROUND(D96*F96,2)</f>
        <v>0</v>
      </c>
    </row>
    <row r="97" spans="3:12" s="29" customFormat="1" x14ac:dyDescent="0.15">
      <c r="C97" s="116" t="s">
        <v>18</v>
      </c>
      <c r="D97" s="417"/>
      <c r="E97" s="417"/>
      <c r="F97" s="418">
        <f>SUM(F94:G96)</f>
        <v>0</v>
      </c>
      <c r="G97" s="418"/>
      <c r="H97" s="419"/>
      <c r="I97" s="419"/>
      <c r="J97" s="112">
        <f>TRUNC(J94,2)</f>
        <v>0</v>
      </c>
      <c r="K97" s="112">
        <f>TRUNC(K95,2)</f>
        <v>0</v>
      </c>
      <c r="L97" s="112">
        <f>TRUNC(L96,2)</f>
        <v>0</v>
      </c>
    </row>
    <row r="98" spans="3:12" x14ac:dyDescent="0.15">
      <c r="C98" s="24"/>
    </row>
    <row r="99" spans="3:12" x14ac:dyDescent="0.15">
      <c r="C99" s="24"/>
    </row>
    <row r="100" spans="3:12" x14ac:dyDescent="0.15">
      <c r="C100" s="24"/>
    </row>
    <row r="101" spans="3:12" x14ac:dyDescent="0.15">
      <c r="C101" s="420" t="s">
        <v>116</v>
      </c>
      <c r="D101" s="421"/>
      <c r="E101" s="421"/>
      <c r="F101" s="421"/>
      <c r="G101" s="421"/>
      <c r="H101" s="421"/>
      <c r="I101" s="421"/>
      <c r="J101" s="421"/>
      <c r="K101" s="421"/>
      <c r="L101" s="422"/>
    </row>
    <row r="102" spans="3:12" s="25" customFormat="1" ht="14.25" customHeight="1" x14ac:dyDescent="0.15">
      <c r="C102" s="441" t="s">
        <v>38</v>
      </c>
      <c r="D102" s="441"/>
      <c r="E102" s="441"/>
      <c r="F102" s="441"/>
      <c r="G102" s="117"/>
      <c r="H102" s="419" t="s">
        <v>67</v>
      </c>
      <c r="I102" s="419"/>
      <c r="J102" s="419"/>
      <c r="K102" s="117" t="s">
        <v>21</v>
      </c>
      <c r="L102" s="117" t="s">
        <v>22</v>
      </c>
    </row>
    <row r="103" spans="3:12" s="25" customFormat="1" ht="14.25" customHeight="1" x14ac:dyDescent="0.15">
      <c r="C103" s="433" t="s">
        <v>81</v>
      </c>
      <c r="D103" s="434"/>
      <c r="E103" s="434"/>
      <c r="F103" s="435"/>
      <c r="G103" s="79"/>
      <c r="H103" s="488"/>
      <c r="I103" s="489"/>
      <c r="J103" s="490"/>
      <c r="K103" s="80"/>
      <c r="L103" s="100"/>
    </row>
    <row r="104" spans="3:12" x14ac:dyDescent="0.15">
      <c r="C104" s="430" t="s">
        <v>68</v>
      </c>
      <c r="D104" s="431"/>
      <c r="E104" s="431"/>
      <c r="F104" s="432"/>
      <c r="G104" s="81">
        <f>SUM(E35:E44)</f>
        <v>0</v>
      </c>
      <c r="H104" s="427">
        <f>SUM(J35:J44)</f>
        <v>0</v>
      </c>
      <c r="I104" s="428"/>
      <c r="J104" s="429"/>
      <c r="K104" s="82">
        <f>H104</f>
        <v>0</v>
      </c>
      <c r="L104" s="83"/>
    </row>
    <row r="105" spans="3:12" x14ac:dyDescent="0.15">
      <c r="C105" s="430" t="s">
        <v>117</v>
      </c>
      <c r="D105" s="431"/>
      <c r="E105" s="431"/>
      <c r="F105" s="432"/>
      <c r="G105" s="81">
        <f>J83</f>
        <v>0</v>
      </c>
      <c r="H105" s="427">
        <f>J97</f>
        <v>0</v>
      </c>
      <c r="I105" s="428"/>
      <c r="J105" s="429"/>
      <c r="K105" s="83"/>
      <c r="L105" s="468">
        <f>IF(H105&lt;H106,H105,H106)</f>
        <v>0</v>
      </c>
    </row>
    <row r="106" spans="3:12" x14ac:dyDescent="0.15">
      <c r="C106" s="430" t="s">
        <v>118</v>
      </c>
      <c r="D106" s="431"/>
      <c r="E106" s="431"/>
      <c r="F106" s="432"/>
      <c r="G106" s="81">
        <f>J83</f>
        <v>0</v>
      </c>
      <c r="H106" s="427">
        <f>K83</f>
        <v>0</v>
      </c>
      <c r="I106" s="428"/>
      <c r="J106" s="429"/>
      <c r="K106" s="83"/>
      <c r="L106" s="469"/>
    </row>
    <row r="107" spans="3:12" s="29" customFormat="1" x14ac:dyDescent="0.15">
      <c r="C107" s="424" t="s">
        <v>78</v>
      </c>
      <c r="D107" s="425"/>
      <c r="E107" s="425"/>
      <c r="F107" s="426"/>
      <c r="G107" s="84"/>
      <c r="H107" s="481"/>
      <c r="I107" s="482"/>
      <c r="J107" s="483"/>
      <c r="K107" s="295">
        <f>K104-(L103+L105)</f>
        <v>0</v>
      </c>
      <c r="L107" s="423"/>
    </row>
    <row r="108" spans="3:12" x14ac:dyDescent="0.15">
      <c r="C108" s="30"/>
      <c r="D108" s="30"/>
      <c r="E108" s="30"/>
      <c r="F108" s="30"/>
      <c r="G108" s="31"/>
      <c r="H108" s="32"/>
      <c r="I108" s="32"/>
      <c r="J108" s="32"/>
      <c r="K108" s="33"/>
      <c r="L108" s="33"/>
    </row>
    <row r="109" spans="3:12" x14ac:dyDescent="0.15">
      <c r="C109" s="30"/>
      <c r="D109" s="30"/>
      <c r="E109" s="30"/>
      <c r="F109" s="30"/>
      <c r="G109" s="31"/>
      <c r="H109" s="32"/>
      <c r="I109" s="32"/>
      <c r="J109" s="32"/>
      <c r="K109" s="33"/>
      <c r="L109" s="33"/>
    </row>
    <row r="110" spans="3:12" x14ac:dyDescent="0.15">
      <c r="C110" s="30"/>
      <c r="D110" s="30"/>
      <c r="E110" s="30"/>
      <c r="F110" s="30"/>
      <c r="G110" s="31"/>
      <c r="H110" s="32"/>
      <c r="I110" s="32"/>
      <c r="J110" s="32"/>
      <c r="K110" s="34"/>
      <c r="L110" s="34"/>
    </row>
    <row r="111" spans="3:12" x14ac:dyDescent="0.15">
      <c r="C111" s="485" t="s">
        <v>139</v>
      </c>
      <c r="D111" s="486"/>
      <c r="E111" s="486"/>
      <c r="F111" s="486"/>
      <c r="G111" s="486"/>
      <c r="H111" s="486"/>
      <c r="I111" s="486"/>
      <c r="J111" s="486"/>
      <c r="K111" s="486"/>
      <c r="L111" s="487"/>
    </row>
    <row r="112" spans="3:12" x14ac:dyDescent="0.15">
      <c r="C112" s="441" t="s">
        <v>38</v>
      </c>
      <c r="D112" s="441"/>
      <c r="E112" s="441"/>
      <c r="F112" s="441"/>
      <c r="G112" s="117"/>
      <c r="H112" s="419" t="s">
        <v>67</v>
      </c>
      <c r="I112" s="419"/>
      <c r="J112" s="419"/>
      <c r="K112" s="117" t="s">
        <v>21</v>
      </c>
      <c r="L112" s="117" t="s">
        <v>22</v>
      </c>
    </row>
    <row r="113" spans="3:12" s="35" customFormat="1" x14ac:dyDescent="0.15">
      <c r="C113" s="433"/>
      <c r="D113" s="434"/>
      <c r="E113" s="434"/>
      <c r="F113" s="435"/>
      <c r="G113" s="79"/>
      <c r="H113" s="488"/>
      <c r="I113" s="489"/>
      <c r="J113" s="490"/>
      <c r="K113" s="80"/>
      <c r="L113" s="85"/>
    </row>
    <row r="114" spans="3:12" x14ac:dyDescent="0.15">
      <c r="C114" s="433" t="s">
        <v>140</v>
      </c>
      <c r="D114" s="434"/>
      <c r="E114" s="434"/>
      <c r="F114" s="435"/>
      <c r="G114" s="86">
        <f>SUM(F52:F54)</f>
        <v>0</v>
      </c>
      <c r="H114" s="259"/>
      <c r="I114" s="484"/>
      <c r="J114" s="260"/>
      <c r="K114" s="86">
        <f>SUM(J45:J54)</f>
        <v>0</v>
      </c>
      <c r="L114" s="83"/>
    </row>
    <row r="115" spans="3:12" x14ac:dyDescent="0.15">
      <c r="C115" s="433" t="s">
        <v>69</v>
      </c>
      <c r="D115" s="434"/>
      <c r="E115" s="434"/>
      <c r="F115" s="435"/>
      <c r="G115" s="86">
        <f>J84</f>
        <v>0</v>
      </c>
      <c r="H115" s="320">
        <f>K84</f>
        <v>0</v>
      </c>
      <c r="I115" s="339"/>
      <c r="J115" s="321"/>
      <c r="K115" s="83"/>
      <c r="L115" s="439">
        <f>IF(H115&lt;H116,H115,H116)</f>
        <v>0</v>
      </c>
    </row>
    <row r="116" spans="3:12" x14ac:dyDescent="0.15">
      <c r="C116" s="433" t="s">
        <v>141</v>
      </c>
      <c r="D116" s="434"/>
      <c r="E116" s="434"/>
      <c r="F116" s="435"/>
      <c r="G116" s="85"/>
      <c r="H116" s="320">
        <f>K97</f>
        <v>0</v>
      </c>
      <c r="I116" s="339"/>
      <c r="J116" s="321"/>
      <c r="K116" s="83"/>
      <c r="L116" s="440"/>
    </row>
    <row r="117" spans="3:12" x14ac:dyDescent="0.15">
      <c r="C117" s="433" t="s">
        <v>77</v>
      </c>
      <c r="D117" s="434"/>
      <c r="E117" s="434"/>
      <c r="F117" s="435"/>
      <c r="G117" s="85"/>
      <c r="H117" s="472">
        <f>H115-H116</f>
        <v>0</v>
      </c>
      <c r="I117" s="473"/>
      <c r="J117" s="474"/>
      <c r="K117" s="83"/>
      <c r="L117" s="87"/>
    </row>
    <row r="118" spans="3:12" x14ac:dyDescent="0.15">
      <c r="C118" s="478" t="s">
        <v>79</v>
      </c>
      <c r="D118" s="479"/>
      <c r="E118" s="479"/>
      <c r="F118" s="480"/>
      <c r="G118" s="88"/>
      <c r="H118" s="481"/>
      <c r="I118" s="482"/>
      <c r="J118" s="483"/>
      <c r="K118" s="89">
        <f>K114-(L113+L115)</f>
        <v>0</v>
      </c>
      <c r="L118" s="83"/>
    </row>
    <row r="119" spans="3:12" x14ac:dyDescent="0.15">
      <c r="C119" s="433" t="s">
        <v>134</v>
      </c>
      <c r="D119" s="434"/>
      <c r="E119" s="434"/>
      <c r="F119" s="181">
        <v>1.0999999999999999E-2</v>
      </c>
      <c r="G119" s="86">
        <f>F52</f>
        <v>0</v>
      </c>
      <c r="H119" s="462">
        <f>ROUND(G119*F119,2)</f>
        <v>0</v>
      </c>
      <c r="I119" s="463"/>
      <c r="J119" s="464"/>
      <c r="K119" s="89"/>
      <c r="L119" s="83"/>
    </row>
    <row r="120" spans="3:12" x14ac:dyDescent="0.15">
      <c r="C120" s="433" t="s">
        <v>186</v>
      </c>
      <c r="D120" s="434"/>
      <c r="E120" s="434"/>
      <c r="F120" s="233">
        <v>1.2500000000000001E-2</v>
      </c>
      <c r="G120" s="86">
        <f>F53+F54</f>
        <v>0</v>
      </c>
      <c r="H120" s="462">
        <f>ROUND(G120*F120,2)</f>
        <v>0</v>
      </c>
      <c r="I120" s="463"/>
      <c r="J120" s="464"/>
      <c r="K120" s="89"/>
      <c r="L120" s="83"/>
    </row>
    <row r="121" spans="3:12" x14ac:dyDescent="0.15">
      <c r="C121" s="478" t="s">
        <v>132</v>
      </c>
      <c r="D121" s="479"/>
      <c r="E121" s="479"/>
      <c r="F121" s="480"/>
      <c r="G121" s="88"/>
      <c r="H121" s="459">
        <f>SUM(H119:H120)</f>
        <v>0</v>
      </c>
      <c r="I121" s="460"/>
      <c r="J121" s="461"/>
      <c r="K121" s="89"/>
      <c r="L121" s="83"/>
    </row>
    <row r="122" spans="3:12" x14ac:dyDescent="0.15">
      <c r="C122" s="433" t="s">
        <v>142</v>
      </c>
      <c r="D122" s="434"/>
      <c r="E122" s="434"/>
      <c r="F122" s="435"/>
      <c r="G122" s="85"/>
      <c r="H122" s="259"/>
      <c r="I122" s="484"/>
      <c r="J122" s="260"/>
      <c r="K122" s="89"/>
      <c r="L122" s="120">
        <f>K114-L113-L115-H121</f>
        <v>0</v>
      </c>
    </row>
    <row r="123" spans="3:12" x14ac:dyDescent="0.15">
      <c r="C123" s="433" t="s">
        <v>76</v>
      </c>
      <c r="D123" s="434"/>
      <c r="E123" s="434"/>
      <c r="F123" s="435"/>
      <c r="G123" s="85"/>
      <c r="H123" s="322"/>
      <c r="I123" s="323"/>
      <c r="J123" s="324"/>
      <c r="K123" s="89">
        <f>K118</f>
        <v>0</v>
      </c>
      <c r="L123" s="89">
        <f>SUM(L114:L122)</f>
        <v>0</v>
      </c>
    </row>
    <row r="124" spans="3:12" ht="12.95" customHeight="1" x14ac:dyDescent="0.15">
      <c r="C124" s="443" t="s">
        <v>133</v>
      </c>
      <c r="D124" s="444"/>
      <c r="E124" s="444"/>
      <c r="F124" s="445"/>
      <c r="G124" s="90">
        <f>SUM(G119:G120)</f>
        <v>0</v>
      </c>
      <c r="H124" s="177" t="e">
        <f>K124/G124</f>
        <v>#DIV/0!</v>
      </c>
      <c r="I124" s="175"/>
      <c r="J124" s="176"/>
      <c r="K124" s="89">
        <f>K123-L122</f>
        <v>0</v>
      </c>
      <c r="L124" s="91"/>
    </row>
    <row r="125" spans="3:12" ht="12.95" customHeight="1" x14ac:dyDescent="0.15">
      <c r="C125" s="36"/>
      <c r="D125" s="36"/>
      <c r="E125" s="36"/>
      <c r="F125" s="36"/>
      <c r="G125" s="37"/>
      <c r="H125" s="37"/>
      <c r="I125" s="37"/>
      <c r="J125" s="37"/>
      <c r="K125" s="32"/>
      <c r="L125" s="32"/>
    </row>
    <row r="126" spans="3:12" x14ac:dyDescent="0.15">
      <c r="H126" s="38"/>
      <c r="I126" s="38"/>
      <c r="J126" s="38"/>
      <c r="K126" s="38"/>
      <c r="L126" s="38"/>
    </row>
    <row r="127" spans="3:12" x14ac:dyDescent="0.15">
      <c r="C127" s="475" t="s">
        <v>143</v>
      </c>
      <c r="D127" s="476"/>
      <c r="E127" s="476"/>
      <c r="F127" s="476"/>
      <c r="G127" s="476"/>
      <c r="H127" s="476"/>
      <c r="I127" s="476"/>
      <c r="J127" s="476"/>
      <c r="K127" s="476"/>
      <c r="L127" s="477"/>
    </row>
    <row r="128" spans="3:12" x14ac:dyDescent="0.15">
      <c r="C128" s="441" t="s">
        <v>38</v>
      </c>
      <c r="D128" s="441"/>
      <c r="E128" s="441"/>
      <c r="F128" s="441"/>
      <c r="G128" s="117"/>
      <c r="H128" s="419" t="s">
        <v>67</v>
      </c>
      <c r="I128" s="419"/>
      <c r="J128" s="419"/>
      <c r="K128" s="117" t="s">
        <v>21</v>
      </c>
      <c r="L128" s="117" t="s">
        <v>22</v>
      </c>
    </row>
    <row r="129" spans="3:12" s="35" customFormat="1" x14ac:dyDescent="0.15">
      <c r="C129" s="433" t="s">
        <v>81</v>
      </c>
      <c r="D129" s="434"/>
      <c r="E129" s="434"/>
      <c r="F129" s="435"/>
      <c r="G129" s="79"/>
      <c r="H129" s="488"/>
      <c r="I129" s="489"/>
      <c r="J129" s="490"/>
      <c r="K129" s="80"/>
      <c r="L129" s="100"/>
    </row>
    <row r="130" spans="3:12" x14ac:dyDescent="0.15">
      <c r="C130" s="433" t="s">
        <v>70</v>
      </c>
      <c r="D130" s="434"/>
      <c r="E130" s="434"/>
      <c r="F130" s="435"/>
      <c r="G130" s="86">
        <f>SUM(E55:E63)</f>
        <v>0</v>
      </c>
      <c r="H130" s="259"/>
      <c r="I130" s="484"/>
      <c r="J130" s="260"/>
      <c r="K130" s="86">
        <f>SUM(J55:J63)</f>
        <v>0</v>
      </c>
      <c r="L130" s="92"/>
    </row>
    <row r="131" spans="3:12" x14ac:dyDescent="0.15">
      <c r="C131" s="433" t="s">
        <v>30</v>
      </c>
      <c r="D131" s="434"/>
      <c r="E131" s="434"/>
      <c r="F131" s="435"/>
      <c r="G131" s="85"/>
      <c r="H131" s="320">
        <f>G25</f>
        <v>0</v>
      </c>
      <c r="I131" s="339"/>
      <c r="J131" s="321"/>
      <c r="K131" s="83"/>
      <c r="L131" s="83"/>
    </row>
    <row r="132" spans="3:12" x14ac:dyDescent="0.15">
      <c r="C132" s="433" t="s">
        <v>119</v>
      </c>
      <c r="D132" s="434"/>
      <c r="E132" s="434"/>
      <c r="F132" s="435"/>
      <c r="G132" s="85"/>
      <c r="H132" s="320">
        <f>-J97</f>
        <v>0</v>
      </c>
      <c r="I132" s="339"/>
      <c r="J132" s="321"/>
      <c r="K132" s="83"/>
      <c r="L132" s="92"/>
    </row>
    <row r="133" spans="3:12" x14ac:dyDescent="0.15">
      <c r="C133" s="433" t="s">
        <v>144</v>
      </c>
      <c r="D133" s="434"/>
      <c r="E133" s="434"/>
      <c r="F133" s="435"/>
      <c r="G133" s="85"/>
      <c r="H133" s="320">
        <f>-K97</f>
        <v>0</v>
      </c>
      <c r="I133" s="339"/>
      <c r="J133" s="321"/>
      <c r="K133" s="83"/>
      <c r="L133" s="92"/>
    </row>
    <row r="134" spans="3:12" x14ac:dyDescent="0.15">
      <c r="C134" s="433" t="s">
        <v>71</v>
      </c>
      <c r="D134" s="434"/>
      <c r="E134" s="434"/>
      <c r="F134" s="435"/>
      <c r="G134" s="85"/>
      <c r="H134" s="320">
        <f>SUM(H131:J133)</f>
        <v>0</v>
      </c>
      <c r="I134" s="339"/>
      <c r="J134" s="321"/>
      <c r="K134" s="83"/>
      <c r="L134" s="86">
        <f>H134</f>
        <v>0</v>
      </c>
    </row>
    <row r="135" spans="3:12" x14ac:dyDescent="0.15">
      <c r="C135" s="433" t="s">
        <v>98</v>
      </c>
      <c r="D135" s="434"/>
      <c r="E135" s="434"/>
      <c r="F135" s="435"/>
      <c r="G135" s="85"/>
      <c r="H135" s="322"/>
      <c r="I135" s="323"/>
      <c r="J135" s="324"/>
      <c r="K135" s="86">
        <f>SUM(J65:J73)</f>
        <v>0</v>
      </c>
      <c r="L135" s="83"/>
    </row>
    <row r="136" spans="3:12" x14ac:dyDescent="0.15">
      <c r="C136" s="433" t="s">
        <v>99</v>
      </c>
      <c r="D136" s="434"/>
      <c r="E136" s="434"/>
      <c r="F136" s="435"/>
      <c r="G136" s="85"/>
      <c r="H136" s="322"/>
      <c r="I136" s="323"/>
      <c r="J136" s="324"/>
      <c r="K136" s="83"/>
      <c r="L136" s="86">
        <f>SUM(G26:G30)</f>
        <v>0</v>
      </c>
    </row>
    <row r="137" spans="3:12" x14ac:dyDescent="0.15">
      <c r="C137" s="433" t="s">
        <v>153</v>
      </c>
      <c r="D137" s="434"/>
      <c r="E137" s="434"/>
      <c r="F137" s="435"/>
      <c r="G137" s="86">
        <f>F65</f>
        <v>0</v>
      </c>
      <c r="H137" s="259"/>
      <c r="I137" s="484"/>
      <c r="J137" s="260"/>
      <c r="K137" s="93"/>
      <c r="L137" s="100"/>
    </row>
    <row r="138" spans="3:12" x14ac:dyDescent="0.15">
      <c r="C138" s="491" t="s">
        <v>154</v>
      </c>
      <c r="D138" s="492"/>
      <c r="E138" s="492"/>
      <c r="F138" s="493"/>
      <c r="G138" s="86">
        <f>F68</f>
        <v>0</v>
      </c>
      <c r="H138" s="436"/>
      <c r="I138" s="437"/>
      <c r="J138" s="438"/>
      <c r="K138" s="83"/>
      <c r="L138" s="100"/>
    </row>
    <row r="139" spans="3:12" s="29" customFormat="1" x14ac:dyDescent="0.15">
      <c r="C139" s="478" t="s">
        <v>80</v>
      </c>
      <c r="D139" s="479"/>
      <c r="E139" s="479"/>
      <c r="F139" s="480"/>
      <c r="G139" s="88"/>
      <c r="H139" s="481"/>
      <c r="I139" s="482"/>
      <c r="J139" s="483"/>
      <c r="K139" s="459">
        <f>K130+K135-(L129+L134+L136+L137+L138)</f>
        <v>0</v>
      </c>
      <c r="L139" s="461"/>
    </row>
    <row r="140" spans="3:12" ht="13.5" x14ac:dyDescent="0.15">
      <c r="C140" s="518" t="s">
        <v>152</v>
      </c>
      <c r="D140" s="518"/>
      <c r="E140" s="518"/>
      <c r="F140" s="518"/>
      <c r="G140" s="518"/>
      <c r="H140" s="518"/>
      <c r="I140" s="518"/>
      <c r="J140" s="518"/>
      <c r="K140" s="40"/>
      <c r="L140" s="40"/>
    </row>
    <row r="141" spans="3:12" ht="13.5" thickBot="1" x14ac:dyDescent="0.2">
      <c r="C141" s="39"/>
      <c r="D141" s="39"/>
      <c r="E141" s="39"/>
      <c r="F141" s="39"/>
      <c r="G141" s="32"/>
      <c r="H141" s="32"/>
      <c r="I141" s="32"/>
      <c r="J141" s="32"/>
      <c r="K141" s="40"/>
      <c r="L141" s="40"/>
    </row>
    <row r="142" spans="3:12" ht="13.5" thickBot="1" x14ac:dyDescent="0.2">
      <c r="C142" s="514" t="s">
        <v>82</v>
      </c>
      <c r="D142" s="515"/>
      <c r="E142" s="515"/>
      <c r="F142" s="515"/>
      <c r="G142" s="515"/>
      <c r="H142" s="515"/>
      <c r="I142" s="515"/>
      <c r="J142" s="516"/>
      <c r="K142" s="40"/>
      <c r="L142" s="40"/>
    </row>
    <row r="143" spans="3:12" x14ac:dyDescent="0.15">
      <c r="C143" s="517" t="s">
        <v>20</v>
      </c>
      <c r="D143" s="517"/>
      <c r="E143" s="517"/>
      <c r="F143" s="517"/>
      <c r="G143" s="118" t="s">
        <v>187</v>
      </c>
      <c r="H143" s="465" t="s">
        <v>104</v>
      </c>
      <c r="I143" s="466"/>
      <c r="J143" s="467"/>
      <c r="K143" s="40"/>
      <c r="L143" s="40"/>
    </row>
    <row r="144" spans="3:12" x14ac:dyDescent="0.15">
      <c r="C144" s="325" t="s">
        <v>120</v>
      </c>
      <c r="D144" s="325"/>
      <c r="E144" s="325"/>
      <c r="F144" s="325"/>
      <c r="G144" s="231"/>
      <c r="H144" s="462">
        <f>K107</f>
        <v>0</v>
      </c>
      <c r="I144" s="463"/>
      <c r="J144" s="464"/>
      <c r="K144" s="40"/>
      <c r="L144" s="40"/>
    </row>
    <row r="145" spans="3:12" x14ac:dyDescent="0.15">
      <c r="C145" s="325" t="s">
        <v>145</v>
      </c>
      <c r="D145" s="325"/>
      <c r="E145" s="325"/>
      <c r="F145" s="325"/>
      <c r="G145" s="94">
        <f>K124</f>
        <v>0</v>
      </c>
      <c r="H145" s="511"/>
      <c r="I145" s="512"/>
      <c r="J145" s="513"/>
      <c r="K145" s="40"/>
      <c r="L145" s="40"/>
    </row>
    <row r="146" spans="3:12" x14ac:dyDescent="0.15">
      <c r="C146" s="325" t="s">
        <v>83</v>
      </c>
      <c r="D146" s="325"/>
      <c r="E146" s="325"/>
      <c r="F146" s="325"/>
      <c r="G146" s="231"/>
      <c r="H146" s="462">
        <f>K139</f>
        <v>0</v>
      </c>
      <c r="I146" s="463"/>
      <c r="J146" s="464"/>
      <c r="K146" s="40"/>
      <c r="L146" s="40"/>
    </row>
    <row r="147" spans="3:12" x14ac:dyDescent="0.15">
      <c r="C147" s="458" t="s">
        <v>84</v>
      </c>
      <c r="D147" s="458"/>
      <c r="E147" s="458"/>
      <c r="F147" s="458"/>
      <c r="G147" s="95">
        <f>SUM(G144:G146)</f>
        <v>0</v>
      </c>
      <c r="H147" s="459">
        <f>SUM(H144+H146)</f>
        <v>0</v>
      </c>
      <c r="I147" s="460"/>
      <c r="J147" s="461"/>
      <c r="K147" s="40"/>
      <c r="L147" s="40"/>
    </row>
    <row r="148" spans="3:12" ht="12.95" customHeight="1" x14ac:dyDescent="0.15">
      <c r="C148" s="41"/>
      <c r="D148" s="41"/>
      <c r="E148" s="41"/>
      <c r="F148" s="41"/>
      <c r="G148" s="42"/>
      <c r="H148" s="37"/>
      <c r="I148" s="37"/>
      <c r="J148" s="37"/>
      <c r="K148" s="32"/>
      <c r="L148" s="32"/>
    </row>
    <row r="149" spans="3:12" ht="12.95" customHeight="1" thickBot="1" x14ac:dyDescent="0.2">
      <c r="C149" s="36"/>
      <c r="D149" s="36"/>
      <c r="E149" s="36"/>
      <c r="F149" s="36"/>
      <c r="G149" s="37"/>
      <c r="H149" s="37"/>
      <c r="I149" s="37"/>
      <c r="J149" s="37"/>
      <c r="K149" s="32"/>
      <c r="L149" s="32"/>
    </row>
    <row r="150" spans="3:12" ht="13.5" thickBot="1" x14ac:dyDescent="0.2">
      <c r="C150" s="341" t="s">
        <v>19</v>
      </c>
      <c r="D150" s="342"/>
      <c r="E150" s="342"/>
      <c r="F150" s="342"/>
      <c r="G150" s="342"/>
      <c r="H150" s="342"/>
      <c r="I150" s="342"/>
      <c r="J150" s="343"/>
    </row>
    <row r="151" spans="3:12" ht="12.95" customHeight="1" x14ac:dyDescent="0.15">
      <c r="C151" s="452" t="s">
        <v>20</v>
      </c>
      <c r="D151" s="457"/>
      <c r="E151" s="453"/>
      <c r="F151" s="452" t="s">
        <v>21</v>
      </c>
      <c r="G151" s="453"/>
      <c r="H151" s="452" t="s">
        <v>22</v>
      </c>
      <c r="I151" s="457"/>
      <c r="J151" s="453"/>
      <c r="K151" s="43"/>
    </row>
    <row r="152" spans="3:12" x14ac:dyDescent="0.15">
      <c r="C152" s="242" t="s">
        <v>23</v>
      </c>
      <c r="D152" s="281"/>
      <c r="E152" s="243"/>
      <c r="F152" s="292">
        <f>J74</f>
        <v>0</v>
      </c>
      <c r="G152" s="294"/>
      <c r="H152" s="336"/>
      <c r="I152" s="337"/>
      <c r="J152" s="338"/>
      <c r="K152" s="18"/>
    </row>
    <row r="153" spans="3:12" x14ac:dyDescent="0.15">
      <c r="C153" s="261" t="s">
        <v>121</v>
      </c>
      <c r="D153" s="281"/>
      <c r="E153" s="243"/>
      <c r="F153" s="292">
        <f>J97</f>
        <v>0</v>
      </c>
      <c r="G153" s="294"/>
      <c r="H153" s="336"/>
      <c r="I153" s="337"/>
      <c r="J153" s="338"/>
      <c r="K153" s="18"/>
    </row>
    <row r="154" spans="3:12" x14ac:dyDescent="0.15">
      <c r="C154" s="261" t="s">
        <v>146</v>
      </c>
      <c r="D154" s="281"/>
      <c r="E154" s="243"/>
      <c r="F154" s="292">
        <f>K97</f>
        <v>0</v>
      </c>
      <c r="G154" s="294"/>
      <c r="H154" s="336"/>
      <c r="I154" s="337"/>
      <c r="J154" s="338"/>
      <c r="K154" s="18"/>
    </row>
    <row r="155" spans="3:12" x14ac:dyDescent="0.15">
      <c r="C155" s="242" t="s">
        <v>50</v>
      </c>
      <c r="D155" s="281"/>
      <c r="E155" s="243"/>
      <c r="F155" s="255">
        <v>0</v>
      </c>
      <c r="G155" s="256"/>
      <c r="H155" s="336"/>
      <c r="I155" s="337"/>
      <c r="J155" s="338"/>
      <c r="K155" s="18"/>
    </row>
    <row r="156" spans="3:12" x14ac:dyDescent="0.15">
      <c r="C156" s="242" t="s">
        <v>28</v>
      </c>
      <c r="D156" s="281"/>
      <c r="E156" s="243"/>
      <c r="F156" s="309">
        <v>0</v>
      </c>
      <c r="G156" s="309"/>
      <c r="H156" s="340">
        <f>G31</f>
        <v>0</v>
      </c>
      <c r="I156" s="340"/>
      <c r="J156" s="340"/>
      <c r="K156" s="18"/>
    </row>
    <row r="157" spans="3:12" ht="12.95" customHeight="1" x14ac:dyDescent="0.15">
      <c r="C157" s="454" t="s">
        <v>109</v>
      </c>
      <c r="D157" s="455"/>
      <c r="E157" s="456"/>
      <c r="F157" s="333"/>
      <c r="G157" s="334"/>
      <c r="H157" s="292">
        <f>L105</f>
        <v>0</v>
      </c>
      <c r="I157" s="293"/>
      <c r="J157" s="294"/>
      <c r="K157" s="18"/>
    </row>
    <row r="158" spans="3:12" ht="12.95" customHeight="1" x14ac:dyDescent="0.15">
      <c r="C158" s="449" t="s">
        <v>110</v>
      </c>
      <c r="D158" s="450"/>
      <c r="E158" s="451"/>
      <c r="F158" s="333"/>
      <c r="G158" s="334"/>
      <c r="H158" s="292">
        <f>L123</f>
        <v>0</v>
      </c>
      <c r="I158" s="293"/>
      <c r="J158" s="294"/>
      <c r="K158" s="18"/>
    </row>
    <row r="159" spans="3:12" x14ac:dyDescent="0.15">
      <c r="C159" s="242" t="s">
        <v>48</v>
      </c>
      <c r="D159" s="281"/>
      <c r="E159" s="243"/>
      <c r="F159" s="314"/>
      <c r="G159" s="314"/>
      <c r="H159" s="340">
        <f>L137+L138</f>
        <v>0</v>
      </c>
      <c r="I159" s="340"/>
      <c r="J159" s="340"/>
      <c r="K159" s="18"/>
    </row>
    <row r="160" spans="3:12" x14ac:dyDescent="0.15">
      <c r="C160" s="242" t="s">
        <v>50</v>
      </c>
      <c r="D160" s="281"/>
      <c r="E160" s="243"/>
      <c r="F160" s="314"/>
      <c r="G160" s="314"/>
      <c r="H160" s="309"/>
      <c r="I160" s="309"/>
      <c r="J160" s="309"/>
      <c r="K160" s="18"/>
    </row>
    <row r="161" spans="3:12" x14ac:dyDescent="0.15">
      <c r="C161" s="261" t="s">
        <v>112</v>
      </c>
      <c r="D161" s="281"/>
      <c r="E161" s="243"/>
      <c r="F161" s="521"/>
      <c r="G161" s="522"/>
      <c r="H161" s="470"/>
      <c r="I161" s="510"/>
      <c r="J161" s="471"/>
      <c r="K161" s="18"/>
    </row>
    <row r="162" spans="3:12" x14ac:dyDescent="0.15">
      <c r="C162" s="261" t="s">
        <v>107</v>
      </c>
      <c r="D162" s="281"/>
      <c r="E162" s="243"/>
      <c r="F162" s="318"/>
      <c r="G162" s="319"/>
      <c r="H162" s="292">
        <f>K124</f>
        <v>0</v>
      </c>
      <c r="I162" s="293"/>
      <c r="J162" s="294"/>
      <c r="K162" s="18"/>
    </row>
    <row r="163" spans="3:12" x14ac:dyDescent="0.15">
      <c r="C163" s="312" t="s">
        <v>24</v>
      </c>
      <c r="D163" s="312"/>
      <c r="E163" s="312"/>
      <c r="F163" s="326">
        <f>SUM(F152:F162)</f>
        <v>0</v>
      </c>
      <c r="G163" s="326"/>
      <c r="H163" s="446">
        <f>SUM(H152:H162)</f>
        <v>0</v>
      </c>
      <c r="I163" s="447"/>
      <c r="J163" s="448"/>
      <c r="K163" s="44"/>
    </row>
    <row r="164" spans="3:12" x14ac:dyDescent="0.15">
      <c r="C164" s="329"/>
      <c r="D164" s="330"/>
      <c r="E164" s="331"/>
      <c r="F164" s="255"/>
      <c r="G164" s="256"/>
      <c r="H164" s="310"/>
      <c r="I164" s="311"/>
      <c r="J164" s="256"/>
      <c r="K164" s="18"/>
    </row>
    <row r="165" spans="3:12" x14ac:dyDescent="0.15">
      <c r="C165" s="312" t="s">
        <v>25</v>
      </c>
      <c r="D165" s="312"/>
      <c r="E165" s="312"/>
      <c r="F165" s="309"/>
      <c r="G165" s="309"/>
      <c r="H165" s="309"/>
      <c r="I165" s="309"/>
      <c r="J165" s="309"/>
      <c r="K165" s="18"/>
    </row>
    <row r="166" spans="3:12" x14ac:dyDescent="0.15">
      <c r="C166" s="261" t="s">
        <v>57</v>
      </c>
      <c r="D166" s="301"/>
      <c r="E166" s="302"/>
      <c r="F166" s="320">
        <f>-(L103+L129)</f>
        <v>0</v>
      </c>
      <c r="G166" s="321"/>
      <c r="H166" s="336"/>
      <c r="I166" s="337"/>
      <c r="J166" s="338"/>
      <c r="K166" s="18"/>
    </row>
    <row r="167" spans="3:12" x14ac:dyDescent="0.15">
      <c r="C167" s="371" t="s">
        <v>26</v>
      </c>
      <c r="D167" s="371"/>
      <c r="E167" s="371"/>
      <c r="F167" s="502">
        <f>F163</f>
        <v>0</v>
      </c>
      <c r="G167" s="503"/>
      <c r="H167" s="314"/>
      <c r="I167" s="314"/>
      <c r="J167" s="314"/>
      <c r="K167" s="18"/>
    </row>
    <row r="168" spans="3:12" ht="13.5" thickBot="1" x14ac:dyDescent="0.2">
      <c r="C168" s="501" t="s">
        <v>27</v>
      </c>
      <c r="D168" s="501"/>
      <c r="E168" s="501"/>
      <c r="F168" s="246">
        <f>-H163</f>
        <v>0</v>
      </c>
      <c r="G168" s="246"/>
      <c r="H168" s="523"/>
      <c r="I168" s="523"/>
      <c r="J168" s="523"/>
      <c r="K168" s="18"/>
    </row>
    <row r="169" spans="3:12" ht="13.5" x14ac:dyDescent="0.15">
      <c r="C169" s="306" t="s">
        <v>29</v>
      </c>
      <c r="D169" s="307"/>
      <c r="E169" s="308"/>
      <c r="F169" s="494">
        <f>(F167+F168+F166)</f>
        <v>0</v>
      </c>
      <c r="G169" s="495"/>
      <c r="H169" s="290" t="s">
        <v>150</v>
      </c>
      <c r="I169" s="291"/>
      <c r="J169" s="291"/>
      <c r="K169" s="274"/>
      <c r="L169" s="274"/>
    </row>
    <row r="170" spans="3:12" ht="15" customHeight="1" thickBot="1" x14ac:dyDescent="0.2">
      <c r="C170" s="315" t="s">
        <v>103</v>
      </c>
      <c r="D170" s="316"/>
      <c r="E170" s="317"/>
      <c r="F170" s="496">
        <f>K124</f>
        <v>0</v>
      </c>
      <c r="G170" s="497"/>
      <c r="H170" s="290" t="s">
        <v>151</v>
      </c>
      <c r="I170" s="291"/>
      <c r="J170" s="291"/>
      <c r="K170" s="274"/>
      <c r="L170" s="274"/>
    </row>
    <row r="171" spans="3:12" ht="29.25" customHeight="1" thickBot="1" x14ac:dyDescent="0.2">
      <c r="C171" s="505" t="s">
        <v>135</v>
      </c>
      <c r="D171" s="506"/>
      <c r="E171" s="507" t="s">
        <v>192</v>
      </c>
      <c r="F171" s="507"/>
      <c r="G171" s="507"/>
      <c r="H171" s="508"/>
      <c r="I171" s="508"/>
      <c r="J171" s="509"/>
      <c r="K171" s="274"/>
      <c r="L171" s="274"/>
    </row>
    <row r="172" spans="3:12" ht="13.5" x14ac:dyDescent="0.15">
      <c r="C172" s="275"/>
      <c r="D172" s="276"/>
      <c r="E172" s="442"/>
      <c r="F172" s="442"/>
      <c r="G172" s="442"/>
      <c r="H172" s="442"/>
      <c r="I172" s="442"/>
      <c r="J172" s="442"/>
    </row>
    <row r="173" spans="3:12" ht="13.5" x14ac:dyDescent="0.15">
      <c r="C173" s="277"/>
      <c r="D173" s="278"/>
      <c r="E173" s="182"/>
      <c r="F173" s="182"/>
      <c r="G173" s="182"/>
      <c r="H173" s="182"/>
      <c r="I173" s="182"/>
      <c r="J173" s="182"/>
    </row>
    <row r="174" spans="3:12" ht="13.5" x14ac:dyDescent="0.15">
      <c r="C174" s="277"/>
      <c r="D174" s="278"/>
      <c r="E174" s="182"/>
      <c r="F174" s="182"/>
      <c r="G174" s="182"/>
      <c r="H174" s="182"/>
      <c r="I174" s="182"/>
      <c r="J174" s="182"/>
    </row>
    <row r="175" spans="3:12" ht="13.5" thickBot="1" x14ac:dyDescent="0.2">
      <c r="C175" s="279"/>
      <c r="D175" s="280"/>
    </row>
    <row r="176" spans="3:12" x14ac:dyDescent="0.15">
      <c r="C176" s="183"/>
      <c r="D176" s="183"/>
    </row>
    <row r="177" spans="3:11" ht="13.5" thickBot="1" x14ac:dyDescent="0.2"/>
    <row r="178" spans="3:11" ht="13.5" thickBot="1" x14ac:dyDescent="0.2">
      <c r="C178" s="341" t="s">
        <v>40</v>
      </c>
      <c r="D178" s="342"/>
      <c r="E178" s="342"/>
      <c r="F178" s="342"/>
      <c r="G178" s="342"/>
      <c r="H178" s="342"/>
      <c r="I178" s="342"/>
      <c r="J178" s="343"/>
    </row>
    <row r="179" spans="3:11" ht="13.5" thickBot="1" x14ac:dyDescent="0.2">
      <c r="C179" s="239" t="s">
        <v>33</v>
      </c>
      <c r="D179" s="240"/>
      <c r="E179" s="504"/>
      <c r="F179" s="239" t="s">
        <v>89</v>
      </c>
      <c r="G179" s="240"/>
      <c r="H179" s="240"/>
      <c r="I179" s="240"/>
      <c r="J179" s="241"/>
      <c r="K179" s="45"/>
    </row>
    <row r="180" spans="3:11" x14ac:dyDescent="0.15">
      <c r="C180" s="46" t="s">
        <v>35</v>
      </c>
      <c r="D180" s="46" t="s">
        <v>34</v>
      </c>
      <c r="E180" s="46" t="s">
        <v>36</v>
      </c>
      <c r="F180" s="498" t="s">
        <v>90</v>
      </c>
      <c r="G180" s="499"/>
      <c r="H180" s="313">
        <f>-G25</f>
        <v>0</v>
      </c>
      <c r="I180" s="313"/>
      <c r="J180" s="265"/>
      <c r="K180" s="47"/>
    </row>
    <row r="181" spans="3:11" x14ac:dyDescent="0.15">
      <c r="C181" s="14" t="s">
        <v>86</v>
      </c>
      <c r="D181" s="105"/>
      <c r="E181" s="69"/>
      <c r="F181" s="273" t="s">
        <v>156</v>
      </c>
      <c r="G181" s="235"/>
      <c r="H181" s="247">
        <f>+J97</f>
        <v>0</v>
      </c>
      <c r="I181" s="247"/>
      <c r="J181" s="248"/>
      <c r="K181" s="47"/>
    </row>
    <row r="182" spans="3:11" x14ac:dyDescent="0.15">
      <c r="C182" s="64">
        <f>E83</f>
        <v>0</v>
      </c>
      <c r="D182" s="106">
        <v>7.0000000000000007E-2</v>
      </c>
      <c r="E182" s="71">
        <f>ROUND(C182*D182,2)</f>
        <v>0</v>
      </c>
      <c r="F182" s="273" t="s">
        <v>157</v>
      </c>
      <c r="G182" s="235"/>
      <c r="H182" s="247">
        <f>+K97</f>
        <v>0</v>
      </c>
      <c r="I182" s="247"/>
      <c r="J182" s="248"/>
      <c r="K182" s="47"/>
    </row>
    <row r="183" spans="3:11" x14ac:dyDescent="0.15">
      <c r="C183" s="11" t="s">
        <v>87</v>
      </c>
      <c r="D183" s="106"/>
      <c r="E183" s="69"/>
      <c r="F183" s="297" t="s">
        <v>56</v>
      </c>
      <c r="G183" s="238"/>
      <c r="H183" s="295">
        <f>SUM(H180:J182)</f>
        <v>0</v>
      </c>
      <c r="I183" s="296"/>
      <c r="J183" s="296"/>
      <c r="K183" s="47"/>
    </row>
    <row r="184" spans="3:11" x14ac:dyDescent="0.15">
      <c r="C184" s="64">
        <f>J83</f>
        <v>0</v>
      </c>
      <c r="D184" s="106">
        <v>7.0000000000000007E-2</v>
      </c>
      <c r="E184" s="71">
        <f>ROUND(C184*D184,2)</f>
        <v>0</v>
      </c>
      <c r="F184" s="273" t="s">
        <v>91</v>
      </c>
      <c r="G184" s="235"/>
      <c r="H184" s="247">
        <f>SUM(J55:J63)</f>
        <v>0</v>
      </c>
      <c r="I184" s="247"/>
      <c r="J184" s="248"/>
      <c r="K184" s="47"/>
    </row>
    <row r="185" spans="3:11" x14ac:dyDescent="0.15">
      <c r="C185" s="64" t="s">
        <v>128</v>
      </c>
      <c r="D185" s="106"/>
      <c r="E185" s="71">
        <f>K83-E184</f>
        <v>0</v>
      </c>
      <c r="F185" s="168"/>
      <c r="G185" s="167"/>
      <c r="H185" s="166"/>
      <c r="I185" s="169"/>
      <c r="J185" s="169"/>
      <c r="K185" s="47"/>
    </row>
    <row r="186" spans="3:11" x14ac:dyDescent="0.15">
      <c r="C186" s="11" t="s">
        <v>129</v>
      </c>
      <c r="D186" s="105"/>
      <c r="E186" s="69">
        <f>E182-E184-E185</f>
        <v>0</v>
      </c>
      <c r="F186" s="242"/>
      <c r="G186" s="243"/>
      <c r="H186" s="271"/>
      <c r="I186" s="272"/>
      <c r="J186" s="272"/>
      <c r="K186" s="47"/>
    </row>
    <row r="187" spans="3:11" x14ac:dyDescent="0.15">
      <c r="C187" s="65"/>
      <c r="D187" s="107"/>
      <c r="E187" s="76"/>
      <c r="F187" s="261" t="s">
        <v>102</v>
      </c>
      <c r="G187" s="243"/>
      <c r="H187" s="292">
        <f>L137+L138</f>
        <v>0</v>
      </c>
      <c r="I187" s="293"/>
      <c r="J187" s="294"/>
      <c r="K187" s="47"/>
    </row>
    <row r="188" spans="3:11" x14ac:dyDescent="0.15">
      <c r="C188" s="49" t="s">
        <v>88</v>
      </c>
      <c r="D188" s="50"/>
      <c r="E188" s="76">
        <f>IF(H105&lt;H106,H106-H105,0)</f>
        <v>0</v>
      </c>
      <c r="F188" s="298"/>
      <c r="G188" s="299"/>
      <c r="H188" s="268"/>
      <c r="I188" s="269"/>
      <c r="J188" s="270"/>
      <c r="K188" s="47"/>
    </row>
    <row r="189" spans="3:11" x14ac:dyDescent="0.15">
      <c r="C189" s="49" t="s">
        <v>54</v>
      </c>
      <c r="D189" s="50"/>
      <c r="E189" s="72"/>
      <c r="F189" s="261" t="s">
        <v>100</v>
      </c>
      <c r="G189" s="243"/>
      <c r="H189" s="292">
        <f>SUM(J65:J73)</f>
        <v>0</v>
      </c>
      <c r="I189" s="293"/>
      <c r="J189" s="294"/>
      <c r="K189" s="47"/>
    </row>
    <row r="190" spans="3:11" x14ac:dyDescent="0.15">
      <c r="C190" s="49" t="s">
        <v>59</v>
      </c>
      <c r="D190" s="50"/>
      <c r="E190" s="72"/>
      <c r="F190" s="261" t="s">
        <v>101</v>
      </c>
      <c r="G190" s="243"/>
      <c r="H190" s="248">
        <f>SUM(G26:G30)</f>
        <v>0</v>
      </c>
      <c r="I190" s="262"/>
      <c r="J190" s="262"/>
      <c r="K190" s="47"/>
    </row>
    <row r="191" spans="3:11" x14ac:dyDescent="0.15">
      <c r="C191" s="49" t="s">
        <v>106</v>
      </c>
      <c r="D191" s="50"/>
      <c r="E191" s="76">
        <f>L103</f>
        <v>0</v>
      </c>
      <c r="F191" s="242" t="s">
        <v>105</v>
      </c>
      <c r="G191" s="243"/>
      <c r="H191" s="292">
        <f>L129</f>
        <v>0</v>
      </c>
      <c r="I191" s="293"/>
      <c r="J191" s="294"/>
      <c r="K191" s="47"/>
    </row>
    <row r="192" spans="3:11" s="29" customFormat="1" ht="13.5" thickBot="1" x14ac:dyDescent="0.2">
      <c r="C192" s="51" t="s">
        <v>55</v>
      </c>
      <c r="D192" s="52"/>
      <c r="E192" s="96">
        <f>SUM(E186+E187+E188+E189)-(E190+E191)</f>
        <v>0</v>
      </c>
      <c r="F192" s="282" t="s">
        <v>92</v>
      </c>
      <c r="G192" s="283"/>
      <c r="H192" s="287">
        <f>SUM(H183+H184+H186+H189)-(H187+H190+H191)</f>
        <v>0</v>
      </c>
      <c r="I192" s="288"/>
      <c r="J192" s="289"/>
      <c r="K192" s="53"/>
    </row>
    <row r="193" spans="1:12" ht="13.5" thickBot="1" x14ac:dyDescent="0.2">
      <c r="C193" s="239" t="s">
        <v>37</v>
      </c>
      <c r="D193" s="240"/>
      <c r="E193" s="241"/>
      <c r="F193" s="284" t="s">
        <v>93</v>
      </c>
      <c r="G193" s="285"/>
      <c r="H193" s="285"/>
      <c r="I193" s="285"/>
      <c r="J193" s="285"/>
      <c r="K193" s="47"/>
    </row>
    <row r="194" spans="1:12" x14ac:dyDescent="0.15">
      <c r="C194" s="46" t="s">
        <v>35</v>
      </c>
      <c r="D194" s="46" t="s">
        <v>34</v>
      </c>
      <c r="E194" s="54" t="s">
        <v>36</v>
      </c>
      <c r="F194" s="303" t="s">
        <v>38</v>
      </c>
      <c r="G194" s="304"/>
      <c r="H194" s="305"/>
      <c r="I194" s="46"/>
      <c r="J194" s="55" t="s">
        <v>39</v>
      </c>
      <c r="K194" s="47"/>
    </row>
    <row r="195" spans="1:12" ht="14.25" customHeight="1" x14ac:dyDescent="0.15">
      <c r="C195" s="66">
        <f>G119</f>
        <v>0</v>
      </c>
      <c r="D195" s="178">
        <v>1.0999999999999999E-2</v>
      </c>
      <c r="E195" s="97">
        <f>C195*D195</f>
        <v>0</v>
      </c>
      <c r="F195" s="261" t="s">
        <v>94</v>
      </c>
      <c r="G195" s="281"/>
      <c r="H195" s="243"/>
      <c r="I195" s="56"/>
      <c r="J195" s="97">
        <f>E192</f>
        <v>0</v>
      </c>
      <c r="K195" s="47"/>
    </row>
    <row r="196" spans="1:12" ht="14.25" customHeight="1" x14ac:dyDescent="0.15">
      <c r="C196" s="66">
        <f>SUM(G120:G120)</f>
        <v>0</v>
      </c>
      <c r="D196" s="14" t="s">
        <v>155</v>
      </c>
      <c r="E196" s="179">
        <f>SUM(H120:H120)</f>
        <v>0</v>
      </c>
      <c r="F196" s="261" t="s">
        <v>95</v>
      </c>
      <c r="G196" s="281"/>
      <c r="H196" s="243"/>
      <c r="I196" s="5"/>
      <c r="J196" s="98">
        <f>K139</f>
        <v>0</v>
      </c>
      <c r="K196" s="47"/>
    </row>
    <row r="197" spans="1:12" ht="12.95" customHeight="1" x14ac:dyDescent="0.15">
      <c r="C197" s="11" t="s">
        <v>54</v>
      </c>
      <c r="D197" s="48"/>
      <c r="E197" s="75"/>
      <c r="F197" s="300" t="s">
        <v>85</v>
      </c>
      <c r="G197" s="301"/>
      <c r="H197" s="302"/>
      <c r="I197" s="5"/>
      <c r="J197" s="109">
        <f>(J195+J196)</f>
        <v>0</v>
      </c>
      <c r="K197" s="47"/>
    </row>
    <row r="198" spans="1:12" ht="12.95" customHeight="1" x14ac:dyDescent="0.15">
      <c r="C198" s="11" t="s">
        <v>59</v>
      </c>
      <c r="D198" s="28"/>
      <c r="E198" s="75"/>
      <c r="F198" s="300"/>
      <c r="G198" s="301"/>
      <c r="H198" s="302"/>
      <c r="I198" s="57"/>
      <c r="J198" s="99"/>
      <c r="K198" s="47"/>
    </row>
    <row r="199" spans="1:12" ht="16.7" customHeight="1" x14ac:dyDescent="0.15">
      <c r="C199" s="58" t="s">
        <v>96</v>
      </c>
      <c r="D199" s="199" t="e">
        <f>H124</f>
        <v>#DIV/0!</v>
      </c>
      <c r="E199" s="99">
        <f>E195+E196+E197-E198</f>
        <v>0</v>
      </c>
      <c r="F199" s="300" t="s">
        <v>37</v>
      </c>
      <c r="G199" s="301"/>
      <c r="H199" s="302"/>
      <c r="I199" s="57"/>
      <c r="J199" s="99">
        <f>K124</f>
        <v>0</v>
      </c>
      <c r="K199" s="59"/>
    </row>
    <row r="200" spans="1:12" ht="12" customHeight="1" x14ac:dyDescent="0.15">
      <c r="C200" s="67" t="s">
        <v>97</v>
      </c>
    </row>
    <row r="201" spans="1:12" ht="12.75" customHeight="1" x14ac:dyDescent="0.15">
      <c r="A201" s="60"/>
      <c r="C201" s="234" t="s">
        <v>197</v>
      </c>
    </row>
    <row r="202" spans="1:12" ht="12.75" customHeight="1" x14ac:dyDescent="0.15">
      <c r="A202" s="60"/>
    </row>
    <row r="203" spans="1:12" ht="48.75" customHeight="1" x14ac:dyDescent="0.15">
      <c r="A203" s="60"/>
      <c r="C203" s="500" t="s">
        <v>159</v>
      </c>
      <c r="D203" s="500"/>
      <c r="E203" s="500"/>
      <c r="F203" s="500"/>
      <c r="G203" s="500"/>
      <c r="H203" s="500"/>
      <c r="I203" s="500"/>
      <c r="J203" s="500"/>
      <c r="K203" s="500"/>
      <c r="L203" s="500"/>
    </row>
    <row r="204" spans="1:12" ht="10.5" customHeight="1" x14ac:dyDescent="0.15">
      <c r="A204" s="60"/>
      <c r="B204" s="60"/>
      <c r="C204" s="201"/>
      <c r="D204" s="201"/>
      <c r="E204" s="201"/>
      <c r="F204" s="201"/>
      <c r="G204" s="201"/>
      <c r="H204" s="201"/>
      <c r="I204" s="201"/>
      <c r="J204" s="201"/>
      <c r="K204" s="202"/>
      <c r="L204" s="203"/>
    </row>
    <row r="205" spans="1:12" ht="113.25" customHeight="1" x14ac:dyDescent="0.15">
      <c r="B205" s="60"/>
      <c r="C205" s="500" t="s">
        <v>160</v>
      </c>
      <c r="D205" s="500"/>
      <c r="E205" s="500"/>
      <c r="F205" s="500"/>
      <c r="G205" s="500"/>
      <c r="H205" s="500"/>
      <c r="I205" s="500"/>
      <c r="J205" s="500"/>
      <c r="K205" s="500"/>
      <c r="L205" s="500"/>
    </row>
    <row r="206" spans="1:12" ht="14.25" x14ac:dyDescent="0.15">
      <c r="B206" s="60"/>
      <c r="C206" s="201"/>
      <c r="D206" s="201"/>
      <c r="E206" s="201"/>
      <c r="F206" s="201"/>
      <c r="G206" s="201"/>
      <c r="H206" s="201"/>
      <c r="I206" s="201"/>
      <c r="J206" s="201"/>
      <c r="K206" s="202"/>
      <c r="L206" s="203"/>
    </row>
    <row r="207" spans="1:12" ht="79.5" customHeight="1" x14ac:dyDescent="0.15">
      <c r="A207" s="61"/>
      <c r="C207" s="500" t="s">
        <v>193</v>
      </c>
      <c r="D207" s="500"/>
      <c r="E207" s="500"/>
      <c r="F207" s="500"/>
      <c r="G207" s="500"/>
      <c r="H207" s="500"/>
      <c r="I207" s="500"/>
      <c r="J207" s="500"/>
      <c r="K207" s="500"/>
      <c r="L207" s="500"/>
    </row>
    <row r="208" spans="1:12" ht="12.2" customHeight="1" x14ac:dyDescent="0.15">
      <c r="A208" s="61"/>
      <c r="B208" s="62"/>
      <c r="C208" s="204"/>
      <c r="D208" s="204"/>
      <c r="E208" s="204"/>
      <c r="F208" s="204"/>
      <c r="G208" s="204"/>
      <c r="H208" s="204"/>
      <c r="I208" s="204"/>
      <c r="J208" s="204"/>
      <c r="K208" s="202"/>
      <c r="L208" s="203"/>
    </row>
    <row r="209" spans="1:12" ht="66.75" customHeight="1" x14ac:dyDescent="0.15">
      <c r="A209" s="61"/>
      <c r="B209" s="61"/>
      <c r="C209" s="500" t="s">
        <v>185</v>
      </c>
      <c r="D209" s="500"/>
      <c r="E209" s="500"/>
      <c r="F209" s="500"/>
      <c r="G209" s="500"/>
      <c r="H209" s="500"/>
      <c r="I209" s="500"/>
      <c r="J209" s="500"/>
      <c r="K209" s="500"/>
      <c r="L209" s="500"/>
    </row>
    <row r="210" spans="1:12" ht="15.6" customHeight="1" x14ac:dyDescent="0.15">
      <c r="A210" s="61"/>
      <c r="B210" s="61"/>
      <c r="C210" s="205"/>
      <c r="D210" s="205"/>
      <c r="E210" s="205"/>
      <c r="F210" s="205"/>
      <c r="G210" s="205"/>
      <c r="H210" s="205"/>
      <c r="I210" s="205"/>
      <c r="J210" s="205"/>
      <c r="K210" s="202"/>
      <c r="L210" s="203"/>
    </row>
    <row r="211" spans="1:12" ht="33" customHeight="1" x14ac:dyDescent="0.15">
      <c r="A211" s="61"/>
      <c r="B211" s="61"/>
      <c r="C211" s="500" t="s">
        <v>162</v>
      </c>
      <c r="D211" s="500"/>
      <c r="E211" s="500"/>
      <c r="F211" s="500"/>
      <c r="G211" s="500"/>
      <c r="H211" s="500"/>
      <c r="I211" s="500"/>
      <c r="J211" s="500"/>
      <c r="K211" s="500"/>
      <c r="L211" s="500"/>
    </row>
    <row r="212" spans="1:12" ht="15" customHeight="1" x14ac:dyDescent="0.15">
      <c r="A212" s="61"/>
      <c r="B212" s="61"/>
      <c r="C212" s="205"/>
      <c r="D212" s="205"/>
      <c r="E212" s="205"/>
      <c r="F212" s="205"/>
      <c r="G212" s="205"/>
      <c r="H212" s="205"/>
      <c r="I212" s="205"/>
      <c r="J212" s="205"/>
      <c r="K212" s="202"/>
      <c r="L212" s="203"/>
    </row>
    <row r="213" spans="1:12" ht="33" customHeight="1" x14ac:dyDescent="0.15">
      <c r="A213" s="61"/>
      <c r="B213" s="61"/>
      <c r="C213" s="500" t="s">
        <v>161</v>
      </c>
      <c r="D213" s="500"/>
      <c r="E213" s="500"/>
      <c r="F213" s="500"/>
      <c r="G213" s="500"/>
      <c r="H213" s="500"/>
      <c r="I213" s="500"/>
      <c r="J213" s="500"/>
      <c r="K213" s="500"/>
      <c r="L213" s="500"/>
    </row>
    <row r="214" spans="1:12" ht="10.5" customHeight="1" x14ac:dyDescent="0.15">
      <c r="A214" s="61"/>
      <c r="B214" s="61"/>
      <c r="C214" s="205"/>
      <c r="D214" s="205"/>
      <c r="E214" s="205"/>
      <c r="F214" s="205"/>
      <c r="G214" s="205"/>
      <c r="H214" s="205"/>
      <c r="I214" s="205"/>
      <c r="J214" s="205"/>
      <c r="K214" s="202"/>
      <c r="L214" s="203"/>
    </row>
    <row r="215" spans="1:12" ht="114.75" customHeight="1" x14ac:dyDescent="0.15">
      <c r="A215" s="61"/>
      <c r="B215" s="61"/>
      <c r="C215" s="500" t="s">
        <v>176</v>
      </c>
      <c r="D215" s="500"/>
      <c r="E215" s="500"/>
      <c r="F215" s="500"/>
      <c r="G215" s="500"/>
      <c r="H215" s="500"/>
      <c r="I215" s="500"/>
      <c r="J215" s="500"/>
      <c r="K215" s="500"/>
      <c r="L215" s="500"/>
    </row>
    <row r="216" spans="1:12" ht="10.5" customHeight="1" x14ac:dyDescent="0.15">
      <c r="B216" s="61"/>
      <c r="C216" s="201"/>
      <c r="D216" s="201"/>
      <c r="E216" s="201"/>
      <c r="F216" s="201"/>
      <c r="G216" s="201"/>
      <c r="H216" s="201"/>
      <c r="I216" s="201"/>
      <c r="J216" s="201"/>
      <c r="K216" s="202"/>
      <c r="L216" s="203"/>
    </row>
    <row r="217" spans="1:12" ht="144" customHeight="1" x14ac:dyDescent="0.15">
      <c r="B217" s="61"/>
      <c r="C217" s="500" t="s">
        <v>196</v>
      </c>
      <c r="D217" s="500"/>
      <c r="E217" s="500"/>
      <c r="F217" s="500"/>
      <c r="G217" s="500"/>
      <c r="H217" s="500"/>
      <c r="I217" s="500"/>
      <c r="J217" s="500"/>
      <c r="K217" s="500"/>
      <c r="L217" s="500"/>
    </row>
    <row r="218" spans="1:12" ht="12" customHeight="1" x14ac:dyDescent="0.15">
      <c r="C218" s="206"/>
      <c r="D218" s="206"/>
      <c r="E218" s="206"/>
      <c r="F218" s="206"/>
      <c r="G218" s="206"/>
      <c r="H218" s="206"/>
      <c r="I218" s="206"/>
      <c r="J218" s="206"/>
      <c r="K218" s="202"/>
      <c r="L218" s="203"/>
    </row>
    <row r="219" spans="1:12" x14ac:dyDescent="0.15">
      <c r="A219" s="61"/>
      <c r="B219" s="61"/>
      <c r="C219" s="61"/>
      <c r="D219" s="61"/>
      <c r="E219" s="61"/>
      <c r="F219" s="61"/>
      <c r="G219" s="61"/>
      <c r="H219" s="61"/>
      <c r="I219" s="61"/>
      <c r="J219" s="61"/>
    </row>
    <row r="220" spans="1:12" ht="12.95" customHeight="1" x14ac:dyDescent="0.15">
      <c r="A220" s="61"/>
      <c r="B220" s="61"/>
      <c r="C220" s="61"/>
      <c r="D220" s="61"/>
      <c r="E220" s="61"/>
      <c r="F220" s="61"/>
      <c r="G220" s="61"/>
      <c r="H220" s="61"/>
      <c r="I220" s="61"/>
      <c r="J220" s="61"/>
    </row>
    <row r="221" spans="1:12" x14ac:dyDescent="0.15">
      <c r="A221" s="61"/>
      <c r="B221" s="61"/>
      <c r="C221" s="61"/>
      <c r="D221" s="61"/>
      <c r="E221" s="61"/>
      <c r="F221" s="61"/>
      <c r="G221" s="61"/>
      <c r="H221" s="61"/>
      <c r="I221" s="61"/>
      <c r="J221" s="61"/>
    </row>
    <row r="222" spans="1:12" x14ac:dyDescent="0.15">
      <c r="A222" s="61"/>
      <c r="B222" s="61"/>
    </row>
    <row r="223" spans="1:12" x14ac:dyDescent="0.15">
      <c r="B223" s="61"/>
    </row>
    <row r="224" spans="1:12" x14ac:dyDescent="0.15">
      <c r="B224" s="61"/>
      <c r="C224" s="61"/>
      <c r="D224" s="61"/>
      <c r="E224" s="61"/>
      <c r="F224" s="61"/>
      <c r="G224" s="61"/>
      <c r="H224" s="61"/>
      <c r="I224" s="61"/>
      <c r="J224" s="61"/>
    </row>
    <row r="225" spans="1:10" ht="12.95" hidden="1" customHeight="1" x14ac:dyDescent="0.15">
      <c r="A225" s="63"/>
      <c r="C225" s="61"/>
      <c r="D225" s="61"/>
      <c r="E225" s="61"/>
      <c r="F225" s="61"/>
      <c r="G225" s="61"/>
      <c r="H225" s="61"/>
      <c r="I225" s="61"/>
      <c r="J225" s="61"/>
    </row>
    <row r="226" spans="1:10" ht="12.95" hidden="1" customHeight="1" x14ac:dyDescent="0.15">
      <c r="A226" s="63"/>
      <c r="C226" s="61"/>
      <c r="D226" s="61"/>
      <c r="E226" s="61"/>
      <c r="F226" s="61"/>
      <c r="G226" s="61"/>
      <c r="H226" s="61"/>
      <c r="I226" s="61"/>
      <c r="J226" s="61"/>
    </row>
    <row r="227" spans="1:10" ht="12.95" hidden="1" customHeight="1" x14ac:dyDescent="0.15">
      <c r="A227" s="63"/>
      <c r="B227" s="63"/>
      <c r="C227" s="61"/>
      <c r="D227" s="61"/>
      <c r="E227" s="61"/>
      <c r="F227" s="61"/>
      <c r="G227" s="61"/>
      <c r="H227" s="61"/>
      <c r="I227" s="61"/>
      <c r="J227" s="61"/>
    </row>
    <row r="228" spans="1:10" ht="12.95" hidden="1" customHeight="1" x14ac:dyDescent="0.15">
      <c r="A228" s="63"/>
      <c r="B228" s="63"/>
      <c r="C228" s="61"/>
      <c r="D228" s="61"/>
      <c r="E228" s="61"/>
      <c r="F228" s="61"/>
      <c r="G228" s="61"/>
      <c r="H228" s="61"/>
      <c r="I228" s="61"/>
      <c r="J228" s="61"/>
    </row>
    <row r="229" spans="1:10" ht="12.95" hidden="1" customHeight="1" x14ac:dyDescent="0.15">
      <c r="A229" s="63"/>
      <c r="B229" s="63"/>
      <c r="C229" s="61"/>
      <c r="D229" s="61"/>
      <c r="E229" s="61"/>
      <c r="F229" s="61"/>
      <c r="G229" s="61"/>
      <c r="H229" s="61"/>
      <c r="I229" s="61"/>
      <c r="J229" s="61"/>
    </row>
    <row r="230" spans="1:10" ht="12.95" hidden="1" customHeight="1" x14ac:dyDescent="0.15">
      <c r="A230" s="63"/>
      <c r="B230" s="63"/>
      <c r="C230" s="61"/>
      <c r="D230" s="61"/>
      <c r="E230" s="61"/>
      <c r="F230" s="61"/>
      <c r="G230" s="61"/>
      <c r="H230" s="61"/>
      <c r="I230" s="61"/>
      <c r="J230" s="61"/>
    </row>
    <row r="231" spans="1:10" ht="12.95" hidden="1" customHeight="1" x14ac:dyDescent="0.15">
      <c r="A231" s="63"/>
      <c r="B231" s="63"/>
    </row>
    <row r="232" spans="1:10" x14ac:dyDescent="0.15">
      <c r="B232" s="63"/>
    </row>
    <row r="233" spans="1:10" x14ac:dyDescent="0.15">
      <c r="B233" s="63"/>
      <c r="C233" s="63"/>
      <c r="D233" s="63"/>
      <c r="E233" s="63"/>
      <c r="F233" s="63"/>
      <c r="G233" s="63"/>
      <c r="H233" s="63"/>
      <c r="I233" s="63"/>
      <c r="J233" s="63"/>
    </row>
    <row r="234" spans="1:10" x14ac:dyDescent="0.15">
      <c r="C234" s="63"/>
      <c r="D234" s="63"/>
      <c r="E234" s="63"/>
      <c r="F234" s="63"/>
      <c r="G234" s="63"/>
      <c r="H234" s="63"/>
      <c r="I234" s="63"/>
      <c r="J234" s="63"/>
    </row>
    <row r="235" spans="1:10" x14ac:dyDescent="0.15">
      <c r="C235" s="63"/>
      <c r="D235" s="63"/>
      <c r="E235" s="63"/>
      <c r="F235" s="63"/>
      <c r="G235" s="63"/>
      <c r="H235" s="63"/>
      <c r="I235" s="63"/>
      <c r="J235" s="63"/>
    </row>
    <row r="236" spans="1:10" x14ac:dyDescent="0.15">
      <c r="C236" s="63"/>
      <c r="D236" s="63"/>
      <c r="E236" s="63"/>
      <c r="F236" s="63"/>
      <c r="G236" s="63"/>
      <c r="H236" s="63"/>
      <c r="I236" s="63"/>
      <c r="J236" s="63"/>
    </row>
    <row r="237" spans="1:10" x14ac:dyDescent="0.15">
      <c r="C237" s="63"/>
      <c r="D237" s="63"/>
      <c r="E237" s="63"/>
      <c r="F237" s="63"/>
      <c r="G237" s="63"/>
      <c r="H237" s="63"/>
      <c r="I237" s="63"/>
      <c r="J237" s="63"/>
    </row>
    <row r="238" spans="1:10" x14ac:dyDescent="0.15">
      <c r="C238" s="63"/>
      <c r="D238" s="63"/>
      <c r="E238" s="63"/>
      <c r="F238" s="63"/>
      <c r="G238" s="63"/>
      <c r="H238" s="63"/>
      <c r="I238" s="63"/>
      <c r="J238" s="63"/>
    </row>
    <row r="239" spans="1:10" x14ac:dyDescent="0.15">
      <c r="C239" s="63"/>
      <c r="D239" s="63"/>
      <c r="E239" s="63"/>
      <c r="F239" s="63"/>
      <c r="G239" s="63"/>
      <c r="H239" s="63"/>
      <c r="I239" s="63"/>
      <c r="J239" s="63"/>
    </row>
  </sheetData>
  <sheetProtection password="C47E" sheet="1"/>
  <customSheetViews>
    <customSheetView guid="{460CB104-CE2B-47CF-8F06-CC02CC8B9BA3}" showPageBreaks="1" showGridLines="0" printArea="1" hiddenRows="1" hiddenColumns="1">
      <selection activeCell="G7" sqref="G7"/>
      <rowBreaks count="2" manualBreakCount="2">
        <brk id="80" max="11" man="1"/>
        <brk id="157" max="11" man="1"/>
      </rowBreaks>
      <pageMargins left="0.23622047244094491" right="0.23622047244094491" top="0.74803149606299213" bottom="0.74803149606299213" header="0.31496062992125984" footer="0.31496062992125984"/>
      <pageSetup paperSize="9" scale="67" orientation="portrait" r:id="rId1"/>
      <headerFooter alignWithMargins="0"/>
    </customSheetView>
  </customSheetViews>
  <mergeCells count="332">
    <mergeCell ref="A34:A54"/>
    <mergeCell ref="A55:A74"/>
    <mergeCell ref="A5:A25"/>
    <mergeCell ref="A26:A31"/>
    <mergeCell ref="C213:L213"/>
    <mergeCell ref="H103:J103"/>
    <mergeCell ref="C203:L203"/>
    <mergeCell ref="C205:L205"/>
    <mergeCell ref="C207:L207"/>
    <mergeCell ref="C209:L209"/>
    <mergeCell ref="K1:L2"/>
    <mergeCell ref="D3:H3"/>
    <mergeCell ref="F43:G43"/>
    <mergeCell ref="F62:G62"/>
    <mergeCell ref="H104:J104"/>
    <mergeCell ref="C118:F118"/>
    <mergeCell ref="F72:G72"/>
    <mergeCell ref="H22:K22"/>
    <mergeCell ref="F59:G59"/>
    <mergeCell ref="C1:C2"/>
    <mergeCell ref="C140:J140"/>
    <mergeCell ref="C139:F139"/>
    <mergeCell ref="D1:J2"/>
    <mergeCell ref="F161:G161"/>
    <mergeCell ref="H168:J168"/>
    <mergeCell ref="H120:J120"/>
    <mergeCell ref="H129:J129"/>
    <mergeCell ref="H122:J122"/>
    <mergeCell ref="F52:G52"/>
    <mergeCell ref="H119:J119"/>
    <mergeCell ref="C163:E163"/>
    <mergeCell ref="C119:E119"/>
    <mergeCell ref="C217:L217"/>
    <mergeCell ref="C215:L215"/>
    <mergeCell ref="C168:E168"/>
    <mergeCell ref="H166:J166"/>
    <mergeCell ref="C211:L211"/>
    <mergeCell ref="F167:G167"/>
    <mergeCell ref="C167:E167"/>
    <mergeCell ref="C179:E179"/>
    <mergeCell ref="F195:H195"/>
    <mergeCell ref="C178:J178"/>
    <mergeCell ref="H170:J170"/>
    <mergeCell ref="C171:D171"/>
    <mergeCell ref="E171:J171"/>
    <mergeCell ref="K139:L139"/>
    <mergeCell ref="C136:F136"/>
    <mergeCell ref="H139:J139"/>
    <mergeCell ref="C128:F128"/>
    <mergeCell ref="C134:F134"/>
    <mergeCell ref="H137:J137"/>
    <mergeCell ref="C138:F138"/>
    <mergeCell ref="C137:F137"/>
    <mergeCell ref="F184:G184"/>
    <mergeCell ref="F169:G169"/>
    <mergeCell ref="F170:G170"/>
    <mergeCell ref="F180:G180"/>
    <mergeCell ref="F165:G165"/>
    <mergeCell ref="C135:F135"/>
    <mergeCell ref="C161:E161"/>
    <mergeCell ref="H165:J165"/>
    <mergeCell ref="H161:J161"/>
    <mergeCell ref="H145:J145"/>
    <mergeCell ref="H133:J133"/>
    <mergeCell ref="H132:J132"/>
    <mergeCell ref="H131:J131"/>
    <mergeCell ref="H156:J156"/>
    <mergeCell ref="C131:F131"/>
    <mergeCell ref="C142:J142"/>
    <mergeCell ref="F41:G41"/>
    <mergeCell ref="C77:L77"/>
    <mergeCell ref="C104:F104"/>
    <mergeCell ref="D96:E96"/>
    <mergeCell ref="H106:J106"/>
    <mergeCell ref="C102:F102"/>
    <mergeCell ref="F54:G54"/>
    <mergeCell ref="F60:G60"/>
    <mergeCell ref="C123:F123"/>
    <mergeCell ref="C113:F113"/>
    <mergeCell ref="H117:J117"/>
    <mergeCell ref="C120:E120"/>
    <mergeCell ref="C121:F121"/>
    <mergeCell ref="C117:F117"/>
    <mergeCell ref="H123:J123"/>
    <mergeCell ref="H107:J107"/>
    <mergeCell ref="H114:J114"/>
    <mergeCell ref="H116:J116"/>
    <mergeCell ref="C122:F122"/>
    <mergeCell ref="H112:J112"/>
    <mergeCell ref="H115:J115"/>
    <mergeCell ref="H118:J118"/>
    <mergeCell ref="C111:L111"/>
    <mergeCell ref="H113:J113"/>
    <mergeCell ref="F65:G65"/>
    <mergeCell ref="F42:G42"/>
    <mergeCell ref="F68:G68"/>
    <mergeCell ref="F53:G53"/>
    <mergeCell ref="F50:G50"/>
    <mergeCell ref="F46:G46"/>
    <mergeCell ref="F61:G61"/>
    <mergeCell ref="L105:L106"/>
    <mergeCell ref="F73:G73"/>
    <mergeCell ref="C147:F147"/>
    <mergeCell ref="H147:J147"/>
    <mergeCell ref="H146:J146"/>
    <mergeCell ref="F153:G153"/>
    <mergeCell ref="C152:E152"/>
    <mergeCell ref="H152:J152"/>
    <mergeCell ref="H143:J143"/>
    <mergeCell ref="F152:G152"/>
    <mergeCell ref="C156:E156"/>
    <mergeCell ref="F154:G154"/>
    <mergeCell ref="C151:E151"/>
    <mergeCell ref="C145:F145"/>
    <mergeCell ref="C143:F143"/>
    <mergeCell ref="H144:J144"/>
    <mergeCell ref="C146:F146"/>
    <mergeCell ref="C158:E158"/>
    <mergeCell ref="F151:G151"/>
    <mergeCell ref="F155:G155"/>
    <mergeCell ref="C153:E153"/>
    <mergeCell ref="C157:E157"/>
    <mergeCell ref="H162:J162"/>
    <mergeCell ref="H155:J155"/>
    <mergeCell ref="C160:E160"/>
    <mergeCell ref="C154:E154"/>
    <mergeCell ref="H157:J157"/>
    <mergeCell ref="F157:G157"/>
    <mergeCell ref="H151:J151"/>
    <mergeCell ref="C101:L101"/>
    <mergeCell ref="K107:L107"/>
    <mergeCell ref="C107:F107"/>
    <mergeCell ref="H105:J105"/>
    <mergeCell ref="C105:F105"/>
    <mergeCell ref="C106:F106"/>
    <mergeCell ref="H102:J102"/>
    <mergeCell ref="C103:F103"/>
    <mergeCell ref="H138:J138"/>
    <mergeCell ref="L115:L116"/>
    <mergeCell ref="C112:F112"/>
    <mergeCell ref="C133:F133"/>
    <mergeCell ref="C132:F132"/>
    <mergeCell ref="H136:J136"/>
    <mergeCell ref="C124:F124"/>
    <mergeCell ref="C130:F130"/>
    <mergeCell ref="C127:L127"/>
    <mergeCell ref="H128:J128"/>
    <mergeCell ref="C116:F116"/>
    <mergeCell ref="H130:J130"/>
    <mergeCell ref="C129:F129"/>
    <mergeCell ref="C115:F115"/>
    <mergeCell ref="C114:F114"/>
    <mergeCell ref="H121:J121"/>
    <mergeCell ref="L92:L93"/>
    <mergeCell ref="K92:K93"/>
    <mergeCell ref="D97:E97"/>
    <mergeCell ref="F97:G97"/>
    <mergeCell ref="D94:E94"/>
    <mergeCell ref="F94:G94"/>
    <mergeCell ref="H95:I95"/>
    <mergeCell ref="H97:I97"/>
    <mergeCell ref="F96:G96"/>
    <mergeCell ref="F95:G95"/>
    <mergeCell ref="C4:K4"/>
    <mergeCell ref="H5:K5"/>
    <mergeCell ref="C6:D6"/>
    <mergeCell ref="C9:D9"/>
    <mergeCell ref="H14:K14"/>
    <mergeCell ref="C13:D13"/>
    <mergeCell ref="H7:K7"/>
    <mergeCell ref="C5:D5"/>
    <mergeCell ref="C8:D8"/>
    <mergeCell ref="C12:D12"/>
    <mergeCell ref="H6:K6"/>
    <mergeCell ref="H12:K12"/>
    <mergeCell ref="H13:K13"/>
    <mergeCell ref="C7:D7"/>
    <mergeCell ref="C10:D10"/>
    <mergeCell ref="H8:K8"/>
    <mergeCell ref="H15:K15"/>
    <mergeCell ref="F35:G35"/>
    <mergeCell ref="C30:D30"/>
    <mergeCell ref="H23:K23"/>
    <mergeCell ref="C25:D25"/>
    <mergeCell ref="H24:K24"/>
    <mergeCell ref="H9:K9"/>
    <mergeCell ref="H19:K19"/>
    <mergeCell ref="H20:K20"/>
    <mergeCell ref="F34:G34"/>
    <mergeCell ref="C17:D17"/>
    <mergeCell ref="C11:D11"/>
    <mergeCell ref="H11:K11"/>
    <mergeCell ref="F56:G56"/>
    <mergeCell ref="F44:G44"/>
    <mergeCell ref="C75:L75"/>
    <mergeCell ref="C26:D26"/>
    <mergeCell ref="F45:G45"/>
    <mergeCell ref="C15:D15"/>
    <mergeCell ref="H16:K16"/>
    <mergeCell ref="F58:G58"/>
    <mergeCell ref="H31:K31"/>
    <mergeCell ref="F40:G40"/>
    <mergeCell ref="F47:G47"/>
    <mergeCell ref="H25:K25"/>
    <mergeCell ref="H26:K26"/>
    <mergeCell ref="H18:K18"/>
    <mergeCell ref="F39:G39"/>
    <mergeCell ref="H21:K21"/>
    <mergeCell ref="H29:K29"/>
    <mergeCell ref="C18:D18"/>
    <mergeCell ref="F38:G38"/>
    <mergeCell ref="F37:G37"/>
    <mergeCell ref="H28:K28"/>
    <mergeCell ref="C33:J33"/>
    <mergeCell ref="C24:D24"/>
    <mergeCell ref="C28:D28"/>
    <mergeCell ref="F49:G49"/>
    <mergeCell ref="C162:E162"/>
    <mergeCell ref="C164:E164"/>
    <mergeCell ref="C155:E155"/>
    <mergeCell ref="D81:D82"/>
    <mergeCell ref="F160:G160"/>
    <mergeCell ref="H158:J158"/>
    <mergeCell ref="F158:G158"/>
    <mergeCell ref="F86:G86"/>
    <mergeCell ref="H153:J153"/>
    <mergeCell ref="H154:J154"/>
    <mergeCell ref="H134:J134"/>
    <mergeCell ref="H159:J159"/>
    <mergeCell ref="F159:G159"/>
    <mergeCell ref="C150:J150"/>
    <mergeCell ref="F55:G55"/>
    <mergeCell ref="F64:G64"/>
    <mergeCell ref="F57:G57"/>
    <mergeCell ref="F70:G70"/>
    <mergeCell ref="F92:G93"/>
    <mergeCell ref="C78:G80"/>
    <mergeCell ref="F67:G67"/>
    <mergeCell ref="F199:H199"/>
    <mergeCell ref="H191:J191"/>
    <mergeCell ref="F198:H198"/>
    <mergeCell ref="F191:G191"/>
    <mergeCell ref="F197:H197"/>
    <mergeCell ref="F196:H196"/>
    <mergeCell ref="F194:H194"/>
    <mergeCell ref="C169:E169"/>
    <mergeCell ref="H160:J160"/>
    <mergeCell ref="H164:J164"/>
    <mergeCell ref="C165:E165"/>
    <mergeCell ref="H180:J180"/>
    <mergeCell ref="H167:J167"/>
    <mergeCell ref="C170:E170"/>
    <mergeCell ref="F162:G162"/>
    <mergeCell ref="F166:G166"/>
    <mergeCell ref="C166:E166"/>
    <mergeCell ref="F163:G163"/>
    <mergeCell ref="F164:G164"/>
    <mergeCell ref="F181:G181"/>
    <mergeCell ref="E172:J172"/>
    <mergeCell ref="H163:J163"/>
    <mergeCell ref="F193:J193"/>
    <mergeCell ref="F48:G48"/>
    <mergeCell ref="H192:J192"/>
    <mergeCell ref="H169:J169"/>
    <mergeCell ref="H187:J187"/>
    <mergeCell ref="F187:G187"/>
    <mergeCell ref="H183:J183"/>
    <mergeCell ref="F183:G183"/>
    <mergeCell ref="F179:J179"/>
    <mergeCell ref="H184:J184"/>
    <mergeCell ref="H189:J189"/>
    <mergeCell ref="F188:G188"/>
    <mergeCell ref="H181:J181"/>
    <mergeCell ref="H135:J135"/>
    <mergeCell ref="C144:F144"/>
    <mergeCell ref="C159:E159"/>
    <mergeCell ref="F156:G156"/>
    <mergeCell ref="F69:G69"/>
    <mergeCell ref="C81:C82"/>
    <mergeCell ref="F85:G85"/>
    <mergeCell ref="J78:K80"/>
    <mergeCell ref="C91:L91"/>
    <mergeCell ref="D92:E93"/>
    <mergeCell ref="C76:L76"/>
    <mergeCell ref="H188:J188"/>
    <mergeCell ref="H186:J186"/>
    <mergeCell ref="F189:G189"/>
    <mergeCell ref="F182:G182"/>
    <mergeCell ref="K169:L171"/>
    <mergeCell ref="C172:D175"/>
    <mergeCell ref="C27:D27"/>
    <mergeCell ref="H27:K27"/>
    <mergeCell ref="F192:G192"/>
    <mergeCell ref="K81:K82"/>
    <mergeCell ref="H92:H93"/>
    <mergeCell ref="F87:G87"/>
    <mergeCell ref="F88:G88"/>
    <mergeCell ref="F83:G83"/>
    <mergeCell ref="F81:G82"/>
    <mergeCell ref="H81:H82"/>
    <mergeCell ref="H78:H80"/>
    <mergeCell ref="H94:I94"/>
    <mergeCell ref="E81:E82"/>
    <mergeCell ref="C92:C93"/>
    <mergeCell ref="J92:J93"/>
    <mergeCell ref="F71:G71"/>
    <mergeCell ref="F74:G74"/>
    <mergeCell ref="C90:L90"/>
    <mergeCell ref="H17:K17"/>
    <mergeCell ref="H30:K30"/>
    <mergeCell ref="C193:E193"/>
    <mergeCell ref="F186:G186"/>
    <mergeCell ref="C14:D14"/>
    <mergeCell ref="F168:G168"/>
    <mergeCell ref="H182:J182"/>
    <mergeCell ref="C16:D16"/>
    <mergeCell ref="D95:E95"/>
    <mergeCell ref="F84:G84"/>
    <mergeCell ref="C19:D19"/>
    <mergeCell ref="C20:D20"/>
    <mergeCell ref="C22:D22"/>
    <mergeCell ref="C29:D29"/>
    <mergeCell ref="F51:G51"/>
    <mergeCell ref="C21:D21"/>
    <mergeCell ref="C31:D31"/>
    <mergeCell ref="C23:D23"/>
    <mergeCell ref="F190:G190"/>
    <mergeCell ref="H190:J190"/>
    <mergeCell ref="F63:G63"/>
    <mergeCell ref="F36:G36"/>
    <mergeCell ref="F66:G66"/>
    <mergeCell ref="J81:J82"/>
  </mergeCells>
  <phoneticPr fontId="0" type="noConversion"/>
  <hyperlinks>
    <hyperlink ref="C201" r:id="rId2" xr:uid="{00000000-0004-0000-0000-000000000000}"/>
  </hyperlinks>
  <pageMargins left="0.7" right="0.7" top="0.75" bottom="0.75" header="0.3" footer="0.3"/>
  <pageSetup paperSize="9" scale="56" orientation="portrait" r:id="rId3"/>
  <headerFooter alignWithMargins="0"/>
  <rowBreaks count="2" manualBreakCount="2">
    <brk id="98" max="11" man="1"/>
    <brk id="175" max="11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2.75" x14ac:dyDescent="0.15"/>
  <sheetData/>
  <customSheetViews>
    <customSheetView guid="{460CB104-CE2B-47CF-8F06-CC02CC8B9BA3}">
      <pageMargins left="0.78740157499999996" right="0.78740157499999996" top="0.984251969" bottom="0.984251969" header="0.49212598499999999" footer="0.49212598499999999"/>
      <headerFooter alignWithMargins="0"/>
    </customSheetView>
  </customSheetView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 x14ac:dyDescent="0.15"/>
  <sheetData/>
  <customSheetViews>
    <customSheetView guid="{460CB104-CE2B-47CF-8F06-CC02CC8B9BA3}">
      <pageMargins left="0.78740157499999996" right="0.78740157499999996" top="0.984251969" bottom="0.984251969" header="0.49212598499999999" footer="0.49212598499999999"/>
      <headerFooter alignWithMargins="0"/>
    </customSheetView>
  </customSheetView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2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Company>Unicon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Unicon</dc:creator>
  <cp:lastModifiedBy>X</cp:lastModifiedBy>
  <cp:lastPrinted>2017-01-30T18:07:44Z</cp:lastPrinted>
  <dcterms:created xsi:type="dcterms:W3CDTF">2004-09-22T12:16:06Z</dcterms:created>
  <dcterms:modified xsi:type="dcterms:W3CDTF">2018-04-17T00:49:06Z</dcterms:modified>
</cp:coreProperties>
</file>