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Y:\Grupo RG\RG Assessoria\Pessoal\"/>
    </mc:Choice>
  </mc:AlternateContent>
  <bookViews>
    <workbookView xWindow="0" yWindow="210" windowWidth="15600" windowHeight="7905" tabRatio="494" firstSheet="1" activeTab="1"/>
  </bookViews>
  <sheets>
    <sheet name="Início" sheetId="1" r:id="rId1"/>
    <sheet name="Controle de Cargos" sheetId="8" r:id="rId2"/>
    <sheet name="Custos Fixos" sheetId="2" state="hidden" r:id="rId3"/>
    <sheet name="Panorama" sheetId="5" r:id="rId4"/>
    <sheet name="Plan1" sheetId="10" state="hidden" r:id="rId5"/>
  </sheets>
  <calcPr calcId="162913" concurrentCalc="0"/>
  <fileRecoveryPr repairLoad="1"/>
</workbook>
</file>

<file path=xl/calcChain.xml><?xml version="1.0" encoding="utf-8"?>
<calcChain xmlns="http://schemas.openxmlformats.org/spreadsheetml/2006/main">
  <c r="J69" i="8" l="1"/>
  <c r="H69" i="8"/>
  <c r="F69" i="8"/>
  <c r="A69" i="8"/>
  <c r="J68" i="8"/>
  <c r="H68" i="8"/>
  <c r="F68" i="8"/>
  <c r="A68" i="8"/>
  <c r="J67" i="8"/>
  <c r="H67" i="8"/>
  <c r="F67" i="8"/>
  <c r="A67" i="8"/>
  <c r="J66" i="8"/>
  <c r="H66" i="8"/>
  <c r="F66" i="8"/>
  <c r="A66" i="8"/>
  <c r="J65" i="8"/>
  <c r="I65" i="8"/>
  <c r="F65" i="8"/>
  <c r="G65" i="8"/>
  <c r="H65" i="8"/>
  <c r="A65" i="8"/>
  <c r="H64" i="8"/>
  <c r="A64" i="8"/>
  <c r="J51" i="8"/>
  <c r="H51" i="8"/>
  <c r="F51" i="8"/>
  <c r="A51" i="8"/>
  <c r="J50" i="8"/>
  <c r="H50" i="8"/>
  <c r="F50" i="8"/>
  <c r="A50" i="8"/>
  <c r="J49" i="8"/>
  <c r="H49" i="8"/>
  <c r="F49" i="8"/>
  <c r="A49" i="8"/>
  <c r="J48" i="8"/>
  <c r="H48" i="8"/>
  <c r="F48" i="8"/>
  <c r="A48" i="8"/>
  <c r="J47" i="8"/>
  <c r="I47" i="8"/>
  <c r="F47" i="8"/>
  <c r="G47" i="8"/>
  <c r="H47" i="8"/>
  <c r="A47" i="8"/>
  <c r="H46" i="8"/>
  <c r="A46" i="8"/>
  <c r="H16" i="8"/>
  <c r="A16" i="8"/>
  <c r="J15" i="8"/>
  <c r="H15" i="8"/>
  <c r="F15" i="8"/>
  <c r="A15" i="8"/>
  <c r="J14" i="8"/>
  <c r="H14" i="8"/>
  <c r="F14" i="8"/>
  <c r="A14" i="8"/>
  <c r="J13" i="8"/>
  <c r="H13" i="8"/>
  <c r="F13" i="8"/>
  <c r="A13" i="8"/>
  <c r="J12" i="8"/>
  <c r="H12" i="8"/>
  <c r="F12" i="8"/>
  <c r="A12" i="8"/>
  <c r="J11" i="8"/>
  <c r="I11" i="8"/>
  <c r="F11" i="8"/>
  <c r="G11" i="8"/>
  <c r="H11" i="8"/>
  <c r="A11" i="8"/>
  <c r="H34" i="8"/>
  <c r="A34" i="8"/>
  <c r="J33" i="8"/>
  <c r="H33" i="8"/>
  <c r="F33" i="8"/>
  <c r="A33" i="8"/>
  <c r="J32" i="8"/>
  <c r="H32" i="8"/>
  <c r="F32" i="8"/>
  <c r="A32" i="8"/>
  <c r="J31" i="8"/>
  <c r="H31" i="8"/>
  <c r="F31" i="8"/>
  <c r="A31" i="8"/>
  <c r="J30" i="8"/>
  <c r="H30" i="8"/>
  <c r="F30" i="8"/>
  <c r="A30" i="8"/>
  <c r="J29" i="8"/>
  <c r="I29" i="8"/>
  <c r="F29" i="8"/>
  <c r="G29" i="8"/>
  <c r="H29" i="8"/>
  <c r="A29" i="8"/>
  <c r="A5" i="8"/>
  <c r="F5" i="8"/>
  <c r="F6" i="8"/>
  <c r="F7" i="8"/>
  <c r="F8" i="8"/>
  <c r="F9" i="8"/>
  <c r="G5" i="8"/>
  <c r="H5" i="8"/>
  <c r="I5" i="8"/>
  <c r="J5" i="8"/>
  <c r="A6" i="8"/>
  <c r="H6" i="8"/>
  <c r="J6" i="8"/>
  <c r="A7" i="8"/>
  <c r="H7" i="8"/>
  <c r="J7" i="8"/>
  <c r="A8" i="8"/>
  <c r="H8" i="8"/>
  <c r="J8" i="8"/>
  <c r="A9" i="8"/>
  <c r="H9" i="8"/>
  <c r="J9" i="8"/>
  <c r="A10" i="8"/>
  <c r="H10" i="8"/>
  <c r="A17" i="8"/>
  <c r="C4" i="10"/>
  <c r="F17" i="8"/>
  <c r="F18" i="8"/>
  <c r="F19" i="8"/>
  <c r="F21" i="8"/>
  <c r="F20" i="8"/>
  <c r="G17" i="8"/>
  <c r="H17" i="8"/>
  <c r="D4" i="10"/>
  <c r="A23" i="8"/>
  <c r="C5" i="10"/>
  <c r="F23" i="8"/>
  <c r="F24" i="8"/>
  <c r="F25" i="8"/>
  <c r="F26" i="8"/>
  <c r="F27" i="8"/>
  <c r="G23" i="8"/>
  <c r="H23" i="8"/>
  <c r="D5" i="10"/>
  <c r="A35" i="8"/>
  <c r="C6" i="10"/>
  <c r="F35" i="8"/>
  <c r="F36" i="8"/>
  <c r="F37" i="8"/>
  <c r="F38" i="8"/>
  <c r="F39" i="8"/>
  <c r="G35" i="8"/>
  <c r="H35" i="8"/>
  <c r="D6" i="10"/>
  <c r="A41" i="8"/>
  <c r="C7" i="10"/>
  <c r="F41" i="8"/>
  <c r="F42" i="8"/>
  <c r="F43" i="8"/>
  <c r="F44" i="8"/>
  <c r="F45" i="8"/>
  <c r="G41" i="8"/>
  <c r="H41" i="8"/>
  <c r="D7" i="10"/>
  <c r="A53" i="8"/>
  <c r="C8" i="10"/>
  <c r="F53" i="8"/>
  <c r="F54" i="8"/>
  <c r="F55" i="8"/>
  <c r="F56" i="8"/>
  <c r="F57" i="8"/>
  <c r="G53" i="8"/>
  <c r="H53" i="8"/>
  <c r="D8" i="10"/>
  <c r="A59" i="8"/>
  <c r="C9" i="10"/>
  <c r="F59" i="8"/>
  <c r="F60" i="8"/>
  <c r="F61" i="8"/>
  <c r="F62" i="8"/>
  <c r="F63" i="8"/>
  <c r="G59" i="8"/>
  <c r="H59" i="8"/>
  <c r="D9" i="10"/>
  <c r="A71" i="8"/>
  <c r="C10" i="10"/>
  <c r="F71" i="8"/>
  <c r="F72" i="8"/>
  <c r="F73" i="8"/>
  <c r="F74" i="8"/>
  <c r="F75" i="8"/>
  <c r="G71" i="8"/>
  <c r="H71" i="8"/>
  <c r="D10" i="10"/>
  <c r="A77" i="8"/>
  <c r="C11" i="10"/>
  <c r="F77" i="8"/>
  <c r="F78" i="8"/>
  <c r="F79" i="8"/>
  <c r="F80" i="8"/>
  <c r="F81" i="8"/>
  <c r="G77" i="8"/>
  <c r="H77" i="8"/>
  <c r="D11" i="10"/>
  <c r="D3" i="10"/>
  <c r="C3" i="10"/>
  <c r="H18" i="8"/>
  <c r="H19" i="8"/>
  <c r="H20" i="8"/>
  <c r="H21" i="8"/>
  <c r="H22" i="8"/>
  <c r="H24" i="8"/>
  <c r="H25" i="8"/>
  <c r="H26" i="8"/>
  <c r="H27" i="8"/>
  <c r="H28" i="8"/>
  <c r="H36" i="8"/>
  <c r="H37" i="8"/>
  <c r="H38" i="8"/>
  <c r="H39" i="8"/>
  <c r="H40" i="8"/>
  <c r="H42" i="8"/>
  <c r="H43" i="8"/>
  <c r="H44" i="8"/>
  <c r="H45" i="8"/>
  <c r="H52" i="8"/>
  <c r="H54" i="8"/>
  <c r="H55" i="8"/>
  <c r="H56" i="8"/>
  <c r="H57" i="8"/>
  <c r="H58" i="8"/>
  <c r="H60" i="8"/>
  <c r="H61" i="8"/>
  <c r="H62" i="8"/>
  <c r="H63" i="8"/>
  <c r="H70" i="8"/>
  <c r="H72" i="8"/>
  <c r="H73" i="8"/>
  <c r="H74" i="8"/>
  <c r="H75" i="8"/>
  <c r="H76" i="8"/>
  <c r="H78" i="8"/>
  <c r="H79" i="8"/>
  <c r="H80" i="8"/>
  <c r="H81" i="8"/>
  <c r="H82" i="8"/>
  <c r="F83" i="8"/>
  <c r="F84" i="8"/>
  <c r="F85" i="8"/>
  <c r="F86" i="8"/>
  <c r="F87" i="8"/>
  <c r="G83" i="8"/>
  <c r="H83" i="8"/>
  <c r="H84" i="8"/>
  <c r="H85" i="8"/>
  <c r="H86" i="8"/>
  <c r="H87" i="8"/>
  <c r="H88" i="8"/>
  <c r="A20" i="8"/>
  <c r="A21" i="8"/>
  <c r="A22" i="8"/>
  <c r="A24" i="8"/>
  <c r="A25" i="8"/>
  <c r="A26" i="8"/>
  <c r="A27" i="8"/>
  <c r="A28" i="8"/>
  <c r="A36" i="8"/>
  <c r="A37" i="8"/>
  <c r="A38" i="8"/>
  <c r="A39" i="8"/>
  <c r="A40" i="8"/>
  <c r="A42" i="8"/>
  <c r="A43" i="8"/>
  <c r="A44" i="8"/>
  <c r="A45" i="8"/>
  <c r="A52" i="8"/>
  <c r="A54" i="8"/>
  <c r="A55" i="8"/>
  <c r="A56" i="8"/>
  <c r="A57" i="8"/>
  <c r="A58" i="8"/>
  <c r="A60" i="8"/>
  <c r="A61" i="8"/>
  <c r="A62" i="8"/>
  <c r="A63" i="8"/>
  <c r="A70" i="8"/>
  <c r="A72" i="8"/>
  <c r="A73" i="8"/>
  <c r="A74" i="8"/>
  <c r="A75" i="8"/>
  <c r="A76" i="8"/>
  <c r="A78" i="8"/>
  <c r="A79" i="8"/>
  <c r="A80" i="8"/>
  <c r="A81" i="8"/>
  <c r="A82" i="8"/>
  <c r="A83" i="8"/>
  <c r="A84" i="8"/>
  <c r="A85" i="8"/>
  <c r="A86" i="8"/>
  <c r="A87" i="8"/>
  <c r="A18" i="8"/>
  <c r="A19" i="8"/>
  <c r="J87" i="8"/>
  <c r="J86" i="8"/>
  <c r="J85" i="8"/>
  <c r="J84" i="8"/>
  <c r="J83" i="8"/>
  <c r="I83" i="8"/>
  <c r="J81" i="8"/>
  <c r="J80" i="8"/>
  <c r="J79" i="8"/>
  <c r="J78" i="8"/>
  <c r="J77" i="8"/>
  <c r="I77" i="8"/>
  <c r="J75" i="8"/>
  <c r="J74" i="8"/>
  <c r="J73" i="8"/>
  <c r="J72" i="8"/>
  <c r="J71" i="8"/>
  <c r="I71" i="8"/>
  <c r="J63" i="8"/>
  <c r="J62" i="8"/>
  <c r="J61" i="8"/>
  <c r="J60" i="8"/>
  <c r="J59" i="8"/>
  <c r="I59" i="8"/>
  <c r="J57" i="8"/>
  <c r="J56" i="8"/>
  <c r="J55" i="8"/>
  <c r="J54" i="8"/>
  <c r="J53" i="8"/>
  <c r="I53" i="8"/>
  <c r="J45" i="8"/>
  <c r="J44" i="8"/>
  <c r="J43" i="8"/>
  <c r="J42" i="8"/>
  <c r="J41" i="8"/>
  <c r="I41" i="8"/>
  <c r="J39" i="8"/>
  <c r="J38" i="8"/>
  <c r="J37" i="8"/>
  <c r="J36" i="8"/>
  <c r="J35" i="8"/>
  <c r="I35" i="8"/>
  <c r="J27" i="8"/>
  <c r="J26" i="8"/>
  <c r="J25" i="8"/>
  <c r="J24" i="8"/>
  <c r="J23" i="8"/>
  <c r="I23" i="8"/>
  <c r="J21" i="8"/>
  <c r="J20" i="8"/>
  <c r="J19" i="8"/>
  <c r="J18" i="8"/>
  <c r="J17" i="8"/>
  <c r="I17" i="8"/>
  <c r="D11" i="2"/>
  <c r="D10" i="2"/>
  <c r="D9" i="2"/>
  <c r="D7" i="2"/>
  <c r="D6" i="2"/>
  <c r="D52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6" i="2"/>
</calcChain>
</file>

<file path=xl/sharedStrings.xml><?xml version="1.0" encoding="utf-8"?>
<sst xmlns="http://schemas.openxmlformats.org/spreadsheetml/2006/main" count="123" uniqueCount="52">
  <si>
    <t>-</t>
  </si>
  <si>
    <t>TOTAL CUSTOS FIXOS</t>
  </si>
  <si>
    <t>ATIVO</t>
  </si>
  <si>
    <t>CIRCULANTE</t>
  </si>
  <si>
    <t>NÃO CIRCULANTE</t>
  </si>
  <si>
    <t>PATRIMONIO LÍQUIDO</t>
  </si>
  <si>
    <t>CARGO</t>
  </si>
  <si>
    <t>NÍVEL</t>
  </si>
  <si>
    <t>QUANTIDADE</t>
  </si>
  <si>
    <t>SALÁRIO UNITÁRIO</t>
  </si>
  <si>
    <t>SALÁRIO POR NÍVEL</t>
  </si>
  <si>
    <t>SALÁRIO POR CARGO</t>
  </si>
  <si>
    <t>COMPETÊNCIA I</t>
  </si>
  <si>
    <t>COMPETÊNCIA II</t>
  </si>
  <si>
    <t>COMPETÊNCIA III</t>
  </si>
  <si>
    <r>
      <rPr>
        <b/>
        <i/>
        <sz val="18"/>
        <color theme="0"/>
        <rFont val="Calibri"/>
        <family val="2"/>
        <scheme val="minor"/>
      </rPr>
      <t xml:space="preserve">PLANO DE CARGOS E SALÁRIOS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</si>
  <si>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PLANO DE CARGOS E SALÁRIOS </t>
    </r>
    <r>
      <rPr>
        <i/>
        <sz val="16"/>
        <color theme="0"/>
        <rFont val="Calibri"/>
        <family val="2"/>
        <scheme val="minor"/>
      </rPr>
      <t>- CONTROLE</t>
    </r>
  </si>
  <si>
    <r>
      <rPr>
        <b/>
        <i/>
        <sz val="18"/>
        <color theme="0"/>
        <rFont val="Calibri"/>
        <family val="2"/>
        <scheme val="minor"/>
      </rPr>
      <t xml:space="preserve">PLANO DE CARGOS E SALÁRIOS </t>
    </r>
    <r>
      <rPr>
        <i/>
        <sz val="16"/>
        <color theme="0"/>
        <rFont val="Calibri"/>
        <family val="2"/>
        <scheme val="minor"/>
      </rPr>
      <t>- PANORAMA</t>
    </r>
  </si>
  <si>
    <t>ANALISTA FINANCEIRO</t>
  </si>
  <si>
    <t>ASSISTENTE DE DP</t>
  </si>
  <si>
    <t>ANALISTA DE DP</t>
  </si>
  <si>
    <t>ASSISTENTE CONTÁBIL</t>
  </si>
  <si>
    <t>ASSITENTE FISCAL</t>
  </si>
  <si>
    <t xml:space="preserve">ANALISTA FISCAL </t>
  </si>
  <si>
    <t>ANALISTA CONTÁBIL</t>
  </si>
  <si>
    <t>ESTAGIÁRIO</t>
  </si>
  <si>
    <t>Treinee</t>
  </si>
  <si>
    <t>Junior</t>
  </si>
  <si>
    <t xml:space="preserve">Pleno </t>
  </si>
  <si>
    <t>Senior</t>
  </si>
  <si>
    <t>Master</t>
  </si>
  <si>
    <t>Executar todo o processo de escrituração fiscal, visando assegurar o cumprimento da legislação. Escriturar os livros de registro do ICMS, IPI e ISSQN, observando as determinações legais e efetuando os cálculos para apuração do imposto a pagar. Efetuar e preparar o requerimento de solicitação de autorização para impressão de notas fiscais e solicitação de certidões. Preparar e conferir os relatórios e documentos mensais e anuais relativos a obrigações acessórias exigidas pela legislação fiscal estadual e federal.</t>
  </si>
  <si>
    <t>Responder pela escrita fiscal, ou seja, lançamento de registros de notas fiscais, apuração e declaração de impostos, atendimento às fiscalizações em todos os âmbitos, organização e classificação de documentos contábeis.</t>
  </si>
  <si>
    <t>Analisar e executar atividades de rotinas de pessoal, processando admissões, desligamentos, cálculo de férias, alterações cadastrais, fechamento e conciliação de folha de pagamento, lançamentos financeiros, guias de recolhimento de encargos e impostos trabalhistas. Controlar e lançar ponto eletrônico e transferências de funcionários.</t>
  </si>
  <si>
    <t>Executar serviços relativos ao processamento de admissões, demissões, férias, recolhimento de encargos sociais e atualizações de fichas de registro e carteiras profissionais. Digitar documentos, efetuando cálculos e emitindo recibos na concessão dos mesmos, a fim de manter o perfeito funcionamento do setor.</t>
  </si>
  <si>
    <t>Analisar, programar e controlar eventos diversos, atuando em órgãos governamentais e outras instituições públicas ou privadas, objetivando racionalizar e otimizar resultados, tornando eficazes as atividades contábeis.</t>
  </si>
  <si>
    <t>Participar da análise das atividades contábeis, incluindo classificações, conciliações, balancetes, balanços e demais eventos, objetivando manter a escrituração atualizada atendendo exigência da legislação do segmento.</t>
  </si>
  <si>
    <t xml:space="preserve">SUPERVISOR  FISCAL </t>
  </si>
  <si>
    <t>Supervisionar e planejar as atividades fiscais, incluindo apurações de impostos, lucro real e presumido e obrigações acessórias. Distribuir, acompanhar e avaliar a execução das atividades, esclarecendo dúvidas e administrando recursos. Participar da seleção, contratação e demissão de pessoal.</t>
  </si>
  <si>
    <t>AUXILIAR FISCAL</t>
  </si>
  <si>
    <t>Efetuar os registros das notas fiscais. Apurar os impostos tais como ICMS, o IPI e as contribuições como a Cofins, o Pis, o Imposto de Renda, a Contribuição Social, o Simples Federal. Elaborar as obrigações fiscais para os respectivos órgãos públicos. Atender a fiscalização seja federal, estadual e municipal. Auxiliar a empresa na correta tributação de seus produtos. Organizar documentos e efetuar sua classificação contábil. Gerar lançamentos contábeis. Conciliar contas. Preencher guias de recolhimento e de solicitações junto a órgãos do governo. Emitir notas de venda e de transferência. Arquivar documentos.</t>
  </si>
  <si>
    <t>SUPERVISOR FINANCEIRO</t>
  </si>
  <si>
    <t xml:space="preserve">AUXILIAR FINANCEIRO </t>
  </si>
  <si>
    <t>SUPERVISOR DE DP</t>
  </si>
  <si>
    <t>SUPERVISOR CONTÁBIL</t>
  </si>
  <si>
    <t>Supervisionar e controlar as atividades do Departamento Pessoal, visando a assegurar o cumprimento de todas as exigências legais que regulam o vínculo empregatício, bem como o cumprimento das normas e procedimentos estabelecidos pela empresa. Supervisionar a elaboração da folha de pagamento e correspondentes emissões das guias de pagamentos de impostos e encargos. Manter controles de todos os valores a serem descontados em folha de pagamento.Acompanhar a área jurídica nas defesas em processos trabalhistas, multas do Ministério do Trabalho. Supervisionar a preparação e entrega de todas as informações acessórias exigidas pelos diversos órgãos governamentais (Ministério do Trabalho, INSS, MEC, SESI entre outros. Visar o cumprimento de exigências legais. Atender empregados em questões relacionadas com normas e procedimentos da empresa, dando a orientação ou solução devidas.</t>
  </si>
  <si>
    <t>Planejar e supervisionar a preparação dos relatórios contábeis (gerencial e fiscal), dentro dos prazos previstos e obedecendo aos princípios e procedimentos contábeis estabelecidos. Orientar e acompanhar os lançamentos e rotinas contábeis, balancetes mensais e o balanço final. Supervisionar a conciliação das contas do ativo e passivo e de resultados. Fazer estudos e análises sobre os números do balanço anual, tendo em vista a legislação tributária. Conferir e ajustar os saldos das contas patrimoniais. Analisar as informações contábeis e preparar relatórios de custo de produção.</t>
  </si>
  <si>
    <t>Auxiliar na análise das atividades da área Administrativa e Financeira da empresa, efetuando levantamentos e controles dos fluxos financeiros, gerando subsídios para trabalhos que visam otimizar a eficácia das atividades funcionais. </t>
  </si>
  <si>
    <t>Auxiliar no controle e na liquidação dos compromissos administrativos e financeiros da empresa, bem como da cobrança e dos recebimentos. Efetuar aplicações financeiras de acordo com a estratégias da empresa, objetivando a maximização de rendimento dos recursos da empresa.</t>
  </si>
  <si>
    <t>Atuar e orientar nas atividades das áreas Administrativas e financeiras da empresa, coordenando os trabalhos, bem como efetuando análises dos sistemas de controles e métodos administrativos e financeiros em geral. Participar do planejamento, organização e controle de fluxos de trabalhos, objetivando racionalizar e otimizar a eficácia das atividades funcionais. </t>
  </si>
  <si>
    <t>Auxiliar nas atividades de diversas áreas de apoio administrativo e da área financeira da empresa, na estruturação, racionalização, e adequação dos serviços de apoio administrativo tendo em vista os objetivos da organização. </t>
  </si>
  <si>
    <t>Supervisionar e orientar as atividades da área administrativa financeira, realizando o controle financeiro da empresa, fluxo de caixa e fechamento de câmbio. Controlar e acompanhar projeções e fechamentos de faturamento e recebimento dentro do budget proposto.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</si>
</sst>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Arabic Typesetting"/>
      <family val="4"/>
    </font>
    <font>
      <b/>
      <sz val="20"/>
      <color theme="1"/>
      <name val="Arabic Typesetting"/>
      <family val="4"/>
    </font>
    <font>
      <b/>
      <sz val="20"/>
      <name val="Arabic Typesetting"/>
      <family val="4"/>
    </font>
    <font>
      <sz val="20"/>
      <color theme="0"/>
      <name val="Arabic Typesetting"/>
      <family val="4"/>
    </font>
    <font>
      <b/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808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double">
        <color theme="1" tint="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theme="1" tint="0.249977111117893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theme="1" tint="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double">
        <color theme="1" tint="0.249977111117893"/>
      </top>
      <bottom style="double">
        <color theme="1" tint="0.249977111117893"/>
      </bottom>
      <diagonal/>
    </border>
    <border>
      <left style="medium">
        <color theme="0"/>
      </left>
      <right style="medium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 style="medium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/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0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3" fillId="0" borderId="4" xfId="0" applyFont="1" applyBorder="1" applyAlignment="1">
      <alignment horizontal="right"/>
    </xf>
    <xf numFmtId="0" fontId="3" fillId="0" borderId="0" xfId="0" applyFont="1" applyBorder="1"/>
    <xf numFmtId="44" fontId="3" fillId="0" borderId="6" xfId="3" applyFont="1" applyBorder="1"/>
    <xf numFmtId="0" fontId="3" fillId="0" borderId="3" xfId="0" applyFont="1" applyBorder="1" applyAlignment="1">
      <alignment horizontal="right"/>
    </xf>
    <xf numFmtId="0" fontId="0" fillId="0" borderId="2" xfId="0" applyBorder="1"/>
    <xf numFmtId="0" fontId="0" fillId="0" borderId="7" xfId="0" applyBorder="1"/>
    <xf numFmtId="0" fontId="3" fillId="0" borderId="8" xfId="0" applyFont="1" applyBorder="1" applyAlignment="1">
      <alignment horizontal="right"/>
    </xf>
    <xf numFmtId="44" fontId="3" fillId="0" borderId="9" xfId="3" applyFont="1" applyBorder="1"/>
    <xf numFmtId="0" fontId="5" fillId="0" borderId="0" xfId="0" applyFont="1" applyBorder="1" applyAlignment="1">
      <alignment horizontal="right"/>
    </xf>
    <xf numFmtId="44" fontId="5" fillId="0" borderId="0" xfId="3" applyFont="1" applyBorder="1"/>
    <xf numFmtId="9" fontId="6" fillId="0" borderId="0" xfId="2" applyFont="1" applyBorder="1"/>
    <xf numFmtId="44" fontId="2" fillId="0" borderId="0" xfId="0" applyNumberFormat="1" applyFont="1"/>
    <xf numFmtId="0" fontId="2" fillId="0" borderId="0" xfId="0" applyFont="1" applyBorder="1"/>
    <xf numFmtId="44" fontId="2" fillId="0" borderId="0" xfId="0" applyNumberFormat="1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2" borderId="10" xfId="2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Border="1"/>
    <xf numFmtId="44" fontId="2" fillId="2" borderId="0" xfId="0" applyNumberFormat="1" applyFont="1" applyFill="1" applyBorder="1"/>
    <xf numFmtId="0" fontId="2" fillId="2" borderId="0" xfId="0" applyFont="1" applyFill="1"/>
    <xf numFmtId="0" fontId="0" fillId="2" borderId="0" xfId="0" applyFill="1" applyBorder="1" applyAlignment="1">
      <alignment horizontal="center"/>
    </xf>
    <xf numFmtId="44" fontId="0" fillId="2" borderId="0" xfId="3" applyFont="1" applyFill="1" applyBorder="1" applyAlignment="1">
      <alignment horizontal="center"/>
    </xf>
    <xf numFmtId="0" fontId="2" fillId="2" borderId="0" xfId="0" applyFont="1" applyFill="1" applyBorder="1"/>
    <xf numFmtId="44" fontId="0" fillId="4" borderId="10" xfId="3" applyFont="1" applyFill="1" applyBorder="1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2" borderId="0" xfId="0" applyFill="1" applyBorder="1" applyAlignment="1">
      <alignment horizontal="center" vertical="center" textRotation="90"/>
    </xf>
    <xf numFmtId="44" fontId="0" fillId="2" borderId="13" xfId="3" applyFont="1" applyFill="1" applyBorder="1" applyAlignment="1">
      <alignment horizontal="center"/>
    </xf>
    <xf numFmtId="9" fontId="0" fillId="2" borderId="13" xfId="2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0" fillId="4" borderId="17" xfId="0" applyFill="1" applyBorder="1"/>
    <xf numFmtId="44" fontId="0" fillId="4" borderId="18" xfId="3" applyFont="1" applyFill="1" applyBorder="1" applyAlignment="1">
      <alignment horizontal="center"/>
    </xf>
    <xf numFmtId="9" fontId="0" fillId="2" borderId="18" xfId="2" applyFont="1" applyFill="1" applyBorder="1" applyAlignment="1">
      <alignment horizontal="center"/>
    </xf>
    <xf numFmtId="0" fontId="0" fillId="4" borderId="14" xfId="0" applyFill="1" applyBorder="1"/>
    <xf numFmtId="0" fontId="0" fillId="2" borderId="16" xfId="0" applyFill="1" applyBorder="1"/>
    <xf numFmtId="9" fontId="0" fillId="2" borderId="20" xfId="2" applyFont="1" applyFill="1" applyBorder="1" applyAlignment="1">
      <alignment horizontal="center"/>
    </xf>
    <xf numFmtId="0" fontId="0" fillId="2" borderId="0" xfId="0" applyFill="1" applyAlignment="1">
      <alignment horizontal="center" vertical="center" textRotation="90"/>
    </xf>
    <xf numFmtId="9" fontId="3" fillId="0" borderId="5" xfId="2" applyFont="1" applyBorder="1"/>
    <xf numFmtId="9" fontId="3" fillId="0" borderId="6" xfId="2" applyFont="1" applyBorder="1"/>
    <xf numFmtId="44" fontId="0" fillId="2" borderId="18" xfId="3" applyFont="1" applyFill="1" applyBorder="1" applyAlignment="1">
      <alignment horizontal="center"/>
    </xf>
    <xf numFmtId="44" fontId="0" fillId="2" borderId="10" xfId="3" applyFont="1" applyFill="1" applyBorder="1" applyAlignment="1">
      <alignment horizontal="center"/>
    </xf>
    <xf numFmtId="0" fontId="0" fillId="2" borderId="17" xfId="0" applyFill="1" applyBorder="1"/>
    <xf numFmtId="1" fontId="0" fillId="2" borderId="18" xfId="1" applyNumberFormat="1" applyFont="1" applyFill="1" applyBorder="1" applyAlignment="1">
      <alignment horizontal="center"/>
    </xf>
    <xf numFmtId="0" fontId="0" fillId="2" borderId="14" xfId="0" applyFill="1" applyBorder="1"/>
    <xf numFmtId="1" fontId="0" fillId="2" borderId="10" xfId="1" applyNumberFormat="1" applyFont="1" applyFill="1" applyBorder="1" applyAlignment="1">
      <alignment horizontal="center"/>
    </xf>
    <xf numFmtId="44" fontId="0" fillId="0" borderId="0" xfId="0" applyNumberFormat="1"/>
    <xf numFmtId="0" fontId="7" fillId="2" borderId="0" xfId="0" applyFont="1" applyFill="1" applyBorder="1" applyAlignment="1">
      <alignment horizontal="center"/>
    </xf>
    <xf numFmtId="44" fontId="2" fillId="2" borderId="0" xfId="0" applyNumberFormat="1" applyFont="1" applyFill="1" applyBorder="1" applyAlignment="1">
      <alignment horizontal="center"/>
    </xf>
    <xf numFmtId="0" fontId="12" fillId="7" borderId="26" xfId="0" applyFont="1" applyFill="1" applyBorder="1" applyAlignment="1">
      <alignment vertical="center"/>
    </xf>
    <xf numFmtId="0" fontId="2" fillId="7" borderId="27" xfId="0" applyFont="1" applyFill="1" applyBorder="1"/>
    <xf numFmtId="0" fontId="9" fillId="7" borderId="26" xfId="0" applyFont="1" applyFill="1" applyBorder="1" applyAlignment="1">
      <alignment vertical="center"/>
    </xf>
    <xf numFmtId="0" fontId="15" fillId="0" borderId="0" xfId="0" applyFont="1"/>
    <xf numFmtId="0" fontId="9" fillId="7" borderId="25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center" vertical="center" wrapText="1"/>
    </xf>
    <xf numFmtId="44" fontId="0" fillId="4" borderId="24" xfId="2" applyNumberFormat="1" applyFont="1" applyFill="1" applyBorder="1" applyAlignment="1">
      <alignment horizontal="center" vertical="center"/>
    </xf>
    <xf numFmtId="44" fontId="0" fillId="4" borderId="19" xfId="2" applyNumberFormat="1" applyFont="1" applyFill="1" applyBorder="1" applyAlignment="1">
      <alignment horizontal="center" vertical="center"/>
    </xf>
    <xf numFmtId="44" fontId="0" fillId="4" borderId="15" xfId="2" applyNumberFormat="1" applyFont="1" applyFill="1" applyBorder="1" applyAlignment="1">
      <alignment horizontal="center" vertical="center"/>
    </xf>
    <xf numFmtId="9" fontId="0" fillId="4" borderId="19" xfId="2" applyFont="1" applyFill="1" applyBorder="1" applyAlignment="1">
      <alignment horizontal="center" vertical="center"/>
    </xf>
    <xf numFmtId="9" fontId="0" fillId="4" borderId="15" xfId="2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3" xfId="0" applyFont="1" applyFill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9" fontId="13" fillId="2" borderId="28" xfId="2" applyFont="1" applyFill="1" applyBorder="1" applyAlignment="1">
      <alignment horizontal="center" vertical="center" wrapText="1"/>
    </xf>
    <xf numFmtId="9" fontId="13" fillId="2" borderId="32" xfId="2" applyFont="1" applyFill="1" applyBorder="1" applyAlignment="1">
      <alignment horizontal="center" vertical="center" wrapText="1"/>
    </xf>
    <xf numFmtId="9" fontId="13" fillId="2" borderId="29" xfId="2" applyFont="1" applyFill="1" applyBorder="1" applyAlignment="1">
      <alignment horizontal="center" vertical="center" wrapText="1"/>
    </xf>
    <xf numFmtId="9" fontId="13" fillId="2" borderId="30" xfId="2" applyFont="1" applyFill="1" applyBorder="1" applyAlignment="1">
      <alignment horizontal="center" vertical="center" wrapText="1"/>
    </xf>
    <xf numFmtId="9" fontId="13" fillId="2" borderId="0" xfId="2" applyFont="1" applyFill="1" applyBorder="1" applyAlignment="1">
      <alignment horizontal="center" vertical="center" wrapText="1"/>
    </xf>
    <xf numFmtId="9" fontId="13" fillId="2" borderId="31" xfId="2" applyFont="1" applyFill="1" applyBorder="1" applyAlignment="1">
      <alignment horizontal="center" vertical="center" wrapText="1"/>
    </xf>
    <xf numFmtId="9" fontId="13" fillId="2" borderId="5" xfId="2" applyFont="1" applyFill="1" applyBorder="1" applyAlignment="1">
      <alignment horizontal="center" vertical="center" wrapText="1"/>
    </xf>
    <xf numFmtId="9" fontId="13" fillId="2" borderId="33" xfId="2" applyFont="1" applyFill="1" applyBorder="1" applyAlignment="1">
      <alignment horizontal="center" vertical="center" wrapText="1"/>
    </xf>
    <xf numFmtId="9" fontId="13" fillId="2" borderId="3" xfId="2" applyFont="1" applyFill="1" applyBorder="1" applyAlignment="1">
      <alignment horizontal="center" vertical="center" wrapText="1"/>
    </xf>
    <xf numFmtId="9" fontId="14" fillId="2" borderId="28" xfId="2" applyFont="1" applyFill="1" applyBorder="1" applyAlignment="1">
      <alignment horizontal="center" vertical="center" wrapText="1"/>
    </xf>
    <xf numFmtId="9" fontId="14" fillId="2" borderId="32" xfId="2" applyFont="1" applyFill="1" applyBorder="1" applyAlignment="1">
      <alignment horizontal="center" vertical="center" wrapText="1"/>
    </xf>
    <xf numFmtId="9" fontId="14" fillId="2" borderId="29" xfId="2" applyFont="1" applyFill="1" applyBorder="1" applyAlignment="1">
      <alignment horizontal="center" vertical="center" wrapText="1"/>
    </xf>
    <xf numFmtId="9" fontId="14" fillId="2" borderId="30" xfId="2" applyFont="1" applyFill="1" applyBorder="1" applyAlignment="1">
      <alignment horizontal="center" vertical="center" wrapText="1"/>
    </xf>
    <xf numFmtId="9" fontId="14" fillId="2" borderId="0" xfId="2" applyFont="1" applyFill="1" applyBorder="1" applyAlignment="1">
      <alignment horizontal="center" vertical="center" wrapText="1"/>
    </xf>
    <xf numFmtId="9" fontId="14" fillId="2" borderId="31" xfId="2" applyFont="1" applyFill="1" applyBorder="1" applyAlignment="1">
      <alignment horizontal="center" vertical="center" wrapText="1"/>
    </xf>
    <xf numFmtId="9" fontId="14" fillId="2" borderId="5" xfId="2" applyFont="1" applyFill="1" applyBorder="1" applyAlignment="1">
      <alignment horizontal="center" vertical="center" wrapText="1"/>
    </xf>
    <xf numFmtId="9" fontId="14" fillId="2" borderId="33" xfId="2" applyFont="1" applyFill="1" applyBorder="1" applyAlignment="1">
      <alignment horizontal="center" vertical="center" wrapText="1"/>
    </xf>
    <xf numFmtId="9" fontId="14" fillId="2" borderId="3" xfId="2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righ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37">
    <dxf>
      <font>
        <color theme="0"/>
      </font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3300"/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ATIVO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140997675590887E-2"/>
          <c:y val="0.10592812857692482"/>
          <c:w val="0.914935931365084"/>
          <c:h val="0.6947944361021624"/>
        </c:manualLayout>
      </c:layout>
      <c:pie3DChart>
        <c:varyColors val="1"/>
        <c:ser>
          <c:idx val="0"/>
          <c:order val="0"/>
          <c:explosion val="25"/>
          <c:dPt>
            <c:idx val="1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CFFD-477D-B974-652BEC8983A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'Custos Fixos'!$C$6:$C$7</c:f>
              <c:strCache>
                <c:ptCount val="2"/>
                <c:pt idx="0">
                  <c:v>CIRCULANTE</c:v>
                </c:pt>
                <c:pt idx="1">
                  <c:v>NÃO CIRCULANTE</c:v>
                </c:pt>
              </c:strCache>
            </c:strRef>
          </c:cat>
          <c:val>
            <c:numRef>
              <c:f>'Custos Fixos'!$D$6:$D$7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FD-477D-B974-652BEC8983A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solidFill>
          <a:schemeClr val="tx1">
            <a:lumMod val="65000"/>
            <a:lumOff val="35000"/>
          </a:schemeClr>
        </a:solidFill>
      </c:spPr>
    </c:plotArea>
    <c:legend>
      <c:legendPos val="b"/>
      <c:layout>
        <c:manualLayout>
          <c:xMode val="edge"/>
          <c:yMode val="edge"/>
          <c:x val="3.5918912026018691E-2"/>
          <c:y val="0.69160936946677365"/>
          <c:w val="0.9158543241099415"/>
          <c:h val="0.28857644016489448"/>
        </c:manualLayout>
      </c:layout>
      <c:overlay val="0"/>
      <c:txPr>
        <a:bodyPr/>
        <a:lstStyle/>
        <a:p>
          <a:pPr rtl="0">
            <a:defRPr lang="en-US"/>
          </a:pPr>
          <a:endParaRPr lang="pt-BR"/>
        </a:p>
      </c:txPr>
    </c:legend>
    <c:plotVisOnly val="1"/>
    <c:dispBlanksAs val="zero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58" footer="0.3149606200000025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pt-BR"/>
              <a:t>PASSIVO</a:t>
            </a:r>
          </a:p>
        </c:rich>
      </c:tx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140997675590887E-2"/>
          <c:y val="0.10592812857692487"/>
          <c:w val="0.91493593136508422"/>
          <c:h val="0.69479443610216274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0-E199-4662-9954-5FDF25422FB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'Custos Fixos'!$C$9:$C$11</c:f>
              <c:strCache>
                <c:ptCount val="3"/>
                <c:pt idx="0">
                  <c:v>CIRCULANTE</c:v>
                </c:pt>
                <c:pt idx="1">
                  <c:v>NÃO CIRCULANTE</c:v>
                </c:pt>
                <c:pt idx="2">
                  <c:v>PATRIMONIO LÍQUIDO</c:v>
                </c:pt>
              </c:strCache>
            </c:strRef>
          </c:cat>
          <c:val>
            <c:numRef>
              <c:f>'Custos Fixos'!$D$9:$D$11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99-4662-9954-5FDF25422FB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b"/>
      <c:layout>
        <c:manualLayout>
          <c:xMode val="edge"/>
          <c:yMode val="edge"/>
          <c:x val="3.5918912026018691E-2"/>
          <c:y val="0.69160936946677365"/>
          <c:w val="0.9158543241099415"/>
          <c:h val="0.28857644016489464"/>
        </c:manualLayout>
      </c:layout>
      <c:overlay val="0"/>
      <c:txPr>
        <a:bodyPr/>
        <a:lstStyle/>
        <a:p>
          <a:pPr rtl="0">
            <a:defRPr lang="en-US"/>
          </a:pPr>
          <a:endParaRPr lang="pt-BR"/>
        </a:p>
      </c:txPr>
    </c:legend>
    <c:plotVisOnly val="1"/>
    <c:dispBlanksAs val="zero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274" footer="0.3149606200000027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 sz="1800">
                <a:solidFill>
                  <a:schemeClr val="bg1">
                    <a:lumMod val="85000"/>
                  </a:schemeClr>
                </a:solidFill>
              </a:rPr>
              <a:t>SALÁRIO POR CARGO</a:t>
            </a:r>
          </a:p>
        </c:rich>
      </c:tx>
      <c:layout>
        <c:manualLayout>
          <c:xMode val="edge"/>
          <c:yMode val="edge"/>
          <c:x val="0.46277028719574748"/>
          <c:y val="4.10256315593708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8333335739282954E-2"/>
          <c:y val="0.24133686998844245"/>
          <c:w val="0.96333332852143416"/>
          <c:h val="0.599005046553199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600" b="1">
                    <a:solidFill>
                      <a:schemeClr val="bg1">
                        <a:lumMod val="95000"/>
                      </a:schemeClr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Plan1!$C$3:$C$11</c:f>
              <c:strCache>
                <c:ptCount val="9"/>
                <c:pt idx="0">
                  <c:v>ESTAGIÁRIO</c:v>
                </c:pt>
                <c:pt idx="1">
                  <c:v>ASSITENTE FISCAL</c:v>
                </c:pt>
                <c:pt idx="2">
                  <c:v>ANALISTA FISCAL </c:v>
                </c:pt>
                <c:pt idx="3">
                  <c:v>AUXILIAR FINANCEIRO </c:v>
                </c:pt>
                <c:pt idx="4">
                  <c:v>ANALISTA FINANCEIRO</c:v>
                </c:pt>
                <c:pt idx="5">
                  <c:v>ASSISTENTE DE DP</c:v>
                </c:pt>
                <c:pt idx="6">
                  <c:v>ANALISTA DE DP</c:v>
                </c:pt>
                <c:pt idx="7">
                  <c:v>ASSISTENTE CONTÁBIL</c:v>
                </c:pt>
                <c:pt idx="8">
                  <c:v>ANALISTA CONTÁBIL</c:v>
                </c:pt>
              </c:strCache>
            </c:strRef>
          </c:cat>
          <c:val>
            <c:numRef>
              <c:f>Plan1!$D$3:$D$11</c:f>
              <c:numCache>
                <c:formatCode>_("R$"* #,##0.00_);_("R$"* \(#,##0.00\);_("R$"*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C-46E9-9EF7-67A0DF62DC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6"/>
        <c:overlap val="99"/>
        <c:axId val="92362240"/>
        <c:axId val="92363776"/>
      </c:barChart>
      <c:catAx>
        <c:axId val="92362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1200" b="1">
                <a:solidFill>
                  <a:schemeClr val="bg1">
                    <a:lumMod val="95000"/>
                  </a:schemeClr>
                </a:solidFill>
              </a:defRPr>
            </a:pPr>
            <a:endParaRPr lang="pt-BR"/>
          </a:p>
        </c:txPr>
        <c:crossAx val="92363776"/>
        <c:crosses val="autoZero"/>
        <c:auto val="1"/>
        <c:lblAlgn val="ctr"/>
        <c:lblOffset val="100"/>
        <c:noMultiLvlLbl val="0"/>
      </c:catAx>
      <c:valAx>
        <c:axId val="9236377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92362240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plotVisOnly val="1"/>
    <c:dispBlanksAs val="gap"/>
    <c:showDLblsOverMax val="0"/>
  </c:chart>
  <c:spPr>
    <a:solidFill>
      <a:schemeClr val="tx1">
        <a:lumMod val="85000"/>
        <a:lumOff val="15000"/>
      </a:schemeClr>
    </a:solidFill>
  </c:spPr>
  <c:printSettings>
    <c:headerFooter/>
    <c:pageMargins b="0.78740157499999996" l="0.511811024" r="0.511811024" t="0.78740157499999996" header="0.31496062000000102" footer="0.314960620000001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ntrole de Cargos'!A1"/><Relationship Id="rId7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An&#225;lise!A1"/><Relationship Id="rId6" Type="http://schemas.openxmlformats.org/officeDocument/2006/relationships/hyperlink" Target="http://www.acelere.vc" TargetMode="External"/><Relationship Id="rId5" Type="http://schemas.openxmlformats.org/officeDocument/2006/relationships/hyperlink" Target="#Panorama!A1"/><Relationship Id="rId4" Type="http://schemas.openxmlformats.org/officeDocument/2006/relationships/hyperlink" Target="#'Fatores Internos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Painel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www.acelere.vc" TargetMode="External"/><Relationship Id="rId1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hyperlink" Target="#In&#237;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9</xdr:row>
      <xdr:rowOff>19050</xdr:rowOff>
    </xdr:from>
    <xdr:to>
      <xdr:col>8</xdr:col>
      <xdr:colOff>285750</xdr:colOff>
      <xdr:row>11</xdr:row>
      <xdr:rowOff>177088</xdr:rowOff>
    </xdr:to>
    <xdr:grpSp>
      <xdr:nvGrpSpPr>
        <xdr:cNvPr id="9" name="Grupo 8">
          <a:hlinkClick xmlns:r="http://schemas.openxmlformats.org/officeDocument/2006/relationships" r:id="rId1"/>
        </xdr:cNvPr>
        <xdr:cNvGrpSpPr/>
      </xdr:nvGrpSpPr>
      <xdr:grpSpPr>
        <a:xfrm>
          <a:off x="3695700" y="2000250"/>
          <a:ext cx="1895475" cy="539038"/>
          <a:chOff x="285750" y="2400300"/>
          <a:chExt cx="1895475" cy="539038"/>
        </a:xfrm>
      </xdr:grpSpPr>
      <xdr:pic>
        <xdr:nvPicPr>
          <xdr:cNvPr id="10" name="Imagem 9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1" name="CaixaDeTexto 10">
            <a:hlinkClick xmlns:r="http://schemas.openxmlformats.org/officeDocument/2006/relationships" r:id="rId3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CONTROLE</a:t>
            </a:r>
          </a:p>
        </xdr:txBody>
      </xdr:sp>
    </xdr:grpSp>
    <xdr:clientData/>
  </xdr:twoCellAnchor>
  <xdr:twoCellAnchor>
    <xdr:from>
      <xdr:col>9</xdr:col>
      <xdr:colOff>590550</xdr:colOff>
      <xdr:row>9</xdr:row>
      <xdr:rowOff>19050</xdr:rowOff>
    </xdr:from>
    <xdr:to>
      <xdr:col>13</xdr:col>
      <xdr:colOff>47625</xdr:colOff>
      <xdr:row>11</xdr:row>
      <xdr:rowOff>177088</xdr:rowOff>
    </xdr:to>
    <xdr:grpSp>
      <xdr:nvGrpSpPr>
        <xdr:cNvPr id="12" name="Grupo 11">
          <a:hlinkClick xmlns:r="http://schemas.openxmlformats.org/officeDocument/2006/relationships" r:id="rId4"/>
        </xdr:cNvPr>
        <xdr:cNvGrpSpPr/>
      </xdr:nvGrpSpPr>
      <xdr:grpSpPr>
        <a:xfrm>
          <a:off x="6505575" y="2000250"/>
          <a:ext cx="1895475" cy="539038"/>
          <a:chOff x="285750" y="2400300"/>
          <a:chExt cx="1895475" cy="539038"/>
        </a:xfrm>
      </xdr:grpSpPr>
      <xdr:pic>
        <xdr:nvPicPr>
          <xdr:cNvPr id="13" name="Imagem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4" name="CaixaDeTexto 13">
            <a:hlinkClick xmlns:r="http://schemas.openxmlformats.org/officeDocument/2006/relationships" r:id="rId5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PANORAMA</a:t>
            </a:r>
          </a:p>
        </xdr:txBody>
      </xdr:sp>
    </xdr:grpSp>
    <xdr:clientData/>
  </xdr:twoCellAnchor>
  <xdr:twoCellAnchor editAs="oneCell">
    <xdr:from>
      <xdr:col>17</xdr:col>
      <xdr:colOff>571500</xdr:colOff>
      <xdr:row>0</xdr:row>
      <xdr:rowOff>0</xdr:rowOff>
    </xdr:from>
    <xdr:to>
      <xdr:col>19</xdr:col>
      <xdr:colOff>552450</xdr:colOff>
      <xdr:row>1</xdr:row>
      <xdr:rowOff>22779</xdr:rowOff>
    </xdr:to>
    <xdr:pic>
      <xdr:nvPicPr>
        <xdr:cNvPr id="15" name="Imagem 14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25" y="0"/>
          <a:ext cx="1200150" cy="479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</xdr:col>
      <xdr:colOff>238125</xdr:colOff>
      <xdr:row>0</xdr:row>
      <xdr:rowOff>396724</xdr:rowOff>
    </xdr:to>
    <xdr:pic>
      <xdr:nvPicPr>
        <xdr:cNvPr id="8" name="Imagem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78581</xdr:rowOff>
    </xdr:from>
    <xdr:to>
      <xdr:col>1</xdr:col>
      <xdr:colOff>219075</xdr:colOff>
      <xdr:row>1</xdr:row>
      <xdr:rowOff>95514</xdr:rowOff>
    </xdr:to>
    <xdr:sp macro="" textlink="">
      <xdr:nvSpPr>
        <xdr:cNvPr id="2" name="Seta em curva para a direita 1">
          <a:hlinkClick xmlns:r="http://schemas.openxmlformats.org/officeDocument/2006/relationships" r:id="rId1"/>
        </xdr:cNvPr>
        <xdr:cNvSpPr/>
      </xdr:nvSpPr>
      <xdr:spPr>
        <a:xfrm rot="10800000">
          <a:off x="133350" y="78581"/>
          <a:ext cx="276225" cy="278871"/>
        </a:xfrm>
        <a:prstGeom prst="curvedRightArrow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1023937</xdr:colOff>
      <xdr:row>4</xdr:row>
      <xdr:rowOff>47624</xdr:rowOff>
    </xdr:from>
    <xdr:to>
      <xdr:col>12</xdr:col>
      <xdr:colOff>416717</xdr:colOff>
      <xdr:row>17</xdr:row>
      <xdr:rowOff>83343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523874</xdr:colOff>
      <xdr:row>3</xdr:row>
      <xdr:rowOff>178594</xdr:rowOff>
    </xdr:from>
    <xdr:to>
      <xdr:col>20</xdr:col>
      <xdr:colOff>369091</xdr:colOff>
      <xdr:row>17</xdr:row>
      <xdr:rowOff>11907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41274</xdr:rowOff>
    </xdr:from>
    <xdr:to>
      <xdr:col>30</xdr:col>
      <xdr:colOff>441325</xdr:colOff>
      <xdr:row>30</xdr:row>
      <xdr:rowOff>184150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333375</xdr:colOff>
      <xdr:row>0</xdr:row>
      <xdr:rowOff>0</xdr:rowOff>
    </xdr:from>
    <xdr:to>
      <xdr:col>20</xdr:col>
      <xdr:colOff>314325</xdr:colOff>
      <xdr:row>1</xdr:row>
      <xdr:rowOff>22779</xdr:rowOff>
    </xdr:to>
    <xdr:pic>
      <xdr:nvPicPr>
        <xdr:cNvPr id="13" name="Imagem 12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6175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66675</xdr:rowOff>
    </xdr:from>
    <xdr:to>
      <xdr:col>1</xdr:col>
      <xdr:colOff>28575</xdr:colOff>
      <xdr:row>0</xdr:row>
      <xdr:rowOff>396724</xdr:rowOff>
    </xdr:to>
    <xdr:pic>
      <xdr:nvPicPr>
        <xdr:cNvPr id="14" name="Imagem 13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6675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Y1"/>
  <sheetViews>
    <sheetView workbookViewId="0">
      <selection sqref="A1:T1"/>
    </sheetView>
  </sheetViews>
  <sheetFormatPr defaultRowHeight="15"/>
  <cols>
    <col min="1" max="1" width="15.5703125" style="1" customWidth="1"/>
    <col min="2" max="16384" width="9.140625" style="1"/>
  </cols>
  <sheetData>
    <row r="1" spans="1:25" s="58" customFormat="1" ht="36" customHeight="1">
      <c r="A1" s="61" t="s">
        <v>15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57"/>
      <c r="V1" s="57"/>
      <c r="W1" s="57"/>
      <c r="X1" s="57"/>
      <c r="Y1" s="57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Y88"/>
  <sheetViews>
    <sheetView showGridLines="0" tabSelected="1" workbookViewId="0">
      <pane ySplit="3" topLeftCell="A61" activePane="bottomLeft" state="frozen"/>
      <selection pane="bottomLeft" activeCell="C42" sqref="C42"/>
    </sheetView>
  </sheetViews>
  <sheetFormatPr defaultRowHeight="15"/>
  <cols>
    <col min="1" max="1" width="5.7109375" style="5" customWidth="1"/>
    <col min="2" max="2" width="17.7109375" style="32" customWidth="1"/>
    <col min="3" max="3" width="16.85546875" customWidth="1"/>
    <col min="4" max="4" width="14.85546875" style="22" customWidth="1"/>
    <col min="5" max="5" width="18.140625" style="22" bestFit="1" customWidth="1"/>
    <col min="6" max="6" width="18.5703125" style="22" bestFit="1" customWidth="1"/>
    <col min="7" max="7" width="19.28515625" style="22" customWidth="1"/>
    <col min="8" max="8" width="4.28515625" style="21" customWidth="1"/>
    <col min="9" max="9" width="17.42578125" style="22" customWidth="1"/>
    <col min="10" max="10" width="26.5703125" style="22" customWidth="1"/>
    <col min="11" max="12" width="35.140625" style="24" customWidth="1"/>
    <col min="13" max="13" width="41.7109375" style="24" bestFit="1" customWidth="1"/>
    <col min="14" max="14" width="13.28515625" style="22" bestFit="1" customWidth="1"/>
    <col min="15" max="15" width="13.28515625" style="5" bestFit="1" customWidth="1"/>
    <col min="16" max="16" width="13.7109375" style="5" customWidth="1"/>
    <col min="17" max="17" width="13.28515625" style="5" bestFit="1" customWidth="1"/>
  </cols>
  <sheetData>
    <row r="1" spans="1:25" s="58" customFormat="1" ht="36" customHeight="1">
      <c r="A1" s="61" t="s">
        <v>16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59"/>
      <c r="M1" s="59"/>
      <c r="N1" s="59"/>
      <c r="O1" s="59"/>
      <c r="P1" s="59"/>
      <c r="Q1" s="59"/>
      <c r="R1" s="59"/>
      <c r="S1" s="59"/>
      <c r="T1" s="59"/>
      <c r="U1" s="57"/>
      <c r="V1" s="57"/>
      <c r="W1" s="57"/>
      <c r="X1" s="57"/>
      <c r="Y1" s="57"/>
    </row>
    <row r="2" spans="1:25" ht="10.5" customHeight="1" thickBot="1">
      <c r="J2" s="21">
        <v>0</v>
      </c>
    </row>
    <row r="3" spans="1:25">
      <c r="B3" s="37" t="s">
        <v>6</v>
      </c>
      <c r="C3" s="37" t="s">
        <v>7</v>
      </c>
      <c r="D3" s="37" t="s">
        <v>8</v>
      </c>
      <c r="E3" s="37" t="s">
        <v>9</v>
      </c>
      <c r="F3" s="37" t="s">
        <v>10</v>
      </c>
      <c r="G3" s="38" t="s">
        <v>11</v>
      </c>
      <c r="H3" s="55"/>
      <c r="I3" s="37" t="s">
        <v>6</v>
      </c>
      <c r="J3" s="37" t="s">
        <v>7</v>
      </c>
      <c r="K3" s="37" t="s">
        <v>12</v>
      </c>
      <c r="L3" s="37" t="s">
        <v>13</v>
      </c>
      <c r="M3" s="37" t="s">
        <v>14</v>
      </c>
      <c r="N3" s="36"/>
      <c r="O3" s="19"/>
    </row>
    <row r="4" spans="1:25" s="1" customFormat="1" ht="9.75" customHeight="1" thickBot="1">
      <c r="A4" s="27"/>
      <c r="B4" s="45"/>
      <c r="C4" s="36"/>
      <c r="D4" s="36"/>
      <c r="E4" s="36"/>
      <c r="F4" s="36"/>
      <c r="G4" s="36"/>
      <c r="H4" s="55"/>
      <c r="I4" s="45"/>
      <c r="J4" s="36"/>
      <c r="K4" s="36"/>
      <c r="L4" s="36"/>
      <c r="M4" s="36"/>
      <c r="N4" s="36"/>
      <c r="O4" s="30"/>
      <c r="P4" s="27"/>
      <c r="Q4" s="27"/>
    </row>
    <row r="5" spans="1:25" ht="15" customHeight="1">
      <c r="A5" s="19" t="str">
        <f>B5</f>
        <v>ESTAGIÁRIO</v>
      </c>
      <c r="B5" s="70" t="s">
        <v>25</v>
      </c>
      <c r="C5" s="50" t="s">
        <v>26</v>
      </c>
      <c r="D5" s="51"/>
      <c r="E5" s="48">
        <v>650</v>
      </c>
      <c r="F5" s="31">
        <f t="shared" ref="F5:F9" si="0">E5*D5</f>
        <v>0</v>
      </c>
      <c r="G5" s="65">
        <f>SUM(F5:F9)</f>
        <v>0</v>
      </c>
      <c r="H5" s="56">
        <f>G5</f>
        <v>0</v>
      </c>
      <c r="I5" s="70" t="str">
        <f>B5</f>
        <v>ESTAGIÁRIO</v>
      </c>
      <c r="J5" s="39" t="str">
        <f>C5</f>
        <v>Treinee</v>
      </c>
      <c r="K5" s="41"/>
      <c r="L5" s="41"/>
      <c r="M5" s="41"/>
      <c r="N5" s="29"/>
      <c r="O5" s="20"/>
      <c r="P5" s="18"/>
    </row>
    <row r="6" spans="1:25">
      <c r="A6" s="19">
        <f t="shared" ref="A6:A87" si="1">B6</f>
        <v>0</v>
      </c>
      <c r="B6" s="71"/>
      <c r="C6" s="52" t="s">
        <v>27</v>
      </c>
      <c r="D6" s="53"/>
      <c r="E6" s="49"/>
      <c r="F6" s="31">
        <f t="shared" si="0"/>
        <v>0</v>
      </c>
      <c r="G6" s="66"/>
      <c r="H6" s="56">
        <f t="shared" ref="H6:H88" si="2">G6</f>
        <v>0</v>
      </c>
      <c r="I6" s="71"/>
      <c r="J6" s="42" t="str">
        <f>C6</f>
        <v>Junior</v>
      </c>
      <c r="K6" s="23"/>
      <c r="L6" s="23"/>
      <c r="M6" s="23"/>
      <c r="N6" s="29"/>
      <c r="O6" s="20"/>
      <c r="P6" s="18"/>
    </row>
    <row r="7" spans="1:25">
      <c r="A7" s="19">
        <f t="shared" si="1"/>
        <v>0</v>
      </c>
      <c r="B7" s="71"/>
      <c r="C7" s="52" t="s">
        <v>28</v>
      </c>
      <c r="D7" s="53"/>
      <c r="E7" s="49"/>
      <c r="F7" s="31">
        <f t="shared" si="0"/>
        <v>0</v>
      </c>
      <c r="G7" s="66"/>
      <c r="H7" s="56">
        <f t="shared" si="2"/>
        <v>0</v>
      </c>
      <c r="I7" s="71"/>
      <c r="J7" s="42" t="str">
        <f>C7</f>
        <v xml:space="preserve">Pleno </v>
      </c>
      <c r="K7" s="23"/>
      <c r="L7" s="23"/>
      <c r="M7" s="23"/>
      <c r="N7" s="29"/>
      <c r="O7" s="20"/>
      <c r="P7" s="18"/>
    </row>
    <row r="8" spans="1:25">
      <c r="A8" s="19">
        <f t="shared" si="1"/>
        <v>0</v>
      </c>
      <c r="B8" s="71"/>
      <c r="C8" s="52" t="s">
        <v>29</v>
      </c>
      <c r="D8" s="53"/>
      <c r="E8" s="49"/>
      <c r="F8" s="31">
        <f t="shared" si="0"/>
        <v>0</v>
      </c>
      <c r="G8" s="66"/>
      <c r="H8" s="56">
        <f t="shared" si="2"/>
        <v>0</v>
      </c>
      <c r="I8" s="71"/>
      <c r="J8" s="42" t="str">
        <f>C8</f>
        <v>Senior</v>
      </c>
      <c r="K8" s="23"/>
      <c r="L8" s="23"/>
      <c r="M8" s="23"/>
      <c r="N8" s="29"/>
      <c r="O8" s="20"/>
      <c r="P8" s="18"/>
    </row>
    <row r="9" spans="1:25">
      <c r="A9" s="19">
        <f t="shared" si="1"/>
        <v>0</v>
      </c>
      <c r="B9" s="71"/>
      <c r="C9" s="52" t="s">
        <v>30</v>
      </c>
      <c r="D9" s="53"/>
      <c r="E9" s="49"/>
      <c r="F9" s="31">
        <f t="shared" si="0"/>
        <v>0</v>
      </c>
      <c r="G9" s="67"/>
      <c r="H9" s="56">
        <f t="shared" si="2"/>
        <v>0</v>
      </c>
      <c r="I9" s="71"/>
      <c r="J9" s="42" t="str">
        <f>C9</f>
        <v>Master</v>
      </c>
      <c r="K9" s="23"/>
      <c r="L9" s="23"/>
      <c r="M9" s="23"/>
      <c r="N9" s="29"/>
      <c r="O9" s="20"/>
      <c r="P9" s="18"/>
    </row>
    <row r="10" spans="1:25" s="25" customFormat="1" ht="7.5" customHeight="1" thickBot="1">
      <c r="A10" s="19">
        <f t="shared" si="1"/>
        <v>0</v>
      </c>
      <c r="B10" s="33"/>
      <c r="C10" s="43"/>
      <c r="D10" s="34"/>
      <c r="E10" s="35"/>
      <c r="F10" s="35"/>
      <c r="G10" s="44"/>
      <c r="H10" s="56">
        <f t="shared" si="2"/>
        <v>0</v>
      </c>
      <c r="I10" s="28"/>
      <c r="J10" s="43"/>
      <c r="K10" s="34"/>
      <c r="L10" s="35"/>
      <c r="M10" s="44"/>
      <c r="N10" s="29"/>
      <c r="O10" s="26"/>
      <c r="P10" s="26"/>
      <c r="Q10" s="30"/>
    </row>
    <row r="11" spans="1:25" ht="15" customHeight="1">
      <c r="A11" s="19" t="str">
        <f t="shared" ref="A11:A16" si="3">B11</f>
        <v>AUXILIAR FISCAL</v>
      </c>
      <c r="B11" s="70" t="s">
        <v>39</v>
      </c>
      <c r="C11" s="50" t="s">
        <v>26</v>
      </c>
      <c r="D11" s="51"/>
      <c r="E11" s="48">
        <v>1050</v>
      </c>
      <c r="F11" s="40">
        <f>E11*D11</f>
        <v>0</v>
      </c>
      <c r="G11" s="65">
        <f>SUM(F11:F15)</f>
        <v>0</v>
      </c>
      <c r="H11" s="56">
        <f t="shared" ref="H11:H16" si="4">G11</f>
        <v>0</v>
      </c>
      <c r="I11" s="70" t="str">
        <f>B11</f>
        <v>AUXILIAR FISCAL</v>
      </c>
      <c r="J11" s="39" t="str">
        <f>C11</f>
        <v>Treinee</v>
      </c>
      <c r="K11" s="81" t="s">
        <v>40</v>
      </c>
      <c r="L11" s="82"/>
      <c r="M11" s="83"/>
      <c r="N11" s="29"/>
      <c r="O11" s="20"/>
      <c r="P11" s="18"/>
    </row>
    <row r="12" spans="1:25">
      <c r="A12" s="19">
        <f t="shared" si="3"/>
        <v>0</v>
      </c>
      <c r="B12" s="71"/>
      <c r="C12" s="52" t="s">
        <v>27</v>
      </c>
      <c r="D12" s="53"/>
      <c r="E12" s="49">
        <v>1207.96</v>
      </c>
      <c r="F12" s="31">
        <f>E12*D12</f>
        <v>0</v>
      </c>
      <c r="G12" s="68"/>
      <c r="H12" s="56">
        <f t="shared" si="4"/>
        <v>0</v>
      </c>
      <c r="I12" s="71"/>
      <c r="J12" s="42" t="str">
        <f>C12</f>
        <v>Junior</v>
      </c>
      <c r="K12" s="84"/>
      <c r="L12" s="85"/>
      <c r="M12" s="86"/>
      <c r="N12" s="29"/>
      <c r="O12" s="20"/>
      <c r="P12" s="18"/>
    </row>
    <row r="13" spans="1:25">
      <c r="A13" s="19">
        <f t="shared" si="3"/>
        <v>0</v>
      </c>
      <c r="B13" s="71"/>
      <c r="C13" s="52" t="s">
        <v>28</v>
      </c>
      <c r="D13" s="53"/>
      <c r="E13" s="49">
        <v>1389.15</v>
      </c>
      <c r="F13" s="31">
        <f t="shared" ref="F13:F15" si="5">E13*D13</f>
        <v>0</v>
      </c>
      <c r="G13" s="68"/>
      <c r="H13" s="56">
        <f t="shared" si="4"/>
        <v>0</v>
      </c>
      <c r="I13" s="71"/>
      <c r="J13" s="42" t="str">
        <f>C13</f>
        <v xml:space="preserve">Pleno </v>
      </c>
      <c r="K13" s="84"/>
      <c r="L13" s="85"/>
      <c r="M13" s="86"/>
      <c r="N13" s="29"/>
      <c r="O13" s="20"/>
      <c r="P13" s="18"/>
    </row>
    <row r="14" spans="1:25">
      <c r="A14" s="19">
        <f t="shared" si="3"/>
        <v>0</v>
      </c>
      <c r="B14" s="71"/>
      <c r="C14" s="52" t="s">
        <v>29</v>
      </c>
      <c r="D14" s="53"/>
      <c r="E14" s="49">
        <v>1597.52</v>
      </c>
      <c r="F14" s="31">
        <f t="shared" si="5"/>
        <v>0</v>
      </c>
      <c r="G14" s="68"/>
      <c r="H14" s="56">
        <f t="shared" si="4"/>
        <v>0</v>
      </c>
      <c r="I14" s="71"/>
      <c r="J14" s="42" t="str">
        <f>C14</f>
        <v>Senior</v>
      </c>
      <c r="K14" s="84"/>
      <c r="L14" s="85"/>
      <c r="M14" s="86"/>
      <c r="N14" s="29"/>
      <c r="O14" s="20"/>
      <c r="P14" s="18"/>
    </row>
    <row r="15" spans="1:25">
      <c r="A15" s="19">
        <f t="shared" si="3"/>
        <v>0</v>
      </c>
      <c r="B15" s="71"/>
      <c r="C15" s="52" t="s">
        <v>30</v>
      </c>
      <c r="D15" s="53"/>
      <c r="E15" s="49">
        <v>1837.15</v>
      </c>
      <c r="F15" s="31">
        <f t="shared" si="5"/>
        <v>0</v>
      </c>
      <c r="G15" s="69"/>
      <c r="H15" s="56">
        <f t="shared" si="4"/>
        <v>0</v>
      </c>
      <c r="I15" s="71"/>
      <c r="J15" s="42" t="str">
        <f>C15</f>
        <v>Master</v>
      </c>
      <c r="K15" s="87"/>
      <c r="L15" s="88"/>
      <c r="M15" s="89"/>
      <c r="N15" s="29"/>
      <c r="O15" s="20"/>
      <c r="P15" s="18"/>
    </row>
    <row r="16" spans="1:25" s="25" customFormat="1" ht="7.5" customHeight="1" thickBot="1">
      <c r="A16" s="19">
        <f t="shared" si="3"/>
        <v>0</v>
      </c>
      <c r="B16" s="33"/>
      <c r="C16" s="43"/>
      <c r="D16" s="34"/>
      <c r="E16" s="35"/>
      <c r="F16" s="35"/>
      <c r="G16" s="44"/>
      <c r="H16" s="56">
        <f t="shared" si="4"/>
        <v>0</v>
      </c>
      <c r="I16" s="28"/>
      <c r="J16" s="43"/>
      <c r="K16" s="34"/>
      <c r="L16" s="35"/>
      <c r="M16" s="44"/>
      <c r="N16" s="29"/>
      <c r="O16" s="26"/>
      <c r="P16" s="26"/>
      <c r="Q16" s="30"/>
    </row>
    <row r="17" spans="1:17" ht="15" customHeight="1">
      <c r="A17" s="19" t="str">
        <f t="shared" si="1"/>
        <v>ASSITENTE FISCAL</v>
      </c>
      <c r="B17" s="70" t="s">
        <v>22</v>
      </c>
      <c r="C17" s="50" t="s">
        <v>26</v>
      </c>
      <c r="D17" s="51"/>
      <c r="E17" s="48">
        <v>1282.67</v>
      </c>
      <c r="F17" s="40">
        <f>E17*D17</f>
        <v>0</v>
      </c>
      <c r="G17" s="65">
        <f>SUM(F17:F21)</f>
        <v>0</v>
      </c>
      <c r="H17" s="56">
        <f t="shared" si="2"/>
        <v>0</v>
      </c>
      <c r="I17" s="70" t="str">
        <f>B17</f>
        <v>ASSITENTE FISCAL</v>
      </c>
      <c r="J17" s="39" t="str">
        <f>C17</f>
        <v>Treinee</v>
      </c>
      <c r="K17" s="81" t="s">
        <v>31</v>
      </c>
      <c r="L17" s="82"/>
      <c r="M17" s="83"/>
      <c r="N17" s="29"/>
      <c r="O17" s="20"/>
      <c r="P17" s="18"/>
    </row>
    <row r="18" spans="1:17">
      <c r="A18" s="19">
        <f t="shared" si="1"/>
        <v>0</v>
      </c>
      <c r="B18" s="71"/>
      <c r="C18" s="52" t="s">
        <v>27</v>
      </c>
      <c r="D18" s="53"/>
      <c r="E18" s="49">
        <v>1475.07</v>
      </c>
      <c r="F18" s="31">
        <f>E18*D18</f>
        <v>0</v>
      </c>
      <c r="G18" s="68"/>
      <c r="H18" s="56">
        <f t="shared" si="2"/>
        <v>0</v>
      </c>
      <c r="I18" s="71"/>
      <c r="J18" s="42" t="str">
        <f>C18</f>
        <v>Junior</v>
      </c>
      <c r="K18" s="84"/>
      <c r="L18" s="85"/>
      <c r="M18" s="86"/>
      <c r="N18" s="29"/>
      <c r="O18" s="20"/>
      <c r="P18" s="18"/>
    </row>
    <row r="19" spans="1:17">
      <c r="A19" s="19">
        <f t="shared" si="1"/>
        <v>0</v>
      </c>
      <c r="B19" s="71"/>
      <c r="C19" s="52" t="s">
        <v>28</v>
      </c>
      <c r="D19" s="53"/>
      <c r="E19" s="49">
        <v>1696.33</v>
      </c>
      <c r="F19" s="31">
        <f t="shared" ref="F19:F21" si="6">E19*D19</f>
        <v>0</v>
      </c>
      <c r="G19" s="68"/>
      <c r="H19" s="56">
        <f t="shared" si="2"/>
        <v>0</v>
      </c>
      <c r="I19" s="71"/>
      <c r="J19" s="42" t="str">
        <f>C19</f>
        <v xml:space="preserve">Pleno </v>
      </c>
      <c r="K19" s="84"/>
      <c r="L19" s="85"/>
      <c r="M19" s="86"/>
      <c r="N19" s="29"/>
      <c r="O19" s="20"/>
      <c r="P19" s="18"/>
    </row>
    <row r="20" spans="1:17">
      <c r="A20" s="19">
        <f t="shared" si="1"/>
        <v>0</v>
      </c>
      <c r="B20" s="71"/>
      <c r="C20" s="52" t="s">
        <v>29</v>
      </c>
      <c r="D20" s="53"/>
      <c r="E20" s="49">
        <v>1950.78</v>
      </c>
      <c r="F20" s="31">
        <f t="shared" si="6"/>
        <v>0</v>
      </c>
      <c r="G20" s="68"/>
      <c r="H20" s="56">
        <f t="shared" si="2"/>
        <v>0</v>
      </c>
      <c r="I20" s="71"/>
      <c r="J20" s="42" t="str">
        <f>C20</f>
        <v>Senior</v>
      </c>
      <c r="K20" s="84"/>
      <c r="L20" s="85"/>
      <c r="M20" s="86"/>
      <c r="N20" s="29"/>
      <c r="O20" s="20"/>
      <c r="P20" s="18"/>
    </row>
    <row r="21" spans="1:17">
      <c r="A21" s="19">
        <f t="shared" si="1"/>
        <v>0</v>
      </c>
      <c r="B21" s="71"/>
      <c r="C21" s="52" t="s">
        <v>30</v>
      </c>
      <c r="D21" s="53"/>
      <c r="E21" s="49">
        <v>2243.4</v>
      </c>
      <c r="F21" s="31">
        <f t="shared" si="6"/>
        <v>0</v>
      </c>
      <c r="G21" s="69"/>
      <c r="H21" s="56">
        <f t="shared" si="2"/>
        <v>0</v>
      </c>
      <c r="I21" s="71"/>
      <c r="J21" s="42" t="str">
        <f>C21</f>
        <v>Master</v>
      </c>
      <c r="K21" s="87"/>
      <c r="L21" s="88"/>
      <c r="M21" s="89"/>
      <c r="N21" s="29"/>
      <c r="O21" s="20"/>
      <c r="P21" s="18"/>
    </row>
    <row r="22" spans="1:17" s="25" customFormat="1" ht="7.5" customHeight="1" thickBot="1">
      <c r="A22" s="19">
        <f t="shared" si="1"/>
        <v>0</v>
      </c>
      <c r="B22" s="33"/>
      <c r="C22" s="43"/>
      <c r="D22" s="34"/>
      <c r="E22" s="35"/>
      <c r="F22" s="35"/>
      <c r="G22" s="44"/>
      <c r="H22" s="56">
        <f t="shared" si="2"/>
        <v>0</v>
      </c>
      <c r="I22" s="28"/>
      <c r="J22" s="43"/>
      <c r="K22" s="34"/>
      <c r="L22" s="35"/>
      <c r="M22" s="44"/>
      <c r="N22" s="29"/>
      <c r="O22" s="26"/>
      <c r="P22" s="26"/>
      <c r="Q22" s="30"/>
    </row>
    <row r="23" spans="1:17" ht="15" customHeight="1">
      <c r="A23" s="19" t="str">
        <f t="shared" si="1"/>
        <v xml:space="preserve">ANALISTA FISCAL </v>
      </c>
      <c r="B23" s="70" t="s">
        <v>23</v>
      </c>
      <c r="C23" s="50" t="s">
        <v>26</v>
      </c>
      <c r="D23" s="51"/>
      <c r="E23" s="48">
        <v>2277.46</v>
      </c>
      <c r="F23" s="40">
        <f>E23*D23</f>
        <v>0</v>
      </c>
      <c r="G23" s="65">
        <f>SUM(F23:F27)</f>
        <v>0</v>
      </c>
      <c r="H23" s="56">
        <f t="shared" si="2"/>
        <v>0</v>
      </c>
      <c r="I23" s="70" t="str">
        <f>B23</f>
        <v xml:space="preserve">ANALISTA FISCAL </v>
      </c>
      <c r="J23" s="39" t="str">
        <f>C23</f>
        <v>Treinee</v>
      </c>
      <c r="K23" s="81" t="s">
        <v>32</v>
      </c>
      <c r="L23" s="82"/>
      <c r="M23" s="83"/>
      <c r="N23" s="29"/>
      <c r="O23" s="20"/>
      <c r="P23" s="18"/>
    </row>
    <row r="24" spans="1:17">
      <c r="A24" s="19">
        <f t="shared" si="1"/>
        <v>0</v>
      </c>
      <c r="B24" s="71"/>
      <c r="C24" s="52" t="s">
        <v>27</v>
      </c>
      <c r="D24" s="53"/>
      <c r="E24" s="49">
        <v>2846.83</v>
      </c>
      <c r="F24" s="31">
        <f>E24*D24</f>
        <v>0</v>
      </c>
      <c r="G24" s="68"/>
      <c r="H24" s="56">
        <f t="shared" si="2"/>
        <v>0</v>
      </c>
      <c r="I24" s="71"/>
      <c r="J24" s="42" t="str">
        <f>C24</f>
        <v>Junior</v>
      </c>
      <c r="K24" s="84"/>
      <c r="L24" s="85"/>
      <c r="M24" s="86"/>
      <c r="N24" s="29"/>
      <c r="O24" s="20"/>
      <c r="P24" s="18"/>
    </row>
    <row r="25" spans="1:17">
      <c r="A25" s="19">
        <f t="shared" si="1"/>
        <v>0</v>
      </c>
      <c r="B25" s="71"/>
      <c r="C25" s="52" t="s">
        <v>28</v>
      </c>
      <c r="D25" s="53"/>
      <c r="E25" s="49">
        <v>3558.54</v>
      </c>
      <c r="F25" s="31">
        <f t="shared" ref="F25:F27" si="7">E25*D25</f>
        <v>0</v>
      </c>
      <c r="G25" s="68"/>
      <c r="H25" s="56">
        <f t="shared" si="2"/>
        <v>0</v>
      </c>
      <c r="I25" s="71"/>
      <c r="J25" s="42" t="str">
        <f>C25</f>
        <v xml:space="preserve">Pleno </v>
      </c>
      <c r="K25" s="84"/>
      <c r="L25" s="85"/>
      <c r="M25" s="86"/>
      <c r="N25" s="29"/>
      <c r="O25" s="20"/>
      <c r="P25" s="18"/>
    </row>
    <row r="26" spans="1:17">
      <c r="A26" s="19">
        <f t="shared" si="1"/>
        <v>0</v>
      </c>
      <c r="B26" s="71"/>
      <c r="C26" s="52" t="s">
        <v>29</v>
      </c>
      <c r="D26" s="53"/>
      <c r="E26" s="49">
        <v>4448.18</v>
      </c>
      <c r="F26" s="31">
        <f t="shared" si="7"/>
        <v>0</v>
      </c>
      <c r="G26" s="68"/>
      <c r="H26" s="56">
        <f t="shared" si="2"/>
        <v>0</v>
      </c>
      <c r="I26" s="71"/>
      <c r="J26" s="42" t="str">
        <f>C26</f>
        <v>Senior</v>
      </c>
      <c r="K26" s="84"/>
      <c r="L26" s="85"/>
      <c r="M26" s="86"/>
      <c r="N26" s="29"/>
      <c r="O26" s="20"/>
      <c r="P26" s="18"/>
    </row>
    <row r="27" spans="1:17">
      <c r="A27" s="19">
        <f t="shared" si="1"/>
        <v>0</v>
      </c>
      <c r="B27" s="71"/>
      <c r="C27" s="52" t="s">
        <v>30</v>
      </c>
      <c r="D27" s="53"/>
      <c r="E27" s="49">
        <v>5560.23</v>
      </c>
      <c r="F27" s="31">
        <f t="shared" si="7"/>
        <v>0</v>
      </c>
      <c r="G27" s="69"/>
      <c r="H27" s="56">
        <f t="shared" si="2"/>
        <v>0</v>
      </c>
      <c r="I27" s="71"/>
      <c r="J27" s="42" t="str">
        <f>C27</f>
        <v>Master</v>
      </c>
      <c r="K27" s="87"/>
      <c r="L27" s="88"/>
      <c r="M27" s="89"/>
      <c r="N27" s="29"/>
      <c r="O27" s="20"/>
      <c r="P27" s="18"/>
    </row>
    <row r="28" spans="1:17" s="25" customFormat="1" ht="7.5" customHeight="1" thickBot="1">
      <c r="A28" s="19">
        <f t="shared" si="1"/>
        <v>0</v>
      </c>
      <c r="B28" s="33"/>
      <c r="C28" s="43"/>
      <c r="D28" s="34"/>
      <c r="E28" s="35"/>
      <c r="F28" s="35"/>
      <c r="G28" s="44"/>
      <c r="H28" s="56">
        <f t="shared" si="2"/>
        <v>0</v>
      </c>
      <c r="I28" s="28"/>
      <c r="J28" s="43"/>
      <c r="K28" s="34"/>
      <c r="L28" s="35"/>
      <c r="M28" s="44"/>
      <c r="N28" s="29"/>
      <c r="O28" s="26"/>
      <c r="P28" s="26"/>
      <c r="Q28" s="30"/>
    </row>
    <row r="29" spans="1:17" ht="15" customHeight="1">
      <c r="A29" s="19" t="str">
        <f t="shared" ref="A29:A34" si="8">B29</f>
        <v xml:space="preserve">SUPERVISOR  FISCAL </v>
      </c>
      <c r="B29" s="63" t="s">
        <v>37</v>
      </c>
      <c r="C29" s="50" t="s">
        <v>26</v>
      </c>
      <c r="D29" s="51"/>
      <c r="E29" s="48">
        <v>2540.25</v>
      </c>
      <c r="F29" s="40">
        <f>E29*D29</f>
        <v>0</v>
      </c>
      <c r="G29" s="65">
        <f>SUM(F29:F33)</f>
        <v>0</v>
      </c>
      <c r="H29" s="56">
        <f t="shared" ref="H29:H34" si="9">G29</f>
        <v>0</v>
      </c>
      <c r="I29" s="63" t="str">
        <f>B29</f>
        <v xml:space="preserve">SUPERVISOR  FISCAL </v>
      </c>
      <c r="J29" s="39" t="str">
        <f>C29</f>
        <v>Treinee</v>
      </c>
      <c r="K29" s="81" t="s">
        <v>38</v>
      </c>
      <c r="L29" s="82"/>
      <c r="M29" s="83"/>
      <c r="N29" s="29"/>
      <c r="O29" s="20"/>
      <c r="P29" s="18"/>
    </row>
    <row r="30" spans="1:17">
      <c r="A30" s="19">
        <f t="shared" si="8"/>
        <v>0</v>
      </c>
      <c r="B30" s="64"/>
      <c r="C30" s="52" t="s">
        <v>27</v>
      </c>
      <c r="D30" s="53"/>
      <c r="E30" s="49">
        <v>3302.32</v>
      </c>
      <c r="F30" s="31">
        <f>E30*D30</f>
        <v>0</v>
      </c>
      <c r="G30" s="68"/>
      <c r="H30" s="56">
        <f t="shared" si="9"/>
        <v>0</v>
      </c>
      <c r="I30" s="64"/>
      <c r="J30" s="42" t="str">
        <f>C30</f>
        <v>Junior</v>
      </c>
      <c r="K30" s="84"/>
      <c r="L30" s="85"/>
      <c r="M30" s="86"/>
      <c r="N30" s="29"/>
      <c r="O30" s="20"/>
      <c r="P30" s="18"/>
    </row>
    <row r="31" spans="1:17">
      <c r="A31" s="19">
        <f t="shared" si="8"/>
        <v>0</v>
      </c>
      <c r="B31" s="64"/>
      <c r="C31" s="52" t="s">
        <v>28</v>
      </c>
      <c r="D31" s="53"/>
      <c r="E31" s="49">
        <v>4293.0200000000004</v>
      </c>
      <c r="F31" s="31">
        <f t="shared" ref="F31:F33" si="10">E31*D31</f>
        <v>0</v>
      </c>
      <c r="G31" s="68"/>
      <c r="H31" s="56">
        <f t="shared" si="9"/>
        <v>0</v>
      </c>
      <c r="I31" s="64"/>
      <c r="J31" s="42" t="str">
        <f>C31</f>
        <v xml:space="preserve">Pleno </v>
      </c>
      <c r="K31" s="84"/>
      <c r="L31" s="85"/>
      <c r="M31" s="86"/>
      <c r="N31" s="29"/>
      <c r="O31" s="20"/>
      <c r="P31" s="18"/>
    </row>
    <row r="32" spans="1:17">
      <c r="A32" s="19">
        <f t="shared" si="8"/>
        <v>0</v>
      </c>
      <c r="B32" s="64"/>
      <c r="C32" s="52" t="s">
        <v>29</v>
      </c>
      <c r="D32" s="53"/>
      <c r="E32" s="49">
        <v>5580.93</v>
      </c>
      <c r="F32" s="31">
        <f t="shared" si="10"/>
        <v>0</v>
      </c>
      <c r="G32" s="68"/>
      <c r="H32" s="56">
        <f t="shared" si="9"/>
        <v>0</v>
      </c>
      <c r="I32" s="64"/>
      <c r="J32" s="42" t="str">
        <f>C32</f>
        <v>Senior</v>
      </c>
      <c r="K32" s="84"/>
      <c r="L32" s="85"/>
      <c r="M32" s="86"/>
      <c r="N32" s="29"/>
      <c r="O32" s="20"/>
      <c r="P32" s="18"/>
    </row>
    <row r="33" spans="1:17">
      <c r="A33" s="19">
        <f t="shared" si="8"/>
        <v>0</v>
      </c>
      <c r="B33" s="64"/>
      <c r="C33" s="52" t="s">
        <v>30</v>
      </c>
      <c r="D33" s="53"/>
      <c r="E33" s="49">
        <v>7255.21</v>
      </c>
      <c r="F33" s="31">
        <f t="shared" si="10"/>
        <v>0</v>
      </c>
      <c r="G33" s="69"/>
      <c r="H33" s="56">
        <f t="shared" si="9"/>
        <v>0</v>
      </c>
      <c r="I33" s="64"/>
      <c r="J33" s="42" t="str">
        <f>C33</f>
        <v>Master</v>
      </c>
      <c r="K33" s="87"/>
      <c r="L33" s="88"/>
      <c r="M33" s="89"/>
      <c r="N33" s="29"/>
      <c r="O33" s="20"/>
      <c r="P33" s="18"/>
    </row>
    <row r="34" spans="1:17" s="25" customFormat="1" ht="7.5" customHeight="1" thickBot="1">
      <c r="A34" s="19">
        <f t="shared" si="8"/>
        <v>0</v>
      </c>
      <c r="B34" s="33"/>
      <c r="C34" s="43"/>
      <c r="D34" s="34"/>
      <c r="E34" s="35"/>
      <c r="F34" s="35"/>
      <c r="G34" s="44"/>
      <c r="H34" s="56">
        <f t="shared" si="9"/>
        <v>0</v>
      </c>
      <c r="I34" s="28"/>
      <c r="J34" s="43"/>
      <c r="K34" s="34"/>
      <c r="L34" s="35"/>
      <c r="M34" s="44"/>
      <c r="N34" s="29"/>
      <c r="O34" s="26"/>
      <c r="P34" s="26"/>
      <c r="Q34" s="30"/>
    </row>
    <row r="35" spans="1:17" ht="15" customHeight="1">
      <c r="A35" s="19" t="str">
        <f t="shared" si="1"/>
        <v xml:space="preserve">AUXILIAR FINANCEIRO </v>
      </c>
      <c r="B35" s="63" t="s">
        <v>42</v>
      </c>
      <c r="C35" s="50" t="s">
        <v>26</v>
      </c>
      <c r="D35" s="51"/>
      <c r="E35" s="48"/>
      <c r="F35" s="40">
        <f>E35*D35</f>
        <v>0</v>
      </c>
      <c r="G35" s="65">
        <f>SUM(F35:F39)</f>
        <v>0</v>
      </c>
      <c r="H35" s="56">
        <f t="shared" si="2"/>
        <v>0</v>
      </c>
      <c r="I35" s="63" t="str">
        <f>B35</f>
        <v xml:space="preserve">AUXILIAR FINANCEIRO </v>
      </c>
      <c r="J35" s="39" t="str">
        <f>C35</f>
        <v>Treinee</v>
      </c>
      <c r="K35" s="72" t="s">
        <v>50</v>
      </c>
      <c r="L35" s="73"/>
      <c r="M35" s="74"/>
      <c r="N35" s="29"/>
      <c r="O35" s="20"/>
      <c r="P35" s="18"/>
    </row>
    <row r="36" spans="1:17">
      <c r="A36" s="19">
        <f t="shared" si="1"/>
        <v>0</v>
      </c>
      <c r="B36" s="64"/>
      <c r="C36" s="52" t="s">
        <v>27</v>
      </c>
      <c r="D36" s="53"/>
      <c r="E36" s="49"/>
      <c r="F36" s="31">
        <f>E36*D36</f>
        <v>0</v>
      </c>
      <c r="G36" s="68"/>
      <c r="H36" s="56">
        <f t="shared" si="2"/>
        <v>0</v>
      </c>
      <c r="I36" s="64"/>
      <c r="J36" s="42" t="str">
        <f>C36</f>
        <v>Junior</v>
      </c>
      <c r="K36" s="75"/>
      <c r="L36" s="76"/>
      <c r="M36" s="77"/>
      <c r="N36" s="29"/>
      <c r="O36" s="20"/>
      <c r="P36" s="18"/>
    </row>
    <row r="37" spans="1:17">
      <c r="A37" s="19">
        <f t="shared" si="1"/>
        <v>0</v>
      </c>
      <c r="B37" s="64"/>
      <c r="C37" s="52" t="s">
        <v>28</v>
      </c>
      <c r="D37" s="53"/>
      <c r="E37" s="49">
        <v>1405.87</v>
      </c>
      <c r="F37" s="31">
        <f t="shared" ref="F37:F39" si="11">E37*D37</f>
        <v>0</v>
      </c>
      <c r="G37" s="68"/>
      <c r="H37" s="56">
        <f t="shared" si="2"/>
        <v>0</v>
      </c>
      <c r="I37" s="64"/>
      <c r="J37" s="42" t="str">
        <f>C37</f>
        <v xml:space="preserve">Pleno </v>
      </c>
      <c r="K37" s="75"/>
      <c r="L37" s="76"/>
      <c r="M37" s="77"/>
      <c r="N37" s="29"/>
      <c r="O37" s="20"/>
      <c r="P37" s="18"/>
    </row>
    <row r="38" spans="1:17">
      <c r="A38" s="19">
        <f t="shared" si="1"/>
        <v>0</v>
      </c>
      <c r="B38" s="64"/>
      <c r="C38" s="52" t="s">
        <v>29</v>
      </c>
      <c r="D38" s="53"/>
      <c r="E38" s="49"/>
      <c r="F38" s="31">
        <f t="shared" si="11"/>
        <v>0</v>
      </c>
      <c r="G38" s="68"/>
      <c r="H38" s="56">
        <f t="shared" si="2"/>
        <v>0</v>
      </c>
      <c r="I38" s="64"/>
      <c r="J38" s="42" t="str">
        <f>C38</f>
        <v>Senior</v>
      </c>
      <c r="K38" s="75"/>
      <c r="L38" s="76"/>
      <c r="M38" s="77"/>
      <c r="N38" s="29"/>
      <c r="O38" s="20"/>
      <c r="P38" s="18"/>
    </row>
    <row r="39" spans="1:17">
      <c r="A39" s="19">
        <f t="shared" si="1"/>
        <v>0</v>
      </c>
      <c r="B39" s="64"/>
      <c r="C39" s="52" t="s">
        <v>30</v>
      </c>
      <c r="D39" s="53"/>
      <c r="E39" s="49"/>
      <c r="F39" s="31">
        <f t="shared" si="11"/>
        <v>0</v>
      </c>
      <c r="G39" s="69"/>
      <c r="H39" s="56">
        <f t="shared" si="2"/>
        <v>0</v>
      </c>
      <c r="I39" s="64"/>
      <c r="J39" s="42" t="str">
        <f>C39</f>
        <v>Master</v>
      </c>
      <c r="K39" s="78"/>
      <c r="L39" s="79"/>
      <c r="M39" s="80"/>
      <c r="N39" s="29"/>
      <c r="O39" s="20"/>
      <c r="P39" s="18"/>
    </row>
    <row r="40" spans="1:17" s="25" customFormat="1" ht="7.5" customHeight="1" thickBot="1">
      <c r="A40" s="19">
        <f t="shared" si="1"/>
        <v>0</v>
      </c>
      <c r="B40" s="33"/>
      <c r="C40" s="43"/>
      <c r="D40" s="34"/>
      <c r="E40" s="35"/>
      <c r="F40" s="35"/>
      <c r="G40" s="44"/>
      <c r="H40" s="56">
        <f t="shared" si="2"/>
        <v>0</v>
      </c>
      <c r="I40" s="28"/>
      <c r="J40" s="43"/>
      <c r="K40" s="34"/>
      <c r="L40" s="35"/>
      <c r="M40" s="44"/>
      <c r="N40" s="29"/>
      <c r="O40" s="26"/>
      <c r="P40" s="26"/>
      <c r="Q40" s="30"/>
    </row>
    <row r="41" spans="1:17" ht="15" customHeight="1">
      <c r="A41" s="19" t="str">
        <f t="shared" si="1"/>
        <v>ANALISTA FINANCEIRO</v>
      </c>
      <c r="B41" s="63" t="s">
        <v>18</v>
      </c>
      <c r="C41" s="50" t="s">
        <v>26</v>
      </c>
      <c r="D41" s="51"/>
      <c r="E41" s="48"/>
      <c r="F41" s="40">
        <f>E41*D41</f>
        <v>0</v>
      </c>
      <c r="G41" s="65">
        <f>SUM(F41:F45)</f>
        <v>0</v>
      </c>
      <c r="H41" s="56">
        <f t="shared" si="2"/>
        <v>0</v>
      </c>
      <c r="I41" s="63" t="str">
        <f>B41</f>
        <v>ANALISTA FINANCEIRO</v>
      </c>
      <c r="J41" s="39" t="str">
        <f>C41</f>
        <v>Treinee</v>
      </c>
      <c r="K41" s="41"/>
      <c r="L41" s="41"/>
      <c r="M41" s="41"/>
      <c r="N41" s="29"/>
      <c r="O41" s="20"/>
      <c r="P41" s="18"/>
    </row>
    <row r="42" spans="1:17">
      <c r="A42" s="19">
        <f t="shared" si="1"/>
        <v>0</v>
      </c>
      <c r="B42" s="64"/>
      <c r="C42" s="52" t="s">
        <v>27</v>
      </c>
      <c r="D42" s="53"/>
      <c r="E42" s="49">
        <v>2633.49</v>
      </c>
      <c r="F42" s="31">
        <f>E42*D42</f>
        <v>0</v>
      </c>
      <c r="G42" s="68"/>
      <c r="H42" s="56">
        <f t="shared" si="2"/>
        <v>0</v>
      </c>
      <c r="I42" s="64"/>
      <c r="J42" s="42" t="str">
        <f>C42</f>
        <v>Junior</v>
      </c>
      <c r="K42" s="60" t="s">
        <v>47</v>
      </c>
      <c r="L42" s="23"/>
      <c r="M42" s="23"/>
      <c r="N42" s="29"/>
      <c r="O42" s="20"/>
      <c r="P42" s="18"/>
    </row>
    <row r="43" spans="1:17">
      <c r="A43" s="19">
        <f t="shared" si="1"/>
        <v>0</v>
      </c>
      <c r="B43" s="64"/>
      <c r="C43" s="52" t="s">
        <v>28</v>
      </c>
      <c r="D43" s="53"/>
      <c r="E43" s="49">
        <v>4095.19</v>
      </c>
      <c r="F43" s="31">
        <f t="shared" ref="F43:F45" si="12">E43*D43</f>
        <v>0</v>
      </c>
      <c r="G43" s="68"/>
      <c r="H43" s="56">
        <f t="shared" si="2"/>
        <v>0</v>
      </c>
      <c r="I43" s="64"/>
      <c r="J43" s="42" t="str">
        <f>C43</f>
        <v xml:space="preserve">Pleno </v>
      </c>
      <c r="K43" s="60" t="s">
        <v>48</v>
      </c>
      <c r="L43" s="23"/>
      <c r="M43" s="23"/>
      <c r="N43" s="29"/>
      <c r="O43" s="20"/>
      <c r="P43" s="18"/>
    </row>
    <row r="44" spans="1:17">
      <c r="A44" s="19">
        <f t="shared" si="1"/>
        <v>0</v>
      </c>
      <c r="B44" s="64"/>
      <c r="C44" s="52" t="s">
        <v>29</v>
      </c>
      <c r="D44" s="53"/>
      <c r="E44" s="49">
        <v>4394.87</v>
      </c>
      <c r="F44" s="31">
        <f t="shared" si="12"/>
        <v>0</v>
      </c>
      <c r="G44" s="68"/>
      <c r="H44" s="56">
        <f t="shared" si="2"/>
        <v>0</v>
      </c>
      <c r="I44" s="64"/>
      <c r="J44" s="42" t="str">
        <f>C44</f>
        <v>Senior</v>
      </c>
      <c r="K44" s="60" t="s">
        <v>49</v>
      </c>
      <c r="L44" s="23"/>
      <c r="M44" s="23"/>
      <c r="N44" s="29"/>
      <c r="O44" s="20"/>
      <c r="P44" s="18"/>
    </row>
    <row r="45" spans="1:17">
      <c r="A45" s="19">
        <f t="shared" si="1"/>
        <v>0</v>
      </c>
      <c r="B45" s="64"/>
      <c r="C45" s="52" t="s">
        <v>30</v>
      </c>
      <c r="D45" s="53"/>
      <c r="E45" s="49"/>
      <c r="F45" s="31">
        <f t="shared" si="12"/>
        <v>0</v>
      </c>
      <c r="G45" s="69"/>
      <c r="H45" s="56">
        <f t="shared" si="2"/>
        <v>0</v>
      </c>
      <c r="I45" s="64"/>
      <c r="J45" s="42" t="str">
        <f>C45</f>
        <v>Master</v>
      </c>
      <c r="K45" s="23"/>
      <c r="L45" s="23"/>
      <c r="M45" s="23"/>
      <c r="N45" s="29"/>
      <c r="O45" s="20"/>
      <c r="P45" s="18"/>
    </row>
    <row r="46" spans="1:17" s="25" customFormat="1" ht="7.5" customHeight="1" thickBot="1">
      <c r="A46" s="19">
        <f t="shared" ref="A46:A51" si="13">B46</f>
        <v>0</v>
      </c>
      <c r="B46" s="33"/>
      <c r="C46" s="43"/>
      <c r="D46" s="34"/>
      <c r="E46" s="35"/>
      <c r="F46" s="35"/>
      <c r="G46" s="44"/>
      <c r="H46" s="56">
        <f t="shared" ref="H46:H51" si="14">G46</f>
        <v>0</v>
      </c>
      <c r="I46" s="28"/>
      <c r="J46" s="43"/>
      <c r="K46" s="34"/>
      <c r="L46" s="35"/>
      <c r="M46" s="44"/>
      <c r="N46" s="29"/>
      <c r="O46" s="26"/>
      <c r="P46" s="26"/>
      <c r="Q46" s="30"/>
    </row>
    <row r="47" spans="1:17" ht="15" customHeight="1">
      <c r="A47" s="19" t="str">
        <f t="shared" si="13"/>
        <v>SUPERVISOR FINANCEIRO</v>
      </c>
      <c r="B47" s="63" t="s">
        <v>41</v>
      </c>
      <c r="C47" s="50" t="s">
        <v>26</v>
      </c>
      <c r="D47" s="51"/>
      <c r="E47" s="48"/>
      <c r="F47" s="40">
        <f>E47*D47</f>
        <v>0</v>
      </c>
      <c r="G47" s="65">
        <f>SUM(F47:F51)</f>
        <v>0</v>
      </c>
      <c r="H47" s="56">
        <f t="shared" si="14"/>
        <v>0</v>
      </c>
      <c r="I47" s="63" t="str">
        <f>B47</f>
        <v>SUPERVISOR FINANCEIRO</v>
      </c>
      <c r="J47" s="39" t="str">
        <f>C47</f>
        <v>Treinee</v>
      </c>
      <c r="K47" s="75" t="s">
        <v>51</v>
      </c>
      <c r="L47" s="76"/>
      <c r="M47" s="77"/>
      <c r="N47" s="29"/>
      <c r="O47" s="20"/>
      <c r="P47" s="18"/>
    </row>
    <row r="48" spans="1:17">
      <c r="A48" s="19">
        <f t="shared" si="13"/>
        <v>0</v>
      </c>
      <c r="B48" s="64"/>
      <c r="C48" s="52" t="s">
        <v>27</v>
      </c>
      <c r="D48" s="53"/>
      <c r="E48" s="49"/>
      <c r="F48" s="31">
        <f>E48*D48</f>
        <v>0</v>
      </c>
      <c r="G48" s="68"/>
      <c r="H48" s="56">
        <f t="shared" si="14"/>
        <v>0</v>
      </c>
      <c r="I48" s="64"/>
      <c r="J48" s="42" t="str">
        <f>C48</f>
        <v>Junior</v>
      </c>
      <c r="K48" s="75"/>
      <c r="L48" s="76"/>
      <c r="M48" s="77"/>
      <c r="N48" s="29"/>
      <c r="O48" s="20"/>
      <c r="P48" s="18"/>
    </row>
    <row r="49" spans="1:17">
      <c r="A49" s="19">
        <f t="shared" si="13"/>
        <v>0</v>
      </c>
      <c r="B49" s="64"/>
      <c r="C49" s="52" t="s">
        <v>28</v>
      </c>
      <c r="D49" s="53"/>
      <c r="E49" s="49">
        <v>4410.1499999999996</v>
      </c>
      <c r="F49" s="31">
        <f t="shared" ref="F49:F51" si="15">E49*D49</f>
        <v>0</v>
      </c>
      <c r="G49" s="68"/>
      <c r="H49" s="56">
        <f t="shared" si="14"/>
        <v>0</v>
      </c>
      <c r="I49" s="64"/>
      <c r="J49" s="42" t="str">
        <f>C49</f>
        <v xml:space="preserve">Pleno </v>
      </c>
      <c r="K49" s="75"/>
      <c r="L49" s="76"/>
      <c r="M49" s="77"/>
      <c r="N49" s="29"/>
      <c r="O49" s="20"/>
      <c r="P49" s="18"/>
    </row>
    <row r="50" spans="1:17">
      <c r="A50" s="19">
        <f t="shared" si="13"/>
        <v>0</v>
      </c>
      <c r="B50" s="64"/>
      <c r="C50" s="52" t="s">
        <v>29</v>
      </c>
      <c r="D50" s="53"/>
      <c r="E50" s="49"/>
      <c r="F50" s="31">
        <f t="shared" si="15"/>
        <v>0</v>
      </c>
      <c r="G50" s="68"/>
      <c r="H50" s="56">
        <f t="shared" si="14"/>
        <v>0</v>
      </c>
      <c r="I50" s="64"/>
      <c r="J50" s="42" t="str">
        <f>C50</f>
        <v>Senior</v>
      </c>
      <c r="K50" s="75"/>
      <c r="L50" s="76"/>
      <c r="M50" s="77"/>
      <c r="N50" s="29"/>
      <c r="O50" s="20"/>
      <c r="P50" s="18"/>
    </row>
    <row r="51" spans="1:17">
      <c r="A51" s="19">
        <f t="shared" si="13"/>
        <v>0</v>
      </c>
      <c r="B51" s="64"/>
      <c r="C51" s="52" t="s">
        <v>30</v>
      </c>
      <c r="D51" s="53"/>
      <c r="E51" s="49"/>
      <c r="F51" s="31">
        <f t="shared" si="15"/>
        <v>0</v>
      </c>
      <c r="G51" s="69"/>
      <c r="H51" s="56">
        <f t="shared" si="14"/>
        <v>0</v>
      </c>
      <c r="I51" s="64"/>
      <c r="J51" s="42" t="str">
        <f>C51</f>
        <v>Master</v>
      </c>
      <c r="K51" s="78"/>
      <c r="L51" s="79"/>
      <c r="M51" s="80"/>
      <c r="N51" s="29"/>
      <c r="O51" s="20"/>
      <c r="P51" s="18"/>
    </row>
    <row r="52" spans="1:17" s="25" customFormat="1" ht="7.5" customHeight="1" thickBot="1">
      <c r="A52" s="19">
        <f t="shared" si="1"/>
        <v>0</v>
      </c>
      <c r="B52" s="33"/>
      <c r="C52" s="43"/>
      <c r="D52" s="34"/>
      <c r="E52" s="35"/>
      <c r="F52" s="35"/>
      <c r="G52" s="44"/>
      <c r="H52" s="56">
        <f t="shared" si="2"/>
        <v>0</v>
      </c>
      <c r="I52" s="28"/>
      <c r="J52" s="43"/>
      <c r="K52" s="34"/>
      <c r="L52" s="35"/>
      <c r="M52" s="44"/>
      <c r="N52" s="29"/>
      <c r="O52" s="26"/>
      <c r="P52" s="26"/>
      <c r="Q52" s="30"/>
    </row>
    <row r="53" spans="1:17" ht="15" customHeight="1">
      <c r="A53" s="19" t="str">
        <f t="shared" si="1"/>
        <v>ASSISTENTE DE DP</v>
      </c>
      <c r="B53" s="70" t="s">
        <v>19</v>
      </c>
      <c r="C53" s="50" t="s">
        <v>26</v>
      </c>
      <c r="D53" s="51"/>
      <c r="E53" s="48">
        <v>998</v>
      </c>
      <c r="F53" s="40">
        <f>E53*D53</f>
        <v>0</v>
      </c>
      <c r="G53" s="65">
        <f>SUM(F53:F57)</f>
        <v>0</v>
      </c>
      <c r="H53" s="56">
        <f t="shared" si="2"/>
        <v>0</v>
      </c>
      <c r="I53" s="70" t="str">
        <f>B53</f>
        <v>ASSISTENTE DE DP</v>
      </c>
      <c r="J53" s="39" t="str">
        <f>C53</f>
        <v>Treinee</v>
      </c>
      <c r="K53" s="81" t="s">
        <v>34</v>
      </c>
      <c r="L53" s="82"/>
      <c r="M53" s="83"/>
      <c r="N53" s="29"/>
      <c r="O53" s="20"/>
      <c r="P53" s="18"/>
    </row>
    <row r="54" spans="1:17">
      <c r="A54" s="19">
        <f t="shared" si="1"/>
        <v>0</v>
      </c>
      <c r="B54" s="71"/>
      <c r="C54" s="52" t="s">
        <v>27</v>
      </c>
      <c r="D54" s="53"/>
      <c r="E54" s="49">
        <v>1078.97</v>
      </c>
      <c r="F54" s="31">
        <f>E54*D54</f>
        <v>0</v>
      </c>
      <c r="G54" s="68"/>
      <c r="H54" s="56">
        <f t="shared" si="2"/>
        <v>0</v>
      </c>
      <c r="I54" s="71"/>
      <c r="J54" s="42" t="str">
        <f>C54</f>
        <v>Junior</v>
      </c>
      <c r="K54" s="84"/>
      <c r="L54" s="85"/>
      <c r="M54" s="86"/>
      <c r="N54" s="29"/>
      <c r="O54" s="20"/>
      <c r="P54" s="18"/>
    </row>
    <row r="55" spans="1:17">
      <c r="A55" s="19">
        <f t="shared" si="1"/>
        <v>0</v>
      </c>
      <c r="B55" s="71"/>
      <c r="C55" s="52" t="s">
        <v>28</v>
      </c>
      <c r="D55" s="53"/>
      <c r="E55" s="49">
        <v>1240.82</v>
      </c>
      <c r="F55" s="31">
        <f t="shared" ref="F55:F57" si="16">E55*D55</f>
        <v>0</v>
      </c>
      <c r="G55" s="68"/>
      <c r="H55" s="56">
        <f t="shared" si="2"/>
        <v>0</v>
      </c>
      <c r="I55" s="71"/>
      <c r="J55" s="42" t="str">
        <f>C55</f>
        <v xml:space="preserve">Pleno </v>
      </c>
      <c r="K55" s="84"/>
      <c r="L55" s="85"/>
      <c r="M55" s="86"/>
      <c r="N55" s="29"/>
      <c r="O55" s="20"/>
      <c r="P55" s="18"/>
    </row>
    <row r="56" spans="1:17">
      <c r="A56" s="19">
        <f t="shared" si="1"/>
        <v>0</v>
      </c>
      <c r="B56" s="71"/>
      <c r="C56" s="52" t="s">
        <v>29</v>
      </c>
      <c r="D56" s="53"/>
      <c r="E56" s="49">
        <v>1426.94</v>
      </c>
      <c r="F56" s="31">
        <f t="shared" si="16"/>
        <v>0</v>
      </c>
      <c r="G56" s="68"/>
      <c r="H56" s="56">
        <f t="shared" si="2"/>
        <v>0</v>
      </c>
      <c r="I56" s="71"/>
      <c r="J56" s="42" t="str">
        <f>C56</f>
        <v>Senior</v>
      </c>
      <c r="K56" s="84"/>
      <c r="L56" s="85"/>
      <c r="M56" s="86"/>
      <c r="N56" s="29"/>
      <c r="O56" s="20"/>
      <c r="P56" s="18"/>
    </row>
    <row r="57" spans="1:17">
      <c r="A57" s="19">
        <f t="shared" si="1"/>
        <v>0</v>
      </c>
      <c r="B57" s="71"/>
      <c r="C57" s="52" t="s">
        <v>30</v>
      </c>
      <c r="D57" s="53"/>
      <c r="E57" s="49">
        <v>1640.98</v>
      </c>
      <c r="F57" s="31">
        <f t="shared" si="16"/>
        <v>0</v>
      </c>
      <c r="G57" s="69"/>
      <c r="H57" s="56">
        <f t="shared" si="2"/>
        <v>0</v>
      </c>
      <c r="I57" s="71"/>
      <c r="J57" s="42" t="str">
        <f>C57</f>
        <v>Master</v>
      </c>
      <c r="K57" s="87"/>
      <c r="L57" s="88"/>
      <c r="M57" s="89"/>
      <c r="N57" s="29"/>
      <c r="O57" s="20"/>
      <c r="P57" s="18"/>
    </row>
    <row r="58" spans="1:17" s="25" customFormat="1" ht="7.5" customHeight="1" thickBot="1">
      <c r="A58" s="19">
        <f t="shared" si="1"/>
        <v>0</v>
      </c>
      <c r="B58" s="33"/>
      <c r="C58" s="43"/>
      <c r="D58" s="34"/>
      <c r="E58" s="35"/>
      <c r="F58" s="35"/>
      <c r="G58" s="44"/>
      <c r="H58" s="56">
        <f t="shared" si="2"/>
        <v>0</v>
      </c>
      <c r="I58" s="28"/>
      <c r="J58" s="43"/>
      <c r="K58" s="34"/>
      <c r="L58" s="35"/>
      <c r="M58" s="44"/>
      <c r="N58" s="29"/>
      <c r="O58" s="26"/>
      <c r="P58" s="26"/>
      <c r="Q58" s="30"/>
    </row>
    <row r="59" spans="1:17" ht="15" customHeight="1">
      <c r="A59" s="19" t="str">
        <f t="shared" si="1"/>
        <v>ANALISTA DE DP</v>
      </c>
      <c r="B59" s="70" t="s">
        <v>20</v>
      </c>
      <c r="C59" s="50" t="s">
        <v>26</v>
      </c>
      <c r="D59" s="51"/>
      <c r="E59" s="48">
        <v>1398.31</v>
      </c>
      <c r="F59" s="40">
        <f>E59*D59</f>
        <v>0</v>
      </c>
      <c r="G59" s="65">
        <f>SUM(F59:F63)</f>
        <v>0</v>
      </c>
      <c r="H59" s="56">
        <f t="shared" si="2"/>
        <v>0</v>
      </c>
      <c r="I59" s="70" t="str">
        <f>B59</f>
        <v>ANALISTA DE DP</v>
      </c>
      <c r="J59" s="39" t="str">
        <f>C59</f>
        <v>Treinee</v>
      </c>
      <c r="K59" s="81" t="s">
        <v>33</v>
      </c>
      <c r="L59" s="82"/>
      <c r="M59" s="83"/>
      <c r="N59" s="29"/>
      <c r="O59" s="20"/>
      <c r="P59" s="18"/>
    </row>
    <row r="60" spans="1:17">
      <c r="A60" s="19">
        <f t="shared" si="1"/>
        <v>0</v>
      </c>
      <c r="B60" s="71"/>
      <c r="C60" s="52" t="s">
        <v>27</v>
      </c>
      <c r="D60" s="53"/>
      <c r="E60" s="49">
        <v>1747.89</v>
      </c>
      <c r="F60" s="31">
        <f>E60*D60</f>
        <v>0</v>
      </c>
      <c r="G60" s="68"/>
      <c r="H60" s="56">
        <f t="shared" si="2"/>
        <v>0</v>
      </c>
      <c r="I60" s="71"/>
      <c r="J60" s="42" t="str">
        <f>C60</f>
        <v>Junior</v>
      </c>
      <c r="K60" s="84"/>
      <c r="L60" s="85"/>
      <c r="M60" s="86"/>
      <c r="N60" s="29"/>
      <c r="O60" s="20"/>
      <c r="P60" s="18"/>
    </row>
    <row r="61" spans="1:17">
      <c r="A61" s="19">
        <f t="shared" si="1"/>
        <v>0</v>
      </c>
      <c r="B61" s="71"/>
      <c r="C61" s="52" t="s">
        <v>28</v>
      </c>
      <c r="D61" s="53"/>
      <c r="E61" s="49">
        <v>2184.86</v>
      </c>
      <c r="F61" s="31">
        <f t="shared" ref="F61:F63" si="17">E61*D61</f>
        <v>0</v>
      </c>
      <c r="G61" s="68"/>
      <c r="H61" s="56">
        <f t="shared" si="2"/>
        <v>0</v>
      </c>
      <c r="I61" s="71"/>
      <c r="J61" s="42" t="str">
        <f>C61</f>
        <v xml:space="preserve">Pleno </v>
      </c>
      <c r="K61" s="84"/>
      <c r="L61" s="85"/>
      <c r="M61" s="86"/>
      <c r="N61" s="29"/>
      <c r="O61" s="20"/>
      <c r="P61" s="18"/>
    </row>
    <row r="62" spans="1:17">
      <c r="A62" s="19">
        <f t="shared" si="1"/>
        <v>0</v>
      </c>
      <c r="B62" s="71"/>
      <c r="C62" s="52" t="s">
        <v>29</v>
      </c>
      <c r="D62" s="53"/>
      <c r="E62" s="49">
        <v>2731.08</v>
      </c>
      <c r="F62" s="31">
        <f t="shared" si="17"/>
        <v>0</v>
      </c>
      <c r="G62" s="68"/>
      <c r="H62" s="56">
        <f t="shared" si="2"/>
        <v>0</v>
      </c>
      <c r="I62" s="71"/>
      <c r="J62" s="42" t="str">
        <f>C62</f>
        <v>Senior</v>
      </c>
      <c r="K62" s="84"/>
      <c r="L62" s="85"/>
      <c r="M62" s="86"/>
      <c r="N62" s="29"/>
      <c r="O62" s="20"/>
      <c r="P62" s="18"/>
    </row>
    <row r="63" spans="1:17">
      <c r="A63" s="19">
        <f t="shared" si="1"/>
        <v>0</v>
      </c>
      <c r="B63" s="71"/>
      <c r="C63" s="52" t="s">
        <v>30</v>
      </c>
      <c r="D63" s="53"/>
      <c r="E63" s="49">
        <v>3413.85</v>
      </c>
      <c r="F63" s="31">
        <f t="shared" si="17"/>
        <v>0</v>
      </c>
      <c r="G63" s="69"/>
      <c r="H63" s="56">
        <f t="shared" si="2"/>
        <v>0</v>
      </c>
      <c r="I63" s="71"/>
      <c r="J63" s="42" t="str">
        <f>C63</f>
        <v>Master</v>
      </c>
      <c r="K63" s="87"/>
      <c r="L63" s="88"/>
      <c r="M63" s="89"/>
      <c r="N63" s="29"/>
      <c r="O63" s="20"/>
      <c r="P63" s="18"/>
    </row>
    <row r="64" spans="1:17" s="25" customFormat="1" ht="7.5" customHeight="1" thickBot="1">
      <c r="A64" s="19">
        <f t="shared" ref="A64:A69" si="18">B64</f>
        <v>0</v>
      </c>
      <c r="B64" s="33"/>
      <c r="C64" s="43"/>
      <c r="D64" s="34"/>
      <c r="E64" s="35"/>
      <c r="F64" s="35"/>
      <c r="G64" s="44"/>
      <c r="H64" s="56">
        <f t="shared" ref="H64:H69" si="19">G64</f>
        <v>0</v>
      </c>
      <c r="I64" s="28"/>
      <c r="J64" s="43"/>
      <c r="K64" s="34"/>
      <c r="L64" s="35"/>
      <c r="M64" s="44"/>
      <c r="N64" s="29"/>
      <c r="O64" s="26"/>
      <c r="P64" s="26"/>
      <c r="Q64" s="30"/>
    </row>
    <row r="65" spans="1:17" ht="15" customHeight="1">
      <c r="A65" s="19" t="str">
        <f t="shared" si="18"/>
        <v>SUPERVISOR DE DP</v>
      </c>
      <c r="B65" s="63" t="s">
        <v>43</v>
      </c>
      <c r="C65" s="50" t="s">
        <v>26</v>
      </c>
      <c r="D65" s="51"/>
      <c r="E65" s="48">
        <v>1398.31</v>
      </c>
      <c r="F65" s="40">
        <f>E65*D65</f>
        <v>0</v>
      </c>
      <c r="G65" s="65">
        <f>SUM(F65:F69)</f>
        <v>0</v>
      </c>
      <c r="H65" s="56">
        <f t="shared" si="19"/>
        <v>0</v>
      </c>
      <c r="I65" s="70" t="str">
        <f>B65</f>
        <v>SUPERVISOR DE DP</v>
      </c>
      <c r="J65" s="39" t="str">
        <f>C65</f>
        <v>Treinee</v>
      </c>
      <c r="K65" s="90" t="s">
        <v>45</v>
      </c>
      <c r="L65" s="91"/>
      <c r="M65" s="92"/>
      <c r="N65" s="29"/>
      <c r="O65" s="20"/>
      <c r="P65" s="18"/>
    </row>
    <row r="66" spans="1:17">
      <c r="A66" s="19">
        <f t="shared" si="18"/>
        <v>0</v>
      </c>
      <c r="B66" s="64"/>
      <c r="C66" s="52" t="s">
        <v>27</v>
      </c>
      <c r="D66" s="53"/>
      <c r="E66" s="49">
        <v>1747.89</v>
      </c>
      <c r="F66" s="31">
        <f>E66*D66</f>
        <v>0</v>
      </c>
      <c r="G66" s="68"/>
      <c r="H66" s="56">
        <f t="shared" si="19"/>
        <v>0</v>
      </c>
      <c r="I66" s="71"/>
      <c r="J66" s="42" t="str">
        <f>C66</f>
        <v>Junior</v>
      </c>
      <c r="K66" s="93"/>
      <c r="L66" s="94"/>
      <c r="M66" s="95"/>
      <c r="N66" s="29"/>
      <c r="O66" s="20"/>
      <c r="P66" s="18"/>
    </row>
    <row r="67" spans="1:17">
      <c r="A67" s="19">
        <f t="shared" si="18"/>
        <v>0</v>
      </c>
      <c r="B67" s="64"/>
      <c r="C67" s="52" t="s">
        <v>28</v>
      </c>
      <c r="D67" s="53"/>
      <c r="E67" s="49">
        <v>2184.86</v>
      </c>
      <c r="F67" s="31">
        <f t="shared" ref="F67:F69" si="20">E67*D67</f>
        <v>0</v>
      </c>
      <c r="G67" s="68"/>
      <c r="H67" s="56">
        <f t="shared" si="19"/>
        <v>0</v>
      </c>
      <c r="I67" s="71"/>
      <c r="J67" s="42" t="str">
        <f>C67</f>
        <v xml:space="preserve">Pleno </v>
      </c>
      <c r="K67" s="93"/>
      <c r="L67" s="94"/>
      <c r="M67" s="95"/>
      <c r="N67" s="29"/>
      <c r="O67" s="20"/>
      <c r="P67" s="18"/>
    </row>
    <row r="68" spans="1:17">
      <c r="A68" s="19">
        <f t="shared" si="18"/>
        <v>0</v>
      </c>
      <c r="B68" s="64"/>
      <c r="C68" s="52" t="s">
        <v>29</v>
      </c>
      <c r="D68" s="53"/>
      <c r="E68" s="49">
        <v>2731.08</v>
      </c>
      <c r="F68" s="31">
        <f t="shared" si="20"/>
        <v>0</v>
      </c>
      <c r="G68" s="68"/>
      <c r="H68" s="56">
        <f t="shared" si="19"/>
        <v>0</v>
      </c>
      <c r="I68" s="71"/>
      <c r="J68" s="42" t="str">
        <f>C68</f>
        <v>Senior</v>
      </c>
      <c r="K68" s="93"/>
      <c r="L68" s="94"/>
      <c r="M68" s="95"/>
      <c r="N68" s="29"/>
      <c r="O68" s="20"/>
      <c r="P68" s="18"/>
    </row>
    <row r="69" spans="1:17">
      <c r="A69" s="19">
        <f t="shared" si="18"/>
        <v>0</v>
      </c>
      <c r="B69" s="64"/>
      <c r="C69" s="52" t="s">
        <v>30</v>
      </c>
      <c r="D69" s="53"/>
      <c r="E69" s="49">
        <v>3413.85</v>
      </c>
      <c r="F69" s="31">
        <f t="shared" si="20"/>
        <v>0</v>
      </c>
      <c r="G69" s="69"/>
      <c r="H69" s="56">
        <f t="shared" si="19"/>
        <v>0</v>
      </c>
      <c r="I69" s="71"/>
      <c r="J69" s="42" t="str">
        <f>C69</f>
        <v>Master</v>
      </c>
      <c r="K69" s="96"/>
      <c r="L69" s="97"/>
      <c r="M69" s="98"/>
      <c r="N69" s="29"/>
      <c r="O69" s="20"/>
      <c r="P69" s="18"/>
    </row>
    <row r="70" spans="1:17" s="25" customFormat="1" ht="7.5" customHeight="1" thickBot="1">
      <c r="A70" s="19">
        <f t="shared" si="1"/>
        <v>0</v>
      </c>
      <c r="B70" s="33"/>
      <c r="C70" s="43"/>
      <c r="D70" s="34"/>
      <c r="E70" s="35"/>
      <c r="F70" s="35"/>
      <c r="G70" s="44"/>
      <c r="H70" s="56">
        <f t="shared" si="2"/>
        <v>0</v>
      </c>
      <c r="I70" s="28"/>
      <c r="J70" s="43"/>
      <c r="K70" s="34"/>
      <c r="L70" s="35"/>
      <c r="M70" s="44"/>
      <c r="N70" s="29"/>
      <c r="O70" s="26"/>
      <c r="P70" s="26"/>
      <c r="Q70" s="30"/>
    </row>
    <row r="71" spans="1:17" ht="15" customHeight="1">
      <c r="A71" s="19" t="str">
        <f t="shared" si="1"/>
        <v>ASSISTENTE CONTÁBIL</v>
      </c>
      <c r="B71" s="63" t="s">
        <v>21</v>
      </c>
      <c r="C71" s="50" t="s">
        <v>26</v>
      </c>
      <c r="D71" s="51"/>
      <c r="E71" s="48">
        <v>1235.0999999999999</v>
      </c>
      <c r="F71" s="40">
        <f>E71*D71</f>
        <v>0</v>
      </c>
      <c r="G71" s="65">
        <f>SUM(F71:F75)</f>
        <v>0</v>
      </c>
      <c r="H71" s="56">
        <f t="shared" si="2"/>
        <v>0</v>
      </c>
      <c r="I71" s="63" t="str">
        <f>B71</f>
        <v>ASSISTENTE CONTÁBIL</v>
      </c>
      <c r="J71" s="39" t="str">
        <f>C71</f>
        <v>Treinee</v>
      </c>
      <c r="K71" s="81" t="s">
        <v>36</v>
      </c>
      <c r="L71" s="82"/>
      <c r="M71" s="83"/>
      <c r="N71" s="29"/>
      <c r="O71" s="20"/>
      <c r="P71" s="18"/>
    </row>
    <row r="72" spans="1:17">
      <c r="A72" s="19">
        <f t="shared" si="1"/>
        <v>0</v>
      </c>
      <c r="B72" s="64"/>
      <c r="C72" s="52" t="s">
        <v>27</v>
      </c>
      <c r="D72" s="53"/>
      <c r="E72" s="49">
        <v>1420.37</v>
      </c>
      <c r="F72" s="31">
        <f>E72*D72</f>
        <v>0</v>
      </c>
      <c r="G72" s="68"/>
      <c r="H72" s="56">
        <f t="shared" si="2"/>
        <v>0</v>
      </c>
      <c r="I72" s="64"/>
      <c r="J72" s="42" t="str">
        <f>C72</f>
        <v>Junior</v>
      </c>
      <c r="K72" s="84"/>
      <c r="L72" s="85"/>
      <c r="M72" s="86"/>
      <c r="N72" s="29"/>
      <c r="O72" s="20"/>
      <c r="P72" s="18"/>
    </row>
    <row r="73" spans="1:17">
      <c r="A73" s="19">
        <f t="shared" si="1"/>
        <v>0</v>
      </c>
      <c r="B73" s="64"/>
      <c r="C73" s="52" t="s">
        <v>28</v>
      </c>
      <c r="D73" s="53"/>
      <c r="E73" s="49">
        <v>1633.43</v>
      </c>
      <c r="F73" s="31">
        <f t="shared" ref="F73:F75" si="21">E73*D73</f>
        <v>0</v>
      </c>
      <c r="G73" s="68"/>
      <c r="H73" s="56">
        <f t="shared" si="2"/>
        <v>0</v>
      </c>
      <c r="I73" s="64"/>
      <c r="J73" s="42" t="str">
        <f>C73</f>
        <v xml:space="preserve">Pleno </v>
      </c>
      <c r="K73" s="84"/>
      <c r="L73" s="85"/>
      <c r="M73" s="86"/>
      <c r="N73" s="29"/>
      <c r="O73" s="20"/>
      <c r="P73" s="18"/>
    </row>
    <row r="74" spans="1:17">
      <c r="A74" s="19">
        <f t="shared" si="1"/>
        <v>0</v>
      </c>
      <c r="B74" s="64"/>
      <c r="C74" s="52" t="s">
        <v>29</v>
      </c>
      <c r="D74" s="53"/>
      <c r="E74" s="49">
        <v>1878.44</v>
      </c>
      <c r="F74" s="31">
        <f t="shared" si="21"/>
        <v>0</v>
      </c>
      <c r="G74" s="68"/>
      <c r="H74" s="56">
        <f t="shared" si="2"/>
        <v>0</v>
      </c>
      <c r="I74" s="64"/>
      <c r="J74" s="42" t="str">
        <f>C74</f>
        <v>Senior</v>
      </c>
      <c r="K74" s="84"/>
      <c r="L74" s="85"/>
      <c r="M74" s="86"/>
      <c r="N74" s="29"/>
      <c r="O74" s="20"/>
      <c r="P74" s="18"/>
    </row>
    <row r="75" spans="1:17">
      <c r="A75" s="19">
        <f t="shared" si="1"/>
        <v>0</v>
      </c>
      <c r="B75" s="64"/>
      <c r="C75" s="52" t="s">
        <v>30</v>
      </c>
      <c r="D75" s="53"/>
      <c r="E75" s="49">
        <v>2160.21</v>
      </c>
      <c r="F75" s="31">
        <f t="shared" si="21"/>
        <v>0</v>
      </c>
      <c r="G75" s="69"/>
      <c r="H75" s="56">
        <f t="shared" si="2"/>
        <v>0</v>
      </c>
      <c r="I75" s="64"/>
      <c r="J75" s="42" t="str">
        <f>C75</f>
        <v>Master</v>
      </c>
      <c r="K75" s="87"/>
      <c r="L75" s="88"/>
      <c r="M75" s="89"/>
      <c r="N75" s="29"/>
      <c r="O75" s="20"/>
      <c r="P75" s="18"/>
    </row>
    <row r="76" spans="1:17" s="25" customFormat="1" ht="7.5" customHeight="1" thickBot="1">
      <c r="A76" s="19">
        <f t="shared" si="1"/>
        <v>0</v>
      </c>
      <c r="B76" s="33"/>
      <c r="C76" s="43"/>
      <c r="D76" s="34"/>
      <c r="E76" s="35"/>
      <c r="F76" s="35"/>
      <c r="G76" s="44"/>
      <c r="H76" s="56">
        <f t="shared" si="2"/>
        <v>0</v>
      </c>
      <c r="I76" s="28"/>
      <c r="J76" s="43"/>
      <c r="K76" s="34"/>
      <c r="L76" s="35"/>
      <c r="M76" s="44"/>
      <c r="N76" s="29"/>
      <c r="O76" s="26"/>
      <c r="P76" s="26"/>
      <c r="Q76" s="30"/>
    </row>
    <row r="77" spans="1:17" ht="15" customHeight="1">
      <c r="A77" s="19" t="str">
        <f t="shared" si="1"/>
        <v>ANALISTA CONTÁBIL</v>
      </c>
      <c r="B77" s="63" t="s">
        <v>24</v>
      </c>
      <c r="C77" s="50" t="s">
        <v>26</v>
      </c>
      <c r="D77" s="51"/>
      <c r="E77" s="48">
        <v>1766.19</v>
      </c>
      <c r="F77" s="40">
        <f>E77*D77</f>
        <v>0</v>
      </c>
      <c r="G77" s="65">
        <f>SUM(F77:F81)</f>
        <v>0</v>
      </c>
      <c r="H77" s="56">
        <f t="shared" si="2"/>
        <v>0</v>
      </c>
      <c r="I77" s="63" t="str">
        <f>B77</f>
        <v>ANALISTA CONTÁBIL</v>
      </c>
      <c r="J77" s="39" t="str">
        <f>C77</f>
        <v>Treinee</v>
      </c>
      <c r="K77" s="81" t="s">
        <v>35</v>
      </c>
      <c r="L77" s="82"/>
      <c r="M77" s="83"/>
      <c r="N77" s="29"/>
      <c r="O77" s="20"/>
      <c r="P77" s="18"/>
    </row>
    <row r="78" spans="1:17">
      <c r="A78" s="19">
        <f t="shared" si="1"/>
        <v>0</v>
      </c>
      <c r="B78" s="64"/>
      <c r="C78" s="52" t="s">
        <v>27</v>
      </c>
      <c r="D78" s="53"/>
      <c r="E78" s="49">
        <v>2207.7399999999998</v>
      </c>
      <c r="F78" s="31">
        <f>E78*D78</f>
        <v>0</v>
      </c>
      <c r="G78" s="68"/>
      <c r="H78" s="56">
        <f t="shared" si="2"/>
        <v>0</v>
      </c>
      <c r="I78" s="64"/>
      <c r="J78" s="42" t="str">
        <f>C78</f>
        <v>Junior</v>
      </c>
      <c r="K78" s="84"/>
      <c r="L78" s="85"/>
      <c r="M78" s="86"/>
      <c r="N78" s="29"/>
      <c r="O78" s="20"/>
      <c r="P78" s="18"/>
    </row>
    <row r="79" spans="1:17">
      <c r="A79" s="19">
        <f t="shared" si="1"/>
        <v>0</v>
      </c>
      <c r="B79" s="64"/>
      <c r="C79" s="52" t="s">
        <v>28</v>
      </c>
      <c r="D79" s="53"/>
      <c r="E79" s="49">
        <v>2759.67</v>
      </c>
      <c r="F79" s="31">
        <f t="shared" ref="F79:F81" si="22">E79*D79</f>
        <v>0</v>
      </c>
      <c r="G79" s="68"/>
      <c r="H79" s="56">
        <f t="shared" si="2"/>
        <v>0</v>
      </c>
      <c r="I79" s="64"/>
      <c r="J79" s="42" t="str">
        <f>C79</f>
        <v xml:space="preserve">Pleno </v>
      </c>
      <c r="K79" s="84"/>
      <c r="L79" s="85"/>
      <c r="M79" s="86"/>
      <c r="N79" s="29"/>
      <c r="O79" s="20"/>
      <c r="P79" s="18"/>
    </row>
    <row r="80" spans="1:17">
      <c r="A80" s="19">
        <f t="shared" si="1"/>
        <v>0</v>
      </c>
      <c r="B80" s="64"/>
      <c r="C80" s="52" t="s">
        <v>29</v>
      </c>
      <c r="D80" s="53"/>
      <c r="E80" s="49">
        <v>3449.59</v>
      </c>
      <c r="F80" s="31">
        <f t="shared" si="22"/>
        <v>0</v>
      </c>
      <c r="G80" s="68"/>
      <c r="H80" s="56">
        <f t="shared" si="2"/>
        <v>0</v>
      </c>
      <c r="I80" s="64"/>
      <c r="J80" s="42" t="str">
        <f>C80</f>
        <v>Senior</v>
      </c>
      <c r="K80" s="84"/>
      <c r="L80" s="85"/>
      <c r="M80" s="86"/>
      <c r="N80" s="29"/>
      <c r="O80" s="20"/>
      <c r="P80" s="18"/>
    </row>
    <row r="81" spans="1:17">
      <c r="A81" s="19">
        <f t="shared" si="1"/>
        <v>0</v>
      </c>
      <c r="B81" s="64"/>
      <c r="C81" s="52" t="s">
        <v>30</v>
      </c>
      <c r="D81" s="53"/>
      <c r="E81" s="49">
        <v>4311.99</v>
      </c>
      <c r="F81" s="31">
        <f t="shared" si="22"/>
        <v>0</v>
      </c>
      <c r="G81" s="69"/>
      <c r="H81" s="56">
        <f t="shared" si="2"/>
        <v>0</v>
      </c>
      <c r="I81" s="64"/>
      <c r="J81" s="42" t="str">
        <f>C81</f>
        <v>Master</v>
      </c>
      <c r="K81" s="87"/>
      <c r="L81" s="88"/>
      <c r="M81" s="89"/>
      <c r="N81" s="29"/>
      <c r="O81" s="20"/>
      <c r="P81" s="18"/>
    </row>
    <row r="82" spans="1:17" s="25" customFormat="1" ht="7.5" customHeight="1" thickBot="1">
      <c r="A82" s="19">
        <f t="shared" si="1"/>
        <v>0</v>
      </c>
      <c r="B82" s="33"/>
      <c r="C82" s="43"/>
      <c r="D82" s="34"/>
      <c r="E82" s="35"/>
      <c r="F82" s="35"/>
      <c r="G82" s="44"/>
      <c r="H82" s="56">
        <f t="shared" si="2"/>
        <v>0</v>
      </c>
      <c r="I82" s="28"/>
      <c r="J82" s="43"/>
      <c r="K82" s="34"/>
      <c r="L82" s="35"/>
      <c r="M82" s="44"/>
      <c r="N82" s="29"/>
      <c r="O82" s="26"/>
      <c r="P82" s="26"/>
      <c r="Q82" s="30"/>
    </row>
    <row r="83" spans="1:17" ht="15" customHeight="1">
      <c r="A83" s="19" t="str">
        <f t="shared" si="1"/>
        <v>SUPERVISOR CONTÁBIL</v>
      </c>
      <c r="B83" s="63" t="s">
        <v>44</v>
      </c>
      <c r="C83" s="50" t="s">
        <v>26</v>
      </c>
      <c r="D83" s="51"/>
      <c r="E83" s="48">
        <v>3429.68</v>
      </c>
      <c r="F83" s="40">
        <f>E83*D83</f>
        <v>0</v>
      </c>
      <c r="G83" s="65">
        <f>SUM(F83:F87)</f>
        <v>0</v>
      </c>
      <c r="H83" s="56">
        <f t="shared" si="2"/>
        <v>0</v>
      </c>
      <c r="I83" s="63" t="str">
        <f>B83</f>
        <v>SUPERVISOR CONTÁBIL</v>
      </c>
      <c r="J83" s="39" t="str">
        <f>C83</f>
        <v>Treinee</v>
      </c>
      <c r="K83" s="81" t="s">
        <v>46</v>
      </c>
      <c r="L83" s="82"/>
      <c r="M83" s="83"/>
      <c r="N83" s="29"/>
      <c r="O83" s="20"/>
      <c r="P83" s="18"/>
    </row>
    <row r="84" spans="1:17">
      <c r="A84" s="19">
        <f t="shared" si="1"/>
        <v>0</v>
      </c>
      <c r="B84" s="64"/>
      <c r="C84" s="52" t="s">
        <v>27</v>
      </c>
      <c r="D84" s="53"/>
      <c r="E84" s="49">
        <v>4458.58</v>
      </c>
      <c r="F84" s="31">
        <f>E84*D84</f>
        <v>0</v>
      </c>
      <c r="G84" s="66"/>
      <c r="H84" s="56">
        <f t="shared" si="2"/>
        <v>0</v>
      </c>
      <c r="I84" s="64"/>
      <c r="J84" s="42" t="str">
        <f>C84</f>
        <v>Junior</v>
      </c>
      <c r="K84" s="84"/>
      <c r="L84" s="85"/>
      <c r="M84" s="86"/>
      <c r="N84" s="29"/>
      <c r="O84" s="20"/>
      <c r="P84" s="18"/>
    </row>
    <row r="85" spans="1:17">
      <c r="A85" s="19">
        <f t="shared" si="1"/>
        <v>0</v>
      </c>
      <c r="B85" s="64"/>
      <c r="C85" s="52" t="s">
        <v>28</v>
      </c>
      <c r="D85" s="53"/>
      <c r="E85" s="49">
        <v>5796.15</v>
      </c>
      <c r="F85" s="31">
        <f t="shared" ref="F85:F87" si="23">E85*D85</f>
        <v>0</v>
      </c>
      <c r="G85" s="66"/>
      <c r="H85" s="56">
        <f t="shared" si="2"/>
        <v>0</v>
      </c>
      <c r="I85" s="64"/>
      <c r="J85" s="42" t="str">
        <f>C85</f>
        <v xml:space="preserve">Pleno </v>
      </c>
      <c r="K85" s="84"/>
      <c r="L85" s="85"/>
      <c r="M85" s="86"/>
      <c r="N85" s="29"/>
      <c r="O85" s="20"/>
      <c r="P85" s="18"/>
    </row>
    <row r="86" spans="1:17">
      <c r="A86" s="19">
        <f t="shared" si="1"/>
        <v>0</v>
      </c>
      <c r="B86" s="64"/>
      <c r="C86" s="52" t="s">
        <v>29</v>
      </c>
      <c r="D86" s="53"/>
      <c r="E86" s="49">
        <v>7535</v>
      </c>
      <c r="F86" s="31">
        <f t="shared" si="23"/>
        <v>0</v>
      </c>
      <c r="G86" s="66"/>
      <c r="H86" s="56">
        <f t="shared" si="2"/>
        <v>0</v>
      </c>
      <c r="I86" s="64"/>
      <c r="J86" s="42" t="str">
        <f>C86</f>
        <v>Senior</v>
      </c>
      <c r="K86" s="84"/>
      <c r="L86" s="85"/>
      <c r="M86" s="86"/>
      <c r="N86" s="29"/>
      <c r="O86" s="20"/>
      <c r="P86" s="18"/>
    </row>
    <row r="87" spans="1:17">
      <c r="A87" s="19">
        <f t="shared" si="1"/>
        <v>0</v>
      </c>
      <c r="B87" s="64"/>
      <c r="C87" s="52" t="s">
        <v>30</v>
      </c>
      <c r="D87" s="53"/>
      <c r="E87" s="49">
        <v>9795.5</v>
      </c>
      <c r="F87" s="31">
        <f t="shared" si="23"/>
        <v>0</v>
      </c>
      <c r="G87" s="67"/>
      <c r="H87" s="56">
        <f t="shared" si="2"/>
        <v>0</v>
      </c>
      <c r="I87" s="64"/>
      <c r="J87" s="42" t="str">
        <f>C87</f>
        <v>Master</v>
      </c>
      <c r="K87" s="87"/>
      <c r="L87" s="88"/>
      <c r="M87" s="89"/>
      <c r="N87" s="29"/>
      <c r="O87" s="20"/>
      <c r="P87" s="18"/>
    </row>
    <row r="88" spans="1:17" s="25" customFormat="1" ht="7.5" customHeight="1">
      <c r="A88" s="30"/>
      <c r="B88" s="33"/>
      <c r="C88" s="43"/>
      <c r="D88" s="34"/>
      <c r="E88" s="35"/>
      <c r="F88" s="35"/>
      <c r="G88" s="44"/>
      <c r="H88" s="56">
        <f t="shared" si="2"/>
        <v>0</v>
      </c>
      <c r="I88" s="28"/>
      <c r="J88" s="43"/>
      <c r="K88" s="34"/>
      <c r="L88" s="35"/>
      <c r="M88" s="44"/>
      <c r="N88" s="29"/>
      <c r="O88" s="26"/>
      <c r="P88" s="26"/>
      <c r="Q88" s="30"/>
    </row>
  </sheetData>
  <mergeCells count="55">
    <mergeCell ref="I65:I69"/>
    <mergeCell ref="K65:M69"/>
    <mergeCell ref="K83:M87"/>
    <mergeCell ref="K47:M51"/>
    <mergeCell ref="K59:M63"/>
    <mergeCell ref="K53:M57"/>
    <mergeCell ref="K77:M81"/>
    <mergeCell ref="K71:M75"/>
    <mergeCell ref="I77:I81"/>
    <mergeCell ref="B47:B51"/>
    <mergeCell ref="G47:G51"/>
    <mergeCell ref="I47:I51"/>
    <mergeCell ref="B29:B33"/>
    <mergeCell ref="G29:G33"/>
    <mergeCell ref="I29:I33"/>
    <mergeCell ref="K29:M33"/>
    <mergeCell ref="B11:B15"/>
    <mergeCell ref="G11:G15"/>
    <mergeCell ref="I11:I15"/>
    <mergeCell ref="K11:M15"/>
    <mergeCell ref="K17:M21"/>
    <mergeCell ref="K23:M27"/>
    <mergeCell ref="G23:G27"/>
    <mergeCell ref="K35:M39"/>
    <mergeCell ref="A1:K1"/>
    <mergeCell ref="B35:B39"/>
    <mergeCell ref="I35:I39"/>
    <mergeCell ref="B41:B45"/>
    <mergeCell ref="I41:I45"/>
    <mergeCell ref="G35:G39"/>
    <mergeCell ref="G41:G45"/>
    <mergeCell ref="B5:B9"/>
    <mergeCell ref="I5:I9"/>
    <mergeCell ref="B17:B21"/>
    <mergeCell ref="I17:I21"/>
    <mergeCell ref="B23:B27"/>
    <mergeCell ref="I23:I27"/>
    <mergeCell ref="G5:G9"/>
    <mergeCell ref="G17:G21"/>
    <mergeCell ref="B83:B87"/>
    <mergeCell ref="G83:G87"/>
    <mergeCell ref="I83:I87"/>
    <mergeCell ref="G53:G57"/>
    <mergeCell ref="G59:G63"/>
    <mergeCell ref="B71:B75"/>
    <mergeCell ref="G71:G75"/>
    <mergeCell ref="I71:I75"/>
    <mergeCell ref="B59:B63"/>
    <mergeCell ref="I59:I63"/>
    <mergeCell ref="B77:B81"/>
    <mergeCell ref="G77:G81"/>
    <mergeCell ref="B53:B57"/>
    <mergeCell ref="I53:I57"/>
    <mergeCell ref="B65:B69"/>
    <mergeCell ref="G65:G69"/>
  </mergeCells>
  <conditionalFormatting sqref="N5:N10">
    <cfRule type="cellIs" dxfId="36" priority="48" operator="lessThan">
      <formula>0</formula>
    </cfRule>
    <cfRule type="cellIs" dxfId="35" priority="49" operator="greaterThan">
      <formula>0</formula>
    </cfRule>
  </conditionalFormatting>
  <conditionalFormatting sqref="N17:N22">
    <cfRule type="cellIs" dxfId="34" priority="34" operator="lessThan">
      <formula>0</formula>
    </cfRule>
    <cfRule type="cellIs" dxfId="33" priority="35" operator="greaterThan">
      <formula>0</formula>
    </cfRule>
  </conditionalFormatting>
  <conditionalFormatting sqref="N23:N28">
    <cfRule type="cellIs" dxfId="32" priority="32" operator="lessThan">
      <formula>0</formula>
    </cfRule>
    <cfRule type="cellIs" dxfId="31" priority="33" operator="greaterThan">
      <formula>0</formula>
    </cfRule>
  </conditionalFormatting>
  <conditionalFormatting sqref="N35:N40">
    <cfRule type="cellIs" dxfId="30" priority="30" operator="lessThan">
      <formula>0</formula>
    </cfRule>
    <cfRule type="cellIs" dxfId="29" priority="31" operator="greaterThan">
      <formula>0</formula>
    </cfRule>
  </conditionalFormatting>
  <conditionalFormatting sqref="N41:N45 N52">
    <cfRule type="cellIs" dxfId="28" priority="28" operator="lessThan">
      <formula>0</formula>
    </cfRule>
    <cfRule type="cellIs" dxfId="27" priority="29" operator="greaterThan">
      <formula>0</formula>
    </cfRule>
  </conditionalFormatting>
  <conditionalFormatting sqref="N53:N58">
    <cfRule type="cellIs" dxfId="26" priority="26" operator="lessThan">
      <formula>0</formula>
    </cfRule>
    <cfRule type="cellIs" dxfId="25" priority="27" operator="greaterThan">
      <formula>0</formula>
    </cfRule>
  </conditionalFormatting>
  <conditionalFormatting sqref="N59:N63 N70">
    <cfRule type="cellIs" dxfId="24" priority="24" operator="lessThan">
      <formula>0</formula>
    </cfRule>
    <cfRule type="cellIs" dxfId="23" priority="25" operator="greaterThan">
      <formula>0</formula>
    </cfRule>
  </conditionalFormatting>
  <conditionalFormatting sqref="N71:N76">
    <cfRule type="cellIs" dxfId="22" priority="22" operator="lessThan">
      <formula>0</formula>
    </cfRule>
    <cfRule type="cellIs" dxfId="21" priority="23" operator="greaterThan">
      <formula>0</formula>
    </cfRule>
  </conditionalFormatting>
  <conditionalFormatting sqref="N77:N82">
    <cfRule type="cellIs" dxfId="20" priority="20" operator="lessThan">
      <formula>0</formula>
    </cfRule>
    <cfRule type="cellIs" dxfId="19" priority="21" operator="greaterThan">
      <formula>0</formula>
    </cfRule>
  </conditionalFormatting>
  <conditionalFormatting sqref="N83:N88">
    <cfRule type="cellIs" dxfId="18" priority="18" operator="lessThan">
      <formula>0</formula>
    </cfRule>
    <cfRule type="cellIs" dxfId="17" priority="19" operator="greaterThan">
      <formula>0</formula>
    </cfRule>
  </conditionalFormatting>
  <conditionalFormatting sqref="J5:J10 J35:J45 J17:J28 J52:J63 J70:J88">
    <cfRule type="cellIs" dxfId="16" priority="17" operator="equal">
      <formula>$J$2</formula>
    </cfRule>
  </conditionalFormatting>
  <conditionalFormatting sqref="N29:N34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J29:J34">
    <cfRule type="cellIs" dxfId="13" priority="14" operator="equal">
      <formula>$J$2</formula>
    </cfRule>
  </conditionalFormatting>
  <conditionalFormatting sqref="N11:N16">
    <cfRule type="cellIs" dxfId="12" priority="12" operator="lessThan">
      <formula>0</formula>
    </cfRule>
    <cfRule type="cellIs" dxfId="11" priority="13" operator="greaterThan">
      <formula>0</formula>
    </cfRule>
  </conditionalFormatting>
  <conditionalFormatting sqref="J11:J16">
    <cfRule type="cellIs" dxfId="10" priority="11" operator="equal">
      <formula>$J$2</formula>
    </cfRule>
  </conditionalFormatting>
  <conditionalFormatting sqref="N46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N47:N51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J46:J51">
    <cfRule type="cellIs" dxfId="5" priority="6" operator="equal">
      <formula>$J$2</formula>
    </cfRule>
  </conditionalFormatting>
  <conditionalFormatting sqref="N64">
    <cfRule type="cellIs" dxfId="4" priority="4" operator="lessThan">
      <formula>0</formula>
    </cfRule>
    <cfRule type="cellIs" dxfId="3" priority="5" operator="greaterThan">
      <formula>0</formula>
    </cfRule>
  </conditionalFormatting>
  <conditionalFormatting sqref="N65:N69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J64:J69">
    <cfRule type="cellIs" dxfId="0" priority="1" operator="equal">
      <formula>$J$2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E52"/>
  <sheetViews>
    <sheetView showGridLines="0" zoomScale="80" zoomScaleNormal="80" workbookViewId="0">
      <selection activeCell="V13" sqref="V13"/>
    </sheetView>
  </sheetViews>
  <sheetFormatPr defaultRowHeight="15"/>
  <cols>
    <col min="1" max="1" width="2.85546875" customWidth="1"/>
    <col min="2" max="2" width="3" customWidth="1"/>
    <col min="3" max="3" width="53.140625" customWidth="1"/>
    <col min="4" max="4" width="36.7109375" customWidth="1"/>
    <col min="5" max="5" width="3.7109375" customWidth="1"/>
    <col min="6" max="6" width="25" customWidth="1"/>
  </cols>
  <sheetData>
    <row r="1" spans="1:5" s="2" customFormat="1" ht="21" customHeight="1"/>
    <row r="2" spans="1:5" s="3" customFormat="1" ht="15.75" thickBot="1"/>
    <row r="3" spans="1:5">
      <c r="C3" s="11"/>
      <c r="D3" s="11"/>
    </row>
    <row r="4" spans="1:5" ht="15.75" thickBot="1">
      <c r="C4" s="12"/>
      <c r="D4" s="12"/>
    </row>
    <row r="5" spans="1:5" ht="27.75" thickTop="1" thickBot="1">
      <c r="A5" s="4"/>
      <c r="B5" s="4"/>
      <c r="C5" s="99" t="s">
        <v>2</v>
      </c>
      <c r="D5" s="99"/>
      <c r="E5" s="4"/>
    </row>
    <row r="6" spans="1:5" s="6" customFormat="1" ht="23.25" customHeight="1" thickTop="1">
      <c r="A6" s="8"/>
      <c r="B6" s="8"/>
      <c r="C6" s="10" t="s">
        <v>3</v>
      </c>
      <c r="D6" s="46" t="e">
        <f>#REF!/#REF!</f>
        <v>#REF!</v>
      </c>
      <c r="E6" s="17" t="e">
        <f>D6/$D$52</f>
        <v>#REF!</v>
      </c>
    </row>
    <row r="7" spans="1:5" s="6" customFormat="1" ht="23.25" customHeight="1">
      <c r="A7" s="8"/>
      <c r="B7" s="8"/>
      <c r="C7" s="7" t="s">
        <v>4</v>
      </c>
      <c r="D7" s="47" t="e">
        <f>#REF!/#REF!</f>
        <v>#REF!</v>
      </c>
      <c r="E7" s="17" t="e">
        <f t="shared" ref="E7:E51" si="0">D7/$D$52</f>
        <v>#REF!</v>
      </c>
    </row>
    <row r="8" spans="1:5" s="6" customFormat="1" ht="23.25" customHeight="1">
      <c r="A8" s="8"/>
      <c r="B8" s="8"/>
      <c r="C8" s="7"/>
      <c r="D8" s="47"/>
      <c r="E8" s="17" t="e">
        <f t="shared" si="0"/>
        <v>#REF!</v>
      </c>
    </row>
    <row r="9" spans="1:5" s="6" customFormat="1" ht="23.25" customHeight="1">
      <c r="A9" s="8"/>
      <c r="B9" s="8"/>
      <c r="C9" s="10" t="s">
        <v>3</v>
      </c>
      <c r="D9" s="47" t="e">
        <f>#REF!/#REF!</f>
        <v>#REF!</v>
      </c>
      <c r="E9" s="17" t="e">
        <f t="shared" si="0"/>
        <v>#REF!</v>
      </c>
    </row>
    <row r="10" spans="1:5" s="6" customFormat="1" ht="23.25" customHeight="1">
      <c r="A10" s="8"/>
      <c r="B10" s="8"/>
      <c r="C10" s="7" t="s">
        <v>4</v>
      </c>
      <c r="D10" s="47" t="e">
        <f>#REF!/#REF!</f>
        <v>#REF!</v>
      </c>
      <c r="E10" s="17" t="e">
        <f t="shared" si="0"/>
        <v>#REF!</v>
      </c>
    </row>
    <row r="11" spans="1:5" s="6" customFormat="1" ht="23.25" customHeight="1">
      <c r="A11" s="8"/>
      <c r="B11" s="8"/>
      <c r="C11" s="7" t="s">
        <v>5</v>
      </c>
      <c r="D11" s="47" t="e">
        <f>#REF!/#REF!</f>
        <v>#REF!</v>
      </c>
      <c r="E11" s="17" t="e">
        <f t="shared" si="0"/>
        <v>#REF!</v>
      </c>
    </row>
    <row r="12" spans="1:5" s="6" customFormat="1" ht="23.25" customHeight="1">
      <c r="A12" s="8"/>
      <c r="B12" s="8"/>
      <c r="C12" s="7"/>
      <c r="D12" s="47"/>
      <c r="E12" s="17" t="e">
        <f t="shared" si="0"/>
        <v>#REF!</v>
      </c>
    </row>
    <row r="13" spans="1:5" s="6" customFormat="1" ht="23.25" customHeight="1">
      <c r="A13" s="8"/>
      <c r="B13" s="8"/>
      <c r="C13" s="7"/>
      <c r="D13" s="47"/>
      <c r="E13" s="17" t="e">
        <f t="shared" si="0"/>
        <v>#REF!</v>
      </c>
    </row>
    <row r="14" spans="1:5" s="6" customFormat="1" ht="23.25" customHeight="1">
      <c r="A14" s="8"/>
      <c r="B14" s="8"/>
      <c r="C14" s="7"/>
      <c r="D14" s="47" t="s">
        <v>0</v>
      </c>
      <c r="E14" s="17" t="e">
        <f t="shared" si="0"/>
        <v>#VALUE!</v>
      </c>
    </row>
    <row r="15" spans="1:5" s="6" customFormat="1" ht="23.25" customHeight="1">
      <c r="A15" s="8"/>
      <c r="B15" s="8"/>
      <c r="C15" s="7"/>
      <c r="D15" s="9"/>
      <c r="E15" s="17" t="e">
        <f t="shared" si="0"/>
        <v>#REF!</v>
      </c>
    </row>
    <row r="16" spans="1:5" s="6" customFormat="1" ht="23.25" customHeight="1">
      <c r="A16" s="8"/>
      <c r="B16" s="8"/>
      <c r="C16" s="7"/>
      <c r="D16" s="9"/>
      <c r="E16" s="17" t="e">
        <f t="shared" si="0"/>
        <v>#REF!</v>
      </c>
    </row>
    <row r="17" spans="1:5" s="6" customFormat="1" ht="23.25" customHeight="1">
      <c r="A17" s="8"/>
      <c r="B17" s="8"/>
      <c r="C17" s="7"/>
      <c r="D17" s="9"/>
      <c r="E17" s="17" t="e">
        <f t="shared" si="0"/>
        <v>#REF!</v>
      </c>
    </row>
    <row r="18" spans="1:5" s="6" customFormat="1" ht="23.25" customHeight="1">
      <c r="A18" s="8"/>
      <c r="B18" s="8"/>
      <c r="C18" s="7"/>
      <c r="D18" s="9"/>
      <c r="E18" s="17" t="e">
        <f t="shared" si="0"/>
        <v>#REF!</v>
      </c>
    </row>
    <row r="19" spans="1:5" s="6" customFormat="1" ht="23.25" customHeight="1">
      <c r="A19" s="8"/>
      <c r="B19" s="8"/>
      <c r="C19" s="7"/>
      <c r="D19" s="9"/>
      <c r="E19" s="17" t="e">
        <f t="shared" si="0"/>
        <v>#REF!</v>
      </c>
    </row>
    <row r="20" spans="1:5" s="6" customFormat="1" ht="23.25" customHeight="1">
      <c r="A20" s="8"/>
      <c r="B20" s="8"/>
      <c r="C20" s="7"/>
      <c r="D20" s="9"/>
      <c r="E20" s="17" t="e">
        <f t="shared" si="0"/>
        <v>#REF!</v>
      </c>
    </row>
    <row r="21" spans="1:5" s="6" customFormat="1" ht="23.25" customHeight="1">
      <c r="A21" s="8"/>
      <c r="B21" s="8"/>
      <c r="C21" s="7"/>
      <c r="D21" s="9"/>
      <c r="E21" s="17" t="e">
        <f t="shared" si="0"/>
        <v>#REF!</v>
      </c>
    </row>
    <row r="22" spans="1:5" s="6" customFormat="1" ht="23.25" customHeight="1">
      <c r="A22" s="8"/>
      <c r="B22" s="8"/>
      <c r="C22" s="7"/>
      <c r="D22" s="9"/>
      <c r="E22" s="17" t="e">
        <f t="shared" si="0"/>
        <v>#REF!</v>
      </c>
    </row>
    <row r="23" spans="1:5" s="6" customFormat="1" ht="23.25" customHeight="1">
      <c r="A23" s="8"/>
      <c r="B23" s="8"/>
      <c r="C23" s="7"/>
      <c r="D23" s="9"/>
      <c r="E23" s="17" t="e">
        <f t="shared" si="0"/>
        <v>#REF!</v>
      </c>
    </row>
    <row r="24" spans="1:5" s="6" customFormat="1" ht="23.25" customHeight="1">
      <c r="A24" s="8"/>
      <c r="B24" s="8"/>
      <c r="C24" s="7"/>
      <c r="D24" s="9"/>
      <c r="E24" s="17" t="e">
        <f t="shared" si="0"/>
        <v>#REF!</v>
      </c>
    </row>
    <row r="25" spans="1:5" s="6" customFormat="1" ht="23.25" customHeight="1">
      <c r="A25" s="8"/>
      <c r="B25" s="8"/>
      <c r="C25" s="7"/>
      <c r="D25" s="9"/>
      <c r="E25" s="17" t="e">
        <f t="shared" si="0"/>
        <v>#REF!</v>
      </c>
    </row>
    <row r="26" spans="1:5" s="6" customFormat="1" ht="23.25" customHeight="1">
      <c r="A26" s="8"/>
      <c r="B26" s="8"/>
      <c r="C26" s="7"/>
      <c r="D26" s="9"/>
      <c r="E26" s="17" t="e">
        <f t="shared" si="0"/>
        <v>#REF!</v>
      </c>
    </row>
    <row r="27" spans="1:5" s="6" customFormat="1" ht="23.25" customHeight="1">
      <c r="A27" s="8"/>
      <c r="B27" s="8"/>
      <c r="C27" s="7"/>
      <c r="D27" s="9"/>
      <c r="E27" s="17" t="e">
        <f t="shared" si="0"/>
        <v>#REF!</v>
      </c>
    </row>
    <row r="28" spans="1:5" s="6" customFormat="1" ht="23.25" customHeight="1">
      <c r="A28" s="8"/>
      <c r="B28" s="8"/>
      <c r="C28" s="7"/>
      <c r="D28" s="9"/>
      <c r="E28" s="17" t="e">
        <f t="shared" si="0"/>
        <v>#REF!</v>
      </c>
    </row>
    <row r="29" spans="1:5" s="6" customFormat="1" ht="23.25" customHeight="1">
      <c r="A29" s="8"/>
      <c r="B29" s="8"/>
      <c r="C29" s="7"/>
      <c r="D29" s="9"/>
      <c r="E29" s="17" t="e">
        <f t="shared" si="0"/>
        <v>#REF!</v>
      </c>
    </row>
    <row r="30" spans="1:5" s="6" customFormat="1" ht="23.25" customHeight="1">
      <c r="A30" s="8"/>
      <c r="B30" s="8"/>
      <c r="C30" s="7"/>
      <c r="D30" s="9"/>
      <c r="E30" s="17" t="e">
        <f t="shared" si="0"/>
        <v>#REF!</v>
      </c>
    </row>
    <row r="31" spans="1:5" s="6" customFormat="1" ht="23.25" customHeight="1">
      <c r="A31" s="8"/>
      <c r="B31" s="8"/>
      <c r="C31" s="7"/>
      <c r="D31" s="9"/>
      <c r="E31" s="17" t="e">
        <f t="shared" si="0"/>
        <v>#REF!</v>
      </c>
    </row>
    <row r="32" spans="1:5" s="6" customFormat="1" ht="23.25" customHeight="1">
      <c r="A32" s="8"/>
      <c r="B32" s="8"/>
      <c r="C32" s="7"/>
      <c r="D32" s="9"/>
      <c r="E32" s="17" t="e">
        <f t="shared" si="0"/>
        <v>#REF!</v>
      </c>
    </row>
    <row r="33" spans="1:5" s="6" customFormat="1" ht="23.25" customHeight="1">
      <c r="A33" s="8"/>
      <c r="B33" s="8"/>
      <c r="C33" s="7"/>
      <c r="D33" s="9"/>
      <c r="E33" s="17" t="e">
        <f t="shared" si="0"/>
        <v>#REF!</v>
      </c>
    </row>
    <row r="34" spans="1:5" s="6" customFormat="1" ht="23.25" customHeight="1">
      <c r="A34" s="8"/>
      <c r="B34" s="8"/>
      <c r="C34" s="7"/>
      <c r="D34" s="9"/>
      <c r="E34" s="17" t="e">
        <f t="shared" si="0"/>
        <v>#REF!</v>
      </c>
    </row>
    <row r="35" spans="1:5" s="6" customFormat="1" ht="23.25" customHeight="1">
      <c r="A35" s="8"/>
      <c r="B35" s="8"/>
      <c r="C35" s="7"/>
      <c r="D35" s="9"/>
      <c r="E35" s="17" t="e">
        <f t="shared" si="0"/>
        <v>#REF!</v>
      </c>
    </row>
    <row r="36" spans="1:5" s="6" customFormat="1" ht="23.25" customHeight="1">
      <c r="A36" s="8"/>
      <c r="B36" s="8"/>
      <c r="C36" s="7"/>
      <c r="D36" s="9"/>
      <c r="E36" s="17" t="e">
        <f t="shared" si="0"/>
        <v>#REF!</v>
      </c>
    </row>
    <row r="37" spans="1:5" s="6" customFormat="1" ht="23.25" customHeight="1">
      <c r="A37" s="8"/>
      <c r="B37" s="8"/>
      <c r="C37" s="7"/>
      <c r="D37" s="9"/>
      <c r="E37" s="17" t="e">
        <f t="shared" si="0"/>
        <v>#REF!</v>
      </c>
    </row>
    <row r="38" spans="1:5" s="6" customFormat="1" ht="23.25" customHeight="1">
      <c r="A38" s="8"/>
      <c r="B38" s="8"/>
      <c r="C38" s="7"/>
      <c r="D38" s="9"/>
      <c r="E38" s="17" t="e">
        <f t="shared" si="0"/>
        <v>#REF!</v>
      </c>
    </row>
    <row r="39" spans="1:5" s="6" customFormat="1" ht="23.25" customHeight="1">
      <c r="A39" s="8"/>
      <c r="B39" s="8"/>
      <c r="C39" s="7"/>
      <c r="D39" s="9"/>
      <c r="E39" s="17" t="e">
        <f t="shared" si="0"/>
        <v>#REF!</v>
      </c>
    </row>
    <row r="40" spans="1:5" s="6" customFormat="1" ht="23.25" customHeight="1">
      <c r="A40" s="8"/>
      <c r="B40" s="8"/>
      <c r="C40" s="7"/>
      <c r="D40" s="9"/>
      <c r="E40" s="17" t="e">
        <f t="shared" si="0"/>
        <v>#REF!</v>
      </c>
    </row>
    <row r="41" spans="1:5" s="6" customFormat="1" ht="23.25" customHeight="1">
      <c r="A41" s="8"/>
      <c r="B41" s="8"/>
      <c r="C41" s="7"/>
      <c r="D41" s="9"/>
      <c r="E41" s="17" t="e">
        <f t="shared" si="0"/>
        <v>#REF!</v>
      </c>
    </row>
    <row r="42" spans="1:5" s="6" customFormat="1" ht="23.25" customHeight="1">
      <c r="A42" s="8"/>
      <c r="B42" s="8"/>
      <c r="C42" s="7"/>
      <c r="D42" s="9"/>
      <c r="E42" s="17" t="e">
        <f t="shared" si="0"/>
        <v>#REF!</v>
      </c>
    </row>
    <row r="43" spans="1:5" s="6" customFormat="1" ht="23.25" customHeight="1">
      <c r="A43" s="8"/>
      <c r="B43" s="8"/>
      <c r="C43" s="7"/>
      <c r="D43" s="9"/>
      <c r="E43" s="17" t="e">
        <f t="shared" si="0"/>
        <v>#REF!</v>
      </c>
    </row>
    <row r="44" spans="1:5" s="6" customFormat="1" ht="23.25" customHeight="1">
      <c r="A44" s="8"/>
      <c r="B44" s="8"/>
      <c r="C44" s="7"/>
      <c r="D44" s="9"/>
      <c r="E44" s="17" t="e">
        <f t="shared" si="0"/>
        <v>#REF!</v>
      </c>
    </row>
    <row r="45" spans="1:5" s="6" customFormat="1" ht="23.25" customHeight="1">
      <c r="A45" s="8"/>
      <c r="B45" s="8"/>
      <c r="C45" s="7"/>
      <c r="D45" s="9"/>
      <c r="E45" s="17" t="e">
        <f t="shared" si="0"/>
        <v>#REF!</v>
      </c>
    </row>
    <row r="46" spans="1:5" s="6" customFormat="1" ht="23.25" customHeight="1">
      <c r="A46" s="8"/>
      <c r="B46" s="8"/>
      <c r="C46" s="7"/>
      <c r="D46" s="9"/>
      <c r="E46" s="17" t="e">
        <f t="shared" si="0"/>
        <v>#REF!</v>
      </c>
    </row>
    <row r="47" spans="1:5" s="6" customFormat="1" ht="23.25" customHeight="1">
      <c r="A47" s="8"/>
      <c r="B47" s="8"/>
      <c r="C47" s="7"/>
      <c r="D47" s="9"/>
      <c r="E47" s="17" t="e">
        <f t="shared" si="0"/>
        <v>#REF!</v>
      </c>
    </row>
    <row r="48" spans="1:5" s="6" customFormat="1" ht="23.25" customHeight="1">
      <c r="A48" s="8"/>
      <c r="B48" s="8"/>
      <c r="C48" s="7"/>
      <c r="D48" s="9"/>
      <c r="E48" s="17" t="e">
        <f t="shared" si="0"/>
        <v>#REF!</v>
      </c>
    </row>
    <row r="49" spans="1:5" s="6" customFormat="1" ht="23.25" customHeight="1">
      <c r="A49" s="8"/>
      <c r="B49" s="8"/>
      <c r="C49" s="7"/>
      <c r="D49" s="9"/>
      <c r="E49" s="17" t="e">
        <f t="shared" si="0"/>
        <v>#REF!</v>
      </c>
    </row>
    <row r="50" spans="1:5" s="6" customFormat="1" ht="23.25" customHeight="1">
      <c r="A50" s="8"/>
      <c r="B50" s="8"/>
      <c r="C50" s="7"/>
      <c r="D50" s="9" t="s">
        <v>0</v>
      </c>
      <c r="E50" s="17" t="e">
        <f t="shared" si="0"/>
        <v>#VALUE!</v>
      </c>
    </row>
    <row r="51" spans="1:5" s="6" customFormat="1" ht="23.25" customHeight="1" thickBot="1">
      <c r="A51" s="8"/>
      <c r="B51" s="8"/>
      <c r="C51" s="13"/>
      <c r="D51" s="14" t="s">
        <v>0</v>
      </c>
      <c r="E51" s="17" t="e">
        <f t="shared" si="0"/>
        <v>#VALUE!</v>
      </c>
    </row>
    <row r="52" spans="1:5" s="6" customFormat="1" ht="23.25" customHeight="1" thickTop="1">
      <c r="A52" s="8"/>
      <c r="B52" s="8"/>
      <c r="C52" s="15" t="s">
        <v>1</v>
      </c>
      <c r="D52" s="16" t="e">
        <f>SUM(D6:D51)</f>
        <v>#REF!</v>
      </c>
      <c r="E52" s="8"/>
    </row>
  </sheetData>
  <mergeCells count="1">
    <mergeCell ref="C5:D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Y1"/>
  <sheetViews>
    <sheetView showGridLines="0" topLeftCell="A7" workbookViewId="0">
      <selection sqref="A1:U1"/>
    </sheetView>
  </sheetViews>
  <sheetFormatPr defaultRowHeight="15"/>
  <sheetData>
    <row r="1" spans="1:25" s="58" customFormat="1" ht="36" customHeight="1">
      <c r="A1" s="61" t="s">
        <v>17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57"/>
      <c r="W1" s="57"/>
      <c r="X1" s="57"/>
      <c r="Y1" s="57"/>
    </row>
  </sheetData>
  <mergeCells count="1">
    <mergeCell ref="A1:U1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1"/>
  <sheetViews>
    <sheetView workbookViewId="0">
      <selection activeCell="E16" sqref="E16"/>
    </sheetView>
  </sheetViews>
  <sheetFormatPr defaultRowHeight="15"/>
  <cols>
    <col min="4" max="4" width="12.140625" bestFit="1" customWidth="1"/>
  </cols>
  <sheetData>
    <row r="3" spans="3:4">
      <c r="C3" t="str">
        <f>'Controle de Cargos'!A5</f>
        <v>ESTAGIÁRIO</v>
      </c>
      <c r="D3" s="54">
        <f>'Controle de Cargos'!H5</f>
        <v>0</v>
      </c>
    </row>
    <row r="4" spans="3:4">
      <c r="C4" t="str">
        <f>'Controle de Cargos'!A17</f>
        <v>ASSITENTE FISCAL</v>
      </c>
      <c r="D4" s="54">
        <f>'Controle de Cargos'!H17</f>
        <v>0</v>
      </c>
    </row>
    <row r="5" spans="3:4">
      <c r="C5" t="str">
        <f>'Controle de Cargos'!A23</f>
        <v xml:space="preserve">ANALISTA FISCAL </v>
      </c>
      <c r="D5" s="54">
        <f>'Controle de Cargos'!H23</f>
        <v>0</v>
      </c>
    </row>
    <row r="6" spans="3:4">
      <c r="C6" t="str">
        <f>'Controle de Cargos'!A35</f>
        <v xml:space="preserve">AUXILIAR FINANCEIRO </v>
      </c>
      <c r="D6" s="54">
        <f>'Controle de Cargos'!H35</f>
        <v>0</v>
      </c>
    </row>
    <row r="7" spans="3:4">
      <c r="C7" t="str">
        <f>'Controle de Cargos'!A41</f>
        <v>ANALISTA FINANCEIRO</v>
      </c>
      <c r="D7" s="54">
        <f>'Controle de Cargos'!H41</f>
        <v>0</v>
      </c>
    </row>
    <row r="8" spans="3:4">
      <c r="C8" t="str">
        <f>'Controle de Cargos'!A53</f>
        <v>ASSISTENTE DE DP</v>
      </c>
      <c r="D8" s="54">
        <f>'Controle de Cargos'!H53</f>
        <v>0</v>
      </c>
    </row>
    <row r="9" spans="3:4">
      <c r="C9" t="str">
        <f>'Controle de Cargos'!A59</f>
        <v>ANALISTA DE DP</v>
      </c>
      <c r="D9" s="54">
        <f>'Controle de Cargos'!H59</f>
        <v>0</v>
      </c>
    </row>
    <row r="10" spans="3:4">
      <c r="C10" t="str">
        <f>'Controle de Cargos'!A71</f>
        <v>ASSISTENTE CONTÁBIL</v>
      </c>
      <c r="D10" s="54">
        <f>'Controle de Cargos'!H71</f>
        <v>0</v>
      </c>
    </row>
    <row r="11" spans="3:4">
      <c r="C11" t="str">
        <f>'Controle de Cargos'!A77</f>
        <v>ANALISTA CONTÁBIL</v>
      </c>
      <c r="D11" s="54">
        <f>'Controle de Cargos'!H77</f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Início</vt:lpstr>
      <vt:lpstr>Controle de Cargos</vt:lpstr>
      <vt:lpstr>Custos Fixos</vt:lpstr>
      <vt:lpstr>Panorama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Marilia Morais</cp:lastModifiedBy>
  <dcterms:created xsi:type="dcterms:W3CDTF">2013-11-09T12:17:33Z</dcterms:created>
  <dcterms:modified xsi:type="dcterms:W3CDTF">2019-08-14T14:30:27Z</dcterms:modified>
</cp:coreProperties>
</file>