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worksheets/sheet1.xml" ContentType="application/vnd.openxmlformats-officedocument.spreadsheetml.worksheet+xml"/>
  <Override PartName="/xl/drawings/drawing20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2.xml" ContentType="application/vnd.openxmlformats-officedocument.drawingml.chart+xml"/>
  <Override PartName="/xl/drawings/drawing19.xml" ContentType="application/vnd.openxmlformats-officedocument.drawing+xml"/>
  <Override PartName="/xl/drawings/drawing21.xml" ContentType="application/vnd.openxmlformats-officedocument.drawing+xml"/>
  <Override PartName="/xl/sharedStrings.xml" ContentType="application/vnd.openxmlformats-officedocument.spreadsheetml.sharedStrings+xml"/>
  <Override PartName="/xl/drawings/drawing7.xml" ContentType="application/vnd.openxmlformats-officedocument.drawing+xml"/>
  <Override PartName="/xl/worksheets/sheet24.xml" ContentType="application/vnd.openxmlformats-officedocument.spreadsheetml.worksheet+xml"/>
  <Override PartName="/xl/drawings/drawing6.xml" ContentType="application/vnd.openxmlformats-officedocument.drawing+xml"/>
  <Override PartName="/xl/worksheets/sheet25.xml" ContentType="application/vnd.openxmlformats-officedocument.spreadsheetml.worksheet+xml"/>
  <Override PartName="/xl/worksheets/sheet23.xml" ContentType="application/vnd.openxmlformats-officedocument.spreadsheetml.worksheet+xml"/>
  <Override PartName="/xl/drawings/drawing8.xml" ContentType="application/vnd.openxmlformats-officedocument.drawing+xml"/>
  <Override PartName="/xl/worksheets/sheet22.xml" ContentType="application/vnd.openxmlformats-officedocument.spreadsheetml.worksheet+xml"/>
  <Override PartName="/xl/drawings/drawing9.xml" ContentType="application/vnd.openxmlformats-officedocument.drawing+xml"/>
  <Override PartName="/xl/worksheets/sheet21.xml" ContentType="application/vnd.openxmlformats-officedocument.spreadsheetml.worksheet+xml"/>
  <Override PartName="/xl/drawings/drawing10.xml" ContentType="application/vnd.openxmlformats-officedocument.drawing+xml"/>
  <Override PartName="/xl/drawings/drawing5.xml" ContentType="application/vnd.openxmlformats-officedocument.drawing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28.xml" ContentType="application/vnd.openxmlformats-officedocument.spreadsheetml.worksheet+xml"/>
  <Override PartName="/xl/drawings/drawing3.xml" ContentType="application/vnd.openxmlformats-officedocument.drawing+xml"/>
  <Override PartName="/xl/worksheets/sheet27.xml" ContentType="application/vnd.openxmlformats-officedocument.spreadsheetml.worksheet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drawings/drawing16.xml" ContentType="application/vnd.openxmlformats-officedocument.drawing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drawings/drawing17.xml" ContentType="application/vnd.openxmlformats-officedocument.drawing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drawings/drawing18.xml" ContentType="application/vnd.openxmlformats-officedocument.drawing+xml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drawings/drawing13.xml" ContentType="application/vnd.openxmlformats-officedocument.drawing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9001"/>
  <workbookPr defaultThemeVersion="124226"/>
  <bookViews>
    <workbookView xWindow="240" yWindow="45" windowWidth="20115" windowHeight="7995" tabRatio="845" xr2:uid="{00000000-000D-0000-FFFF-FFFF00000000}"/>
  </bookViews>
  <sheets>
    <sheet name="Frente" sheetId="1" r:id="rId1"/>
    <sheet name="ORC_Custo" sheetId="2" r:id="rId2"/>
    <sheet name="ORC_PV" sheetId="29" r:id="rId3"/>
    <sheet name="01." sheetId="3" r:id="rId4"/>
    <sheet name="02." sheetId="5" r:id="rId5"/>
    <sheet name="03." sheetId="6" r:id="rId6"/>
    <sheet name="04." sheetId="7" r:id="rId7"/>
    <sheet name="05." sheetId="8" r:id="rId8"/>
    <sheet name="06." sheetId="9" r:id="rId9"/>
    <sheet name="07." sheetId="10" r:id="rId10"/>
    <sheet name="08." sheetId="23" r:id="rId11"/>
    <sheet name="09." sheetId="11" r:id="rId12"/>
    <sheet name="10." sheetId="12" r:id="rId13"/>
    <sheet name="11." sheetId="13" r:id="rId14"/>
    <sheet name="12." sheetId="14" r:id="rId15"/>
    <sheet name="13." sheetId="15" r:id="rId16"/>
    <sheet name="14." sheetId="16" r:id="rId17"/>
    <sheet name="15." sheetId="17" r:id="rId18"/>
    <sheet name="16." sheetId="18" r:id="rId19"/>
    <sheet name="17." sheetId="19" r:id="rId20"/>
    <sheet name="18." sheetId="20" r:id="rId21"/>
    <sheet name="19." sheetId="21" r:id="rId22"/>
    <sheet name="20." sheetId="22" r:id="rId23"/>
    <sheet name="21." sheetId="24" r:id="rId24"/>
    <sheet name="22." sheetId="25" r:id="rId25"/>
    <sheet name="23." sheetId="26" r:id="rId26"/>
    <sheet name="DSHB" sheetId="27" r:id="rId27"/>
    <sheet name="Dados" sheetId="28" state="hidden" r:id="rId28"/>
  </sheets>
  <externalReferences>
    <externalReference r:id="rId29"/>
  </externalReferences>
  <calcPr calcId="171026"/>
</workbook>
</file>

<file path=xl/calcChain.xml><?xml version="1.0" encoding="utf-8"?>
<calcChain xmlns="http://schemas.openxmlformats.org/spreadsheetml/2006/main">
  <c r="K13" i="8" l="1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4" i="8"/>
  <c r="G11" i="2"/>
  <c r="D11" i="29"/>
  <c r="G11" i="29"/>
  <c r="K32" i="26"/>
  <c r="K31" i="26"/>
  <c r="K30" i="26"/>
  <c r="K29" i="26"/>
  <c r="K28" i="26"/>
  <c r="K27" i="26"/>
  <c r="K26" i="26"/>
  <c r="K25" i="26"/>
  <c r="K24" i="26"/>
  <c r="K23" i="26"/>
  <c r="K22" i="26"/>
  <c r="K21" i="26"/>
  <c r="K20" i="26"/>
  <c r="K19" i="26"/>
  <c r="K18" i="26"/>
  <c r="K17" i="26"/>
  <c r="K16" i="26"/>
  <c r="K15" i="26"/>
  <c r="K14" i="26"/>
  <c r="K13" i="26"/>
  <c r="K34" i="26"/>
  <c r="G29" i="2"/>
  <c r="D29" i="29"/>
  <c r="G29" i="29"/>
  <c r="J6" i="26"/>
  <c r="Y6" i="28"/>
  <c r="I6" i="26"/>
  <c r="Y5" i="28"/>
  <c r="H6" i="26"/>
  <c r="Y4" i="28"/>
  <c r="G6" i="26"/>
  <c r="Y3" i="28"/>
  <c r="K32" i="25"/>
  <c r="K31" i="25"/>
  <c r="K30" i="25"/>
  <c r="K29" i="25"/>
  <c r="K28" i="25"/>
  <c r="K27" i="25"/>
  <c r="K26" i="25"/>
  <c r="K25" i="25"/>
  <c r="K24" i="25"/>
  <c r="K23" i="25"/>
  <c r="K22" i="25"/>
  <c r="K21" i="25"/>
  <c r="K20" i="25"/>
  <c r="K19" i="25"/>
  <c r="K18" i="25"/>
  <c r="K17" i="25"/>
  <c r="K16" i="25"/>
  <c r="K15" i="25"/>
  <c r="K14" i="25"/>
  <c r="K13" i="25"/>
  <c r="K34" i="25"/>
  <c r="G28" i="2"/>
  <c r="D28" i="29"/>
  <c r="G28" i="29"/>
  <c r="J6" i="25"/>
  <c r="X6" i="28"/>
  <c r="I6" i="25"/>
  <c r="X5" i="28"/>
  <c r="H6" i="25"/>
  <c r="X4" i="28"/>
  <c r="G6" i="25"/>
  <c r="X3" i="28"/>
  <c r="K32" i="24"/>
  <c r="K31" i="24"/>
  <c r="K30" i="24"/>
  <c r="K29" i="24"/>
  <c r="K28" i="24"/>
  <c r="K27" i="24"/>
  <c r="K26" i="24"/>
  <c r="K25" i="24"/>
  <c r="K24" i="24"/>
  <c r="K23" i="24"/>
  <c r="K22" i="24"/>
  <c r="K21" i="24"/>
  <c r="K20" i="24"/>
  <c r="K19" i="24"/>
  <c r="K18" i="24"/>
  <c r="K17" i="24"/>
  <c r="K16" i="24"/>
  <c r="K15" i="24"/>
  <c r="K14" i="24"/>
  <c r="K13" i="24"/>
  <c r="K34" i="24"/>
  <c r="G27" i="2"/>
  <c r="D27" i="29"/>
  <c r="G27" i="29"/>
  <c r="J6" i="24"/>
  <c r="W6" i="28"/>
  <c r="I6" i="24"/>
  <c r="W5" i="28"/>
  <c r="H6" i="24"/>
  <c r="W4" i="28"/>
  <c r="G6" i="24"/>
  <c r="W3" i="28"/>
  <c r="K32" i="23"/>
  <c r="K31" i="23"/>
  <c r="K30" i="23"/>
  <c r="K29" i="23"/>
  <c r="K28" i="23"/>
  <c r="K27" i="23"/>
  <c r="K26" i="23"/>
  <c r="K25" i="23"/>
  <c r="K24" i="23"/>
  <c r="K23" i="23"/>
  <c r="K22" i="23"/>
  <c r="K21" i="23"/>
  <c r="K20" i="23"/>
  <c r="K19" i="23"/>
  <c r="K18" i="23"/>
  <c r="K17" i="23"/>
  <c r="K16" i="23"/>
  <c r="K15" i="23"/>
  <c r="K14" i="23"/>
  <c r="K13" i="23"/>
  <c r="K34" i="23"/>
  <c r="G14" i="2"/>
  <c r="F14" i="2"/>
  <c r="J6" i="23"/>
  <c r="J6" i="28"/>
  <c r="I6" i="23"/>
  <c r="J5" i="28"/>
  <c r="H6" i="23"/>
  <c r="J4" i="28"/>
  <c r="G6" i="23"/>
  <c r="J3" i="28"/>
  <c r="K32" i="22"/>
  <c r="K31" i="22"/>
  <c r="K30" i="22"/>
  <c r="K29" i="22"/>
  <c r="K28" i="22"/>
  <c r="K27" i="22"/>
  <c r="K26" i="22"/>
  <c r="K25" i="22"/>
  <c r="K24" i="22"/>
  <c r="K23" i="22"/>
  <c r="K22" i="22"/>
  <c r="K21" i="22"/>
  <c r="K20" i="22"/>
  <c r="K19" i="22"/>
  <c r="K18" i="22"/>
  <c r="K17" i="22"/>
  <c r="K16" i="22"/>
  <c r="K15" i="22"/>
  <c r="K14" i="22"/>
  <c r="K13" i="22"/>
  <c r="K34" i="22"/>
  <c r="G26" i="2"/>
  <c r="D26" i="29"/>
  <c r="G26" i="29"/>
  <c r="J6" i="22"/>
  <c r="V6" i="28"/>
  <c r="I6" i="22"/>
  <c r="V5" i="28"/>
  <c r="H6" i="22"/>
  <c r="V4" i="28"/>
  <c r="G6" i="22"/>
  <c r="V3" i="28"/>
  <c r="K32" i="21"/>
  <c r="K31" i="21"/>
  <c r="K30" i="21"/>
  <c r="K29" i="21"/>
  <c r="K28" i="21"/>
  <c r="K27" i="21"/>
  <c r="K26" i="21"/>
  <c r="K25" i="21"/>
  <c r="K24" i="21"/>
  <c r="K23" i="21"/>
  <c r="K22" i="21"/>
  <c r="K21" i="21"/>
  <c r="K20" i="21"/>
  <c r="K19" i="21"/>
  <c r="K18" i="21"/>
  <c r="K17" i="21"/>
  <c r="K16" i="21"/>
  <c r="K15" i="21"/>
  <c r="K14" i="21"/>
  <c r="K13" i="21"/>
  <c r="K34" i="21"/>
  <c r="G25" i="2"/>
  <c r="D25" i="29"/>
  <c r="G25" i="29"/>
  <c r="J6" i="21"/>
  <c r="U6" i="28"/>
  <c r="I6" i="21"/>
  <c r="U5" i="28"/>
  <c r="H6" i="21"/>
  <c r="U4" i="28"/>
  <c r="G6" i="21"/>
  <c r="U3" i="28"/>
  <c r="K32" i="20"/>
  <c r="K31" i="20"/>
  <c r="K30" i="20"/>
  <c r="K29" i="20"/>
  <c r="K28" i="20"/>
  <c r="K27" i="20"/>
  <c r="K26" i="20"/>
  <c r="K25" i="20"/>
  <c r="K24" i="20"/>
  <c r="K23" i="20"/>
  <c r="K22" i="20"/>
  <c r="K21" i="20"/>
  <c r="K20" i="20"/>
  <c r="K19" i="20"/>
  <c r="K18" i="20"/>
  <c r="K17" i="20"/>
  <c r="K16" i="20"/>
  <c r="K15" i="20"/>
  <c r="K14" i="20"/>
  <c r="K13" i="20"/>
  <c r="K34" i="20"/>
  <c r="G24" i="2"/>
  <c r="D24" i="29"/>
  <c r="G24" i="29"/>
  <c r="J6" i="20"/>
  <c r="T6" i="28"/>
  <c r="I6" i="20"/>
  <c r="T5" i="28"/>
  <c r="H6" i="20"/>
  <c r="T4" i="28"/>
  <c r="G6" i="20"/>
  <c r="T3" i="28"/>
  <c r="K32" i="19"/>
  <c r="K31" i="19"/>
  <c r="K30" i="19"/>
  <c r="K29" i="19"/>
  <c r="K28" i="19"/>
  <c r="K27" i="19"/>
  <c r="K26" i="19"/>
  <c r="K25" i="19"/>
  <c r="K24" i="19"/>
  <c r="K23" i="19"/>
  <c r="K22" i="19"/>
  <c r="K21" i="19"/>
  <c r="K20" i="19"/>
  <c r="K19" i="19"/>
  <c r="K18" i="19"/>
  <c r="K17" i="19"/>
  <c r="K16" i="19"/>
  <c r="K15" i="19"/>
  <c r="K14" i="19"/>
  <c r="K13" i="19"/>
  <c r="K34" i="19"/>
  <c r="G23" i="2"/>
  <c r="D23" i="29"/>
  <c r="G23" i="29"/>
  <c r="J6" i="19"/>
  <c r="S6" i="28"/>
  <c r="I6" i="19"/>
  <c r="S5" i="28"/>
  <c r="H6" i="19"/>
  <c r="S4" i="28"/>
  <c r="G6" i="19"/>
  <c r="S3" i="28"/>
  <c r="K32" i="18"/>
  <c r="K31" i="18"/>
  <c r="K30" i="18"/>
  <c r="K29" i="18"/>
  <c r="K28" i="18"/>
  <c r="K27" i="18"/>
  <c r="K26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K13" i="18"/>
  <c r="K34" i="18"/>
  <c r="G22" i="2"/>
  <c r="D22" i="29"/>
  <c r="G22" i="29"/>
  <c r="J6" i="18"/>
  <c r="R6" i="28"/>
  <c r="I6" i="18"/>
  <c r="R5" i="28"/>
  <c r="H6" i="18"/>
  <c r="R4" i="28"/>
  <c r="G6" i="18"/>
  <c r="R3" i="28"/>
  <c r="K32" i="17"/>
  <c r="K31" i="17"/>
  <c r="K30" i="17"/>
  <c r="K29" i="17"/>
  <c r="K28" i="17"/>
  <c r="K27" i="17"/>
  <c r="K26" i="17"/>
  <c r="K25" i="17"/>
  <c r="K24" i="17"/>
  <c r="K23" i="17"/>
  <c r="K22" i="17"/>
  <c r="K21" i="17"/>
  <c r="K20" i="17"/>
  <c r="K19" i="17"/>
  <c r="K18" i="17"/>
  <c r="K17" i="17"/>
  <c r="K16" i="17"/>
  <c r="K15" i="17"/>
  <c r="K14" i="17"/>
  <c r="K13" i="17"/>
  <c r="K34" i="17"/>
  <c r="G21" i="2"/>
  <c r="D21" i="29"/>
  <c r="G21" i="29"/>
  <c r="J6" i="17"/>
  <c r="Q6" i="28"/>
  <c r="I6" i="17"/>
  <c r="Q5" i="28"/>
  <c r="H6" i="17"/>
  <c r="Q4" i="28"/>
  <c r="G6" i="17"/>
  <c r="Q3" i="28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K34" i="16"/>
  <c r="G20" i="2"/>
  <c r="D20" i="29"/>
  <c r="G20" i="29"/>
  <c r="J6" i="16"/>
  <c r="P6" i="28"/>
  <c r="I6" i="16"/>
  <c r="P5" i="28"/>
  <c r="H6" i="16"/>
  <c r="P4" i="28"/>
  <c r="G6" i="16"/>
  <c r="P3" i="28"/>
  <c r="K32" i="15"/>
  <c r="K31" i="15"/>
  <c r="K30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K13" i="15"/>
  <c r="K34" i="15"/>
  <c r="G19" i="2"/>
  <c r="D19" i="29"/>
  <c r="G19" i="29"/>
  <c r="J6" i="15"/>
  <c r="O6" i="28"/>
  <c r="I6" i="15"/>
  <c r="O5" i="28"/>
  <c r="H6" i="15"/>
  <c r="O4" i="28"/>
  <c r="G6" i="15"/>
  <c r="O3" i="28"/>
  <c r="K32" i="14"/>
  <c r="K31" i="14"/>
  <c r="K30" i="14"/>
  <c r="K29" i="14"/>
  <c r="K28" i="14"/>
  <c r="K27" i="14"/>
  <c r="K26" i="14"/>
  <c r="K25" i="14"/>
  <c r="K24" i="14"/>
  <c r="K23" i="14"/>
  <c r="K22" i="14"/>
  <c r="K21" i="14"/>
  <c r="K20" i="14"/>
  <c r="K19" i="14"/>
  <c r="K18" i="14"/>
  <c r="K17" i="14"/>
  <c r="K16" i="14"/>
  <c r="K15" i="14"/>
  <c r="K14" i="14"/>
  <c r="K13" i="14"/>
  <c r="K34" i="14"/>
  <c r="G18" i="2"/>
  <c r="D18" i="29"/>
  <c r="G18" i="29"/>
  <c r="J6" i="14"/>
  <c r="N6" i="28"/>
  <c r="I6" i="14"/>
  <c r="N5" i="28"/>
  <c r="H6" i="14"/>
  <c r="N4" i="28"/>
  <c r="G6" i="14"/>
  <c r="N3" i="28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34" i="13"/>
  <c r="G17" i="2"/>
  <c r="D17" i="29"/>
  <c r="G17" i="29"/>
  <c r="J6" i="13"/>
  <c r="M6" i="28"/>
  <c r="I6" i="13"/>
  <c r="M5" i="28"/>
  <c r="H6" i="13"/>
  <c r="M4" i="28"/>
  <c r="G6" i="13"/>
  <c r="M3" i="28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34" i="12"/>
  <c r="G16" i="2"/>
  <c r="D16" i="29"/>
  <c r="G16" i="29"/>
  <c r="J6" i="12"/>
  <c r="L6" i="28"/>
  <c r="I6" i="12"/>
  <c r="L5" i="28"/>
  <c r="H6" i="12"/>
  <c r="L4" i="28"/>
  <c r="G6" i="12"/>
  <c r="L3" i="28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34" i="11"/>
  <c r="G15" i="2"/>
  <c r="F15" i="2"/>
  <c r="J6" i="11"/>
  <c r="K6" i="28"/>
  <c r="I6" i="11"/>
  <c r="K5" i="28"/>
  <c r="H6" i="11"/>
  <c r="K4" i="28"/>
  <c r="G6" i="11"/>
  <c r="K3" i="28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34" i="10"/>
  <c r="G13" i="2"/>
  <c r="F13" i="2"/>
  <c r="J6" i="10"/>
  <c r="I6" i="28"/>
  <c r="I6" i="10"/>
  <c r="I5" i="28"/>
  <c r="H6" i="10"/>
  <c r="I4" i="28"/>
  <c r="G6" i="10"/>
  <c r="I3" i="28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34" i="9"/>
  <c r="G12" i="2"/>
  <c r="E12" i="2"/>
  <c r="J6" i="9"/>
  <c r="H6" i="28"/>
  <c r="I6" i="9"/>
  <c r="H5" i="28"/>
  <c r="H6" i="9"/>
  <c r="H4" i="28"/>
  <c r="G6" i="9"/>
  <c r="H3" i="28"/>
  <c r="E11" i="2"/>
  <c r="J6" i="8"/>
  <c r="G6" i="28"/>
  <c r="I6" i="8"/>
  <c r="G5" i="28"/>
  <c r="H6" i="8"/>
  <c r="G4" i="28"/>
  <c r="G6" i="8"/>
  <c r="G3" i="28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34" i="7"/>
  <c r="G10" i="2"/>
  <c r="D10" i="29"/>
  <c r="G10" i="29"/>
  <c r="J6" i="7"/>
  <c r="F6" i="28"/>
  <c r="I6" i="7"/>
  <c r="F5" i="28"/>
  <c r="H6" i="7"/>
  <c r="F4" i="28"/>
  <c r="G6" i="7"/>
  <c r="F3" i="28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34" i="6"/>
  <c r="G9" i="2"/>
  <c r="E9" i="2"/>
  <c r="J6" i="6"/>
  <c r="E6" i="28"/>
  <c r="I6" i="6"/>
  <c r="E5" i="28"/>
  <c r="H6" i="6"/>
  <c r="E4" i="28"/>
  <c r="G6" i="6"/>
  <c r="E3" i="28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34" i="5"/>
  <c r="G8" i="2"/>
  <c r="F8" i="2"/>
  <c r="J6" i="5"/>
  <c r="D6" i="28"/>
  <c r="I6" i="5"/>
  <c r="D5" i="28"/>
  <c r="H6" i="5"/>
  <c r="D4" i="28"/>
  <c r="G6" i="5"/>
  <c r="D3" i="28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34" i="3"/>
  <c r="J6" i="3"/>
  <c r="I6" i="3"/>
  <c r="H6" i="3"/>
  <c r="G6" i="3"/>
  <c r="D43" i="1"/>
  <c r="B43" i="1"/>
  <c r="D42" i="1"/>
  <c r="D9" i="29"/>
  <c r="G9" i="29"/>
  <c r="D15" i="29"/>
  <c r="G15" i="29"/>
  <c r="E14" i="2"/>
  <c r="D14" i="29"/>
  <c r="G14" i="29"/>
  <c r="E13" i="2"/>
  <c r="D13" i="29"/>
  <c r="G13" i="29"/>
  <c r="D12" i="29"/>
  <c r="G12" i="29"/>
  <c r="E10" i="2"/>
  <c r="E8" i="2"/>
  <c r="D8" i="29"/>
  <c r="G8" i="29"/>
  <c r="E15" i="2"/>
  <c r="F29" i="2"/>
  <c r="E29" i="2"/>
  <c r="F28" i="2"/>
  <c r="E28" i="2"/>
  <c r="F27" i="2"/>
  <c r="E27" i="2"/>
  <c r="F26" i="2"/>
  <c r="E26" i="2"/>
  <c r="E25" i="2"/>
  <c r="F25" i="2"/>
  <c r="E24" i="2"/>
  <c r="F24" i="2"/>
  <c r="E23" i="2"/>
  <c r="F23" i="2"/>
  <c r="E22" i="2"/>
  <c r="F22" i="2"/>
  <c r="F21" i="2"/>
  <c r="E21" i="2"/>
  <c r="E20" i="2"/>
  <c r="F20" i="2"/>
  <c r="F19" i="2"/>
  <c r="E19" i="2"/>
  <c r="E18" i="2"/>
  <c r="F18" i="2"/>
  <c r="F17" i="2"/>
  <c r="E17" i="2"/>
  <c r="F16" i="2"/>
  <c r="E16" i="2"/>
  <c r="F11" i="2"/>
  <c r="C5" i="28"/>
  <c r="Z5" i="28"/>
  <c r="C4" i="28"/>
  <c r="Z4" i="28"/>
  <c r="C3" i="28"/>
  <c r="Z3" i="28"/>
  <c r="C6" i="28"/>
  <c r="Z6" i="28"/>
  <c r="F12" i="2"/>
  <c r="F9" i="2"/>
  <c r="F10" i="2"/>
  <c r="I7" i="26"/>
  <c r="J7" i="26"/>
  <c r="K6" i="26"/>
  <c r="Y7" i="28"/>
  <c r="G7" i="26"/>
  <c r="H7" i="26"/>
  <c r="I7" i="25"/>
  <c r="J7" i="25"/>
  <c r="K6" i="25"/>
  <c r="X7" i="28"/>
  <c r="H7" i="25"/>
  <c r="G7" i="25"/>
  <c r="I7" i="24"/>
  <c r="J7" i="24"/>
  <c r="K6" i="24"/>
  <c r="W7" i="28"/>
  <c r="H7" i="24"/>
  <c r="G7" i="24"/>
  <c r="G7" i="23"/>
  <c r="I7" i="23"/>
  <c r="J7" i="23"/>
  <c r="K6" i="23"/>
  <c r="J7" i="28"/>
  <c r="H7" i="23"/>
  <c r="I7" i="22"/>
  <c r="J7" i="22"/>
  <c r="K6" i="22"/>
  <c r="V7" i="28"/>
  <c r="G7" i="22"/>
  <c r="H7" i="22"/>
  <c r="I7" i="21"/>
  <c r="J7" i="21"/>
  <c r="K6" i="21"/>
  <c r="U7" i="28"/>
  <c r="G7" i="21"/>
  <c r="H7" i="21"/>
  <c r="I7" i="20"/>
  <c r="H7" i="20"/>
  <c r="J7" i="20"/>
  <c r="K6" i="20"/>
  <c r="T7" i="28"/>
  <c r="G7" i="20"/>
  <c r="I7" i="19"/>
  <c r="J7" i="19"/>
  <c r="K6" i="19"/>
  <c r="S7" i="28"/>
  <c r="G7" i="19"/>
  <c r="H7" i="19"/>
  <c r="I7" i="18"/>
  <c r="J7" i="18"/>
  <c r="K6" i="18"/>
  <c r="R7" i="28"/>
  <c r="G7" i="18"/>
  <c r="H7" i="18"/>
  <c r="I7" i="17"/>
  <c r="H7" i="17"/>
  <c r="J7" i="17"/>
  <c r="K6" i="17"/>
  <c r="Q7" i="28"/>
  <c r="G7" i="17"/>
  <c r="I7" i="16"/>
  <c r="H7" i="16"/>
  <c r="J7" i="16"/>
  <c r="K6" i="16"/>
  <c r="P7" i="28"/>
  <c r="G7" i="16"/>
  <c r="I7" i="15"/>
  <c r="J7" i="15"/>
  <c r="K6" i="15"/>
  <c r="O7" i="28"/>
  <c r="G7" i="15"/>
  <c r="H7" i="15"/>
  <c r="I7" i="14"/>
  <c r="J7" i="14"/>
  <c r="K6" i="14"/>
  <c r="N7" i="28"/>
  <c r="G7" i="14"/>
  <c r="H7" i="14"/>
  <c r="I7" i="13"/>
  <c r="J7" i="13"/>
  <c r="K6" i="13"/>
  <c r="M7" i="28"/>
  <c r="G7" i="13"/>
  <c r="H7" i="13"/>
  <c r="I7" i="12"/>
  <c r="J7" i="12"/>
  <c r="K6" i="12"/>
  <c r="L7" i="28"/>
  <c r="G7" i="12"/>
  <c r="H7" i="12"/>
  <c r="I7" i="11"/>
  <c r="J7" i="11"/>
  <c r="K6" i="11"/>
  <c r="K7" i="28"/>
  <c r="G7" i="11"/>
  <c r="H7" i="11"/>
  <c r="I7" i="10"/>
  <c r="J7" i="10"/>
  <c r="K6" i="10"/>
  <c r="I7" i="28"/>
  <c r="G7" i="10"/>
  <c r="H7" i="10"/>
  <c r="I7" i="9"/>
  <c r="H7" i="9"/>
  <c r="J7" i="9"/>
  <c r="K6" i="9"/>
  <c r="H7" i="28"/>
  <c r="G7" i="9"/>
  <c r="I7" i="8"/>
  <c r="H7" i="8"/>
  <c r="J7" i="8"/>
  <c r="K6" i="8"/>
  <c r="G7" i="28"/>
  <c r="G7" i="8"/>
  <c r="I7" i="7"/>
  <c r="J7" i="7"/>
  <c r="K6" i="7"/>
  <c r="F7" i="28"/>
  <c r="G7" i="7"/>
  <c r="H7" i="7"/>
  <c r="I7" i="6"/>
  <c r="J7" i="6"/>
  <c r="K6" i="6"/>
  <c r="E7" i="28"/>
  <c r="H7" i="6"/>
  <c r="G7" i="6"/>
  <c r="G7" i="2"/>
  <c r="D7" i="29"/>
  <c r="G7" i="29"/>
  <c r="I7" i="5"/>
  <c r="H7" i="5"/>
  <c r="J7" i="5"/>
  <c r="K6" i="5"/>
  <c r="D7" i="28"/>
  <c r="G7" i="5"/>
  <c r="I7" i="3"/>
  <c r="H7" i="3"/>
  <c r="J7" i="3"/>
  <c r="K6" i="3"/>
  <c r="G7" i="3"/>
  <c r="F7" i="2"/>
  <c r="E7" i="2"/>
  <c r="C7" i="28"/>
  <c r="Z7" i="28"/>
  <c r="G30" i="2"/>
  <c r="G31" i="2"/>
  <c r="E31" i="2"/>
  <c r="D31" i="29"/>
  <c r="G31" i="29"/>
  <c r="E30" i="2"/>
  <c r="D30" i="29"/>
  <c r="G30" i="29"/>
  <c r="G33" i="2"/>
  <c r="F31" i="2"/>
  <c r="F30" i="2"/>
  <c r="D33" i="29"/>
  <c r="E33" i="2"/>
  <c r="K7" i="26"/>
  <c r="D21" i="1"/>
  <c r="G33" i="29"/>
  <c r="F33" i="29"/>
  <c r="K7" i="24"/>
  <c r="K7" i="25"/>
  <c r="K7" i="21"/>
  <c r="K7" i="22"/>
  <c r="K7" i="19"/>
  <c r="K7" i="20"/>
  <c r="K7" i="17"/>
  <c r="K7" i="18"/>
  <c r="K7" i="15"/>
  <c r="K7" i="16"/>
  <c r="K7" i="13"/>
  <c r="K7" i="14"/>
  <c r="K7" i="11"/>
  <c r="K7" i="12"/>
  <c r="K7" i="10"/>
  <c r="K7" i="23"/>
  <c r="K7" i="9"/>
  <c r="D12" i="2"/>
  <c r="D11" i="2"/>
  <c r="K7" i="8"/>
  <c r="D10" i="2"/>
  <c r="K7" i="7"/>
  <c r="K7" i="6"/>
  <c r="D9" i="2"/>
  <c r="K7" i="3"/>
  <c r="K7" i="5"/>
  <c r="D8" i="2"/>
  <c r="D31" i="2"/>
  <c r="D41" i="1"/>
  <c r="D7" i="2"/>
  <c r="D16" i="2"/>
  <c r="D20" i="2"/>
  <c r="D24" i="2"/>
  <c r="D28" i="2"/>
  <c r="D13" i="2"/>
  <c r="D25" i="2"/>
  <c r="D15" i="2"/>
  <c r="D19" i="2"/>
  <c r="D23" i="2"/>
  <c r="D27" i="2"/>
  <c r="D14" i="2"/>
  <c r="D18" i="2"/>
  <c r="D22" i="2"/>
  <c r="D26" i="2"/>
  <c r="D17" i="2"/>
  <c r="D21" i="2"/>
  <c r="D29" i="2"/>
  <c r="D30" i="2"/>
  <c r="F33" i="2"/>
  <c r="D29" i="1"/>
  <c r="D30" i="1"/>
  <c r="D34" i="1"/>
  <c r="D25" i="1"/>
  <c r="D35" i="1"/>
  <c r="D44" i="1"/>
  <c r="D46" i="1"/>
  <c r="D33" i="2"/>
</calcChain>
</file>

<file path=xl/sharedStrings.xml><?xml version="1.0" encoding="utf-8"?>
<sst xmlns="http://schemas.openxmlformats.org/spreadsheetml/2006/main" count="1598" uniqueCount="624">
  <si>
    <t>OBRA:</t>
  </si>
  <si>
    <t>Nome do Empreendimento:</t>
  </si>
  <si>
    <t>----------------------</t>
  </si>
  <si>
    <t>Incorporador:</t>
  </si>
  <si>
    <t>Endereço:</t>
  </si>
  <si>
    <t>Bairro:</t>
  </si>
  <si>
    <t>Cidade:</t>
  </si>
  <si>
    <t>PRAZO DA OBRA:</t>
  </si>
  <si>
    <t>Data de início:</t>
  </si>
  <si>
    <t>Data de término:</t>
  </si>
  <si>
    <t>ENCARGOS SOCIAIS:</t>
  </si>
  <si>
    <t>CUSTO DE CONSTRUÇÃO RASO:</t>
  </si>
  <si>
    <t>Data base:</t>
  </si>
  <si>
    <t>Quantidade de INCC:</t>
  </si>
  <si>
    <t>ÍNDICES (ÁREA EQUIVALENTE):</t>
  </si>
  <si>
    <t>ÁREA EQUIVALENTE (AE):</t>
  </si>
  <si>
    <t>Custo por m2:</t>
  </si>
  <si>
    <t>ÍNDICES (ÁREA CONSTRUÍDA):</t>
  </si>
  <si>
    <t>ÁREA CONSTRUÍDA (AC):</t>
  </si>
  <si>
    <t>EVENTUAIS</t>
  </si>
  <si>
    <t>ASSISTÊNCIA TÉCNICA</t>
  </si>
  <si>
    <t>CUSTO TOTAL DA OBRA:</t>
  </si>
  <si>
    <t>RESUMO</t>
  </si>
  <si>
    <t>GRUPOS</t>
  </si>
  <si>
    <t>DISCRIMINAÇÃO</t>
  </si>
  <si>
    <t>PERC.</t>
  </si>
  <si>
    <t>C.UNIT. (AC)</t>
  </si>
  <si>
    <t>CUSTO TOTAL</t>
  </si>
  <si>
    <t>%</t>
  </si>
  <si>
    <t>CUB / m²</t>
  </si>
  <si>
    <t>CUB's</t>
  </si>
  <si>
    <t>R$</t>
  </si>
  <si>
    <t>01.</t>
  </si>
  <si>
    <t>SERVIÇOS TÉCNICOS</t>
  </si>
  <si>
    <t>02.</t>
  </si>
  <si>
    <t>GASTOS GERAIS</t>
  </si>
  <si>
    <t>03.</t>
  </si>
  <si>
    <t>PESSOAL PERMANENTE</t>
  </si>
  <si>
    <t>04.</t>
  </si>
  <si>
    <t>IMPLANTAÇÃO DE CANTEIRO</t>
  </si>
  <si>
    <t>05.</t>
  </si>
  <si>
    <t>OPERAÇÃO DE CANTEIRO</t>
  </si>
  <si>
    <t>06.</t>
  </si>
  <si>
    <t>SEGURANÇA E MEDICINA DO TRABALHO</t>
  </si>
  <si>
    <t>07.</t>
  </si>
  <si>
    <t>MOVIMENTO DE TERRA</t>
  </si>
  <si>
    <t>08.</t>
  </si>
  <si>
    <t>FUNDAÇÕES E CONTENÇÕES</t>
  </si>
  <si>
    <t>09.</t>
  </si>
  <si>
    <t>SUPERESTRUTURA</t>
  </si>
  <si>
    <t>10.</t>
  </si>
  <si>
    <t>PAREDES E PAINÉIS</t>
  </si>
  <si>
    <t>11.</t>
  </si>
  <si>
    <t>COBERTURA</t>
  </si>
  <si>
    <t>12.</t>
  </si>
  <si>
    <t>13.</t>
  </si>
  <si>
    <t>REVESTIMENTOS INTERNOS</t>
  </si>
  <si>
    <t>14.</t>
  </si>
  <si>
    <t>REVESTIMENTO EXTERNO</t>
  </si>
  <si>
    <t>15.</t>
  </si>
  <si>
    <t>ESQUADRIAS DE MADEIRA</t>
  </si>
  <si>
    <t>16.</t>
  </si>
  <si>
    <t>ESQUADRIAS DE ALUMÍNIO E VIDROS</t>
  </si>
  <si>
    <t>17.</t>
  </si>
  <si>
    <t>ESQUADRIAS DE FERRO</t>
  </si>
  <si>
    <t>18.</t>
  </si>
  <si>
    <t>PISOS INTERNOS</t>
  </si>
  <si>
    <t>19.</t>
  </si>
  <si>
    <t>20.</t>
  </si>
  <si>
    <t>INSTALAÇÕES HIDROSSANITÁRIAS</t>
  </si>
  <si>
    <t>21.</t>
  </si>
  <si>
    <t>22.</t>
  </si>
  <si>
    <t>LOUÇAS E METAIS</t>
  </si>
  <si>
    <t>23.</t>
  </si>
  <si>
    <t>PINTURA E LIMPEZA</t>
  </si>
  <si>
    <t>24.</t>
  </si>
  <si>
    <t>25.</t>
  </si>
  <si>
    <t>TOTAL GERAL</t>
  </si>
  <si>
    <t>01. SERVIÇOS TÉCNICOS</t>
  </si>
  <si>
    <t>Exemplos de itens do Grupo:
Projetos (arquitetura e complementares); elaboração de levantamentos, orçamento e planejamento; gerenciamento e fiscalização de obra; consultorias e auditorias; vistoria cautelar de vizinhança e de entrega de obra; levantamento topográfico; sondagem; controle tencológico; ensaios laboratoriais, etc.</t>
  </si>
  <si>
    <t>Material</t>
  </si>
  <si>
    <t>Mão-de-obra</t>
  </si>
  <si>
    <t>Equipamento</t>
  </si>
  <si>
    <t>Serviço</t>
  </si>
  <si>
    <t>Total</t>
  </si>
  <si>
    <t>CÓDIGO</t>
  </si>
  <si>
    <t>DESCRIÇÃO</t>
  </si>
  <si>
    <t>QUANT.</t>
  </si>
  <si>
    <t>UN.</t>
  </si>
  <si>
    <t>VALOR UNITÁRIO</t>
  </si>
  <si>
    <t>TOTAL</t>
  </si>
  <si>
    <t>MATERIAL</t>
  </si>
  <si>
    <t>MÃO DE OBRA</t>
  </si>
  <si>
    <t>EQUIPAMENTO</t>
  </si>
  <si>
    <t>SERVIÇO</t>
  </si>
  <si>
    <t>01.01</t>
  </si>
  <si>
    <t>m</t>
  </si>
  <si>
    <t>01.02</t>
  </si>
  <si>
    <t>01.03</t>
  </si>
  <si>
    <t>01.04</t>
  </si>
  <si>
    <t>01.05</t>
  </si>
  <si>
    <t>01.06</t>
  </si>
  <si>
    <t>01.07</t>
  </si>
  <si>
    <t>01.08</t>
  </si>
  <si>
    <t>01.09</t>
  </si>
  <si>
    <t>01.10</t>
  </si>
  <si>
    <t>01.11</t>
  </si>
  <si>
    <t>01.12</t>
  </si>
  <si>
    <t>01.13</t>
  </si>
  <si>
    <t>01.14</t>
  </si>
  <si>
    <t>01.15</t>
  </si>
  <si>
    <t>01.16</t>
  </si>
  <si>
    <t>01.17</t>
  </si>
  <si>
    <t>01.18</t>
  </si>
  <si>
    <t>01.19</t>
  </si>
  <si>
    <t>01.20</t>
  </si>
  <si>
    <t>TOTAL DO GRUPO</t>
  </si>
  <si>
    <t>02. GASTOS GERAIS</t>
  </si>
  <si>
    <t>Exemplos de itens do Grupo:
Alvará de construção; taxas para aprovações e legalizações; seguros; outros gastos não relacionados diretamente a exeução da obra.</t>
  </si>
  <si>
    <t>02.01</t>
  </si>
  <si>
    <t>02.02</t>
  </si>
  <si>
    <t>02.03</t>
  </si>
  <si>
    <t>02.04</t>
  </si>
  <si>
    <t>02.05</t>
  </si>
  <si>
    <t>02.06</t>
  </si>
  <si>
    <t>02.07</t>
  </si>
  <si>
    <t>02.08</t>
  </si>
  <si>
    <t>02.09</t>
  </si>
  <si>
    <t>02.10</t>
  </si>
  <si>
    <t>02.11</t>
  </si>
  <si>
    <t>02.12</t>
  </si>
  <si>
    <t>02.13</t>
  </si>
  <si>
    <t>02.14</t>
  </si>
  <si>
    <t>02.15</t>
  </si>
  <si>
    <t>02.16</t>
  </si>
  <si>
    <t>02.17</t>
  </si>
  <si>
    <t>02.18</t>
  </si>
  <si>
    <t>02.19</t>
  </si>
  <si>
    <t>02.20</t>
  </si>
  <si>
    <t>03. PESSOAL PERMANENTE</t>
  </si>
  <si>
    <t>03.01</t>
  </si>
  <si>
    <t>03.02</t>
  </si>
  <si>
    <t>03.03</t>
  </si>
  <si>
    <t>03.04</t>
  </si>
  <si>
    <t>03.05</t>
  </si>
  <si>
    <t>03.06</t>
  </si>
  <si>
    <t>03.07</t>
  </si>
  <si>
    <t>03.08</t>
  </si>
  <si>
    <t>03.09</t>
  </si>
  <si>
    <t>03.10</t>
  </si>
  <si>
    <t>03.11</t>
  </si>
  <si>
    <t>03.12</t>
  </si>
  <si>
    <t>03.13</t>
  </si>
  <si>
    <t>03.14</t>
  </si>
  <si>
    <t>03.15</t>
  </si>
  <si>
    <t>03.16</t>
  </si>
  <si>
    <t>03.17</t>
  </si>
  <si>
    <t>03.18</t>
  </si>
  <si>
    <t>03.19</t>
  </si>
  <si>
    <t>03.20</t>
  </si>
  <si>
    <t>VOLTAR</t>
  </si>
  <si>
    <t>04. IMPLANTAÇÃO DE CANTEIRO</t>
  </si>
  <si>
    <t>05. OPERAÇÃO DE CANTEIRO</t>
  </si>
  <si>
    <t>06. SEGURANÇA E MEDICINA DO TRABALHO</t>
  </si>
  <si>
    <t>04.01</t>
  </si>
  <si>
    <t>04.02</t>
  </si>
  <si>
    <t>04.03</t>
  </si>
  <si>
    <t>04.04</t>
  </si>
  <si>
    <t>04.05</t>
  </si>
  <si>
    <t>04.06</t>
  </si>
  <si>
    <t>04.07</t>
  </si>
  <si>
    <t>04.08</t>
  </si>
  <si>
    <t>04.09</t>
  </si>
  <si>
    <t>04.10</t>
  </si>
  <si>
    <t>04.11</t>
  </si>
  <si>
    <t>04.12</t>
  </si>
  <si>
    <t>04.13</t>
  </si>
  <si>
    <t>04.14</t>
  </si>
  <si>
    <t>04.15</t>
  </si>
  <si>
    <t>04.16</t>
  </si>
  <si>
    <t>04.17</t>
  </si>
  <si>
    <t>04.18</t>
  </si>
  <si>
    <t>04.19</t>
  </si>
  <si>
    <t>04.20</t>
  </si>
  <si>
    <t>05.01</t>
  </si>
  <si>
    <t>05.02</t>
  </si>
  <si>
    <t>05.03</t>
  </si>
  <si>
    <t>05.04</t>
  </si>
  <si>
    <t>05.05</t>
  </si>
  <si>
    <t>05.06</t>
  </si>
  <si>
    <t>05.07</t>
  </si>
  <si>
    <t>05.08</t>
  </si>
  <si>
    <t>05.09</t>
  </si>
  <si>
    <t>05.10</t>
  </si>
  <si>
    <t>05.11</t>
  </si>
  <si>
    <t>05.12</t>
  </si>
  <si>
    <t>05.13</t>
  </si>
  <si>
    <t>05.14</t>
  </si>
  <si>
    <t>05.15</t>
  </si>
  <si>
    <t>05.16</t>
  </si>
  <si>
    <t>05.17</t>
  </si>
  <si>
    <t>05.18</t>
  </si>
  <si>
    <t>05.19</t>
  </si>
  <si>
    <t>05.20</t>
  </si>
  <si>
    <t>06.01</t>
  </si>
  <si>
    <t>06.02</t>
  </si>
  <si>
    <t>06.03</t>
  </si>
  <si>
    <t>06.04</t>
  </si>
  <si>
    <t>06.05</t>
  </si>
  <si>
    <t>06.06</t>
  </si>
  <si>
    <t>06.07</t>
  </si>
  <si>
    <t>06.08</t>
  </si>
  <si>
    <t>06.09</t>
  </si>
  <si>
    <t>06.10</t>
  </si>
  <si>
    <t>06.11</t>
  </si>
  <si>
    <t>06.12</t>
  </si>
  <si>
    <t>06.13</t>
  </si>
  <si>
    <t>06.14</t>
  </si>
  <si>
    <t>06.15</t>
  </si>
  <si>
    <t>06.16</t>
  </si>
  <si>
    <t>06.17</t>
  </si>
  <si>
    <t>06.18</t>
  </si>
  <si>
    <t>06.19</t>
  </si>
  <si>
    <t>06.20</t>
  </si>
  <si>
    <t>07.01</t>
  </si>
  <si>
    <t>07.02</t>
  </si>
  <si>
    <t>07.03</t>
  </si>
  <si>
    <t>07.04</t>
  </si>
  <si>
    <t>07.05</t>
  </si>
  <si>
    <t>07.06</t>
  </si>
  <si>
    <t>07.07</t>
  </si>
  <si>
    <t>07.08</t>
  </si>
  <si>
    <t>07.09</t>
  </si>
  <si>
    <t>07.10</t>
  </si>
  <si>
    <t>07.11</t>
  </si>
  <si>
    <t>07.12</t>
  </si>
  <si>
    <t>07.13</t>
  </si>
  <si>
    <t>07.14</t>
  </si>
  <si>
    <t>07.15</t>
  </si>
  <si>
    <t>07.16</t>
  </si>
  <si>
    <t>07.17</t>
  </si>
  <si>
    <t>07.18</t>
  </si>
  <si>
    <t>07.19</t>
  </si>
  <si>
    <t>07.20</t>
  </si>
  <si>
    <t>08.01</t>
  </si>
  <si>
    <t>08.02</t>
  </si>
  <si>
    <t>08.03</t>
  </si>
  <si>
    <t>08.04</t>
  </si>
  <si>
    <t>08.05</t>
  </si>
  <si>
    <t>08.06</t>
  </si>
  <si>
    <t>08.07</t>
  </si>
  <si>
    <t>08.08</t>
  </si>
  <si>
    <t>08.09</t>
  </si>
  <si>
    <t>08.10</t>
  </si>
  <si>
    <t>08.11</t>
  </si>
  <si>
    <t>08.12</t>
  </si>
  <si>
    <t>08.13</t>
  </si>
  <si>
    <t>08.14</t>
  </si>
  <si>
    <t>08.15</t>
  </si>
  <si>
    <t>08.16</t>
  </si>
  <si>
    <t>08.17</t>
  </si>
  <si>
    <t>08.18</t>
  </si>
  <si>
    <t>08.19</t>
  </si>
  <si>
    <t>08.20</t>
  </si>
  <si>
    <t>09.01</t>
  </si>
  <si>
    <t>09.02</t>
  </si>
  <si>
    <t>09.03</t>
  </si>
  <si>
    <t>09.04</t>
  </si>
  <si>
    <t>09.05</t>
  </si>
  <si>
    <t>09.06</t>
  </si>
  <si>
    <t>09.07</t>
  </si>
  <si>
    <t>09.08</t>
  </si>
  <si>
    <t>09.09</t>
  </si>
  <si>
    <t>09.10</t>
  </si>
  <si>
    <t>09.11</t>
  </si>
  <si>
    <t>09.12</t>
  </si>
  <si>
    <t>09.13</t>
  </si>
  <si>
    <t>09.14</t>
  </si>
  <si>
    <t>09.15</t>
  </si>
  <si>
    <t>09.16</t>
  </si>
  <si>
    <t>09.17</t>
  </si>
  <si>
    <t>09.18</t>
  </si>
  <si>
    <t>09.19</t>
  </si>
  <si>
    <t>09.20</t>
  </si>
  <si>
    <t>10.01</t>
  </si>
  <si>
    <t>10.02</t>
  </si>
  <si>
    <t>10.03</t>
  </si>
  <si>
    <t>10.04</t>
  </si>
  <si>
    <t>10.05</t>
  </si>
  <si>
    <t>10.06</t>
  </si>
  <si>
    <t>10.07</t>
  </si>
  <si>
    <t>10.08</t>
  </si>
  <si>
    <t>10.09</t>
  </si>
  <si>
    <t>10.10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</si>
  <si>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</si>
  <si>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</si>
  <si>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</si>
  <si>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</si>
  <si>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</si>
  <si>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</si>
  <si>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</si>
  <si>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</si>
  <si>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</si>
  <si>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</si>
  <si>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11.01</t>
  </si>
  <si>
    <t>11.02</t>
  </si>
  <si>
    <t>11.03</t>
  </si>
  <si>
    <t>11.04</t>
  </si>
  <si>
    <t>11.05</t>
  </si>
  <si>
    <t>11.06</t>
  </si>
  <si>
    <t>11.07</t>
  </si>
  <si>
    <t>11.08</t>
  </si>
  <si>
    <t>11.09</t>
  </si>
  <si>
    <t>11.10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</si>
  <si>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</si>
  <si>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</si>
  <si>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</si>
  <si>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</si>
  <si>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</si>
  <si>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</si>
  <si>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</si>
  <si>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</si>
  <si>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11.19</t>
  </si>
  <si>
    <t>11.20</t>
  </si>
  <si>
    <t>12.01</t>
  </si>
  <si>
    <t>12.02</t>
  </si>
  <si>
    <t>12.03</t>
  </si>
  <si>
    <t>12.04</t>
  </si>
  <si>
    <t>12.05</t>
  </si>
  <si>
    <t>12.06</t>
  </si>
  <si>
    <t>12.07</t>
  </si>
  <si>
    <t>12.08</t>
  </si>
  <si>
    <t>12.09</t>
  </si>
  <si>
    <t>12.10</t>
  </si>
  <si>
    <t>12.11</t>
  </si>
  <si>
    <t>12.12</t>
  </si>
  <si>
    <t>12.13</t>
  </si>
  <si>
    <t>12.14</t>
  </si>
  <si>
    <t>12.15</t>
  </si>
  <si>
    <t>12.16</t>
  </si>
  <si>
    <t>12.17</t>
  </si>
  <si>
    <t>12.18</t>
  </si>
  <si>
    <t>12.19</t>
  </si>
  <si>
    <t>12.20</t>
  </si>
  <si>
    <t>13.01</t>
  </si>
  <si>
    <t>13.02</t>
  </si>
  <si>
    <t>13.03</t>
  </si>
  <si>
    <t>13.04</t>
  </si>
  <si>
    <t>13.05</t>
  </si>
  <si>
    <t>13.06</t>
  </si>
  <si>
    <t>13.07</t>
  </si>
  <si>
    <t>13.08</t>
  </si>
  <si>
    <t>13.09</t>
  </si>
  <si>
    <t>13.10</t>
  </si>
  <si>
    <t>13.11</t>
  </si>
  <si>
    <t>13.12</t>
  </si>
  <si>
    <t>13.13</t>
  </si>
  <si>
    <t>13.14</t>
  </si>
  <si>
    <t>13.15</t>
  </si>
  <si>
    <t>13.16</t>
  </si>
  <si>
    <t>13.17</t>
  </si>
  <si>
    <t>13.18</t>
  </si>
  <si>
    <t>13.19</t>
  </si>
  <si>
    <t>13.20</t>
  </si>
  <si>
    <t>14.01</t>
  </si>
  <si>
    <t>14.02</t>
  </si>
  <si>
    <t>14.03</t>
  </si>
  <si>
    <t>14.04</t>
  </si>
  <si>
    <t>14.05</t>
  </si>
  <si>
    <t>14.06</t>
  </si>
  <si>
    <t>14.07</t>
  </si>
  <si>
    <t>14.08</t>
  </si>
  <si>
    <t>14.09</t>
  </si>
  <si>
    <t>14.10</t>
  </si>
  <si>
    <t>14.11</t>
  </si>
  <si>
    <t>14.12</t>
  </si>
  <si>
    <t>14.13</t>
  </si>
  <si>
    <t>14.14</t>
  </si>
  <si>
    <t>14.15</t>
  </si>
  <si>
    <t>14.16</t>
  </si>
  <si>
    <t>14.17</t>
  </si>
  <si>
    <t>14.18</t>
  </si>
  <si>
    <t>14.19</t>
  </si>
  <si>
    <t>14.20</t>
  </si>
  <si>
    <t>15.01</t>
  </si>
  <si>
    <t>15.02</t>
  </si>
  <si>
    <t>15.03</t>
  </si>
  <si>
    <t>15.04</t>
  </si>
  <si>
    <t>15.05</t>
  </si>
  <si>
    <t>15.06</t>
  </si>
  <si>
    <t>15.07</t>
  </si>
  <si>
    <t>15.08</t>
  </si>
  <si>
    <t>15.09</t>
  </si>
  <si>
    <t>15.10</t>
  </si>
  <si>
    <t>15.11</t>
  </si>
  <si>
    <t>15.12</t>
  </si>
  <si>
    <t>15.13</t>
  </si>
  <si>
    <t>15.14</t>
  </si>
  <si>
    <t>15.15</t>
  </si>
  <si>
    <t>15.16</t>
  </si>
  <si>
    <t>15.17</t>
  </si>
  <si>
    <t>15.18</t>
  </si>
  <si>
    <t>15.19</t>
  </si>
  <si>
    <t>15.20</t>
  </si>
  <si>
    <t>16.01</t>
  </si>
  <si>
    <t>16.02</t>
  </si>
  <si>
    <t>16.03</t>
  </si>
  <si>
    <t>16.04</t>
  </si>
  <si>
    <t>16.05</t>
  </si>
  <si>
    <t>16.06</t>
  </si>
  <si>
    <t>16.07</t>
  </si>
  <si>
    <t>16.08</t>
  </si>
  <si>
    <t>16.09</t>
  </si>
  <si>
    <t>16.10</t>
  </si>
  <si>
    <t>16.11</t>
  </si>
  <si>
    <t>16.12</t>
  </si>
  <si>
    <t>16.13</t>
  </si>
  <si>
    <t>16.14</t>
  </si>
  <si>
    <t>16.15</t>
  </si>
  <si>
    <t>16.16</t>
  </si>
  <si>
    <t>16.17</t>
  </si>
  <si>
    <t>16.18</t>
  </si>
  <si>
    <t>16.19</t>
  </si>
  <si>
    <t>16.20</t>
  </si>
  <si>
    <t>17.01</t>
  </si>
  <si>
    <t>17.02</t>
  </si>
  <si>
    <t>17.03</t>
  </si>
  <si>
    <t>17.04</t>
  </si>
  <si>
    <t>17.05</t>
  </si>
  <si>
    <t>17.06</t>
  </si>
  <si>
    <t>17.07</t>
  </si>
  <si>
    <t>17.08</t>
  </si>
  <si>
    <t>17.09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</si>
  <si>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</si>
  <si>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</si>
  <si>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</si>
  <si>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</si>
  <si>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</si>
  <si>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</si>
  <si>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</si>
  <si>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</si>
  <si>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</si>
  <si>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</si>
  <si>
    <t>17.20</t>
  </si>
  <si>
    <t>18.01</t>
  </si>
  <si>
    <t>18.02</t>
  </si>
  <si>
    <t>18.03</t>
  </si>
  <si>
    <t>18.04</t>
  </si>
  <si>
    <t>18.05</t>
  </si>
  <si>
    <t>18.06</t>
  </si>
  <si>
    <t>18.07</t>
  </si>
  <si>
    <t>18.08</t>
  </si>
  <si>
    <t>18.09</t>
  </si>
  <si>
    <t>18.10</t>
  </si>
  <si>
    <t>18.11</t>
  </si>
  <si>
    <t>18.12</t>
  </si>
  <si>
    <t>18.13</t>
  </si>
  <si>
    <t>18.14</t>
  </si>
  <si>
    <t>18.15</t>
  </si>
  <si>
    <t>18.16</t>
  </si>
  <si>
    <t>18.17</t>
  </si>
  <si>
    <t>18.18</t>
  </si>
  <si>
    <t>18.19</t>
  </si>
  <si>
    <t>18.20</t>
  </si>
  <si>
    <t>19.01</t>
  </si>
  <si>
    <t>19.02</t>
  </si>
  <si>
    <t>19.03</t>
  </si>
  <si>
    <t>19.04</t>
  </si>
  <si>
    <t>19.05</t>
  </si>
  <si>
    <t>19.06</t>
  </si>
  <si>
    <t>19.07</t>
  </si>
  <si>
    <t>19.08</t>
  </si>
  <si>
    <t>19.09</t>
  </si>
  <si>
    <t>19.10</t>
  </si>
  <si>
    <t>19.11</t>
  </si>
  <si>
    <t>19.12</t>
  </si>
  <si>
    <t>19.13</t>
  </si>
  <si>
    <t>19.14</t>
  </si>
  <si>
    <t>19.15</t>
  </si>
  <si>
    <t>19.16</t>
  </si>
  <si>
    <t>19.17</t>
  </si>
  <si>
    <t>19.18</t>
  </si>
  <si>
    <t>19.19</t>
  </si>
  <si>
    <t>19.20</t>
  </si>
  <si>
    <t>20.01</t>
  </si>
  <si>
    <t>20.02</t>
  </si>
  <si>
    <t>20.03</t>
  </si>
  <si>
    <t>20.04</t>
  </si>
  <si>
    <t>20.05</t>
  </si>
  <si>
    <t>20.06</t>
  </si>
  <si>
    <t>20.07</t>
  </si>
  <si>
    <t>20.08</t>
  </si>
  <si>
    <t>20.09</t>
  </si>
  <si>
    <t>20.10</t>
  </si>
  <si>
    <t>20.11</t>
  </si>
  <si>
    <t>20.12</t>
  </si>
  <si>
    <t>20.13</t>
  </si>
  <si>
    <t>20.14</t>
  </si>
  <si>
    <t>20.15</t>
  </si>
  <si>
    <t>20.16</t>
  </si>
  <si>
    <t>20.17</t>
  </si>
  <si>
    <t>20.18</t>
  </si>
  <si>
    <t>20.19</t>
  </si>
  <si>
    <t>20.20</t>
  </si>
  <si>
    <t>21.01</t>
  </si>
  <si>
    <t>21.02</t>
  </si>
  <si>
    <t>21.03</t>
  </si>
  <si>
    <t>21.04</t>
  </si>
  <si>
    <t>21.05</t>
  </si>
  <si>
    <t>21.06</t>
  </si>
  <si>
    <t>21.07</t>
  </si>
  <si>
    <t>21.08</t>
  </si>
  <si>
    <t>21.09</t>
  </si>
  <si>
    <t>21.10</t>
  </si>
  <si>
    <t>21.11</t>
  </si>
  <si>
    <t>21.12</t>
  </si>
  <si>
    <t>21.13</t>
  </si>
  <si>
    <t>21.14</t>
  </si>
  <si>
    <t>21.15</t>
  </si>
  <si>
    <t>21.16</t>
  </si>
  <si>
    <t>21.17</t>
  </si>
  <si>
    <t>21.18</t>
  </si>
  <si>
    <t>21.19</t>
  </si>
  <si>
    <t>21.20</t>
  </si>
  <si>
    <t>22.01</t>
  </si>
  <si>
    <t>22.02</t>
  </si>
  <si>
    <t>22.03</t>
  </si>
  <si>
    <t>22.04</t>
  </si>
  <si>
    <t>22.05</t>
  </si>
  <si>
    <t>22.06</t>
  </si>
  <si>
    <t>22.07</t>
  </si>
  <si>
    <t>22.08</t>
  </si>
  <si>
    <t>22.09</t>
  </si>
  <si>
    <t>22.10</t>
  </si>
  <si>
    <t>22.11</t>
  </si>
  <si>
    <t>22.12</t>
  </si>
  <si>
    <t>22.13</t>
  </si>
  <si>
    <t>22.14</t>
  </si>
  <si>
    <t>22.15</t>
  </si>
  <si>
    <t>22.16</t>
  </si>
  <si>
    <t>22.17</t>
  </si>
  <si>
    <t>22.18</t>
  </si>
  <si>
    <t>22.19</t>
  </si>
  <si>
    <t>22.20</t>
  </si>
  <si>
    <t>23.01</t>
  </si>
  <si>
    <t>23.02</t>
  </si>
  <si>
    <t>23.03</t>
  </si>
  <si>
    <t>23.04</t>
  </si>
  <si>
    <t>23.05</t>
  </si>
  <si>
    <t>23.06</t>
  </si>
  <si>
    <t>23.07</t>
  </si>
  <si>
    <t>23.08</t>
  </si>
  <si>
    <t>23.09</t>
  </si>
  <si>
    <t>23.10</t>
  </si>
  <si>
    <t>23.11</t>
  </si>
  <si>
    <t>23.12</t>
  </si>
  <si>
    <t>23.13</t>
  </si>
  <si>
    <t>23.14</t>
  </si>
  <si>
    <t>23.15</t>
  </si>
  <si>
    <t>23.16</t>
  </si>
  <si>
    <t>23.17</t>
  </si>
  <si>
    <t>23.18</t>
  </si>
  <si>
    <t>23.19</t>
  </si>
  <si>
    <t>23.20</t>
  </si>
  <si>
    <t>Código do Orçamento:</t>
  </si>
  <si>
    <t>Orçamentista:</t>
  </si>
  <si>
    <t>CUB ("n - 1"):</t>
  </si>
  <si>
    <t>Quantidade de CUBs:</t>
  </si>
  <si>
    <t>CUB de Referência</t>
  </si>
  <si>
    <t>Custo por m2 em CUBs:</t>
  </si>
  <si>
    <t>R16-A</t>
  </si>
  <si>
    <t>CUSTO TOTAL DA OBRA COM BDI:</t>
  </si>
  <si>
    <t>Exemplos de itens do Grupo:
Engenheiro, mestre-de-obra, encarregado, técnicos; estagiários, auxiliar adsministrativo, benefícios e outras despesas com pessoal próprio na obra, não relacionados a produção de serviços.</t>
  </si>
  <si>
    <t>Exemplos de itens do Grupo:
Tapume, limpeza de terreno, barraco de obra, instalações provisórias, controle de acesso, etc.</t>
  </si>
  <si>
    <t>Exemplos de itens do Grupo:
Gastos periódicos ou eventuais necessários a operação e manutenção do canteiro, como: coleta de entulho, consumos de água e energia, vigilância, material de expediente, plotagens, etc.</t>
  </si>
  <si>
    <t>Exemplos de itens do Grupo:
Programas de medicina e saúde ocupacional, proteções coletivas e demais gastos relacionados a segurança do trabalho.</t>
  </si>
  <si>
    <t>07. MOVIMENTO DE TERRA</t>
  </si>
  <si>
    <t>Exemplos de itens do Grupo:
Nivelamento de terreno, cortes, aterros, escavações, bota-fora de material, etc.</t>
  </si>
  <si>
    <t>08. FUNDAÇÕES E CONTENÇÕES</t>
  </si>
  <si>
    <t>Exemplos de itens do Grupo:
Estacas, blocos, sapatas, cortinas, contenções, etc.</t>
  </si>
  <si>
    <t>09. SUPERESTRUTURA</t>
  </si>
  <si>
    <t>Exemplos de itens do Grupo:
Forma, aço e concreto para vigas, pilares, lajes, escadas, rampas, etc.</t>
  </si>
  <si>
    <t>10. PAREDES E PAINÉIS</t>
  </si>
  <si>
    <t>Exemplos de itens do Grupo:
Tijolo cerâmico, bloco de concreto de vedação, gesso acartonado, divisórias, etc.</t>
  </si>
  <si>
    <t>11. COBERTURA</t>
  </si>
  <si>
    <t>Exemplos de itens do Grupo:
Telhas e estrutura de telhados e coberturas.</t>
  </si>
  <si>
    <t>IMPERMEABILIZAÇÃO E TRATAMENTOS</t>
  </si>
  <si>
    <t>12. IMPERMEABILIZAÇÃO E TRATAMENTOS</t>
  </si>
  <si>
    <t>Exemplos de itens do Grupo:
Impermeabilizações e tratamentos especiais como térmico e acústico.</t>
  </si>
  <si>
    <t>13. REVESTIMENTOS INTERNOS</t>
  </si>
  <si>
    <t>Exemplos de itens do Grupo:
Revestimentos internos de parede e teto, como: reboco, azulejo, gesso, etc.</t>
  </si>
  <si>
    <t>ORÇAMENTO DE OBRA</t>
  </si>
  <si>
    <t>14. REVESTIMENTO EXTERNO</t>
  </si>
  <si>
    <t>Exemplos de itens do Grupo:
Chapisco, emboço, cerâmica de fachada e outros locais externos da edificação.</t>
  </si>
  <si>
    <t>15. ESQUADRIAS DE MADEIRA</t>
  </si>
  <si>
    <t>Exemplos de itens do Grupo:
Portas, janelas e outros elementos de madeira.</t>
  </si>
  <si>
    <t>16. ESQUADRIAS DE ALUMÍNIO E VIDROS</t>
  </si>
  <si>
    <t>Exemplos de itens do Grupo:
Portas, janelas e outros elementos de alumínio e vidro.</t>
  </si>
  <si>
    <t>17. ESQUADRIAS DE FERRO</t>
  </si>
  <si>
    <t>Exemplos de itens do Grupo:
Portões, portas, janelas, guarda-corpo, escadas e outros elementos de ferro.</t>
  </si>
  <si>
    <t>18. PISOS INTERNOS</t>
  </si>
  <si>
    <t>Exemplos de itens do Grupo:
Enchimentos, contrapiso e revestimentos de pisos internos.</t>
  </si>
  <si>
    <t>INSTALAÇÕES ELÉTRICAS E ESPECIAIS</t>
  </si>
  <si>
    <t>20. INSTALAÇÕES HIDROSSANITÁRIAS</t>
  </si>
  <si>
    <t>Exemplos de itens do Grupo:
Elementos de instalações elétrica, telefonia, TV e outros, contendo quadros, caixas, cabos, fios, interruptores, tomadas e outros.</t>
  </si>
  <si>
    <t>19. INSTALAÇÕES ELÉTRICAS E ESPECIAIS</t>
  </si>
  <si>
    <t>Exemplos de itens do Grupo:
Elementos de instalações hidráulica, esgoto, águas pluviais, gás e outros, contendo caixas, tubos, registros e outros.</t>
  </si>
  <si>
    <t>ELEVADOR E EQUIPAMENTOS MECÂNICOS</t>
  </si>
  <si>
    <t>21. ELEVADOR E EQUIPAMENTOS MECÂNICOS</t>
  </si>
  <si>
    <t>Exemplos de itens do Grupo:
Elevador, escada rolante, monta-carga, ventilação mecânica, pressurização de escada e outros.</t>
  </si>
  <si>
    <t>22. LOUÇAS E METAIS</t>
  </si>
  <si>
    <t>Exemplos de itens do Grupo:
Vaso sanitário, mictório, cubas, lavatórios, torneiras, chuveiro e outros.</t>
  </si>
  <si>
    <t>23. PINTURA E LIMPEZA</t>
  </si>
  <si>
    <t>Exemplos de itens do Grupo:
Pintura interna e externa, limpeza grossa e limpeza fina.</t>
  </si>
  <si>
    <t>CUSTO</t>
  </si>
  <si>
    <t>BDI</t>
  </si>
  <si>
    <t>GERAL</t>
  </si>
  <si>
    <t>SIM</t>
  </si>
  <si>
    <t>BDI GERAL:</t>
  </si>
  <si>
    <t>Data:</t>
  </si>
  <si>
    <t>Revisão:</t>
  </si>
  <si>
    <t>00</t>
  </si>
  <si>
    <t>RESUMO DOS GRUPOS - CUSTOS</t>
  </si>
  <si>
    <t>RESUMO DOS GRUPOS - PREÇO DE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</si>
</sst>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0.00_)"/>
    <numFmt numFmtId="165" formatCode="0\ &quot;meses&quot;"/>
    <numFmt numFmtId="166" formatCode="&quot;R$ &quot;#,##0.00"/>
    <numFmt numFmtId="167" formatCode="#,##0.000"/>
    <numFmt numFmtId="168" formatCode="0.000"/>
    <numFmt numFmtId="169" formatCode="0.0000"/>
    <numFmt numFmtId="170" formatCode="_(* #,##0.00_);_(* \(#,##0.00\);_(* &quot;-&quot;??_);_(@_)"/>
    <numFmt numFmtId="171" formatCode="#,##0.000\ &quot;CUBs/AE&quot;"/>
    <numFmt numFmtId="172" formatCode="#,##0.000\ &quot;CUBs/AC&quot;"/>
    <numFmt numFmtId="173" formatCode="#,##0.00\ &quot;m²&quot;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sz val="10"/>
      <name val="Courier"/>
      <family val="3"/>
    </font>
    <font>
      <b/>
      <sz val="28"/>
      <name val="Calibri"/>
      <family val="2"/>
    </font>
    <font>
      <b/>
      <sz val="14"/>
      <name val="Calibri"/>
      <family val="2"/>
    </font>
    <font>
      <sz val="28"/>
      <name val="Calibri"/>
      <family val="2"/>
    </font>
    <font>
      <sz val="14"/>
      <name val="Calibri"/>
      <family val="2"/>
    </font>
    <font>
      <sz val="11"/>
      <name val="Arial"/>
      <family val="2"/>
    </font>
    <font>
      <sz val="14"/>
      <name val="Helv"/>
    </font>
    <font>
      <b/>
      <sz val="16"/>
      <name val="Calibri"/>
      <family val="2"/>
    </font>
    <font>
      <b/>
      <sz val="26"/>
      <name val="Calibri"/>
      <family val="2"/>
      <scheme val="minor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1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u/>
      <sz val="8.8000000000000007"/>
      <color theme="10"/>
      <name val="Calibri"/>
      <family val="2"/>
    </font>
    <font>
      <u/>
      <sz val="12"/>
      <color theme="10"/>
      <name val="Calibri"/>
      <family val="2"/>
    </font>
    <font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8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4" fillId="0" borderId="0"/>
    <xf numFmtId="0" fontId="9" fillId="0" borderId="0"/>
    <xf numFmtId="39" fontId="10" fillId="0" borderId="0"/>
    <xf numFmtId="0" fontId="22" fillId="0" borderId="0" applyNumberFormat="0" applyFill="0" applyBorder="0" applyAlignment="0" applyProtection="0">
      <alignment vertical="top"/>
      <protection locked="0"/>
    </xf>
  </cellStyleXfs>
  <cellXfs count="211">
    <xf numFmtId="0" fontId="0" fillId="0" borderId="0" xfId="0"/>
    <xf numFmtId="164" fontId="6" fillId="3" borderId="6" xfId="4" applyNumberFormat="1" applyFont="1" applyFill="1" applyBorder="1" applyAlignment="1" applyProtection="1">
      <alignment horizontal="left" vertical="center"/>
    </xf>
    <xf numFmtId="0" fontId="0" fillId="3" borderId="0" xfId="0" applyFill="1"/>
    <xf numFmtId="164" fontId="6" fillId="3" borderId="4" xfId="4" applyNumberFormat="1" applyFont="1" applyFill="1" applyBorder="1" applyAlignment="1" applyProtection="1">
      <alignment horizontal="left" vertical="center"/>
    </xf>
    <xf numFmtId="164" fontId="7" fillId="3" borderId="0" xfId="4" applyNumberFormat="1" applyFont="1" applyFill="1" applyBorder="1" applyAlignment="1" applyProtection="1">
      <alignment horizontal="left" vertical="center"/>
    </xf>
    <xf numFmtId="164" fontId="7" fillId="3" borderId="7" xfId="4" applyNumberFormat="1" applyFont="1" applyFill="1" applyBorder="1" applyAlignment="1" applyProtection="1">
      <alignment horizontal="left" vertical="center"/>
    </xf>
    <xf numFmtId="0" fontId="8" fillId="3" borderId="4" xfId="5" quotePrefix="1" applyFont="1" applyFill="1" applyBorder="1" applyAlignment="1" applyProtection="1">
      <alignment horizontal="left" vertical="center" wrapText="1"/>
    </xf>
    <xf numFmtId="0" fontId="8" fillId="3" borderId="0" xfId="5" quotePrefix="1" applyFont="1" applyFill="1" applyBorder="1" applyAlignment="1" applyProtection="1">
      <alignment horizontal="left" vertical="center" wrapText="1"/>
    </xf>
    <xf numFmtId="0" fontId="8" fillId="3" borderId="5" xfId="3" quotePrefix="1" applyFont="1" applyFill="1" applyBorder="1" applyAlignment="1" applyProtection="1">
      <alignment horizontal="left" vertical="center" wrapText="1"/>
    </xf>
    <xf numFmtId="0" fontId="6" fillId="3" borderId="4" xfId="5" applyFont="1" applyFill="1" applyBorder="1" applyAlignment="1" applyProtection="1">
      <alignment horizontal="left" vertical="center"/>
    </xf>
    <xf numFmtId="0" fontId="6" fillId="3" borderId="0" xfId="5" applyFont="1" applyFill="1" applyBorder="1" applyAlignment="1" applyProtection="1">
      <alignment horizontal="left" vertical="center"/>
    </xf>
    <xf numFmtId="0" fontId="8" fillId="3" borderId="5" xfId="3" applyFont="1" applyFill="1" applyBorder="1" applyAlignment="1" applyProtection="1">
      <alignment horizontal="left" vertical="center" wrapText="1"/>
    </xf>
    <xf numFmtId="0" fontId="8" fillId="3" borderId="4" xfId="5" quotePrefix="1" applyFont="1" applyFill="1" applyBorder="1" applyAlignment="1" applyProtection="1">
      <alignment horizontal="left" vertical="center"/>
    </xf>
    <xf numFmtId="0" fontId="8" fillId="3" borderId="0" xfId="5" quotePrefix="1" applyFont="1" applyFill="1" applyBorder="1" applyAlignment="1" applyProtection="1">
      <alignment horizontal="right" vertical="center"/>
    </xf>
    <xf numFmtId="0" fontId="8" fillId="3" borderId="4" xfId="5" applyFont="1" applyFill="1" applyBorder="1" applyAlignment="1" applyProtection="1">
      <alignment horizontal="left" vertical="center"/>
    </xf>
    <xf numFmtId="0" fontId="8" fillId="3" borderId="0" xfId="5" quotePrefix="1" applyFont="1" applyFill="1" applyBorder="1" applyAlignment="1" applyProtection="1">
      <alignment horizontal="left" vertical="center"/>
    </xf>
    <xf numFmtId="165" fontId="8" fillId="3" borderId="5" xfId="3" applyNumberFormat="1" applyFont="1" applyFill="1" applyBorder="1" applyAlignment="1" applyProtection="1">
      <alignment horizontal="left" vertical="center" wrapText="1"/>
    </xf>
    <xf numFmtId="14" fontId="8" fillId="3" borderId="5" xfId="3" applyNumberFormat="1" applyFont="1" applyFill="1" applyBorder="1" applyAlignment="1" applyProtection="1">
      <alignment horizontal="left" vertical="center" wrapText="1"/>
    </xf>
    <xf numFmtId="0" fontId="6" fillId="3" borderId="4" xfId="5" quotePrefix="1" applyFont="1" applyFill="1" applyBorder="1" applyAlignment="1" applyProtection="1">
      <alignment horizontal="left" vertical="center"/>
    </xf>
    <xf numFmtId="0" fontId="8" fillId="3" borderId="0" xfId="5" applyFont="1" applyFill="1" applyBorder="1" applyAlignment="1" applyProtection="1">
      <alignment horizontal="left" vertical="center"/>
    </xf>
    <xf numFmtId="10" fontId="8" fillId="3" borderId="5" xfId="3" quotePrefix="1" applyNumberFormat="1" applyFont="1" applyFill="1" applyBorder="1" applyAlignment="1" applyProtection="1">
      <alignment horizontal="left" vertical="center" wrapText="1"/>
    </xf>
    <xf numFmtId="9" fontId="8" fillId="3" borderId="5" xfId="3" quotePrefix="1" applyNumberFormat="1" applyFont="1" applyFill="1" applyBorder="1" applyAlignment="1" applyProtection="1">
      <alignment horizontal="left" vertical="center" wrapText="1"/>
    </xf>
    <xf numFmtId="17" fontId="8" fillId="3" borderId="5" xfId="3" quotePrefix="1" applyNumberFormat="1" applyFont="1" applyFill="1" applyBorder="1" applyAlignment="1" applyProtection="1">
      <alignment horizontal="left" vertical="center" wrapText="1"/>
    </xf>
    <xf numFmtId="167" fontId="8" fillId="3" borderId="5" xfId="3" quotePrefix="1" applyNumberFormat="1" applyFont="1" applyFill="1" applyBorder="1" applyAlignment="1" applyProtection="1">
      <alignment horizontal="left" vertical="center" wrapText="1"/>
    </xf>
    <xf numFmtId="0" fontId="6" fillId="3" borderId="0" xfId="5" quotePrefix="1" applyFont="1" applyFill="1" applyBorder="1" applyAlignment="1" applyProtection="1">
      <alignment horizontal="left" vertical="center"/>
    </xf>
    <xf numFmtId="0" fontId="6" fillId="3" borderId="5" xfId="3" quotePrefix="1" applyFont="1" applyFill="1" applyBorder="1" applyAlignment="1" applyProtection="1">
      <alignment horizontal="left" vertical="center" wrapText="1"/>
    </xf>
    <xf numFmtId="4" fontId="8" fillId="3" borderId="5" xfId="3" quotePrefix="1" applyNumberFormat="1" applyFont="1" applyFill="1" applyBorder="1" applyAlignment="1" applyProtection="1">
      <alignment horizontal="left" vertical="center" wrapText="1"/>
    </xf>
    <xf numFmtId="166" fontId="8" fillId="3" borderId="5" xfId="3" quotePrefix="1" applyNumberFormat="1" applyFont="1" applyFill="1" applyBorder="1" applyAlignment="1" applyProtection="1">
      <alignment horizontal="left" vertical="center" wrapText="1"/>
    </xf>
    <xf numFmtId="0" fontId="8" fillId="3" borderId="9" xfId="5" quotePrefix="1" applyFont="1" applyFill="1" applyBorder="1" applyAlignment="1" applyProtection="1">
      <alignment horizontal="left" vertical="center"/>
    </xf>
    <xf numFmtId="0" fontId="8" fillId="3" borderId="10" xfId="5" quotePrefix="1" applyFont="1" applyFill="1" applyBorder="1" applyAlignment="1" applyProtection="1">
      <alignment horizontal="left" vertical="center"/>
    </xf>
    <xf numFmtId="0" fontId="8" fillId="3" borderId="11" xfId="3" quotePrefix="1" applyFont="1" applyFill="1" applyBorder="1" applyAlignment="1" applyProtection="1">
      <alignment horizontal="left" vertical="center" wrapText="1"/>
    </xf>
    <xf numFmtId="0" fontId="6" fillId="2" borderId="4" xfId="5" applyFont="1" applyFill="1" applyBorder="1" applyAlignment="1" applyProtection="1">
      <alignment horizontal="left" vertical="center"/>
    </xf>
    <xf numFmtId="0" fontId="6" fillId="2" borderId="0" xfId="5" quotePrefix="1" applyFont="1" applyFill="1" applyBorder="1" applyAlignment="1" applyProtection="1">
      <alignment horizontal="right" vertical="center"/>
    </xf>
    <xf numFmtId="166" fontId="6" fillId="2" borderId="5" xfId="3" quotePrefix="1" applyNumberFormat="1" applyFont="1" applyFill="1" applyBorder="1" applyAlignment="1" applyProtection="1">
      <alignment horizontal="left" vertical="center" wrapText="1"/>
    </xf>
    <xf numFmtId="10" fontId="6" fillId="2" borderId="5" xfId="2" quotePrefix="1" applyNumberFormat="1" applyFont="1" applyFill="1" applyBorder="1" applyAlignment="1" applyProtection="1">
      <alignment horizontal="left" vertical="center" wrapText="1"/>
    </xf>
    <xf numFmtId="0" fontId="13" fillId="3" borderId="4" xfId="0" applyFont="1" applyFill="1" applyBorder="1"/>
    <xf numFmtId="1" fontId="14" fillId="3" borderId="0" xfId="0" applyNumberFormat="1" applyFont="1" applyFill="1" applyBorder="1" applyAlignment="1" applyProtection="1">
      <alignment horizontal="left"/>
    </xf>
    <xf numFmtId="1" fontId="15" fillId="3" borderId="0" xfId="0" applyNumberFormat="1" applyFont="1" applyFill="1" applyBorder="1" applyAlignment="1" applyProtection="1">
      <alignment horizontal="left"/>
    </xf>
    <xf numFmtId="4" fontId="15" fillId="3" borderId="0" xfId="0" applyNumberFormat="1" applyFont="1" applyFill="1" applyBorder="1" applyAlignment="1">
      <alignment horizontal="right"/>
    </xf>
    <xf numFmtId="49" fontId="15" fillId="3" borderId="0" xfId="0" applyNumberFormat="1" applyFont="1" applyFill="1" applyBorder="1" applyAlignment="1">
      <alignment horizontal="center"/>
    </xf>
    <xf numFmtId="4" fontId="14" fillId="3" borderId="0" xfId="0" applyNumberFormat="1" applyFont="1" applyFill="1" applyBorder="1" applyAlignment="1" applyProtection="1">
      <alignment horizontal="right"/>
    </xf>
    <xf numFmtId="4" fontId="15" fillId="3" borderId="0" xfId="0" applyNumberFormat="1" applyFont="1" applyFill="1" applyBorder="1" applyAlignment="1" applyProtection="1">
      <alignment horizontal="right"/>
    </xf>
    <xf numFmtId="4" fontId="13" fillId="3" borderId="5" xfId="0" applyNumberFormat="1" applyFont="1" applyFill="1" applyBorder="1" applyAlignment="1" applyProtection="1">
      <alignment horizontal="right"/>
    </xf>
    <xf numFmtId="4" fontId="15" fillId="3" borderId="0" xfId="0" applyNumberFormat="1" applyFont="1" applyFill="1" applyBorder="1" applyAlignment="1" applyProtection="1">
      <alignment horizontal="center"/>
    </xf>
    <xf numFmtId="170" fontId="13" fillId="3" borderId="4" xfId="1" applyNumberFormat="1" applyFont="1" applyFill="1" applyBorder="1"/>
    <xf numFmtId="170" fontId="15" fillId="3" borderId="0" xfId="1" applyNumberFormat="1" applyFont="1" applyFill="1" applyBorder="1" applyAlignment="1">
      <alignment horizontal="center"/>
    </xf>
    <xf numFmtId="170" fontId="15" fillId="3" borderId="0" xfId="1" applyNumberFormat="1" applyFont="1" applyFill="1" applyBorder="1" applyAlignment="1" applyProtection="1">
      <alignment horizontal="right"/>
    </xf>
    <xf numFmtId="10" fontId="16" fillId="3" borderId="0" xfId="2" applyNumberFormat="1" applyFont="1" applyFill="1" applyBorder="1" applyAlignment="1">
      <alignment horizontal="right"/>
    </xf>
    <xf numFmtId="10" fontId="16" fillId="3" borderId="0" xfId="2" applyNumberFormat="1" applyFont="1" applyFill="1" applyBorder="1" applyAlignment="1" applyProtection="1">
      <alignment horizontal="right"/>
    </xf>
    <xf numFmtId="1" fontId="17" fillId="3" borderId="0" xfId="0" quotePrefix="1" applyNumberFormat="1" applyFont="1" applyFill="1" applyBorder="1" applyAlignment="1" applyProtection="1">
      <alignment horizontal="left"/>
    </xf>
    <xf numFmtId="1" fontId="13" fillId="3" borderId="0" xfId="0" applyNumberFormat="1" applyFont="1" applyFill="1" applyBorder="1" applyAlignment="1" applyProtection="1">
      <alignment horizontal="left"/>
    </xf>
    <xf numFmtId="4" fontId="13" fillId="3" borderId="0" xfId="0" applyNumberFormat="1" applyFont="1" applyFill="1" applyBorder="1" applyAlignment="1">
      <alignment horizontal="right"/>
    </xf>
    <xf numFmtId="49" fontId="17" fillId="3" borderId="0" xfId="0" applyNumberFormat="1" applyFont="1" applyFill="1" applyBorder="1" applyAlignment="1" applyProtection="1">
      <alignment horizontal="center"/>
    </xf>
    <xf numFmtId="4" fontId="17" fillId="3" borderId="0" xfId="0" applyNumberFormat="1" applyFont="1" applyFill="1" applyBorder="1" applyAlignment="1" applyProtection="1">
      <alignment horizontal="right"/>
    </xf>
    <xf numFmtId="4" fontId="13" fillId="3" borderId="0" xfId="0" applyNumberFormat="1" applyFont="1" applyFill="1" applyBorder="1" applyAlignment="1" applyProtection="1">
      <alignment horizontal="right"/>
    </xf>
    <xf numFmtId="1" fontId="17" fillId="3" borderId="0" xfId="0" applyNumberFormat="1" applyFont="1" applyFill="1" applyBorder="1" applyAlignment="1" applyProtection="1"/>
    <xf numFmtId="49" fontId="17" fillId="3" borderId="0" xfId="0" applyNumberFormat="1" applyFont="1" applyFill="1" applyBorder="1" applyAlignment="1">
      <alignment horizontal="left" wrapText="1"/>
    </xf>
    <xf numFmtId="0" fontId="18" fillId="3" borderId="4" xfId="0" applyFont="1" applyFill="1" applyBorder="1" applyAlignment="1">
      <alignment vertical="center"/>
    </xf>
    <xf numFmtId="1" fontId="18" fillId="3" borderId="32" xfId="0" applyNumberFormat="1" applyFont="1" applyFill="1" applyBorder="1" applyAlignment="1">
      <alignment horizontal="center" vertical="center"/>
    </xf>
    <xf numFmtId="49" fontId="18" fillId="3" borderId="33" xfId="0" applyNumberFormat="1" applyFont="1" applyFill="1" applyBorder="1" applyAlignment="1">
      <alignment horizontal="left" vertical="center" wrapText="1"/>
    </xf>
    <xf numFmtId="170" fontId="18" fillId="3" borderId="33" xfId="1" applyNumberFormat="1" applyFont="1" applyFill="1" applyBorder="1" applyAlignment="1">
      <alignment horizontal="right" vertical="center"/>
    </xf>
    <xf numFmtId="170" fontId="18" fillId="3" borderId="33" xfId="1" applyNumberFormat="1" applyFont="1" applyFill="1" applyBorder="1" applyAlignment="1">
      <alignment horizontal="center" vertical="center"/>
    </xf>
    <xf numFmtId="170" fontId="18" fillId="3" borderId="34" xfId="1" applyNumberFormat="1" applyFont="1" applyFill="1" applyBorder="1" applyAlignment="1" applyProtection="1">
      <alignment horizontal="right" vertical="center"/>
    </xf>
    <xf numFmtId="170" fontId="18" fillId="3" borderId="5" xfId="1" applyNumberFormat="1" applyFont="1" applyFill="1" applyBorder="1" applyAlignment="1" applyProtection="1">
      <alignment horizontal="right" vertical="center"/>
    </xf>
    <xf numFmtId="49" fontId="15" fillId="3" borderId="32" xfId="0" applyNumberFormat="1" applyFont="1" applyFill="1" applyBorder="1" applyAlignment="1">
      <alignment horizontal="left" vertical="center" indent="1"/>
    </xf>
    <xf numFmtId="49" fontId="15" fillId="3" borderId="33" xfId="0" applyNumberFormat="1" applyFont="1" applyFill="1" applyBorder="1" applyAlignment="1">
      <alignment vertical="center" wrapText="1"/>
    </xf>
    <xf numFmtId="170" fontId="15" fillId="3" borderId="33" xfId="1" applyNumberFormat="1" applyFont="1" applyFill="1" applyBorder="1" applyAlignment="1">
      <alignment horizontal="right" vertical="center"/>
    </xf>
    <xf numFmtId="170" fontId="15" fillId="3" borderId="33" xfId="1" applyNumberFormat="1" applyFont="1" applyFill="1" applyBorder="1" applyAlignment="1">
      <alignment horizontal="center" vertical="center"/>
    </xf>
    <xf numFmtId="170" fontId="15" fillId="3" borderId="33" xfId="1" applyNumberFormat="1" applyFont="1" applyFill="1" applyBorder="1" applyAlignment="1" applyProtection="1">
      <alignment horizontal="right" vertical="center"/>
    </xf>
    <xf numFmtId="170" fontId="15" fillId="3" borderId="34" xfId="1" applyNumberFormat="1" applyFont="1" applyFill="1" applyBorder="1" applyAlignment="1" applyProtection="1">
      <alignment horizontal="right" vertical="center"/>
    </xf>
    <xf numFmtId="170" fontId="15" fillId="3" borderId="33" xfId="1" applyNumberFormat="1" applyFont="1" applyFill="1" applyBorder="1" applyAlignment="1" applyProtection="1">
      <alignment horizontal="center" vertical="center"/>
    </xf>
    <xf numFmtId="170" fontId="15" fillId="3" borderId="34" xfId="1" applyNumberFormat="1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vertical="center"/>
    </xf>
    <xf numFmtId="1" fontId="18" fillId="3" borderId="35" xfId="0" applyNumberFormat="1" applyFont="1" applyFill="1" applyBorder="1" applyAlignment="1">
      <alignment horizontal="center" vertical="center"/>
    </xf>
    <xf numFmtId="49" fontId="18" fillId="3" borderId="28" xfId="0" applyNumberFormat="1" applyFont="1" applyFill="1" applyBorder="1" applyAlignment="1">
      <alignment horizontal="left" vertical="center" wrapText="1"/>
    </xf>
    <xf numFmtId="170" fontId="18" fillId="3" borderId="28" xfId="1" applyNumberFormat="1" applyFont="1" applyFill="1" applyBorder="1" applyAlignment="1">
      <alignment horizontal="right" vertical="center"/>
    </xf>
    <xf numFmtId="170" fontId="18" fillId="3" borderId="28" xfId="1" applyNumberFormat="1" applyFont="1" applyFill="1" applyBorder="1" applyAlignment="1">
      <alignment horizontal="center" vertical="center"/>
    </xf>
    <xf numFmtId="170" fontId="18" fillId="3" borderId="36" xfId="1" applyNumberFormat="1" applyFont="1" applyFill="1" applyBorder="1" applyAlignment="1" applyProtection="1">
      <alignment horizontal="right" vertical="center"/>
    </xf>
    <xf numFmtId="170" fontId="18" fillId="3" borderId="11" xfId="1" applyNumberFormat="1" applyFont="1" applyFill="1" applyBorder="1" applyAlignment="1" applyProtection="1">
      <alignment horizontal="right" vertical="center"/>
    </xf>
    <xf numFmtId="49" fontId="8" fillId="3" borderId="0" xfId="6" applyNumberFormat="1" applyFont="1" applyFill="1" applyBorder="1" applyAlignment="1">
      <alignment horizontal="left"/>
    </xf>
    <xf numFmtId="4" fontId="8" fillId="3" borderId="0" xfId="6" applyNumberFormat="1" applyFont="1" applyFill="1" applyBorder="1" applyAlignment="1">
      <alignment horizontal="center"/>
    </xf>
    <xf numFmtId="49" fontId="8" fillId="3" borderId="0" xfId="6" applyNumberFormat="1" applyFont="1" applyFill="1" applyBorder="1" applyAlignment="1">
      <alignment horizontal="center"/>
    </xf>
    <xf numFmtId="1" fontId="8" fillId="3" borderId="4" xfId="6" applyNumberFormat="1" applyFont="1" applyFill="1" applyBorder="1" applyAlignment="1">
      <alignment horizontal="center"/>
    </xf>
    <xf numFmtId="49" fontId="8" fillId="3" borderId="5" xfId="6" applyNumberFormat="1" applyFont="1" applyFill="1" applyBorder="1" applyAlignment="1">
      <alignment horizontal="center"/>
    </xf>
    <xf numFmtId="4" fontId="6" fillId="3" borderId="13" xfId="6" quotePrefix="1" applyNumberFormat="1" applyFont="1" applyFill="1" applyBorder="1" applyAlignment="1" applyProtection="1">
      <alignment horizontal="center" vertical="center" wrapText="1"/>
    </xf>
    <xf numFmtId="49" fontId="6" fillId="3" borderId="13" xfId="6" applyNumberFormat="1" applyFont="1" applyFill="1" applyBorder="1" applyAlignment="1" applyProtection="1">
      <alignment horizontal="center" vertical="center" wrapText="1"/>
    </xf>
    <xf numFmtId="4" fontId="6" fillId="3" borderId="13" xfId="6" applyNumberFormat="1" applyFont="1" applyFill="1" applyBorder="1" applyAlignment="1" applyProtection="1">
      <alignment horizontal="center" vertical="center" wrapText="1"/>
    </xf>
    <xf numFmtId="4" fontId="6" fillId="3" borderId="14" xfId="6" applyNumberFormat="1" applyFont="1" applyFill="1" applyBorder="1" applyAlignment="1" applyProtection="1">
      <alignment horizontal="center" vertical="center" wrapText="1"/>
    </xf>
    <xf numFmtId="4" fontId="6" fillId="3" borderId="7" xfId="6" applyNumberFormat="1" applyFont="1" applyFill="1" applyBorder="1" applyAlignment="1" applyProtection="1">
      <alignment horizontal="center" vertical="center" wrapText="1"/>
    </xf>
    <xf numFmtId="49" fontId="6" fillId="3" borderId="7" xfId="6" applyNumberFormat="1" applyFont="1" applyFill="1" applyBorder="1" applyAlignment="1" applyProtection="1">
      <alignment horizontal="center" vertical="center" wrapText="1"/>
    </xf>
    <xf numFmtId="4" fontId="6" fillId="3" borderId="8" xfId="6" applyNumberFormat="1" applyFont="1" applyFill="1" applyBorder="1" applyAlignment="1" applyProtection="1">
      <alignment horizontal="center" vertical="center" wrapText="1"/>
    </xf>
    <xf numFmtId="1" fontId="3" fillId="3" borderId="4" xfId="6" applyNumberFormat="1" applyFont="1" applyFill="1" applyBorder="1" applyAlignment="1" applyProtection="1">
      <alignment horizontal="center" vertical="center"/>
    </xf>
    <xf numFmtId="49" fontId="3" fillId="3" borderId="0" xfId="6" applyNumberFormat="1" applyFont="1" applyFill="1" applyBorder="1" applyAlignment="1" applyProtection="1">
      <alignment horizontal="left" vertical="center"/>
    </xf>
    <xf numFmtId="10" fontId="3" fillId="3" borderId="0" xfId="2" applyNumberFormat="1" applyFont="1" applyFill="1" applyBorder="1" applyAlignment="1" applyProtection="1">
      <alignment horizontal="center" vertical="center"/>
    </xf>
    <xf numFmtId="168" fontId="3" fillId="3" borderId="0" xfId="2" applyNumberFormat="1" applyFont="1" applyFill="1" applyBorder="1" applyAlignment="1" applyProtection="1">
      <alignment horizontal="center" vertical="center"/>
    </xf>
    <xf numFmtId="4" fontId="3" fillId="3" borderId="0" xfId="6" applyNumberFormat="1" applyFont="1" applyFill="1" applyBorder="1" applyAlignment="1" applyProtection="1">
      <alignment horizontal="center" vertical="center"/>
    </xf>
    <xf numFmtId="4" fontId="3" fillId="3" borderId="5" xfId="6" applyNumberFormat="1" applyFont="1" applyFill="1" applyBorder="1" applyAlignment="1" applyProtection="1">
      <alignment horizontal="center" vertical="center"/>
    </xf>
    <xf numFmtId="49" fontId="3" fillId="3" borderId="4" xfId="6" applyNumberFormat="1" applyFont="1" applyFill="1" applyBorder="1" applyAlignment="1" applyProtection="1">
      <alignment horizontal="center" vertical="center"/>
    </xf>
    <xf numFmtId="169" fontId="3" fillId="3" borderId="0" xfId="2" applyNumberFormat="1" applyFont="1" applyFill="1" applyBorder="1" applyAlignment="1" applyProtection="1">
      <alignment horizontal="center" vertical="center"/>
    </xf>
    <xf numFmtId="4" fontId="3" fillId="3" borderId="5" xfId="1" applyNumberFormat="1" applyFont="1" applyFill="1" applyBorder="1" applyAlignment="1" applyProtection="1">
      <alignment horizontal="right" vertical="center" indent="2"/>
    </xf>
    <xf numFmtId="170" fontId="3" fillId="3" borderId="5" xfId="1" applyNumberFormat="1" applyFont="1" applyFill="1" applyBorder="1" applyAlignment="1" applyProtection="1">
      <alignment horizontal="left" vertical="center" indent="1"/>
    </xf>
    <xf numFmtId="49" fontId="14" fillId="3" borderId="29" xfId="0" applyNumberFormat="1" applyFont="1" applyFill="1" applyBorder="1" applyAlignment="1" applyProtection="1">
      <alignment horizontal="center" vertical="center"/>
    </xf>
    <xf numFmtId="4" fontId="14" fillId="3" borderId="30" xfId="0" applyNumberFormat="1" applyFont="1" applyFill="1" applyBorder="1" applyAlignment="1" applyProtection="1">
      <alignment horizontal="center" vertical="center"/>
    </xf>
    <xf numFmtId="0" fontId="15" fillId="2" borderId="1" xfId="0" applyFont="1" applyFill="1" applyBorder="1" applyAlignment="1">
      <alignment vertical="center"/>
    </xf>
    <xf numFmtId="49" fontId="14" fillId="2" borderId="2" xfId="0" applyNumberFormat="1" applyFont="1" applyFill="1" applyBorder="1" applyAlignment="1" applyProtection="1">
      <alignment horizontal="center" vertical="center"/>
    </xf>
    <xf numFmtId="49" fontId="19" fillId="2" borderId="2" xfId="0" applyNumberFormat="1" applyFont="1" applyFill="1" applyBorder="1" applyAlignment="1">
      <alignment horizontal="left" wrapText="1"/>
    </xf>
    <xf numFmtId="170" fontId="15" fillId="2" borderId="2" xfId="1" applyNumberFormat="1" applyFont="1" applyFill="1" applyBorder="1" applyAlignment="1">
      <alignment horizontal="right"/>
    </xf>
    <xf numFmtId="170" fontId="14" fillId="2" borderId="2" xfId="1" applyNumberFormat="1" applyFont="1" applyFill="1" applyBorder="1" applyAlignment="1">
      <alignment horizontal="center"/>
    </xf>
    <xf numFmtId="170" fontId="14" fillId="2" borderId="2" xfId="1" applyNumberFormat="1" applyFont="1" applyFill="1" applyBorder="1" applyAlignment="1">
      <alignment horizontal="right"/>
    </xf>
    <xf numFmtId="170" fontId="19" fillId="2" borderId="2" xfId="1" applyNumberFormat="1" applyFont="1" applyFill="1" applyBorder="1" applyAlignment="1">
      <alignment horizontal="right"/>
    </xf>
    <xf numFmtId="170" fontId="14" fillId="2" borderId="3" xfId="1" applyNumberFormat="1" applyFont="1" applyFill="1" applyBorder="1" applyAlignment="1">
      <alignment horizontal="right" vertical="center"/>
    </xf>
    <xf numFmtId="0" fontId="20" fillId="2" borderId="9" xfId="0" applyFont="1" applyFill="1" applyBorder="1" applyAlignment="1">
      <alignment vertical="center"/>
    </xf>
    <xf numFmtId="49" fontId="21" fillId="2" borderId="10" xfId="0" applyNumberFormat="1" applyFont="1" applyFill="1" applyBorder="1" applyAlignment="1" applyProtection="1">
      <alignment horizontal="center" vertical="center"/>
    </xf>
    <xf numFmtId="49" fontId="21" fillId="2" borderId="10" xfId="0" applyNumberFormat="1" applyFont="1" applyFill="1" applyBorder="1" applyAlignment="1">
      <alignment horizontal="left" vertical="center" wrapText="1"/>
    </xf>
    <xf numFmtId="170" fontId="20" fillId="2" borderId="10" xfId="1" applyNumberFormat="1" applyFont="1" applyFill="1" applyBorder="1" applyAlignment="1">
      <alignment horizontal="right" vertical="center"/>
    </xf>
    <xf numFmtId="170" fontId="21" fillId="2" borderId="10" xfId="1" applyNumberFormat="1" applyFont="1" applyFill="1" applyBorder="1" applyAlignment="1">
      <alignment horizontal="center" vertical="center"/>
    </xf>
    <xf numFmtId="10" fontId="20" fillId="2" borderId="10" xfId="2" applyNumberFormat="1" applyFont="1" applyFill="1" applyBorder="1" applyAlignment="1">
      <alignment horizontal="right" vertical="center"/>
    </xf>
    <xf numFmtId="170" fontId="21" fillId="2" borderId="10" xfId="1" applyNumberFormat="1" applyFont="1" applyFill="1" applyBorder="1" applyAlignment="1">
      <alignment horizontal="right" vertical="center"/>
    </xf>
    <xf numFmtId="170" fontId="21" fillId="2" borderId="11" xfId="1" applyNumberFormat="1" applyFont="1" applyFill="1" applyBorder="1" applyAlignment="1">
      <alignment horizontal="right" vertical="center"/>
    </xf>
    <xf numFmtId="10" fontId="11" fillId="2" borderId="16" xfId="2" applyNumberFormat="1" applyFont="1" applyFill="1" applyBorder="1" applyAlignment="1" applyProtection="1">
      <alignment horizontal="center" vertical="center"/>
    </xf>
    <xf numFmtId="2" fontId="11" fillId="2" borderId="16" xfId="1" applyNumberFormat="1" applyFont="1" applyFill="1" applyBorder="1" applyAlignment="1" applyProtection="1">
      <alignment horizontal="center" vertical="center"/>
    </xf>
    <xf numFmtId="4" fontId="11" fillId="2" borderId="16" xfId="6" applyNumberFormat="1" applyFont="1" applyFill="1" applyBorder="1" applyAlignment="1" applyProtection="1">
      <alignment horizontal="center" vertical="center"/>
    </xf>
    <xf numFmtId="170" fontId="11" fillId="2" borderId="17" xfId="1" applyNumberFormat="1" applyFont="1" applyFill="1" applyBorder="1" applyAlignment="1" applyProtection="1">
      <alignment horizontal="right" vertical="center" indent="1"/>
    </xf>
    <xf numFmtId="49" fontId="23" fillId="3" borderId="4" xfId="7" applyNumberFormat="1" applyFont="1" applyFill="1" applyBorder="1" applyAlignment="1" applyProtection="1">
      <alignment horizontal="center" vertical="center"/>
    </xf>
    <xf numFmtId="0" fontId="24" fillId="0" borderId="0" xfId="0" applyFont="1" applyAlignment="1">
      <alignment horizontal="center"/>
    </xf>
    <xf numFmtId="17" fontId="8" fillId="3" borderId="5" xfId="3" applyNumberFormat="1" applyFont="1" applyFill="1" applyBorder="1" applyAlignment="1" applyProtection="1">
      <alignment horizontal="left" vertical="center" wrapText="1"/>
    </xf>
    <xf numFmtId="171" fontId="8" fillId="3" borderId="5" xfId="3" quotePrefix="1" applyNumberFormat="1" applyFont="1" applyFill="1" applyBorder="1" applyAlignment="1" applyProtection="1">
      <alignment horizontal="left" vertical="center" wrapText="1"/>
    </xf>
    <xf numFmtId="172" fontId="8" fillId="3" borderId="5" xfId="3" quotePrefix="1" applyNumberFormat="1" applyFont="1" applyFill="1" applyBorder="1" applyAlignment="1" applyProtection="1">
      <alignment horizontal="left" vertical="center" wrapText="1"/>
    </xf>
    <xf numFmtId="0" fontId="8" fillId="3" borderId="0" xfId="3" quotePrefix="1" applyFont="1" applyFill="1" applyBorder="1" applyAlignment="1" applyProtection="1">
      <alignment horizontal="left" vertical="center" wrapText="1"/>
    </xf>
    <xf numFmtId="0" fontId="8" fillId="3" borderId="0" xfId="3" applyFont="1" applyFill="1" applyBorder="1" applyAlignment="1" applyProtection="1">
      <alignment horizontal="left" vertical="center" wrapText="1"/>
    </xf>
    <xf numFmtId="165" fontId="8" fillId="3" borderId="0" xfId="3" applyNumberFormat="1" applyFont="1" applyFill="1" applyBorder="1" applyAlignment="1" applyProtection="1">
      <alignment horizontal="left" vertical="center" wrapText="1"/>
    </xf>
    <xf numFmtId="14" fontId="8" fillId="3" borderId="0" xfId="3" applyNumberFormat="1" applyFont="1" applyFill="1" applyBorder="1" applyAlignment="1" applyProtection="1">
      <alignment horizontal="left" vertical="center" wrapText="1"/>
    </xf>
    <xf numFmtId="10" fontId="8" fillId="3" borderId="0" xfId="3" quotePrefix="1" applyNumberFormat="1" applyFont="1" applyFill="1" applyBorder="1" applyAlignment="1" applyProtection="1">
      <alignment horizontal="left" vertical="center" wrapText="1"/>
    </xf>
    <xf numFmtId="9" fontId="8" fillId="3" borderId="0" xfId="3" quotePrefix="1" applyNumberFormat="1" applyFont="1" applyFill="1" applyBorder="1" applyAlignment="1" applyProtection="1">
      <alignment horizontal="left" vertical="center" wrapText="1"/>
    </xf>
    <xf numFmtId="166" fontId="6" fillId="2" borderId="0" xfId="3" quotePrefix="1" applyNumberFormat="1" applyFont="1" applyFill="1" applyBorder="1" applyAlignment="1" applyProtection="1">
      <alignment horizontal="left" vertical="center" wrapText="1"/>
    </xf>
    <xf numFmtId="17" fontId="8" fillId="3" borderId="0" xfId="3" quotePrefix="1" applyNumberFormat="1" applyFont="1" applyFill="1" applyBorder="1" applyAlignment="1" applyProtection="1">
      <alignment horizontal="left" vertical="center" wrapText="1"/>
    </xf>
    <xf numFmtId="17" fontId="8" fillId="3" borderId="0" xfId="3" applyNumberFormat="1" applyFont="1" applyFill="1" applyBorder="1" applyAlignment="1" applyProtection="1">
      <alignment horizontal="left" vertical="center" wrapText="1"/>
    </xf>
    <xf numFmtId="167" fontId="8" fillId="3" borderId="0" xfId="3" quotePrefix="1" applyNumberFormat="1" applyFont="1" applyFill="1" applyBorder="1" applyAlignment="1" applyProtection="1">
      <alignment horizontal="left" vertical="center" wrapText="1"/>
    </xf>
    <xf numFmtId="0" fontId="6" fillId="3" borderId="0" xfId="3" quotePrefix="1" applyFont="1" applyFill="1" applyBorder="1" applyAlignment="1" applyProtection="1">
      <alignment horizontal="left" vertical="center" wrapText="1"/>
    </xf>
    <xf numFmtId="166" fontId="8" fillId="3" borderId="0" xfId="3" quotePrefix="1" applyNumberFormat="1" applyFont="1" applyFill="1" applyBorder="1" applyAlignment="1" applyProtection="1">
      <alignment horizontal="left" vertical="center" wrapText="1"/>
    </xf>
    <xf numFmtId="171" fontId="8" fillId="3" borderId="0" xfId="3" quotePrefix="1" applyNumberFormat="1" applyFont="1" applyFill="1" applyBorder="1" applyAlignment="1" applyProtection="1">
      <alignment horizontal="left" vertical="center" wrapText="1"/>
    </xf>
    <xf numFmtId="172" fontId="8" fillId="3" borderId="0" xfId="3" quotePrefix="1" applyNumberFormat="1" applyFont="1" applyFill="1" applyBorder="1" applyAlignment="1" applyProtection="1">
      <alignment horizontal="left" vertical="center" wrapText="1"/>
    </xf>
    <xf numFmtId="0" fontId="8" fillId="3" borderId="10" xfId="3" quotePrefix="1" applyFont="1" applyFill="1" applyBorder="1" applyAlignment="1" applyProtection="1">
      <alignment horizontal="left" vertical="center" wrapText="1"/>
    </xf>
    <xf numFmtId="0" fontId="8" fillId="3" borderId="14" xfId="3" quotePrefix="1" applyFont="1" applyFill="1" applyBorder="1" applyAlignment="1" applyProtection="1">
      <alignment horizontal="left" vertical="center" wrapText="1"/>
    </xf>
    <xf numFmtId="0" fontId="25" fillId="3" borderId="0" xfId="0" applyFont="1" applyFill="1" applyAlignment="1">
      <alignment horizontal="right" vertical="center"/>
    </xf>
    <xf numFmtId="0" fontId="25" fillId="3" borderId="7" xfId="0" applyFont="1" applyFill="1" applyBorder="1" applyAlignment="1">
      <alignment horizontal="right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0" fontId="26" fillId="0" borderId="0" xfId="0" applyFont="1"/>
    <xf numFmtId="43" fontId="26" fillId="0" borderId="0" xfId="1" applyFont="1"/>
    <xf numFmtId="43" fontId="26" fillId="0" borderId="0" xfId="0" applyNumberFormat="1" applyFont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43" fontId="3" fillId="3" borderId="0" xfId="1" applyFont="1" applyFill="1" applyBorder="1" applyAlignment="1" applyProtection="1">
      <alignment horizontal="center" vertical="center"/>
    </xf>
    <xf numFmtId="43" fontId="11" fillId="2" borderId="16" xfId="1" applyFont="1" applyFill="1" applyBorder="1" applyAlignment="1" applyProtection="1">
      <alignment horizontal="center" vertical="center"/>
    </xf>
    <xf numFmtId="10" fontId="6" fillId="2" borderId="16" xfId="2" applyNumberFormat="1" applyFont="1" applyFill="1" applyBorder="1" applyAlignment="1" applyProtection="1">
      <alignment horizontal="center" vertical="center"/>
    </xf>
    <xf numFmtId="14" fontId="6" fillId="3" borderId="5" xfId="4" applyNumberFormat="1" applyFont="1" applyFill="1" applyBorder="1" applyAlignment="1" applyProtection="1">
      <alignment horizontal="left" vertical="center"/>
    </xf>
    <xf numFmtId="49" fontId="6" fillId="3" borderId="8" xfId="4" applyNumberFormat="1" applyFont="1" applyFill="1" applyBorder="1" applyAlignment="1" applyProtection="1">
      <alignment horizontal="left" vertical="center"/>
    </xf>
    <xf numFmtId="167" fontId="8" fillId="3" borderId="37" xfId="3" quotePrefix="1" applyNumberFormat="1" applyFont="1" applyFill="1" applyBorder="1" applyAlignment="1" applyProtection="1">
      <alignment horizontal="left" vertical="center" wrapText="1"/>
    </xf>
    <xf numFmtId="173" fontId="8" fillId="3" borderId="37" xfId="3" quotePrefix="1" applyNumberFormat="1" applyFont="1" applyFill="1" applyBorder="1" applyAlignment="1" applyProtection="1">
      <alignment horizontal="left" vertical="center" wrapText="1"/>
    </xf>
    <xf numFmtId="10" fontId="8" fillId="3" borderId="37" xfId="3" quotePrefix="1" applyNumberFormat="1" applyFont="1" applyFill="1" applyBorder="1" applyAlignment="1" applyProtection="1">
      <alignment horizontal="left" vertical="center" wrapText="1"/>
    </xf>
    <xf numFmtId="10" fontId="6" fillId="2" borderId="37" xfId="2" quotePrefix="1" applyNumberFormat="1" applyFont="1" applyFill="1" applyBorder="1" applyAlignment="1" applyProtection="1">
      <alignment horizontal="left" vertical="center" wrapText="1"/>
    </xf>
    <xf numFmtId="0" fontId="8" fillId="3" borderId="0" xfId="3" applyFont="1" applyFill="1" applyBorder="1" applyAlignment="1" applyProtection="1">
      <alignment horizontal="left" vertical="center" wrapText="1"/>
    </xf>
    <xf numFmtId="0" fontId="8" fillId="3" borderId="5" xfId="3" applyFont="1" applyFill="1" applyBorder="1" applyAlignment="1" applyProtection="1">
      <alignment horizontal="left" vertical="center" wrapText="1"/>
    </xf>
    <xf numFmtId="164" fontId="5" fillId="3" borderId="1" xfId="4" applyNumberFormat="1" applyFont="1" applyFill="1" applyBorder="1" applyAlignment="1" applyProtection="1">
      <alignment horizontal="center" vertical="center"/>
    </xf>
    <xf numFmtId="164" fontId="5" fillId="3" borderId="2" xfId="4" applyNumberFormat="1" applyFont="1" applyFill="1" applyBorder="1" applyAlignment="1" applyProtection="1">
      <alignment horizontal="center" vertical="center"/>
    </xf>
    <xf numFmtId="164" fontId="5" fillId="3" borderId="3" xfId="4" applyNumberFormat="1" applyFont="1" applyFill="1" applyBorder="1" applyAlignment="1" applyProtection="1">
      <alignment horizontal="center" vertical="center"/>
    </xf>
    <xf numFmtId="49" fontId="5" fillId="3" borderId="1" xfId="6" applyNumberFormat="1" applyFont="1" applyFill="1" applyBorder="1" applyAlignment="1">
      <alignment horizontal="left" vertical="center" indent="1"/>
    </xf>
    <xf numFmtId="49" fontId="5" fillId="3" borderId="2" xfId="6" applyNumberFormat="1" applyFont="1" applyFill="1" applyBorder="1" applyAlignment="1">
      <alignment horizontal="left" vertical="center" indent="1"/>
    </xf>
    <xf numFmtId="49" fontId="5" fillId="3" borderId="3" xfId="6" applyNumberFormat="1" applyFont="1" applyFill="1" applyBorder="1" applyAlignment="1">
      <alignment horizontal="left" vertical="center" indent="1"/>
    </xf>
    <xf numFmtId="1" fontId="6" fillId="3" borderId="12" xfId="6" applyNumberFormat="1" applyFont="1" applyFill="1" applyBorder="1" applyAlignment="1" applyProtection="1">
      <alignment horizontal="center" vertical="center" wrapText="1"/>
    </xf>
    <xf numFmtId="1" fontId="6" fillId="3" borderId="6" xfId="6" applyNumberFormat="1" applyFont="1" applyFill="1" applyBorder="1" applyAlignment="1" applyProtection="1">
      <alignment horizontal="center" vertical="center" wrapText="1"/>
    </xf>
    <xf numFmtId="49" fontId="6" fillId="3" borderId="13" xfId="6" quotePrefix="1" applyNumberFormat="1" applyFont="1" applyFill="1" applyBorder="1" applyAlignment="1" applyProtection="1">
      <alignment horizontal="center" vertical="center" wrapText="1"/>
    </xf>
    <xf numFmtId="49" fontId="6" fillId="3" borderId="7" xfId="6" quotePrefix="1" applyNumberFormat="1" applyFont="1" applyFill="1" applyBorder="1" applyAlignment="1" applyProtection="1">
      <alignment horizontal="center" vertical="center" wrapText="1"/>
    </xf>
    <xf numFmtId="1" fontId="11" fillId="2" borderId="15" xfId="6" applyNumberFormat="1" applyFont="1" applyFill="1" applyBorder="1" applyAlignment="1" applyProtection="1">
      <alignment horizontal="center" vertical="center"/>
    </xf>
    <xf numFmtId="1" fontId="11" fillId="2" borderId="16" xfId="6" applyNumberFormat="1" applyFont="1" applyFill="1" applyBorder="1" applyAlignment="1" applyProtection="1">
      <alignment horizontal="center" vertical="center"/>
    </xf>
    <xf numFmtId="49" fontId="6" fillId="3" borderId="13" xfId="6" applyNumberFormat="1" applyFont="1" applyFill="1" applyBorder="1" applyAlignment="1" applyProtection="1">
      <alignment horizontal="center" vertical="center" wrapText="1"/>
    </xf>
    <xf numFmtId="1" fontId="12" fillId="2" borderId="15" xfId="0" quotePrefix="1" applyNumberFormat="1" applyFont="1" applyFill="1" applyBorder="1" applyAlignment="1" applyProtection="1">
      <alignment horizontal="left" vertical="center" indent="1"/>
    </xf>
    <xf numFmtId="1" fontId="12" fillId="2" borderId="16" xfId="0" applyNumberFormat="1" applyFont="1" applyFill="1" applyBorder="1" applyAlignment="1" applyProtection="1">
      <alignment horizontal="left" vertical="center" indent="1"/>
    </xf>
    <xf numFmtId="1" fontId="12" fillId="2" borderId="17" xfId="0" applyNumberFormat="1" applyFont="1" applyFill="1" applyBorder="1" applyAlignment="1" applyProtection="1">
      <alignment horizontal="left" vertical="center" indent="1"/>
    </xf>
    <xf numFmtId="1" fontId="15" fillId="3" borderId="0" xfId="0" applyNumberFormat="1" applyFont="1" applyFill="1" applyBorder="1" applyAlignment="1" applyProtection="1">
      <alignment horizontal="left" vertical="top" wrapText="1"/>
    </xf>
    <xf numFmtId="1" fontId="15" fillId="3" borderId="18" xfId="0" applyNumberFormat="1" applyFont="1" applyFill="1" applyBorder="1" applyAlignment="1" applyProtection="1">
      <alignment horizontal="left" vertical="top" wrapText="1"/>
    </xf>
    <xf numFmtId="1" fontId="14" fillId="3" borderId="1" xfId="0" applyNumberFormat="1" applyFont="1" applyFill="1" applyBorder="1" applyAlignment="1" applyProtection="1">
      <alignment horizontal="center" vertical="center"/>
    </xf>
    <xf numFmtId="1" fontId="14" fillId="3" borderId="19" xfId="0" applyNumberFormat="1" applyFont="1" applyFill="1" applyBorder="1" applyAlignment="1" applyProtection="1">
      <alignment horizontal="center" vertical="center"/>
    </xf>
    <xf numFmtId="1" fontId="14" fillId="3" borderId="9" xfId="0" applyNumberFormat="1" applyFont="1" applyFill="1" applyBorder="1" applyAlignment="1" applyProtection="1">
      <alignment horizontal="center" vertical="center"/>
    </xf>
    <xf numFmtId="1" fontId="14" fillId="3" borderId="26" xfId="0" applyNumberFormat="1" applyFont="1" applyFill="1" applyBorder="1" applyAlignment="1" applyProtection="1">
      <alignment horizontal="center" vertical="center"/>
    </xf>
    <xf numFmtId="49" fontId="14" fillId="3" borderId="20" xfId="0" applyNumberFormat="1" applyFont="1" applyFill="1" applyBorder="1" applyAlignment="1" applyProtection="1">
      <alignment horizontal="center" vertical="center" wrapText="1"/>
    </xf>
    <xf numFmtId="49" fontId="14" fillId="3" borderId="27" xfId="0" applyNumberFormat="1" applyFont="1" applyFill="1" applyBorder="1" applyAlignment="1" applyProtection="1">
      <alignment horizontal="center" vertical="center" wrapText="1"/>
    </xf>
    <xf numFmtId="4" fontId="14" fillId="3" borderId="21" xfId="0" applyNumberFormat="1" applyFont="1" applyFill="1" applyBorder="1" applyAlignment="1" applyProtection="1">
      <alignment horizontal="center" vertical="center"/>
    </xf>
    <xf numFmtId="4" fontId="14" fillId="3" borderId="28" xfId="0" applyNumberFormat="1" applyFont="1" applyFill="1" applyBorder="1" applyAlignment="1" applyProtection="1">
      <alignment horizontal="center" vertical="center"/>
    </xf>
    <xf numFmtId="49" fontId="14" fillId="3" borderId="21" xfId="0" applyNumberFormat="1" applyFont="1" applyFill="1" applyBorder="1" applyAlignment="1" applyProtection="1">
      <alignment horizontal="center" vertical="center"/>
    </xf>
    <xf numFmtId="49" fontId="14" fillId="3" borderId="28" xfId="0" applyNumberFormat="1" applyFont="1" applyFill="1" applyBorder="1" applyAlignment="1" applyProtection="1">
      <alignment horizontal="center" vertical="center"/>
    </xf>
    <xf numFmtId="4" fontId="14" fillId="3" borderId="22" xfId="0" applyNumberFormat="1" applyFont="1" applyFill="1" applyBorder="1" applyAlignment="1" applyProtection="1">
      <alignment horizontal="center" vertical="center"/>
    </xf>
    <xf numFmtId="4" fontId="14" fillId="3" borderId="23" xfId="0" applyNumberFormat="1" applyFont="1" applyFill="1" applyBorder="1" applyAlignment="1" applyProtection="1">
      <alignment horizontal="center" vertical="center"/>
    </xf>
    <xf numFmtId="4" fontId="14" fillId="3" borderId="24" xfId="0" applyNumberFormat="1" applyFont="1" applyFill="1" applyBorder="1" applyAlignment="1" applyProtection="1">
      <alignment horizontal="center" vertical="center"/>
    </xf>
    <xf numFmtId="4" fontId="14" fillId="3" borderId="25" xfId="0" applyNumberFormat="1" applyFont="1" applyFill="1" applyBorder="1" applyAlignment="1" applyProtection="1">
      <alignment horizontal="center" vertical="center"/>
    </xf>
    <xf numFmtId="4" fontId="14" fillId="3" borderId="3" xfId="0" applyNumberFormat="1" applyFont="1" applyFill="1" applyBorder="1" applyAlignment="1" applyProtection="1">
      <alignment horizontal="center" vertical="center"/>
    </xf>
    <xf numFmtId="4" fontId="14" fillId="3" borderId="31" xfId="0" applyNumberFormat="1" applyFont="1" applyFill="1" applyBorder="1" applyAlignment="1" applyProtection="1">
      <alignment horizontal="center" vertical="center"/>
    </xf>
    <xf numFmtId="4" fontId="14" fillId="3" borderId="11" xfId="0" applyNumberFormat="1" applyFont="1" applyFill="1" applyBorder="1" applyAlignment="1" applyProtection="1">
      <alignment horizontal="center" vertical="center"/>
    </xf>
    <xf numFmtId="1" fontId="12" fillId="2" borderId="15" xfId="0" applyNumberFormat="1" applyFont="1" applyFill="1" applyBorder="1" applyAlignment="1" applyProtection="1">
      <alignment horizontal="left" vertical="center" indent="1"/>
    </xf>
  </cellXfs>
  <cellStyles count="8">
    <cellStyle name="Hiperlink" xfId="7" builtinId="8"/>
    <cellStyle name="Normal" xfId="0" builtinId="0"/>
    <cellStyle name="Normal_Custo MODELO 2" xfId="4" xr:uid="{00000000-0005-0000-0000-000002000000}"/>
    <cellStyle name="Normal_ISABEL" xfId="3" xr:uid="{00000000-0005-0000-0000-000003000000}"/>
    <cellStyle name="Normal_LIST-MAT" xfId="5" xr:uid="{00000000-0005-0000-0000-000004000000}"/>
    <cellStyle name="Normal_Plan_Blue Family" xfId="6" xr:uid="{00000000-0005-0000-0000-000005000000}"/>
    <cellStyle name="Porcentagem" xfId="2" builtinId="5"/>
    <cellStyle name="Vírgula" xfId="1" builtinId="3"/>
  </cellStyles>
  <dxfs count="2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Custo por Grupo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Grupos</c:v>
          </c:tx>
          <c:invertIfNegative val="0"/>
          <c:cat>
            <c:strRef>
              <c:f>Dados!$C$2:$Y$2</c:f>
              <c:strCache>
                <c:ptCount val="23"/>
                <c:pt idx="0">
                  <c:v>01.</c:v>
                </c:pt>
                <c:pt idx="1">
                  <c:v>02.</c:v>
                </c:pt>
                <c:pt idx="2">
                  <c:v>03.</c:v>
                </c:pt>
                <c:pt idx="3">
                  <c:v>04.</c:v>
                </c:pt>
                <c:pt idx="4">
                  <c:v>05.</c:v>
                </c:pt>
                <c:pt idx="5">
                  <c:v>06.</c:v>
                </c:pt>
                <c:pt idx="6">
                  <c:v>07.</c:v>
                </c:pt>
                <c:pt idx="7">
                  <c:v>08.</c:v>
                </c:pt>
                <c:pt idx="8">
                  <c:v>09.</c:v>
                </c:pt>
                <c:pt idx="9">
                  <c:v>10.</c:v>
                </c:pt>
                <c:pt idx="10">
                  <c:v>11.</c:v>
                </c:pt>
                <c:pt idx="11">
                  <c:v>12.</c:v>
                </c:pt>
                <c:pt idx="12">
                  <c:v>13.</c:v>
                </c:pt>
                <c:pt idx="13">
                  <c:v>14.</c:v>
                </c:pt>
                <c:pt idx="14">
                  <c:v>15.</c:v>
                </c:pt>
                <c:pt idx="15">
                  <c:v>16.</c:v>
                </c:pt>
                <c:pt idx="16">
                  <c:v>17.</c:v>
                </c:pt>
                <c:pt idx="17">
                  <c:v>18.</c:v>
                </c:pt>
                <c:pt idx="18">
                  <c:v>19.</c:v>
                </c:pt>
                <c:pt idx="19">
                  <c:v>20.</c:v>
                </c:pt>
                <c:pt idx="20">
                  <c:v>21.</c:v>
                </c:pt>
                <c:pt idx="21">
                  <c:v>22.</c:v>
                </c:pt>
                <c:pt idx="22">
                  <c:v>23.</c:v>
                </c:pt>
              </c:strCache>
            </c:strRef>
          </c:cat>
          <c:val>
            <c:numRef>
              <c:f>Dados!$C$7:$Y$7</c:f>
              <c:numCache>
                <c:formatCode>_(* #,##0.00_);_(* \(#,##0.00\);_(* "-"??_);_(@_)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3-104F-9C31-9C6C7EBD7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82329600"/>
        <c:axId val="82331136"/>
      </c:barChart>
      <c:catAx>
        <c:axId val="8232960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crossAx val="82331136"/>
        <c:crosses val="autoZero"/>
        <c:auto val="1"/>
        <c:lblAlgn val="ctr"/>
        <c:lblOffset val="100"/>
        <c:noMultiLvlLbl val="0"/>
      </c:catAx>
      <c:valAx>
        <c:axId val="82331136"/>
        <c:scaling>
          <c:orientation val="minMax"/>
        </c:scaling>
        <c:delete val="0"/>
        <c:axPos val="l"/>
        <c:majorGridlines/>
        <c:numFmt formatCode="#,##0.00" sourceLinked="0"/>
        <c:majorTickMark val="none"/>
        <c:minorTickMark val="none"/>
        <c:tickLblPos val="nextTo"/>
        <c:spPr>
          <a:ln w="9525">
            <a:noFill/>
          </a:ln>
        </c:spPr>
        <c:crossAx val="8232960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47" footer="0.3149606200000004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Distribuição dos Custos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Dados!$B$3:$B$6</c:f>
              <c:strCache>
                <c:ptCount val="4"/>
                <c:pt idx="0">
                  <c:v>Material</c:v>
                </c:pt>
                <c:pt idx="1">
                  <c:v>Mão-de-obra</c:v>
                </c:pt>
                <c:pt idx="2">
                  <c:v>Equipamento</c:v>
                </c:pt>
                <c:pt idx="3">
                  <c:v>Serviço</c:v>
                </c:pt>
              </c:strCache>
            </c:strRef>
          </c:cat>
          <c:val>
            <c:numRef>
              <c:f>Dados!$Z$3:$Z$6</c:f>
              <c:numCache>
                <c:formatCode>_(* #,##0.00_);_(* \(#,##0.00\);_(*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5-CC44-8A43-BA1E07A94A9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>
            <a:defRPr sz="1400"/>
          </a:pPr>
          <a:endParaRPr lang="pt-B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47" footer="0.31496062000000047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ORC_Custo!A1" /><Relationship Id="rId2" Type="http://schemas.openxmlformats.org/officeDocument/2006/relationships/image" Target="../media/image1.png" /><Relationship Id="rId1" Type="http://schemas.openxmlformats.org/officeDocument/2006/relationships/hyperlink" Target="#DSHB!A1" /><Relationship Id="rId4" Type="http://schemas.openxmlformats.org/officeDocument/2006/relationships/hyperlink" Target="#ORC_PV!A1" 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hyperlink" Target="#Frente!A1" 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hyperlink" Target="#Frente!A1" 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ORC_Custo!A1" /><Relationship Id="rId2" Type="http://schemas.openxmlformats.org/officeDocument/2006/relationships/image" Target="../media/image2.png" /><Relationship Id="rId1" Type="http://schemas.openxmlformats.org/officeDocument/2006/relationships/hyperlink" Target="#Frente!A1" /><Relationship Id="rId4" Type="http://schemas.openxmlformats.org/officeDocument/2006/relationships/image" Target="../media/image3.png" 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ORC_Custo!A1" /><Relationship Id="rId2" Type="http://schemas.openxmlformats.org/officeDocument/2006/relationships/image" Target="../media/image2.png" /><Relationship Id="rId1" Type="http://schemas.openxmlformats.org/officeDocument/2006/relationships/hyperlink" Target="#Frente!A1" /><Relationship Id="rId4" Type="http://schemas.openxmlformats.org/officeDocument/2006/relationships/image" Target="../media/image3.png" 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ORC_Custo!A1" /><Relationship Id="rId2" Type="http://schemas.openxmlformats.org/officeDocument/2006/relationships/image" Target="../media/image2.png" /><Relationship Id="rId1" Type="http://schemas.openxmlformats.org/officeDocument/2006/relationships/hyperlink" Target="#Frente!A1" /><Relationship Id="rId4" Type="http://schemas.openxmlformats.org/officeDocument/2006/relationships/image" Target="../media/image3.png" 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ORC_Custo!A1" /><Relationship Id="rId2" Type="http://schemas.openxmlformats.org/officeDocument/2006/relationships/image" Target="../media/image2.png" /><Relationship Id="rId1" Type="http://schemas.openxmlformats.org/officeDocument/2006/relationships/hyperlink" Target="#Frente!A1" /><Relationship Id="rId4" Type="http://schemas.openxmlformats.org/officeDocument/2006/relationships/image" Target="../media/image3.png" 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ORC_Custo!A1" /><Relationship Id="rId2" Type="http://schemas.openxmlformats.org/officeDocument/2006/relationships/image" Target="../media/image2.png" /><Relationship Id="rId1" Type="http://schemas.openxmlformats.org/officeDocument/2006/relationships/hyperlink" Target="#Frente!A1" /><Relationship Id="rId4" Type="http://schemas.openxmlformats.org/officeDocument/2006/relationships/image" Target="../media/image3.png" 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ORC_Custo!A1" /><Relationship Id="rId2" Type="http://schemas.openxmlformats.org/officeDocument/2006/relationships/image" Target="../media/image2.png" /><Relationship Id="rId1" Type="http://schemas.openxmlformats.org/officeDocument/2006/relationships/hyperlink" Target="#Frente!A1" /><Relationship Id="rId4" Type="http://schemas.openxmlformats.org/officeDocument/2006/relationships/image" Target="../media/image3.png" 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ORC_Custo!A1" /><Relationship Id="rId2" Type="http://schemas.openxmlformats.org/officeDocument/2006/relationships/image" Target="../media/image2.png" /><Relationship Id="rId1" Type="http://schemas.openxmlformats.org/officeDocument/2006/relationships/hyperlink" Target="#Frente!A1" /><Relationship Id="rId4" Type="http://schemas.openxmlformats.org/officeDocument/2006/relationships/image" Target="../media/image3.png" 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ORC_Custo!A1" /><Relationship Id="rId2" Type="http://schemas.openxmlformats.org/officeDocument/2006/relationships/image" Target="../media/image2.png" /><Relationship Id="rId1" Type="http://schemas.openxmlformats.org/officeDocument/2006/relationships/hyperlink" Target="#Frente!A1" /><Relationship Id="rId4" Type="http://schemas.openxmlformats.org/officeDocument/2006/relationships/image" Target="../media/image3.png" 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ORC_Custo!A1" /><Relationship Id="rId2" Type="http://schemas.openxmlformats.org/officeDocument/2006/relationships/image" Target="../media/image2.png" /><Relationship Id="rId1" Type="http://schemas.openxmlformats.org/officeDocument/2006/relationships/hyperlink" Target="#Frente!A1" /><Relationship Id="rId4" Type="http://schemas.openxmlformats.org/officeDocument/2006/relationships/image" Target="../media/image3.png" 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ORC_Custo!A1" /><Relationship Id="rId2" Type="http://schemas.openxmlformats.org/officeDocument/2006/relationships/image" Target="../media/image2.png" /><Relationship Id="rId1" Type="http://schemas.openxmlformats.org/officeDocument/2006/relationships/hyperlink" Target="#Frente!A1" /><Relationship Id="rId4" Type="http://schemas.openxmlformats.org/officeDocument/2006/relationships/image" Target="../media/image3.png" 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ORC_Custo!A1" /><Relationship Id="rId2" Type="http://schemas.openxmlformats.org/officeDocument/2006/relationships/image" Target="../media/image2.png" /><Relationship Id="rId1" Type="http://schemas.openxmlformats.org/officeDocument/2006/relationships/hyperlink" Target="#Frente!A1" /><Relationship Id="rId4" Type="http://schemas.openxmlformats.org/officeDocument/2006/relationships/image" Target="../media/image3.png" 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#ORC_Custo!A1" /><Relationship Id="rId2" Type="http://schemas.openxmlformats.org/officeDocument/2006/relationships/image" Target="../media/image2.png" /><Relationship Id="rId1" Type="http://schemas.openxmlformats.org/officeDocument/2006/relationships/hyperlink" Target="#Frente!A1" /><Relationship Id="rId4" Type="http://schemas.openxmlformats.org/officeDocument/2006/relationships/image" Target="../media/image3.png" 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ORC_Custo!A1" /><Relationship Id="rId2" Type="http://schemas.openxmlformats.org/officeDocument/2006/relationships/image" Target="../media/image2.png" /><Relationship Id="rId1" Type="http://schemas.openxmlformats.org/officeDocument/2006/relationships/hyperlink" Target="#Frente!A1" /><Relationship Id="rId4" Type="http://schemas.openxmlformats.org/officeDocument/2006/relationships/image" Target="../media/image3.png" 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hyperlink" Target="#ORC_Custo!A1" /><Relationship Id="rId2" Type="http://schemas.openxmlformats.org/officeDocument/2006/relationships/image" Target="../media/image2.png" /><Relationship Id="rId1" Type="http://schemas.openxmlformats.org/officeDocument/2006/relationships/hyperlink" Target="#Frente!A1" /><Relationship Id="rId4" Type="http://schemas.openxmlformats.org/officeDocument/2006/relationships/image" Target="../media/image3.png" 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ORC_Custo!A1" /><Relationship Id="rId2" Type="http://schemas.openxmlformats.org/officeDocument/2006/relationships/image" Target="../media/image2.png" /><Relationship Id="rId1" Type="http://schemas.openxmlformats.org/officeDocument/2006/relationships/hyperlink" Target="#Frente!A1" /><Relationship Id="rId4" Type="http://schemas.openxmlformats.org/officeDocument/2006/relationships/image" Target="../media/image3.png" 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hyperlink" Target="#ORC_Custo!A1" /><Relationship Id="rId2" Type="http://schemas.openxmlformats.org/officeDocument/2006/relationships/image" Target="../media/image2.png" /><Relationship Id="rId1" Type="http://schemas.openxmlformats.org/officeDocument/2006/relationships/hyperlink" Target="#Frente!A1" /><Relationship Id="rId4" Type="http://schemas.openxmlformats.org/officeDocument/2006/relationships/image" Target="../media/image3.png" 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hyperlink" Target="#ORC_Custo!A1" /><Relationship Id="rId2" Type="http://schemas.openxmlformats.org/officeDocument/2006/relationships/image" Target="../media/image2.png" /><Relationship Id="rId1" Type="http://schemas.openxmlformats.org/officeDocument/2006/relationships/hyperlink" Target="#Frente!A1" /><Relationship Id="rId4" Type="http://schemas.openxmlformats.org/officeDocument/2006/relationships/image" Target="../media/image3.png" 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hyperlink" Target="#ORC_Custo!A1" /><Relationship Id="rId2" Type="http://schemas.openxmlformats.org/officeDocument/2006/relationships/image" Target="../media/image2.png" /><Relationship Id="rId1" Type="http://schemas.openxmlformats.org/officeDocument/2006/relationships/hyperlink" Target="#Frente!A1" /><Relationship Id="rId4" Type="http://schemas.openxmlformats.org/officeDocument/2006/relationships/image" Target="../media/image3.png" 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ORC_Custo!A1" /><Relationship Id="rId2" Type="http://schemas.openxmlformats.org/officeDocument/2006/relationships/image" Target="../media/image2.png" /><Relationship Id="rId1" Type="http://schemas.openxmlformats.org/officeDocument/2006/relationships/hyperlink" Target="#Frente!A1" /><Relationship Id="rId4" Type="http://schemas.openxmlformats.org/officeDocument/2006/relationships/image" Target="../media/image3.png" 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#ORC_Custo!A1" /><Relationship Id="rId2" Type="http://schemas.openxmlformats.org/officeDocument/2006/relationships/image" Target="../media/image2.png" /><Relationship Id="rId1" Type="http://schemas.openxmlformats.org/officeDocument/2006/relationships/hyperlink" Target="#Frente!A1" /><Relationship Id="rId4" Type="http://schemas.openxmlformats.org/officeDocument/2006/relationships/image" Target="../media/image3.png" 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hyperlink" Target="#ORC_Custo!A1" /><Relationship Id="rId2" Type="http://schemas.openxmlformats.org/officeDocument/2006/relationships/image" Target="../media/image2.png" /><Relationship Id="rId1" Type="http://schemas.openxmlformats.org/officeDocument/2006/relationships/hyperlink" Target="#Frente!A1" /><Relationship Id="rId4" Type="http://schemas.openxmlformats.org/officeDocument/2006/relationships/image" Target="../media/image3.png" 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hyperlink" Target="#ORC_Custo!A1" /><Relationship Id="rId2" Type="http://schemas.openxmlformats.org/officeDocument/2006/relationships/image" Target="../media/image2.png" /><Relationship Id="rId1" Type="http://schemas.openxmlformats.org/officeDocument/2006/relationships/hyperlink" Target="#Frente!A1" /><Relationship Id="rId4" Type="http://schemas.openxmlformats.org/officeDocument/2006/relationships/image" Target="../media/image3.png" 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hyperlink" Target="#ORC_Custo!A1" /><Relationship Id="rId2" Type="http://schemas.openxmlformats.org/officeDocument/2006/relationships/image" Target="../media/image2.png" /><Relationship Id="rId1" Type="http://schemas.openxmlformats.org/officeDocument/2006/relationships/hyperlink" Target="#Frente!A1" /><Relationship Id="rId4" Type="http://schemas.openxmlformats.org/officeDocument/2006/relationships/image" Target="../media/image3.png" 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hyperlink" Target="#Frente!A1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6" Type="http://schemas.openxmlformats.org/officeDocument/2006/relationships/image" Target="../media/image3.png" /><Relationship Id="rId5" Type="http://schemas.openxmlformats.org/officeDocument/2006/relationships/hyperlink" Target="#ORC_Custo!A1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243656</xdr:colOff>
      <xdr:row>47</xdr:row>
      <xdr:rowOff>81278</xdr:rowOff>
    </xdr:from>
    <xdr:to>
      <xdr:col>4</xdr:col>
      <xdr:colOff>1092101</xdr:colOff>
      <xdr:row>47</xdr:row>
      <xdr:rowOff>621278</xdr:rowOff>
    </xdr:to>
    <xdr:pic>
      <xdr:nvPicPr>
        <xdr:cNvPr id="3" name="Imagem 2" descr="bar-chart-297122_960_720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56500" y="11642247"/>
          <a:ext cx="848445" cy="540000"/>
        </a:xfrm>
        <a:prstGeom prst="rect">
          <a:avLst/>
        </a:prstGeom>
      </xdr:spPr>
    </xdr:pic>
    <xdr:clientData/>
  </xdr:twoCellAnchor>
  <xdr:twoCellAnchor>
    <xdr:from>
      <xdr:col>1</xdr:col>
      <xdr:colOff>238151</xdr:colOff>
      <xdr:row>47</xdr:row>
      <xdr:rowOff>99278</xdr:rowOff>
    </xdr:from>
    <xdr:to>
      <xdr:col>1</xdr:col>
      <xdr:colOff>2345557</xdr:colOff>
      <xdr:row>47</xdr:row>
      <xdr:rowOff>603278</xdr:rowOff>
    </xdr:to>
    <xdr:sp macro="" textlink="">
      <xdr:nvSpPr>
        <xdr:cNvPr id="5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04839" y="11660247"/>
          <a:ext cx="2107406" cy="504000"/>
        </a:xfrm>
        <a:prstGeom prst="roundRect">
          <a:avLst/>
        </a:prstGeom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 b="1"/>
            <a:t>ORÇAMENTO</a:t>
          </a:r>
          <a:r>
            <a:rPr lang="pt-BR" sz="1100" b="1" baseline="0"/>
            <a:t> - CUSTO</a:t>
          </a:r>
          <a:endParaRPr lang="pt-BR" sz="1100" b="1"/>
        </a:p>
      </xdr:txBody>
    </xdr:sp>
    <xdr:clientData/>
  </xdr:twoCellAnchor>
  <xdr:twoCellAnchor>
    <xdr:from>
      <xdr:col>1</xdr:col>
      <xdr:colOff>3723480</xdr:colOff>
      <xdr:row>47</xdr:row>
      <xdr:rowOff>99278</xdr:rowOff>
    </xdr:from>
    <xdr:to>
      <xdr:col>3</xdr:col>
      <xdr:colOff>842170</xdr:colOff>
      <xdr:row>47</xdr:row>
      <xdr:rowOff>603278</xdr:rowOff>
    </xdr:to>
    <xdr:sp macro="" textlink="">
      <xdr:nvSpPr>
        <xdr:cNvPr id="6" name="Retângulo de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890168" y="11660247"/>
          <a:ext cx="2488408" cy="504000"/>
        </a:xfrm>
        <a:prstGeom prst="roundRect">
          <a:avLst/>
        </a:prstGeom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 b="1"/>
            <a:t>ORÇAMENTO</a:t>
          </a:r>
          <a:r>
            <a:rPr lang="pt-BR" sz="1100" b="1" baseline="0"/>
            <a:t> - PREÇO DE VENDA</a:t>
          </a:r>
          <a:endParaRPr lang="pt-BR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1083470</xdr:colOff>
      <xdr:row>1</xdr:row>
      <xdr:rowOff>83343</xdr:rowOff>
    </xdr:from>
    <xdr:to>
      <xdr:col>6</xdr:col>
      <xdr:colOff>1553498</xdr:colOff>
      <xdr:row>1</xdr:row>
      <xdr:rowOff>551343</xdr:rowOff>
    </xdr:to>
    <xdr:pic>
      <xdr:nvPicPr>
        <xdr:cNvPr id="2" name="Picture 6" descr="C:\Users\TOSHIBA\AppData\Local\Microsoft\Windows\Temporary Internet Files\Content.IE5\IA7OK92C\house-308936_64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274970" y="285749"/>
          <a:ext cx="470028" cy="468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1083470</xdr:colOff>
      <xdr:row>1</xdr:row>
      <xdr:rowOff>83343</xdr:rowOff>
    </xdr:from>
    <xdr:to>
      <xdr:col>6</xdr:col>
      <xdr:colOff>1553498</xdr:colOff>
      <xdr:row>1</xdr:row>
      <xdr:rowOff>551343</xdr:rowOff>
    </xdr:to>
    <xdr:pic>
      <xdr:nvPicPr>
        <xdr:cNvPr id="2" name="Picture 6" descr="C:\Users\TOSHIBA\AppData\Local\Microsoft\Windows\Temporary Internet Files\Content.IE5\IA7OK92C\house-308936_64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265445" y="283368"/>
          <a:ext cx="470028" cy="468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859502</xdr:colOff>
      <xdr:row>1</xdr:row>
      <xdr:rowOff>87313</xdr:rowOff>
    </xdr:from>
    <xdr:to>
      <xdr:col>11</xdr:col>
      <xdr:colOff>79374</xdr:colOff>
      <xdr:row>1</xdr:row>
      <xdr:rowOff>555313</xdr:rowOff>
    </xdr:to>
    <xdr:pic>
      <xdr:nvPicPr>
        <xdr:cNvPr id="4102" name="Picture 6" descr="C:\Users\TOSHIBA\AppData\Local\Microsoft\Windows\Temporary Internet Files\Content.IE5\IA7OK92C\house-308936_64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027565" y="289719"/>
          <a:ext cx="470028" cy="468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386415</xdr:colOff>
      <xdr:row>1</xdr:row>
      <xdr:rowOff>111125</xdr:rowOff>
    </xdr:from>
    <xdr:to>
      <xdr:col>10</xdr:col>
      <xdr:colOff>855911</xdr:colOff>
      <xdr:row>1</xdr:row>
      <xdr:rowOff>579125</xdr:rowOff>
    </xdr:to>
    <xdr:pic>
      <xdr:nvPicPr>
        <xdr:cNvPr id="4106" name="Picture 10" descr="C:\Users\TOSHIBA\AppData\Local\Microsoft\Windows\Temporary Internet Files\Content.IE5\349RBGJU\Infobox_info_icon.svg[1]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554478" y="313531"/>
          <a:ext cx="469496" cy="46800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849586</xdr:colOff>
      <xdr:row>1</xdr:row>
      <xdr:rowOff>95248</xdr:rowOff>
    </xdr:from>
    <xdr:to>
      <xdr:col>11</xdr:col>
      <xdr:colOff>71436</xdr:colOff>
      <xdr:row>1</xdr:row>
      <xdr:rowOff>563248</xdr:rowOff>
    </xdr:to>
    <xdr:pic>
      <xdr:nvPicPr>
        <xdr:cNvPr id="12" name="Picture 6" descr="C:\Users\TOSHIBA\AppData\Local\Microsoft\Windows\Temporary Internet Files\Content.IE5\IA7OK92C\house-308936_64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017649" y="297654"/>
          <a:ext cx="472006" cy="468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374508</xdr:colOff>
      <xdr:row>1</xdr:row>
      <xdr:rowOff>119060</xdr:rowOff>
    </xdr:from>
    <xdr:to>
      <xdr:col>10</xdr:col>
      <xdr:colOff>845980</xdr:colOff>
      <xdr:row>1</xdr:row>
      <xdr:rowOff>587060</xdr:rowOff>
    </xdr:to>
    <xdr:pic>
      <xdr:nvPicPr>
        <xdr:cNvPr id="13" name="Picture 10" descr="C:\Users\TOSHIBA\AppData\Local\Microsoft\Windows\Temporary Internet Files\Content.IE5\349RBGJU\Infobox_info_icon.svg[1]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542571" y="321466"/>
          <a:ext cx="471472" cy="46800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851568</xdr:colOff>
      <xdr:row>1</xdr:row>
      <xdr:rowOff>91596</xdr:rowOff>
    </xdr:from>
    <xdr:to>
      <xdr:col>11</xdr:col>
      <xdr:colOff>71440</xdr:colOff>
      <xdr:row>1</xdr:row>
      <xdr:rowOff>559596</xdr:rowOff>
    </xdr:to>
    <xdr:pic>
      <xdr:nvPicPr>
        <xdr:cNvPr id="4" name="Picture 6" descr="C:\Users\TOSHIBA\AppData\Local\Microsoft\Windows\Temporary Internet Files\Content.IE5\IA7OK92C\house-308936_64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019631" y="294002"/>
          <a:ext cx="470028" cy="468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378481</xdr:colOff>
      <xdr:row>1</xdr:row>
      <xdr:rowOff>115408</xdr:rowOff>
    </xdr:from>
    <xdr:to>
      <xdr:col>10</xdr:col>
      <xdr:colOff>847977</xdr:colOff>
      <xdr:row>1</xdr:row>
      <xdr:rowOff>583408</xdr:rowOff>
    </xdr:to>
    <xdr:pic>
      <xdr:nvPicPr>
        <xdr:cNvPr id="5" name="Picture 10" descr="C:\Users\TOSHIBA\AppData\Local\Microsoft\Windows\Temporary Internet Files\Content.IE5\349RBGJU\Infobox_info_icon.svg[1]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546544" y="317814"/>
          <a:ext cx="469496" cy="468000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863470</xdr:colOff>
      <xdr:row>1</xdr:row>
      <xdr:rowOff>91596</xdr:rowOff>
    </xdr:from>
    <xdr:to>
      <xdr:col>11</xdr:col>
      <xdr:colOff>83342</xdr:colOff>
      <xdr:row>1</xdr:row>
      <xdr:rowOff>559596</xdr:rowOff>
    </xdr:to>
    <xdr:pic>
      <xdr:nvPicPr>
        <xdr:cNvPr id="4" name="Picture 6" descr="C:\Users\TOSHIBA\AppData\Local\Microsoft\Windows\Temporary Internet Files\Content.IE5\IA7OK92C\house-308936_64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031533" y="294002"/>
          <a:ext cx="470028" cy="468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390383</xdr:colOff>
      <xdr:row>1</xdr:row>
      <xdr:rowOff>115408</xdr:rowOff>
    </xdr:from>
    <xdr:to>
      <xdr:col>10</xdr:col>
      <xdr:colOff>859879</xdr:colOff>
      <xdr:row>1</xdr:row>
      <xdr:rowOff>583408</xdr:rowOff>
    </xdr:to>
    <xdr:pic>
      <xdr:nvPicPr>
        <xdr:cNvPr id="5" name="Picture 10" descr="C:\Users\TOSHIBA\AppData\Local\Microsoft\Windows\Temporary Internet Files\Content.IE5\349RBGJU\Infobox_info_icon.svg[1]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558446" y="317814"/>
          <a:ext cx="469496" cy="468000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851564</xdr:colOff>
      <xdr:row>1</xdr:row>
      <xdr:rowOff>91596</xdr:rowOff>
    </xdr:from>
    <xdr:to>
      <xdr:col>11</xdr:col>
      <xdr:colOff>71436</xdr:colOff>
      <xdr:row>1</xdr:row>
      <xdr:rowOff>559596</xdr:rowOff>
    </xdr:to>
    <xdr:pic>
      <xdr:nvPicPr>
        <xdr:cNvPr id="4" name="Picture 6" descr="C:\Users\TOSHIBA\AppData\Local\Microsoft\Windows\Temporary Internet Files\Content.IE5\IA7OK92C\house-308936_64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019627" y="294002"/>
          <a:ext cx="470028" cy="468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378477</xdr:colOff>
      <xdr:row>1</xdr:row>
      <xdr:rowOff>115408</xdr:rowOff>
    </xdr:from>
    <xdr:to>
      <xdr:col>10</xdr:col>
      <xdr:colOff>847973</xdr:colOff>
      <xdr:row>1</xdr:row>
      <xdr:rowOff>583408</xdr:rowOff>
    </xdr:to>
    <xdr:pic>
      <xdr:nvPicPr>
        <xdr:cNvPr id="5" name="Picture 10" descr="C:\Users\TOSHIBA\AppData\Local\Microsoft\Windows\Temporary Internet Files\Content.IE5\349RBGJU\Infobox_info_icon.svg[1]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546540" y="317814"/>
          <a:ext cx="469496" cy="468000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863470</xdr:colOff>
      <xdr:row>1</xdr:row>
      <xdr:rowOff>91596</xdr:rowOff>
    </xdr:from>
    <xdr:to>
      <xdr:col>11</xdr:col>
      <xdr:colOff>83342</xdr:colOff>
      <xdr:row>1</xdr:row>
      <xdr:rowOff>559596</xdr:rowOff>
    </xdr:to>
    <xdr:pic>
      <xdr:nvPicPr>
        <xdr:cNvPr id="4" name="Picture 6" descr="C:\Users\TOSHIBA\AppData\Local\Microsoft\Windows\Temporary Internet Files\Content.IE5\IA7OK92C\house-308936_64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031533" y="294002"/>
          <a:ext cx="470028" cy="468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390383</xdr:colOff>
      <xdr:row>1</xdr:row>
      <xdr:rowOff>115408</xdr:rowOff>
    </xdr:from>
    <xdr:to>
      <xdr:col>10</xdr:col>
      <xdr:colOff>859879</xdr:colOff>
      <xdr:row>1</xdr:row>
      <xdr:rowOff>583408</xdr:rowOff>
    </xdr:to>
    <xdr:pic>
      <xdr:nvPicPr>
        <xdr:cNvPr id="5" name="Picture 10" descr="C:\Users\TOSHIBA\AppData\Local\Microsoft\Windows\Temporary Internet Files\Content.IE5\349RBGJU\Infobox_info_icon.svg[1]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558446" y="317814"/>
          <a:ext cx="469496" cy="468000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851564</xdr:colOff>
      <xdr:row>1</xdr:row>
      <xdr:rowOff>91596</xdr:rowOff>
    </xdr:from>
    <xdr:to>
      <xdr:col>11</xdr:col>
      <xdr:colOff>71436</xdr:colOff>
      <xdr:row>1</xdr:row>
      <xdr:rowOff>559596</xdr:rowOff>
    </xdr:to>
    <xdr:pic>
      <xdr:nvPicPr>
        <xdr:cNvPr id="4" name="Picture 6" descr="C:\Users\TOSHIBA\AppData\Local\Microsoft\Windows\Temporary Internet Files\Content.IE5\IA7OK92C\house-308936_64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019627" y="294002"/>
          <a:ext cx="470028" cy="468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378477</xdr:colOff>
      <xdr:row>1</xdr:row>
      <xdr:rowOff>115408</xdr:rowOff>
    </xdr:from>
    <xdr:to>
      <xdr:col>10</xdr:col>
      <xdr:colOff>847973</xdr:colOff>
      <xdr:row>1</xdr:row>
      <xdr:rowOff>583408</xdr:rowOff>
    </xdr:to>
    <xdr:pic>
      <xdr:nvPicPr>
        <xdr:cNvPr id="5" name="Picture 10" descr="C:\Users\TOSHIBA\AppData\Local\Microsoft\Windows\Temporary Internet Files\Content.IE5\349RBGJU\Infobox_info_icon.svg[1]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546540" y="317814"/>
          <a:ext cx="469496" cy="468000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863470</xdr:colOff>
      <xdr:row>1</xdr:row>
      <xdr:rowOff>91596</xdr:rowOff>
    </xdr:from>
    <xdr:to>
      <xdr:col>11</xdr:col>
      <xdr:colOff>83342</xdr:colOff>
      <xdr:row>1</xdr:row>
      <xdr:rowOff>559596</xdr:rowOff>
    </xdr:to>
    <xdr:pic>
      <xdr:nvPicPr>
        <xdr:cNvPr id="4" name="Picture 6" descr="C:\Users\TOSHIBA\AppData\Local\Microsoft\Windows\Temporary Internet Files\Content.IE5\IA7OK92C\house-308936_64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031533" y="294002"/>
          <a:ext cx="470028" cy="468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390383</xdr:colOff>
      <xdr:row>1</xdr:row>
      <xdr:rowOff>115408</xdr:rowOff>
    </xdr:from>
    <xdr:to>
      <xdr:col>10</xdr:col>
      <xdr:colOff>859879</xdr:colOff>
      <xdr:row>1</xdr:row>
      <xdr:rowOff>583408</xdr:rowOff>
    </xdr:to>
    <xdr:pic>
      <xdr:nvPicPr>
        <xdr:cNvPr id="5" name="Picture 10" descr="C:\Users\TOSHIBA\AppData\Local\Microsoft\Windows\Temporary Internet Files\Content.IE5\349RBGJU\Infobox_info_icon.svg[1]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558446" y="317814"/>
          <a:ext cx="469496" cy="468000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851568</xdr:colOff>
      <xdr:row>1</xdr:row>
      <xdr:rowOff>91596</xdr:rowOff>
    </xdr:from>
    <xdr:to>
      <xdr:col>11</xdr:col>
      <xdr:colOff>71440</xdr:colOff>
      <xdr:row>1</xdr:row>
      <xdr:rowOff>559596</xdr:rowOff>
    </xdr:to>
    <xdr:pic>
      <xdr:nvPicPr>
        <xdr:cNvPr id="4" name="Picture 6" descr="C:\Users\TOSHIBA\AppData\Local\Microsoft\Windows\Temporary Internet Files\Content.IE5\IA7OK92C\house-308936_64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019631" y="294002"/>
          <a:ext cx="470028" cy="468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378481</xdr:colOff>
      <xdr:row>1</xdr:row>
      <xdr:rowOff>115408</xdr:rowOff>
    </xdr:from>
    <xdr:to>
      <xdr:col>10</xdr:col>
      <xdr:colOff>847977</xdr:colOff>
      <xdr:row>1</xdr:row>
      <xdr:rowOff>583408</xdr:rowOff>
    </xdr:to>
    <xdr:pic>
      <xdr:nvPicPr>
        <xdr:cNvPr id="5" name="Picture 10" descr="C:\Users\TOSHIBA\AppData\Local\Microsoft\Windows\Temporary Internet Files\Content.IE5\349RBGJU\Infobox_info_icon.svg[1]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546544" y="317814"/>
          <a:ext cx="469496" cy="468000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863470</xdr:colOff>
      <xdr:row>1</xdr:row>
      <xdr:rowOff>95248</xdr:rowOff>
    </xdr:from>
    <xdr:to>
      <xdr:col>11</xdr:col>
      <xdr:colOff>83342</xdr:colOff>
      <xdr:row>1</xdr:row>
      <xdr:rowOff>563248</xdr:rowOff>
    </xdr:to>
    <xdr:pic>
      <xdr:nvPicPr>
        <xdr:cNvPr id="4" name="Picture 6" descr="C:\Users\TOSHIBA\AppData\Local\Microsoft\Windows\Temporary Internet Files\Content.IE5\IA7OK92C\house-308936_64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031533" y="297654"/>
          <a:ext cx="470028" cy="468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390383</xdr:colOff>
      <xdr:row>1</xdr:row>
      <xdr:rowOff>119060</xdr:rowOff>
    </xdr:from>
    <xdr:to>
      <xdr:col>10</xdr:col>
      <xdr:colOff>859879</xdr:colOff>
      <xdr:row>1</xdr:row>
      <xdr:rowOff>587060</xdr:rowOff>
    </xdr:to>
    <xdr:pic>
      <xdr:nvPicPr>
        <xdr:cNvPr id="5" name="Picture 10" descr="C:\Users\TOSHIBA\AppData\Local\Microsoft\Windows\Temporary Internet Files\Content.IE5\349RBGJU\Infobox_info_icon.svg[1]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558446" y="321466"/>
          <a:ext cx="469496" cy="468000"/>
        </a:xfrm>
        <a:prstGeom prst="rect">
          <a:avLst/>
        </a:prstGeom>
        <a:noFill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854079</xdr:colOff>
      <xdr:row>1</xdr:row>
      <xdr:rowOff>91596</xdr:rowOff>
    </xdr:from>
    <xdr:to>
      <xdr:col>11</xdr:col>
      <xdr:colOff>73951</xdr:colOff>
      <xdr:row>1</xdr:row>
      <xdr:rowOff>559596</xdr:rowOff>
    </xdr:to>
    <xdr:pic>
      <xdr:nvPicPr>
        <xdr:cNvPr id="4" name="Picture 6" descr="C:\Users\TOSHIBA\AppData\Local\Microsoft\Windows\Temporary Internet Files\Content.IE5\IA7OK92C\house-308936_64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022142" y="294002"/>
          <a:ext cx="470028" cy="468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380992</xdr:colOff>
      <xdr:row>1</xdr:row>
      <xdr:rowOff>115408</xdr:rowOff>
    </xdr:from>
    <xdr:to>
      <xdr:col>10</xdr:col>
      <xdr:colOff>850488</xdr:colOff>
      <xdr:row>1</xdr:row>
      <xdr:rowOff>583408</xdr:rowOff>
    </xdr:to>
    <xdr:pic>
      <xdr:nvPicPr>
        <xdr:cNvPr id="5" name="Picture 10" descr="C:\Users\TOSHIBA\AppData\Local\Microsoft\Windows\Temporary Internet Files\Content.IE5\349RBGJU\Infobox_info_icon.svg[1]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549055" y="317814"/>
          <a:ext cx="469496" cy="468000"/>
        </a:xfrm>
        <a:prstGeom prst="rect">
          <a:avLst/>
        </a:prstGeom>
        <a:noFill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863470</xdr:colOff>
      <xdr:row>1</xdr:row>
      <xdr:rowOff>95248</xdr:rowOff>
    </xdr:from>
    <xdr:to>
      <xdr:col>11</xdr:col>
      <xdr:colOff>83342</xdr:colOff>
      <xdr:row>1</xdr:row>
      <xdr:rowOff>563248</xdr:rowOff>
    </xdr:to>
    <xdr:pic>
      <xdr:nvPicPr>
        <xdr:cNvPr id="4" name="Picture 6" descr="C:\Users\TOSHIBA\AppData\Local\Microsoft\Windows\Temporary Internet Files\Content.IE5\IA7OK92C\house-308936_64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031533" y="297654"/>
          <a:ext cx="470028" cy="468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390383</xdr:colOff>
      <xdr:row>1</xdr:row>
      <xdr:rowOff>119060</xdr:rowOff>
    </xdr:from>
    <xdr:to>
      <xdr:col>10</xdr:col>
      <xdr:colOff>859879</xdr:colOff>
      <xdr:row>1</xdr:row>
      <xdr:rowOff>587060</xdr:rowOff>
    </xdr:to>
    <xdr:pic>
      <xdr:nvPicPr>
        <xdr:cNvPr id="5" name="Picture 10" descr="C:\Users\TOSHIBA\AppData\Local\Microsoft\Windows\Temporary Internet Files\Content.IE5\349RBGJU\Infobox_info_icon.svg[1]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558446" y="321466"/>
          <a:ext cx="469496" cy="468000"/>
        </a:xfrm>
        <a:prstGeom prst="rect">
          <a:avLst/>
        </a:prstGeom>
        <a:noFill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863470</xdr:colOff>
      <xdr:row>1</xdr:row>
      <xdr:rowOff>91596</xdr:rowOff>
    </xdr:from>
    <xdr:to>
      <xdr:col>11</xdr:col>
      <xdr:colOff>83342</xdr:colOff>
      <xdr:row>1</xdr:row>
      <xdr:rowOff>559596</xdr:rowOff>
    </xdr:to>
    <xdr:pic>
      <xdr:nvPicPr>
        <xdr:cNvPr id="4" name="Picture 6" descr="C:\Users\TOSHIBA\AppData\Local\Microsoft\Windows\Temporary Internet Files\Content.IE5\IA7OK92C\house-308936_64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031533" y="294002"/>
          <a:ext cx="470028" cy="468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390383</xdr:colOff>
      <xdr:row>1</xdr:row>
      <xdr:rowOff>115408</xdr:rowOff>
    </xdr:from>
    <xdr:to>
      <xdr:col>10</xdr:col>
      <xdr:colOff>859879</xdr:colOff>
      <xdr:row>1</xdr:row>
      <xdr:rowOff>583408</xdr:rowOff>
    </xdr:to>
    <xdr:pic>
      <xdr:nvPicPr>
        <xdr:cNvPr id="5" name="Picture 10" descr="C:\Users\TOSHIBA\AppData\Local\Microsoft\Windows\Temporary Internet Files\Content.IE5\349RBGJU\Infobox_info_icon.svg[1]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558446" y="317814"/>
          <a:ext cx="469496" cy="468000"/>
        </a:xfrm>
        <a:prstGeom prst="rect">
          <a:avLst/>
        </a:prstGeom>
        <a:noFill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863470</xdr:colOff>
      <xdr:row>1</xdr:row>
      <xdr:rowOff>91596</xdr:rowOff>
    </xdr:from>
    <xdr:to>
      <xdr:col>11</xdr:col>
      <xdr:colOff>83342</xdr:colOff>
      <xdr:row>1</xdr:row>
      <xdr:rowOff>559596</xdr:rowOff>
    </xdr:to>
    <xdr:pic>
      <xdr:nvPicPr>
        <xdr:cNvPr id="4" name="Picture 6" descr="C:\Users\TOSHIBA\AppData\Local\Microsoft\Windows\Temporary Internet Files\Content.IE5\IA7OK92C\house-308936_64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031533" y="294002"/>
          <a:ext cx="470028" cy="468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390383</xdr:colOff>
      <xdr:row>1</xdr:row>
      <xdr:rowOff>115408</xdr:rowOff>
    </xdr:from>
    <xdr:to>
      <xdr:col>10</xdr:col>
      <xdr:colOff>859879</xdr:colOff>
      <xdr:row>1</xdr:row>
      <xdr:rowOff>583408</xdr:rowOff>
    </xdr:to>
    <xdr:pic>
      <xdr:nvPicPr>
        <xdr:cNvPr id="5" name="Picture 10" descr="C:\Users\TOSHIBA\AppData\Local\Microsoft\Windows\Temporary Internet Files\Content.IE5\349RBGJU\Infobox_info_icon.svg[1]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558446" y="317814"/>
          <a:ext cx="469496" cy="468000"/>
        </a:xfrm>
        <a:prstGeom prst="rect">
          <a:avLst/>
        </a:prstGeom>
        <a:noFill/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854088</xdr:colOff>
      <xdr:row>1</xdr:row>
      <xdr:rowOff>83345</xdr:rowOff>
    </xdr:from>
    <xdr:to>
      <xdr:col>11</xdr:col>
      <xdr:colOff>73960</xdr:colOff>
      <xdr:row>1</xdr:row>
      <xdr:rowOff>551345</xdr:rowOff>
    </xdr:to>
    <xdr:pic>
      <xdr:nvPicPr>
        <xdr:cNvPr id="3" name="Picture 6" descr="C:\Users\TOSHIBA\AppData\Local\Microsoft\Windows\Temporary Internet Files\Content.IE5\IA7OK92C\house-308936_64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022151" y="285751"/>
          <a:ext cx="470028" cy="468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381001</xdr:colOff>
      <xdr:row>1</xdr:row>
      <xdr:rowOff>107157</xdr:rowOff>
    </xdr:from>
    <xdr:to>
      <xdr:col>10</xdr:col>
      <xdr:colOff>850497</xdr:colOff>
      <xdr:row>1</xdr:row>
      <xdr:rowOff>575157</xdr:rowOff>
    </xdr:to>
    <xdr:pic>
      <xdr:nvPicPr>
        <xdr:cNvPr id="4" name="Picture 10" descr="C:\Users\TOSHIBA\AppData\Local\Microsoft\Windows\Temporary Internet Files\Content.IE5\349RBGJU\Infobox_info_icon.svg[1]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549064" y="309563"/>
          <a:ext cx="469496" cy="468000"/>
        </a:xfrm>
        <a:prstGeom prst="rect">
          <a:avLst/>
        </a:prstGeom>
        <a:noFill/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854085</xdr:colOff>
      <xdr:row>1</xdr:row>
      <xdr:rowOff>95249</xdr:rowOff>
    </xdr:from>
    <xdr:to>
      <xdr:col>11</xdr:col>
      <xdr:colOff>73957</xdr:colOff>
      <xdr:row>1</xdr:row>
      <xdr:rowOff>563249</xdr:rowOff>
    </xdr:to>
    <xdr:pic>
      <xdr:nvPicPr>
        <xdr:cNvPr id="3" name="Picture 6" descr="C:\Users\TOSHIBA\AppData\Local\Microsoft\Windows\Temporary Internet Files\Content.IE5\IA7OK92C\house-308936_64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022148" y="297655"/>
          <a:ext cx="470028" cy="468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380998</xdr:colOff>
      <xdr:row>1</xdr:row>
      <xdr:rowOff>119061</xdr:rowOff>
    </xdr:from>
    <xdr:to>
      <xdr:col>10</xdr:col>
      <xdr:colOff>850494</xdr:colOff>
      <xdr:row>1</xdr:row>
      <xdr:rowOff>587061</xdr:rowOff>
    </xdr:to>
    <xdr:pic>
      <xdr:nvPicPr>
        <xdr:cNvPr id="4" name="Picture 10" descr="C:\Users\TOSHIBA\AppData\Local\Microsoft\Windows\Temporary Internet Files\Content.IE5\349RBGJU\Infobox_info_icon.svg[1]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549061" y="321467"/>
          <a:ext cx="469496" cy="468000"/>
        </a:xfrm>
        <a:prstGeom prst="rect">
          <a:avLst/>
        </a:prstGeom>
        <a:noFill/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854087</xdr:colOff>
      <xdr:row>1</xdr:row>
      <xdr:rowOff>83344</xdr:rowOff>
    </xdr:from>
    <xdr:to>
      <xdr:col>11</xdr:col>
      <xdr:colOff>73959</xdr:colOff>
      <xdr:row>1</xdr:row>
      <xdr:rowOff>551344</xdr:rowOff>
    </xdr:to>
    <xdr:pic>
      <xdr:nvPicPr>
        <xdr:cNvPr id="3" name="Picture 6" descr="C:\Users\TOSHIBA\AppData\Local\Microsoft\Windows\Temporary Internet Files\Content.IE5\IA7OK92C\house-308936_64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022150" y="285750"/>
          <a:ext cx="470028" cy="468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381000</xdr:colOff>
      <xdr:row>1</xdr:row>
      <xdr:rowOff>107156</xdr:rowOff>
    </xdr:from>
    <xdr:to>
      <xdr:col>10</xdr:col>
      <xdr:colOff>850496</xdr:colOff>
      <xdr:row>1</xdr:row>
      <xdr:rowOff>575156</xdr:rowOff>
    </xdr:to>
    <xdr:pic>
      <xdr:nvPicPr>
        <xdr:cNvPr id="4" name="Picture 10" descr="C:\Users\TOSHIBA\AppData\Local\Microsoft\Windows\Temporary Internet Files\Content.IE5\349RBGJU\Infobox_info_icon.svg[1]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549063" y="309562"/>
          <a:ext cx="469496" cy="468000"/>
        </a:xfrm>
        <a:prstGeom prst="rect">
          <a:avLst/>
        </a:prstGeom>
        <a:noFill/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854086</xdr:colOff>
      <xdr:row>1</xdr:row>
      <xdr:rowOff>83344</xdr:rowOff>
    </xdr:from>
    <xdr:to>
      <xdr:col>11</xdr:col>
      <xdr:colOff>73958</xdr:colOff>
      <xdr:row>1</xdr:row>
      <xdr:rowOff>551344</xdr:rowOff>
    </xdr:to>
    <xdr:pic>
      <xdr:nvPicPr>
        <xdr:cNvPr id="3" name="Picture 6" descr="C:\Users\TOSHIBA\AppData\Local\Microsoft\Windows\Temporary Internet Files\Content.IE5\IA7OK92C\house-308936_64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022149" y="285750"/>
          <a:ext cx="470028" cy="468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380999</xdr:colOff>
      <xdr:row>1</xdr:row>
      <xdr:rowOff>107156</xdr:rowOff>
    </xdr:from>
    <xdr:to>
      <xdr:col>10</xdr:col>
      <xdr:colOff>850495</xdr:colOff>
      <xdr:row>1</xdr:row>
      <xdr:rowOff>575156</xdr:rowOff>
    </xdr:to>
    <xdr:pic>
      <xdr:nvPicPr>
        <xdr:cNvPr id="4" name="Picture 10" descr="C:\Users\TOSHIBA\AppData\Local\Microsoft\Windows\Temporary Internet Files\Content.IE5\349RBGJU\Infobox_info_icon.svg[1]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549062" y="309562"/>
          <a:ext cx="469496" cy="468000"/>
        </a:xfrm>
        <a:prstGeom prst="rect">
          <a:avLst/>
        </a:prstGeom>
        <a:noFill/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854086</xdr:colOff>
      <xdr:row>1</xdr:row>
      <xdr:rowOff>83345</xdr:rowOff>
    </xdr:from>
    <xdr:to>
      <xdr:col>11</xdr:col>
      <xdr:colOff>73958</xdr:colOff>
      <xdr:row>1</xdr:row>
      <xdr:rowOff>551345</xdr:rowOff>
    </xdr:to>
    <xdr:pic>
      <xdr:nvPicPr>
        <xdr:cNvPr id="3" name="Picture 6" descr="C:\Users\TOSHIBA\AppData\Local\Microsoft\Windows\Temporary Internet Files\Content.IE5\IA7OK92C\house-308936_64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022149" y="285751"/>
          <a:ext cx="470028" cy="468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380999</xdr:colOff>
      <xdr:row>1</xdr:row>
      <xdr:rowOff>107157</xdr:rowOff>
    </xdr:from>
    <xdr:to>
      <xdr:col>10</xdr:col>
      <xdr:colOff>850495</xdr:colOff>
      <xdr:row>1</xdr:row>
      <xdr:rowOff>575157</xdr:rowOff>
    </xdr:to>
    <xdr:pic>
      <xdr:nvPicPr>
        <xdr:cNvPr id="4" name="Picture 10" descr="C:\Users\TOSHIBA\AppData\Local\Microsoft\Windows\Temporary Internet Files\Content.IE5\349RBGJU\Infobox_info_icon.svg[1]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549062" y="309563"/>
          <a:ext cx="469496" cy="468000"/>
        </a:xfrm>
        <a:prstGeom prst="rect">
          <a:avLst/>
        </a:prstGeom>
        <a:noFill/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854086</xdr:colOff>
      <xdr:row>1</xdr:row>
      <xdr:rowOff>95249</xdr:rowOff>
    </xdr:from>
    <xdr:to>
      <xdr:col>11</xdr:col>
      <xdr:colOff>73958</xdr:colOff>
      <xdr:row>1</xdr:row>
      <xdr:rowOff>563249</xdr:rowOff>
    </xdr:to>
    <xdr:pic>
      <xdr:nvPicPr>
        <xdr:cNvPr id="3" name="Picture 6" descr="C:\Users\TOSHIBA\AppData\Local\Microsoft\Windows\Temporary Internet Files\Content.IE5\IA7OK92C\house-308936_64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022149" y="297655"/>
          <a:ext cx="470028" cy="468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380999</xdr:colOff>
      <xdr:row>1</xdr:row>
      <xdr:rowOff>119061</xdr:rowOff>
    </xdr:from>
    <xdr:to>
      <xdr:col>10</xdr:col>
      <xdr:colOff>850495</xdr:colOff>
      <xdr:row>1</xdr:row>
      <xdr:rowOff>587061</xdr:rowOff>
    </xdr:to>
    <xdr:pic>
      <xdr:nvPicPr>
        <xdr:cNvPr id="4" name="Picture 10" descr="C:\Users\TOSHIBA\AppData\Local\Microsoft\Windows\Temporary Internet Files\Content.IE5\349RBGJU\Infobox_info_icon.svg[1]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549062" y="321467"/>
          <a:ext cx="469496" cy="468000"/>
        </a:xfrm>
        <a:prstGeom prst="rect">
          <a:avLst/>
        </a:prstGeom>
        <a:noFill/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854087</xdr:colOff>
      <xdr:row>1</xdr:row>
      <xdr:rowOff>95248</xdr:rowOff>
    </xdr:from>
    <xdr:to>
      <xdr:col>11</xdr:col>
      <xdr:colOff>73959</xdr:colOff>
      <xdr:row>1</xdr:row>
      <xdr:rowOff>563248</xdr:rowOff>
    </xdr:to>
    <xdr:pic>
      <xdr:nvPicPr>
        <xdr:cNvPr id="3" name="Picture 6" descr="C:\Users\TOSHIBA\AppData\Local\Microsoft\Windows\Temporary Internet Files\Content.IE5\IA7OK92C\house-308936_64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022150" y="297654"/>
          <a:ext cx="470028" cy="468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381000</xdr:colOff>
      <xdr:row>1</xdr:row>
      <xdr:rowOff>119060</xdr:rowOff>
    </xdr:from>
    <xdr:to>
      <xdr:col>10</xdr:col>
      <xdr:colOff>850496</xdr:colOff>
      <xdr:row>1</xdr:row>
      <xdr:rowOff>587060</xdr:rowOff>
    </xdr:to>
    <xdr:pic>
      <xdr:nvPicPr>
        <xdr:cNvPr id="4" name="Picture 10" descr="C:\Users\TOSHIBA\AppData\Local\Microsoft\Windows\Temporary Internet Files\Content.IE5\349RBGJU\Infobox_info_icon.svg[1]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549063" y="321466"/>
          <a:ext cx="469496" cy="468000"/>
        </a:xfrm>
        <a:prstGeom prst="rect">
          <a:avLst/>
        </a:prstGeom>
        <a:noFill/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854086</xdr:colOff>
      <xdr:row>1</xdr:row>
      <xdr:rowOff>83344</xdr:rowOff>
    </xdr:from>
    <xdr:to>
      <xdr:col>11</xdr:col>
      <xdr:colOff>73958</xdr:colOff>
      <xdr:row>1</xdr:row>
      <xdr:rowOff>551344</xdr:rowOff>
    </xdr:to>
    <xdr:pic>
      <xdr:nvPicPr>
        <xdr:cNvPr id="3" name="Picture 6" descr="C:\Users\TOSHIBA\AppData\Local\Microsoft\Windows\Temporary Internet Files\Content.IE5\IA7OK92C\house-308936_64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022149" y="285750"/>
          <a:ext cx="470028" cy="468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380999</xdr:colOff>
      <xdr:row>1</xdr:row>
      <xdr:rowOff>107156</xdr:rowOff>
    </xdr:from>
    <xdr:to>
      <xdr:col>10</xdr:col>
      <xdr:colOff>850495</xdr:colOff>
      <xdr:row>1</xdr:row>
      <xdr:rowOff>575156</xdr:rowOff>
    </xdr:to>
    <xdr:pic>
      <xdr:nvPicPr>
        <xdr:cNvPr id="4" name="Picture 10" descr="C:\Users\TOSHIBA\AppData\Local\Microsoft\Windows\Temporary Internet Files\Content.IE5\349RBGJU\Infobox_info_icon.svg[1]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549062" y="309562"/>
          <a:ext cx="469496" cy="468000"/>
        </a:xfrm>
        <a:prstGeom prst="rect">
          <a:avLst/>
        </a:prstGeom>
        <a:noFill/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854087</xdr:colOff>
      <xdr:row>1</xdr:row>
      <xdr:rowOff>83344</xdr:rowOff>
    </xdr:from>
    <xdr:to>
      <xdr:col>11</xdr:col>
      <xdr:colOff>73959</xdr:colOff>
      <xdr:row>1</xdr:row>
      <xdr:rowOff>551344</xdr:rowOff>
    </xdr:to>
    <xdr:pic>
      <xdr:nvPicPr>
        <xdr:cNvPr id="3" name="Picture 6" descr="C:\Users\TOSHIBA\AppData\Local\Microsoft\Windows\Temporary Internet Files\Content.IE5\IA7OK92C\house-308936_64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022150" y="285750"/>
          <a:ext cx="470028" cy="468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381000</xdr:colOff>
      <xdr:row>1</xdr:row>
      <xdr:rowOff>107156</xdr:rowOff>
    </xdr:from>
    <xdr:to>
      <xdr:col>10</xdr:col>
      <xdr:colOff>850496</xdr:colOff>
      <xdr:row>1</xdr:row>
      <xdr:rowOff>575156</xdr:rowOff>
    </xdr:to>
    <xdr:pic>
      <xdr:nvPicPr>
        <xdr:cNvPr id="4" name="Picture 10" descr="C:\Users\TOSHIBA\AppData\Local\Microsoft\Windows\Temporary Internet Files\Content.IE5\349RBGJU\Infobox_info_icon.svg[1]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549063" y="309562"/>
          <a:ext cx="469496" cy="468000"/>
        </a:xfrm>
        <a:prstGeom prst="rect">
          <a:avLst/>
        </a:prstGeom>
        <a:noFill/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133348</xdr:colOff>
      <xdr:row>1</xdr:row>
      <xdr:rowOff>166687</xdr:rowOff>
    </xdr:from>
    <xdr:to>
      <xdr:col>12</xdr:col>
      <xdr:colOff>19050</xdr:colOff>
      <xdr:row>21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171449</xdr:colOff>
      <xdr:row>1</xdr:row>
      <xdr:rowOff>166687</xdr:rowOff>
    </xdr:from>
    <xdr:to>
      <xdr:col>17</xdr:col>
      <xdr:colOff>952500</xdr:colOff>
      <xdr:row>15</xdr:row>
      <xdr:rowOff>123825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130187</xdr:colOff>
      <xdr:row>19</xdr:row>
      <xdr:rowOff>0</xdr:rowOff>
    </xdr:from>
    <xdr:to>
      <xdr:col>17</xdr:col>
      <xdr:colOff>600215</xdr:colOff>
      <xdr:row>21</xdr:row>
      <xdr:rowOff>87000</xdr:rowOff>
    </xdr:to>
    <xdr:pic>
      <xdr:nvPicPr>
        <xdr:cNvPr id="6" name="Picture 6" descr="C:\Users\TOSHIBA\AppData\Local\Microsoft\Windows\Temporary Internet Files\Content.IE5\IA7OK92C\house-308936_640[1]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493387" y="3619500"/>
          <a:ext cx="470028" cy="468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16</xdr:col>
      <xdr:colOff>238125</xdr:colOff>
      <xdr:row>19</xdr:row>
      <xdr:rowOff>23812</xdr:rowOff>
    </xdr:from>
    <xdr:to>
      <xdr:col>17</xdr:col>
      <xdr:colOff>98021</xdr:colOff>
      <xdr:row>21</xdr:row>
      <xdr:rowOff>110812</xdr:rowOff>
    </xdr:to>
    <xdr:pic>
      <xdr:nvPicPr>
        <xdr:cNvPr id="7" name="Picture 10" descr="C:\Users\TOSHIBA\AppData\Local\Microsoft\Windows\Temporary Internet Files\Content.IE5\349RBGJU\Infobox_info_icon.svg[1]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9991725" y="3643312"/>
          <a:ext cx="469496" cy="46800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%20de%20Orcamento.xls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lha Frente"/>
      <sheetName val="RESUMO GRUPOS"/>
      <sheetName val="01."/>
      <sheetName val="02."/>
    </sheetNames>
    <sheetDataSet>
      <sheetData sheetId="0">
        <row r="26">
          <cell r="D26">
            <v>509.18400000000003</v>
          </cell>
        </row>
      </sheetData>
      <sheetData sheetId="1">
        <row r="18">
          <cell r="H18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 /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 /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 /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 /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 /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 /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 /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 /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 /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 /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 /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 /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 /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 /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 /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 /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 /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 /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 /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 /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 /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 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8"/>
  <sheetViews>
    <sheetView tabSelected="1" topLeftCell="B30" zoomScale="80" zoomScaleNormal="80" workbookViewId="0" xr3:uid="{AEA406A1-0E4B-5B11-9CD5-51D6E497D94C}">
      <selection activeCell="H35" sqref="H35"/>
    </sheetView>
  </sheetViews>
  <sheetFormatPr defaultColWidth="9.14453125" defaultRowHeight="15"/>
  <cols>
    <col min="1" max="1" width="2.41796875" style="2" customWidth="1"/>
    <col min="2" max="2" width="56.765625" style="2" customWidth="1"/>
    <col min="3" max="3" width="23.67578125" style="2" customWidth="1"/>
    <col min="4" max="4" width="29.7265625" style="2" customWidth="1"/>
    <col min="5" max="5" width="17.75390625" style="2" customWidth="1"/>
    <col min="6" max="16384" width="9.14453125" style="2"/>
  </cols>
  <sheetData>
    <row r="1" spans="2:7" ht="15.75" thickBot="1"/>
    <row r="2" spans="2:7" ht="50.1" customHeight="1">
      <c r="B2" s="175" t="s">
        <v>591</v>
      </c>
      <c r="C2" s="176"/>
      <c r="D2" s="176"/>
      <c r="E2" s="177"/>
    </row>
    <row r="3" spans="2:7" ht="26.1" customHeight="1">
      <c r="B3" s="3" t="s">
        <v>564</v>
      </c>
      <c r="C3" s="4"/>
      <c r="D3" s="144" t="s">
        <v>619</v>
      </c>
      <c r="E3" s="167">
        <v>42911</v>
      </c>
    </row>
    <row r="4" spans="2:7" ht="26.1" customHeight="1" thickBot="1">
      <c r="B4" s="1" t="s">
        <v>565</v>
      </c>
      <c r="C4" s="5"/>
      <c r="D4" s="145" t="s">
        <v>620</v>
      </c>
      <c r="E4" s="168" t="s">
        <v>621</v>
      </c>
      <c r="G4"/>
    </row>
    <row r="5" spans="2:7" ht="8.1" customHeight="1" thickTop="1">
      <c r="B5" s="6"/>
      <c r="C5" s="7"/>
      <c r="D5" s="128"/>
      <c r="E5" s="143"/>
    </row>
    <row r="6" spans="2:7" ht="23.1" customHeight="1">
      <c r="B6" s="9" t="s">
        <v>0</v>
      </c>
      <c r="C6" s="10"/>
      <c r="D6" s="129"/>
      <c r="E6" s="11"/>
    </row>
    <row r="7" spans="2:7" ht="23.1" customHeight="1">
      <c r="B7" s="12" t="s">
        <v>1</v>
      </c>
      <c r="C7" s="13" t="s">
        <v>2</v>
      </c>
      <c r="D7" s="173"/>
      <c r="E7" s="174"/>
    </row>
    <row r="8" spans="2:7" ht="23.1" customHeight="1">
      <c r="B8" s="14" t="s">
        <v>3</v>
      </c>
      <c r="C8" s="13" t="s">
        <v>2</v>
      </c>
      <c r="D8" s="173"/>
      <c r="E8" s="174"/>
    </row>
    <row r="9" spans="2:7" ht="23.1" customHeight="1">
      <c r="B9" s="12" t="s">
        <v>4</v>
      </c>
      <c r="C9" s="13" t="s">
        <v>2</v>
      </c>
      <c r="D9" s="173"/>
      <c r="E9" s="174"/>
    </row>
    <row r="10" spans="2:7" ht="23.1" customHeight="1">
      <c r="B10" s="12" t="s">
        <v>5</v>
      </c>
      <c r="C10" s="13" t="s">
        <v>2</v>
      </c>
      <c r="D10" s="129"/>
      <c r="E10" s="11"/>
    </row>
    <row r="11" spans="2:7" ht="23.1" customHeight="1">
      <c r="B11" s="14" t="s">
        <v>6</v>
      </c>
      <c r="C11" s="13" t="s">
        <v>2</v>
      </c>
      <c r="D11" s="129"/>
      <c r="E11" s="11"/>
    </row>
    <row r="12" spans="2:7" ht="8.1" customHeight="1">
      <c r="B12" s="12"/>
      <c r="C12" s="15"/>
      <c r="D12" s="128"/>
      <c r="E12" s="8"/>
    </row>
    <row r="13" spans="2:7" ht="23.1" customHeight="1">
      <c r="B13" s="9" t="s">
        <v>7</v>
      </c>
      <c r="C13" s="10"/>
      <c r="D13" s="130"/>
      <c r="E13" s="16"/>
    </row>
    <row r="14" spans="2:7" ht="23.1" customHeight="1">
      <c r="B14" s="14" t="s">
        <v>8</v>
      </c>
      <c r="C14" s="13" t="s">
        <v>2</v>
      </c>
      <c r="D14" s="131"/>
      <c r="E14" s="17"/>
    </row>
    <row r="15" spans="2:7" ht="23.1" customHeight="1">
      <c r="B15" s="12" t="s">
        <v>9</v>
      </c>
      <c r="C15" s="13" t="s">
        <v>2</v>
      </c>
      <c r="D15" s="131"/>
      <c r="E15" s="17"/>
    </row>
    <row r="16" spans="2:7" ht="8.1" customHeight="1">
      <c r="B16" s="12"/>
      <c r="C16" s="15"/>
      <c r="D16" s="128"/>
      <c r="E16" s="8"/>
    </row>
    <row r="17" spans="2:5" ht="23.1" customHeight="1">
      <c r="B17" s="18" t="s">
        <v>10</v>
      </c>
      <c r="C17" s="13" t="s">
        <v>2</v>
      </c>
      <c r="D17" s="132"/>
      <c r="E17" s="20"/>
    </row>
    <row r="18" spans="2:5" ht="8.1" customHeight="1">
      <c r="B18" s="14"/>
      <c r="C18" s="19"/>
      <c r="D18" s="128"/>
      <c r="E18" s="8"/>
    </row>
    <row r="19" spans="2:5" ht="23.1" customHeight="1">
      <c r="B19" s="9" t="s">
        <v>618</v>
      </c>
      <c r="C19" s="13" t="s">
        <v>2</v>
      </c>
      <c r="D19" s="171">
        <v>0.1</v>
      </c>
      <c r="E19" s="20"/>
    </row>
    <row r="20" spans="2:5" ht="8.1" customHeight="1">
      <c r="B20" s="14"/>
      <c r="C20" s="19"/>
      <c r="D20" s="133"/>
      <c r="E20" s="21"/>
    </row>
    <row r="21" spans="2:5" ht="23.1" customHeight="1">
      <c r="B21" s="31" t="s">
        <v>11</v>
      </c>
      <c r="C21" s="32" t="s">
        <v>2</v>
      </c>
      <c r="D21" s="134">
        <f>ORC_Custo!G33</f>
        <v>0</v>
      </c>
      <c r="E21" s="33"/>
    </row>
    <row r="22" spans="2:5" ht="23.1" customHeight="1">
      <c r="B22" s="14" t="s">
        <v>12</v>
      </c>
      <c r="C22" s="13" t="s">
        <v>2</v>
      </c>
      <c r="D22" s="135">
        <v>42887</v>
      </c>
      <c r="E22" s="22"/>
    </row>
    <row r="23" spans="2:5" ht="23.1" customHeight="1">
      <c r="B23" s="14" t="s">
        <v>568</v>
      </c>
      <c r="C23" s="13" t="s">
        <v>2</v>
      </c>
      <c r="D23" s="136" t="s">
        <v>570</v>
      </c>
      <c r="E23" s="125"/>
    </row>
    <row r="24" spans="2:5" ht="23.1" customHeight="1">
      <c r="B24" s="12" t="s">
        <v>566</v>
      </c>
      <c r="C24" s="13" t="s">
        <v>2</v>
      </c>
      <c r="D24" s="169">
        <v>1620</v>
      </c>
      <c r="E24" s="23"/>
    </row>
    <row r="25" spans="2:5" ht="23.1" customHeight="1">
      <c r="B25" s="12" t="s">
        <v>567</v>
      </c>
      <c r="C25" s="13" t="s">
        <v>2</v>
      </c>
      <c r="D25" s="137">
        <f>IF(D24=0,"",D21/D24)</f>
        <v>0</v>
      </c>
      <c r="E25" s="23"/>
    </row>
    <row r="26" spans="2:5" ht="8.1" customHeight="1">
      <c r="B26" s="12"/>
      <c r="C26" s="15"/>
      <c r="D26" s="128"/>
      <c r="E26" s="8"/>
    </row>
    <row r="27" spans="2:5" ht="23.1" customHeight="1">
      <c r="B27" s="18" t="s">
        <v>14</v>
      </c>
      <c r="C27" s="24"/>
      <c r="D27" s="138"/>
      <c r="E27" s="25"/>
    </row>
    <row r="28" spans="2:5" ht="23.1" customHeight="1">
      <c r="B28" s="14" t="s">
        <v>15</v>
      </c>
      <c r="C28" s="13" t="s">
        <v>2</v>
      </c>
      <c r="D28" s="170">
        <v>1500</v>
      </c>
      <c r="E28" s="26"/>
    </row>
    <row r="29" spans="2:5" ht="23.1" customHeight="1">
      <c r="B29" s="14" t="s">
        <v>16</v>
      </c>
      <c r="C29" s="13" t="s">
        <v>2</v>
      </c>
      <c r="D29" s="139">
        <f>IF(D28=0,"",$D$21/D28)</f>
        <v>0</v>
      </c>
      <c r="E29" s="27"/>
    </row>
    <row r="30" spans="2:5" ht="23.1" customHeight="1">
      <c r="B30" s="12" t="s">
        <v>569</v>
      </c>
      <c r="C30" s="13" t="s">
        <v>2</v>
      </c>
      <c r="D30" s="140">
        <f>IF(D24=0,"",$D29/$D$24)</f>
        <v>0</v>
      </c>
      <c r="E30" s="126"/>
    </row>
    <row r="31" spans="2:5" ht="8.1" customHeight="1">
      <c r="B31" s="12"/>
      <c r="C31" s="15"/>
      <c r="D31" s="128"/>
      <c r="E31" s="8"/>
    </row>
    <row r="32" spans="2:5" ht="23.1" customHeight="1">
      <c r="B32" s="18" t="s">
        <v>17</v>
      </c>
      <c r="C32" s="24"/>
      <c r="D32" s="138"/>
      <c r="E32" s="25"/>
    </row>
    <row r="33" spans="2:5" ht="23.1" customHeight="1">
      <c r="B33" s="14" t="s">
        <v>18</v>
      </c>
      <c r="C33" s="13" t="s">
        <v>2</v>
      </c>
      <c r="D33" s="170">
        <v>1750</v>
      </c>
      <c r="E33" s="26"/>
    </row>
    <row r="34" spans="2:5" ht="23.1" customHeight="1">
      <c r="B34" s="14" t="s">
        <v>16</v>
      </c>
      <c r="C34" s="13" t="s">
        <v>2</v>
      </c>
      <c r="D34" s="139">
        <f>IF(D33=0,"",D21/D33)</f>
        <v>0</v>
      </c>
      <c r="E34" s="27"/>
    </row>
    <row r="35" spans="2:5" ht="23.1" customHeight="1">
      <c r="B35" s="12" t="s">
        <v>569</v>
      </c>
      <c r="C35" s="13" t="s">
        <v>2</v>
      </c>
      <c r="D35" s="141">
        <f>IF(D24=0,"",D25/D33)</f>
        <v>0</v>
      </c>
      <c r="E35" s="127"/>
    </row>
    <row r="36" spans="2:5" ht="8.1" customHeight="1">
      <c r="B36" s="12"/>
      <c r="C36" s="15"/>
      <c r="D36" s="128"/>
      <c r="E36" s="8"/>
    </row>
    <row r="37" spans="2:5" ht="23.1" customHeight="1">
      <c r="B37" s="31" t="s">
        <v>19</v>
      </c>
      <c r="C37" s="32" t="s">
        <v>2</v>
      </c>
      <c r="D37" s="172">
        <v>0.05</v>
      </c>
      <c r="E37" s="34"/>
    </row>
    <row r="38" spans="2:5" ht="8.1" customHeight="1">
      <c r="B38" s="12"/>
      <c r="C38" s="15"/>
      <c r="D38" s="132"/>
      <c r="E38" s="20"/>
    </row>
    <row r="39" spans="2:5" ht="23.1" customHeight="1">
      <c r="B39" s="31" t="s">
        <v>20</v>
      </c>
      <c r="C39" s="32" t="s">
        <v>2</v>
      </c>
      <c r="D39" s="172">
        <v>1.4999999999999999E-2</v>
      </c>
      <c r="E39" s="34"/>
    </row>
    <row r="40" spans="2:5" ht="8.1" customHeight="1">
      <c r="B40" s="12"/>
      <c r="C40" s="15"/>
      <c r="D40" s="128"/>
      <c r="E40" s="8"/>
    </row>
    <row r="41" spans="2:5" ht="23.1" customHeight="1">
      <c r="B41" s="31" t="s">
        <v>21</v>
      </c>
      <c r="C41" s="32" t="s">
        <v>2</v>
      </c>
      <c r="D41" s="134">
        <f>ORC_Custo!G33</f>
        <v>0</v>
      </c>
      <c r="E41" s="33"/>
    </row>
    <row r="42" spans="2:5" ht="23.1" customHeight="1">
      <c r="B42" s="14" t="s">
        <v>12</v>
      </c>
      <c r="C42" s="13" t="s">
        <v>2</v>
      </c>
      <c r="D42" s="135">
        <f>D22</f>
        <v>42887</v>
      </c>
      <c r="E42" s="22"/>
    </row>
    <row r="43" spans="2:5" ht="23.1" customHeight="1">
      <c r="B43" s="12" t="str">
        <f>B24</f>
        <v>CUB ("n - 1"):</v>
      </c>
      <c r="C43" s="13" t="s">
        <v>2</v>
      </c>
      <c r="D43" s="137">
        <f>D24</f>
        <v>1620</v>
      </c>
      <c r="E43" s="23"/>
    </row>
    <row r="44" spans="2:5" ht="23.1" customHeight="1">
      <c r="B44" s="12" t="s">
        <v>13</v>
      </c>
      <c r="C44" s="13" t="s">
        <v>2</v>
      </c>
      <c r="D44" s="137">
        <f>D41/D43</f>
        <v>0</v>
      </c>
      <c r="E44" s="23"/>
    </row>
    <row r="45" spans="2:5" ht="9.9499999999999993" customHeight="1">
      <c r="B45" s="12"/>
      <c r="C45" s="13"/>
      <c r="D45" s="137"/>
      <c r="E45" s="23"/>
    </row>
    <row r="46" spans="2:5" ht="23.1" customHeight="1">
      <c r="B46" s="31" t="s">
        <v>571</v>
      </c>
      <c r="C46" s="32" t="s">
        <v>2</v>
      </c>
      <c r="D46" s="134">
        <f>D41*(1+D19)</f>
        <v>0</v>
      </c>
      <c r="E46" s="33"/>
    </row>
    <row r="47" spans="2:5" ht="12" customHeight="1" thickBot="1">
      <c r="B47" s="28"/>
      <c r="C47" s="29"/>
      <c r="D47" s="142"/>
      <c r="E47" s="30"/>
    </row>
    <row r="48" spans="2:5" ht="57.75" customHeight="1" thickBot="1">
      <c r="B48" s="161"/>
      <c r="C48" s="162"/>
      <c r="D48" s="162"/>
      <c r="E48" s="163"/>
    </row>
  </sheetData>
  <mergeCells count="4">
    <mergeCell ref="D8:E8"/>
    <mergeCell ref="D7:E7"/>
    <mergeCell ref="D9:E9"/>
    <mergeCell ref="B2:E2"/>
  </mergeCells>
  <dataValidations count="1">
    <dataValidation type="list" allowBlank="1" showInputMessage="1" showErrorMessage="1" sqref="D23:E23" xr:uid="{00000000-0002-0000-0000-000000000000}">
      <formula1>"R1-B, PP4-B, R8-B, PIS, R1-N, PP4-B, R8-N, R16-N, R1-A, R8-A, R16-A, CAL8-N, CSL8-N, CSL16-N, CAL8-A, CSL8-A, CSL16-A"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E4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33"/>
  <sheetViews>
    <sheetView zoomScale="80" zoomScaleNormal="80" workbookViewId="0" xr3:uid="{958C4451-9541-5A59-BF78-D2F731DF1C81}">
      <selection activeCell="B3" sqref="B3"/>
    </sheetView>
  </sheetViews>
  <sheetFormatPr defaultColWidth="9.14453125" defaultRowHeight="15"/>
  <cols>
    <col min="1" max="1" width="2.15234375" style="2" customWidth="1"/>
    <col min="2" max="2" width="18.6953125" style="2" customWidth="1"/>
    <col min="3" max="3" width="50.71484375" style="2" customWidth="1"/>
    <col min="4" max="4" width="17.75390625" style="2" customWidth="1"/>
    <col min="5" max="6" width="16.6796875" style="2" customWidth="1"/>
    <col min="7" max="7" width="24.75" style="2" customWidth="1"/>
    <col min="8" max="16384" width="9.14453125" style="2"/>
  </cols>
  <sheetData>
    <row r="1" spans="2:7" ht="15.75" thickBot="1"/>
    <row r="2" spans="2:7" ht="50.1" customHeight="1">
      <c r="B2" s="178" t="s">
        <v>622</v>
      </c>
      <c r="C2" s="179"/>
      <c r="D2" s="179"/>
      <c r="E2" s="179"/>
      <c r="F2" s="179"/>
      <c r="G2" s="180"/>
    </row>
    <row r="3" spans="2:7" ht="6.95" customHeight="1" thickBot="1">
      <c r="B3" s="82"/>
      <c r="C3" s="79"/>
      <c r="D3" s="80"/>
      <c r="E3" s="81"/>
      <c r="F3" s="80"/>
      <c r="G3" s="83"/>
    </row>
    <row r="4" spans="2:7" ht="21" customHeight="1" thickTop="1">
      <c r="B4" s="181" t="s">
        <v>23</v>
      </c>
      <c r="C4" s="183" t="s">
        <v>24</v>
      </c>
      <c r="D4" s="84" t="s">
        <v>25</v>
      </c>
      <c r="E4" s="85" t="s">
        <v>26</v>
      </c>
      <c r="F4" s="86" t="s">
        <v>27</v>
      </c>
      <c r="G4" s="87" t="s">
        <v>27</v>
      </c>
    </row>
    <row r="5" spans="2:7" ht="21" customHeight="1" thickBot="1">
      <c r="B5" s="182"/>
      <c r="C5" s="184"/>
      <c r="D5" s="88" t="s">
        <v>28</v>
      </c>
      <c r="E5" s="89" t="s">
        <v>29</v>
      </c>
      <c r="F5" s="88" t="s">
        <v>30</v>
      </c>
      <c r="G5" s="90" t="s">
        <v>31</v>
      </c>
    </row>
    <row r="6" spans="2:7" ht="6.95" customHeight="1" thickTop="1">
      <c r="B6" s="91"/>
      <c r="C6" s="92"/>
      <c r="D6" s="93"/>
      <c r="E6" s="94"/>
      <c r="F6" s="95"/>
      <c r="G6" s="96"/>
    </row>
    <row r="7" spans="2:7" ht="21" customHeight="1">
      <c r="B7" s="123" t="s">
        <v>32</v>
      </c>
      <c r="C7" s="92" t="s">
        <v>33</v>
      </c>
      <c r="D7" s="93" t="str">
        <f>IF(G7&lt;&gt;0,G7/$G$33,"")</f>
        <v/>
      </c>
      <c r="E7" s="98">
        <f>IF($E$4="C.UNIT. (AC)",G7/Frente!$D$33,ORC_Custo!G7/Frente!$D$28)</f>
        <v>0</v>
      </c>
      <c r="F7" s="95">
        <f>G7/'[1]Folha Frente'!$D$26</f>
        <v>0</v>
      </c>
      <c r="G7" s="99">
        <f>'01.'!K34</f>
        <v>0</v>
      </c>
    </row>
    <row r="8" spans="2:7" ht="21" customHeight="1">
      <c r="B8" s="123" t="s">
        <v>34</v>
      </c>
      <c r="C8" s="92" t="s">
        <v>35</v>
      </c>
      <c r="D8" s="93" t="str">
        <f t="shared" ref="D8:D31" si="0">IF(G8&lt;&gt;0,G8/$G$33,"")</f>
        <v/>
      </c>
      <c r="E8" s="98">
        <f>IF($E$4="C.UNIT. (AC)",G8/Frente!$D$33,ORC_Custo!G8/Frente!$D$28)</f>
        <v>0</v>
      </c>
      <c r="F8" s="95">
        <f>G8/'[1]Folha Frente'!$D$26</f>
        <v>0</v>
      </c>
      <c r="G8" s="99">
        <f>'02.'!K34</f>
        <v>0</v>
      </c>
    </row>
    <row r="9" spans="2:7" ht="21" customHeight="1">
      <c r="B9" s="123" t="s">
        <v>36</v>
      </c>
      <c r="C9" s="92" t="s">
        <v>37</v>
      </c>
      <c r="D9" s="93" t="str">
        <f t="shared" si="0"/>
        <v/>
      </c>
      <c r="E9" s="98">
        <f>IF($E$4="C.UNIT. (AC)",G9/Frente!$D$33,ORC_Custo!G9/Frente!$D$28)</f>
        <v>0</v>
      </c>
      <c r="F9" s="95">
        <f>G9/'[1]Folha Frente'!$D$26</f>
        <v>0</v>
      </c>
      <c r="G9" s="99">
        <f>'03.'!K34</f>
        <v>0</v>
      </c>
    </row>
    <row r="10" spans="2:7" ht="21" customHeight="1">
      <c r="B10" s="123" t="s">
        <v>38</v>
      </c>
      <c r="C10" s="92" t="s">
        <v>39</v>
      </c>
      <c r="D10" s="93" t="str">
        <f t="shared" si="0"/>
        <v/>
      </c>
      <c r="E10" s="98">
        <f>IF($E$4="C.UNIT. (AC)",G10/Frente!$D$33,ORC_Custo!G10/Frente!$D$28)</f>
        <v>0</v>
      </c>
      <c r="F10" s="95">
        <f>G10/'[1]Folha Frente'!$D$26</f>
        <v>0</v>
      </c>
      <c r="G10" s="99">
        <f>'04.'!K34</f>
        <v>0</v>
      </c>
    </row>
    <row r="11" spans="2:7" ht="21" customHeight="1">
      <c r="B11" s="123" t="s">
        <v>40</v>
      </c>
      <c r="C11" s="92" t="s">
        <v>41</v>
      </c>
      <c r="D11" s="93" t="str">
        <f t="shared" si="0"/>
        <v/>
      </c>
      <c r="E11" s="98">
        <f>IF($E$4="C.UNIT. (AC)",G11/Frente!$D$33,ORC_Custo!G11/Frente!$D$28)</f>
        <v>0</v>
      </c>
      <c r="F11" s="95">
        <f>G11/'[1]Folha Frente'!$D$26</f>
        <v>0</v>
      </c>
      <c r="G11" s="99">
        <f>'05.'!K34</f>
        <v>0</v>
      </c>
    </row>
    <row r="12" spans="2:7" ht="21" customHeight="1">
      <c r="B12" s="123" t="s">
        <v>42</v>
      </c>
      <c r="C12" s="92" t="s">
        <v>43</v>
      </c>
      <c r="D12" s="93" t="str">
        <f t="shared" si="0"/>
        <v/>
      </c>
      <c r="E12" s="98">
        <f>IF($E$4="C.UNIT. (AC)",G12/Frente!$D$33,ORC_Custo!G12/Frente!$D$28)</f>
        <v>0</v>
      </c>
      <c r="F12" s="95">
        <f>G12/'[1]Folha Frente'!$D$26</f>
        <v>0</v>
      </c>
      <c r="G12" s="99">
        <f>'06.'!$K$34</f>
        <v>0</v>
      </c>
    </row>
    <row r="13" spans="2:7" ht="21" customHeight="1">
      <c r="B13" s="123" t="s">
        <v>44</v>
      </c>
      <c r="C13" s="92" t="s">
        <v>45</v>
      </c>
      <c r="D13" s="93" t="str">
        <f t="shared" si="0"/>
        <v/>
      </c>
      <c r="E13" s="98">
        <f>IF($E$4="C.UNIT. (AC)",G13/Frente!$D$33,ORC_Custo!G13/Frente!$D$28)</f>
        <v>0</v>
      </c>
      <c r="F13" s="95">
        <f>G13/'[1]Folha Frente'!$D$26</f>
        <v>0</v>
      </c>
      <c r="G13" s="99">
        <f>'07.'!K34</f>
        <v>0</v>
      </c>
    </row>
    <row r="14" spans="2:7" ht="21" customHeight="1">
      <c r="B14" s="123" t="s">
        <v>46</v>
      </c>
      <c r="C14" s="92" t="s">
        <v>47</v>
      </c>
      <c r="D14" s="93" t="str">
        <f t="shared" si="0"/>
        <v/>
      </c>
      <c r="E14" s="98">
        <f>IF($E$4="C.UNIT. (AC)",G14/Frente!$D$33,ORC_Custo!G14/Frente!$D$28)</f>
        <v>0</v>
      </c>
      <c r="F14" s="95">
        <f>G14/'[1]Folha Frente'!$D$26</f>
        <v>0</v>
      </c>
      <c r="G14" s="99">
        <f>'08.'!K34</f>
        <v>0</v>
      </c>
    </row>
    <row r="15" spans="2:7" ht="21" customHeight="1">
      <c r="B15" s="123" t="s">
        <v>48</v>
      </c>
      <c r="C15" s="92" t="s">
        <v>49</v>
      </c>
      <c r="D15" s="93" t="str">
        <f t="shared" si="0"/>
        <v/>
      </c>
      <c r="E15" s="98">
        <f>IF($E$4="C.UNIT. (AC)",G15/Frente!$D$33,ORC_Custo!G15/Frente!$D$28)</f>
        <v>0</v>
      </c>
      <c r="F15" s="95">
        <f>G15/'[1]Folha Frente'!$D$26</f>
        <v>0</v>
      </c>
      <c r="G15" s="99">
        <f>'09.'!K34</f>
        <v>0</v>
      </c>
    </row>
    <row r="16" spans="2:7" ht="21" customHeight="1">
      <c r="B16" s="123" t="s">
        <v>50</v>
      </c>
      <c r="C16" s="92" t="s">
        <v>51</v>
      </c>
      <c r="D16" s="93" t="str">
        <f t="shared" si="0"/>
        <v/>
      </c>
      <c r="E16" s="98">
        <f>IF($E$4="C.UNIT. (AC)",G16/Frente!$D$33,ORC_Custo!G16/Frente!$D$28)</f>
        <v>0</v>
      </c>
      <c r="F16" s="95">
        <f>G16/'[1]Folha Frente'!$D$26</f>
        <v>0</v>
      </c>
      <c r="G16" s="99">
        <f>'10.'!$K$34</f>
        <v>0</v>
      </c>
    </row>
    <row r="17" spans="2:7" ht="21" customHeight="1">
      <c r="B17" s="123" t="s">
        <v>52</v>
      </c>
      <c r="C17" s="92" t="s">
        <v>53</v>
      </c>
      <c r="D17" s="93" t="str">
        <f t="shared" si="0"/>
        <v/>
      </c>
      <c r="E17" s="98">
        <f>IF($E$4="C.UNIT. (AC)",G17/Frente!$D$33,ORC_Custo!G17/Frente!$D$28)</f>
        <v>0</v>
      </c>
      <c r="F17" s="95">
        <f>G17/'[1]Folha Frente'!$D$26</f>
        <v>0</v>
      </c>
      <c r="G17" s="99">
        <f>'11.'!$K$34</f>
        <v>0</v>
      </c>
    </row>
    <row r="18" spans="2:7" ht="21" customHeight="1">
      <c r="B18" s="123" t="s">
        <v>54</v>
      </c>
      <c r="C18" s="92" t="s">
        <v>586</v>
      </c>
      <c r="D18" s="93" t="str">
        <f t="shared" si="0"/>
        <v/>
      </c>
      <c r="E18" s="98">
        <f>IF($E$4="C.UNIT. (AC)",G18/Frente!$D$33,ORC_Custo!G18/Frente!$D$28)</f>
        <v>0</v>
      </c>
      <c r="F18" s="95">
        <f>G18/'[1]Folha Frente'!$D$26</f>
        <v>0</v>
      </c>
      <c r="G18" s="99">
        <f>'12.'!$K$34</f>
        <v>0</v>
      </c>
    </row>
    <row r="19" spans="2:7" ht="21" customHeight="1">
      <c r="B19" s="123" t="s">
        <v>55</v>
      </c>
      <c r="C19" s="92" t="s">
        <v>56</v>
      </c>
      <c r="D19" s="93" t="str">
        <f t="shared" si="0"/>
        <v/>
      </c>
      <c r="E19" s="98">
        <f>IF($E$4="C.UNIT. (AC)",G19/Frente!$D$33,ORC_Custo!G19/Frente!$D$28)</f>
        <v>0</v>
      </c>
      <c r="F19" s="95">
        <f>G19/'[1]Folha Frente'!$D$26</f>
        <v>0</v>
      </c>
      <c r="G19" s="99">
        <f>'13.'!$K$34</f>
        <v>0</v>
      </c>
    </row>
    <row r="20" spans="2:7" ht="21" customHeight="1">
      <c r="B20" s="123" t="s">
        <v>57</v>
      </c>
      <c r="C20" s="92" t="s">
        <v>58</v>
      </c>
      <c r="D20" s="93" t="str">
        <f t="shared" si="0"/>
        <v/>
      </c>
      <c r="E20" s="98">
        <f>IF($E$4="C.UNIT. (AC)",G20/Frente!$D$33,ORC_Custo!G20/Frente!$D$28)</f>
        <v>0</v>
      </c>
      <c r="F20" s="95">
        <f>G20/'[1]Folha Frente'!$D$26</f>
        <v>0</v>
      </c>
      <c r="G20" s="99">
        <f>'14.'!$K$34</f>
        <v>0</v>
      </c>
    </row>
    <row r="21" spans="2:7" ht="21" customHeight="1">
      <c r="B21" s="123" t="s">
        <v>59</v>
      </c>
      <c r="C21" s="92" t="s">
        <v>60</v>
      </c>
      <c r="D21" s="93" t="str">
        <f t="shared" si="0"/>
        <v/>
      </c>
      <c r="E21" s="98">
        <f>IF($E$4="C.UNIT. (AC)",G21/Frente!$D$33,ORC_Custo!G21/Frente!$D$28)</f>
        <v>0</v>
      </c>
      <c r="F21" s="95">
        <f>G21/'[1]Folha Frente'!$D$26</f>
        <v>0</v>
      </c>
      <c r="G21" s="99">
        <f>'15.'!$K$34</f>
        <v>0</v>
      </c>
    </row>
    <row r="22" spans="2:7" ht="21" customHeight="1">
      <c r="B22" s="123" t="s">
        <v>61</v>
      </c>
      <c r="C22" s="92" t="s">
        <v>62</v>
      </c>
      <c r="D22" s="93" t="str">
        <f t="shared" si="0"/>
        <v/>
      </c>
      <c r="E22" s="98">
        <f>IF($E$4="C.UNIT. (AC)",G22/Frente!$D$33,ORC_Custo!G22/Frente!$D$28)</f>
        <v>0</v>
      </c>
      <c r="F22" s="95">
        <f>G22/'[1]Folha Frente'!$D$26</f>
        <v>0</v>
      </c>
      <c r="G22" s="99">
        <f>'16.'!$K$34</f>
        <v>0</v>
      </c>
    </row>
    <row r="23" spans="2:7" ht="21" customHeight="1">
      <c r="B23" s="123" t="s">
        <v>63</v>
      </c>
      <c r="C23" s="92" t="s">
        <v>64</v>
      </c>
      <c r="D23" s="93" t="str">
        <f t="shared" si="0"/>
        <v/>
      </c>
      <c r="E23" s="98">
        <f>IF($E$4="C.UNIT. (AC)",G23/Frente!$D$33,ORC_Custo!G23/Frente!$D$28)</f>
        <v>0</v>
      </c>
      <c r="F23" s="95">
        <f>G23/'[1]Folha Frente'!$D$26</f>
        <v>0</v>
      </c>
      <c r="G23" s="99">
        <f>'17.'!$K$34</f>
        <v>0</v>
      </c>
    </row>
    <row r="24" spans="2:7" ht="21" customHeight="1">
      <c r="B24" s="123" t="s">
        <v>65</v>
      </c>
      <c r="C24" s="92" t="s">
        <v>66</v>
      </c>
      <c r="D24" s="93" t="str">
        <f t="shared" si="0"/>
        <v/>
      </c>
      <c r="E24" s="98">
        <f>IF($E$4="C.UNIT. (AC)",G24/Frente!$D$33,ORC_Custo!G24/Frente!$D$28)</f>
        <v>0</v>
      </c>
      <c r="F24" s="95">
        <f>G24/'[1]Folha Frente'!$D$26</f>
        <v>0</v>
      </c>
      <c r="G24" s="99">
        <f>'18.'!$K$34</f>
        <v>0</v>
      </c>
    </row>
    <row r="25" spans="2:7" ht="21" customHeight="1">
      <c r="B25" s="123" t="s">
        <v>67</v>
      </c>
      <c r="C25" s="92" t="s">
        <v>602</v>
      </c>
      <c r="D25" s="93" t="str">
        <f t="shared" si="0"/>
        <v/>
      </c>
      <c r="E25" s="98">
        <f>IF($E$4="C.UNIT. (AC)",G25/Frente!$D$33,ORC_Custo!G25/Frente!$D$28)</f>
        <v>0</v>
      </c>
      <c r="F25" s="95">
        <f>G25/'[1]Folha Frente'!$D$26</f>
        <v>0</v>
      </c>
      <c r="G25" s="99">
        <f>'19.'!$K$34</f>
        <v>0</v>
      </c>
    </row>
    <row r="26" spans="2:7" ht="21" customHeight="1">
      <c r="B26" s="123" t="s">
        <v>68</v>
      </c>
      <c r="C26" s="92" t="s">
        <v>69</v>
      </c>
      <c r="D26" s="93" t="str">
        <f t="shared" si="0"/>
        <v/>
      </c>
      <c r="E26" s="98">
        <f>IF($E$4="C.UNIT. (AC)",G26/Frente!$D$33,ORC_Custo!G26/Frente!$D$28)</f>
        <v>0</v>
      </c>
      <c r="F26" s="95">
        <f>G26/'[1]Folha Frente'!$D$26</f>
        <v>0</v>
      </c>
      <c r="G26" s="99">
        <f>'20.'!K34</f>
        <v>0</v>
      </c>
    </row>
    <row r="27" spans="2:7" ht="21" customHeight="1">
      <c r="B27" s="123" t="s">
        <v>70</v>
      </c>
      <c r="C27" s="92" t="s">
        <v>607</v>
      </c>
      <c r="D27" s="93" t="str">
        <f t="shared" si="0"/>
        <v/>
      </c>
      <c r="E27" s="98">
        <f>IF($E$4="C.UNIT. (AC)",G27/Frente!$D$33,ORC_Custo!G27/Frente!$D$28)</f>
        <v>0</v>
      </c>
      <c r="F27" s="95">
        <f>G27/'[1]Folha Frente'!$D$26</f>
        <v>0</v>
      </c>
      <c r="G27" s="99">
        <f>'21.'!$K$34</f>
        <v>0</v>
      </c>
    </row>
    <row r="28" spans="2:7" ht="21" customHeight="1">
      <c r="B28" s="123" t="s">
        <v>71</v>
      </c>
      <c r="C28" s="92" t="s">
        <v>72</v>
      </c>
      <c r="D28" s="93" t="str">
        <f t="shared" si="0"/>
        <v/>
      </c>
      <c r="E28" s="98">
        <f>IF($E$4="C.UNIT. (AC)",G28/Frente!$D$33,ORC_Custo!G28/Frente!$D$28)</f>
        <v>0</v>
      </c>
      <c r="F28" s="95">
        <f>G28/'[1]Folha Frente'!$D$26</f>
        <v>0</v>
      </c>
      <c r="G28" s="99">
        <f>'22.'!K34</f>
        <v>0</v>
      </c>
    </row>
    <row r="29" spans="2:7" ht="21" customHeight="1">
      <c r="B29" s="123" t="s">
        <v>73</v>
      </c>
      <c r="C29" s="92" t="s">
        <v>74</v>
      </c>
      <c r="D29" s="93" t="str">
        <f t="shared" si="0"/>
        <v/>
      </c>
      <c r="E29" s="98">
        <f>IF($E$4="C.UNIT. (AC)",G29/Frente!$D$33,ORC_Custo!G29/Frente!$D$28)</f>
        <v>0</v>
      </c>
      <c r="F29" s="95">
        <f>G29/'[1]Folha Frente'!$D$26</f>
        <v>0</v>
      </c>
      <c r="G29" s="99">
        <f>'23.'!K34</f>
        <v>0</v>
      </c>
    </row>
    <row r="30" spans="2:7" ht="21" customHeight="1">
      <c r="B30" s="97" t="s">
        <v>75</v>
      </c>
      <c r="C30" s="92" t="s">
        <v>20</v>
      </c>
      <c r="D30" s="93" t="str">
        <f t="shared" si="0"/>
        <v/>
      </c>
      <c r="E30" s="98">
        <f>IF($E$4="C.UNIT. (AC)",G30/Frente!$D$33,ORC_Custo!G30/Frente!$D$28)</f>
        <v>0</v>
      </c>
      <c r="F30" s="95">
        <f>G30/'[1]Folha Frente'!$D$26</f>
        <v>0</v>
      </c>
      <c r="G30" s="99">
        <f>SUM(G7:G29)*Frente!D39</f>
        <v>0</v>
      </c>
    </row>
    <row r="31" spans="2:7" ht="21" customHeight="1">
      <c r="B31" s="97" t="s">
        <v>76</v>
      </c>
      <c r="C31" s="92" t="s">
        <v>19</v>
      </c>
      <c r="D31" s="93" t="str">
        <f t="shared" si="0"/>
        <v/>
      </c>
      <c r="E31" s="98">
        <f>IF($E$4="C.UNIT. (AC)",G31/Frente!$D$33,ORC_Custo!G31/Frente!$D$28)</f>
        <v>0</v>
      </c>
      <c r="F31" s="95">
        <f>G31/'[1]Folha Frente'!$D$26</f>
        <v>0</v>
      </c>
      <c r="G31" s="99">
        <f>SUM(G7:G29)*Frente!D37</f>
        <v>0</v>
      </c>
    </row>
    <row r="32" spans="2:7" ht="6.95" customHeight="1" thickBot="1">
      <c r="B32" s="91"/>
      <c r="C32" s="92"/>
      <c r="D32" s="93"/>
      <c r="E32" s="94"/>
      <c r="F32" s="95"/>
      <c r="G32" s="100"/>
    </row>
    <row r="33" spans="2:7" ht="35.1" customHeight="1" thickBot="1">
      <c r="B33" s="185" t="s">
        <v>77</v>
      </c>
      <c r="C33" s="186"/>
      <c r="D33" s="119">
        <f>SUM(D6:D32)</f>
        <v>0</v>
      </c>
      <c r="E33" s="120">
        <f>SUM(E6:E32)</f>
        <v>0</v>
      </c>
      <c r="F33" s="121">
        <f>SUM(F6:F32)</f>
        <v>0</v>
      </c>
      <c r="G33" s="122">
        <f>SUM(G6:G32)</f>
        <v>0</v>
      </c>
    </row>
  </sheetData>
  <mergeCells count="4">
    <mergeCell ref="B2:G2"/>
    <mergeCell ref="B4:B5"/>
    <mergeCell ref="C4:C5"/>
    <mergeCell ref="B33:C33"/>
  </mergeCells>
  <dataValidations count="1">
    <dataValidation type="list" allowBlank="1" showInputMessage="1" showErrorMessage="1" sqref="E4" xr:uid="{00000000-0002-0000-0100-000000000000}">
      <formula1>"C.UNIT. (AC), C.UNIT. (AE)"</formula1>
    </dataValidation>
  </dataValidations>
  <hyperlinks>
    <hyperlink ref="B7" location="'01.'!A1" display="01." xr:uid="{00000000-0004-0000-0100-000000000000}"/>
    <hyperlink ref="B8" location="'02.'!A1" display="02." xr:uid="{00000000-0004-0000-0100-000001000000}"/>
    <hyperlink ref="B9" location="'03.'!A1" display="03." xr:uid="{00000000-0004-0000-0100-000002000000}"/>
    <hyperlink ref="B10" location="'04.'!A1" display="04." xr:uid="{00000000-0004-0000-0100-000003000000}"/>
    <hyperlink ref="B12" location="'06.'!A1" display="06." xr:uid="{00000000-0004-0000-0100-000004000000}"/>
    <hyperlink ref="B13" location="'07.'!A1" display="07." xr:uid="{00000000-0004-0000-0100-000005000000}"/>
    <hyperlink ref="B14" location="'08.'!A1" display="08." xr:uid="{00000000-0004-0000-0100-000006000000}"/>
    <hyperlink ref="B15" location="'09.'!A1" display="09." xr:uid="{00000000-0004-0000-0100-000007000000}"/>
    <hyperlink ref="B16" location="'10.'!A1" display="10." xr:uid="{00000000-0004-0000-0100-000008000000}"/>
    <hyperlink ref="B17" location="'11.'!A1" display="11." xr:uid="{00000000-0004-0000-0100-000009000000}"/>
    <hyperlink ref="B18" location="'12.'!A1" display="12." xr:uid="{00000000-0004-0000-0100-00000A000000}"/>
    <hyperlink ref="B19" location="'13.'!A1" display="13." xr:uid="{00000000-0004-0000-0100-00000B000000}"/>
    <hyperlink ref="B20" location="'14.'!A1" display="14." xr:uid="{00000000-0004-0000-0100-00000C000000}"/>
    <hyperlink ref="B21" location="'15.'!A1" display="15." xr:uid="{00000000-0004-0000-0100-00000D000000}"/>
    <hyperlink ref="B22" location="'16.'!A1" display="16." xr:uid="{00000000-0004-0000-0100-00000E000000}"/>
    <hyperlink ref="B23" location="'17.'!A1" display="17." xr:uid="{00000000-0004-0000-0100-00000F000000}"/>
    <hyperlink ref="B24" location="'18.'!A1" display="18." xr:uid="{00000000-0004-0000-0100-000010000000}"/>
    <hyperlink ref="B25" location="'19.'!A1" display="19." xr:uid="{00000000-0004-0000-0100-000011000000}"/>
    <hyperlink ref="B26" location="'20.'!A1" display="20." xr:uid="{00000000-0004-0000-0100-000012000000}"/>
    <hyperlink ref="B27" location="'21.'!A1" display="21." xr:uid="{00000000-0004-0000-0100-000013000000}"/>
    <hyperlink ref="B28" location="'22.'!A1" display="22." xr:uid="{00000000-0004-0000-0100-000014000000}"/>
    <hyperlink ref="B29" location="'23.'!A1" display="23." xr:uid="{00000000-0004-0000-0100-000015000000}"/>
    <hyperlink ref="B11" location="'05.'!A1" display="05." xr:uid="{00000000-0004-0000-0100-000016000000}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33"/>
  <sheetViews>
    <sheetView zoomScale="80" zoomScaleNormal="80" workbookViewId="0" xr3:uid="{842E5F09-E766-5B8D-85AF-A39847EA96FD}">
      <selection activeCell="L8" sqref="L8"/>
    </sheetView>
  </sheetViews>
  <sheetFormatPr defaultColWidth="9.14453125" defaultRowHeight="15"/>
  <cols>
    <col min="1" max="1" width="2.15234375" style="2" customWidth="1"/>
    <col min="2" max="2" width="18.6953125" style="2" customWidth="1"/>
    <col min="3" max="3" width="50.71484375" style="2" customWidth="1"/>
    <col min="4" max="4" width="24.75" style="2" customWidth="1"/>
    <col min="5" max="5" width="12.375" style="2" customWidth="1"/>
    <col min="6" max="6" width="13.85546875" style="2" customWidth="1"/>
    <col min="7" max="7" width="24.75" style="2" customWidth="1"/>
    <col min="8" max="16384" width="9.14453125" style="2"/>
  </cols>
  <sheetData>
    <row r="1" spans="2:7" ht="15.75" thickBot="1"/>
    <row r="2" spans="2:7" ht="50.1" customHeight="1">
      <c r="B2" s="178" t="s">
        <v>623</v>
      </c>
      <c r="C2" s="179"/>
      <c r="D2" s="179"/>
      <c r="E2" s="179"/>
      <c r="F2" s="179"/>
      <c r="G2" s="180"/>
    </row>
    <row r="3" spans="2:7" ht="6.95" customHeight="1" thickBot="1">
      <c r="B3" s="82"/>
      <c r="C3" s="79"/>
      <c r="D3" s="80"/>
      <c r="E3" s="81"/>
      <c r="F3" s="80"/>
      <c r="G3" s="83"/>
    </row>
    <row r="4" spans="2:7" ht="21" customHeight="1" thickTop="1">
      <c r="B4" s="181" t="s">
        <v>23</v>
      </c>
      <c r="C4" s="183" t="s">
        <v>24</v>
      </c>
      <c r="D4" s="86" t="s">
        <v>614</v>
      </c>
      <c r="E4" s="187" t="s">
        <v>615</v>
      </c>
      <c r="F4" s="187"/>
      <c r="G4" s="87" t="s">
        <v>27</v>
      </c>
    </row>
    <row r="5" spans="2:7" ht="21" customHeight="1" thickBot="1">
      <c r="B5" s="182"/>
      <c r="C5" s="184"/>
      <c r="D5" s="88" t="s">
        <v>31</v>
      </c>
      <c r="E5" s="89" t="s">
        <v>616</v>
      </c>
      <c r="F5" s="88" t="s">
        <v>28</v>
      </c>
      <c r="G5" s="90" t="s">
        <v>31</v>
      </c>
    </row>
    <row r="6" spans="2:7" ht="6.95" customHeight="1" thickTop="1">
      <c r="B6" s="91"/>
      <c r="C6" s="92"/>
      <c r="D6" s="93"/>
      <c r="E6" s="94"/>
      <c r="F6" s="95"/>
      <c r="G6" s="96"/>
    </row>
    <row r="7" spans="2:7" ht="21" customHeight="1">
      <c r="B7" s="123" t="s">
        <v>32</v>
      </c>
      <c r="C7" s="92" t="s">
        <v>33</v>
      </c>
      <c r="D7" s="164">
        <f>ORC_Custo!G7</f>
        <v>0</v>
      </c>
      <c r="E7" s="98" t="s">
        <v>617</v>
      </c>
      <c r="F7" s="93"/>
      <c r="G7" s="99">
        <f>IF(E7="SIM",D7*(1+Frente!$D$19),ORC_PV!D7*(1+ORC_PV!F7))</f>
        <v>0</v>
      </c>
    </row>
    <row r="8" spans="2:7" ht="21" customHeight="1">
      <c r="B8" s="123" t="s">
        <v>34</v>
      </c>
      <c r="C8" s="92" t="s">
        <v>35</v>
      </c>
      <c r="D8" s="164">
        <f>ORC_Custo!G8</f>
        <v>0</v>
      </c>
      <c r="E8" s="98" t="s">
        <v>617</v>
      </c>
      <c r="F8" s="93"/>
      <c r="G8" s="99">
        <f>IF(E8="SIM",D8*(1+Frente!$D$19),ORC_PV!D8*(1+ORC_PV!F8))</f>
        <v>0</v>
      </c>
    </row>
    <row r="9" spans="2:7" ht="21" customHeight="1">
      <c r="B9" s="123" t="s">
        <v>36</v>
      </c>
      <c r="C9" s="92" t="s">
        <v>37</v>
      </c>
      <c r="D9" s="164">
        <f>ORC_Custo!G9</f>
        <v>0</v>
      </c>
      <c r="E9" s="98" t="s">
        <v>617</v>
      </c>
      <c r="F9" s="93"/>
      <c r="G9" s="99">
        <f>IF(E9="SIM",D9*(1+Frente!$D$19),ORC_PV!D9*(1+ORC_PV!F9))</f>
        <v>0</v>
      </c>
    </row>
    <row r="10" spans="2:7" ht="21" customHeight="1">
      <c r="B10" s="123" t="s">
        <v>38</v>
      </c>
      <c r="C10" s="92" t="s">
        <v>39</v>
      </c>
      <c r="D10" s="164">
        <f>ORC_Custo!G10</f>
        <v>0</v>
      </c>
      <c r="E10" s="98" t="s">
        <v>617</v>
      </c>
      <c r="F10" s="93"/>
      <c r="G10" s="99">
        <f>IF(E10="SIM",D10*(1+Frente!$D$19),ORC_PV!D10*(1+ORC_PV!F10))</f>
        <v>0</v>
      </c>
    </row>
    <row r="11" spans="2:7" ht="21" customHeight="1">
      <c r="B11" s="123" t="s">
        <v>40</v>
      </c>
      <c r="C11" s="92" t="s">
        <v>41</v>
      </c>
      <c r="D11" s="164">
        <f>ORC_Custo!G11</f>
        <v>0</v>
      </c>
      <c r="E11" s="98" t="s">
        <v>617</v>
      </c>
      <c r="F11" s="93"/>
      <c r="G11" s="99">
        <f>IF(E11="SIM",D11*(1+Frente!$D$19),ORC_PV!D11*(1+ORC_PV!F11))</f>
        <v>0</v>
      </c>
    </row>
    <row r="12" spans="2:7" ht="21" customHeight="1">
      <c r="B12" s="123" t="s">
        <v>42</v>
      </c>
      <c r="C12" s="92" t="s">
        <v>43</v>
      </c>
      <c r="D12" s="164">
        <f>ORC_Custo!G12</f>
        <v>0</v>
      </c>
      <c r="E12" s="98" t="s">
        <v>617</v>
      </c>
      <c r="F12" s="93"/>
      <c r="G12" s="99">
        <f>IF(E12="SIM",D12*(1+Frente!$D$19),ORC_PV!D12*(1+ORC_PV!F12))</f>
        <v>0</v>
      </c>
    </row>
    <row r="13" spans="2:7" ht="21" customHeight="1">
      <c r="B13" s="123" t="s">
        <v>44</v>
      </c>
      <c r="C13" s="92" t="s">
        <v>45</v>
      </c>
      <c r="D13" s="164">
        <f>ORC_Custo!G13</f>
        <v>0</v>
      </c>
      <c r="E13" s="98" t="s">
        <v>617</v>
      </c>
      <c r="F13" s="93"/>
      <c r="G13" s="99">
        <f>IF(E13="SIM",D13*(1+Frente!$D$19),ORC_PV!D13*(1+ORC_PV!F13))</f>
        <v>0</v>
      </c>
    </row>
    <row r="14" spans="2:7" ht="21" customHeight="1">
      <c r="B14" s="123" t="s">
        <v>46</v>
      </c>
      <c r="C14" s="92" t="s">
        <v>47</v>
      </c>
      <c r="D14" s="164">
        <f>ORC_Custo!G14</f>
        <v>0</v>
      </c>
      <c r="E14" s="98" t="s">
        <v>617</v>
      </c>
      <c r="F14" s="93"/>
      <c r="G14" s="99">
        <f>IF(E14="SIM",D14*(1+Frente!$D$19),ORC_PV!D14*(1+ORC_PV!F14))</f>
        <v>0</v>
      </c>
    </row>
    <row r="15" spans="2:7" ht="21" customHeight="1">
      <c r="B15" s="123" t="s">
        <v>48</v>
      </c>
      <c r="C15" s="92" t="s">
        <v>49</v>
      </c>
      <c r="D15" s="164">
        <f>ORC_Custo!G15</f>
        <v>0</v>
      </c>
      <c r="E15" s="98" t="s">
        <v>617</v>
      </c>
      <c r="F15" s="93"/>
      <c r="G15" s="99">
        <f>IF(E15="SIM",D15*(1+Frente!$D$19),ORC_PV!D15*(1+ORC_PV!F15))</f>
        <v>0</v>
      </c>
    </row>
    <row r="16" spans="2:7" ht="21" customHeight="1">
      <c r="B16" s="123" t="s">
        <v>50</v>
      </c>
      <c r="C16" s="92" t="s">
        <v>51</v>
      </c>
      <c r="D16" s="164">
        <f>ORC_Custo!G16</f>
        <v>0</v>
      </c>
      <c r="E16" s="98" t="s">
        <v>617</v>
      </c>
      <c r="F16" s="93"/>
      <c r="G16" s="99">
        <f>IF(E16="SIM",D16*(1+Frente!$D$19),ORC_PV!D16*(1+ORC_PV!F16))</f>
        <v>0</v>
      </c>
    </row>
    <row r="17" spans="2:7" ht="21" customHeight="1">
      <c r="B17" s="123" t="s">
        <v>52</v>
      </c>
      <c r="C17" s="92" t="s">
        <v>53</v>
      </c>
      <c r="D17" s="164">
        <f>ORC_Custo!G17</f>
        <v>0</v>
      </c>
      <c r="E17" s="98" t="s">
        <v>617</v>
      </c>
      <c r="F17" s="93"/>
      <c r="G17" s="99">
        <f>IF(E17="SIM",D17*(1+Frente!$D$19),ORC_PV!D17*(1+ORC_PV!F17))</f>
        <v>0</v>
      </c>
    </row>
    <row r="18" spans="2:7" ht="21" customHeight="1">
      <c r="B18" s="123" t="s">
        <v>54</v>
      </c>
      <c r="C18" s="92" t="s">
        <v>586</v>
      </c>
      <c r="D18" s="164">
        <f>ORC_Custo!G18</f>
        <v>0</v>
      </c>
      <c r="E18" s="98" t="s">
        <v>617</v>
      </c>
      <c r="F18" s="93"/>
      <c r="G18" s="99">
        <f>IF(E18="SIM",D18*(1+Frente!$D$19),ORC_PV!D18*(1+ORC_PV!F18))</f>
        <v>0</v>
      </c>
    </row>
    <row r="19" spans="2:7" ht="21" customHeight="1">
      <c r="B19" s="123" t="s">
        <v>55</v>
      </c>
      <c r="C19" s="92" t="s">
        <v>56</v>
      </c>
      <c r="D19" s="164">
        <f>ORC_Custo!G19</f>
        <v>0</v>
      </c>
      <c r="E19" s="98" t="s">
        <v>617</v>
      </c>
      <c r="F19" s="93"/>
      <c r="G19" s="99">
        <f>IF(E19="SIM",D19*(1+Frente!$D$19),ORC_PV!D19*(1+ORC_PV!F19))</f>
        <v>0</v>
      </c>
    </row>
    <row r="20" spans="2:7" ht="21" customHeight="1">
      <c r="B20" s="123" t="s">
        <v>57</v>
      </c>
      <c r="C20" s="92" t="s">
        <v>58</v>
      </c>
      <c r="D20" s="164">
        <f>ORC_Custo!G20</f>
        <v>0</v>
      </c>
      <c r="E20" s="98" t="s">
        <v>617</v>
      </c>
      <c r="F20" s="93"/>
      <c r="G20" s="99">
        <f>IF(E20="SIM",D20*(1+Frente!$D$19),ORC_PV!D20*(1+ORC_PV!F20))</f>
        <v>0</v>
      </c>
    </row>
    <row r="21" spans="2:7" ht="21" customHeight="1">
      <c r="B21" s="123" t="s">
        <v>59</v>
      </c>
      <c r="C21" s="92" t="s">
        <v>60</v>
      </c>
      <c r="D21" s="164">
        <f>ORC_Custo!G21</f>
        <v>0</v>
      </c>
      <c r="E21" s="98" t="s">
        <v>617</v>
      </c>
      <c r="F21" s="93"/>
      <c r="G21" s="99">
        <f>IF(E21="SIM",D21*(1+Frente!$D$19),ORC_PV!D21*(1+ORC_PV!F21))</f>
        <v>0</v>
      </c>
    </row>
    <row r="22" spans="2:7" ht="21" customHeight="1">
      <c r="B22" s="123" t="s">
        <v>61</v>
      </c>
      <c r="C22" s="92" t="s">
        <v>62</v>
      </c>
      <c r="D22" s="164">
        <f>ORC_Custo!G22</f>
        <v>0</v>
      </c>
      <c r="E22" s="98" t="s">
        <v>617</v>
      </c>
      <c r="F22" s="93"/>
      <c r="G22" s="99">
        <f>IF(E22="SIM",D22*(1+Frente!$D$19),ORC_PV!D22*(1+ORC_PV!F22))</f>
        <v>0</v>
      </c>
    </row>
    <row r="23" spans="2:7" ht="21" customHeight="1">
      <c r="B23" s="123" t="s">
        <v>63</v>
      </c>
      <c r="C23" s="92" t="s">
        <v>64</v>
      </c>
      <c r="D23" s="164">
        <f>ORC_Custo!G23</f>
        <v>0</v>
      </c>
      <c r="E23" s="98" t="s">
        <v>617</v>
      </c>
      <c r="F23" s="93"/>
      <c r="G23" s="99">
        <f>IF(E23="SIM",D23*(1+Frente!$D$19),ORC_PV!D23*(1+ORC_PV!F23))</f>
        <v>0</v>
      </c>
    </row>
    <row r="24" spans="2:7" ht="21" customHeight="1">
      <c r="B24" s="123" t="s">
        <v>65</v>
      </c>
      <c r="C24" s="92" t="s">
        <v>66</v>
      </c>
      <c r="D24" s="164">
        <f>ORC_Custo!G24</f>
        <v>0</v>
      </c>
      <c r="E24" s="98" t="s">
        <v>617</v>
      </c>
      <c r="F24" s="93"/>
      <c r="G24" s="99">
        <f>IF(E24="SIM",D24*(1+Frente!$D$19),ORC_PV!D24*(1+ORC_PV!F24))</f>
        <v>0</v>
      </c>
    </row>
    <row r="25" spans="2:7" ht="21" customHeight="1">
      <c r="B25" s="123" t="s">
        <v>67</v>
      </c>
      <c r="C25" s="92" t="s">
        <v>602</v>
      </c>
      <c r="D25" s="164">
        <f>ORC_Custo!G25</f>
        <v>0</v>
      </c>
      <c r="E25" s="98" t="s">
        <v>617</v>
      </c>
      <c r="F25" s="93"/>
      <c r="G25" s="99">
        <f>IF(E25="SIM",D25*(1+Frente!$D$19),ORC_PV!D25*(1+ORC_PV!F25))</f>
        <v>0</v>
      </c>
    </row>
    <row r="26" spans="2:7" ht="21" customHeight="1">
      <c r="B26" s="123" t="s">
        <v>68</v>
      </c>
      <c r="C26" s="92" t="s">
        <v>69</v>
      </c>
      <c r="D26" s="164">
        <f>ORC_Custo!G26</f>
        <v>0</v>
      </c>
      <c r="E26" s="98" t="s">
        <v>617</v>
      </c>
      <c r="F26" s="93"/>
      <c r="G26" s="99">
        <f>IF(E26="SIM",D26*(1+Frente!$D$19),ORC_PV!D26*(1+ORC_PV!F26))</f>
        <v>0</v>
      </c>
    </row>
    <row r="27" spans="2:7" ht="21" customHeight="1">
      <c r="B27" s="123" t="s">
        <v>70</v>
      </c>
      <c r="C27" s="92" t="s">
        <v>607</v>
      </c>
      <c r="D27" s="164">
        <f>ORC_Custo!G27</f>
        <v>0</v>
      </c>
      <c r="E27" s="98" t="s">
        <v>617</v>
      </c>
      <c r="F27" s="93"/>
      <c r="G27" s="99">
        <f>IF(E27="SIM",D27*(1+Frente!$D$19),ORC_PV!D27*(1+ORC_PV!F27))</f>
        <v>0</v>
      </c>
    </row>
    <row r="28" spans="2:7" ht="21" customHeight="1">
      <c r="B28" s="123" t="s">
        <v>71</v>
      </c>
      <c r="C28" s="92" t="s">
        <v>72</v>
      </c>
      <c r="D28" s="164">
        <f>ORC_Custo!G28</f>
        <v>0</v>
      </c>
      <c r="E28" s="98" t="s">
        <v>617</v>
      </c>
      <c r="F28" s="93"/>
      <c r="G28" s="99">
        <f>IF(E28="SIM",D28*(1+Frente!$D$19),ORC_PV!D28*(1+ORC_PV!F28))</f>
        <v>0</v>
      </c>
    </row>
    <row r="29" spans="2:7" ht="21" customHeight="1">
      <c r="B29" s="123" t="s">
        <v>73</v>
      </c>
      <c r="C29" s="92" t="s">
        <v>74</v>
      </c>
      <c r="D29" s="164">
        <f>ORC_Custo!G29</f>
        <v>0</v>
      </c>
      <c r="E29" s="98" t="s">
        <v>617</v>
      </c>
      <c r="F29" s="93"/>
      <c r="G29" s="99">
        <f>IF(E29="SIM",D29*(1+Frente!$D$19),ORC_PV!D29*(1+ORC_PV!F29))</f>
        <v>0</v>
      </c>
    </row>
    <row r="30" spans="2:7" ht="21" customHeight="1">
      <c r="B30" s="97" t="s">
        <v>75</v>
      </c>
      <c r="C30" s="92" t="s">
        <v>20</v>
      </c>
      <c r="D30" s="164">
        <f>ORC_Custo!G30</f>
        <v>0</v>
      </c>
      <c r="E30" s="98" t="s">
        <v>617</v>
      </c>
      <c r="F30" s="93"/>
      <c r="G30" s="99">
        <f>IF(E30="SIM",D30*(1+Frente!$D$19),ORC_PV!D30*(1+ORC_PV!F30))</f>
        <v>0</v>
      </c>
    </row>
    <row r="31" spans="2:7" ht="21" customHeight="1">
      <c r="B31" s="97" t="s">
        <v>76</v>
      </c>
      <c r="C31" s="92" t="s">
        <v>19</v>
      </c>
      <c r="D31" s="164">
        <f>ORC_Custo!G31</f>
        <v>0</v>
      </c>
      <c r="E31" s="98" t="s">
        <v>617</v>
      </c>
      <c r="F31" s="93"/>
      <c r="G31" s="99">
        <f>IF(E31="SIM",D31*(1+Frente!$D$19),ORC_PV!D31*(1+ORC_PV!F31))</f>
        <v>0</v>
      </c>
    </row>
    <row r="32" spans="2:7" ht="6.95" customHeight="1" thickBot="1">
      <c r="B32" s="91"/>
      <c r="C32" s="92"/>
      <c r="D32" s="93"/>
      <c r="E32" s="94"/>
      <c r="F32" s="95"/>
      <c r="G32" s="100"/>
    </row>
    <row r="33" spans="2:7" ht="35.1" customHeight="1" thickBot="1">
      <c r="B33" s="185" t="s">
        <v>77</v>
      </c>
      <c r="C33" s="186"/>
      <c r="D33" s="165">
        <f>SUM(D6:D32)</f>
        <v>0</v>
      </c>
      <c r="E33" s="120"/>
      <c r="F33" s="166" t="str">
        <f>IF(G33=0, "",(G33/D33)-1)</f>
        <v/>
      </c>
      <c r="G33" s="122">
        <f>SUM(G6:G32)</f>
        <v>0</v>
      </c>
    </row>
  </sheetData>
  <dataConsolidate/>
  <mergeCells count="5">
    <mergeCell ref="B2:G2"/>
    <mergeCell ref="B4:B5"/>
    <mergeCell ref="C4:C5"/>
    <mergeCell ref="B33:C33"/>
    <mergeCell ref="E4:F4"/>
  </mergeCells>
  <conditionalFormatting sqref="F7">
    <cfRule type="expression" dxfId="24" priority="28">
      <formula>$E$7="SIM"</formula>
    </cfRule>
  </conditionalFormatting>
  <conditionalFormatting sqref="F9">
    <cfRule type="expression" dxfId="23" priority="26">
      <formula>$E$9="SIM"</formula>
    </cfRule>
  </conditionalFormatting>
  <conditionalFormatting sqref="F8">
    <cfRule type="expression" dxfId="22" priority="24">
      <formula>$E$8="SIM"</formula>
    </cfRule>
  </conditionalFormatting>
  <conditionalFormatting sqref="F10">
    <cfRule type="expression" dxfId="21" priority="23">
      <formula>$E$10="SIM"</formula>
    </cfRule>
  </conditionalFormatting>
  <conditionalFormatting sqref="F11">
    <cfRule type="expression" dxfId="20" priority="21">
      <formula>$E$11="SIM"</formula>
    </cfRule>
  </conditionalFormatting>
  <conditionalFormatting sqref="F12">
    <cfRule type="expression" dxfId="19" priority="20">
      <formula>$E$12="SIM"</formula>
    </cfRule>
  </conditionalFormatting>
  <conditionalFormatting sqref="F13">
    <cfRule type="expression" dxfId="18" priority="19">
      <formula>$E$13="SIM"</formula>
    </cfRule>
  </conditionalFormatting>
  <conditionalFormatting sqref="F14">
    <cfRule type="expression" dxfId="17" priority="18">
      <formula>$E$14="SIM"</formula>
    </cfRule>
  </conditionalFormatting>
  <conditionalFormatting sqref="F15">
    <cfRule type="expression" dxfId="16" priority="17">
      <formula>$E$15="SIM"</formula>
    </cfRule>
  </conditionalFormatting>
  <conditionalFormatting sqref="F16">
    <cfRule type="expression" dxfId="15" priority="16">
      <formula>$E$16="SIM"</formula>
    </cfRule>
  </conditionalFormatting>
  <conditionalFormatting sqref="F17">
    <cfRule type="expression" dxfId="14" priority="15">
      <formula>$E$17="SIM"</formula>
    </cfRule>
  </conditionalFormatting>
  <conditionalFormatting sqref="F18">
    <cfRule type="expression" dxfId="13" priority="14">
      <formula>$E$18="SIM"</formula>
    </cfRule>
  </conditionalFormatting>
  <conditionalFormatting sqref="F19">
    <cfRule type="expression" dxfId="12" priority="13">
      <formula>$E$19="SIM"</formula>
    </cfRule>
  </conditionalFormatting>
  <conditionalFormatting sqref="F20">
    <cfRule type="expression" dxfId="11" priority="12">
      <formula>$E$20="SIM"</formula>
    </cfRule>
  </conditionalFormatting>
  <conditionalFormatting sqref="F21">
    <cfRule type="expression" dxfId="10" priority="11">
      <formula>$E$21="SIM"</formula>
    </cfRule>
  </conditionalFormatting>
  <conditionalFormatting sqref="F22">
    <cfRule type="expression" dxfId="9" priority="10">
      <formula>$E$22="SIM"</formula>
    </cfRule>
  </conditionalFormatting>
  <conditionalFormatting sqref="F23">
    <cfRule type="expression" dxfId="8" priority="9">
      <formula>$E$23="SIM"</formula>
    </cfRule>
  </conditionalFormatting>
  <conditionalFormatting sqref="F24">
    <cfRule type="expression" dxfId="7" priority="8">
      <formula>$E$24="SIM"</formula>
    </cfRule>
  </conditionalFormatting>
  <conditionalFormatting sqref="F25">
    <cfRule type="expression" dxfId="6" priority="7">
      <formula>$E$25="SIM"</formula>
    </cfRule>
  </conditionalFormatting>
  <conditionalFormatting sqref="F26">
    <cfRule type="expression" dxfId="5" priority="6">
      <formula>$E$26="SIM"</formula>
    </cfRule>
  </conditionalFormatting>
  <conditionalFormatting sqref="F27">
    <cfRule type="expression" dxfId="4" priority="5">
      <formula>$E$27="SIM"</formula>
    </cfRule>
  </conditionalFormatting>
  <conditionalFormatting sqref="F28">
    <cfRule type="expression" dxfId="3" priority="4">
      <formula>$E$28="SIM"</formula>
    </cfRule>
  </conditionalFormatting>
  <conditionalFormatting sqref="F29">
    <cfRule type="expression" dxfId="2" priority="3">
      <formula>$E$29="SIM"</formula>
    </cfRule>
  </conditionalFormatting>
  <conditionalFormatting sqref="F30">
    <cfRule type="expression" dxfId="1" priority="2">
      <formula>$E$30="SIM"</formula>
    </cfRule>
  </conditionalFormatting>
  <conditionalFormatting sqref="F31">
    <cfRule type="expression" dxfId="0" priority="1">
      <formula>$E$31="SIM"</formula>
    </cfRule>
  </conditionalFormatting>
  <dataValidations count="1">
    <dataValidation type="list" allowBlank="1" showInputMessage="1" showErrorMessage="1" sqref="E7:E31" xr:uid="{00000000-0002-0000-0200-000000000000}">
      <formula1>"SIM,NÃO"</formula1>
    </dataValidation>
  </dataValidations>
  <hyperlinks>
    <hyperlink ref="B7" location="'01.'!A1" display="01." xr:uid="{00000000-0004-0000-0200-000000000000}"/>
    <hyperlink ref="B8" location="'02.'!A1" display="02." xr:uid="{00000000-0004-0000-0200-000001000000}"/>
    <hyperlink ref="B9" location="'03.'!A1" display="03." xr:uid="{00000000-0004-0000-0200-000002000000}"/>
    <hyperlink ref="B10" location="'04.'!A1" display="04." xr:uid="{00000000-0004-0000-0200-000003000000}"/>
    <hyperlink ref="B12" location="'06.'!A1" display="06." xr:uid="{00000000-0004-0000-0200-000004000000}"/>
    <hyperlink ref="B13" location="'07.'!A1" display="07." xr:uid="{00000000-0004-0000-0200-000005000000}"/>
    <hyperlink ref="B14" location="'08.'!A1" display="08." xr:uid="{00000000-0004-0000-0200-000006000000}"/>
    <hyperlink ref="B15" location="'09.'!A1" display="09." xr:uid="{00000000-0004-0000-0200-000007000000}"/>
    <hyperlink ref="B16" location="'10.'!A1" display="10." xr:uid="{00000000-0004-0000-0200-000008000000}"/>
    <hyperlink ref="B17" location="'11.'!A1" display="11." xr:uid="{00000000-0004-0000-0200-000009000000}"/>
    <hyperlink ref="B18" location="'12.'!A1" display="12." xr:uid="{00000000-0004-0000-0200-00000A000000}"/>
    <hyperlink ref="B19" location="'13.'!A1" display="13." xr:uid="{00000000-0004-0000-0200-00000B000000}"/>
    <hyperlink ref="B20" location="'14.'!A1" display="14." xr:uid="{00000000-0004-0000-0200-00000C000000}"/>
    <hyperlink ref="B21" location="'15.'!A1" display="15." xr:uid="{00000000-0004-0000-0200-00000D000000}"/>
    <hyperlink ref="B22" location="'16.'!A1" display="16." xr:uid="{00000000-0004-0000-0200-00000E000000}"/>
    <hyperlink ref="B23" location="'17.'!A1" display="17." xr:uid="{00000000-0004-0000-0200-00000F000000}"/>
    <hyperlink ref="B24" location="'18.'!A1" display="18." xr:uid="{00000000-0004-0000-0200-000010000000}"/>
    <hyperlink ref="B25" location="'19.'!A1" display="19." xr:uid="{00000000-0004-0000-0200-000011000000}"/>
    <hyperlink ref="B26" location="'20.'!A1" display="20." xr:uid="{00000000-0004-0000-0200-000012000000}"/>
    <hyperlink ref="B27" location="'21.'!A1" display="21." xr:uid="{00000000-0004-0000-0200-000013000000}"/>
    <hyperlink ref="B28" location="'22.'!A1" display="22." xr:uid="{00000000-0004-0000-0200-000014000000}"/>
    <hyperlink ref="B29" location="'23.'!A1" display="23." xr:uid="{00000000-0004-0000-0200-000015000000}"/>
    <hyperlink ref="B11" location="'05.'!A1" display="05." xr:uid="{00000000-0004-0000-0200-000016000000}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L35"/>
  <sheetViews>
    <sheetView zoomScale="80" zoomScaleNormal="80" workbookViewId="0" xr3:uid="{51F8DEE0-4D01-5F28-A812-FC0BD7CAC4A5}">
      <selection activeCell="G13" sqref="G13:J13"/>
    </sheetView>
  </sheetViews>
  <sheetFormatPr defaultColWidth="9.14453125" defaultRowHeight="15"/>
  <cols>
    <col min="1" max="1" width="2.28515625" style="2" customWidth="1"/>
    <col min="2" max="2" width="3.2265625" style="2" customWidth="1"/>
    <col min="3" max="3" width="10.76171875" style="2" customWidth="1"/>
    <col min="4" max="4" width="56.765625" style="2" customWidth="1"/>
    <col min="5" max="5" width="14.66015625" style="2" customWidth="1"/>
    <col min="6" max="6" width="12.64453125" style="2" customWidth="1"/>
    <col min="7" max="10" width="16.6796875" style="2" customWidth="1"/>
    <col min="11" max="11" width="18.6953125" style="2" customWidth="1"/>
    <col min="12" max="12" width="2.6875" style="2" customWidth="1"/>
    <col min="13" max="16384" width="9.14453125" style="2"/>
  </cols>
  <sheetData>
    <row r="1" spans="2:12" ht="15.75" thickBot="1"/>
    <row r="2" spans="2:12" ht="50.1" customHeight="1" thickBot="1">
      <c r="B2" s="188" t="s">
        <v>78</v>
      </c>
      <c r="C2" s="189"/>
      <c r="D2" s="189"/>
      <c r="E2" s="189"/>
      <c r="F2" s="189"/>
      <c r="G2" s="189"/>
      <c r="H2" s="189"/>
      <c r="I2" s="189"/>
      <c r="J2" s="189"/>
      <c r="K2" s="189"/>
      <c r="L2" s="190"/>
    </row>
    <row r="3" spans="2:12">
      <c r="B3" s="35"/>
      <c r="C3" s="36" t="s">
        <v>22</v>
      </c>
      <c r="D3" s="37"/>
      <c r="E3" s="38"/>
      <c r="F3" s="39"/>
      <c r="G3" s="39"/>
      <c r="H3" s="39"/>
      <c r="I3" s="39"/>
      <c r="J3" s="40"/>
      <c r="K3" s="41"/>
      <c r="L3" s="42"/>
    </row>
    <row r="4" spans="2:12" ht="6.95" customHeight="1">
      <c r="B4" s="35"/>
      <c r="C4" s="36"/>
      <c r="D4" s="37"/>
      <c r="E4" s="38"/>
      <c r="F4" s="39"/>
      <c r="G4" s="39"/>
      <c r="H4" s="39"/>
      <c r="I4" s="39"/>
      <c r="J4" s="40"/>
      <c r="K4" s="41"/>
      <c r="L4" s="42"/>
    </row>
    <row r="5" spans="2:12" ht="21.95" customHeight="1">
      <c r="B5" s="35"/>
      <c r="C5" s="191" t="s">
        <v>79</v>
      </c>
      <c r="D5" s="191"/>
      <c r="E5" s="191"/>
      <c r="F5" s="192"/>
      <c r="G5" s="39" t="s">
        <v>80</v>
      </c>
      <c r="H5" s="39" t="s">
        <v>81</v>
      </c>
      <c r="I5" s="39" t="s">
        <v>82</v>
      </c>
      <c r="J5" s="43" t="s">
        <v>83</v>
      </c>
      <c r="K5" s="43" t="s">
        <v>84</v>
      </c>
      <c r="L5" s="42"/>
    </row>
    <row r="6" spans="2:12" ht="21.95" customHeight="1">
      <c r="B6" s="44"/>
      <c r="C6" s="191"/>
      <c r="D6" s="191"/>
      <c r="E6" s="191"/>
      <c r="F6" s="192"/>
      <c r="G6" s="45">
        <f>SUMPRODUCT(E13:E33,G13:G33)</f>
        <v>0</v>
      </c>
      <c r="H6" s="45">
        <f>SUMPRODUCT(E13:E33,H13:H33)</f>
        <v>0</v>
      </c>
      <c r="I6" s="45">
        <f>SUMPRODUCT(E13:E33,I13:I33)</f>
        <v>0</v>
      </c>
      <c r="J6" s="46">
        <f>SUMPRODUCT(E13:E33,J13:J33)</f>
        <v>0</v>
      </c>
      <c r="K6" s="46">
        <f>K34</f>
        <v>0</v>
      </c>
      <c r="L6" s="42"/>
    </row>
    <row r="7" spans="2:12" ht="21.95" customHeight="1">
      <c r="B7" s="44"/>
      <c r="C7" s="191"/>
      <c r="D7" s="191"/>
      <c r="E7" s="191"/>
      <c r="F7" s="192"/>
      <c r="G7" s="47">
        <f>IF(K34&lt;&gt;0,G6/K34,0)</f>
        <v>0</v>
      </c>
      <c r="H7" s="47">
        <f>IF(K34&lt;&gt;0,H6/K34,0)</f>
        <v>0</v>
      </c>
      <c r="I7" s="47">
        <f>IF(K34&lt;&gt;0,I6/K34,0)</f>
        <v>0</v>
      </c>
      <c r="J7" s="48">
        <f>IF(K34&lt;&gt;0,J6/K34,0)</f>
        <v>0</v>
      </c>
      <c r="K7" s="48">
        <f>IF(K34&lt;&gt;0,K6/ORC_Custo!G33,0)</f>
        <v>0</v>
      </c>
      <c r="L7" s="42"/>
    </row>
    <row r="8" spans="2:12" ht="6.95" customHeight="1">
      <c r="B8" s="35"/>
      <c r="C8" s="49"/>
      <c r="D8" s="50"/>
      <c r="E8" s="51"/>
      <c r="F8" s="52"/>
      <c r="G8" s="52"/>
      <c r="H8" s="52"/>
      <c r="I8" s="52"/>
      <c r="J8" s="53"/>
      <c r="K8" s="54"/>
      <c r="L8" s="42"/>
    </row>
    <row r="9" spans="2:12" ht="6.95" customHeight="1" thickBot="1">
      <c r="B9" s="35"/>
      <c r="C9" s="55"/>
      <c r="D9" s="56"/>
      <c r="E9" s="51"/>
      <c r="F9" s="52"/>
      <c r="G9" s="52"/>
      <c r="H9" s="52"/>
      <c r="I9" s="52"/>
      <c r="J9" s="53"/>
      <c r="K9" s="54"/>
      <c r="L9" s="42"/>
    </row>
    <row r="10" spans="2:12" ht="30" customHeight="1" thickBot="1">
      <c r="B10" s="193" t="s">
        <v>85</v>
      </c>
      <c r="C10" s="194"/>
      <c r="D10" s="197" t="s">
        <v>86</v>
      </c>
      <c r="E10" s="199" t="s">
        <v>87</v>
      </c>
      <c r="F10" s="201" t="s">
        <v>88</v>
      </c>
      <c r="G10" s="203" t="s">
        <v>89</v>
      </c>
      <c r="H10" s="204"/>
      <c r="I10" s="204"/>
      <c r="J10" s="205"/>
      <c r="K10" s="206" t="s">
        <v>90</v>
      </c>
      <c r="L10" s="207"/>
    </row>
    <row r="11" spans="2:12" ht="30" customHeight="1" thickBot="1">
      <c r="B11" s="195"/>
      <c r="C11" s="196"/>
      <c r="D11" s="198"/>
      <c r="E11" s="200"/>
      <c r="F11" s="202"/>
      <c r="G11" s="101" t="s">
        <v>91</v>
      </c>
      <c r="H11" s="101" t="s">
        <v>92</v>
      </c>
      <c r="I11" s="101" t="s">
        <v>93</v>
      </c>
      <c r="J11" s="102" t="s">
        <v>94</v>
      </c>
      <c r="K11" s="208"/>
      <c r="L11" s="209"/>
    </row>
    <row r="12" spans="2:12" ht="6.95" customHeight="1">
      <c r="B12" s="57"/>
      <c r="C12" s="58"/>
      <c r="D12" s="59"/>
      <c r="E12" s="60"/>
      <c r="F12" s="61"/>
      <c r="G12" s="61"/>
      <c r="H12" s="61"/>
      <c r="I12" s="61"/>
      <c r="J12" s="60"/>
      <c r="K12" s="62"/>
      <c r="L12" s="63"/>
    </row>
    <row r="13" spans="2:12" ht="21.95" customHeight="1">
      <c r="B13" s="57"/>
      <c r="C13" s="64" t="s">
        <v>95</v>
      </c>
      <c r="D13" s="65"/>
      <c r="E13" s="66"/>
      <c r="F13" s="67" t="s">
        <v>96</v>
      </c>
      <c r="G13" s="67"/>
      <c r="H13" s="67"/>
      <c r="I13" s="67"/>
      <c r="J13" s="68"/>
      <c r="K13" s="69">
        <f>(G13+H13+I13+J13)*E13</f>
        <v>0</v>
      </c>
      <c r="L13" s="63"/>
    </row>
    <row r="14" spans="2:12" ht="21.95" customHeight="1">
      <c r="B14" s="57"/>
      <c r="C14" s="64" t="s">
        <v>97</v>
      </c>
      <c r="D14" s="65"/>
      <c r="E14" s="66"/>
      <c r="F14" s="67" t="s">
        <v>96</v>
      </c>
      <c r="G14" s="67"/>
      <c r="H14" s="67"/>
      <c r="I14" s="67"/>
      <c r="J14" s="70"/>
      <c r="K14" s="69">
        <f t="shared" ref="K14:K32" si="0">(G14+H14+I14+J14)*E14</f>
        <v>0</v>
      </c>
      <c r="L14" s="63"/>
    </row>
    <row r="15" spans="2:12" ht="21.95" customHeight="1">
      <c r="B15" s="57"/>
      <c r="C15" s="64" t="s">
        <v>98</v>
      </c>
      <c r="D15" s="65"/>
      <c r="E15" s="66"/>
      <c r="F15" s="67" t="s">
        <v>96</v>
      </c>
      <c r="G15" s="67"/>
      <c r="H15" s="67"/>
      <c r="I15" s="67"/>
      <c r="J15" s="68"/>
      <c r="K15" s="69">
        <f t="shared" si="0"/>
        <v>0</v>
      </c>
      <c r="L15" s="63"/>
    </row>
    <row r="16" spans="2:12" ht="21.95" customHeight="1">
      <c r="B16" s="57"/>
      <c r="C16" s="64" t="s">
        <v>99</v>
      </c>
      <c r="D16" s="65"/>
      <c r="E16" s="66"/>
      <c r="F16" s="67" t="s">
        <v>96</v>
      </c>
      <c r="G16" s="71"/>
      <c r="H16" s="71"/>
      <c r="I16" s="71"/>
      <c r="J16" s="69"/>
      <c r="K16" s="69">
        <f t="shared" si="0"/>
        <v>0</v>
      </c>
      <c r="L16" s="63"/>
    </row>
    <row r="17" spans="2:12" ht="21.95" customHeight="1">
      <c r="B17" s="57"/>
      <c r="C17" s="64" t="s">
        <v>100</v>
      </c>
      <c r="D17" s="65"/>
      <c r="E17" s="66"/>
      <c r="F17" s="67" t="s">
        <v>96</v>
      </c>
      <c r="G17" s="67"/>
      <c r="H17" s="67"/>
      <c r="I17" s="67"/>
      <c r="J17" s="68"/>
      <c r="K17" s="69">
        <f t="shared" si="0"/>
        <v>0</v>
      </c>
      <c r="L17" s="63"/>
    </row>
    <row r="18" spans="2:12" ht="21.95" customHeight="1">
      <c r="B18" s="57"/>
      <c r="C18" s="64" t="s">
        <v>101</v>
      </c>
      <c r="D18" s="65"/>
      <c r="E18" s="66"/>
      <c r="F18" s="67" t="s">
        <v>96</v>
      </c>
      <c r="G18" s="71"/>
      <c r="H18" s="71"/>
      <c r="I18" s="71"/>
      <c r="J18" s="69"/>
      <c r="K18" s="69">
        <f t="shared" si="0"/>
        <v>0</v>
      </c>
      <c r="L18" s="63"/>
    </row>
    <row r="19" spans="2:12" ht="21.95" customHeight="1">
      <c r="B19" s="57"/>
      <c r="C19" s="64" t="s">
        <v>102</v>
      </c>
      <c r="D19" s="65"/>
      <c r="E19" s="66"/>
      <c r="F19" s="67" t="s">
        <v>96</v>
      </c>
      <c r="G19" s="67"/>
      <c r="H19" s="67"/>
      <c r="I19" s="67"/>
      <c r="J19" s="68"/>
      <c r="K19" s="69">
        <f t="shared" si="0"/>
        <v>0</v>
      </c>
      <c r="L19" s="63"/>
    </row>
    <row r="20" spans="2:12" ht="21.95" customHeight="1">
      <c r="B20" s="57"/>
      <c r="C20" s="64" t="s">
        <v>103</v>
      </c>
      <c r="D20" s="65"/>
      <c r="E20" s="66"/>
      <c r="F20" s="67" t="s">
        <v>96</v>
      </c>
      <c r="G20" s="71"/>
      <c r="H20" s="71"/>
      <c r="I20" s="71"/>
      <c r="J20" s="69"/>
      <c r="K20" s="69">
        <f t="shared" si="0"/>
        <v>0</v>
      </c>
      <c r="L20" s="63"/>
    </row>
    <row r="21" spans="2:12" ht="21.95" customHeight="1">
      <c r="B21" s="57"/>
      <c r="C21" s="64" t="s">
        <v>104</v>
      </c>
      <c r="D21" s="65"/>
      <c r="E21" s="66"/>
      <c r="F21" s="67" t="s">
        <v>96</v>
      </c>
      <c r="G21" s="71"/>
      <c r="H21" s="71"/>
      <c r="I21" s="71"/>
      <c r="J21" s="69"/>
      <c r="K21" s="69">
        <f t="shared" si="0"/>
        <v>0</v>
      </c>
      <c r="L21" s="63"/>
    </row>
    <row r="22" spans="2:12" ht="21.95" customHeight="1">
      <c r="B22" s="57"/>
      <c r="C22" s="64" t="s">
        <v>105</v>
      </c>
      <c r="D22" s="65"/>
      <c r="E22" s="66"/>
      <c r="F22" s="67" t="s">
        <v>96</v>
      </c>
      <c r="G22" s="71"/>
      <c r="H22" s="71"/>
      <c r="I22" s="71"/>
      <c r="J22" s="69"/>
      <c r="K22" s="69">
        <f t="shared" si="0"/>
        <v>0</v>
      </c>
      <c r="L22" s="63"/>
    </row>
    <row r="23" spans="2:12" ht="21.95" customHeight="1">
      <c r="B23" s="57"/>
      <c r="C23" s="64" t="s">
        <v>106</v>
      </c>
      <c r="D23" s="65"/>
      <c r="E23" s="66"/>
      <c r="F23" s="67" t="s">
        <v>96</v>
      </c>
      <c r="G23" s="71"/>
      <c r="H23" s="71"/>
      <c r="I23" s="71"/>
      <c r="J23" s="69"/>
      <c r="K23" s="69">
        <f t="shared" si="0"/>
        <v>0</v>
      </c>
      <c r="L23" s="63"/>
    </row>
    <row r="24" spans="2:12" ht="21.95" customHeight="1">
      <c r="B24" s="57"/>
      <c r="C24" s="64" t="s">
        <v>107</v>
      </c>
      <c r="D24" s="65"/>
      <c r="E24" s="66"/>
      <c r="F24" s="67" t="s">
        <v>96</v>
      </c>
      <c r="G24" s="71"/>
      <c r="H24" s="71"/>
      <c r="I24" s="71"/>
      <c r="J24" s="69"/>
      <c r="K24" s="69">
        <f t="shared" si="0"/>
        <v>0</v>
      </c>
      <c r="L24" s="63"/>
    </row>
    <row r="25" spans="2:12" ht="21.95" customHeight="1">
      <c r="B25" s="57"/>
      <c r="C25" s="64" t="s">
        <v>108</v>
      </c>
      <c r="D25" s="65"/>
      <c r="E25" s="66"/>
      <c r="F25" s="67" t="s">
        <v>96</v>
      </c>
      <c r="G25" s="71"/>
      <c r="H25" s="71"/>
      <c r="I25" s="71"/>
      <c r="J25" s="69"/>
      <c r="K25" s="69">
        <f t="shared" si="0"/>
        <v>0</v>
      </c>
      <c r="L25" s="63"/>
    </row>
    <row r="26" spans="2:12" ht="21.95" customHeight="1">
      <c r="B26" s="57"/>
      <c r="C26" s="64" t="s">
        <v>109</v>
      </c>
      <c r="D26" s="65"/>
      <c r="E26" s="66"/>
      <c r="F26" s="67" t="s">
        <v>96</v>
      </c>
      <c r="G26" s="71"/>
      <c r="H26" s="71"/>
      <c r="I26" s="71"/>
      <c r="J26" s="69"/>
      <c r="K26" s="69">
        <f t="shared" si="0"/>
        <v>0</v>
      </c>
      <c r="L26" s="63"/>
    </row>
    <row r="27" spans="2:12" ht="21.95" customHeight="1">
      <c r="B27" s="57"/>
      <c r="C27" s="64" t="s">
        <v>110</v>
      </c>
      <c r="D27" s="65"/>
      <c r="E27" s="66"/>
      <c r="F27" s="67" t="s">
        <v>96</v>
      </c>
      <c r="G27" s="71"/>
      <c r="H27" s="71"/>
      <c r="I27" s="71"/>
      <c r="J27" s="69"/>
      <c r="K27" s="69">
        <f t="shared" si="0"/>
        <v>0</v>
      </c>
      <c r="L27" s="63"/>
    </row>
    <row r="28" spans="2:12" ht="21.95" customHeight="1">
      <c r="B28" s="57"/>
      <c r="C28" s="64" t="s">
        <v>111</v>
      </c>
      <c r="D28" s="65"/>
      <c r="E28" s="66"/>
      <c r="F28" s="67" t="s">
        <v>96</v>
      </c>
      <c r="G28" s="71"/>
      <c r="H28" s="71"/>
      <c r="I28" s="71"/>
      <c r="J28" s="69"/>
      <c r="K28" s="69">
        <f t="shared" si="0"/>
        <v>0</v>
      </c>
      <c r="L28" s="63"/>
    </row>
    <row r="29" spans="2:12" ht="21.95" customHeight="1">
      <c r="B29" s="57"/>
      <c r="C29" s="64" t="s">
        <v>112</v>
      </c>
      <c r="D29" s="65"/>
      <c r="E29" s="66"/>
      <c r="F29" s="67" t="s">
        <v>96</v>
      </c>
      <c r="G29" s="71"/>
      <c r="H29" s="71"/>
      <c r="I29" s="71"/>
      <c r="J29" s="69"/>
      <c r="K29" s="69">
        <f t="shared" si="0"/>
        <v>0</v>
      </c>
      <c r="L29" s="63"/>
    </row>
    <row r="30" spans="2:12" ht="21.95" customHeight="1">
      <c r="B30" s="57"/>
      <c r="C30" s="64" t="s">
        <v>113</v>
      </c>
      <c r="D30" s="65"/>
      <c r="E30" s="66"/>
      <c r="F30" s="67" t="s">
        <v>96</v>
      </c>
      <c r="G30" s="71"/>
      <c r="H30" s="71"/>
      <c r="I30" s="71"/>
      <c r="J30" s="69"/>
      <c r="K30" s="69">
        <f t="shared" si="0"/>
        <v>0</v>
      </c>
      <c r="L30" s="63"/>
    </row>
    <row r="31" spans="2:12" ht="21.95" customHeight="1">
      <c r="B31" s="57"/>
      <c r="C31" s="64" t="s">
        <v>114</v>
      </c>
      <c r="D31" s="65"/>
      <c r="E31" s="66"/>
      <c r="F31" s="67" t="s">
        <v>96</v>
      </c>
      <c r="G31" s="71"/>
      <c r="H31" s="71"/>
      <c r="I31" s="71"/>
      <c r="J31" s="69"/>
      <c r="K31" s="69">
        <f t="shared" si="0"/>
        <v>0</v>
      </c>
      <c r="L31" s="63"/>
    </row>
    <row r="32" spans="2:12" ht="21.95" customHeight="1">
      <c r="B32" s="57"/>
      <c r="C32" s="64" t="s">
        <v>115</v>
      </c>
      <c r="D32" s="65"/>
      <c r="E32" s="66"/>
      <c r="F32" s="67" t="s">
        <v>96</v>
      </c>
      <c r="G32" s="67"/>
      <c r="H32" s="67"/>
      <c r="I32" s="67"/>
      <c r="J32" s="68"/>
      <c r="K32" s="69">
        <f t="shared" si="0"/>
        <v>0</v>
      </c>
      <c r="L32" s="63"/>
    </row>
    <row r="33" spans="2:12" ht="6.95" customHeight="1" thickBot="1">
      <c r="B33" s="72"/>
      <c r="C33" s="73"/>
      <c r="D33" s="74"/>
      <c r="E33" s="75"/>
      <c r="F33" s="76"/>
      <c r="G33" s="76"/>
      <c r="H33" s="76"/>
      <c r="I33" s="76"/>
      <c r="J33" s="75"/>
      <c r="K33" s="77"/>
      <c r="L33" s="78"/>
    </row>
    <row r="34" spans="2:12" ht="30" customHeight="1">
      <c r="B34" s="103"/>
      <c r="C34" s="104"/>
      <c r="D34" s="105" t="s">
        <v>116</v>
      </c>
      <c r="E34" s="106"/>
      <c r="F34" s="107"/>
      <c r="G34" s="107"/>
      <c r="H34" s="107"/>
      <c r="I34" s="107"/>
      <c r="J34" s="108"/>
      <c r="K34" s="109">
        <f>SUM(K13:K33)</f>
        <v>0</v>
      </c>
      <c r="L34" s="110"/>
    </row>
    <row r="35" spans="2:12" ht="9.9499999999999993" customHeight="1" thickBot="1">
      <c r="B35" s="111"/>
      <c r="C35" s="112"/>
      <c r="D35" s="113"/>
      <c r="E35" s="114"/>
      <c r="F35" s="115"/>
      <c r="G35" s="116"/>
      <c r="H35" s="116"/>
      <c r="I35" s="116"/>
      <c r="J35" s="116"/>
      <c r="K35" s="117"/>
      <c r="L35" s="118"/>
    </row>
  </sheetData>
  <mergeCells count="8">
    <mergeCell ref="B2:L2"/>
    <mergeCell ref="C5:F7"/>
    <mergeCell ref="B10:C11"/>
    <mergeCell ref="D10:D11"/>
    <mergeCell ref="E10:E11"/>
    <mergeCell ref="F10:F11"/>
    <mergeCell ref="G10:J10"/>
    <mergeCell ref="K10:L11"/>
  </mergeCells>
  <dataValidations count="1">
    <dataValidation type="list" allowBlank="1" showInputMessage="1" showErrorMessage="1" sqref="F13:F32" xr:uid="{00000000-0002-0000-0300-000000000000}">
      <formula1>"m,m²,m³,kg,L,un,vb"</formula1>
    </dataValidation>
  </dataValidations>
  <pageMargins left="0.51181102362204722" right="0.51181102362204722" top="0.59055118110236227" bottom="0.59055118110236227" header="0.31496062992125984" footer="0.31496062992125984"/>
  <pageSetup paperSize="9" scale="7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L35"/>
  <sheetViews>
    <sheetView zoomScale="80" zoomScaleNormal="80" workbookViewId="0" xr3:uid="{F9CF3CF3-643B-5BE6-8B46-32C596A47465}">
      <selection activeCell="G13" sqref="G13:J13"/>
    </sheetView>
  </sheetViews>
  <sheetFormatPr defaultColWidth="9.14453125" defaultRowHeight="15"/>
  <cols>
    <col min="1" max="1" width="2.28515625" style="2" customWidth="1"/>
    <col min="2" max="2" width="3.2265625" style="2" customWidth="1"/>
    <col min="3" max="3" width="10.76171875" style="2" customWidth="1"/>
    <col min="4" max="4" width="56.765625" style="2" customWidth="1"/>
    <col min="5" max="5" width="14.66015625" style="2" customWidth="1"/>
    <col min="6" max="6" width="12.64453125" style="2" customWidth="1"/>
    <col min="7" max="10" width="16.6796875" style="2" customWidth="1"/>
    <col min="11" max="11" width="18.6953125" style="2" customWidth="1"/>
    <col min="12" max="12" width="2.6875" style="2" customWidth="1"/>
    <col min="13" max="16384" width="9.14453125" style="2"/>
  </cols>
  <sheetData>
    <row r="1" spans="2:12" ht="15.75" thickBot="1"/>
    <row r="2" spans="2:12" ht="50.1" customHeight="1" thickBot="1">
      <c r="B2" s="188" t="s">
        <v>117</v>
      </c>
      <c r="C2" s="189"/>
      <c r="D2" s="189"/>
      <c r="E2" s="189"/>
      <c r="F2" s="189"/>
      <c r="G2" s="189"/>
      <c r="H2" s="189"/>
      <c r="I2" s="189"/>
      <c r="J2" s="189"/>
      <c r="K2" s="189"/>
      <c r="L2" s="190"/>
    </row>
    <row r="3" spans="2:12">
      <c r="B3" s="35"/>
      <c r="C3" s="36" t="s">
        <v>22</v>
      </c>
      <c r="D3" s="37"/>
      <c r="E3" s="38"/>
      <c r="F3" s="39"/>
      <c r="G3" s="39"/>
      <c r="H3" s="39"/>
      <c r="I3" s="39"/>
      <c r="J3" s="40"/>
      <c r="K3" s="41"/>
      <c r="L3" s="42"/>
    </row>
    <row r="4" spans="2:12" ht="6.95" customHeight="1">
      <c r="B4" s="35"/>
      <c r="C4" s="36"/>
      <c r="D4" s="37"/>
      <c r="E4" s="38"/>
      <c r="F4" s="39"/>
      <c r="G4" s="39"/>
      <c r="H4" s="39"/>
      <c r="I4" s="39"/>
      <c r="J4" s="40"/>
      <c r="K4" s="41"/>
      <c r="L4" s="42"/>
    </row>
    <row r="5" spans="2:12" ht="21.95" customHeight="1">
      <c r="B5" s="35"/>
      <c r="C5" s="191" t="s">
        <v>118</v>
      </c>
      <c r="D5" s="191"/>
      <c r="E5" s="191"/>
      <c r="F5" s="192"/>
      <c r="G5" s="39" t="s">
        <v>80</v>
      </c>
      <c r="H5" s="39" t="s">
        <v>81</v>
      </c>
      <c r="I5" s="39" t="s">
        <v>82</v>
      </c>
      <c r="J5" s="43" t="s">
        <v>83</v>
      </c>
      <c r="K5" s="43" t="s">
        <v>84</v>
      </c>
      <c r="L5" s="42"/>
    </row>
    <row r="6" spans="2:12" ht="21.95" customHeight="1">
      <c r="B6" s="44"/>
      <c r="C6" s="191"/>
      <c r="D6" s="191"/>
      <c r="E6" s="191"/>
      <c r="F6" s="192"/>
      <c r="G6" s="45">
        <f>SUMPRODUCT(E13:E33,G13:G33)</f>
        <v>0</v>
      </c>
      <c r="H6" s="45">
        <f>SUMPRODUCT(E13:E33,H13:H33)</f>
        <v>0</v>
      </c>
      <c r="I6" s="45">
        <f>SUMPRODUCT(E13:E33,I13:I33)</f>
        <v>0</v>
      </c>
      <c r="J6" s="46">
        <f>SUMPRODUCT(E13:E33,J13:J33)</f>
        <v>0</v>
      </c>
      <c r="K6" s="46">
        <f>K34</f>
        <v>0</v>
      </c>
      <c r="L6" s="42"/>
    </row>
    <row r="7" spans="2:12" ht="21.95" customHeight="1">
      <c r="B7" s="44"/>
      <c r="C7" s="191"/>
      <c r="D7" s="191"/>
      <c r="E7" s="191"/>
      <c r="F7" s="192"/>
      <c r="G7" s="47">
        <f>IF(K34&lt;&gt;0,G6/K34,0)</f>
        <v>0</v>
      </c>
      <c r="H7" s="47">
        <f>IF(K34&lt;&gt;0,H6/K34,0)</f>
        <v>0</v>
      </c>
      <c r="I7" s="47">
        <f>IF(K34&lt;&gt;0,I6/K34,0)</f>
        <v>0</v>
      </c>
      <c r="J7" s="48">
        <f>IF(K34&lt;&gt;0,J6/K34,0)</f>
        <v>0</v>
      </c>
      <c r="K7" s="48">
        <f>IF(K34&lt;&gt;0,K6/ORC_Custo!G33,0)</f>
        <v>0</v>
      </c>
      <c r="L7" s="42"/>
    </row>
    <row r="8" spans="2:12" ht="6.95" customHeight="1">
      <c r="B8" s="35"/>
      <c r="C8" s="49"/>
      <c r="D8" s="50"/>
      <c r="E8" s="51"/>
      <c r="F8" s="52"/>
      <c r="G8" s="52"/>
      <c r="H8" s="52"/>
      <c r="I8" s="52"/>
      <c r="J8" s="53"/>
      <c r="K8" s="54"/>
      <c r="L8" s="42"/>
    </row>
    <row r="9" spans="2:12" ht="6.95" customHeight="1" thickBot="1">
      <c r="B9" s="35"/>
      <c r="C9" s="55"/>
      <c r="D9" s="56"/>
      <c r="E9" s="51"/>
      <c r="F9" s="52"/>
      <c r="G9" s="52"/>
      <c r="H9" s="52"/>
      <c r="I9" s="52"/>
      <c r="J9" s="53"/>
      <c r="K9" s="54"/>
      <c r="L9" s="42"/>
    </row>
    <row r="10" spans="2:12" ht="30" customHeight="1" thickBot="1">
      <c r="B10" s="193" t="s">
        <v>85</v>
      </c>
      <c r="C10" s="194"/>
      <c r="D10" s="197" t="s">
        <v>86</v>
      </c>
      <c r="E10" s="199" t="s">
        <v>87</v>
      </c>
      <c r="F10" s="201" t="s">
        <v>88</v>
      </c>
      <c r="G10" s="203" t="s">
        <v>89</v>
      </c>
      <c r="H10" s="204"/>
      <c r="I10" s="204"/>
      <c r="J10" s="205"/>
      <c r="K10" s="206" t="s">
        <v>90</v>
      </c>
      <c r="L10" s="207"/>
    </row>
    <row r="11" spans="2:12" ht="30" customHeight="1" thickBot="1">
      <c r="B11" s="195"/>
      <c r="C11" s="196"/>
      <c r="D11" s="198"/>
      <c r="E11" s="200"/>
      <c r="F11" s="202"/>
      <c r="G11" s="101" t="s">
        <v>91</v>
      </c>
      <c r="H11" s="101" t="s">
        <v>92</v>
      </c>
      <c r="I11" s="101" t="s">
        <v>93</v>
      </c>
      <c r="J11" s="102" t="s">
        <v>94</v>
      </c>
      <c r="K11" s="208"/>
      <c r="L11" s="209"/>
    </row>
    <row r="12" spans="2:12" ht="6.95" customHeight="1">
      <c r="B12" s="57"/>
      <c r="C12" s="58"/>
      <c r="D12" s="59"/>
      <c r="E12" s="60"/>
      <c r="F12" s="61"/>
      <c r="G12" s="61"/>
      <c r="H12" s="61"/>
      <c r="I12" s="61"/>
      <c r="J12" s="60"/>
      <c r="K12" s="62"/>
      <c r="L12" s="63"/>
    </row>
    <row r="13" spans="2:12" ht="21.95" customHeight="1">
      <c r="B13" s="57"/>
      <c r="C13" s="64" t="s">
        <v>119</v>
      </c>
      <c r="D13" s="65"/>
      <c r="E13" s="66"/>
      <c r="F13" s="67" t="s">
        <v>96</v>
      </c>
      <c r="G13" s="67"/>
      <c r="H13" s="67"/>
      <c r="I13" s="67"/>
      <c r="J13" s="68"/>
      <c r="K13" s="69">
        <f>(G13+H13+I13+J13)*E13</f>
        <v>0</v>
      </c>
      <c r="L13" s="63"/>
    </row>
    <row r="14" spans="2:12" ht="21.95" customHeight="1">
      <c r="B14" s="57"/>
      <c r="C14" s="64" t="s">
        <v>120</v>
      </c>
      <c r="D14" s="65"/>
      <c r="E14" s="66"/>
      <c r="F14" s="67" t="s">
        <v>96</v>
      </c>
      <c r="G14" s="67"/>
      <c r="H14" s="67"/>
      <c r="I14" s="67"/>
      <c r="J14" s="70"/>
      <c r="K14" s="69">
        <f t="shared" ref="K14:K32" si="0">(G14+H14+I14+J14)*E14</f>
        <v>0</v>
      </c>
      <c r="L14" s="63"/>
    </row>
    <row r="15" spans="2:12" ht="21.95" customHeight="1">
      <c r="B15" s="57"/>
      <c r="C15" s="64" t="s">
        <v>121</v>
      </c>
      <c r="D15" s="65"/>
      <c r="E15" s="66"/>
      <c r="F15" s="67" t="s">
        <v>96</v>
      </c>
      <c r="G15" s="67"/>
      <c r="H15" s="67"/>
      <c r="I15" s="67"/>
      <c r="J15" s="68"/>
      <c r="K15" s="69">
        <f t="shared" si="0"/>
        <v>0</v>
      </c>
      <c r="L15" s="63"/>
    </row>
    <row r="16" spans="2:12" ht="21.95" customHeight="1">
      <c r="B16" s="57"/>
      <c r="C16" s="64" t="s">
        <v>122</v>
      </c>
      <c r="D16" s="124" t="s">
        <v>160</v>
      </c>
      <c r="E16" s="66"/>
      <c r="F16" s="67" t="s">
        <v>96</v>
      </c>
      <c r="G16" s="71"/>
      <c r="H16" s="71"/>
      <c r="I16" s="71"/>
      <c r="J16" s="69"/>
      <c r="K16" s="69">
        <f t="shared" si="0"/>
        <v>0</v>
      </c>
      <c r="L16" s="63"/>
    </row>
    <row r="17" spans="2:12" ht="21.95" customHeight="1">
      <c r="B17" s="57"/>
      <c r="C17" s="64" t="s">
        <v>123</v>
      </c>
      <c r="D17" s="65"/>
      <c r="E17" s="66"/>
      <c r="F17" s="67" t="s">
        <v>96</v>
      </c>
      <c r="G17" s="67"/>
      <c r="H17" s="67"/>
      <c r="I17" s="67"/>
      <c r="J17" s="68"/>
      <c r="K17" s="69">
        <f t="shared" si="0"/>
        <v>0</v>
      </c>
      <c r="L17" s="63"/>
    </row>
    <row r="18" spans="2:12" ht="21.95" customHeight="1">
      <c r="B18" s="57"/>
      <c r="C18" s="64" t="s">
        <v>124</v>
      </c>
      <c r="D18" s="65"/>
      <c r="E18" s="66"/>
      <c r="F18" s="67" t="s">
        <v>96</v>
      </c>
      <c r="G18" s="71"/>
      <c r="H18" s="71"/>
      <c r="I18" s="71"/>
      <c r="J18" s="69"/>
      <c r="K18" s="69">
        <f t="shared" si="0"/>
        <v>0</v>
      </c>
      <c r="L18" s="63"/>
    </row>
    <row r="19" spans="2:12" ht="21.95" customHeight="1">
      <c r="B19" s="57"/>
      <c r="C19" s="64" t="s">
        <v>125</v>
      </c>
      <c r="D19" s="65"/>
      <c r="E19" s="66"/>
      <c r="F19" s="67" t="s">
        <v>96</v>
      </c>
      <c r="G19" s="67"/>
      <c r="H19" s="67"/>
      <c r="I19" s="67"/>
      <c r="J19" s="68"/>
      <c r="K19" s="69">
        <f t="shared" si="0"/>
        <v>0</v>
      </c>
      <c r="L19" s="63"/>
    </row>
    <row r="20" spans="2:12" ht="21.95" customHeight="1">
      <c r="B20" s="57"/>
      <c r="C20" s="64" t="s">
        <v>126</v>
      </c>
      <c r="D20" s="65"/>
      <c r="E20" s="66"/>
      <c r="F20" s="67" t="s">
        <v>96</v>
      </c>
      <c r="G20" s="71"/>
      <c r="H20" s="71"/>
      <c r="I20" s="71"/>
      <c r="J20" s="69"/>
      <c r="K20" s="69">
        <f t="shared" si="0"/>
        <v>0</v>
      </c>
      <c r="L20" s="63"/>
    </row>
    <row r="21" spans="2:12" ht="21.95" customHeight="1">
      <c r="B21" s="57"/>
      <c r="C21" s="64" t="s">
        <v>127</v>
      </c>
      <c r="D21" s="65"/>
      <c r="E21" s="66"/>
      <c r="F21" s="67" t="s">
        <v>96</v>
      </c>
      <c r="G21" s="71"/>
      <c r="H21" s="71"/>
      <c r="I21" s="71"/>
      <c r="J21" s="69"/>
      <c r="K21" s="69">
        <f t="shared" si="0"/>
        <v>0</v>
      </c>
      <c r="L21" s="63"/>
    </row>
    <row r="22" spans="2:12" ht="21.95" customHeight="1">
      <c r="B22" s="57"/>
      <c r="C22" s="64" t="s">
        <v>128</v>
      </c>
      <c r="D22" s="65"/>
      <c r="E22" s="66"/>
      <c r="F22" s="67" t="s">
        <v>96</v>
      </c>
      <c r="G22" s="71"/>
      <c r="H22" s="71"/>
      <c r="I22" s="71"/>
      <c r="J22" s="69"/>
      <c r="K22" s="69">
        <f t="shared" si="0"/>
        <v>0</v>
      </c>
      <c r="L22" s="63"/>
    </row>
    <row r="23" spans="2:12" ht="21.95" customHeight="1">
      <c r="B23" s="57"/>
      <c r="C23" s="64" t="s">
        <v>129</v>
      </c>
      <c r="D23" s="65"/>
      <c r="E23" s="66"/>
      <c r="F23" s="67" t="s">
        <v>96</v>
      </c>
      <c r="G23" s="71"/>
      <c r="H23" s="71"/>
      <c r="I23" s="71"/>
      <c r="J23" s="69"/>
      <c r="K23" s="69">
        <f t="shared" si="0"/>
        <v>0</v>
      </c>
      <c r="L23" s="63"/>
    </row>
    <row r="24" spans="2:12" ht="21.95" customHeight="1">
      <c r="B24" s="57"/>
      <c r="C24" s="64" t="s">
        <v>130</v>
      </c>
      <c r="D24" s="65"/>
      <c r="E24" s="66"/>
      <c r="F24" s="67" t="s">
        <v>96</v>
      </c>
      <c r="G24" s="71"/>
      <c r="H24" s="71"/>
      <c r="I24" s="71"/>
      <c r="J24" s="69"/>
      <c r="K24" s="69">
        <f t="shared" si="0"/>
        <v>0</v>
      </c>
      <c r="L24" s="63"/>
    </row>
    <row r="25" spans="2:12" ht="21.95" customHeight="1">
      <c r="B25" s="57"/>
      <c r="C25" s="64" t="s">
        <v>131</v>
      </c>
      <c r="D25" s="65"/>
      <c r="E25" s="66"/>
      <c r="F25" s="67" t="s">
        <v>96</v>
      </c>
      <c r="G25" s="71"/>
      <c r="H25" s="71"/>
      <c r="I25" s="71"/>
      <c r="J25" s="69"/>
      <c r="K25" s="69">
        <f t="shared" si="0"/>
        <v>0</v>
      </c>
      <c r="L25" s="63"/>
    </row>
    <row r="26" spans="2:12" ht="21.95" customHeight="1">
      <c r="B26" s="57"/>
      <c r="C26" s="64" t="s">
        <v>132</v>
      </c>
      <c r="D26" s="65"/>
      <c r="E26" s="66"/>
      <c r="F26" s="67" t="s">
        <v>96</v>
      </c>
      <c r="G26" s="71"/>
      <c r="H26" s="71"/>
      <c r="I26" s="71"/>
      <c r="J26" s="69"/>
      <c r="K26" s="69">
        <f t="shared" si="0"/>
        <v>0</v>
      </c>
      <c r="L26" s="63"/>
    </row>
    <row r="27" spans="2:12" ht="21.95" customHeight="1">
      <c r="B27" s="57"/>
      <c r="C27" s="64" t="s">
        <v>133</v>
      </c>
      <c r="D27" s="65"/>
      <c r="E27" s="66"/>
      <c r="F27" s="67" t="s">
        <v>96</v>
      </c>
      <c r="G27" s="71"/>
      <c r="H27" s="71"/>
      <c r="I27" s="71"/>
      <c r="J27" s="69"/>
      <c r="K27" s="69">
        <f t="shared" si="0"/>
        <v>0</v>
      </c>
      <c r="L27" s="63"/>
    </row>
    <row r="28" spans="2:12" ht="21.95" customHeight="1">
      <c r="B28" s="57"/>
      <c r="C28" s="64" t="s">
        <v>134</v>
      </c>
      <c r="D28" s="65"/>
      <c r="E28" s="66"/>
      <c r="F28" s="67" t="s">
        <v>96</v>
      </c>
      <c r="G28" s="71"/>
      <c r="H28" s="71"/>
      <c r="I28" s="71"/>
      <c r="J28" s="69"/>
      <c r="K28" s="69">
        <f t="shared" si="0"/>
        <v>0</v>
      </c>
      <c r="L28" s="63"/>
    </row>
    <row r="29" spans="2:12" ht="21.95" customHeight="1">
      <c r="B29" s="57"/>
      <c r="C29" s="64" t="s">
        <v>135</v>
      </c>
      <c r="D29" s="65"/>
      <c r="E29" s="66"/>
      <c r="F29" s="67" t="s">
        <v>96</v>
      </c>
      <c r="G29" s="71"/>
      <c r="H29" s="71"/>
      <c r="I29" s="71"/>
      <c r="J29" s="69"/>
      <c r="K29" s="69">
        <f t="shared" si="0"/>
        <v>0</v>
      </c>
      <c r="L29" s="63"/>
    </row>
    <row r="30" spans="2:12" ht="21.95" customHeight="1">
      <c r="B30" s="57"/>
      <c r="C30" s="64" t="s">
        <v>136</v>
      </c>
      <c r="D30" s="65"/>
      <c r="E30" s="66"/>
      <c r="F30" s="67" t="s">
        <v>96</v>
      </c>
      <c r="G30" s="71"/>
      <c r="H30" s="71"/>
      <c r="I30" s="71"/>
      <c r="J30" s="69"/>
      <c r="K30" s="69">
        <f t="shared" si="0"/>
        <v>0</v>
      </c>
      <c r="L30" s="63"/>
    </row>
    <row r="31" spans="2:12" ht="21.95" customHeight="1">
      <c r="B31" s="57"/>
      <c r="C31" s="64" t="s">
        <v>137</v>
      </c>
      <c r="D31" s="65"/>
      <c r="E31" s="66"/>
      <c r="F31" s="67" t="s">
        <v>96</v>
      </c>
      <c r="G31" s="71"/>
      <c r="H31" s="71"/>
      <c r="I31" s="71"/>
      <c r="J31" s="69"/>
      <c r="K31" s="69">
        <f t="shared" si="0"/>
        <v>0</v>
      </c>
      <c r="L31" s="63"/>
    </row>
    <row r="32" spans="2:12" ht="21.95" customHeight="1">
      <c r="B32" s="57"/>
      <c r="C32" s="64" t="s">
        <v>138</v>
      </c>
      <c r="D32" s="65"/>
      <c r="E32" s="66"/>
      <c r="F32" s="67" t="s">
        <v>96</v>
      </c>
      <c r="G32" s="67"/>
      <c r="H32" s="67"/>
      <c r="I32" s="67"/>
      <c r="J32" s="68"/>
      <c r="K32" s="69">
        <f t="shared" si="0"/>
        <v>0</v>
      </c>
      <c r="L32" s="63"/>
    </row>
    <row r="33" spans="2:12" ht="6.95" customHeight="1" thickBot="1">
      <c r="B33" s="72"/>
      <c r="C33" s="73"/>
      <c r="D33" s="74"/>
      <c r="E33" s="75"/>
      <c r="F33" s="76"/>
      <c r="G33" s="76"/>
      <c r="H33" s="76"/>
      <c r="I33" s="76"/>
      <c r="J33" s="75"/>
      <c r="K33" s="77"/>
      <c r="L33" s="78"/>
    </row>
    <row r="34" spans="2:12" ht="30" customHeight="1">
      <c r="B34" s="103"/>
      <c r="C34" s="104"/>
      <c r="D34" s="105" t="s">
        <v>116</v>
      </c>
      <c r="E34" s="106"/>
      <c r="F34" s="107"/>
      <c r="G34" s="107"/>
      <c r="H34" s="107"/>
      <c r="I34" s="107"/>
      <c r="J34" s="108"/>
      <c r="K34" s="109">
        <f>SUM(K13:K33)</f>
        <v>0</v>
      </c>
      <c r="L34" s="110"/>
    </row>
    <row r="35" spans="2:12" ht="9.9499999999999993" customHeight="1" thickBot="1">
      <c r="B35" s="111"/>
      <c r="C35" s="112"/>
      <c r="D35" s="113"/>
      <c r="E35" s="114"/>
      <c r="F35" s="115"/>
      <c r="G35" s="116"/>
      <c r="H35" s="116"/>
      <c r="I35" s="116"/>
      <c r="J35" s="116"/>
      <c r="K35" s="117"/>
      <c r="L35" s="118"/>
    </row>
  </sheetData>
  <mergeCells count="8">
    <mergeCell ref="B2:L2"/>
    <mergeCell ref="C5:F7"/>
    <mergeCell ref="B10:C11"/>
    <mergeCell ref="D10:D11"/>
    <mergeCell ref="E10:E11"/>
    <mergeCell ref="F10:F11"/>
    <mergeCell ref="G10:J10"/>
    <mergeCell ref="K10:L11"/>
  </mergeCells>
  <dataValidations count="1">
    <dataValidation type="list" allowBlank="1" showInputMessage="1" showErrorMessage="1" sqref="F13:F32" xr:uid="{00000000-0002-0000-0400-000000000000}">
      <formula1>"m,m²,m³,kg,L,un,vb"</formula1>
    </dataValidation>
  </dataValidations>
  <pageMargins left="0.51181102362204722" right="0.51181102362204722" top="0.59055118110236227" bottom="0.59055118110236227" header="0.31496062992125984" footer="0.31496062992125984"/>
  <pageSetup paperSize="9" scale="7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L35"/>
  <sheetViews>
    <sheetView zoomScale="80" zoomScaleNormal="80" workbookViewId="0" xr3:uid="{78B4E459-6924-5F8B-B7BA-2DD04133E49E}">
      <selection activeCell="G13" sqref="G13:J13"/>
    </sheetView>
  </sheetViews>
  <sheetFormatPr defaultColWidth="9.14453125" defaultRowHeight="15"/>
  <cols>
    <col min="1" max="1" width="2.28515625" style="2" customWidth="1"/>
    <col min="2" max="2" width="3.2265625" style="2" customWidth="1"/>
    <col min="3" max="3" width="10.76171875" style="2" customWidth="1"/>
    <col min="4" max="4" width="56.765625" style="2" customWidth="1"/>
    <col min="5" max="5" width="14.66015625" style="2" customWidth="1"/>
    <col min="6" max="6" width="12.64453125" style="2" customWidth="1"/>
    <col min="7" max="10" width="16.6796875" style="2" customWidth="1"/>
    <col min="11" max="11" width="18.6953125" style="2" customWidth="1"/>
    <col min="12" max="12" width="2.6875" style="2" customWidth="1"/>
    <col min="13" max="16384" width="9.14453125" style="2"/>
  </cols>
  <sheetData>
    <row r="1" spans="2:12" ht="15.75" thickBot="1"/>
    <row r="2" spans="2:12" ht="50.1" customHeight="1" thickBot="1">
      <c r="B2" s="188" t="s">
        <v>139</v>
      </c>
      <c r="C2" s="189"/>
      <c r="D2" s="189"/>
      <c r="E2" s="189"/>
      <c r="F2" s="189"/>
      <c r="G2" s="189"/>
      <c r="H2" s="189"/>
      <c r="I2" s="189"/>
      <c r="J2" s="189"/>
      <c r="K2" s="189"/>
      <c r="L2" s="190"/>
    </row>
    <row r="3" spans="2:12">
      <c r="B3" s="35"/>
      <c r="C3" s="36" t="s">
        <v>22</v>
      </c>
      <c r="D3" s="37"/>
      <c r="E3" s="38"/>
      <c r="F3" s="39"/>
      <c r="G3" s="39"/>
      <c r="H3" s="39"/>
      <c r="I3" s="39"/>
      <c r="J3" s="40"/>
      <c r="K3" s="41"/>
      <c r="L3" s="42"/>
    </row>
    <row r="4" spans="2:12" ht="6.95" customHeight="1">
      <c r="B4" s="35"/>
      <c r="C4" s="36"/>
      <c r="D4" s="37"/>
      <c r="E4" s="38"/>
      <c r="F4" s="39"/>
      <c r="G4" s="39"/>
      <c r="H4" s="39"/>
      <c r="I4" s="39"/>
      <c r="J4" s="40"/>
      <c r="K4" s="41"/>
      <c r="L4" s="42"/>
    </row>
    <row r="5" spans="2:12" ht="21.95" customHeight="1">
      <c r="B5" s="35"/>
      <c r="C5" s="191" t="s">
        <v>572</v>
      </c>
      <c r="D5" s="191"/>
      <c r="E5" s="191"/>
      <c r="F5" s="192"/>
      <c r="G5" s="39" t="s">
        <v>80</v>
      </c>
      <c r="H5" s="39" t="s">
        <v>81</v>
      </c>
      <c r="I5" s="39" t="s">
        <v>82</v>
      </c>
      <c r="J5" s="43" t="s">
        <v>83</v>
      </c>
      <c r="K5" s="43" t="s">
        <v>84</v>
      </c>
      <c r="L5" s="42"/>
    </row>
    <row r="6" spans="2:12" ht="21.95" customHeight="1">
      <c r="B6" s="44"/>
      <c r="C6" s="191"/>
      <c r="D6" s="191"/>
      <c r="E6" s="191"/>
      <c r="F6" s="192"/>
      <c r="G6" s="45">
        <f>SUMPRODUCT(E13:E33,G13:G33)</f>
        <v>0</v>
      </c>
      <c r="H6" s="45">
        <f>SUMPRODUCT(E13:E33,H13:H33)</f>
        <v>0</v>
      </c>
      <c r="I6" s="45">
        <f>SUMPRODUCT(E13:E33,I13:I33)</f>
        <v>0</v>
      </c>
      <c r="J6" s="46">
        <f>SUMPRODUCT(E13:E33,J13:J33)</f>
        <v>0</v>
      </c>
      <c r="K6" s="46">
        <f>K34</f>
        <v>0</v>
      </c>
      <c r="L6" s="42"/>
    </row>
    <row r="7" spans="2:12" ht="21.95" customHeight="1">
      <c r="B7" s="44"/>
      <c r="C7" s="191"/>
      <c r="D7" s="191"/>
      <c r="E7" s="191"/>
      <c r="F7" s="192"/>
      <c r="G7" s="47">
        <f>IF(K34&lt;&gt;0,G6/K34,0)</f>
        <v>0</v>
      </c>
      <c r="H7" s="47">
        <f>IF(K34&lt;&gt;0,H6/K34,0)</f>
        <v>0</v>
      </c>
      <c r="I7" s="47">
        <f>IF(K34&lt;&gt;0,I6/K34,0)</f>
        <v>0</v>
      </c>
      <c r="J7" s="48">
        <f>IF(K34&lt;&gt;0,J6/K34,0)</f>
        <v>0</v>
      </c>
      <c r="K7" s="48">
        <f>IF(K34&lt;&gt;0,K6/ORC_Custo!G33,0)</f>
        <v>0</v>
      </c>
      <c r="L7" s="42"/>
    </row>
    <row r="8" spans="2:12" ht="6.95" customHeight="1">
      <c r="B8" s="35"/>
      <c r="C8" s="49"/>
      <c r="D8" s="50"/>
      <c r="E8" s="51"/>
      <c r="F8" s="52"/>
      <c r="G8" s="52"/>
      <c r="H8" s="52"/>
      <c r="I8" s="52"/>
      <c r="J8" s="53"/>
      <c r="K8" s="54"/>
      <c r="L8" s="42"/>
    </row>
    <row r="9" spans="2:12" ht="6.95" customHeight="1" thickBot="1">
      <c r="B9" s="35"/>
      <c r="C9" s="55"/>
      <c r="D9" s="56"/>
      <c r="E9" s="51"/>
      <c r="F9" s="52"/>
      <c r="G9" s="52"/>
      <c r="H9" s="52"/>
      <c r="I9" s="52"/>
      <c r="J9" s="53"/>
      <c r="K9" s="54"/>
      <c r="L9" s="42"/>
    </row>
    <row r="10" spans="2:12" ht="30" customHeight="1" thickBot="1">
      <c r="B10" s="193" t="s">
        <v>85</v>
      </c>
      <c r="C10" s="194"/>
      <c r="D10" s="197" t="s">
        <v>86</v>
      </c>
      <c r="E10" s="199" t="s">
        <v>87</v>
      </c>
      <c r="F10" s="201" t="s">
        <v>88</v>
      </c>
      <c r="G10" s="203" t="s">
        <v>89</v>
      </c>
      <c r="H10" s="204"/>
      <c r="I10" s="204"/>
      <c r="J10" s="205"/>
      <c r="K10" s="206" t="s">
        <v>90</v>
      </c>
      <c r="L10" s="207"/>
    </row>
    <row r="11" spans="2:12" ht="30" customHeight="1" thickBot="1">
      <c r="B11" s="195"/>
      <c r="C11" s="196"/>
      <c r="D11" s="198"/>
      <c r="E11" s="200"/>
      <c r="F11" s="202"/>
      <c r="G11" s="101" t="s">
        <v>91</v>
      </c>
      <c r="H11" s="101" t="s">
        <v>92</v>
      </c>
      <c r="I11" s="101" t="s">
        <v>93</v>
      </c>
      <c r="J11" s="102" t="s">
        <v>94</v>
      </c>
      <c r="K11" s="208"/>
      <c r="L11" s="209"/>
    </row>
    <row r="12" spans="2:12" ht="6.95" customHeight="1">
      <c r="B12" s="57"/>
      <c r="C12" s="58"/>
      <c r="D12" s="59"/>
      <c r="E12" s="60"/>
      <c r="F12" s="61"/>
      <c r="G12" s="61"/>
      <c r="H12" s="61"/>
      <c r="I12" s="61"/>
      <c r="J12" s="60"/>
      <c r="K12" s="62"/>
      <c r="L12" s="63"/>
    </row>
    <row r="13" spans="2:12" ht="21.95" customHeight="1">
      <c r="B13" s="57"/>
      <c r="C13" s="64" t="s">
        <v>140</v>
      </c>
      <c r="D13" s="65"/>
      <c r="E13" s="66"/>
      <c r="F13" s="67" t="s">
        <v>96</v>
      </c>
      <c r="G13" s="67"/>
      <c r="H13" s="67"/>
      <c r="I13" s="67"/>
      <c r="J13" s="68"/>
      <c r="K13" s="69">
        <f>(G13+H13+I13+J13)*E13</f>
        <v>0</v>
      </c>
      <c r="L13" s="63"/>
    </row>
    <row r="14" spans="2:12" ht="21.95" customHeight="1">
      <c r="B14" s="57"/>
      <c r="C14" s="64" t="s">
        <v>141</v>
      </c>
      <c r="D14" s="65"/>
      <c r="E14" s="66"/>
      <c r="F14" s="67" t="s">
        <v>96</v>
      </c>
      <c r="G14" s="67"/>
      <c r="H14" s="67"/>
      <c r="I14" s="67"/>
      <c r="J14" s="70"/>
      <c r="K14" s="69">
        <f t="shared" ref="K14:K32" si="0">(G14+H14+I14+J14)*E14</f>
        <v>0</v>
      </c>
      <c r="L14" s="63"/>
    </row>
    <row r="15" spans="2:12" ht="21.95" customHeight="1">
      <c r="B15" s="57"/>
      <c r="C15" s="64" t="s">
        <v>142</v>
      </c>
      <c r="D15" s="65"/>
      <c r="E15" s="66"/>
      <c r="F15" s="67" t="s">
        <v>96</v>
      </c>
      <c r="G15" s="67"/>
      <c r="H15" s="67"/>
      <c r="I15" s="67"/>
      <c r="J15" s="68"/>
      <c r="K15" s="69">
        <f t="shared" si="0"/>
        <v>0</v>
      </c>
      <c r="L15" s="63"/>
    </row>
    <row r="16" spans="2:12" ht="21.95" customHeight="1">
      <c r="B16" s="57"/>
      <c r="C16" s="64" t="s">
        <v>143</v>
      </c>
      <c r="D16" s="65"/>
      <c r="E16" s="66"/>
      <c r="F16" s="67" t="s">
        <v>96</v>
      </c>
      <c r="G16" s="71"/>
      <c r="H16" s="71"/>
      <c r="I16" s="71"/>
      <c r="J16" s="69"/>
      <c r="K16" s="69">
        <f t="shared" si="0"/>
        <v>0</v>
      </c>
      <c r="L16" s="63"/>
    </row>
    <row r="17" spans="2:12" ht="21.95" customHeight="1">
      <c r="B17" s="57"/>
      <c r="C17" s="64" t="s">
        <v>144</v>
      </c>
      <c r="D17" s="65"/>
      <c r="E17" s="66"/>
      <c r="F17" s="67" t="s">
        <v>96</v>
      </c>
      <c r="G17" s="67"/>
      <c r="H17" s="67"/>
      <c r="I17" s="67"/>
      <c r="J17" s="68"/>
      <c r="K17" s="69">
        <f t="shared" si="0"/>
        <v>0</v>
      </c>
      <c r="L17" s="63"/>
    </row>
    <row r="18" spans="2:12" ht="21.95" customHeight="1">
      <c r="B18" s="57"/>
      <c r="C18" s="64" t="s">
        <v>145</v>
      </c>
      <c r="D18" s="65"/>
      <c r="E18" s="66"/>
      <c r="F18" s="67" t="s">
        <v>96</v>
      </c>
      <c r="G18" s="71"/>
      <c r="H18" s="71"/>
      <c r="I18" s="71"/>
      <c r="J18" s="69"/>
      <c r="K18" s="69">
        <f t="shared" si="0"/>
        <v>0</v>
      </c>
      <c r="L18" s="63"/>
    </row>
    <row r="19" spans="2:12" ht="21.95" customHeight="1">
      <c r="B19" s="57"/>
      <c r="C19" s="64" t="s">
        <v>146</v>
      </c>
      <c r="D19" s="65"/>
      <c r="E19" s="66"/>
      <c r="F19" s="67" t="s">
        <v>96</v>
      </c>
      <c r="G19" s="67"/>
      <c r="H19" s="67"/>
      <c r="I19" s="67"/>
      <c r="J19" s="68"/>
      <c r="K19" s="69">
        <f t="shared" si="0"/>
        <v>0</v>
      </c>
      <c r="L19" s="63"/>
    </row>
    <row r="20" spans="2:12" ht="21.95" customHeight="1">
      <c r="B20" s="57"/>
      <c r="C20" s="64" t="s">
        <v>147</v>
      </c>
      <c r="D20" s="65"/>
      <c r="E20" s="66"/>
      <c r="F20" s="67" t="s">
        <v>96</v>
      </c>
      <c r="G20" s="71"/>
      <c r="H20" s="71"/>
      <c r="I20" s="71"/>
      <c r="J20" s="69"/>
      <c r="K20" s="69">
        <f t="shared" si="0"/>
        <v>0</v>
      </c>
      <c r="L20" s="63"/>
    </row>
    <row r="21" spans="2:12" ht="21.95" customHeight="1">
      <c r="B21" s="57"/>
      <c r="C21" s="64" t="s">
        <v>148</v>
      </c>
      <c r="D21" s="65"/>
      <c r="E21" s="66"/>
      <c r="F21" s="67" t="s">
        <v>96</v>
      </c>
      <c r="G21" s="71"/>
      <c r="H21" s="71"/>
      <c r="I21" s="71"/>
      <c r="J21" s="69"/>
      <c r="K21" s="69">
        <f t="shared" si="0"/>
        <v>0</v>
      </c>
      <c r="L21" s="63"/>
    </row>
    <row r="22" spans="2:12" ht="21.95" customHeight="1">
      <c r="B22" s="57"/>
      <c r="C22" s="64" t="s">
        <v>149</v>
      </c>
      <c r="D22" s="65"/>
      <c r="E22" s="66"/>
      <c r="F22" s="67" t="s">
        <v>96</v>
      </c>
      <c r="G22" s="71"/>
      <c r="H22" s="71"/>
      <c r="I22" s="71"/>
      <c r="J22" s="69"/>
      <c r="K22" s="69">
        <f t="shared" si="0"/>
        <v>0</v>
      </c>
      <c r="L22" s="63"/>
    </row>
    <row r="23" spans="2:12" ht="21.95" customHeight="1">
      <c r="B23" s="57"/>
      <c r="C23" s="64" t="s">
        <v>150</v>
      </c>
      <c r="D23" s="65"/>
      <c r="E23" s="66"/>
      <c r="F23" s="67" t="s">
        <v>96</v>
      </c>
      <c r="G23" s="71"/>
      <c r="H23" s="71"/>
      <c r="I23" s="71"/>
      <c r="J23" s="69"/>
      <c r="K23" s="69">
        <f t="shared" si="0"/>
        <v>0</v>
      </c>
      <c r="L23" s="63"/>
    </row>
    <row r="24" spans="2:12" ht="21.95" customHeight="1">
      <c r="B24" s="57"/>
      <c r="C24" s="64" t="s">
        <v>151</v>
      </c>
      <c r="D24" s="65"/>
      <c r="E24" s="66"/>
      <c r="F24" s="67" t="s">
        <v>96</v>
      </c>
      <c r="G24" s="71"/>
      <c r="H24" s="71"/>
      <c r="I24" s="71"/>
      <c r="J24" s="69"/>
      <c r="K24" s="69">
        <f t="shared" si="0"/>
        <v>0</v>
      </c>
      <c r="L24" s="63"/>
    </row>
    <row r="25" spans="2:12" ht="21.95" customHeight="1">
      <c r="B25" s="57"/>
      <c r="C25" s="64" t="s">
        <v>152</v>
      </c>
      <c r="D25" s="65"/>
      <c r="E25" s="66"/>
      <c r="F25" s="67" t="s">
        <v>96</v>
      </c>
      <c r="G25" s="71"/>
      <c r="H25" s="71"/>
      <c r="I25" s="71"/>
      <c r="J25" s="69"/>
      <c r="K25" s="69">
        <f t="shared" si="0"/>
        <v>0</v>
      </c>
      <c r="L25" s="63"/>
    </row>
    <row r="26" spans="2:12" ht="21.95" customHeight="1">
      <c r="B26" s="57"/>
      <c r="C26" s="64" t="s">
        <v>153</v>
      </c>
      <c r="D26" s="65"/>
      <c r="E26" s="66"/>
      <c r="F26" s="67" t="s">
        <v>96</v>
      </c>
      <c r="G26" s="71"/>
      <c r="H26" s="71"/>
      <c r="I26" s="71"/>
      <c r="J26" s="69"/>
      <c r="K26" s="69">
        <f t="shared" si="0"/>
        <v>0</v>
      </c>
      <c r="L26" s="63"/>
    </row>
    <row r="27" spans="2:12" ht="21.95" customHeight="1">
      <c r="B27" s="57"/>
      <c r="C27" s="64" t="s">
        <v>154</v>
      </c>
      <c r="D27" s="65"/>
      <c r="E27" s="66"/>
      <c r="F27" s="67" t="s">
        <v>96</v>
      </c>
      <c r="G27" s="71"/>
      <c r="H27" s="71"/>
      <c r="I27" s="71"/>
      <c r="J27" s="69"/>
      <c r="K27" s="69">
        <f t="shared" si="0"/>
        <v>0</v>
      </c>
      <c r="L27" s="63"/>
    </row>
    <row r="28" spans="2:12" ht="21.95" customHeight="1">
      <c r="B28" s="57"/>
      <c r="C28" s="64" t="s">
        <v>155</v>
      </c>
      <c r="D28" s="65"/>
      <c r="E28" s="66"/>
      <c r="F28" s="67" t="s">
        <v>96</v>
      </c>
      <c r="G28" s="71"/>
      <c r="H28" s="71"/>
      <c r="I28" s="71"/>
      <c r="J28" s="69"/>
      <c r="K28" s="69">
        <f t="shared" si="0"/>
        <v>0</v>
      </c>
      <c r="L28" s="63"/>
    </row>
    <row r="29" spans="2:12" ht="21.95" customHeight="1">
      <c r="B29" s="57"/>
      <c r="C29" s="64" t="s">
        <v>156</v>
      </c>
      <c r="D29" s="65"/>
      <c r="E29" s="66"/>
      <c r="F29" s="67" t="s">
        <v>96</v>
      </c>
      <c r="G29" s="71"/>
      <c r="H29" s="71"/>
      <c r="I29" s="71"/>
      <c r="J29" s="69"/>
      <c r="K29" s="69">
        <f t="shared" si="0"/>
        <v>0</v>
      </c>
      <c r="L29" s="63"/>
    </row>
    <row r="30" spans="2:12" ht="21.95" customHeight="1">
      <c r="B30" s="57"/>
      <c r="C30" s="64" t="s">
        <v>157</v>
      </c>
      <c r="D30" s="65"/>
      <c r="E30" s="66"/>
      <c r="F30" s="67" t="s">
        <v>96</v>
      </c>
      <c r="G30" s="71"/>
      <c r="H30" s="71"/>
      <c r="I30" s="71"/>
      <c r="J30" s="69"/>
      <c r="K30" s="69">
        <f t="shared" si="0"/>
        <v>0</v>
      </c>
      <c r="L30" s="63"/>
    </row>
    <row r="31" spans="2:12" ht="21.95" customHeight="1">
      <c r="B31" s="57"/>
      <c r="C31" s="64" t="s">
        <v>158</v>
      </c>
      <c r="D31" s="65"/>
      <c r="E31" s="66"/>
      <c r="F31" s="67" t="s">
        <v>96</v>
      </c>
      <c r="G31" s="71"/>
      <c r="H31" s="71"/>
      <c r="I31" s="71"/>
      <c r="J31" s="69"/>
      <c r="K31" s="69">
        <f t="shared" si="0"/>
        <v>0</v>
      </c>
      <c r="L31" s="63"/>
    </row>
    <row r="32" spans="2:12" ht="21.95" customHeight="1">
      <c r="B32" s="57"/>
      <c r="C32" s="64" t="s">
        <v>159</v>
      </c>
      <c r="D32" s="65"/>
      <c r="E32" s="66"/>
      <c r="F32" s="67" t="s">
        <v>96</v>
      </c>
      <c r="G32" s="67"/>
      <c r="H32" s="67"/>
      <c r="I32" s="67"/>
      <c r="J32" s="68"/>
      <c r="K32" s="69">
        <f t="shared" si="0"/>
        <v>0</v>
      </c>
      <c r="L32" s="63"/>
    </row>
    <row r="33" spans="2:12" ht="6.95" customHeight="1" thickBot="1">
      <c r="B33" s="72"/>
      <c r="C33" s="73"/>
      <c r="D33" s="74"/>
      <c r="E33" s="75"/>
      <c r="F33" s="76"/>
      <c r="G33" s="76"/>
      <c r="H33" s="76"/>
      <c r="I33" s="76"/>
      <c r="J33" s="75"/>
      <c r="K33" s="77"/>
      <c r="L33" s="78"/>
    </row>
    <row r="34" spans="2:12" ht="30" customHeight="1">
      <c r="B34" s="103"/>
      <c r="C34" s="104"/>
      <c r="D34" s="105" t="s">
        <v>116</v>
      </c>
      <c r="E34" s="106"/>
      <c r="F34" s="107"/>
      <c r="G34" s="107"/>
      <c r="H34" s="107"/>
      <c r="I34" s="107"/>
      <c r="J34" s="108"/>
      <c r="K34" s="109">
        <f>SUM(K13:K33)</f>
        <v>0</v>
      </c>
      <c r="L34" s="110"/>
    </row>
    <row r="35" spans="2:12" ht="9.9499999999999993" customHeight="1" thickBot="1">
      <c r="B35" s="111"/>
      <c r="C35" s="112"/>
      <c r="D35" s="113"/>
      <c r="E35" s="114"/>
      <c r="F35" s="115"/>
      <c r="G35" s="116"/>
      <c r="H35" s="116"/>
      <c r="I35" s="116"/>
      <c r="J35" s="116"/>
      <c r="K35" s="117"/>
      <c r="L35" s="118"/>
    </row>
  </sheetData>
  <mergeCells count="8">
    <mergeCell ref="B2:L2"/>
    <mergeCell ref="C5:F7"/>
    <mergeCell ref="B10:C11"/>
    <mergeCell ref="D10:D11"/>
    <mergeCell ref="E10:E11"/>
    <mergeCell ref="F10:F11"/>
    <mergeCell ref="G10:J10"/>
    <mergeCell ref="K10:L11"/>
  </mergeCells>
  <dataValidations count="1">
    <dataValidation type="list" allowBlank="1" showInputMessage="1" showErrorMessage="1" sqref="F13:F32" xr:uid="{00000000-0002-0000-0500-000000000000}">
      <formula1>"m,m²,m³,kg,L,un,vb"</formula1>
    </dataValidation>
  </dataValidations>
  <pageMargins left="0.51181102362204722" right="0.51181102362204722" top="0.59055118110236227" bottom="0.59055118110236227" header="0.31496062992125984" footer="0.31496062992125984"/>
  <pageSetup paperSize="9" scale="7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L35"/>
  <sheetViews>
    <sheetView zoomScale="80" zoomScaleNormal="80" workbookViewId="0" xr3:uid="{9B253EF2-77E0-53E3-AE26-4D66ECD923F3}">
      <selection activeCell="G13" sqref="G13:J13"/>
    </sheetView>
  </sheetViews>
  <sheetFormatPr defaultColWidth="9.14453125" defaultRowHeight="15"/>
  <cols>
    <col min="1" max="1" width="2.28515625" style="2" customWidth="1"/>
    <col min="2" max="2" width="3.2265625" style="2" customWidth="1"/>
    <col min="3" max="3" width="10.76171875" style="2" customWidth="1"/>
    <col min="4" max="4" width="56.765625" style="2" customWidth="1"/>
    <col min="5" max="5" width="14.66015625" style="2" customWidth="1"/>
    <col min="6" max="6" width="12.64453125" style="2" customWidth="1"/>
    <col min="7" max="10" width="16.6796875" style="2" customWidth="1"/>
    <col min="11" max="11" width="18.6953125" style="2" customWidth="1"/>
    <col min="12" max="12" width="2.6875" style="2" customWidth="1"/>
    <col min="13" max="16384" width="9.14453125" style="2"/>
  </cols>
  <sheetData>
    <row r="1" spans="2:12" ht="15.75" thickBot="1"/>
    <row r="2" spans="2:12" ht="50.1" customHeight="1" thickBot="1">
      <c r="B2" s="188" t="s">
        <v>161</v>
      </c>
      <c r="C2" s="189"/>
      <c r="D2" s="189"/>
      <c r="E2" s="189"/>
      <c r="F2" s="189"/>
      <c r="G2" s="189"/>
      <c r="H2" s="189"/>
      <c r="I2" s="189"/>
      <c r="J2" s="189"/>
      <c r="K2" s="189"/>
      <c r="L2" s="190"/>
    </row>
    <row r="3" spans="2:12">
      <c r="B3" s="35"/>
      <c r="C3" s="36" t="s">
        <v>22</v>
      </c>
      <c r="D3" s="37"/>
      <c r="E3" s="38"/>
      <c r="F3" s="39"/>
      <c r="G3" s="39"/>
      <c r="H3" s="39"/>
      <c r="I3" s="39"/>
      <c r="J3" s="40"/>
      <c r="K3" s="41"/>
      <c r="L3" s="42"/>
    </row>
    <row r="4" spans="2:12" ht="6.95" customHeight="1">
      <c r="B4" s="35"/>
      <c r="C4" s="36"/>
      <c r="D4" s="37"/>
      <c r="E4" s="38"/>
      <c r="F4" s="39"/>
      <c r="G4" s="39"/>
      <c r="H4" s="39"/>
      <c r="I4" s="39"/>
      <c r="J4" s="40"/>
      <c r="K4" s="41"/>
      <c r="L4" s="42"/>
    </row>
    <row r="5" spans="2:12" ht="21.95" customHeight="1">
      <c r="B5" s="35"/>
      <c r="C5" s="191" t="s">
        <v>573</v>
      </c>
      <c r="D5" s="191"/>
      <c r="E5" s="191"/>
      <c r="F5" s="192"/>
      <c r="G5" s="39" t="s">
        <v>80</v>
      </c>
      <c r="H5" s="39" t="s">
        <v>81</v>
      </c>
      <c r="I5" s="39" t="s">
        <v>82</v>
      </c>
      <c r="J5" s="43" t="s">
        <v>83</v>
      </c>
      <c r="K5" s="43" t="s">
        <v>84</v>
      </c>
      <c r="L5" s="42"/>
    </row>
    <row r="6" spans="2:12" ht="21.95" customHeight="1">
      <c r="B6" s="44"/>
      <c r="C6" s="191"/>
      <c r="D6" s="191"/>
      <c r="E6" s="191"/>
      <c r="F6" s="192"/>
      <c r="G6" s="45">
        <f>SUMPRODUCT(E13:E33,G13:G33)</f>
        <v>0</v>
      </c>
      <c r="H6" s="45">
        <f>SUMPRODUCT(E13:E33,H13:H33)</f>
        <v>0</v>
      </c>
      <c r="I6" s="45">
        <f>SUMPRODUCT(E13:E33,I13:I33)</f>
        <v>0</v>
      </c>
      <c r="J6" s="46">
        <f>SUMPRODUCT(E13:E33,J13:J33)</f>
        <v>0</v>
      </c>
      <c r="K6" s="46">
        <f>K34</f>
        <v>0</v>
      </c>
      <c r="L6" s="42"/>
    </row>
    <row r="7" spans="2:12" ht="21.95" customHeight="1">
      <c r="B7" s="44"/>
      <c r="C7" s="191"/>
      <c r="D7" s="191"/>
      <c r="E7" s="191"/>
      <c r="F7" s="192"/>
      <c r="G7" s="47">
        <f>IF(K34&lt;&gt;0,G6/K34,0)</f>
        <v>0</v>
      </c>
      <c r="H7" s="47">
        <f>IF(K34&lt;&gt;0,H6/K34,0)</f>
        <v>0</v>
      </c>
      <c r="I7" s="47">
        <f>IF(K34&lt;&gt;0,I6/K34,0)</f>
        <v>0</v>
      </c>
      <c r="J7" s="48">
        <f>IF(K34&lt;&gt;0,J6/K34,0)</f>
        <v>0</v>
      </c>
      <c r="K7" s="48">
        <f>IF(K34&lt;&gt;0,K6/ORC_Custo!G33,0)</f>
        <v>0</v>
      </c>
      <c r="L7" s="42"/>
    </row>
    <row r="8" spans="2:12" ht="6.95" customHeight="1">
      <c r="B8" s="35"/>
      <c r="C8" s="49"/>
      <c r="D8" s="50"/>
      <c r="E8" s="51"/>
      <c r="F8" s="52"/>
      <c r="G8" s="52"/>
      <c r="H8" s="52"/>
      <c r="I8" s="52"/>
      <c r="J8" s="53"/>
      <c r="K8" s="54"/>
      <c r="L8" s="42"/>
    </row>
    <row r="9" spans="2:12" ht="6.95" customHeight="1" thickBot="1">
      <c r="B9" s="35"/>
      <c r="C9" s="55"/>
      <c r="D9" s="56"/>
      <c r="E9" s="51"/>
      <c r="F9" s="52"/>
      <c r="G9" s="52"/>
      <c r="H9" s="52"/>
      <c r="I9" s="52"/>
      <c r="J9" s="53"/>
      <c r="K9" s="54"/>
      <c r="L9" s="42"/>
    </row>
    <row r="10" spans="2:12" ht="30" customHeight="1" thickBot="1">
      <c r="B10" s="193" t="s">
        <v>85</v>
      </c>
      <c r="C10" s="194"/>
      <c r="D10" s="197" t="s">
        <v>86</v>
      </c>
      <c r="E10" s="199" t="s">
        <v>87</v>
      </c>
      <c r="F10" s="201" t="s">
        <v>88</v>
      </c>
      <c r="G10" s="203" t="s">
        <v>89</v>
      </c>
      <c r="H10" s="204"/>
      <c r="I10" s="204"/>
      <c r="J10" s="205"/>
      <c r="K10" s="206" t="s">
        <v>90</v>
      </c>
      <c r="L10" s="207"/>
    </row>
    <row r="11" spans="2:12" ht="30" customHeight="1" thickBot="1">
      <c r="B11" s="195"/>
      <c r="C11" s="196"/>
      <c r="D11" s="198"/>
      <c r="E11" s="200"/>
      <c r="F11" s="202"/>
      <c r="G11" s="101" t="s">
        <v>91</v>
      </c>
      <c r="H11" s="101" t="s">
        <v>92</v>
      </c>
      <c r="I11" s="101" t="s">
        <v>93</v>
      </c>
      <c r="J11" s="102" t="s">
        <v>94</v>
      </c>
      <c r="K11" s="208"/>
      <c r="L11" s="209"/>
    </row>
    <row r="12" spans="2:12" ht="6.95" customHeight="1">
      <c r="B12" s="57"/>
      <c r="C12" s="58"/>
      <c r="D12" s="59"/>
      <c r="E12" s="60"/>
      <c r="F12" s="61"/>
      <c r="G12" s="61"/>
      <c r="H12" s="61"/>
      <c r="I12" s="61"/>
      <c r="J12" s="60"/>
      <c r="K12" s="62"/>
      <c r="L12" s="63"/>
    </row>
    <row r="13" spans="2:12" ht="21.95" customHeight="1">
      <c r="B13" s="57"/>
      <c r="C13" s="64" t="s">
        <v>164</v>
      </c>
      <c r="D13" s="65"/>
      <c r="E13" s="66"/>
      <c r="F13" s="67" t="s">
        <v>96</v>
      </c>
      <c r="G13" s="67"/>
      <c r="H13" s="67"/>
      <c r="I13" s="67"/>
      <c r="J13" s="68"/>
      <c r="K13" s="69">
        <f>(G13+H13+I13+J13)*E13</f>
        <v>0</v>
      </c>
      <c r="L13" s="63"/>
    </row>
    <row r="14" spans="2:12" ht="21.95" customHeight="1">
      <c r="B14" s="57"/>
      <c r="C14" s="64" t="s">
        <v>165</v>
      </c>
      <c r="D14" s="65"/>
      <c r="E14" s="66"/>
      <c r="F14" s="67" t="s">
        <v>96</v>
      </c>
      <c r="G14" s="67"/>
      <c r="H14" s="67"/>
      <c r="I14" s="67"/>
      <c r="J14" s="70"/>
      <c r="K14" s="69">
        <f t="shared" ref="K14:K32" si="0">(G14+H14+I14+J14)*E14</f>
        <v>0</v>
      </c>
      <c r="L14" s="63"/>
    </row>
    <row r="15" spans="2:12" ht="21.95" customHeight="1">
      <c r="B15" s="57"/>
      <c r="C15" s="64" t="s">
        <v>166</v>
      </c>
      <c r="D15" s="65"/>
      <c r="E15" s="66"/>
      <c r="F15" s="67" t="s">
        <v>96</v>
      </c>
      <c r="G15" s="67"/>
      <c r="H15" s="67"/>
      <c r="I15" s="67"/>
      <c r="J15" s="68"/>
      <c r="K15" s="69">
        <f t="shared" si="0"/>
        <v>0</v>
      </c>
      <c r="L15" s="63"/>
    </row>
    <row r="16" spans="2:12" ht="21.95" customHeight="1">
      <c r="B16" s="57"/>
      <c r="C16" s="64" t="s">
        <v>167</v>
      </c>
      <c r="D16" s="65"/>
      <c r="E16" s="66"/>
      <c r="F16" s="67" t="s">
        <v>96</v>
      </c>
      <c r="G16" s="71"/>
      <c r="H16" s="71"/>
      <c r="I16" s="71"/>
      <c r="J16" s="69"/>
      <c r="K16" s="69">
        <f t="shared" si="0"/>
        <v>0</v>
      </c>
      <c r="L16" s="63"/>
    </row>
    <row r="17" spans="2:12" ht="21.95" customHeight="1">
      <c r="B17" s="57"/>
      <c r="C17" s="64" t="s">
        <v>168</v>
      </c>
      <c r="D17" s="65"/>
      <c r="E17" s="66"/>
      <c r="F17" s="67" t="s">
        <v>96</v>
      </c>
      <c r="G17" s="67"/>
      <c r="H17" s="67"/>
      <c r="I17" s="67"/>
      <c r="J17" s="68"/>
      <c r="K17" s="69">
        <f t="shared" si="0"/>
        <v>0</v>
      </c>
      <c r="L17" s="63"/>
    </row>
    <row r="18" spans="2:12" ht="21.95" customHeight="1">
      <c r="B18" s="57"/>
      <c r="C18" s="64" t="s">
        <v>169</v>
      </c>
      <c r="D18" s="65"/>
      <c r="E18" s="66"/>
      <c r="F18" s="67" t="s">
        <v>96</v>
      </c>
      <c r="G18" s="71"/>
      <c r="H18" s="71"/>
      <c r="I18" s="71"/>
      <c r="J18" s="69"/>
      <c r="K18" s="69">
        <f t="shared" si="0"/>
        <v>0</v>
      </c>
      <c r="L18" s="63"/>
    </row>
    <row r="19" spans="2:12" ht="21.95" customHeight="1">
      <c r="B19" s="57"/>
      <c r="C19" s="64" t="s">
        <v>170</v>
      </c>
      <c r="D19" s="65"/>
      <c r="E19" s="66"/>
      <c r="F19" s="67" t="s">
        <v>96</v>
      </c>
      <c r="G19" s="67"/>
      <c r="H19" s="67"/>
      <c r="I19" s="67"/>
      <c r="J19" s="68"/>
      <c r="K19" s="69">
        <f t="shared" si="0"/>
        <v>0</v>
      </c>
      <c r="L19" s="63"/>
    </row>
    <row r="20" spans="2:12" ht="21.95" customHeight="1">
      <c r="B20" s="57"/>
      <c r="C20" s="64" t="s">
        <v>171</v>
      </c>
      <c r="D20" s="65"/>
      <c r="E20" s="66"/>
      <c r="F20" s="67" t="s">
        <v>96</v>
      </c>
      <c r="G20" s="71"/>
      <c r="H20" s="71"/>
      <c r="I20" s="71"/>
      <c r="J20" s="69"/>
      <c r="K20" s="69">
        <f t="shared" si="0"/>
        <v>0</v>
      </c>
      <c r="L20" s="63"/>
    </row>
    <row r="21" spans="2:12" ht="21.95" customHeight="1">
      <c r="B21" s="57"/>
      <c r="C21" s="64" t="s">
        <v>172</v>
      </c>
      <c r="D21" s="65"/>
      <c r="E21" s="66"/>
      <c r="F21" s="67" t="s">
        <v>96</v>
      </c>
      <c r="G21" s="71"/>
      <c r="H21" s="71"/>
      <c r="I21" s="71"/>
      <c r="J21" s="69"/>
      <c r="K21" s="69">
        <f t="shared" si="0"/>
        <v>0</v>
      </c>
      <c r="L21" s="63"/>
    </row>
    <row r="22" spans="2:12" ht="21.95" customHeight="1">
      <c r="B22" s="57"/>
      <c r="C22" s="64" t="s">
        <v>173</v>
      </c>
      <c r="D22" s="65"/>
      <c r="E22" s="66"/>
      <c r="F22" s="67" t="s">
        <v>96</v>
      </c>
      <c r="G22" s="71"/>
      <c r="H22" s="71"/>
      <c r="I22" s="71"/>
      <c r="J22" s="69"/>
      <c r="K22" s="69">
        <f t="shared" si="0"/>
        <v>0</v>
      </c>
      <c r="L22" s="63"/>
    </row>
    <row r="23" spans="2:12" ht="21.95" customHeight="1">
      <c r="B23" s="57"/>
      <c r="C23" s="64" t="s">
        <v>174</v>
      </c>
      <c r="D23" s="65"/>
      <c r="E23" s="66"/>
      <c r="F23" s="67" t="s">
        <v>96</v>
      </c>
      <c r="G23" s="71"/>
      <c r="H23" s="71"/>
      <c r="I23" s="71"/>
      <c r="J23" s="69"/>
      <c r="K23" s="69">
        <f t="shared" si="0"/>
        <v>0</v>
      </c>
      <c r="L23" s="63"/>
    </row>
    <row r="24" spans="2:12" ht="21.95" customHeight="1">
      <c r="B24" s="57"/>
      <c r="C24" s="64" t="s">
        <v>175</v>
      </c>
      <c r="D24" s="65"/>
      <c r="E24" s="66"/>
      <c r="F24" s="67" t="s">
        <v>96</v>
      </c>
      <c r="G24" s="71"/>
      <c r="H24" s="71"/>
      <c r="I24" s="71"/>
      <c r="J24" s="69"/>
      <c r="K24" s="69">
        <f t="shared" si="0"/>
        <v>0</v>
      </c>
      <c r="L24" s="63"/>
    </row>
    <row r="25" spans="2:12" ht="21.95" customHeight="1">
      <c r="B25" s="57"/>
      <c r="C25" s="64" t="s">
        <v>176</v>
      </c>
      <c r="D25" s="65"/>
      <c r="E25" s="66"/>
      <c r="F25" s="67" t="s">
        <v>96</v>
      </c>
      <c r="G25" s="71"/>
      <c r="H25" s="71"/>
      <c r="I25" s="71"/>
      <c r="J25" s="69"/>
      <c r="K25" s="69">
        <f t="shared" si="0"/>
        <v>0</v>
      </c>
      <c r="L25" s="63"/>
    </row>
    <row r="26" spans="2:12" ht="21.95" customHeight="1">
      <c r="B26" s="57"/>
      <c r="C26" s="64" t="s">
        <v>177</v>
      </c>
      <c r="D26" s="65"/>
      <c r="E26" s="66"/>
      <c r="F26" s="67" t="s">
        <v>96</v>
      </c>
      <c r="G26" s="71"/>
      <c r="H26" s="71"/>
      <c r="I26" s="71"/>
      <c r="J26" s="69"/>
      <c r="K26" s="69">
        <f t="shared" si="0"/>
        <v>0</v>
      </c>
      <c r="L26" s="63"/>
    </row>
    <row r="27" spans="2:12" ht="21.95" customHeight="1">
      <c r="B27" s="57"/>
      <c r="C27" s="64" t="s">
        <v>178</v>
      </c>
      <c r="D27" s="65"/>
      <c r="E27" s="66"/>
      <c r="F27" s="67" t="s">
        <v>96</v>
      </c>
      <c r="G27" s="71"/>
      <c r="H27" s="71"/>
      <c r="I27" s="71"/>
      <c r="J27" s="69"/>
      <c r="K27" s="69">
        <f t="shared" si="0"/>
        <v>0</v>
      </c>
      <c r="L27" s="63"/>
    </row>
    <row r="28" spans="2:12" ht="21.95" customHeight="1">
      <c r="B28" s="57"/>
      <c r="C28" s="64" t="s">
        <v>179</v>
      </c>
      <c r="D28" s="65"/>
      <c r="E28" s="66"/>
      <c r="F28" s="67" t="s">
        <v>96</v>
      </c>
      <c r="G28" s="71"/>
      <c r="H28" s="71"/>
      <c r="I28" s="71"/>
      <c r="J28" s="69"/>
      <c r="K28" s="69">
        <f t="shared" si="0"/>
        <v>0</v>
      </c>
      <c r="L28" s="63"/>
    </row>
    <row r="29" spans="2:12" ht="21.95" customHeight="1">
      <c r="B29" s="57"/>
      <c r="C29" s="64" t="s">
        <v>180</v>
      </c>
      <c r="D29" s="65"/>
      <c r="E29" s="66"/>
      <c r="F29" s="67" t="s">
        <v>96</v>
      </c>
      <c r="G29" s="71"/>
      <c r="H29" s="71"/>
      <c r="I29" s="71"/>
      <c r="J29" s="69"/>
      <c r="K29" s="69">
        <f t="shared" si="0"/>
        <v>0</v>
      </c>
      <c r="L29" s="63"/>
    </row>
    <row r="30" spans="2:12" ht="21.95" customHeight="1">
      <c r="B30" s="57"/>
      <c r="C30" s="64" t="s">
        <v>181</v>
      </c>
      <c r="D30" s="65"/>
      <c r="E30" s="66"/>
      <c r="F30" s="67" t="s">
        <v>96</v>
      </c>
      <c r="G30" s="71"/>
      <c r="H30" s="71"/>
      <c r="I30" s="71"/>
      <c r="J30" s="69"/>
      <c r="K30" s="69">
        <f t="shared" si="0"/>
        <v>0</v>
      </c>
      <c r="L30" s="63"/>
    </row>
    <row r="31" spans="2:12" ht="21.95" customHeight="1">
      <c r="B31" s="57"/>
      <c r="C31" s="64" t="s">
        <v>182</v>
      </c>
      <c r="D31" s="65"/>
      <c r="E31" s="66"/>
      <c r="F31" s="67" t="s">
        <v>96</v>
      </c>
      <c r="G31" s="71"/>
      <c r="H31" s="71"/>
      <c r="I31" s="71"/>
      <c r="J31" s="69"/>
      <c r="K31" s="69">
        <f t="shared" si="0"/>
        <v>0</v>
      </c>
      <c r="L31" s="63"/>
    </row>
    <row r="32" spans="2:12" ht="21.95" customHeight="1">
      <c r="B32" s="57"/>
      <c r="C32" s="64" t="s">
        <v>183</v>
      </c>
      <c r="D32" s="65"/>
      <c r="E32" s="66"/>
      <c r="F32" s="67" t="s">
        <v>96</v>
      </c>
      <c r="G32" s="67"/>
      <c r="H32" s="67"/>
      <c r="I32" s="67"/>
      <c r="J32" s="68"/>
      <c r="K32" s="69">
        <f t="shared" si="0"/>
        <v>0</v>
      </c>
      <c r="L32" s="63"/>
    </row>
    <row r="33" spans="2:12" ht="6.95" customHeight="1" thickBot="1">
      <c r="B33" s="72"/>
      <c r="C33" s="73"/>
      <c r="D33" s="74"/>
      <c r="E33" s="75"/>
      <c r="F33" s="76"/>
      <c r="G33" s="76"/>
      <c r="H33" s="76"/>
      <c r="I33" s="76"/>
      <c r="J33" s="75"/>
      <c r="K33" s="77"/>
      <c r="L33" s="78"/>
    </row>
    <row r="34" spans="2:12" ht="30" customHeight="1">
      <c r="B34" s="103"/>
      <c r="C34" s="104"/>
      <c r="D34" s="105" t="s">
        <v>116</v>
      </c>
      <c r="E34" s="106"/>
      <c r="F34" s="107"/>
      <c r="G34" s="107"/>
      <c r="H34" s="107"/>
      <c r="I34" s="107"/>
      <c r="J34" s="108"/>
      <c r="K34" s="109">
        <f>SUM(K13:K33)</f>
        <v>0</v>
      </c>
      <c r="L34" s="110"/>
    </row>
    <row r="35" spans="2:12" ht="9.9499999999999993" customHeight="1" thickBot="1">
      <c r="B35" s="111"/>
      <c r="C35" s="112"/>
      <c r="D35" s="113"/>
      <c r="E35" s="114"/>
      <c r="F35" s="115"/>
      <c r="G35" s="116"/>
      <c r="H35" s="116"/>
      <c r="I35" s="116"/>
      <c r="J35" s="116"/>
      <c r="K35" s="117"/>
      <c r="L35" s="118"/>
    </row>
  </sheetData>
  <mergeCells count="8">
    <mergeCell ref="B2:L2"/>
    <mergeCell ref="C5:F7"/>
    <mergeCell ref="B10:C11"/>
    <mergeCell ref="D10:D11"/>
    <mergeCell ref="E10:E11"/>
    <mergeCell ref="F10:F11"/>
    <mergeCell ref="G10:J10"/>
    <mergeCell ref="K10:L11"/>
  </mergeCells>
  <dataValidations count="1">
    <dataValidation type="list" allowBlank="1" showInputMessage="1" showErrorMessage="1" sqref="F13:F32" xr:uid="{00000000-0002-0000-0600-000000000000}">
      <formula1>"m,m²,m³,kg,L,un,vb"</formula1>
    </dataValidation>
  </dataValidations>
  <pageMargins left="0.51181102362204722" right="0.51181102362204722" top="0.59055118110236227" bottom="0.59055118110236227" header="0.31496062992125984" footer="0.31496062992125984"/>
  <pageSetup paperSize="9" scale="7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L35"/>
  <sheetViews>
    <sheetView zoomScale="80" zoomScaleNormal="80" workbookViewId="0" xr3:uid="{85D5C41F-068E-5C55-9968-509E7C2A5619}">
      <selection activeCell="G13" sqref="G13:J13"/>
    </sheetView>
  </sheetViews>
  <sheetFormatPr defaultColWidth="9.14453125" defaultRowHeight="15"/>
  <cols>
    <col min="1" max="1" width="2.28515625" style="2" customWidth="1"/>
    <col min="2" max="2" width="3.2265625" style="2" customWidth="1"/>
    <col min="3" max="3" width="10.76171875" style="2" customWidth="1"/>
    <col min="4" max="4" width="56.765625" style="2" customWidth="1"/>
    <col min="5" max="5" width="14.66015625" style="2" customWidth="1"/>
    <col min="6" max="6" width="12.64453125" style="2" customWidth="1"/>
    <col min="7" max="10" width="16.6796875" style="2" customWidth="1"/>
    <col min="11" max="11" width="18.6953125" style="2" customWidth="1"/>
    <col min="12" max="12" width="2.6875" style="2" customWidth="1"/>
    <col min="13" max="16384" width="9.14453125" style="2"/>
  </cols>
  <sheetData>
    <row r="1" spans="2:12" ht="15.75" thickBot="1"/>
    <row r="2" spans="2:12" ht="50.1" customHeight="1" thickBot="1">
      <c r="B2" s="188" t="s">
        <v>162</v>
      </c>
      <c r="C2" s="189"/>
      <c r="D2" s="189"/>
      <c r="E2" s="189"/>
      <c r="F2" s="189"/>
      <c r="G2" s="189"/>
      <c r="H2" s="189"/>
      <c r="I2" s="189"/>
      <c r="J2" s="189"/>
      <c r="K2" s="189"/>
      <c r="L2" s="190"/>
    </row>
    <row r="3" spans="2:12">
      <c r="B3" s="35"/>
      <c r="C3" s="36" t="s">
        <v>22</v>
      </c>
      <c r="D3" s="37"/>
      <c r="E3" s="38"/>
      <c r="F3" s="39"/>
      <c r="G3" s="39"/>
      <c r="H3" s="39"/>
      <c r="I3" s="39"/>
      <c r="J3" s="40"/>
      <c r="K3" s="41"/>
      <c r="L3" s="42"/>
    </row>
    <row r="4" spans="2:12" ht="6.95" customHeight="1">
      <c r="B4" s="35"/>
      <c r="C4" s="36"/>
      <c r="D4" s="37"/>
      <c r="E4" s="38"/>
      <c r="F4" s="39"/>
      <c r="G4" s="39"/>
      <c r="H4" s="39"/>
      <c r="I4" s="39"/>
      <c r="J4" s="40"/>
      <c r="K4" s="41"/>
      <c r="L4" s="42"/>
    </row>
    <row r="5" spans="2:12" ht="21.95" customHeight="1">
      <c r="B5" s="35"/>
      <c r="C5" s="191" t="s">
        <v>574</v>
      </c>
      <c r="D5" s="191"/>
      <c r="E5" s="191"/>
      <c r="F5" s="192"/>
      <c r="G5" s="39" t="s">
        <v>80</v>
      </c>
      <c r="H5" s="39" t="s">
        <v>81</v>
      </c>
      <c r="I5" s="39" t="s">
        <v>82</v>
      </c>
      <c r="J5" s="43" t="s">
        <v>83</v>
      </c>
      <c r="K5" s="43" t="s">
        <v>84</v>
      </c>
      <c r="L5" s="42"/>
    </row>
    <row r="6" spans="2:12" ht="21.95" customHeight="1">
      <c r="B6" s="44"/>
      <c r="C6" s="191"/>
      <c r="D6" s="191"/>
      <c r="E6" s="191"/>
      <c r="F6" s="192"/>
      <c r="G6" s="45">
        <f>SUMPRODUCT(E13:E33,G13:G33)</f>
        <v>0</v>
      </c>
      <c r="H6" s="45">
        <f>SUMPRODUCT(E13:E33,H13:H33)</f>
        <v>0</v>
      </c>
      <c r="I6" s="45">
        <f>SUMPRODUCT(E13:E33,I13:I33)</f>
        <v>0</v>
      </c>
      <c r="J6" s="46">
        <f>SUMPRODUCT(E13:E33,J13:J33)</f>
        <v>0</v>
      </c>
      <c r="K6" s="46">
        <f>K34</f>
        <v>0</v>
      </c>
      <c r="L6" s="42"/>
    </row>
    <row r="7" spans="2:12" ht="21.95" customHeight="1">
      <c r="B7" s="44"/>
      <c r="C7" s="191"/>
      <c r="D7" s="191"/>
      <c r="E7" s="191"/>
      <c r="F7" s="192"/>
      <c r="G7" s="47">
        <f>IF(K34&lt;&gt;0,G6/K34,0)</f>
        <v>0</v>
      </c>
      <c r="H7" s="47">
        <f>IF(K34&lt;&gt;0,H6/K34,0)</f>
        <v>0</v>
      </c>
      <c r="I7" s="47">
        <f>IF(K34&lt;&gt;0,I6/K34,0)</f>
        <v>0</v>
      </c>
      <c r="J7" s="48">
        <f>IF(K34&lt;&gt;0,J6/K34,0)</f>
        <v>0</v>
      </c>
      <c r="K7" s="48">
        <f>IF(K34&lt;&gt;0,K6/ORC_Custo!G33,0)</f>
        <v>0</v>
      </c>
      <c r="L7" s="42"/>
    </row>
    <row r="8" spans="2:12" ht="6.95" customHeight="1">
      <c r="B8" s="35"/>
      <c r="C8" s="49"/>
      <c r="D8" s="50"/>
      <c r="E8" s="51"/>
      <c r="F8" s="52"/>
      <c r="G8" s="52"/>
      <c r="H8" s="52"/>
      <c r="I8" s="52"/>
      <c r="J8" s="53"/>
      <c r="K8" s="54"/>
      <c r="L8" s="42"/>
    </row>
    <row r="9" spans="2:12" ht="6.95" customHeight="1" thickBot="1">
      <c r="B9" s="35"/>
      <c r="C9" s="55"/>
      <c r="D9" s="56"/>
      <c r="E9" s="51"/>
      <c r="F9" s="52"/>
      <c r="G9" s="52"/>
      <c r="H9" s="52"/>
      <c r="I9" s="52"/>
      <c r="J9" s="53"/>
      <c r="K9" s="54"/>
      <c r="L9" s="42"/>
    </row>
    <row r="10" spans="2:12" ht="30" customHeight="1" thickBot="1">
      <c r="B10" s="193" t="s">
        <v>85</v>
      </c>
      <c r="C10" s="194"/>
      <c r="D10" s="197" t="s">
        <v>86</v>
      </c>
      <c r="E10" s="199" t="s">
        <v>87</v>
      </c>
      <c r="F10" s="201" t="s">
        <v>88</v>
      </c>
      <c r="G10" s="203" t="s">
        <v>89</v>
      </c>
      <c r="H10" s="204"/>
      <c r="I10" s="204"/>
      <c r="J10" s="205"/>
      <c r="K10" s="206" t="s">
        <v>90</v>
      </c>
      <c r="L10" s="207"/>
    </row>
    <row r="11" spans="2:12" ht="30" customHeight="1" thickBot="1">
      <c r="B11" s="195"/>
      <c r="C11" s="196"/>
      <c r="D11" s="198"/>
      <c r="E11" s="200"/>
      <c r="F11" s="202"/>
      <c r="G11" s="101" t="s">
        <v>91</v>
      </c>
      <c r="H11" s="101" t="s">
        <v>92</v>
      </c>
      <c r="I11" s="101" t="s">
        <v>93</v>
      </c>
      <c r="J11" s="102" t="s">
        <v>94</v>
      </c>
      <c r="K11" s="208"/>
      <c r="L11" s="209"/>
    </row>
    <row r="12" spans="2:12" ht="6.95" customHeight="1">
      <c r="B12" s="57"/>
      <c r="C12" s="58"/>
      <c r="D12" s="59"/>
      <c r="E12" s="60"/>
      <c r="F12" s="61"/>
      <c r="G12" s="61"/>
      <c r="H12" s="61"/>
      <c r="I12" s="61"/>
      <c r="J12" s="60"/>
      <c r="K12" s="62"/>
      <c r="L12" s="63"/>
    </row>
    <row r="13" spans="2:12" ht="21.95" customHeight="1">
      <c r="B13" s="57"/>
      <c r="C13" s="64" t="s">
        <v>184</v>
      </c>
      <c r="D13" s="65"/>
      <c r="E13" s="66"/>
      <c r="F13" s="67" t="s">
        <v>96</v>
      </c>
      <c r="G13" s="67"/>
      <c r="H13" s="67"/>
      <c r="I13" s="67"/>
      <c r="J13" s="68"/>
      <c r="K13" s="69">
        <f>(G13+H13+I13+J13)*E13</f>
        <v>0</v>
      </c>
      <c r="L13" s="63"/>
    </row>
    <row r="14" spans="2:12" ht="21.95" customHeight="1">
      <c r="B14" s="57"/>
      <c r="C14" s="64" t="s">
        <v>185</v>
      </c>
      <c r="D14" s="65"/>
      <c r="E14" s="66"/>
      <c r="F14" s="67" t="s">
        <v>96</v>
      </c>
      <c r="G14" s="67"/>
      <c r="H14" s="67"/>
      <c r="I14" s="67"/>
      <c r="J14" s="70"/>
      <c r="K14" s="69">
        <f t="shared" ref="K14:K32" si="0">(G14+H14+I14+J14)*E14</f>
        <v>0</v>
      </c>
      <c r="L14" s="63"/>
    </row>
    <row r="15" spans="2:12" ht="21.95" customHeight="1">
      <c r="B15" s="57"/>
      <c r="C15" s="64" t="s">
        <v>186</v>
      </c>
      <c r="D15" s="65"/>
      <c r="E15" s="66"/>
      <c r="F15" s="67" t="s">
        <v>96</v>
      </c>
      <c r="G15" s="67"/>
      <c r="H15" s="67"/>
      <c r="I15" s="67"/>
      <c r="J15" s="68"/>
      <c r="K15" s="69">
        <f t="shared" si="0"/>
        <v>0</v>
      </c>
      <c r="L15" s="63"/>
    </row>
    <row r="16" spans="2:12" ht="21.95" customHeight="1">
      <c r="B16" s="57"/>
      <c r="C16" s="64" t="s">
        <v>187</v>
      </c>
      <c r="D16" s="65"/>
      <c r="E16" s="66"/>
      <c r="F16" s="67" t="s">
        <v>96</v>
      </c>
      <c r="G16" s="71"/>
      <c r="H16" s="71"/>
      <c r="I16" s="71"/>
      <c r="J16" s="69"/>
      <c r="K16" s="69">
        <f t="shared" si="0"/>
        <v>0</v>
      </c>
      <c r="L16" s="63"/>
    </row>
    <row r="17" spans="2:12" ht="21.95" customHeight="1">
      <c r="B17" s="57"/>
      <c r="C17" s="64" t="s">
        <v>188</v>
      </c>
      <c r="D17" s="65"/>
      <c r="E17" s="66"/>
      <c r="F17" s="67" t="s">
        <v>96</v>
      </c>
      <c r="G17" s="67"/>
      <c r="H17" s="67"/>
      <c r="I17" s="67"/>
      <c r="J17" s="68"/>
      <c r="K17" s="69">
        <f t="shared" si="0"/>
        <v>0</v>
      </c>
      <c r="L17" s="63"/>
    </row>
    <row r="18" spans="2:12" ht="21.95" customHeight="1">
      <c r="B18" s="57"/>
      <c r="C18" s="64" t="s">
        <v>189</v>
      </c>
      <c r="D18" s="65"/>
      <c r="E18" s="66"/>
      <c r="F18" s="67" t="s">
        <v>96</v>
      </c>
      <c r="G18" s="71"/>
      <c r="H18" s="71"/>
      <c r="I18" s="71"/>
      <c r="J18" s="69"/>
      <c r="K18" s="69">
        <f t="shared" si="0"/>
        <v>0</v>
      </c>
      <c r="L18" s="63"/>
    </row>
    <row r="19" spans="2:12" ht="21.95" customHeight="1">
      <c r="B19" s="57"/>
      <c r="C19" s="64" t="s">
        <v>190</v>
      </c>
      <c r="D19" s="65"/>
      <c r="E19" s="66"/>
      <c r="F19" s="67" t="s">
        <v>96</v>
      </c>
      <c r="G19" s="67"/>
      <c r="H19" s="67"/>
      <c r="I19" s="67"/>
      <c r="J19" s="68"/>
      <c r="K19" s="69">
        <f t="shared" si="0"/>
        <v>0</v>
      </c>
      <c r="L19" s="63"/>
    </row>
    <row r="20" spans="2:12" ht="21.95" customHeight="1">
      <c r="B20" s="57"/>
      <c r="C20" s="64" t="s">
        <v>191</v>
      </c>
      <c r="D20" s="65"/>
      <c r="E20" s="66"/>
      <c r="F20" s="67" t="s">
        <v>96</v>
      </c>
      <c r="G20" s="71"/>
      <c r="H20" s="71"/>
      <c r="I20" s="71"/>
      <c r="J20" s="69"/>
      <c r="K20" s="69">
        <f t="shared" si="0"/>
        <v>0</v>
      </c>
      <c r="L20" s="63"/>
    </row>
    <row r="21" spans="2:12" ht="21.95" customHeight="1">
      <c r="B21" s="57"/>
      <c r="C21" s="64" t="s">
        <v>192</v>
      </c>
      <c r="D21" s="65"/>
      <c r="E21" s="66"/>
      <c r="F21" s="67" t="s">
        <v>96</v>
      </c>
      <c r="G21" s="71"/>
      <c r="H21" s="71"/>
      <c r="I21" s="71"/>
      <c r="J21" s="69"/>
      <c r="K21" s="69">
        <f t="shared" si="0"/>
        <v>0</v>
      </c>
      <c r="L21" s="63"/>
    </row>
    <row r="22" spans="2:12" ht="21.95" customHeight="1">
      <c r="B22" s="57"/>
      <c r="C22" s="64" t="s">
        <v>193</v>
      </c>
      <c r="D22" s="65"/>
      <c r="E22" s="66"/>
      <c r="F22" s="67" t="s">
        <v>96</v>
      </c>
      <c r="G22" s="71"/>
      <c r="H22" s="71"/>
      <c r="I22" s="71"/>
      <c r="J22" s="69"/>
      <c r="K22" s="69">
        <f t="shared" si="0"/>
        <v>0</v>
      </c>
      <c r="L22" s="63"/>
    </row>
    <row r="23" spans="2:12" ht="21.95" customHeight="1">
      <c r="B23" s="57"/>
      <c r="C23" s="64" t="s">
        <v>194</v>
      </c>
      <c r="D23" s="65"/>
      <c r="E23" s="66"/>
      <c r="F23" s="67" t="s">
        <v>96</v>
      </c>
      <c r="G23" s="71"/>
      <c r="H23" s="71"/>
      <c r="I23" s="71"/>
      <c r="J23" s="69"/>
      <c r="K23" s="69">
        <f t="shared" si="0"/>
        <v>0</v>
      </c>
      <c r="L23" s="63"/>
    </row>
    <row r="24" spans="2:12" ht="21.95" customHeight="1">
      <c r="B24" s="57"/>
      <c r="C24" s="64" t="s">
        <v>195</v>
      </c>
      <c r="D24" s="65"/>
      <c r="E24" s="66"/>
      <c r="F24" s="67" t="s">
        <v>96</v>
      </c>
      <c r="G24" s="71"/>
      <c r="H24" s="71"/>
      <c r="I24" s="71"/>
      <c r="J24" s="69"/>
      <c r="K24" s="69">
        <f t="shared" si="0"/>
        <v>0</v>
      </c>
      <c r="L24" s="63"/>
    </row>
    <row r="25" spans="2:12" ht="21.95" customHeight="1">
      <c r="B25" s="57"/>
      <c r="C25" s="64" t="s">
        <v>196</v>
      </c>
      <c r="D25" s="65"/>
      <c r="E25" s="66"/>
      <c r="F25" s="67" t="s">
        <v>96</v>
      </c>
      <c r="G25" s="71"/>
      <c r="H25" s="71"/>
      <c r="I25" s="71"/>
      <c r="J25" s="69"/>
      <c r="K25" s="69">
        <f t="shared" si="0"/>
        <v>0</v>
      </c>
      <c r="L25" s="63"/>
    </row>
    <row r="26" spans="2:12" ht="21.95" customHeight="1">
      <c r="B26" s="57"/>
      <c r="C26" s="64" t="s">
        <v>197</v>
      </c>
      <c r="D26" s="65"/>
      <c r="E26" s="66"/>
      <c r="F26" s="67" t="s">
        <v>96</v>
      </c>
      <c r="G26" s="71"/>
      <c r="H26" s="71"/>
      <c r="I26" s="71"/>
      <c r="J26" s="69"/>
      <c r="K26" s="69">
        <f t="shared" si="0"/>
        <v>0</v>
      </c>
      <c r="L26" s="63"/>
    </row>
    <row r="27" spans="2:12" ht="21.95" customHeight="1">
      <c r="B27" s="57"/>
      <c r="C27" s="64" t="s">
        <v>198</v>
      </c>
      <c r="D27" s="65"/>
      <c r="E27" s="66"/>
      <c r="F27" s="67" t="s">
        <v>96</v>
      </c>
      <c r="G27" s="71"/>
      <c r="H27" s="71"/>
      <c r="I27" s="71"/>
      <c r="J27" s="69"/>
      <c r="K27" s="69">
        <f t="shared" si="0"/>
        <v>0</v>
      </c>
      <c r="L27" s="63"/>
    </row>
    <row r="28" spans="2:12" ht="21.95" customHeight="1">
      <c r="B28" s="57"/>
      <c r="C28" s="64" t="s">
        <v>199</v>
      </c>
      <c r="D28" s="65"/>
      <c r="E28" s="66"/>
      <c r="F28" s="67" t="s">
        <v>96</v>
      </c>
      <c r="G28" s="71"/>
      <c r="H28" s="71"/>
      <c r="I28" s="71"/>
      <c r="J28" s="69"/>
      <c r="K28" s="69">
        <f t="shared" si="0"/>
        <v>0</v>
      </c>
      <c r="L28" s="63"/>
    </row>
    <row r="29" spans="2:12" ht="21.95" customHeight="1">
      <c r="B29" s="57"/>
      <c r="C29" s="64" t="s">
        <v>200</v>
      </c>
      <c r="D29" s="65"/>
      <c r="E29" s="66"/>
      <c r="F29" s="67" t="s">
        <v>96</v>
      </c>
      <c r="G29" s="71"/>
      <c r="H29" s="71"/>
      <c r="I29" s="71"/>
      <c r="J29" s="69"/>
      <c r="K29" s="69">
        <f t="shared" si="0"/>
        <v>0</v>
      </c>
      <c r="L29" s="63"/>
    </row>
    <row r="30" spans="2:12" ht="21.95" customHeight="1">
      <c r="B30" s="57"/>
      <c r="C30" s="64" t="s">
        <v>201</v>
      </c>
      <c r="D30" s="65"/>
      <c r="E30" s="66"/>
      <c r="F30" s="67" t="s">
        <v>96</v>
      </c>
      <c r="G30" s="71"/>
      <c r="H30" s="71"/>
      <c r="I30" s="71"/>
      <c r="J30" s="69"/>
      <c r="K30" s="69">
        <f t="shared" si="0"/>
        <v>0</v>
      </c>
      <c r="L30" s="63"/>
    </row>
    <row r="31" spans="2:12" ht="21.95" customHeight="1">
      <c r="B31" s="57"/>
      <c r="C31" s="64" t="s">
        <v>202</v>
      </c>
      <c r="D31" s="65"/>
      <c r="E31" s="66"/>
      <c r="F31" s="67" t="s">
        <v>96</v>
      </c>
      <c r="G31" s="71"/>
      <c r="H31" s="71"/>
      <c r="I31" s="71"/>
      <c r="J31" s="69"/>
      <c r="K31" s="69">
        <f t="shared" si="0"/>
        <v>0</v>
      </c>
      <c r="L31" s="63"/>
    </row>
    <row r="32" spans="2:12" ht="21.95" customHeight="1">
      <c r="B32" s="57"/>
      <c r="C32" s="64" t="s">
        <v>203</v>
      </c>
      <c r="D32" s="65"/>
      <c r="E32" s="66"/>
      <c r="F32" s="67" t="s">
        <v>96</v>
      </c>
      <c r="G32" s="67"/>
      <c r="H32" s="67"/>
      <c r="I32" s="67"/>
      <c r="J32" s="68"/>
      <c r="K32" s="69">
        <f t="shared" si="0"/>
        <v>0</v>
      </c>
      <c r="L32" s="63"/>
    </row>
    <row r="33" spans="2:12" ht="6.95" customHeight="1" thickBot="1">
      <c r="B33" s="72"/>
      <c r="C33" s="73"/>
      <c r="D33" s="74"/>
      <c r="E33" s="75"/>
      <c r="F33" s="76"/>
      <c r="G33" s="76"/>
      <c r="H33" s="76"/>
      <c r="I33" s="76"/>
      <c r="J33" s="75"/>
      <c r="K33" s="77"/>
      <c r="L33" s="78"/>
    </row>
    <row r="34" spans="2:12" ht="30" customHeight="1">
      <c r="B34" s="103"/>
      <c r="C34" s="104"/>
      <c r="D34" s="105" t="s">
        <v>116</v>
      </c>
      <c r="E34" s="106"/>
      <c r="F34" s="107"/>
      <c r="G34" s="107"/>
      <c r="H34" s="107"/>
      <c r="I34" s="107"/>
      <c r="J34" s="108"/>
      <c r="K34" s="109">
        <f>SUM(K13:K33)</f>
        <v>0</v>
      </c>
      <c r="L34" s="110"/>
    </row>
    <row r="35" spans="2:12" ht="9.9499999999999993" customHeight="1" thickBot="1">
      <c r="B35" s="111"/>
      <c r="C35" s="112"/>
      <c r="D35" s="113"/>
      <c r="E35" s="114"/>
      <c r="F35" s="115"/>
      <c r="G35" s="116"/>
      <c r="H35" s="116"/>
      <c r="I35" s="116"/>
      <c r="J35" s="116"/>
      <c r="K35" s="117"/>
      <c r="L35" s="118"/>
    </row>
  </sheetData>
  <mergeCells count="8">
    <mergeCell ref="B2:L2"/>
    <mergeCell ref="C5:F7"/>
    <mergeCell ref="B10:C11"/>
    <mergeCell ref="D10:D11"/>
    <mergeCell ref="E10:E11"/>
    <mergeCell ref="F10:F11"/>
    <mergeCell ref="G10:J10"/>
    <mergeCell ref="K10:L11"/>
  </mergeCells>
  <dataValidations count="1">
    <dataValidation type="list" allowBlank="1" showInputMessage="1" showErrorMessage="1" sqref="F13:F32" xr:uid="{00000000-0002-0000-0700-000000000000}">
      <formula1>"m,m²,m³,kg,L,un,vb"</formula1>
    </dataValidation>
  </dataValidations>
  <pageMargins left="0.51181102362204722" right="0.51181102362204722" top="0.59055118110236227" bottom="0.59055118110236227" header="0.31496062992125984" footer="0.31496062992125984"/>
  <pageSetup paperSize="9" scale="7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L35"/>
  <sheetViews>
    <sheetView zoomScale="80" zoomScaleNormal="80" workbookViewId="0" xr3:uid="{44B22561-5205-5C8A-B808-2C70100D228F}">
      <selection activeCell="G13" sqref="G13:J13"/>
    </sheetView>
  </sheetViews>
  <sheetFormatPr defaultColWidth="9.14453125" defaultRowHeight="15"/>
  <cols>
    <col min="1" max="1" width="2.28515625" style="2" customWidth="1"/>
    <col min="2" max="2" width="3.2265625" style="2" customWidth="1"/>
    <col min="3" max="3" width="10.76171875" style="2" customWidth="1"/>
    <col min="4" max="4" width="56.765625" style="2" customWidth="1"/>
    <col min="5" max="5" width="14.66015625" style="2" customWidth="1"/>
    <col min="6" max="6" width="12.64453125" style="2" customWidth="1"/>
    <col min="7" max="10" width="16.6796875" style="2" customWidth="1"/>
    <col min="11" max="11" width="18.6953125" style="2" customWidth="1"/>
    <col min="12" max="12" width="2.6875" style="2" customWidth="1"/>
    <col min="13" max="16384" width="9.14453125" style="2"/>
  </cols>
  <sheetData>
    <row r="1" spans="2:12" ht="15.75" thickBot="1"/>
    <row r="2" spans="2:12" ht="50.1" customHeight="1" thickBot="1">
      <c r="B2" s="188" t="s">
        <v>163</v>
      </c>
      <c r="C2" s="189"/>
      <c r="D2" s="189"/>
      <c r="E2" s="189"/>
      <c r="F2" s="189"/>
      <c r="G2" s="189"/>
      <c r="H2" s="189"/>
      <c r="I2" s="189"/>
      <c r="J2" s="189"/>
      <c r="K2" s="189"/>
      <c r="L2" s="190"/>
    </row>
    <row r="3" spans="2:12">
      <c r="B3" s="35"/>
      <c r="C3" s="36" t="s">
        <v>22</v>
      </c>
      <c r="D3" s="37"/>
      <c r="E3" s="38"/>
      <c r="F3" s="39"/>
      <c r="G3" s="39"/>
      <c r="H3" s="39"/>
      <c r="I3" s="39"/>
      <c r="J3" s="40"/>
      <c r="K3" s="41"/>
      <c r="L3" s="42"/>
    </row>
    <row r="4" spans="2:12" ht="6.95" customHeight="1">
      <c r="B4" s="35"/>
      <c r="C4" s="36"/>
      <c r="D4" s="37"/>
      <c r="E4" s="38"/>
      <c r="F4" s="39"/>
      <c r="G4" s="39"/>
      <c r="H4" s="39"/>
      <c r="I4" s="39"/>
      <c r="J4" s="40"/>
      <c r="K4" s="41"/>
      <c r="L4" s="42"/>
    </row>
    <row r="5" spans="2:12" ht="21.95" customHeight="1">
      <c r="B5" s="35"/>
      <c r="C5" s="191" t="s">
        <v>575</v>
      </c>
      <c r="D5" s="191"/>
      <c r="E5" s="191"/>
      <c r="F5" s="192"/>
      <c r="G5" s="39" t="s">
        <v>80</v>
      </c>
      <c r="H5" s="39" t="s">
        <v>81</v>
      </c>
      <c r="I5" s="39" t="s">
        <v>82</v>
      </c>
      <c r="J5" s="43" t="s">
        <v>83</v>
      </c>
      <c r="K5" s="43" t="s">
        <v>84</v>
      </c>
      <c r="L5" s="42"/>
    </row>
    <row r="6" spans="2:12" ht="21.95" customHeight="1">
      <c r="B6" s="44"/>
      <c r="C6" s="191"/>
      <c r="D6" s="191"/>
      <c r="E6" s="191"/>
      <c r="F6" s="192"/>
      <c r="G6" s="45">
        <f>SUMPRODUCT(E13:E33,G13:G33)</f>
        <v>0</v>
      </c>
      <c r="H6" s="45">
        <f>SUMPRODUCT(E13:E33,H13:H33)</f>
        <v>0</v>
      </c>
      <c r="I6" s="45">
        <f>SUMPRODUCT(E13:E33,I13:I33)</f>
        <v>0</v>
      </c>
      <c r="J6" s="46">
        <f>SUMPRODUCT(E13:E33,J13:J33)</f>
        <v>0</v>
      </c>
      <c r="K6" s="46">
        <f>K34</f>
        <v>0</v>
      </c>
      <c r="L6" s="42"/>
    </row>
    <row r="7" spans="2:12" ht="21.95" customHeight="1">
      <c r="B7" s="44"/>
      <c r="C7" s="191"/>
      <c r="D7" s="191"/>
      <c r="E7" s="191"/>
      <c r="F7" s="192"/>
      <c r="G7" s="47">
        <f>IF(K34&lt;&gt;0,G6/K34,0)</f>
        <v>0</v>
      </c>
      <c r="H7" s="47">
        <f>IF(K34&lt;&gt;0,H6/K34,0)</f>
        <v>0</v>
      </c>
      <c r="I7" s="47">
        <f>IF(K34&lt;&gt;0,I6/K34,0)</f>
        <v>0</v>
      </c>
      <c r="J7" s="48">
        <f>IF(K34&lt;&gt;0,J6/K34,0)</f>
        <v>0</v>
      </c>
      <c r="K7" s="48">
        <f>IF(K34&lt;&gt;0,K6/ORC_Custo!G33,0)</f>
        <v>0</v>
      </c>
      <c r="L7" s="42"/>
    </row>
    <row r="8" spans="2:12" ht="6.95" customHeight="1">
      <c r="B8" s="35"/>
      <c r="C8" s="49"/>
      <c r="D8" s="50"/>
      <c r="E8" s="51"/>
      <c r="F8" s="52"/>
      <c r="G8" s="52"/>
      <c r="H8" s="52"/>
      <c r="I8" s="52"/>
      <c r="J8" s="53"/>
      <c r="K8" s="54"/>
      <c r="L8" s="42"/>
    </row>
    <row r="9" spans="2:12" ht="6.95" customHeight="1" thickBot="1">
      <c r="B9" s="35"/>
      <c r="C9" s="55"/>
      <c r="D9" s="56"/>
      <c r="E9" s="51"/>
      <c r="F9" s="52"/>
      <c r="G9" s="52"/>
      <c r="H9" s="52"/>
      <c r="I9" s="52"/>
      <c r="J9" s="53"/>
      <c r="K9" s="54"/>
      <c r="L9" s="42"/>
    </row>
    <row r="10" spans="2:12" ht="30" customHeight="1" thickBot="1">
      <c r="B10" s="193" t="s">
        <v>85</v>
      </c>
      <c r="C10" s="194"/>
      <c r="D10" s="197" t="s">
        <v>86</v>
      </c>
      <c r="E10" s="199" t="s">
        <v>87</v>
      </c>
      <c r="F10" s="201" t="s">
        <v>88</v>
      </c>
      <c r="G10" s="203" t="s">
        <v>89</v>
      </c>
      <c r="H10" s="204"/>
      <c r="I10" s="204"/>
      <c r="J10" s="205"/>
      <c r="K10" s="206" t="s">
        <v>90</v>
      </c>
      <c r="L10" s="207"/>
    </row>
    <row r="11" spans="2:12" ht="30" customHeight="1" thickBot="1">
      <c r="B11" s="195"/>
      <c r="C11" s="196"/>
      <c r="D11" s="198"/>
      <c r="E11" s="200"/>
      <c r="F11" s="202"/>
      <c r="G11" s="101" t="s">
        <v>91</v>
      </c>
      <c r="H11" s="101" t="s">
        <v>92</v>
      </c>
      <c r="I11" s="101" t="s">
        <v>93</v>
      </c>
      <c r="J11" s="102" t="s">
        <v>94</v>
      </c>
      <c r="K11" s="208"/>
      <c r="L11" s="209"/>
    </row>
    <row r="12" spans="2:12" ht="6.95" customHeight="1">
      <c r="B12" s="57"/>
      <c r="C12" s="58"/>
      <c r="D12" s="59"/>
      <c r="E12" s="60"/>
      <c r="F12" s="61"/>
      <c r="G12" s="61"/>
      <c r="H12" s="61"/>
      <c r="I12" s="61"/>
      <c r="J12" s="60"/>
      <c r="K12" s="62"/>
      <c r="L12" s="63"/>
    </row>
    <row r="13" spans="2:12" ht="21.95" customHeight="1">
      <c r="B13" s="57"/>
      <c r="C13" s="64" t="s">
        <v>204</v>
      </c>
      <c r="D13" s="65"/>
      <c r="E13" s="66"/>
      <c r="F13" s="67" t="s">
        <v>96</v>
      </c>
      <c r="G13" s="67"/>
      <c r="H13" s="67"/>
      <c r="I13" s="67"/>
      <c r="J13" s="68"/>
      <c r="K13" s="69">
        <f>(G13+H13+I13+J13)*E13</f>
        <v>0</v>
      </c>
      <c r="L13" s="63"/>
    </row>
    <row r="14" spans="2:12" ht="21.95" customHeight="1">
      <c r="B14" s="57"/>
      <c r="C14" s="64" t="s">
        <v>205</v>
      </c>
      <c r="D14" s="65"/>
      <c r="E14" s="66"/>
      <c r="F14" s="67" t="s">
        <v>96</v>
      </c>
      <c r="G14" s="67"/>
      <c r="H14" s="67"/>
      <c r="I14" s="67"/>
      <c r="J14" s="70"/>
      <c r="K14" s="69">
        <f t="shared" ref="K14:K32" si="0">(G14+H14+I14+J14)*E14</f>
        <v>0</v>
      </c>
      <c r="L14" s="63"/>
    </row>
    <row r="15" spans="2:12" ht="21.95" customHeight="1">
      <c r="B15" s="57"/>
      <c r="C15" s="64" t="s">
        <v>206</v>
      </c>
      <c r="D15" s="65"/>
      <c r="E15" s="66"/>
      <c r="F15" s="67" t="s">
        <v>96</v>
      </c>
      <c r="G15" s="67"/>
      <c r="H15" s="67"/>
      <c r="I15" s="67"/>
      <c r="J15" s="68"/>
      <c r="K15" s="69">
        <f t="shared" si="0"/>
        <v>0</v>
      </c>
      <c r="L15" s="63"/>
    </row>
    <row r="16" spans="2:12" ht="21.95" customHeight="1">
      <c r="B16" s="57"/>
      <c r="C16" s="64" t="s">
        <v>207</v>
      </c>
      <c r="D16" s="65"/>
      <c r="E16" s="66"/>
      <c r="F16" s="67" t="s">
        <v>96</v>
      </c>
      <c r="G16" s="71"/>
      <c r="H16" s="71"/>
      <c r="I16" s="71"/>
      <c r="J16" s="69"/>
      <c r="K16" s="69">
        <f t="shared" si="0"/>
        <v>0</v>
      </c>
      <c r="L16" s="63"/>
    </row>
    <row r="17" spans="2:12" ht="21.95" customHeight="1">
      <c r="B17" s="57"/>
      <c r="C17" s="64" t="s">
        <v>208</v>
      </c>
      <c r="D17" s="65"/>
      <c r="E17" s="66"/>
      <c r="F17" s="67" t="s">
        <v>96</v>
      </c>
      <c r="G17" s="67"/>
      <c r="H17" s="67"/>
      <c r="I17" s="67"/>
      <c r="J17" s="68"/>
      <c r="K17" s="69">
        <f t="shared" si="0"/>
        <v>0</v>
      </c>
      <c r="L17" s="63"/>
    </row>
    <row r="18" spans="2:12" ht="21.95" customHeight="1">
      <c r="B18" s="57"/>
      <c r="C18" s="64" t="s">
        <v>209</v>
      </c>
      <c r="D18" s="65"/>
      <c r="E18" s="66"/>
      <c r="F18" s="67" t="s">
        <v>96</v>
      </c>
      <c r="G18" s="71"/>
      <c r="H18" s="71"/>
      <c r="I18" s="71"/>
      <c r="J18" s="69"/>
      <c r="K18" s="69">
        <f t="shared" si="0"/>
        <v>0</v>
      </c>
      <c r="L18" s="63"/>
    </row>
    <row r="19" spans="2:12" ht="21.95" customHeight="1">
      <c r="B19" s="57"/>
      <c r="C19" s="64" t="s">
        <v>210</v>
      </c>
      <c r="D19" s="65"/>
      <c r="E19" s="66"/>
      <c r="F19" s="67" t="s">
        <v>96</v>
      </c>
      <c r="G19" s="67"/>
      <c r="H19" s="67"/>
      <c r="I19" s="67"/>
      <c r="J19" s="68"/>
      <c r="K19" s="69">
        <f t="shared" si="0"/>
        <v>0</v>
      </c>
      <c r="L19" s="63"/>
    </row>
    <row r="20" spans="2:12" ht="21.95" customHeight="1">
      <c r="B20" s="57"/>
      <c r="C20" s="64" t="s">
        <v>211</v>
      </c>
      <c r="D20" s="65"/>
      <c r="E20" s="66"/>
      <c r="F20" s="67" t="s">
        <v>96</v>
      </c>
      <c r="G20" s="71"/>
      <c r="H20" s="71"/>
      <c r="I20" s="71"/>
      <c r="J20" s="69"/>
      <c r="K20" s="69">
        <f t="shared" si="0"/>
        <v>0</v>
      </c>
      <c r="L20" s="63"/>
    </row>
    <row r="21" spans="2:12" ht="21.95" customHeight="1">
      <c r="B21" s="57"/>
      <c r="C21" s="64" t="s">
        <v>212</v>
      </c>
      <c r="D21" s="65"/>
      <c r="E21" s="66"/>
      <c r="F21" s="67" t="s">
        <v>96</v>
      </c>
      <c r="G21" s="71"/>
      <c r="H21" s="71"/>
      <c r="I21" s="71"/>
      <c r="J21" s="69"/>
      <c r="K21" s="69">
        <f t="shared" si="0"/>
        <v>0</v>
      </c>
      <c r="L21" s="63"/>
    </row>
    <row r="22" spans="2:12" ht="21.95" customHeight="1">
      <c r="B22" s="57"/>
      <c r="C22" s="64" t="s">
        <v>213</v>
      </c>
      <c r="D22" s="65"/>
      <c r="E22" s="66"/>
      <c r="F22" s="67" t="s">
        <v>96</v>
      </c>
      <c r="G22" s="71"/>
      <c r="H22" s="71"/>
      <c r="I22" s="71"/>
      <c r="J22" s="69"/>
      <c r="K22" s="69">
        <f t="shared" si="0"/>
        <v>0</v>
      </c>
      <c r="L22" s="63"/>
    </row>
    <row r="23" spans="2:12" ht="21.95" customHeight="1">
      <c r="B23" s="57"/>
      <c r="C23" s="64" t="s">
        <v>214</v>
      </c>
      <c r="D23" s="65"/>
      <c r="E23" s="66"/>
      <c r="F23" s="67" t="s">
        <v>96</v>
      </c>
      <c r="G23" s="71"/>
      <c r="H23" s="71"/>
      <c r="I23" s="71"/>
      <c r="J23" s="69"/>
      <c r="K23" s="69">
        <f t="shared" si="0"/>
        <v>0</v>
      </c>
      <c r="L23" s="63"/>
    </row>
    <row r="24" spans="2:12" ht="21.95" customHeight="1">
      <c r="B24" s="57"/>
      <c r="C24" s="64" t="s">
        <v>215</v>
      </c>
      <c r="D24" s="65"/>
      <c r="E24" s="66"/>
      <c r="F24" s="67" t="s">
        <v>96</v>
      </c>
      <c r="G24" s="71"/>
      <c r="H24" s="71"/>
      <c r="I24" s="71"/>
      <c r="J24" s="69"/>
      <c r="K24" s="69">
        <f t="shared" si="0"/>
        <v>0</v>
      </c>
      <c r="L24" s="63"/>
    </row>
    <row r="25" spans="2:12" ht="21.95" customHeight="1">
      <c r="B25" s="57"/>
      <c r="C25" s="64" t="s">
        <v>216</v>
      </c>
      <c r="D25" s="65"/>
      <c r="E25" s="66"/>
      <c r="F25" s="67" t="s">
        <v>96</v>
      </c>
      <c r="G25" s="71"/>
      <c r="H25" s="71"/>
      <c r="I25" s="71"/>
      <c r="J25" s="69"/>
      <c r="K25" s="69">
        <f t="shared" si="0"/>
        <v>0</v>
      </c>
      <c r="L25" s="63"/>
    </row>
    <row r="26" spans="2:12" ht="21.95" customHeight="1">
      <c r="B26" s="57"/>
      <c r="C26" s="64" t="s">
        <v>217</v>
      </c>
      <c r="D26" s="65"/>
      <c r="E26" s="66"/>
      <c r="F26" s="67" t="s">
        <v>96</v>
      </c>
      <c r="G26" s="71"/>
      <c r="H26" s="71"/>
      <c r="I26" s="71"/>
      <c r="J26" s="69"/>
      <c r="K26" s="69">
        <f t="shared" si="0"/>
        <v>0</v>
      </c>
      <c r="L26" s="63"/>
    </row>
    <row r="27" spans="2:12" ht="21.95" customHeight="1">
      <c r="B27" s="57"/>
      <c r="C27" s="64" t="s">
        <v>218</v>
      </c>
      <c r="D27" s="65"/>
      <c r="E27" s="66"/>
      <c r="F27" s="67" t="s">
        <v>96</v>
      </c>
      <c r="G27" s="71"/>
      <c r="H27" s="71"/>
      <c r="I27" s="71"/>
      <c r="J27" s="69"/>
      <c r="K27" s="69">
        <f t="shared" si="0"/>
        <v>0</v>
      </c>
      <c r="L27" s="63"/>
    </row>
    <row r="28" spans="2:12" ht="21.95" customHeight="1">
      <c r="B28" s="57"/>
      <c r="C28" s="64" t="s">
        <v>219</v>
      </c>
      <c r="D28" s="65"/>
      <c r="E28" s="66"/>
      <c r="F28" s="67" t="s">
        <v>96</v>
      </c>
      <c r="G28" s="71"/>
      <c r="H28" s="71"/>
      <c r="I28" s="71"/>
      <c r="J28" s="69"/>
      <c r="K28" s="69">
        <f t="shared" si="0"/>
        <v>0</v>
      </c>
      <c r="L28" s="63"/>
    </row>
    <row r="29" spans="2:12" ht="21.95" customHeight="1">
      <c r="B29" s="57"/>
      <c r="C29" s="64" t="s">
        <v>220</v>
      </c>
      <c r="D29" s="65"/>
      <c r="E29" s="66"/>
      <c r="F29" s="67" t="s">
        <v>96</v>
      </c>
      <c r="G29" s="71"/>
      <c r="H29" s="71"/>
      <c r="I29" s="71"/>
      <c r="J29" s="69"/>
      <c r="K29" s="69">
        <f t="shared" si="0"/>
        <v>0</v>
      </c>
      <c r="L29" s="63"/>
    </row>
    <row r="30" spans="2:12" ht="21.95" customHeight="1">
      <c r="B30" s="57"/>
      <c r="C30" s="64" t="s">
        <v>221</v>
      </c>
      <c r="D30" s="65"/>
      <c r="E30" s="66"/>
      <c r="F30" s="67" t="s">
        <v>96</v>
      </c>
      <c r="G30" s="71"/>
      <c r="H30" s="71"/>
      <c r="I30" s="71"/>
      <c r="J30" s="69"/>
      <c r="K30" s="69">
        <f t="shared" si="0"/>
        <v>0</v>
      </c>
      <c r="L30" s="63"/>
    </row>
    <row r="31" spans="2:12" ht="21.95" customHeight="1">
      <c r="B31" s="57"/>
      <c r="C31" s="64" t="s">
        <v>222</v>
      </c>
      <c r="D31" s="65"/>
      <c r="E31" s="66"/>
      <c r="F31" s="67" t="s">
        <v>96</v>
      </c>
      <c r="G31" s="71"/>
      <c r="H31" s="71"/>
      <c r="I31" s="71"/>
      <c r="J31" s="69"/>
      <c r="K31" s="69">
        <f t="shared" si="0"/>
        <v>0</v>
      </c>
      <c r="L31" s="63"/>
    </row>
    <row r="32" spans="2:12" ht="21.95" customHeight="1">
      <c r="B32" s="57"/>
      <c r="C32" s="64" t="s">
        <v>223</v>
      </c>
      <c r="D32" s="65"/>
      <c r="E32" s="66"/>
      <c r="F32" s="67" t="s">
        <v>96</v>
      </c>
      <c r="G32" s="67"/>
      <c r="H32" s="67"/>
      <c r="I32" s="67"/>
      <c r="J32" s="68"/>
      <c r="K32" s="69">
        <f t="shared" si="0"/>
        <v>0</v>
      </c>
      <c r="L32" s="63"/>
    </row>
    <row r="33" spans="2:12" ht="6.95" customHeight="1" thickBot="1">
      <c r="B33" s="72"/>
      <c r="C33" s="73"/>
      <c r="D33" s="74"/>
      <c r="E33" s="75"/>
      <c r="F33" s="76"/>
      <c r="G33" s="76"/>
      <c r="H33" s="76"/>
      <c r="I33" s="76"/>
      <c r="J33" s="75"/>
      <c r="K33" s="77"/>
      <c r="L33" s="78"/>
    </row>
    <row r="34" spans="2:12" ht="30" customHeight="1">
      <c r="B34" s="103"/>
      <c r="C34" s="104"/>
      <c r="D34" s="105" t="s">
        <v>116</v>
      </c>
      <c r="E34" s="106"/>
      <c r="F34" s="107"/>
      <c r="G34" s="107"/>
      <c r="H34" s="107"/>
      <c r="I34" s="107"/>
      <c r="J34" s="108"/>
      <c r="K34" s="109">
        <f>SUM(K13:K33)</f>
        <v>0</v>
      </c>
      <c r="L34" s="110"/>
    </row>
    <row r="35" spans="2:12" ht="9.9499999999999993" customHeight="1" thickBot="1">
      <c r="B35" s="111"/>
      <c r="C35" s="112"/>
      <c r="D35" s="113"/>
      <c r="E35" s="114"/>
      <c r="F35" s="115"/>
      <c r="G35" s="116"/>
      <c r="H35" s="116"/>
      <c r="I35" s="116"/>
      <c r="J35" s="116"/>
      <c r="K35" s="117"/>
      <c r="L35" s="118"/>
    </row>
  </sheetData>
  <mergeCells count="8">
    <mergeCell ref="B2:L2"/>
    <mergeCell ref="C5:F7"/>
    <mergeCell ref="B10:C11"/>
    <mergeCell ref="D10:D11"/>
    <mergeCell ref="E10:E11"/>
    <mergeCell ref="F10:F11"/>
    <mergeCell ref="G10:J10"/>
    <mergeCell ref="K10:L11"/>
  </mergeCells>
  <dataValidations count="1">
    <dataValidation type="list" allowBlank="1" showInputMessage="1" showErrorMessage="1" sqref="F13:F32" xr:uid="{00000000-0002-0000-0800-000000000000}">
      <formula1>"m,m²,m³,kg,L,un,vb"</formula1>
    </dataValidation>
  </dataValidations>
  <pageMargins left="0.51181102362204722" right="0.51181102362204722" top="0.59055118110236227" bottom="0.59055118110236227" header="0.31496062992125984" footer="0.31496062992125984"/>
  <pageSetup paperSize="9" scale="72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L35"/>
  <sheetViews>
    <sheetView zoomScale="80" zoomScaleNormal="80" workbookViewId="0" xr3:uid="{7BE570AB-09E9-518F-B8F7-3F91B7162CA9}">
      <selection activeCell="E24" sqref="E24"/>
    </sheetView>
  </sheetViews>
  <sheetFormatPr defaultColWidth="9.14453125" defaultRowHeight="15"/>
  <cols>
    <col min="1" max="1" width="2.28515625" style="2" customWidth="1"/>
    <col min="2" max="2" width="3.2265625" style="2" customWidth="1"/>
    <col min="3" max="3" width="10.76171875" style="2" customWidth="1"/>
    <col min="4" max="4" width="56.765625" style="2" customWidth="1"/>
    <col min="5" max="5" width="14.66015625" style="2" customWidth="1"/>
    <col min="6" max="6" width="12.64453125" style="2" customWidth="1"/>
    <col min="7" max="10" width="16.6796875" style="2" customWidth="1"/>
    <col min="11" max="11" width="18.6953125" style="2" customWidth="1"/>
    <col min="12" max="12" width="2.6875" style="2" customWidth="1"/>
    <col min="13" max="16384" width="9.14453125" style="2"/>
  </cols>
  <sheetData>
    <row r="1" spans="2:12" ht="15.75" thickBot="1"/>
    <row r="2" spans="2:12" ht="50.1" customHeight="1" thickBot="1">
      <c r="B2" s="188" t="s">
        <v>576</v>
      </c>
      <c r="C2" s="189"/>
      <c r="D2" s="189"/>
      <c r="E2" s="189"/>
      <c r="F2" s="189"/>
      <c r="G2" s="189"/>
      <c r="H2" s="189"/>
      <c r="I2" s="189"/>
      <c r="J2" s="189"/>
      <c r="K2" s="189"/>
      <c r="L2" s="190"/>
    </row>
    <row r="3" spans="2:12">
      <c r="B3" s="35"/>
      <c r="C3" s="36" t="s">
        <v>22</v>
      </c>
      <c r="D3" s="37"/>
      <c r="E3" s="38"/>
      <c r="F3" s="39"/>
      <c r="G3" s="39"/>
      <c r="H3" s="39"/>
      <c r="I3" s="39"/>
      <c r="J3" s="40"/>
      <c r="K3" s="41"/>
      <c r="L3" s="42"/>
    </row>
    <row r="4" spans="2:12" ht="6.95" customHeight="1">
      <c r="B4" s="35"/>
      <c r="C4" s="36"/>
      <c r="D4" s="37"/>
      <c r="E4" s="38"/>
      <c r="F4" s="39"/>
      <c r="G4" s="39"/>
      <c r="H4" s="39"/>
      <c r="I4" s="39"/>
      <c r="J4" s="40"/>
      <c r="K4" s="41"/>
      <c r="L4" s="42"/>
    </row>
    <row r="5" spans="2:12" ht="21.95" customHeight="1">
      <c r="B5" s="35"/>
      <c r="C5" s="191" t="s">
        <v>577</v>
      </c>
      <c r="D5" s="191"/>
      <c r="E5" s="191"/>
      <c r="F5" s="192"/>
      <c r="G5" s="39" t="s">
        <v>80</v>
      </c>
      <c r="H5" s="39" t="s">
        <v>81</v>
      </c>
      <c r="I5" s="39" t="s">
        <v>82</v>
      </c>
      <c r="J5" s="43" t="s">
        <v>83</v>
      </c>
      <c r="K5" s="43" t="s">
        <v>84</v>
      </c>
      <c r="L5" s="42"/>
    </row>
    <row r="6" spans="2:12" ht="21.95" customHeight="1">
      <c r="B6" s="44"/>
      <c r="C6" s="191"/>
      <c r="D6" s="191"/>
      <c r="E6" s="191"/>
      <c r="F6" s="192"/>
      <c r="G6" s="45">
        <f>SUMPRODUCT(E13:E33,G13:G33)</f>
        <v>0</v>
      </c>
      <c r="H6" s="45">
        <f>SUMPRODUCT(E13:E33,H13:H33)</f>
        <v>0</v>
      </c>
      <c r="I6" s="45">
        <f>SUMPRODUCT(E13:E33,I13:I33)</f>
        <v>0</v>
      </c>
      <c r="J6" s="46">
        <f>SUMPRODUCT(E13:E33,J13:J33)</f>
        <v>0</v>
      </c>
      <c r="K6" s="46">
        <f>K34</f>
        <v>0</v>
      </c>
      <c r="L6" s="42"/>
    </row>
    <row r="7" spans="2:12" ht="21.95" customHeight="1">
      <c r="B7" s="44"/>
      <c r="C7" s="191"/>
      <c r="D7" s="191"/>
      <c r="E7" s="191"/>
      <c r="F7" s="192"/>
      <c r="G7" s="47">
        <f>IF(K34&lt;&gt;0,G6/K34,0)</f>
        <v>0</v>
      </c>
      <c r="H7" s="47">
        <f>IF(K34&lt;&gt;0,H6/K34,0)</f>
        <v>0</v>
      </c>
      <c r="I7" s="47">
        <f>IF(K34&lt;&gt;0,I6/K34,0)</f>
        <v>0</v>
      </c>
      <c r="J7" s="48">
        <f>IF(K34&lt;&gt;0,J6/K34,0)</f>
        <v>0</v>
      </c>
      <c r="K7" s="48">
        <f>IF(K34&lt;&gt;0,K6/ORC_Custo!G33,0)</f>
        <v>0</v>
      </c>
      <c r="L7" s="42"/>
    </row>
    <row r="8" spans="2:12" ht="6.95" customHeight="1">
      <c r="B8" s="35"/>
      <c r="C8" s="49"/>
      <c r="D8" s="50"/>
      <c r="E8" s="51"/>
      <c r="F8" s="52"/>
      <c r="G8" s="52"/>
      <c r="H8" s="52"/>
      <c r="I8" s="52"/>
      <c r="J8" s="53"/>
      <c r="K8" s="54"/>
      <c r="L8" s="42"/>
    </row>
    <row r="9" spans="2:12" ht="6.95" customHeight="1" thickBot="1">
      <c r="B9" s="35"/>
      <c r="C9" s="55"/>
      <c r="D9" s="56"/>
      <c r="E9" s="51"/>
      <c r="F9" s="52"/>
      <c r="G9" s="52"/>
      <c r="H9" s="52"/>
      <c r="I9" s="52"/>
      <c r="J9" s="53"/>
      <c r="K9" s="54"/>
      <c r="L9" s="42"/>
    </row>
    <row r="10" spans="2:12" ht="30" customHeight="1" thickBot="1">
      <c r="B10" s="193" t="s">
        <v>85</v>
      </c>
      <c r="C10" s="194"/>
      <c r="D10" s="197" t="s">
        <v>86</v>
      </c>
      <c r="E10" s="199" t="s">
        <v>87</v>
      </c>
      <c r="F10" s="201" t="s">
        <v>88</v>
      </c>
      <c r="G10" s="203" t="s">
        <v>89</v>
      </c>
      <c r="H10" s="204"/>
      <c r="I10" s="204"/>
      <c r="J10" s="205"/>
      <c r="K10" s="206" t="s">
        <v>90</v>
      </c>
      <c r="L10" s="207"/>
    </row>
    <row r="11" spans="2:12" ht="30" customHeight="1" thickBot="1">
      <c r="B11" s="195"/>
      <c r="C11" s="196"/>
      <c r="D11" s="198"/>
      <c r="E11" s="200"/>
      <c r="F11" s="202"/>
      <c r="G11" s="101" t="s">
        <v>91</v>
      </c>
      <c r="H11" s="101" t="s">
        <v>92</v>
      </c>
      <c r="I11" s="101" t="s">
        <v>93</v>
      </c>
      <c r="J11" s="102" t="s">
        <v>94</v>
      </c>
      <c r="K11" s="208"/>
      <c r="L11" s="209"/>
    </row>
    <row r="12" spans="2:12" ht="6.95" customHeight="1">
      <c r="B12" s="57"/>
      <c r="C12" s="58"/>
      <c r="D12" s="59"/>
      <c r="E12" s="60"/>
      <c r="F12" s="61"/>
      <c r="G12" s="61"/>
      <c r="H12" s="61"/>
      <c r="I12" s="61"/>
      <c r="J12" s="60"/>
      <c r="K12" s="62"/>
      <c r="L12" s="63"/>
    </row>
    <row r="13" spans="2:12" ht="21.95" customHeight="1">
      <c r="B13" s="57"/>
      <c r="C13" s="64" t="s">
        <v>224</v>
      </c>
      <c r="D13" s="65"/>
      <c r="E13" s="66"/>
      <c r="F13" s="67" t="s">
        <v>96</v>
      </c>
      <c r="G13" s="67"/>
      <c r="H13" s="67"/>
      <c r="I13" s="67"/>
      <c r="J13" s="68"/>
      <c r="K13" s="69">
        <f>(G13+H13+I13+J13)*E13</f>
        <v>0</v>
      </c>
      <c r="L13" s="63"/>
    </row>
    <row r="14" spans="2:12" ht="21.95" customHeight="1">
      <c r="B14" s="57"/>
      <c r="C14" s="64" t="s">
        <v>225</v>
      </c>
      <c r="D14" s="65"/>
      <c r="E14" s="66"/>
      <c r="F14" s="67" t="s">
        <v>96</v>
      </c>
      <c r="G14" s="67"/>
      <c r="H14" s="67"/>
      <c r="I14" s="67"/>
      <c r="J14" s="70"/>
      <c r="K14" s="69">
        <f t="shared" ref="K14:K32" si="0">(G14+H14+I14+J14)*E14</f>
        <v>0</v>
      </c>
      <c r="L14" s="63"/>
    </row>
    <row r="15" spans="2:12" ht="21.95" customHeight="1">
      <c r="B15" s="57"/>
      <c r="C15" s="64" t="s">
        <v>226</v>
      </c>
      <c r="D15" s="65"/>
      <c r="E15" s="66"/>
      <c r="F15" s="67" t="s">
        <v>96</v>
      </c>
      <c r="G15" s="67"/>
      <c r="H15" s="67"/>
      <c r="I15" s="67"/>
      <c r="J15" s="68"/>
      <c r="K15" s="69">
        <f t="shared" si="0"/>
        <v>0</v>
      </c>
      <c r="L15" s="63"/>
    </row>
    <row r="16" spans="2:12" ht="21.95" customHeight="1">
      <c r="B16" s="57"/>
      <c r="C16" s="64" t="s">
        <v>227</v>
      </c>
      <c r="D16" s="65"/>
      <c r="E16" s="66"/>
      <c r="F16" s="67" t="s">
        <v>96</v>
      </c>
      <c r="G16" s="71"/>
      <c r="H16" s="71"/>
      <c r="I16" s="71"/>
      <c r="J16" s="69"/>
      <c r="K16" s="69">
        <f t="shared" si="0"/>
        <v>0</v>
      </c>
      <c r="L16" s="63"/>
    </row>
    <row r="17" spans="2:12" ht="21.95" customHeight="1">
      <c r="B17" s="57"/>
      <c r="C17" s="64" t="s">
        <v>228</v>
      </c>
      <c r="D17" s="65"/>
      <c r="E17" s="66"/>
      <c r="F17" s="67" t="s">
        <v>96</v>
      </c>
      <c r="G17" s="67"/>
      <c r="H17" s="67"/>
      <c r="I17" s="67"/>
      <c r="J17" s="68"/>
      <c r="K17" s="69">
        <f t="shared" si="0"/>
        <v>0</v>
      </c>
      <c r="L17" s="63"/>
    </row>
    <row r="18" spans="2:12" ht="21.95" customHeight="1">
      <c r="B18" s="57"/>
      <c r="C18" s="64" t="s">
        <v>229</v>
      </c>
      <c r="D18" s="65"/>
      <c r="E18" s="66"/>
      <c r="F18" s="67" t="s">
        <v>96</v>
      </c>
      <c r="G18" s="71"/>
      <c r="H18" s="71"/>
      <c r="I18" s="71"/>
      <c r="J18" s="69"/>
      <c r="K18" s="69">
        <f t="shared" si="0"/>
        <v>0</v>
      </c>
      <c r="L18" s="63"/>
    </row>
    <row r="19" spans="2:12" ht="21.95" customHeight="1">
      <c r="B19" s="57"/>
      <c r="C19" s="64" t="s">
        <v>230</v>
      </c>
      <c r="D19" s="65"/>
      <c r="E19" s="66"/>
      <c r="F19" s="67" t="s">
        <v>96</v>
      </c>
      <c r="G19" s="67"/>
      <c r="H19" s="67"/>
      <c r="I19" s="67"/>
      <c r="J19" s="68"/>
      <c r="K19" s="69">
        <f t="shared" si="0"/>
        <v>0</v>
      </c>
      <c r="L19" s="63"/>
    </row>
    <row r="20" spans="2:12" ht="21.95" customHeight="1">
      <c r="B20" s="57"/>
      <c r="C20" s="64" t="s">
        <v>231</v>
      </c>
      <c r="D20" s="65"/>
      <c r="E20" s="66"/>
      <c r="F20" s="67" t="s">
        <v>96</v>
      </c>
      <c r="G20" s="71"/>
      <c r="H20" s="71"/>
      <c r="I20" s="71"/>
      <c r="J20" s="69"/>
      <c r="K20" s="69">
        <f t="shared" si="0"/>
        <v>0</v>
      </c>
      <c r="L20" s="63"/>
    </row>
    <row r="21" spans="2:12" ht="21.95" customHeight="1">
      <c r="B21" s="57"/>
      <c r="C21" s="64" t="s">
        <v>232</v>
      </c>
      <c r="D21" s="65"/>
      <c r="E21" s="66"/>
      <c r="F21" s="67" t="s">
        <v>96</v>
      </c>
      <c r="G21" s="71"/>
      <c r="H21" s="71"/>
      <c r="I21" s="71"/>
      <c r="J21" s="69"/>
      <c r="K21" s="69">
        <f t="shared" si="0"/>
        <v>0</v>
      </c>
      <c r="L21" s="63"/>
    </row>
    <row r="22" spans="2:12" ht="21.95" customHeight="1">
      <c r="B22" s="57"/>
      <c r="C22" s="64" t="s">
        <v>233</v>
      </c>
      <c r="D22" s="65"/>
      <c r="E22" s="66"/>
      <c r="F22" s="67" t="s">
        <v>96</v>
      </c>
      <c r="G22" s="71"/>
      <c r="H22" s="71"/>
      <c r="I22" s="71"/>
      <c r="J22" s="69"/>
      <c r="K22" s="69">
        <f t="shared" si="0"/>
        <v>0</v>
      </c>
      <c r="L22" s="63"/>
    </row>
    <row r="23" spans="2:12" ht="21.95" customHeight="1">
      <c r="B23" s="57"/>
      <c r="C23" s="64" t="s">
        <v>234</v>
      </c>
      <c r="D23" s="65"/>
      <c r="E23" s="66"/>
      <c r="F23" s="67" t="s">
        <v>96</v>
      </c>
      <c r="G23" s="71"/>
      <c r="H23" s="71"/>
      <c r="I23" s="71"/>
      <c r="J23" s="69"/>
      <c r="K23" s="69">
        <f t="shared" si="0"/>
        <v>0</v>
      </c>
      <c r="L23" s="63"/>
    </row>
    <row r="24" spans="2:12" ht="21.95" customHeight="1">
      <c r="B24" s="57"/>
      <c r="C24" s="64" t="s">
        <v>235</v>
      </c>
      <c r="D24" s="65"/>
      <c r="E24" s="66"/>
      <c r="F24" s="67" t="s">
        <v>96</v>
      </c>
      <c r="G24" s="71"/>
      <c r="H24" s="71"/>
      <c r="I24" s="71"/>
      <c r="J24" s="69"/>
      <c r="K24" s="69">
        <f t="shared" si="0"/>
        <v>0</v>
      </c>
      <c r="L24" s="63"/>
    </row>
    <row r="25" spans="2:12" ht="21.95" customHeight="1">
      <c r="B25" s="57"/>
      <c r="C25" s="64" t="s">
        <v>236</v>
      </c>
      <c r="D25" s="65"/>
      <c r="E25" s="66"/>
      <c r="F25" s="67" t="s">
        <v>96</v>
      </c>
      <c r="G25" s="71"/>
      <c r="H25" s="71"/>
      <c r="I25" s="71"/>
      <c r="J25" s="69"/>
      <c r="K25" s="69">
        <f t="shared" si="0"/>
        <v>0</v>
      </c>
      <c r="L25" s="63"/>
    </row>
    <row r="26" spans="2:12" ht="21.95" customHeight="1">
      <c r="B26" s="57"/>
      <c r="C26" s="64" t="s">
        <v>237</v>
      </c>
      <c r="D26" s="65"/>
      <c r="E26" s="66"/>
      <c r="F26" s="67" t="s">
        <v>96</v>
      </c>
      <c r="G26" s="71"/>
      <c r="H26" s="71"/>
      <c r="I26" s="71"/>
      <c r="J26" s="69"/>
      <c r="K26" s="69">
        <f t="shared" si="0"/>
        <v>0</v>
      </c>
      <c r="L26" s="63"/>
    </row>
    <row r="27" spans="2:12" ht="21.95" customHeight="1">
      <c r="B27" s="57"/>
      <c r="C27" s="64" t="s">
        <v>238</v>
      </c>
      <c r="D27" s="65"/>
      <c r="E27" s="66"/>
      <c r="F27" s="67" t="s">
        <v>96</v>
      </c>
      <c r="G27" s="71"/>
      <c r="H27" s="71"/>
      <c r="I27" s="71"/>
      <c r="J27" s="69"/>
      <c r="K27" s="69">
        <f t="shared" si="0"/>
        <v>0</v>
      </c>
      <c r="L27" s="63"/>
    </row>
    <row r="28" spans="2:12" ht="21.95" customHeight="1">
      <c r="B28" s="57"/>
      <c r="C28" s="64" t="s">
        <v>239</v>
      </c>
      <c r="D28" s="65"/>
      <c r="E28" s="66"/>
      <c r="F28" s="67" t="s">
        <v>96</v>
      </c>
      <c r="G28" s="71"/>
      <c r="H28" s="71"/>
      <c r="I28" s="71"/>
      <c r="J28" s="69"/>
      <c r="K28" s="69">
        <f t="shared" si="0"/>
        <v>0</v>
      </c>
      <c r="L28" s="63"/>
    </row>
    <row r="29" spans="2:12" ht="21.95" customHeight="1">
      <c r="B29" s="57"/>
      <c r="C29" s="64" t="s">
        <v>240</v>
      </c>
      <c r="D29" s="65"/>
      <c r="E29" s="66"/>
      <c r="F29" s="67" t="s">
        <v>96</v>
      </c>
      <c r="G29" s="71"/>
      <c r="H29" s="71"/>
      <c r="I29" s="71"/>
      <c r="J29" s="69"/>
      <c r="K29" s="69">
        <f t="shared" si="0"/>
        <v>0</v>
      </c>
      <c r="L29" s="63"/>
    </row>
    <row r="30" spans="2:12" ht="21.95" customHeight="1">
      <c r="B30" s="57"/>
      <c r="C30" s="64" t="s">
        <v>241</v>
      </c>
      <c r="D30" s="65"/>
      <c r="E30" s="66"/>
      <c r="F30" s="67" t="s">
        <v>96</v>
      </c>
      <c r="G30" s="71"/>
      <c r="H30" s="71"/>
      <c r="I30" s="71"/>
      <c r="J30" s="69"/>
      <c r="K30" s="69">
        <f t="shared" si="0"/>
        <v>0</v>
      </c>
      <c r="L30" s="63"/>
    </row>
    <row r="31" spans="2:12" ht="21.95" customHeight="1">
      <c r="B31" s="57"/>
      <c r="C31" s="64" t="s">
        <v>242</v>
      </c>
      <c r="D31" s="65"/>
      <c r="E31" s="66"/>
      <c r="F31" s="67" t="s">
        <v>96</v>
      </c>
      <c r="G31" s="71"/>
      <c r="H31" s="71"/>
      <c r="I31" s="71"/>
      <c r="J31" s="69"/>
      <c r="K31" s="69">
        <f t="shared" si="0"/>
        <v>0</v>
      </c>
      <c r="L31" s="63"/>
    </row>
    <row r="32" spans="2:12" ht="21.95" customHeight="1">
      <c r="B32" s="57"/>
      <c r="C32" s="64" t="s">
        <v>243</v>
      </c>
      <c r="D32" s="65"/>
      <c r="E32" s="66"/>
      <c r="F32" s="67" t="s">
        <v>96</v>
      </c>
      <c r="G32" s="67"/>
      <c r="H32" s="67"/>
      <c r="I32" s="67"/>
      <c r="J32" s="68"/>
      <c r="K32" s="69">
        <f t="shared" si="0"/>
        <v>0</v>
      </c>
      <c r="L32" s="63"/>
    </row>
    <row r="33" spans="2:12" ht="6.95" customHeight="1" thickBot="1">
      <c r="B33" s="72"/>
      <c r="C33" s="73"/>
      <c r="D33" s="74"/>
      <c r="E33" s="75"/>
      <c r="F33" s="76"/>
      <c r="G33" s="76"/>
      <c r="H33" s="76"/>
      <c r="I33" s="76"/>
      <c r="J33" s="75"/>
      <c r="K33" s="77"/>
      <c r="L33" s="78"/>
    </row>
    <row r="34" spans="2:12" ht="30" customHeight="1">
      <c r="B34" s="103"/>
      <c r="C34" s="104"/>
      <c r="D34" s="105" t="s">
        <v>116</v>
      </c>
      <c r="E34" s="106"/>
      <c r="F34" s="107"/>
      <c r="G34" s="107"/>
      <c r="H34" s="107"/>
      <c r="I34" s="107"/>
      <c r="J34" s="108"/>
      <c r="K34" s="109">
        <f>SUM(K13:K33)</f>
        <v>0</v>
      </c>
      <c r="L34" s="110"/>
    </row>
    <row r="35" spans="2:12" ht="9.9499999999999993" customHeight="1" thickBot="1">
      <c r="B35" s="111"/>
      <c r="C35" s="112"/>
      <c r="D35" s="113"/>
      <c r="E35" s="114"/>
      <c r="F35" s="115"/>
      <c r="G35" s="116"/>
      <c r="H35" s="116"/>
      <c r="I35" s="116"/>
      <c r="J35" s="116"/>
      <c r="K35" s="117"/>
      <c r="L35" s="118"/>
    </row>
  </sheetData>
  <mergeCells count="8">
    <mergeCell ref="B2:L2"/>
    <mergeCell ref="C5:F7"/>
    <mergeCell ref="B10:C11"/>
    <mergeCell ref="D10:D11"/>
    <mergeCell ref="E10:E11"/>
    <mergeCell ref="F10:F11"/>
    <mergeCell ref="G10:J10"/>
    <mergeCell ref="K10:L11"/>
  </mergeCells>
  <dataValidations count="1">
    <dataValidation type="list" allowBlank="1" showInputMessage="1" showErrorMessage="1" sqref="F13:F32" xr:uid="{00000000-0002-0000-0900-000000000000}">
      <formula1>"m,m²,m³,kg,L,un,vb"</formula1>
    </dataValidation>
  </dataValidations>
  <pageMargins left="0.51181102362204722" right="0.51181102362204722" top="0.59055118110236227" bottom="0.59055118110236227" header="0.31496062992125984" footer="0.31496062992125984"/>
  <pageSetup paperSize="9" scale="72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L35"/>
  <sheetViews>
    <sheetView zoomScale="80" zoomScaleNormal="80" workbookViewId="0" xr3:uid="{65FA3815-DCC1-5481-872F-D2879ED395ED}">
      <selection activeCell="G13" sqref="G13:J13"/>
    </sheetView>
  </sheetViews>
  <sheetFormatPr defaultColWidth="9.14453125" defaultRowHeight="15"/>
  <cols>
    <col min="1" max="1" width="2.28515625" style="2" customWidth="1"/>
    <col min="2" max="2" width="3.2265625" style="2" customWidth="1"/>
    <col min="3" max="3" width="10.76171875" style="2" customWidth="1"/>
    <col min="4" max="4" width="56.765625" style="2" customWidth="1"/>
    <col min="5" max="5" width="14.66015625" style="2" customWidth="1"/>
    <col min="6" max="6" width="12.64453125" style="2" customWidth="1"/>
    <col min="7" max="10" width="16.6796875" style="2" customWidth="1"/>
    <col min="11" max="11" width="18.6953125" style="2" customWidth="1"/>
    <col min="12" max="12" width="2.6875" style="2" customWidth="1"/>
    <col min="13" max="16384" width="9.14453125" style="2"/>
  </cols>
  <sheetData>
    <row r="1" spans="2:12" ht="15.75" thickBot="1"/>
    <row r="2" spans="2:12" ht="50.1" customHeight="1" thickBot="1">
      <c r="B2" s="188" t="s">
        <v>578</v>
      </c>
      <c r="C2" s="189"/>
      <c r="D2" s="189"/>
      <c r="E2" s="189"/>
      <c r="F2" s="189"/>
      <c r="G2" s="189"/>
      <c r="H2" s="189"/>
      <c r="I2" s="189"/>
      <c r="J2" s="189"/>
      <c r="K2" s="189"/>
      <c r="L2" s="190"/>
    </row>
    <row r="3" spans="2:12">
      <c r="B3" s="35"/>
      <c r="C3" s="36" t="s">
        <v>22</v>
      </c>
      <c r="D3" s="37"/>
      <c r="E3" s="38"/>
      <c r="F3" s="39"/>
      <c r="G3" s="39"/>
      <c r="H3" s="39"/>
      <c r="I3" s="39"/>
      <c r="J3" s="40"/>
      <c r="K3" s="41"/>
      <c r="L3" s="42"/>
    </row>
    <row r="4" spans="2:12" ht="6.95" customHeight="1">
      <c r="B4" s="35"/>
      <c r="C4" s="36"/>
      <c r="D4" s="37"/>
      <c r="E4" s="38"/>
      <c r="F4" s="39"/>
      <c r="G4" s="39"/>
      <c r="H4" s="39"/>
      <c r="I4" s="39"/>
      <c r="J4" s="40"/>
      <c r="K4" s="41"/>
      <c r="L4" s="42"/>
    </row>
    <row r="5" spans="2:12" ht="21.95" customHeight="1">
      <c r="B5" s="35"/>
      <c r="C5" s="191" t="s">
        <v>579</v>
      </c>
      <c r="D5" s="191"/>
      <c r="E5" s="191"/>
      <c r="F5" s="192"/>
      <c r="G5" s="39" t="s">
        <v>80</v>
      </c>
      <c r="H5" s="39" t="s">
        <v>81</v>
      </c>
      <c r="I5" s="39" t="s">
        <v>82</v>
      </c>
      <c r="J5" s="43" t="s">
        <v>83</v>
      </c>
      <c r="K5" s="43" t="s">
        <v>84</v>
      </c>
      <c r="L5" s="42"/>
    </row>
    <row r="6" spans="2:12" ht="21.95" customHeight="1">
      <c r="B6" s="44"/>
      <c r="C6" s="191"/>
      <c r="D6" s="191"/>
      <c r="E6" s="191"/>
      <c r="F6" s="192"/>
      <c r="G6" s="45">
        <f>SUMPRODUCT(E13:E33,G13:G33)</f>
        <v>0</v>
      </c>
      <c r="H6" s="45">
        <f>SUMPRODUCT(E13:E33,H13:H33)</f>
        <v>0</v>
      </c>
      <c r="I6" s="45">
        <f>SUMPRODUCT(E13:E33,I13:I33)</f>
        <v>0</v>
      </c>
      <c r="J6" s="46">
        <f>SUMPRODUCT(E13:E33,J13:J33)</f>
        <v>0</v>
      </c>
      <c r="K6" s="46">
        <f>K34</f>
        <v>0</v>
      </c>
      <c r="L6" s="42"/>
    </row>
    <row r="7" spans="2:12" ht="21.95" customHeight="1">
      <c r="B7" s="44"/>
      <c r="C7" s="191"/>
      <c r="D7" s="191"/>
      <c r="E7" s="191"/>
      <c r="F7" s="192"/>
      <c r="G7" s="47">
        <f>IF(K34&lt;&gt;0,G6/K34,0)</f>
        <v>0</v>
      </c>
      <c r="H7" s="47">
        <f>IF(K34&lt;&gt;0,H6/K34,0)</f>
        <v>0</v>
      </c>
      <c r="I7" s="47">
        <f>IF(K34&lt;&gt;0,I6/K34,0)</f>
        <v>0</v>
      </c>
      <c r="J7" s="48">
        <f>IF(K34&lt;&gt;0,J6/K34,0)</f>
        <v>0</v>
      </c>
      <c r="K7" s="48">
        <f>IF(K34&lt;&gt;0,K6/ORC_Custo!G33,0)</f>
        <v>0</v>
      </c>
      <c r="L7" s="42"/>
    </row>
    <row r="8" spans="2:12" ht="6.95" customHeight="1">
      <c r="B8" s="35"/>
      <c r="C8" s="49"/>
      <c r="D8" s="50"/>
      <c r="E8" s="51"/>
      <c r="F8" s="52"/>
      <c r="G8" s="52"/>
      <c r="H8" s="52"/>
      <c r="I8" s="52"/>
      <c r="J8" s="53"/>
      <c r="K8" s="54"/>
      <c r="L8" s="42"/>
    </row>
    <row r="9" spans="2:12" ht="6.95" customHeight="1" thickBot="1">
      <c r="B9" s="35"/>
      <c r="C9" s="55"/>
      <c r="D9" s="56"/>
      <c r="E9" s="51"/>
      <c r="F9" s="52"/>
      <c r="G9" s="52"/>
      <c r="H9" s="52"/>
      <c r="I9" s="52"/>
      <c r="J9" s="53"/>
      <c r="K9" s="54"/>
      <c r="L9" s="42"/>
    </row>
    <row r="10" spans="2:12" ht="30" customHeight="1" thickBot="1">
      <c r="B10" s="193" t="s">
        <v>85</v>
      </c>
      <c r="C10" s="194"/>
      <c r="D10" s="197" t="s">
        <v>86</v>
      </c>
      <c r="E10" s="199" t="s">
        <v>87</v>
      </c>
      <c r="F10" s="201" t="s">
        <v>88</v>
      </c>
      <c r="G10" s="203" t="s">
        <v>89</v>
      </c>
      <c r="H10" s="204"/>
      <c r="I10" s="204"/>
      <c r="J10" s="205"/>
      <c r="K10" s="206" t="s">
        <v>90</v>
      </c>
      <c r="L10" s="207"/>
    </row>
    <row r="11" spans="2:12" ht="30" customHeight="1" thickBot="1">
      <c r="B11" s="195"/>
      <c r="C11" s="196"/>
      <c r="D11" s="198"/>
      <c r="E11" s="200"/>
      <c r="F11" s="202"/>
      <c r="G11" s="101" t="s">
        <v>91</v>
      </c>
      <c r="H11" s="101" t="s">
        <v>92</v>
      </c>
      <c r="I11" s="101" t="s">
        <v>93</v>
      </c>
      <c r="J11" s="102" t="s">
        <v>94</v>
      </c>
      <c r="K11" s="208"/>
      <c r="L11" s="209"/>
    </row>
    <row r="12" spans="2:12" ht="6.95" customHeight="1">
      <c r="B12" s="57"/>
      <c r="C12" s="58"/>
      <c r="D12" s="59"/>
      <c r="E12" s="60"/>
      <c r="F12" s="61"/>
      <c r="G12" s="61"/>
      <c r="H12" s="61"/>
      <c r="I12" s="61"/>
      <c r="J12" s="60"/>
      <c r="K12" s="62"/>
      <c r="L12" s="63"/>
    </row>
    <row r="13" spans="2:12" ht="21.95" customHeight="1">
      <c r="B13" s="57"/>
      <c r="C13" s="64" t="s">
        <v>244</v>
      </c>
      <c r="D13" s="65"/>
      <c r="E13" s="66"/>
      <c r="F13" s="67" t="s">
        <v>96</v>
      </c>
      <c r="G13" s="67"/>
      <c r="H13" s="67"/>
      <c r="I13" s="67"/>
      <c r="J13" s="68"/>
      <c r="K13" s="69">
        <f>(G13+H13+I13+J13)*E13</f>
        <v>0</v>
      </c>
      <c r="L13" s="63"/>
    </row>
    <row r="14" spans="2:12" ht="21.95" customHeight="1">
      <c r="B14" s="57"/>
      <c r="C14" s="64" t="s">
        <v>245</v>
      </c>
      <c r="D14" s="65"/>
      <c r="E14" s="66"/>
      <c r="F14" s="67" t="s">
        <v>96</v>
      </c>
      <c r="G14" s="67"/>
      <c r="H14" s="67"/>
      <c r="I14" s="67"/>
      <c r="J14" s="70"/>
      <c r="K14" s="69">
        <f t="shared" ref="K14:K32" si="0">(G14+H14+I14+J14)*E14</f>
        <v>0</v>
      </c>
      <c r="L14" s="63"/>
    </row>
    <row r="15" spans="2:12" ht="21.95" customHeight="1">
      <c r="B15" s="57"/>
      <c r="C15" s="64" t="s">
        <v>246</v>
      </c>
      <c r="D15" s="65"/>
      <c r="E15" s="66"/>
      <c r="F15" s="67" t="s">
        <v>96</v>
      </c>
      <c r="G15" s="67"/>
      <c r="H15" s="67"/>
      <c r="I15" s="67"/>
      <c r="J15" s="68"/>
      <c r="K15" s="69">
        <f t="shared" si="0"/>
        <v>0</v>
      </c>
      <c r="L15" s="63"/>
    </row>
    <row r="16" spans="2:12" ht="21.95" customHeight="1">
      <c r="B16" s="57"/>
      <c r="C16" s="64" t="s">
        <v>247</v>
      </c>
      <c r="D16" s="65"/>
      <c r="E16" s="66"/>
      <c r="F16" s="67" t="s">
        <v>96</v>
      </c>
      <c r="G16" s="71"/>
      <c r="H16" s="71"/>
      <c r="I16" s="71"/>
      <c r="J16" s="69"/>
      <c r="K16" s="69">
        <f t="shared" si="0"/>
        <v>0</v>
      </c>
      <c r="L16" s="63"/>
    </row>
    <row r="17" spans="2:12" ht="21.95" customHeight="1">
      <c r="B17" s="57"/>
      <c r="C17" s="64" t="s">
        <v>248</v>
      </c>
      <c r="D17" s="65"/>
      <c r="E17" s="66"/>
      <c r="F17" s="67" t="s">
        <v>96</v>
      </c>
      <c r="G17" s="67"/>
      <c r="H17" s="67"/>
      <c r="I17" s="67"/>
      <c r="J17" s="68"/>
      <c r="K17" s="69">
        <f t="shared" si="0"/>
        <v>0</v>
      </c>
      <c r="L17" s="63"/>
    </row>
    <row r="18" spans="2:12" ht="21.95" customHeight="1">
      <c r="B18" s="57"/>
      <c r="C18" s="64" t="s">
        <v>249</v>
      </c>
      <c r="D18" s="65"/>
      <c r="E18" s="66"/>
      <c r="F18" s="67" t="s">
        <v>96</v>
      </c>
      <c r="G18" s="71"/>
      <c r="H18" s="71"/>
      <c r="I18" s="71"/>
      <c r="J18" s="69"/>
      <c r="K18" s="69">
        <f t="shared" si="0"/>
        <v>0</v>
      </c>
      <c r="L18" s="63"/>
    </row>
    <row r="19" spans="2:12" ht="21.95" customHeight="1">
      <c r="B19" s="57"/>
      <c r="C19" s="64" t="s">
        <v>250</v>
      </c>
      <c r="D19" s="65"/>
      <c r="E19" s="66"/>
      <c r="F19" s="67" t="s">
        <v>96</v>
      </c>
      <c r="G19" s="67"/>
      <c r="H19" s="67"/>
      <c r="I19" s="67"/>
      <c r="J19" s="68"/>
      <c r="K19" s="69">
        <f t="shared" si="0"/>
        <v>0</v>
      </c>
      <c r="L19" s="63"/>
    </row>
    <row r="20" spans="2:12" ht="21.95" customHeight="1">
      <c r="B20" s="57"/>
      <c r="C20" s="64" t="s">
        <v>251</v>
      </c>
      <c r="D20" s="65"/>
      <c r="E20" s="66"/>
      <c r="F20" s="67" t="s">
        <v>96</v>
      </c>
      <c r="G20" s="71"/>
      <c r="H20" s="71"/>
      <c r="I20" s="71"/>
      <c r="J20" s="69"/>
      <c r="K20" s="69">
        <f t="shared" si="0"/>
        <v>0</v>
      </c>
      <c r="L20" s="63"/>
    </row>
    <row r="21" spans="2:12" ht="21.95" customHeight="1">
      <c r="B21" s="57"/>
      <c r="C21" s="64" t="s">
        <v>252</v>
      </c>
      <c r="D21" s="65"/>
      <c r="E21" s="66"/>
      <c r="F21" s="67" t="s">
        <v>96</v>
      </c>
      <c r="G21" s="71"/>
      <c r="H21" s="71"/>
      <c r="I21" s="71"/>
      <c r="J21" s="69"/>
      <c r="K21" s="69">
        <f t="shared" si="0"/>
        <v>0</v>
      </c>
      <c r="L21" s="63"/>
    </row>
    <row r="22" spans="2:12" ht="21.95" customHeight="1">
      <c r="B22" s="57"/>
      <c r="C22" s="64" t="s">
        <v>253</v>
      </c>
      <c r="D22" s="65"/>
      <c r="E22" s="66"/>
      <c r="F22" s="67" t="s">
        <v>96</v>
      </c>
      <c r="G22" s="71"/>
      <c r="H22" s="71"/>
      <c r="I22" s="71"/>
      <c r="J22" s="69"/>
      <c r="K22" s="69">
        <f t="shared" si="0"/>
        <v>0</v>
      </c>
      <c r="L22" s="63"/>
    </row>
    <row r="23" spans="2:12" ht="21.95" customHeight="1">
      <c r="B23" s="57"/>
      <c r="C23" s="64" t="s">
        <v>254</v>
      </c>
      <c r="D23" s="65"/>
      <c r="E23" s="66"/>
      <c r="F23" s="67" t="s">
        <v>96</v>
      </c>
      <c r="G23" s="71"/>
      <c r="H23" s="71"/>
      <c r="I23" s="71"/>
      <c r="J23" s="69"/>
      <c r="K23" s="69">
        <f t="shared" si="0"/>
        <v>0</v>
      </c>
      <c r="L23" s="63"/>
    </row>
    <row r="24" spans="2:12" ht="21.95" customHeight="1">
      <c r="B24" s="57"/>
      <c r="C24" s="64" t="s">
        <v>255</v>
      </c>
      <c r="D24" s="65"/>
      <c r="E24" s="66"/>
      <c r="F24" s="67" t="s">
        <v>96</v>
      </c>
      <c r="G24" s="71"/>
      <c r="H24" s="71"/>
      <c r="I24" s="71"/>
      <c r="J24" s="69"/>
      <c r="K24" s="69">
        <f t="shared" si="0"/>
        <v>0</v>
      </c>
      <c r="L24" s="63"/>
    </row>
    <row r="25" spans="2:12" ht="21.95" customHeight="1">
      <c r="B25" s="57"/>
      <c r="C25" s="64" t="s">
        <v>256</v>
      </c>
      <c r="D25" s="65"/>
      <c r="E25" s="66"/>
      <c r="F25" s="67" t="s">
        <v>96</v>
      </c>
      <c r="G25" s="71"/>
      <c r="H25" s="71"/>
      <c r="I25" s="71"/>
      <c r="J25" s="69"/>
      <c r="K25" s="69">
        <f t="shared" si="0"/>
        <v>0</v>
      </c>
      <c r="L25" s="63"/>
    </row>
    <row r="26" spans="2:12" ht="21.95" customHeight="1">
      <c r="B26" s="57"/>
      <c r="C26" s="64" t="s">
        <v>257</v>
      </c>
      <c r="D26" s="65"/>
      <c r="E26" s="66"/>
      <c r="F26" s="67" t="s">
        <v>96</v>
      </c>
      <c r="G26" s="71"/>
      <c r="H26" s="71"/>
      <c r="I26" s="71"/>
      <c r="J26" s="69"/>
      <c r="K26" s="69">
        <f t="shared" si="0"/>
        <v>0</v>
      </c>
      <c r="L26" s="63"/>
    </row>
    <row r="27" spans="2:12" ht="21.95" customHeight="1">
      <c r="B27" s="57"/>
      <c r="C27" s="64" t="s">
        <v>258</v>
      </c>
      <c r="D27" s="65"/>
      <c r="E27" s="66"/>
      <c r="F27" s="67" t="s">
        <v>96</v>
      </c>
      <c r="G27" s="71"/>
      <c r="H27" s="71"/>
      <c r="I27" s="71"/>
      <c r="J27" s="69"/>
      <c r="K27" s="69">
        <f t="shared" si="0"/>
        <v>0</v>
      </c>
      <c r="L27" s="63"/>
    </row>
    <row r="28" spans="2:12" ht="21.95" customHeight="1">
      <c r="B28" s="57"/>
      <c r="C28" s="64" t="s">
        <v>259</v>
      </c>
      <c r="D28" s="65"/>
      <c r="E28" s="66"/>
      <c r="F28" s="67" t="s">
        <v>96</v>
      </c>
      <c r="G28" s="71"/>
      <c r="H28" s="71"/>
      <c r="I28" s="71"/>
      <c r="J28" s="69"/>
      <c r="K28" s="69">
        <f t="shared" si="0"/>
        <v>0</v>
      </c>
      <c r="L28" s="63"/>
    </row>
    <row r="29" spans="2:12" ht="21.95" customHeight="1">
      <c r="B29" s="57"/>
      <c r="C29" s="64" t="s">
        <v>260</v>
      </c>
      <c r="D29" s="65"/>
      <c r="E29" s="66"/>
      <c r="F29" s="67" t="s">
        <v>96</v>
      </c>
      <c r="G29" s="71"/>
      <c r="H29" s="71"/>
      <c r="I29" s="71"/>
      <c r="J29" s="69"/>
      <c r="K29" s="69">
        <f t="shared" si="0"/>
        <v>0</v>
      </c>
      <c r="L29" s="63"/>
    </row>
    <row r="30" spans="2:12" ht="21.95" customHeight="1">
      <c r="B30" s="57"/>
      <c r="C30" s="64" t="s">
        <v>261</v>
      </c>
      <c r="D30" s="65"/>
      <c r="E30" s="66"/>
      <c r="F30" s="67" t="s">
        <v>96</v>
      </c>
      <c r="G30" s="71"/>
      <c r="H30" s="71"/>
      <c r="I30" s="71"/>
      <c r="J30" s="69"/>
      <c r="K30" s="69">
        <f t="shared" si="0"/>
        <v>0</v>
      </c>
      <c r="L30" s="63"/>
    </row>
    <row r="31" spans="2:12" ht="21.95" customHeight="1">
      <c r="B31" s="57"/>
      <c r="C31" s="64" t="s">
        <v>262</v>
      </c>
      <c r="D31" s="65"/>
      <c r="E31" s="66"/>
      <c r="F31" s="67" t="s">
        <v>96</v>
      </c>
      <c r="G31" s="71"/>
      <c r="H31" s="71"/>
      <c r="I31" s="71"/>
      <c r="J31" s="69"/>
      <c r="K31" s="69">
        <f t="shared" si="0"/>
        <v>0</v>
      </c>
      <c r="L31" s="63"/>
    </row>
    <row r="32" spans="2:12" ht="21.95" customHeight="1">
      <c r="B32" s="57"/>
      <c r="C32" s="64" t="s">
        <v>263</v>
      </c>
      <c r="D32" s="65"/>
      <c r="E32" s="66"/>
      <c r="F32" s="67" t="s">
        <v>96</v>
      </c>
      <c r="G32" s="67"/>
      <c r="H32" s="67"/>
      <c r="I32" s="67"/>
      <c r="J32" s="68"/>
      <c r="K32" s="69">
        <f t="shared" si="0"/>
        <v>0</v>
      </c>
      <c r="L32" s="63"/>
    </row>
    <row r="33" spans="2:12" ht="6.95" customHeight="1" thickBot="1">
      <c r="B33" s="72"/>
      <c r="C33" s="73"/>
      <c r="D33" s="74"/>
      <c r="E33" s="75"/>
      <c r="F33" s="76"/>
      <c r="G33" s="76"/>
      <c r="H33" s="76"/>
      <c r="I33" s="76"/>
      <c r="J33" s="75"/>
      <c r="K33" s="77"/>
      <c r="L33" s="78"/>
    </row>
    <row r="34" spans="2:12" ht="30" customHeight="1">
      <c r="B34" s="103"/>
      <c r="C34" s="104"/>
      <c r="D34" s="105" t="s">
        <v>116</v>
      </c>
      <c r="E34" s="106"/>
      <c r="F34" s="107"/>
      <c r="G34" s="107"/>
      <c r="H34" s="107"/>
      <c r="I34" s="107"/>
      <c r="J34" s="108"/>
      <c r="K34" s="109">
        <f>SUM(K13:K33)</f>
        <v>0</v>
      </c>
      <c r="L34" s="110"/>
    </row>
    <row r="35" spans="2:12" ht="9.9499999999999993" customHeight="1" thickBot="1">
      <c r="B35" s="111"/>
      <c r="C35" s="112"/>
      <c r="D35" s="113"/>
      <c r="E35" s="114"/>
      <c r="F35" s="115"/>
      <c r="G35" s="116"/>
      <c r="H35" s="116"/>
      <c r="I35" s="116"/>
      <c r="J35" s="116"/>
      <c r="K35" s="117"/>
      <c r="L35" s="118"/>
    </row>
  </sheetData>
  <mergeCells count="8">
    <mergeCell ref="B2:L2"/>
    <mergeCell ref="C5:F7"/>
    <mergeCell ref="B10:C11"/>
    <mergeCell ref="D10:D11"/>
    <mergeCell ref="E10:E11"/>
    <mergeCell ref="F10:F11"/>
    <mergeCell ref="G10:J10"/>
    <mergeCell ref="K10:L11"/>
  </mergeCells>
  <dataValidations count="1">
    <dataValidation type="list" allowBlank="1" showInputMessage="1" showErrorMessage="1" sqref="F13:F32" xr:uid="{00000000-0002-0000-0A00-000000000000}">
      <formula1>"m,m²,m³,kg,L,un,vb"</formula1>
    </dataValidation>
  </dataValidations>
  <pageMargins left="0.51181102362204722" right="0.51181102362204722" top="0.59055118110236227" bottom="0.59055118110236227" header="0.31496062992125984" footer="0.31496062992125984"/>
  <pageSetup paperSize="9" scale="7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L35"/>
  <sheetViews>
    <sheetView zoomScale="80" zoomScaleNormal="80" workbookViewId="0" xr3:uid="{FF0BDA26-1AD6-5648-BD9A-E01AA4DDCA7C}">
      <selection activeCell="G13" sqref="G13:J13"/>
    </sheetView>
  </sheetViews>
  <sheetFormatPr defaultColWidth="9.14453125" defaultRowHeight="15"/>
  <cols>
    <col min="1" max="1" width="2.28515625" style="2" customWidth="1"/>
    <col min="2" max="2" width="3.2265625" style="2" customWidth="1"/>
    <col min="3" max="3" width="10.76171875" style="2" customWidth="1"/>
    <col min="4" max="4" width="56.765625" style="2" customWidth="1"/>
    <col min="5" max="5" width="14.66015625" style="2" customWidth="1"/>
    <col min="6" max="6" width="12.64453125" style="2" customWidth="1"/>
    <col min="7" max="10" width="16.6796875" style="2" customWidth="1"/>
    <col min="11" max="11" width="18.6953125" style="2" customWidth="1"/>
    <col min="12" max="12" width="2.6875" style="2" customWidth="1"/>
    <col min="13" max="16384" width="9.14453125" style="2"/>
  </cols>
  <sheetData>
    <row r="1" spans="2:12" ht="15.75" thickBot="1"/>
    <row r="2" spans="2:12" ht="50.1" customHeight="1" thickBot="1">
      <c r="B2" s="188" t="s">
        <v>580</v>
      </c>
      <c r="C2" s="189"/>
      <c r="D2" s="189"/>
      <c r="E2" s="189"/>
      <c r="F2" s="189"/>
      <c r="G2" s="189"/>
      <c r="H2" s="189"/>
      <c r="I2" s="189"/>
      <c r="J2" s="189"/>
      <c r="K2" s="189"/>
      <c r="L2" s="190"/>
    </row>
    <row r="3" spans="2:12">
      <c r="B3" s="35"/>
      <c r="C3" s="36" t="s">
        <v>22</v>
      </c>
      <c r="D3" s="37"/>
      <c r="E3" s="38"/>
      <c r="F3" s="39"/>
      <c r="G3" s="39"/>
      <c r="H3" s="39"/>
      <c r="I3" s="39"/>
      <c r="J3" s="40"/>
      <c r="K3" s="41"/>
      <c r="L3" s="42"/>
    </row>
    <row r="4" spans="2:12" ht="6.95" customHeight="1">
      <c r="B4" s="35"/>
      <c r="C4" s="36"/>
      <c r="D4" s="37"/>
      <c r="E4" s="38"/>
      <c r="F4" s="39"/>
      <c r="G4" s="39"/>
      <c r="H4" s="39"/>
      <c r="I4" s="39"/>
      <c r="J4" s="40"/>
      <c r="K4" s="41"/>
      <c r="L4" s="42"/>
    </row>
    <row r="5" spans="2:12" ht="21.95" customHeight="1">
      <c r="B5" s="35"/>
      <c r="C5" s="191" t="s">
        <v>581</v>
      </c>
      <c r="D5" s="191"/>
      <c r="E5" s="191"/>
      <c r="F5" s="192"/>
      <c r="G5" s="39" t="s">
        <v>80</v>
      </c>
      <c r="H5" s="39" t="s">
        <v>81</v>
      </c>
      <c r="I5" s="39" t="s">
        <v>82</v>
      </c>
      <c r="J5" s="43" t="s">
        <v>83</v>
      </c>
      <c r="K5" s="43" t="s">
        <v>84</v>
      </c>
      <c r="L5" s="42"/>
    </row>
    <row r="6" spans="2:12" ht="21.95" customHeight="1">
      <c r="B6" s="44"/>
      <c r="C6" s="191"/>
      <c r="D6" s="191"/>
      <c r="E6" s="191"/>
      <c r="F6" s="192"/>
      <c r="G6" s="45">
        <f>SUMPRODUCT(E13:E33,G13:G33)</f>
        <v>0</v>
      </c>
      <c r="H6" s="45">
        <f>SUMPRODUCT(E13:E33,H13:H33)</f>
        <v>0</v>
      </c>
      <c r="I6" s="45">
        <f>SUMPRODUCT(E13:E33,I13:I33)</f>
        <v>0</v>
      </c>
      <c r="J6" s="46">
        <f>SUMPRODUCT(E13:E33,J13:J33)</f>
        <v>0</v>
      </c>
      <c r="K6" s="46">
        <f>K34</f>
        <v>0</v>
      </c>
      <c r="L6" s="42"/>
    </row>
    <row r="7" spans="2:12" ht="21.95" customHeight="1">
      <c r="B7" s="44"/>
      <c r="C7" s="191"/>
      <c r="D7" s="191"/>
      <c r="E7" s="191"/>
      <c r="F7" s="192"/>
      <c r="G7" s="47">
        <f>IF(K34&lt;&gt;0,G6/K34,0)</f>
        <v>0</v>
      </c>
      <c r="H7" s="47">
        <f>IF(K34&lt;&gt;0,H6/K34,0)</f>
        <v>0</v>
      </c>
      <c r="I7" s="47">
        <f>IF(K34&lt;&gt;0,I6/K34,0)</f>
        <v>0</v>
      </c>
      <c r="J7" s="48">
        <f>IF(K34&lt;&gt;0,J6/K34,0)</f>
        <v>0</v>
      </c>
      <c r="K7" s="48">
        <f>IF(K34&lt;&gt;0,K6/ORC_Custo!G33,0)</f>
        <v>0</v>
      </c>
      <c r="L7" s="42"/>
    </row>
    <row r="8" spans="2:12" ht="6.95" customHeight="1">
      <c r="B8" s="35"/>
      <c r="C8" s="49"/>
      <c r="D8" s="50"/>
      <c r="E8" s="51"/>
      <c r="F8" s="52"/>
      <c r="G8" s="52"/>
      <c r="H8" s="52"/>
      <c r="I8" s="52"/>
      <c r="J8" s="53"/>
      <c r="K8" s="54"/>
      <c r="L8" s="42"/>
    </row>
    <row r="9" spans="2:12" ht="6.95" customHeight="1" thickBot="1">
      <c r="B9" s="35"/>
      <c r="C9" s="55"/>
      <c r="D9" s="56"/>
      <c r="E9" s="51"/>
      <c r="F9" s="52"/>
      <c r="G9" s="52"/>
      <c r="H9" s="52"/>
      <c r="I9" s="52"/>
      <c r="J9" s="53"/>
      <c r="K9" s="54"/>
      <c r="L9" s="42"/>
    </row>
    <row r="10" spans="2:12" ht="30" customHeight="1" thickBot="1">
      <c r="B10" s="193" t="s">
        <v>85</v>
      </c>
      <c r="C10" s="194"/>
      <c r="D10" s="197" t="s">
        <v>86</v>
      </c>
      <c r="E10" s="199" t="s">
        <v>87</v>
      </c>
      <c r="F10" s="201" t="s">
        <v>88</v>
      </c>
      <c r="G10" s="203" t="s">
        <v>89</v>
      </c>
      <c r="H10" s="204"/>
      <c r="I10" s="204"/>
      <c r="J10" s="205"/>
      <c r="K10" s="206" t="s">
        <v>90</v>
      </c>
      <c r="L10" s="207"/>
    </row>
    <row r="11" spans="2:12" ht="30" customHeight="1" thickBot="1">
      <c r="B11" s="195"/>
      <c r="C11" s="196"/>
      <c r="D11" s="198"/>
      <c r="E11" s="200"/>
      <c r="F11" s="202"/>
      <c r="G11" s="101" t="s">
        <v>91</v>
      </c>
      <c r="H11" s="101" t="s">
        <v>92</v>
      </c>
      <c r="I11" s="101" t="s">
        <v>93</v>
      </c>
      <c r="J11" s="102" t="s">
        <v>94</v>
      </c>
      <c r="K11" s="208"/>
      <c r="L11" s="209"/>
    </row>
    <row r="12" spans="2:12" ht="6.95" customHeight="1">
      <c r="B12" s="57"/>
      <c r="C12" s="58"/>
      <c r="D12" s="59"/>
      <c r="E12" s="60"/>
      <c r="F12" s="61"/>
      <c r="G12" s="61"/>
      <c r="H12" s="61"/>
      <c r="I12" s="61"/>
      <c r="J12" s="60"/>
      <c r="K12" s="62"/>
      <c r="L12" s="63"/>
    </row>
    <row r="13" spans="2:12" ht="21.95" customHeight="1">
      <c r="B13" s="57"/>
      <c r="C13" s="64" t="s">
        <v>264</v>
      </c>
      <c r="D13" s="65"/>
      <c r="E13" s="66"/>
      <c r="F13" s="67" t="s">
        <v>96</v>
      </c>
      <c r="G13" s="67"/>
      <c r="H13" s="67"/>
      <c r="I13" s="67"/>
      <c r="J13" s="68"/>
      <c r="K13" s="69">
        <f>(G13+H13+I13+J13)*E13</f>
        <v>0</v>
      </c>
      <c r="L13" s="63"/>
    </row>
    <row r="14" spans="2:12" ht="21.95" customHeight="1">
      <c r="B14" s="57"/>
      <c r="C14" s="64" t="s">
        <v>265</v>
      </c>
      <c r="D14" s="65"/>
      <c r="E14" s="66"/>
      <c r="F14" s="67" t="s">
        <v>96</v>
      </c>
      <c r="G14" s="67"/>
      <c r="H14" s="67"/>
      <c r="I14" s="67"/>
      <c r="J14" s="70"/>
      <c r="K14" s="69">
        <f t="shared" ref="K14:K32" si="0">(G14+H14+I14+J14)*E14</f>
        <v>0</v>
      </c>
      <c r="L14" s="63"/>
    </row>
    <row r="15" spans="2:12" ht="21.95" customHeight="1">
      <c r="B15" s="57"/>
      <c r="C15" s="64" t="s">
        <v>266</v>
      </c>
      <c r="D15" s="65"/>
      <c r="E15" s="66"/>
      <c r="F15" s="67" t="s">
        <v>96</v>
      </c>
      <c r="G15" s="67"/>
      <c r="H15" s="67"/>
      <c r="I15" s="67"/>
      <c r="J15" s="68"/>
      <c r="K15" s="69">
        <f t="shared" si="0"/>
        <v>0</v>
      </c>
      <c r="L15" s="63"/>
    </row>
    <row r="16" spans="2:12" ht="21.95" customHeight="1">
      <c r="B16" s="57"/>
      <c r="C16" s="64" t="s">
        <v>267</v>
      </c>
      <c r="D16" s="65"/>
      <c r="E16" s="66"/>
      <c r="F16" s="67" t="s">
        <v>96</v>
      </c>
      <c r="G16" s="71"/>
      <c r="H16" s="71"/>
      <c r="I16" s="71"/>
      <c r="J16" s="69"/>
      <c r="K16" s="69">
        <f t="shared" si="0"/>
        <v>0</v>
      </c>
      <c r="L16" s="63"/>
    </row>
    <row r="17" spans="2:12" ht="21.95" customHeight="1">
      <c r="B17" s="57"/>
      <c r="C17" s="64" t="s">
        <v>268</v>
      </c>
      <c r="D17" s="65"/>
      <c r="E17" s="66"/>
      <c r="F17" s="67" t="s">
        <v>96</v>
      </c>
      <c r="G17" s="67"/>
      <c r="H17" s="67"/>
      <c r="I17" s="67"/>
      <c r="J17" s="68"/>
      <c r="K17" s="69">
        <f t="shared" si="0"/>
        <v>0</v>
      </c>
      <c r="L17" s="63"/>
    </row>
    <row r="18" spans="2:12" ht="21.95" customHeight="1">
      <c r="B18" s="57"/>
      <c r="C18" s="64" t="s">
        <v>269</v>
      </c>
      <c r="D18" s="65"/>
      <c r="E18" s="66"/>
      <c r="F18" s="67" t="s">
        <v>96</v>
      </c>
      <c r="G18" s="71"/>
      <c r="H18" s="71"/>
      <c r="I18" s="71"/>
      <c r="J18" s="69"/>
      <c r="K18" s="69">
        <f t="shared" si="0"/>
        <v>0</v>
      </c>
      <c r="L18" s="63"/>
    </row>
    <row r="19" spans="2:12" ht="21.95" customHeight="1">
      <c r="B19" s="57"/>
      <c r="C19" s="64" t="s">
        <v>270</v>
      </c>
      <c r="D19" s="65"/>
      <c r="E19" s="66"/>
      <c r="F19" s="67" t="s">
        <v>96</v>
      </c>
      <c r="G19" s="67"/>
      <c r="H19" s="67"/>
      <c r="I19" s="67"/>
      <c r="J19" s="68"/>
      <c r="K19" s="69">
        <f t="shared" si="0"/>
        <v>0</v>
      </c>
      <c r="L19" s="63"/>
    </row>
    <row r="20" spans="2:12" ht="21.95" customHeight="1">
      <c r="B20" s="57"/>
      <c r="C20" s="64" t="s">
        <v>271</v>
      </c>
      <c r="D20" s="65"/>
      <c r="E20" s="66"/>
      <c r="F20" s="67" t="s">
        <v>96</v>
      </c>
      <c r="G20" s="71"/>
      <c r="H20" s="71"/>
      <c r="I20" s="71"/>
      <c r="J20" s="69"/>
      <c r="K20" s="69">
        <f t="shared" si="0"/>
        <v>0</v>
      </c>
      <c r="L20" s="63"/>
    </row>
    <row r="21" spans="2:12" ht="21.95" customHeight="1">
      <c r="B21" s="57"/>
      <c r="C21" s="64" t="s">
        <v>272</v>
      </c>
      <c r="D21" s="65"/>
      <c r="E21" s="66"/>
      <c r="F21" s="67" t="s">
        <v>96</v>
      </c>
      <c r="G21" s="71"/>
      <c r="H21" s="71"/>
      <c r="I21" s="71"/>
      <c r="J21" s="69"/>
      <c r="K21" s="69">
        <f t="shared" si="0"/>
        <v>0</v>
      </c>
      <c r="L21" s="63"/>
    </row>
    <row r="22" spans="2:12" ht="21.95" customHeight="1">
      <c r="B22" s="57"/>
      <c r="C22" s="64" t="s">
        <v>273</v>
      </c>
      <c r="D22" s="65"/>
      <c r="E22" s="66"/>
      <c r="F22" s="67" t="s">
        <v>96</v>
      </c>
      <c r="G22" s="71"/>
      <c r="H22" s="71"/>
      <c r="I22" s="71"/>
      <c r="J22" s="69"/>
      <c r="K22" s="69">
        <f t="shared" si="0"/>
        <v>0</v>
      </c>
      <c r="L22" s="63"/>
    </row>
    <row r="23" spans="2:12" ht="21.95" customHeight="1">
      <c r="B23" s="57"/>
      <c r="C23" s="64" t="s">
        <v>274</v>
      </c>
      <c r="D23" s="65"/>
      <c r="E23" s="66"/>
      <c r="F23" s="67" t="s">
        <v>96</v>
      </c>
      <c r="G23" s="71"/>
      <c r="H23" s="71"/>
      <c r="I23" s="71"/>
      <c r="J23" s="69"/>
      <c r="K23" s="69">
        <f t="shared" si="0"/>
        <v>0</v>
      </c>
      <c r="L23" s="63"/>
    </row>
    <row r="24" spans="2:12" ht="21.95" customHeight="1">
      <c r="B24" s="57"/>
      <c r="C24" s="64" t="s">
        <v>275</v>
      </c>
      <c r="D24" s="65"/>
      <c r="E24" s="66"/>
      <c r="F24" s="67" t="s">
        <v>96</v>
      </c>
      <c r="G24" s="71"/>
      <c r="H24" s="71"/>
      <c r="I24" s="71"/>
      <c r="J24" s="69"/>
      <c r="K24" s="69">
        <f t="shared" si="0"/>
        <v>0</v>
      </c>
      <c r="L24" s="63"/>
    </row>
    <row r="25" spans="2:12" ht="21.95" customHeight="1">
      <c r="B25" s="57"/>
      <c r="C25" s="64" t="s">
        <v>276</v>
      </c>
      <c r="D25" s="65"/>
      <c r="E25" s="66"/>
      <c r="F25" s="67" t="s">
        <v>96</v>
      </c>
      <c r="G25" s="71"/>
      <c r="H25" s="71"/>
      <c r="I25" s="71"/>
      <c r="J25" s="69"/>
      <c r="K25" s="69">
        <f t="shared" si="0"/>
        <v>0</v>
      </c>
      <c r="L25" s="63"/>
    </row>
    <row r="26" spans="2:12" ht="21.95" customHeight="1">
      <c r="B26" s="57"/>
      <c r="C26" s="64" t="s">
        <v>277</v>
      </c>
      <c r="D26" s="65"/>
      <c r="E26" s="66"/>
      <c r="F26" s="67" t="s">
        <v>96</v>
      </c>
      <c r="G26" s="71"/>
      <c r="H26" s="71"/>
      <c r="I26" s="71"/>
      <c r="J26" s="69"/>
      <c r="K26" s="69">
        <f t="shared" si="0"/>
        <v>0</v>
      </c>
      <c r="L26" s="63"/>
    </row>
    <row r="27" spans="2:12" ht="21.95" customHeight="1">
      <c r="B27" s="57"/>
      <c r="C27" s="64" t="s">
        <v>278</v>
      </c>
      <c r="D27" s="65"/>
      <c r="E27" s="66"/>
      <c r="F27" s="67" t="s">
        <v>96</v>
      </c>
      <c r="G27" s="71"/>
      <c r="H27" s="71"/>
      <c r="I27" s="71"/>
      <c r="J27" s="69"/>
      <c r="K27" s="69">
        <f t="shared" si="0"/>
        <v>0</v>
      </c>
      <c r="L27" s="63"/>
    </row>
    <row r="28" spans="2:12" ht="21.95" customHeight="1">
      <c r="B28" s="57"/>
      <c r="C28" s="64" t="s">
        <v>279</v>
      </c>
      <c r="D28" s="65"/>
      <c r="E28" s="66"/>
      <c r="F28" s="67" t="s">
        <v>96</v>
      </c>
      <c r="G28" s="71"/>
      <c r="H28" s="71"/>
      <c r="I28" s="71"/>
      <c r="J28" s="69"/>
      <c r="K28" s="69">
        <f t="shared" si="0"/>
        <v>0</v>
      </c>
      <c r="L28" s="63"/>
    </row>
    <row r="29" spans="2:12" ht="21.95" customHeight="1">
      <c r="B29" s="57"/>
      <c r="C29" s="64" t="s">
        <v>280</v>
      </c>
      <c r="D29" s="65"/>
      <c r="E29" s="66"/>
      <c r="F29" s="67" t="s">
        <v>96</v>
      </c>
      <c r="G29" s="71"/>
      <c r="H29" s="71"/>
      <c r="I29" s="71"/>
      <c r="J29" s="69"/>
      <c r="K29" s="69">
        <f t="shared" si="0"/>
        <v>0</v>
      </c>
      <c r="L29" s="63"/>
    </row>
    <row r="30" spans="2:12" ht="21.95" customHeight="1">
      <c r="B30" s="57"/>
      <c r="C30" s="64" t="s">
        <v>281</v>
      </c>
      <c r="D30" s="65"/>
      <c r="E30" s="66"/>
      <c r="F30" s="67" t="s">
        <v>96</v>
      </c>
      <c r="G30" s="71"/>
      <c r="H30" s="71"/>
      <c r="I30" s="71"/>
      <c r="J30" s="69"/>
      <c r="K30" s="69">
        <f t="shared" si="0"/>
        <v>0</v>
      </c>
      <c r="L30" s="63"/>
    </row>
    <row r="31" spans="2:12" ht="21.95" customHeight="1">
      <c r="B31" s="57"/>
      <c r="C31" s="64" t="s">
        <v>282</v>
      </c>
      <c r="D31" s="65"/>
      <c r="E31" s="66"/>
      <c r="F31" s="67" t="s">
        <v>96</v>
      </c>
      <c r="G31" s="71"/>
      <c r="H31" s="71"/>
      <c r="I31" s="71"/>
      <c r="J31" s="69"/>
      <c r="K31" s="69">
        <f t="shared" si="0"/>
        <v>0</v>
      </c>
      <c r="L31" s="63"/>
    </row>
    <row r="32" spans="2:12" ht="21.95" customHeight="1">
      <c r="B32" s="57"/>
      <c r="C32" s="64" t="s">
        <v>283</v>
      </c>
      <c r="D32" s="65"/>
      <c r="E32" s="66"/>
      <c r="F32" s="67" t="s">
        <v>96</v>
      </c>
      <c r="G32" s="67"/>
      <c r="H32" s="67"/>
      <c r="I32" s="67"/>
      <c r="J32" s="68"/>
      <c r="K32" s="69">
        <f t="shared" si="0"/>
        <v>0</v>
      </c>
      <c r="L32" s="63"/>
    </row>
    <row r="33" spans="2:12" ht="6.95" customHeight="1" thickBot="1">
      <c r="B33" s="72"/>
      <c r="C33" s="73"/>
      <c r="D33" s="74"/>
      <c r="E33" s="75"/>
      <c r="F33" s="76"/>
      <c r="G33" s="76"/>
      <c r="H33" s="76"/>
      <c r="I33" s="76"/>
      <c r="J33" s="75"/>
      <c r="K33" s="77"/>
      <c r="L33" s="78"/>
    </row>
    <row r="34" spans="2:12" ht="30" customHeight="1">
      <c r="B34" s="103"/>
      <c r="C34" s="104"/>
      <c r="D34" s="105" t="s">
        <v>116</v>
      </c>
      <c r="E34" s="106"/>
      <c r="F34" s="107"/>
      <c r="G34" s="107"/>
      <c r="H34" s="107"/>
      <c r="I34" s="107"/>
      <c r="J34" s="108"/>
      <c r="K34" s="109">
        <f>SUM(K13:K33)</f>
        <v>0</v>
      </c>
      <c r="L34" s="110"/>
    </row>
    <row r="35" spans="2:12" ht="9.9499999999999993" customHeight="1" thickBot="1">
      <c r="B35" s="111"/>
      <c r="C35" s="112"/>
      <c r="D35" s="113"/>
      <c r="E35" s="114"/>
      <c r="F35" s="115"/>
      <c r="G35" s="116"/>
      <c r="H35" s="116"/>
      <c r="I35" s="116"/>
      <c r="J35" s="116"/>
      <c r="K35" s="117"/>
      <c r="L35" s="118"/>
    </row>
  </sheetData>
  <mergeCells count="8">
    <mergeCell ref="B2:L2"/>
    <mergeCell ref="C5:F7"/>
    <mergeCell ref="B10:C11"/>
    <mergeCell ref="D10:D11"/>
    <mergeCell ref="E10:E11"/>
    <mergeCell ref="F10:F11"/>
    <mergeCell ref="G10:J10"/>
    <mergeCell ref="K10:L11"/>
  </mergeCells>
  <dataValidations count="1">
    <dataValidation type="list" allowBlank="1" showInputMessage="1" showErrorMessage="1" sqref="F13:F32" xr:uid="{00000000-0002-0000-0B00-000000000000}">
      <formula1>"m,m²,m³,kg,L,un,vb"</formula1>
    </dataValidation>
  </dataValidations>
  <pageMargins left="0.51181102362204722" right="0.51181102362204722" top="0.59055118110236227" bottom="0.59055118110236227" header="0.31496062992125984" footer="0.31496062992125984"/>
  <pageSetup paperSize="9" scale="72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L35"/>
  <sheetViews>
    <sheetView zoomScale="80" zoomScaleNormal="80" workbookViewId="0" xr3:uid="{C67EF94B-0B3B-5838-830C-E3A509766221}">
      <selection activeCell="G13" sqref="G13:J13"/>
    </sheetView>
  </sheetViews>
  <sheetFormatPr defaultColWidth="9.14453125" defaultRowHeight="15"/>
  <cols>
    <col min="1" max="1" width="2.28515625" style="2" customWidth="1"/>
    <col min="2" max="2" width="3.2265625" style="2" customWidth="1"/>
    <col min="3" max="3" width="10.76171875" style="2" customWidth="1"/>
    <col min="4" max="4" width="56.765625" style="2" customWidth="1"/>
    <col min="5" max="5" width="14.66015625" style="2" customWidth="1"/>
    <col min="6" max="6" width="12.64453125" style="2" customWidth="1"/>
    <col min="7" max="10" width="16.6796875" style="2" customWidth="1"/>
    <col min="11" max="11" width="18.6953125" style="2" customWidth="1"/>
    <col min="12" max="12" width="2.6875" style="2" customWidth="1"/>
    <col min="13" max="16384" width="9.14453125" style="2"/>
  </cols>
  <sheetData>
    <row r="1" spans="2:12" ht="15.75" thickBot="1"/>
    <row r="2" spans="2:12" ht="50.1" customHeight="1" thickBot="1">
      <c r="B2" s="188" t="s">
        <v>582</v>
      </c>
      <c r="C2" s="189"/>
      <c r="D2" s="189"/>
      <c r="E2" s="189"/>
      <c r="F2" s="189"/>
      <c r="G2" s="189"/>
      <c r="H2" s="189"/>
      <c r="I2" s="189"/>
      <c r="J2" s="189"/>
      <c r="K2" s="189"/>
      <c r="L2" s="190"/>
    </row>
    <row r="3" spans="2:12">
      <c r="B3" s="35"/>
      <c r="C3" s="36" t="s">
        <v>22</v>
      </c>
      <c r="D3" s="37"/>
      <c r="E3" s="38"/>
      <c r="F3" s="39"/>
      <c r="G3" s="39"/>
      <c r="H3" s="39"/>
      <c r="I3" s="39"/>
      <c r="J3" s="40"/>
      <c r="K3" s="41"/>
      <c r="L3" s="42"/>
    </row>
    <row r="4" spans="2:12" ht="6.95" customHeight="1">
      <c r="B4" s="35"/>
      <c r="C4" s="36"/>
      <c r="D4" s="37"/>
      <c r="E4" s="38"/>
      <c r="F4" s="39"/>
      <c r="G4" s="39"/>
      <c r="H4" s="39"/>
      <c r="I4" s="39"/>
      <c r="J4" s="40"/>
      <c r="K4" s="41"/>
      <c r="L4" s="42"/>
    </row>
    <row r="5" spans="2:12" ht="21.95" customHeight="1">
      <c r="B5" s="35"/>
      <c r="C5" s="191" t="s">
        <v>583</v>
      </c>
      <c r="D5" s="191"/>
      <c r="E5" s="191"/>
      <c r="F5" s="192"/>
      <c r="G5" s="39" t="s">
        <v>80</v>
      </c>
      <c r="H5" s="39" t="s">
        <v>81</v>
      </c>
      <c r="I5" s="39" t="s">
        <v>82</v>
      </c>
      <c r="J5" s="43" t="s">
        <v>83</v>
      </c>
      <c r="K5" s="43" t="s">
        <v>84</v>
      </c>
      <c r="L5" s="42"/>
    </row>
    <row r="6" spans="2:12" ht="21.95" customHeight="1">
      <c r="B6" s="44"/>
      <c r="C6" s="191"/>
      <c r="D6" s="191"/>
      <c r="E6" s="191"/>
      <c r="F6" s="192"/>
      <c r="G6" s="45">
        <f>SUMPRODUCT(E13:E33,G13:G33)</f>
        <v>0</v>
      </c>
      <c r="H6" s="45">
        <f>SUMPRODUCT(E13:E33,H13:H33)</f>
        <v>0</v>
      </c>
      <c r="I6" s="45">
        <f>SUMPRODUCT(E13:E33,I13:I33)</f>
        <v>0</v>
      </c>
      <c r="J6" s="46">
        <f>SUMPRODUCT(E13:E33,J13:J33)</f>
        <v>0</v>
      </c>
      <c r="K6" s="46">
        <f>K34</f>
        <v>0</v>
      </c>
      <c r="L6" s="42"/>
    </row>
    <row r="7" spans="2:12" ht="21.95" customHeight="1">
      <c r="B7" s="44"/>
      <c r="C7" s="191"/>
      <c r="D7" s="191"/>
      <c r="E7" s="191"/>
      <c r="F7" s="192"/>
      <c r="G7" s="47">
        <f>IF(K34&lt;&gt;0,G6/K34,0)</f>
        <v>0</v>
      </c>
      <c r="H7" s="47">
        <f>IF(K34&lt;&gt;0,H6/K34,0)</f>
        <v>0</v>
      </c>
      <c r="I7" s="47">
        <f>IF(K34&lt;&gt;0,I6/K34,0)</f>
        <v>0</v>
      </c>
      <c r="J7" s="48">
        <f>IF(K34&lt;&gt;0,J6/K34,0)</f>
        <v>0</v>
      </c>
      <c r="K7" s="48">
        <f>IF(K34&lt;&gt;0,K6/ORC_Custo!G33,0)</f>
        <v>0</v>
      </c>
      <c r="L7" s="42"/>
    </row>
    <row r="8" spans="2:12" ht="6.95" customHeight="1">
      <c r="B8" s="35"/>
      <c r="C8" s="49"/>
      <c r="D8" s="50"/>
      <c r="E8" s="51"/>
      <c r="F8" s="52"/>
      <c r="G8" s="52"/>
      <c r="H8" s="52"/>
      <c r="I8" s="52"/>
      <c r="J8" s="53"/>
      <c r="K8" s="54"/>
      <c r="L8" s="42"/>
    </row>
    <row r="9" spans="2:12" ht="6.95" customHeight="1" thickBot="1">
      <c r="B9" s="35"/>
      <c r="C9" s="55"/>
      <c r="D9" s="56"/>
      <c r="E9" s="51"/>
      <c r="F9" s="52"/>
      <c r="G9" s="52"/>
      <c r="H9" s="52"/>
      <c r="I9" s="52"/>
      <c r="J9" s="53"/>
      <c r="K9" s="54"/>
      <c r="L9" s="42"/>
    </row>
    <row r="10" spans="2:12" ht="30" customHeight="1" thickBot="1">
      <c r="B10" s="193" t="s">
        <v>85</v>
      </c>
      <c r="C10" s="194"/>
      <c r="D10" s="197" t="s">
        <v>86</v>
      </c>
      <c r="E10" s="199" t="s">
        <v>87</v>
      </c>
      <c r="F10" s="201" t="s">
        <v>88</v>
      </c>
      <c r="G10" s="203" t="s">
        <v>89</v>
      </c>
      <c r="H10" s="204"/>
      <c r="I10" s="204"/>
      <c r="J10" s="205"/>
      <c r="K10" s="206" t="s">
        <v>90</v>
      </c>
      <c r="L10" s="207"/>
    </row>
    <row r="11" spans="2:12" ht="30" customHeight="1" thickBot="1">
      <c r="B11" s="195"/>
      <c r="C11" s="196"/>
      <c r="D11" s="198"/>
      <c r="E11" s="200"/>
      <c r="F11" s="202"/>
      <c r="G11" s="101" t="s">
        <v>91</v>
      </c>
      <c r="H11" s="101" t="s">
        <v>92</v>
      </c>
      <c r="I11" s="101" t="s">
        <v>93</v>
      </c>
      <c r="J11" s="102" t="s">
        <v>94</v>
      </c>
      <c r="K11" s="208"/>
      <c r="L11" s="209"/>
    </row>
    <row r="12" spans="2:12" ht="6.95" customHeight="1">
      <c r="B12" s="57"/>
      <c r="C12" s="58"/>
      <c r="D12" s="59"/>
      <c r="E12" s="60"/>
      <c r="F12" s="61"/>
      <c r="G12" s="61"/>
      <c r="H12" s="61"/>
      <c r="I12" s="61"/>
      <c r="J12" s="60"/>
      <c r="K12" s="62"/>
      <c r="L12" s="63"/>
    </row>
    <row r="13" spans="2:12" ht="21.95" customHeight="1">
      <c r="B13" s="57"/>
      <c r="C13" s="64" t="s">
        <v>284</v>
      </c>
      <c r="D13" s="65"/>
      <c r="E13" s="66"/>
      <c r="F13" s="67" t="s">
        <v>96</v>
      </c>
      <c r="G13" s="67"/>
      <c r="H13" s="67"/>
      <c r="I13" s="67"/>
      <c r="J13" s="68"/>
      <c r="K13" s="69">
        <f>(G13+H13+I13+J13)*E13</f>
        <v>0</v>
      </c>
      <c r="L13" s="63"/>
    </row>
    <row r="14" spans="2:12" ht="21.95" customHeight="1">
      <c r="B14" s="57"/>
      <c r="C14" s="64" t="s">
        <v>285</v>
      </c>
      <c r="D14" s="65"/>
      <c r="E14" s="66"/>
      <c r="F14" s="67" t="s">
        <v>96</v>
      </c>
      <c r="G14" s="67"/>
      <c r="H14" s="67"/>
      <c r="I14" s="67"/>
      <c r="J14" s="70"/>
      <c r="K14" s="69">
        <f t="shared" ref="K14:K32" si="0">(G14+H14+I14+J14)*E14</f>
        <v>0</v>
      </c>
      <c r="L14" s="63"/>
    </row>
    <row r="15" spans="2:12" ht="21.95" customHeight="1">
      <c r="B15" s="57"/>
      <c r="C15" s="64" t="s">
        <v>286</v>
      </c>
      <c r="D15" s="65"/>
      <c r="E15" s="66"/>
      <c r="F15" s="67" t="s">
        <v>96</v>
      </c>
      <c r="G15" s="67"/>
      <c r="H15" s="67"/>
      <c r="I15" s="67"/>
      <c r="J15" s="68"/>
      <c r="K15" s="69">
        <f t="shared" si="0"/>
        <v>0</v>
      </c>
      <c r="L15" s="63"/>
    </row>
    <row r="16" spans="2:12" ht="21.95" customHeight="1">
      <c r="B16" s="57"/>
      <c r="C16" s="64" t="s">
        <v>287</v>
      </c>
      <c r="D16" s="65"/>
      <c r="E16" s="66"/>
      <c r="F16" s="67" t="s">
        <v>96</v>
      </c>
      <c r="G16" s="71"/>
      <c r="H16" s="71"/>
      <c r="I16" s="71"/>
      <c r="J16" s="69"/>
      <c r="K16" s="69">
        <f t="shared" si="0"/>
        <v>0</v>
      </c>
      <c r="L16" s="63"/>
    </row>
    <row r="17" spans="2:12" ht="21.95" customHeight="1">
      <c r="B17" s="57"/>
      <c r="C17" s="64" t="s">
        <v>288</v>
      </c>
      <c r="D17" s="65"/>
      <c r="E17" s="66"/>
      <c r="F17" s="67" t="s">
        <v>96</v>
      </c>
      <c r="G17" s="67"/>
      <c r="H17" s="67"/>
      <c r="I17" s="67"/>
      <c r="J17" s="68"/>
      <c r="K17" s="69">
        <f t="shared" si="0"/>
        <v>0</v>
      </c>
      <c r="L17" s="63"/>
    </row>
    <row r="18" spans="2:12" ht="21.95" customHeight="1">
      <c r="B18" s="57"/>
      <c r="C18" s="64" t="s">
        <v>289</v>
      </c>
      <c r="D18" s="65"/>
      <c r="E18" s="66"/>
      <c r="F18" s="67" t="s">
        <v>96</v>
      </c>
      <c r="G18" s="71"/>
      <c r="H18" s="71"/>
      <c r="I18" s="71"/>
      <c r="J18" s="69"/>
      <c r="K18" s="69">
        <f t="shared" si="0"/>
        <v>0</v>
      </c>
      <c r="L18" s="63"/>
    </row>
    <row r="19" spans="2:12" ht="21.95" customHeight="1">
      <c r="B19" s="57"/>
      <c r="C19" s="64" t="s">
        <v>290</v>
      </c>
      <c r="D19" s="65"/>
      <c r="E19" s="66"/>
      <c r="F19" s="67" t="s">
        <v>96</v>
      </c>
      <c r="G19" s="67"/>
      <c r="H19" s="67"/>
      <c r="I19" s="67"/>
      <c r="J19" s="68"/>
      <c r="K19" s="69">
        <f t="shared" si="0"/>
        <v>0</v>
      </c>
      <c r="L19" s="63"/>
    </row>
    <row r="20" spans="2:12" ht="21.95" customHeight="1">
      <c r="B20" s="57"/>
      <c r="C20" s="64" t="s">
        <v>291</v>
      </c>
      <c r="D20" s="65"/>
      <c r="E20" s="66"/>
      <c r="F20" s="67" t="s">
        <v>96</v>
      </c>
      <c r="G20" s="71"/>
      <c r="H20" s="71"/>
      <c r="I20" s="71"/>
      <c r="J20" s="69"/>
      <c r="K20" s="69">
        <f t="shared" si="0"/>
        <v>0</v>
      </c>
      <c r="L20" s="63"/>
    </row>
    <row r="21" spans="2:12" ht="21.95" customHeight="1">
      <c r="B21" s="57"/>
      <c r="C21" s="64" t="s">
        <v>292</v>
      </c>
      <c r="D21" s="65"/>
      <c r="E21" s="66"/>
      <c r="F21" s="67" t="s">
        <v>96</v>
      </c>
      <c r="G21" s="71"/>
      <c r="H21" s="71"/>
      <c r="I21" s="71"/>
      <c r="J21" s="69"/>
      <c r="K21" s="69">
        <f t="shared" si="0"/>
        <v>0</v>
      </c>
      <c r="L21" s="63"/>
    </row>
    <row r="22" spans="2:12" ht="21.95" customHeight="1">
      <c r="B22" s="57"/>
      <c r="C22" s="64" t="s">
        <v>293</v>
      </c>
      <c r="D22" s="65"/>
      <c r="E22" s="66"/>
      <c r="F22" s="67" t="s">
        <v>96</v>
      </c>
      <c r="G22" s="71"/>
      <c r="H22" s="71"/>
      <c r="I22" s="71"/>
      <c r="J22" s="69"/>
      <c r="K22" s="69">
        <f t="shared" si="0"/>
        <v>0</v>
      </c>
      <c r="L22" s="63"/>
    </row>
    <row r="23" spans="2:12" ht="21.95" customHeight="1">
      <c r="B23" s="57"/>
      <c r="C23" s="64" t="s">
        <v>294</v>
      </c>
      <c r="D23" s="65"/>
      <c r="E23" s="66"/>
      <c r="F23" s="67" t="s">
        <v>96</v>
      </c>
      <c r="G23" s="71"/>
      <c r="H23" s="71"/>
      <c r="I23" s="71"/>
      <c r="J23" s="69"/>
      <c r="K23" s="69">
        <f t="shared" si="0"/>
        <v>0</v>
      </c>
      <c r="L23" s="63"/>
    </row>
    <row r="24" spans="2:12" ht="21.95" customHeight="1">
      <c r="B24" s="57"/>
      <c r="C24" s="64" t="s">
        <v>295</v>
      </c>
      <c r="D24" s="65"/>
      <c r="E24" s="66"/>
      <c r="F24" s="67" t="s">
        <v>96</v>
      </c>
      <c r="G24" s="71"/>
      <c r="H24" s="71"/>
      <c r="I24" s="71"/>
      <c r="J24" s="69"/>
      <c r="K24" s="69">
        <f t="shared" si="0"/>
        <v>0</v>
      </c>
      <c r="L24" s="63"/>
    </row>
    <row r="25" spans="2:12" ht="21.95" customHeight="1">
      <c r="B25" s="57"/>
      <c r="C25" s="64" t="s">
        <v>296</v>
      </c>
      <c r="D25" s="65"/>
      <c r="E25" s="66"/>
      <c r="F25" s="67" t="s">
        <v>96</v>
      </c>
      <c r="G25" s="71"/>
      <c r="H25" s="71"/>
      <c r="I25" s="71"/>
      <c r="J25" s="69"/>
      <c r="K25" s="69">
        <f t="shared" si="0"/>
        <v>0</v>
      </c>
      <c r="L25" s="63"/>
    </row>
    <row r="26" spans="2:12" ht="21.95" customHeight="1">
      <c r="B26" s="57"/>
      <c r="C26" s="64" t="s">
        <v>297</v>
      </c>
      <c r="D26" s="65"/>
      <c r="E26" s="66"/>
      <c r="F26" s="67" t="s">
        <v>96</v>
      </c>
      <c r="G26" s="71"/>
      <c r="H26" s="71"/>
      <c r="I26" s="71"/>
      <c r="J26" s="69"/>
      <c r="K26" s="69">
        <f t="shared" si="0"/>
        <v>0</v>
      </c>
      <c r="L26" s="63"/>
    </row>
    <row r="27" spans="2:12" ht="21.95" customHeight="1">
      <c r="B27" s="57"/>
      <c r="C27" s="64" t="s">
        <v>298</v>
      </c>
      <c r="D27" s="65"/>
      <c r="E27" s="66"/>
      <c r="F27" s="67" t="s">
        <v>96</v>
      </c>
      <c r="G27" s="71"/>
      <c r="H27" s="71"/>
      <c r="I27" s="71"/>
      <c r="J27" s="69"/>
      <c r="K27" s="69">
        <f t="shared" si="0"/>
        <v>0</v>
      </c>
      <c r="L27" s="63"/>
    </row>
    <row r="28" spans="2:12" ht="21.95" customHeight="1">
      <c r="B28" s="57"/>
      <c r="C28" s="64" t="s">
        <v>299</v>
      </c>
      <c r="D28" s="65"/>
      <c r="E28" s="66"/>
      <c r="F28" s="67" t="s">
        <v>96</v>
      </c>
      <c r="G28" s="71"/>
      <c r="H28" s="71"/>
      <c r="I28" s="71"/>
      <c r="J28" s="69"/>
      <c r="K28" s="69">
        <f t="shared" si="0"/>
        <v>0</v>
      </c>
      <c r="L28" s="63"/>
    </row>
    <row r="29" spans="2:12" ht="21.95" customHeight="1">
      <c r="B29" s="57"/>
      <c r="C29" s="64" t="s">
        <v>300</v>
      </c>
      <c r="D29" s="65"/>
      <c r="E29" s="66"/>
      <c r="F29" s="67" t="s">
        <v>96</v>
      </c>
      <c r="G29" s="71"/>
      <c r="H29" s="71"/>
      <c r="I29" s="71"/>
      <c r="J29" s="69"/>
      <c r="K29" s="69">
        <f t="shared" si="0"/>
        <v>0</v>
      </c>
      <c r="L29" s="63"/>
    </row>
    <row r="30" spans="2:12" ht="21.95" customHeight="1">
      <c r="B30" s="57"/>
      <c r="C30" s="64" t="s">
        <v>301</v>
      </c>
      <c r="D30" s="65"/>
      <c r="E30" s="66"/>
      <c r="F30" s="67" t="s">
        <v>96</v>
      </c>
      <c r="G30" s="71"/>
      <c r="H30" s="71"/>
      <c r="I30" s="71"/>
      <c r="J30" s="69"/>
      <c r="K30" s="69">
        <f t="shared" si="0"/>
        <v>0</v>
      </c>
      <c r="L30" s="63"/>
    </row>
    <row r="31" spans="2:12" ht="21.95" customHeight="1">
      <c r="B31" s="57"/>
      <c r="C31" s="64" t="s">
        <v>302</v>
      </c>
      <c r="D31" s="65"/>
      <c r="E31" s="66"/>
      <c r="F31" s="67" t="s">
        <v>96</v>
      </c>
      <c r="G31" s="71"/>
      <c r="H31" s="71"/>
      <c r="I31" s="71"/>
      <c r="J31" s="69"/>
      <c r="K31" s="69">
        <f t="shared" si="0"/>
        <v>0</v>
      </c>
      <c r="L31" s="63"/>
    </row>
    <row r="32" spans="2:12" ht="21.95" customHeight="1">
      <c r="B32" s="57"/>
      <c r="C32" s="64" t="s">
        <v>303</v>
      </c>
      <c r="D32" s="65"/>
      <c r="E32" s="66"/>
      <c r="F32" s="67" t="s">
        <v>96</v>
      </c>
      <c r="G32" s="67"/>
      <c r="H32" s="67"/>
      <c r="I32" s="67"/>
      <c r="J32" s="68"/>
      <c r="K32" s="69">
        <f t="shared" si="0"/>
        <v>0</v>
      </c>
      <c r="L32" s="63"/>
    </row>
    <row r="33" spans="2:12" ht="6.95" customHeight="1" thickBot="1">
      <c r="B33" s="72"/>
      <c r="C33" s="73"/>
      <c r="D33" s="74"/>
      <c r="E33" s="75"/>
      <c r="F33" s="76"/>
      <c r="G33" s="76"/>
      <c r="H33" s="76"/>
      <c r="I33" s="76"/>
      <c r="J33" s="75"/>
      <c r="K33" s="77"/>
      <c r="L33" s="78"/>
    </row>
    <row r="34" spans="2:12" ht="30" customHeight="1">
      <c r="B34" s="103"/>
      <c r="C34" s="104"/>
      <c r="D34" s="105" t="s">
        <v>116</v>
      </c>
      <c r="E34" s="106"/>
      <c r="F34" s="107"/>
      <c r="G34" s="107"/>
      <c r="H34" s="107"/>
      <c r="I34" s="107"/>
      <c r="J34" s="108"/>
      <c r="K34" s="109">
        <f>SUM(K13:K33)</f>
        <v>0</v>
      </c>
      <c r="L34" s="110"/>
    </row>
    <row r="35" spans="2:12" ht="9.9499999999999993" customHeight="1" thickBot="1">
      <c r="B35" s="111"/>
      <c r="C35" s="112"/>
      <c r="D35" s="113"/>
      <c r="E35" s="114"/>
      <c r="F35" s="115"/>
      <c r="G35" s="116"/>
      <c r="H35" s="116"/>
      <c r="I35" s="116"/>
      <c r="J35" s="116"/>
      <c r="K35" s="117"/>
      <c r="L35" s="118"/>
    </row>
  </sheetData>
  <mergeCells count="8">
    <mergeCell ref="B2:L2"/>
    <mergeCell ref="C5:F7"/>
    <mergeCell ref="B10:C11"/>
    <mergeCell ref="D10:D11"/>
    <mergeCell ref="E10:E11"/>
    <mergeCell ref="F10:F11"/>
    <mergeCell ref="G10:J10"/>
    <mergeCell ref="K10:L11"/>
  </mergeCells>
  <dataValidations count="1">
    <dataValidation type="list" allowBlank="1" showInputMessage="1" showErrorMessage="1" sqref="F13:F32" xr:uid="{00000000-0002-0000-0C00-000000000000}">
      <formula1>"m,m²,m³,kg,L,un,vb"</formula1>
    </dataValidation>
  </dataValidations>
  <pageMargins left="0.51181102362204722" right="0.51181102362204722" top="0.59055118110236227" bottom="0.59055118110236227" header="0.31496062992125984" footer="0.31496062992125984"/>
  <pageSetup paperSize="9" scale="7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L35"/>
  <sheetViews>
    <sheetView zoomScale="80" zoomScaleNormal="80" workbookViewId="0" xr3:uid="{274F5AE0-5452-572F-8038-C13FFDA59D49}">
      <selection activeCell="G13" sqref="G13:J13"/>
    </sheetView>
  </sheetViews>
  <sheetFormatPr defaultColWidth="9.14453125" defaultRowHeight="15"/>
  <cols>
    <col min="1" max="1" width="2.28515625" style="2" customWidth="1"/>
    <col min="2" max="2" width="3.2265625" style="2" customWidth="1"/>
    <col min="3" max="3" width="10.76171875" style="2" customWidth="1"/>
    <col min="4" max="4" width="56.765625" style="2" customWidth="1"/>
    <col min="5" max="5" width="14.66015625" style="2" customWidth="1"/>
    <col min="6" max="6" width="12.64453125" style="2" customWidth="1"/>
    <col min="7" max="10" width="16.6796875" style="2" customWidth="1"/>
    <col min="11" max="11" width="18.6953125" style="2" customWidth="1"/>
    <col min="12" max="12" width="2.6875" style="2" customWidth="1"/>
    <col min="13" max="16384" width="9.14453125" style="2"/>
  </cols>
  <sheetData>
    <row r="1" spans="2:12" ht="15.75" thickBot="1"/>
    <row r="2" spans="2:12" ht="50.1" customHeight="1" thickBot="1">
      <c r="B2" s="188" t="s">
        <v>584</v>
      </c>
      <c r="C2" s="189"/>
      <c r="D2" s="189"/>
      <c r="E2" s="189"/>
      <c r="F2" s="189"/>
      <c r="G2" s="189"/>
      <c r="H2" s="189"/>
      <c r="I2" s="189"/>
      <c r="J2" s="189"/>
      <c r="K2" s="189"/>
      <c r="L2" s="190"/>
    </row>
    <row r="3" spans="2:12">
      <c r="B3" s="35"/>
      <c r="C3" s="36" t="s">
        <v>22</v>
      </c>
      <c r="D3" s="37"/>
      <c r="E3" s="38"/>
      <c r="F3" s="39"/>
      <c r="G3" s="39"/>
      <c r="H3" s="39"/>
      <c r="I3" s="39"/>
      <c r="J3" s="40"/>
      <c r="K3" s="41"/>
      <c r="L3" s="42"/>
    </row>
    <row r="4" spans="2:12" ht="6.95" customHeight="1">
      <c r="B4" s="35"/>
      <c r="C4" s="36"/>
      <c r="D4" s="37"/>
      <c r="E4" s="38"/>
      <c r="F4" s="39"/>
      <c r="G4" s="39"/>
      <c r="H4" s="39"/>
      <c r="I4" s="39"/>
      <c r="J4" s="40"/>
      <c r="K4" s="41"/>
      <c r="L4" s="42"/>
    </row>
    <row r="5" spans="2:12" ht="21.95" customHeight="1">
      <c r="B5" s="35"/>
      <c r="C5" s="191" t="s">
        <v>585</v>
      </c>
      <c r="D5" s="191"/>
      <c r="E5" s="191"/>
      <c r="F5" s="192"/>
      <c r="G5" s="39" t="s">
        <v>80</v>
      </c>
      <c r="H5" s="39" t="s">
        <v>81</v>
      </c>
      <c r="I5" s="39" t="s">
        <v>82</v>
      </c>
      <c r="J5" s="43" t="s">
        <v>83</v>
      </c>
      <c r="K5" s="43" t="s">
        <v>84</v>
      </c>
      <c r="L5" s="42"/>
    </row>
    <row r="6" spans="2:12" ht="21.95" customHeight="1">
      <c r="B6" s="44"/>
      <c r="C6" s="191"/>
      <c r="D6" s="191"/>
      <c r="E6" s="191"/>
      <c r="F6" s="192"/>
      <c r="G6" s="45">
        <f>SUMPRODUCT(E13:E33,G13:G33)</f>
        <v>0</v>
      </c>
      <c r="H6" s="45">
        <f>SUMPRODUCT(E13:E33,H13:H33)</f>
        <v>0</v>
      </c>
      <c r="I6" s="45">
        <f>SUMPRODUCT(E13:E33,I13:I33)</f>
        <v>0</v>
      </c>
      <c r="J6" s="46">
        <f>SUMPRODUCT(E13:E33,J13:J33)</f>
        <v>0</v>
      </c>
      <c r="K6" s="46">
        <f>K34</f>
        <v>0</v>
      </c>
      <c r="L6" s="42"/>
    </row>
    <row r="7" spans="2:12" ht="21.95" customHeight="1">
      <c r="B7" s="44"/>
      <c r="C7" s="191"/>
      <c r="D7" s="191"/>
      <c r="E7" s="191"/>
      <c r="F7" s="192"/>
      <c r="G7" s="47">
        <f>IF(K34&lt;&gt;0,G6/K34,0)</f>
        <v>0</v>
      </c>
      <c r="H7" s="47">
        <f>IF(K34&lt;&gt;0,H6/K34,0)</f>
        <v>0</v>
      </c>
      <c r="I7" s="47">
        <f>IF(K34&lt;&gt;0,I6/K34,0)</f>
        <v>0</v>
      </c>
      <c r="J7" s="48">
        <f>IF(K34&lt;&gt;0,J6/K34,0)</f>
        <v>0</v>
      </c>
      <c r="K7" s="48">
        <f>IF(K34&lt;&gt;0,K6/ORC_Custo!G33,0)</f>
        <v>0</v>
      </c>
      <c r="L7" s="42"/>
    </row>
    <row r="8" spans="2:12" ht="6.95" customHeight="1">
      <c r="B8" s="35"/>
      <c r="C8" s="49"/>
      <c r="D8" s="50"/>
      <c r="E8" s="51"/>
      <c r="F8" s="52"/>
      <c r="G8" s="52"/>
      <c r="H8" s="52"/>
      <c r="I8" s="52"/>
      <c r="J8" s="53"/>
      <c r="K8" s="54"/>
      <c r="L8" s="42"/>
    </row>
    <row r="9" spans="2:12" ht="6.95" customHeight="1" thickBot="1">
      <c r="B9" s="35"/>
      <c r="C9" s="55"/>
      <c r="D9" s="56"/>
      <c r="E9" s="51"/>
      <c r="F9" s="52"/>
      <c r="G9" s="52"/>
      <c r="H9" s="52"/>
      <c r="I9" s="52"/>
      <c r="J9" s="53"/>
      <c r="K9" s="54"/>
      <c r="L9" s="42"/>
    </row>
    <row r="10" spans="2:12" ht="30" customHeight="1" thickBot="1">
      <c r="B10" s="193" t="s">
        <v>85</v>
      </c>
      <c r="C10" s="194"/>
      <c r="D10" s="197" t="s">
        <v>86</v>
      </c>
      <c r="E10" s="199" t="s">
        <v>87</v>
      </c>
      <c r="F10" s="201" t="s">
        <v>88</v>
      </c>
      <c r="G10" s="203" t="s">
        <v>89</v>
      </c>
      <c r="H10" s="204"/>
      <c r="I10" s="204"/>
      <c r="J10" s="205"/>
      <c r="K10" s="206" t="s">
        <v>90</v>
      </c>
      <c r="L10" s="207"/>
    </row>
    <row r="11" spans="2:12" ht="30" customHeight="1" thickBot="1">
      <c r="B11" s="195"/>
      <c r="C11" s="196"/>
      <c r="D11" s="198"/>
      <c r="E11" s="200"/>
      <c r="F11" s="202"/>
      <c r="G11" s="101" t="s">
        <v>91</v>
      </c>
      <c r="H11" s="101" t="s">
        <v>92</v>
      </c>
      <c r="I11" s="101" t="s">
        <v>93</v>
      </c>
      <c r="J11" s="102" t="s">
        <v>94</v>
      </c>
      <c r="K11" s="208"/>
      <c r="L11" s="209"/>
    </row>
    <row r="12" spans="2:12" ht="6.95" customHeight="1">
      <c r="B12" s="57"/>
      <c r="C12" s="58"/>
      <c r="D12" s="59"/>
      <c r="E12" s="60"/>
      <c r="F12" s="61"/>
      <c r="G12" s="61"/>
      <c r="H12" s="61"/>
      <c r="I12" s="61"/>
      <c r="J12" s="60"/>
      <c r="K12" s="62"/>
      <c r="L12" s="63"/>
    </row>
    <row r="13" spans="2:12" ht="21.95" customHeight="1">
      <c r="B13" s="57"/>
      <c r="C13" s="64" t="s">
        <v>304</v>
      </c>
      <c r="D13" s="65"/>
      <c r="E13" s="66"/>
      <c r="F13" s="67" t="s">
        <v>96</v>
      </c>
      <c r="G13" s="67"/>
      <c r="H13" s="67"/>
      <c r="I13" s="67"/>
      <c r="J13" s="68"/>
      <c r="K13" s="69">
        <f>(G13+H13+I13+J13)*E13</f>
        <v>0</v>
      </c>
      <c r="L13" s="63"/>
    </row>
    <row r="14" spans="2:12" ht="21.95" customHeight="1">
      <c r="B14" s="57"/>
      <c r="C14" s="64" t="s">
        <v>305</v>
      </c>
      <c r="D14" s="65"/>
      <c r="E14" s="66"/>
      <c r="F14" s="67" t="s">
        <v>96</v>
      </c>
      <c r="G14" s="67"/>
      <c r="H14" s="67"/>
      <c r="I14" s="67"/>
      <c r="J14" s="70"/>
      <c r="K14" s="69">
        <f t="shared" ref="K14:K32" si="0">(G14+H14+I14+J14)*E14</f>
        <v>0</v>
      </c>
      <c r="L14" s="63"/>
    </row>
    <row r="15" spans="2:12" ht="21.95" customHeight="1">
      <c r="B15" s="57"/>
      <c r="C15" s="64" t="s">
        <v>306</v>
      </c>
      <c r="D15" s="65"/>
      <c r="E15" s="66"/>
      <c r="F15" s="67" t="s">
        <v>96</v>
      </c>
      <c r="G15" s="67"/>
      <c r="H15" s="67"/>
      <c r="I15" s="67"/>
      <c r="J15" s="68"/>
      <c r="K15" s="69">
        <f t="shared" si="0"/>
        <v>0</v>
      </c>
      <c r="L15" s="63"/>
    </row>
    <row r="16" spans="2:12" ht="21.95" customHeight="1">
      <c r="B16" s="57"/>
      <c r="C16" s="64" t="s">
        <v>307</v>
      </c>
      <c r="D16" s="65"/>
      <c r="E16" s="66"/>
      <c r="F16" s="67" t="s">
        <v>96</v>
      </c>
      <c r="G16" s="71"/>
      <c r="H16" s="71"/>
      <c r="I16" s="71"/>
      <c r="J16" s="69"/>
      <c r="K16" s="69">
        <f t="shared" si="0"/>
        <v>0</v>
      </c>
      <c r="L16" s="63"/>
    </row>
    <row r="17" spans="2:12" ht="21.95" customHeight="1">
      <c r="B17" s="57"/>
      <c r="C17" s="64" t="s">
        <v>308</v>
      </c>
      <c r="D17" s="65"/>
      <c r="E17" s="66"/>
      <c r="F17" s="67" t="s">
        <v>96</v>
      </c>
      <c r="G17" s="67"/>
      <c r="H17" s="67"/>
      <c r="I17" s="67"/>
      <c r="J17" s="68"/>
      <c r="K17" s="69">
        <f t="shared" si="0"/>
        <v>0</v>
      </c>
      <c r="L17" s="63"/>
    </row>
    <row r="18" spans="2:12" ht="21.95" customHeight="1">
      <c r="B18" s="57"/>
      <c r="C18" s="64" t="s">
        <v>309</v>
      </c>
      <c r="D18" s="65"/>
      <c r="E18" s="66"/>
      <c r="F18" s="67" t="s">
        <v>96</v>
      </c>
      <c r="G18" s="71"/>
      <c r="H18" s="71"/>
      <c r="I18" s="71"/>
      <c r="J18" s="69"/>
      <c r="K18" s="69">
        <f t="shared" si="0"/>
        <v>0</v>
      </c>
      <c r="L18" s="63"/>
    </row>
    <row r="19" spans="2:12" ht="21.95" customHeight="1">
      <c r="B19" s="57"/>
      <c r="C19" s="64" t="s">
        <v>310</v>
      </c>
      <c r="D19" s="65"/>
      <c r="E19" s="66"/>
      <c r="F19" s="67" t="s">
        <v>96</v>
      </c>
      <c r="G19" s="67"/>
      <c r="H19" s="67"/>
      <c r="I19" s="67"/>
      <c r="J19" s="68"/>
      <c r="K19" s="69">
        <f t="shared" si="0"/>
        <v>0</v>
      </c>
      <c r="L19" s="63"/>
    </row>
    <row r="20" spans="2:12" ht="21.95" customHeight="1">
      <c r="B20" s="57"/>
      <c r="C20" s="64" t="s">
        <v>311</v>
      </c>
      <c r="D20" s="65"/>
      <c r="E20" s="66"/>
      <c r="F20" s="67" t="s">
        <v>96</v>
      </c>
      <c r="G20" s="71"/>
      <c r="H20" s="71"/>
      <c r="I20" s="71"/>
      <c r="J20" s="69"/>
      <c r="K20" s="69">
        <f t="shared" si="0"/>
        <v>0</v>
      </c>
      <c r="L20" s="63"/>
    </row>
    <row r="21" spans="2:12" ht="21.95" customHeight="1">
      <c r="B21" s="57"/>
      <c r="C21" s="64" t="s">
        <v>312</v>
      </c>
      <c r="D21" s="65"/>
      <c r="E21" s="66"/>
      <c r="F21" s="67" t="s">
        <v>96</v>
      </c>
      <c r="G21" s="71"/>
      <c r="H21" s="71"/>
      <c r="I21" s="71"/>
      <c r="J21" s="69"/>
      <c r="K21" s="69">
        <f t="shared" si="0"/>
        <v>0</v>
      </c>
      <c r="L21" s="63"/>
    </row>
    <row r="22" spans="2:12" ht="21.95" customHeight="1">
      <c r="B22" s="57"/>
      <c r="C22" s="64" t="s">
        <v>313</v>
      </c>
      <c r="D22" s="65"/>
      <c r="E22" s="66"/>
      <c r="F22" s="67" t="s">
        <v>96</v>
      </c>
      <c r="G22" s="71"/>
      <c r="H22" s="71"/>
      <c r="I22" s="71"/>
      <c r="J22" s="69"/>
      <c r="K22" s="69">
        <f t="shared" si="0"/>
        <v>0</v>
      </c>
      <c r="L22" s="63"/>
    </row>
    <row r="23" spans="2:12" ht="21.95" customHeight="1">
      <c r="B23" s="57"/>
      <c r="C23" s="64" t="s">
        <v>314</v>
      </c>
      <c r="D23" s="65"/>
      <c r="E23" s="66"/>
      <c r="F23" s="67" t="s">
        <v>96</v>
      </c>
      <c r="G23" s="71"/>
      <c r="H23" s="71"/>
      <c r="I23" s="71"/>
      <c r="J23" s="69"/>
      <c r="K23" s="69">
        <f t="shared" si="0"/>
        <v>0</v>
      </c>
      <c r="L23" s="63"/>
    </row>
    <row r="24" spans="2:12" ht="21.95" customHeight="1">
      <c r="B24" s="57"/>
      <c r="C24" s="64" t="s">
        <v>315</v>
      </c>
      <c r="D24" s="65"/>
      <c r="E24" s="66"/>
      <c r="F24" s="67" t="s">
        <v>96</v>
      </c>
      <c r="G24" s="71"/>
      <c r="H24" s="71"/>
      <c r="I24" s="71"/>
      <c r="J24" s="69"/>
      <c r="K24" s="69">
        <f t="shared" si="0"/>
        <v>0</v>
      </c>
      <c r="L24" s="63"/>
    </row>
    <row r="25" spans="2:12" ht="21.95" customHeight="1">
      <c r="B25" s="57"/>
      <c r="C25" s="64" t="s">
        <v>316</v>
      </c>
      <c r="D25" s="65"/>
      <c r="E25" s="66"/>
      <c r="F25" s="67" t="s">
        <v>96</v>
      </c>
      <c r="G25" s="71"/>
      <c r="H25" s="71"/>
      <c r="I25" s="71"/>
      <c r="J25" s="69"/>
      <c r="K25" s="69">
        <f t="shared" si="0"/>
        <v>0</v>
      </c>
      <c r="L25" s="63"/>
    </row>
    <row r="26" spans="2:12" ht="21.95" customHeight="1">
      <c r="B26" s="57"/>
      <c r="C26" s="64" t="s">
        <v>317</v>
      </c>
      <c r="D26" s="65"/>
      <c r="E26" s="66"/>
      <c r="F26" s="67" t="s">
        <v>96</v>
      </c>
      <c r="G26" s="71"/>
      <c r="H26" s="71"/>
      <c r="I26" s="71"/>
      <c r="J26" s="69"/>
      <c r="K26" s="69">
        <f t="shared" si="0"/>
        <v>0</v>
      </c>
      <c r="L26" s="63"/>
    </row>
    <row r="27" spans="2:12" ht="21.95" customHeight="1">
      <c r="B27" s="57"/>
      <c r="C27" s="64" t="s">
        <v>318</v>
      </c>
      <c r="D27" s="65"/>
      <c r="E27" s="66"/>
      <c r="F27" s="67" t="s">
        <v>96</v>
      </c>
      <c r="G27" s="71"/>
      <c r="H27" s="71"/>
      <c r="I27" s="71"/>
      <c r="J27" s="69"/>
      <c r="K27" s="69">
        <f t="shared" si="0"/>
        <v>0</v>
      </c>
      <c r="L27" s="63"/>
    </row>
    <row r="28" spans="2:12" ht="21.95" customHeight="1">
      <c r="B28" s="57"/>
      <c r="C28" s="64" t="s">
        <v>319</v>
      </c>
      <c r="D28" s="65"/>
      <c r="E28" s="66"/>
      <c r="F28" s="67" t="s">
        <v>96</v>
      </c>
      <c r="G28" s="71"/>
      <c r="H28" s="71"/>
      <c r="I28" s="71"/>
      <c r="J28" s="69"/>
      <c r="K28" s="69">
        <f t="shared" si="0"/>
        <v>0</v>
      </c>
      <c r="L28" s="63"/>
    </row>
    <row r="29" spans="2:12" ht="21.95" customHeight="1">
      <c r="B29" s="57"/>
      <c r="C29" s="64" t="s">
        <v>320</v>
      </c>
      <c r="D29" s="65"/>
      <c r="E29" s="66"/>
      <c r="F29" s="67" t="s">
        <v>96</v>
      </c>
      <c r="G29" s="71"/>
      <c r="H29" s="71"/>
      <c r="I29" s="71"/>
      <c r="J29" s="69"/>
      <c r="K29" s="69">
        <f t="shared" si="0"/>
        <v>0</v>
      </c>
      <c r="L29" s="63"/>
    </row>
    <row r="30" spans="2:12" ht="21.95" customHeight="1">
      <c r="B30" s="57"/>
      <c r="C30" s="64" t="s">
        <v>321</v>
      </c>
      <c r="D30" s="65"/>
      <c r="E30" s="66"/>
      <c r="F30" s="67" t="s">
        <v>96</v>
      </c>
      <c r="G30" s="71"/>
      <c r="H30" s="71"/>
      <c r="I30" s="71"/>
      <c r="J30" s="69"/>
      <c r="K30" s="69">
        <f t="shared" si="0"/>
        <v>0</v>
      </c>
      <c r="L30" s="63"/>
    </row>
    <row r="31" spans="2:12" ht="21.95" customHeight="1">
      <c r="B31" s="57"/>
      <c r="C31" s="64" t="s">
        <v>322</v>
      </c>
      <c r="D31" s="65"/>
      <c r="E31" s="66"/>
      <c r="F31" s="67" t="s">
        <v>96</v>
      </c>
      <c r="G31" s="71"/>
      <c r="H31" s="71"/>
      <c r="I31" s="71"/>
      <c r="J31" s="69"/>
      <c r="K31" s="69">
        <f t="shared" si="0"/>
        <v>0</v>
      </c>
      <c r="L31" s="63"/>
    </row>
    <row r="32" spans="2:12" ht="21.95" customHeight="1">
      <c r="B32" s="57"/>
      <c r="C32" s="64" t="s">
        <v>323</v>
      </c>
      <c r="D32" s="65"/>
      <c r="E32" s="66"/>
      <c r="F32" s="67" t="s">
        <v>96</v>
      </c>
      <c r="G32" s="67"/>
      <c r="H32" s="67"/>
      <c r="I32" s="67"/>
      <c r="J32" s="68"/>
      <c r="K32" s="69">
        <f t="shared" si="0"/>
        <v>0</v>
      </c>
      <c r="L32" s="63"/>
    </row>
    <row r="33" spans="2:12" ht="6.95" customHeight="1" thickBot="1">
      <c r="B33" s="72"/>
      <c r="C33" s="73"/>
      <c r="D33" s="74"/>
      <c r="E33" s="75"/>
      <c r="F33" s="76"/>
      <c r="G33" s="76"/>
      <c r="H33" s="76"/>
      <c r="I33" s="76"/>
      <c r="J33" s="75"/>
      <c r="K33" s="77"/>
      <c r="L33" s="78"/>
    </row>
    <row r="34" spans="2:12" ht="30" customHeight="1">
      <c r="B34" s="103"/>
      <c r="C34" s="104"/>
      <c r="D34" s="105" t="s">
        <v>116</v>
      </c>
      <c r="E34" s="106"/>
      <c r="F34" s="107"/>
      <c r="G34" s="107"/>
      <c r="H34" s="107"/>
      <c r="I34" s="107"/>
      <c r="J34" s="108"/>
      <c r="K34" s="109">
        <f>SUM(K13:K33)</f>
        <v>0</v>
      </c>
      <c r="L34" s="110"/>
    </row>
    <row r="35" spans="2:12" ht="9.9499999999999993" customHeight="1" thickBot="1">
      <c r="B35" s="111"/>
      <c r="C35" s="112"/>
      <c r="D35" s="113"/>
      <c r="E35" s="114"/>
      <c r="F35" s="115"/>
      <c r="G35" s="116"/>
      <c r="H35" s="116"/>
      <c r="I35" s="116"/>
      <c r="J35" s="116"/>
      <c r="K35" s="117"/>
      <c r="L35" s="118"/>
    </row>
  </sheetData>
  <mergeCells count="8">
    <mergeCell ref="B2:L2"/>
    <mergeCell ref="C5:F7"/>
    <mergeCell ref="B10:C11"/>
    <mergeCell ref="D10:D11"/>
    <mergeCell ref="E10:E11"/>
    <mergeCell ref="F10:F11"/>
    <mergeCell ref="G10:J10"/>
    <mergeCell ref="K10:L11"/>
  </mergeCells>
  <dataValidations count="1">
    <dataValidation type="list" allowBlank="1" showInputMessage="1" showErrorMessage="1" sqref="F13:F32" xr:uid="{00000000-0002-0000-0D00-000000000000}">
      <formula1>"m,m²,m³,kg,L,un,vb"</formula1>
    </dataValidation>
  </dataValidations>
  <pageMargins left="0.51181102362204722" right="0.51181102362204722" top="0.59055118110236227" bottom="0.59055118110236227" header="0.31496062992125984" footer="0.31496062992125984"/>
  <pageSetup paperSize="9" scale="72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L35"/>
  <sheetViews>
    <sheetView zoomScale="80" zoomScaleNormal="80" workbookViewId="0" xr3:uid="{33642244-9AC9-5136-AF77-195C889548CE}">
      <selection activeCell="G13" sqref="G13:J13"/>
    </sheetView>
  </sheetViews>
  <sheetFormatPr defaultColWidth="9.14453125" defaultRowHeight="15"/>
  <cols>
    <col min="1" max="1" width="2.28515625" style="2" customWidth="1"/>
    <col min="2" max="2" width="3.2265625" style="2" customWidth="1"/>
    <col min="3" max="3" width="10.76171875" style="2" customWidth="1"/>
    <col min="4" max="4" width="56.765625" style="2" customWidth="1"/>
    <col min="5" max="5" width="14.66015625" style="2" customWidth="1"/>
    <col min="6" max="6" width="12.64453125" style="2" customWidth="1"/>
    <col min="7" max="10" width="16.6796875" style="2" customWidth="1"/>
    <col min="11" max="11" width="18.6953125" style="2" customWidth="1"/>
    <col min="12" max="12" width="2.6875" style="2" customWidth="1"/>
    <col min="13" max="16384" width="9.14453125" style="2"/>
  </cols>
  <sheetData>
    <row r="1" spans="2:12" ht="15.75" thickBot="1"/>
    <row r="2" spans="2:12" ht="50.1" customHeight="1" thickBot="1">
      <c r="B2" s="188" t="s">
        <v>587</v>
      </c>
      <c r="C2" s="189"/>
      <c r="D2" s="189"/>
      <c r="E2" s="189"/>
      <c r="F2" s="189"/>
      <c r="G2" s="189"/>
      <c r="H2" s="189"/>
      <c r="I2" s="189"/>
      <c r="J2" s="189"/>
      <c r="K2" s="189"/>
      <c r="L2" s="190"/>
    </row>
    <row r="3" spans="2:12">
      <c r="B3" s="35"/>
      <c r="C3" s="36" t="s">
        <v>22</v>
      </c>
      <c r="D3" s="37"/>
      <c r="E3" s="38"/>
      <c r="F3" s="39"/>
      <c r="G3" s="39"/>
      <c r="H3" s="39"/>
      <c r="I3" s="39"/>
      <c r="J3" s="40"/>
      <c r="K3" s="41"/>
      <c r="L3" s="42"/>
    </row>
    <row r="4" spans="2:12" ht="6.95" customHeight="1">
      <c r="B4" s="35"/>
      <c r="C4" s="36"/>
      <c r="D4" s="37"/>
      <c r="E4" s="38"/>
      <c r="F4" s="39"/>
      <c r="G4" s="39"/>
      <c r="H4" s="39"/>
      <c r="I4" s="39"/>
      <c r="J4" s="40"/>
      <c r="K4" s="41"/>
      <c r="L4" s="42"/>
    </row>
    <row r="5" spans="2:12" ht="21.95" customHeight="1">
      <c r="B5" s="35"/>
      <c r="C5" s="191" t="s">
        <v>588</v>
      </c>
      <c r="D5" s="191"/>
      <c r="E5" s="191"/>
      <c r="F5" s="192"/>
      <c r="G5" s="39" t="s">
        <v>80</v>
      </c>
      <c r="H5" s="39" t="s">
        <v>81</v>
      </c>
      <c r="I5" s="39" t="s">
        <v>82</v>
      </c>
      <c r="J5" s="43" t="s">
        <v>83</v>
      </c>
      <c r="K5" s="43" t="s">
        <v>84</v>
      </c>
      <c r="L5" s="42"/>
    </row>
    <row r="6" spans="2:12" ht="21.95" customHeight="1">
      <c r="B6" s="44"/>
      <c r="C6" s="191"/>
      <c r="D6" s="191"/>
      <c r="E6" s="191"/>
      <c r="F6" s="192"/>
      <c r="G6" s="45">
        <f>SUMPRODUCT(E13:E33,G13:G33)</f>
        <v>0</v>
      </c>
      <c r="H6" s="45">
        <f>SUMPRODUCT(E13:E33,H13:H33)</f>
        <v>0</v>
      </c>
      <c r="I6" s="45">
        <f>SUMPRODUCT(E13:E33,I13:I33)</f>
        <v>0</v>
      </c>
      <c r="J6" s="46">
        <f>SUMPRODUCT(E13:E33,J13:J33)</f>
        <v>0</v>
      </c>
      <c r="K6" s="46">
        <f>K34</f>
        <v>0</v>
      </c>
      <c r="L6" s="42"/>
    </row>
    <row r="7" spans="2:12" ht="21.95" customHeight="1">
      <c r="B7" s="44"/>
      <c r="C7" s="191"/>
      <c r="D7" s="191"/>
      <c r="E7" s="191"/>
      <c r="F7" s="192"/>
      <c r="G7" s="47">
        <f>IF(K34&lt;&gt;0,G6/K34,0)</f>
        <v>0</v>
      </c>
      <c r="H7" s="47">
        <f>IF(K34&lt;&gt;0,H6/K34,0)</f>
        <v>0</v>
      </c>
      <c r="I7" s="47">
        <f>IF(K34&lt;&gt;0,I6/K34,0)</f>
        <v>0</v>
      </c>
      <c r="J7" s="48">
        <f>IF(K34&lt;&gt;0,J6/K34,0)</f>
        <v>0</v>
      </c>
      <c r="K7" s="48">
        <f>IF(K34&lt;&gt;0,K6/ORC_Custo!G33,0)</f>
        <v>0</v>
      </c>
      <c r="L7" s="42"/>
    </row>
    <row r="8" spans="2:12" ht="6.95" customHeight="1">
      <c r="B8" s="35"/>
      <c r="C8" s="49"/>
      <c r="D8" s="50"/>
      <c r="E8" s="51"/>
      <c r="F8" s="52"/>
      <c r="G8" s="52"/>
      <c r="H8" s="52"/>
      <c r="I8" s="52"/>
      <c r="J8" s="53"/>
      <c r="K8" s="54"/>
      <c r="L8" s="42"/>
    </row>
    <row r="9" spans="2:12" ht="6.95" customHeight="1" thickBot="1">
      <c r="B9" s="35"/>
      <c r="C9" s="55"/>
      <c r="D9" s="56"/>
      <c r="E9" s="51"/>
      <c r="F9" s="52"/>
      <c r="G9" s="52"/>
      <c r="H9" s="52"/>
      <c r="I9" s="52"/>
      <c r="J9" s="53"/>
      <c r="K9" s="54"/>
      <c r="L9" s="42"/>
    </row>
    <row r="10" spans="2:12" ht="30" customHeight="1" thickBot="1">
      <c r="B10" s="193" t="s">
        <v>85</v>
      </c>
      <c r="C10" s="194"/>
      <c r="D10" s="197" t="s">
        <v>86</v>
      </c>
      <c r="E10" s="199" t="s">
        <v>87</v>
      </c>
      <c r="F10" s="201" t="s">
        <v>88</v>
      </c>
      <c r="G10" s="203" t="s">
        <v>89</v>
      </c>
      <c r="H10" s="204"/>
      <c r="I10" s="204"/>
      <c r="J10" s="205"/>
      <c r="K10" s="206" t="s">
        <v>90</v>
      </c>
      <c r="L10" s="207"/>
    </row>
    <row r="11" spans="2:12" ht="30" customHeight="1" thickBot="1">
      <c r="B11" s="195"/>
      <c r="C11" s="196"/>
      <c r="D11" s="198"/>
      <c r="E11" s="200"/>
      <c r="F11" s="202"/>
      <c r="G11" s="101" t="s">
        <v>91</v>
      </c>
      <c r="H11" s="101" t="s">
        <v>92</v>
      </c>
      <c r="I11" s="101" t="s">
        <v>93</v>
      </c>
      <c r="J11" s="102" t="s">
        <v>94</v>
      </c>
      <c r="K11" s="208"/>
      <c r="L11" s="209"/>
    </row>
    <row r="12" spans="2:12" ht="6.95" customHeight="1">
      <c r="B12" s="57"/>
      <c r="C12" s="58"/>
      <c r="D12" s="59"/>
      <c r="E12" s="60"/>
      <c r="F12" s="61"/>
      <c r="G12" s="61"/>
      <c r="H12" s="61"/>
      <c r="I12" s="61"/>
      <c r="J12" s="60"/>
      <c r="K12" s="62"/>
      <c r="L12" s="63"/>
    </row>
    <row r="13" spans="2:12" ht="21.95" customHeight="1">
      <c r="B13" s="57"/>
      <c r="C13" s="64" t="s">
        <v>324</v>
      </c>
      <c r="D13" s="65"/>
      <c r="E13" s="66"/>
      <c r="F13" s="67" t="s">
        <v>96</v>
      </c>
      <c r="G13" s="67"/>
      <c r="H13" s="67"/>
      <c r="I13" s="67"/>
      <c r="J13" s="68"/>
      <c r="K13" s="69">
        <f>(G13+H13+I13+J13)*E13</f>
        <v>0</v>
      </c>
      <c r="L13" s="63"/>
    </row>
    <row r="14" spans="2:12" ht="21.95" customHeight="1">
      <c r="B14" s="57"/>
      <c r="C14" s="64" t="s">
        <v>325</v>
      </c>
      <c r="D14" s="65"/>
      <c r="E14" s="66"/>
      <c r="F14" s="67" t="s">
        <v>96</v>
      </c>
      <c r="G14" s="67"/>
      <c r="H14" s="67"/>
      <c r="I14" s="67"/>
      <c r="J14" s="70"/>
      <c r="K14" s="69">
        <f t="shared" ref="K14:K32" si="0">(G14+H14+I14+J14)*E14</f>
        <v>0</v>
      </c>
      <c r="L14" s="63"/>
    </row>
    <row r="15" spans="2:12" ht="21.95" customHeight="1">
      <c r="B15" s="57"/>
      <c r="C15" s="64" t="s">
        <v>326</v>
      </c>
      <c r="D15" s="65"/>
      <c r="E15" s="66"/>
      <c r="F15" s="67" t="s">
        <v>96</v>
      </c>
      <c r="G15" s="67"/>
      <c r="H15" s="67"/>
      <c r="I15" s="67"/>
      <c r="J15" s="68"/>
      <c r="K15" s="69">
        <f t="shared" si="0"/>
        <v>0</v>
      </c>
      <c r="L15" s="63"/>
    </row>
    <row r="16" spans="2:12" ht="21.95" customHeight="1">
      <c r="B16" s="57"/>
      <c r="C16" s="64" t="s">
        <v>327</v>
      </c>
      <c r="D16" s="65"/>
      <c r="E16" s="66"/>
      <c r="F16" s="67" t="s">
        <v>96</v>
      </c>
      <c r="G16" s="71"/>
      <c r="H16" s="71"/>
      <c r="I16" s="71"/>
      <c r="J16" s="69"/>
      <c r="K16" s="69">
        <f t="shared" si="0"/>
        <v>0</v>
      </c>
      <c r="L16" s="63"/>
    </row>
    <row r="17" spans="2:12" ht="21.95" customHeight="1">
      <c r="B17" s="57"/>
      <c r="C17" s="64" t="s">
        <v>328</v>
      </c>
      <c r="D17" s="65"/>
      <c r="E17" s="66"/>
      <c r="F17" s="67" t="s">
        <v>96</v>
      </c>
      <c r="G17" s="67"/>
      <c r="H17" s="67"/>
      <c r="I17" s="67"/>
      <c r="J17" s="68"/>
      <c r="K17" s="69">
        <f t="shared" si="0"/>
        <v>0</v>
      </c>
      <c r="L17" s="63"/>
    </row>
    <row r="18" spans="2:12" ht="21.95" customHeight="1">
      <c r="B18" s="57"/>
      <c r="C18" s="64" t="s">
        <v>329</v>
      </c>
      <c r="D18" s="65"/>
      <c r="E18" s="66"/>
      <c r="F18" s="67" t="s">
        <v>96</v>
      </c>
      <c r="G18" s="71"/>
      <c r="H18" s="71"/>
      <c r="I18" s="71"/>
      <c r="J18" s="69"/>
      <c r="K18" s="69">
        <f t="shared" si="0"/>
        <v>0</v>
      </c>
      <c r="L18" s="63"/>
    </row>
    <row r="19" spans="2:12" ht="21.95" customHeight="1">
      <c r="B19" s="57"/>
      <c r="C19" s="64" t="s">
        <v>330</v>
      </c>
      <c r="D19" s="65"/>
      <c r="E19" s="66"/>
      <c r="F19" s="67" t="s">
        <v>96</v>
      </c>
      <c r="G19" s="67"/>
      <c r="H19" s="67"/>
      <c r="I19" s="67"/>
      <c r="J19" s="68"/>
      <c r="K19" s="69">
        <f t="shared" si="0"/>
        <v>0</v>
      </c>
      <c r="L19" s="63"/>
    </row>
    <row r="20" spans="2:12" ht="21.95" customHeight="1">
      <c r="B20" s="57"/>
      <c r="C20" s="64" t="s">
        <v>331</v>
      </c>
      <c r="D20" s="65"/>
      <c r="E20" s="66"/>
      <c r="F20" s="67" t="s">
        <v>96</v>
      </c>
      <c r="G20" s="71"/>
      <c r="H20" s="71"/>
      <c r="I20" s="71"/>
      <c r="J20" s="69"/>
      <c r="K20" s="69">
        <f t="shared" si="0"/>
        <v>0</v>
      </c>
      <c r="L20" s="63"/>
    </row>
    <row r="21" spans="2:12" ht="21.95" customHeight="1">
      <c r="B21" s="57"/>
      <c r="C21" s="64" t="s">
        <v>332</v>
      </c>
      <c r="D21" s="65"/>
      <c r="E21" s="66"/>
      <c r="F21" s="67" t="s">
        <v>96</v>
      </c>
      <c r="G21" s="71"/>
      <c r="H21" s="71"/>
      <c r="I21" s="71"/>
      <c r="J21" s="69"/>
      <c r="K21" s="69">
        <f t="shared" si="0"/>
        <v>0</v>
      </c>
      <c r="L21" s="63"/>
    </row>
    <row r="22" spans="2:12" ht="21.95" customHeight="1">
      <c r="B22" s="57"/>
      <c r="C22" s="64" t="s">
        <v>333</v>
      </c>
      <c r="D22" s="65"/>
      <c r="E22" s="66"/>
      <c r="F22" s="67" t="s">
        <v>96</v>
      </c>
      <c r="G22" s="71"/>
      <c r="H22" s="71"/>
      <c r="I22" s="71"/>
      <c r="J22" s="69"/>
      <c r="K22" s="69">
        <f t="shared" si="0"/>
        <v>0</v>
      </c>
      <c r="L22" s="63"/>
    </row>
    <row r="23" spans="2:12" ht="21.95" customHeight="1">
      <c r="B23" s="57"/>
      <c r="C23" s="64" t="s">
        <v>334</v>
      </c>
      <c r="D23" s="65"/>
      <c r="E23" s="66"/>
      <c r="F23" s="67" t="s">
        <v>96</v>
      </c>
      <c r="G23" s="71"/>
      <c r="H23" s="71"/>
      <c r="I23" s="71"/>
      <c r="J23" s="69"/>
      <c r="K23" s="69">
        <f t="shared" si="0"/>
        <v>0</v>
      </c>
      <c r="L23" s="63"/>
    </row>
    <row r="24" spans="2:12" ht="21.95" customHeight="1">
      <c r="B24" s="57"/>
      <c r="C24" s="64" t="s">
        <v>335</v>
      </c>
      <c r="D24" s="65"/>
      <c r="E24" s="66"/>
      <c r="F24" s="67" t="s">
        <v>96</v>
      </c>
      <c r="G24" s="71"/>
      <c r="H24" s="71"/>
      <c r="I24" s="71"/>
      <c r="J24" s="69"/>
      <c r="K24" s="69">
        <f t="shared" si="0"/>
        <v>0</v>
      </c>
      <c r="L24" s="63"/>
    </row>
    <row r="25" spans="2:12" ht="21.95" customHeight="1">
      <c r="B25" s="57"/>
      <c r="C25" s="64" t="s">
        <v>336</v>
      </c>
      <c r="D25" s="65"/>
      <c r="E25" s="66"/>
      <c r="F25" s="67" t="s">
        <v>96</v>
      </c>
      <c r="G25" s="71"/>
      <c r="H25" s="71"/>
      <c r="I25" s="71"/>
      <c r="J25" s="69"/>
      <c r="K25" s="69">
        <f t="shared" si="0"/>
        <v>0</v>
      </c>
      <c r="L25" s="63"/>
    </row>
    <row r="26" spans="2:12" ht="21.95" customHeight="1">
      <c r="B26" s="57"/>
      <c r="C26" s="64" t="s">
        <v>337</v>
      </c>
      <c r="D26" s="65"/>
      <c r="E26" s="66"/>
      <c r="F26" s="67" t="s">
        <v>96</v>
      </c>
      <c r="G26" s="71"/>
      <c r="H26" s="71"/>
      <c r="I26" s="71"/>
      <c r="J26" s="69"/>
      <c r="K26" s="69">
        <f t="shared" si="0"/>
        <v>0</v>
      </c>
      <c r="L26" s="63"/>
    </row>
    <row r="27" spans="2:12" ht="21.95" customHeight="1">
      <c r="B27" s="57"/>
      <c r="C27" s="64" t="s">
        <v>338</v>
      </c>
      <c r="D27" s="65"/>
      <c r="E27" s="66"/>
      <c r="F27" s="67" t="s">
        <v>96</v>
      </c>
      <c r="G27" s="71"/>
      <c r="H27" s="71"/>
      <c r="I27" s="71"/>
      <c r="J27" s="69"/>
      <c r="K27" s="69">
        <f t="shared" si="0"/>
        <v>0</v>
      </c>
      <c r="L27" s="63"/>
    </row>
    <row r="28" spans="2:12" ht="21.95" customHeight="1">
      <c r="B28" s="57"/>
      <c r="C28" s="64" t="s">
        <v>339</v>
      </c>
      <c r="D28" s="65"/>
      <c r="E28" s="66"/>
      <c r="F28" s="67" t="s">
        <v>96</v>
      </c>
      <c r="G28" s="71"/>
      <c r="H28" s="71"/>
      <c r="I28" s="71"/>
      <c r="J28" s="69"/>
      <c r="K28" s="69">
        <f t="shared" si="0"/>
        <v>0</v>
      </c>
      <c r="L28" s="63"/>
    </row>
    <row r="29" spans="2:12" ht="21.95" customHeight="1">
      <c r="B29" s="57"/>
      <c r="C29" s="64" t="s">
        <v>340</v>
      </c>
      <c r="D29" s="65"/>
      <c r="E29" s="66"/>
      <c r="F29" s="67" t="s">
        <v>96</v>
      </c>
      <c r="G29" s="71"/>
      <c r="H29" s="71"/>
      <c r="I29" s="71"/>
      <c r="J29" s="69"/>
      <c r="K29" s="69">
        <f t="shared" si="0"/>
        <v>0</v>
      </c>
      <c r="L29" s="63"/>
    </row>
    <row r="30" spans="2:12" ht="21.95" customHeight="1">
      <c r="B30" s="57"/>
      <c r="C30" s="64" t="s">
        <v>341</v>
      </c>
      <c r="D30" s="65"/>
      <c r="E30" s="66"/>
      <c r="F30" s="67" t="s">
        <v>96</v>
      </c>
      <c r="G30" s="71"/>
      <c r="H30" s="71"/>
      <c r="I30" s="71"/>
      <c r="J30" s="69"/>
      <c r="K30" s="69">
        <f t="shared" si="0"/>
        <v>0</v>
      </c>
      <c r="L30" s="63"/>
    </row>
    <row r="31" spans="2:12" ht="21.95" customHeight="1">
      <c r="B31" s="57"/>
      <c r="C31" s="64" t="s">
        <v>342</v>
      </c>
      <c r="D31" s="65"/>
      <c r="E31" s="66"/>
      <c r="F31" s="67" t="s">
        <v>96</v>
      </c>
      <c r="G31" s="71"/>
      <c r="H31" s="71"/>
      <c r="I31" s="71"/>
      <c r="J31" s="69"/>
      <c r="K31" s="69">
        <f t="shared" si="0"/>
        <v>0</v>
      </c>
      <c r="L31" s="63"/>
    </row>
    <row r="32" spans="2:12" ht="21.95" customHeight="1">
      <c r="B32" s="57"/>
      <c r="C32" s="64" t="s">
        <v>343</v>
      </c>
      <c r="D32" s="65"/>
      <c r="E32" s="66"/>
      <c r="F32" s="67" t="s">
        <v>96</v>
      </c>
      <c r="G32" s="67"/>
      <c r="H32" s="67"/>
      <c r="I32" s="67"/>
      <c r="J32" s="68"/>
      <c r="K32" s="69">
        <f t="shared" si="0"/>
        <v>0</v>
      </c>
      <c r="L32" s="63"/>
    </row>
    <row r="33" spans="2:12" ht="6.95" customHeight="1" thickBot="1">
      <c r="B33" s="72"/>
      <c r="C33" s="73"/>
      <c r="D33" s="74"/>
      <c r="E33" s="75"/>
      <c r="F33" s="76"/>
      <c r="G33" s="76"/>
      <c r="H33" s="76"/>
      <c r="I33" s="76"/>
      <c r="J33" s="75"/>
      <c r="K33" s="77"/>
      <c r="L33" s="78"/>
    </row>
    <row r="34" spans="2:12" ht="30" customHeight="1">
      <c r="B34" s="103"/>
      <c r="C34" s="104"/>
      <c r="D34" s="105" t="s">
        <v>116</v>
      </c>
      <c r="E34" s="106"/>
      <c r="F34" s="107"/>
      <c r="G34" s="107"/>
      <c r="H34" s="107"/>
      <c r="I34" s="107"/>
      <c r="J34" s="108"/>
      <c r="K34" s="109">
        <f>SUM(K13:K33)</f>
        <v>0</v>
      </c>
      <c r="L34" s="110"/>
    </row>
    <row r="35" spans="2:12" ht="9.9499999999999993" customHeight="1" thickBot="1">
      <c r="B35" s="111"/>
      <c r="C35" s="112"/>
      <c r="D35" s="113"/>
      <c r="E35" s="114"/>
      <c r="F35" s="115"/>
      <c r="G35" s="116"/>
      <c r="H35" s="116"/>
      <c r="I35" s="116"/>
      <c r="J35" s="116"/>
      <c r="K35" s="117"/>
      <c r="L35" s="118"/>
    </row>
  </sheetData>
  <mergeCells count="8">
    <mergeCell ref="B2:L2"/>
    <mergeCell ref="C5:F7"/>
    <mergeCell ref="B10:C11"/>
    <mergeCell ref="D10:D11"/>
    <mergeCell ref="E10:E11"/>
    <mergeCell ref="F10:F11"/>
    <mergeCell ref="G10:J10"/>
    <mergeCell ref="K10:L11"/>
  </mergeCells>
  <dataValidations count="1">
    <dataValidation type="list" allowBlank="1" showInputMessage="1" showErrorMessage="1" sqref="F13:F32" xr:uid="{00000000-0002-0000-0E00-000000000000}">
      <formula1>"m,m²,m³,kg,L,un,vb"</formula1>
    </dataValidation>
  </dataValidations>
  <pageMargins left="0.51181102362204722" right="0.51181102362204722" top="0.59055118110236227" bottom="0.59055118110236227" header="0.31496062992125984" footer="0.31496062992125984"/>
  <pageSetup paperSize="9" scale="72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L35"/>
  <sheetViews>
    <sheetView zoomScale="80" zoomScaleNormal="80" workbookViewId="0" xr3:uid="{D624DF06-3800-545C-AC8D-BADC89115800}">
      <selection activeCell="G13" sqref="G13:J13"/>
    </sheetView>
  </sheetViews>
  <sheetFormatPr defaultColWidth="9.14453125" defaultRowHeight="15"/>
  <cols>
    <col min="1" max="1" width="2.28515625" style="2" customWidth="1"/>
    <col min="2" max="2" width="3.2265625" style="2" customWidth="1"/>
    <col min="3" max="3" width="10.76171875" style="2" customWidth="1"/>
    <col min="4" max="4" width="56.765625" style="2" customWidth="1"/>
    <col min="5" max="5" width="14.66015625" style="2" customWidth="1"/>
    <col min="6" max="6" width="12.64453125" style="2" customWidth="1"/>
    <col min="7" max="10" width="16.6796875" style="2" customWidth="1"/>
    <col min="11" max="11" width="18.6953125" style="2" customWidth="1"/>
    <col min="12" max="12" width="2.6875" style="2" customWidth="1"/>
    <col min="13" max="16384" width="9.14453125" style="2"/>
  </cols>
  <sheetData>
    <row r="1" spans="2:12" ht="15.75" thickBot="1"/>
    <row r="2" spans="2:12" ht="50.1" customHeight="1" thickBot="1">
      <c r="B2" s="188" t="s">
        <v>589</v>
      </c>
      <c r="C2" s="189"/>
      <c r="D2" s="189"/>
      <c r="E2" s="189"/>
      <c r="F2" s="189"/>
      <c r="G2" s="189"/>
      <c r="H2" s="189"/>
      <c r="I2" s="189"/>
      <c r="J2" s="189"/>
      <c r="K2" s="189"/>
      <c r="L2" s="190"/>
    </row>
    <row r="3" spans="2:12">
      <c r="B3" s="35"/>
      <c r="C3" s="36" t="s">
        <v>22</v>
      </c>
      <c r="D3" s="37"/>
      <c r="E3" s="38"/>
      <c r="F3" s="39"/>
      <c r="G3" s="39"/>
      <c r="H3" s="39"/>
      <c r="I3" s="39"/>
      <c r="J3" s="40"/>
      <c r="K3" s="41"/>
      <c r="L3" s="42"/>
    </row>
    <row r="4" spans="2:12" ht="6.95" customHeight="1">
      <c r="B4" s="35"/>
      <c r="C4" s="36"/>
      <c r="D4" s="37"/>
      <c r="E4" s="38"/>
      <c r="F4" s="39"/>
      <c r="G4" s="39"/>
      <c r="H4" s="39"/>
      <c r="I4" s="39"/>
      <c r="J4" s="40"/>
      <c r="K4" s="41"/>
      <c r="L4" s="42"/>
    </row>
    <row r="5" spans="2:12" ht="21.95" customHeight="1">
      <c r="B5" s="35"/>
      <c r="C5" s="191" t="s">
        <v>590</v>
      </c>
      <c r="D5" s="191"/>
      <c r="E5" s="191"/>
      <c r="F5" s="192"/>
      <c r="G5" s="39" t="s">
        <v>80</v>
      </c>
      <c r="H5" s="39" t="s">
        <v>81</v>
      </c>
      <c r="I5" s="39" t="s">
        <v>82</v>
      </c>
      <c r="J5" s="43" t="s">
        <v>83</v>
      </c>
      <c r="K5" s="43" t="s">
        <v>84</v>
      </c>
      <c r="L5" s="42"/>
    </row>
    <row r="6" spans="2:12" ht="21.95" customHeight="1">
      <c r="B6" s="44"/>
      <c r="C6" s="191"/>
      <c r="D6" s="191"/>
      <c r="E6" s="191"/>
      <c r="F6" s="192"/>
      <c r="G6" s="45">
        <f>SUMPRODUCT(E13:E33,G13:G33)</f>
        <v>0</v>
      </c>
      <c r="H6" s="45">
        <f>SUMPRODUCT(E13:E33,H13:H33)</f>
        <v>0</v>
      </c>
      <c r="I6" s="45">
        <f>SUMPRODUCT(E13:E33,I13:I33)</f>
        <v>0</v>
      </c>
      <c r="J6" s="46">
        <f>SUMPRODUCT(E13:E33,J13:J33)</f>
        <v>0</v>
      </c>
      <c r="K6" s="46">
        <f>K34</f>
        <v>0</v>
      </c>
      <c r="L6" s="42"/>
    </row>
    <row r="7" spans="2:12" ht="21.95" customHeight="1">
      <c r="B7" s="44"/>
      <c r="C7" s="191"/>
      <c r="D7" s="191"/>
      <c r="E7" s="191"/>
      <c r="F7" s="192"/>
      <c r="G7" s="47">
        <f>IF(K34&lt;&gt;0,G6/K34,0)</f>
        <v>0</v>
      </c>
      <c r="H7" s="47">
        <f>IF(K34&lt;&gt;0,H6/K34,0)</f>
        <v>0</v>
      </c>
      <c r="I7" s="47">
        <f>IF(K34&lt;&gt;0,I6/K34,0)</f>
        <v>0</v>
      </c>
      <c r="J7" s="48">
        <f>IF(K34&lt;&gt;0,J6/K34,0)</f>
        <v>0</v>
      </c>
      <c r="K7" s="48">
        <f>IF(K34&lt;&gt;0,K6/ORC_Custo!G33,0)</f>
        <v>0</v>
      </c>
      <c r="L7" s="42"/>
    </row>
    <row r="8" spans="2:12" ht="6.95" customHeight="1">
      <c r="B8" s="35"/>
      <c r="C8" s="49"/>
      <c r="D8" s="50"/>
      <c r="E8" s="51"/>
      <c r="F8" s="52"/>
      <c r="G8" s="52"/>
      <c r="H8" s="52"/>
      <c r="I8" s="52"/>
      <c r="J8" s="53"/>
      <c r="K8" s="54"/>
      <c r="L8" s="42"/>
    </row>
    <row r="9" spans="2:12" ht="6.95" customHeight="1" thickBot="1">
      <c r="B9" s="35"/>
      <c r="C9" s="55"/>
      <c r="D9" s="56"/>
      <c r="E9" s="51"/>
      <c r="F9" s="52"/>
      <c r="G9" s="52"/>
      <c r="H9" s="52"/>
      <c r="I9" s="52"/>
      <c r="J9" s="53"/>
      <c r="K9" s="54"/>
      <c r="L9" s="42"/>
    </row>
    <row r="10" spans="2:12" ht="30" customHeight="1" thickBot="1">
      <c r="B10" s="193" t="s">
        <v>85</v>
      </c>
      <c r="C10" s="194"/>
      <c r="D10" s="197" t="s">
        <v>86</v>
      </c>
      <c r="E10" s="199" t="s">
        <v>87</v>
      </c>
      <c r="F10" s="201" t="s">
        <v>88</v>
      </c>
      <c r="G10" s="203" t="s">
        <v>89</v>
      </c>
      <c r="H10" s="204"/>
      <c r="I10" s="204"/>
      <c r="J10" s="205"/>
      <c r="K10" s="206" t="s">
        <v>90</v>
      </c>
      <c r="L10" s="207"/>
    </row>
    <row r="11" spans="2:12" ht="30" customHeight="1" thickBot="1">
      <c r="B11" s="195"/>
      <c r="C11" s="196"/>
      <c r="D11" s="198"/>
      <c r="E11" s="200"/>
      <c r="F11" s="202"/>
      <c r="G11" s="101" t="s">
        <v>91</v>
      </c>
      <c r="H11" s="101" t="s">
        <v>92</v>
      </c>
      <c r="I11" s="101" t="s">
        <v>93</v>
      </c>
      <c r="J11" s="102" t="s">
        <v>94</v>
      </c>
      <c r="K11" s="208"/>
      <c r="L11" s="209"/>
    </row>
    <row r="12" spans="2:12" ht="6.95" customHeight="1">
      <c r="B12" s="57"/>
      <c r="C12" s="58"/>
      <c r="D12" s="59"/>
      <c r="E12" s="60"/>
      <c r="F12" s="61"/>
      <c r="G12" s="61"/>
      <c r="H12" s="61"/>
      <c r="I12" s="61"/>
      <c r="J12" s="60"/>
      <c r="K12" s="62"/>
      <c r="L12" s="63"/>
    </row>
    <row r="13" spans="2:12" ht="21.95" customHeight="1">
      <c r="B13" s="57"/>
      <c r="C13" s="64" t="s">
        <v>344</v>
      </c>
      <c r="D13" s="65"/>
      <c r="E13" s="66"/>
      <c r="F13" s="67" t="s">
        <v>96</v>
      </c>
      <c r="G13" s="67"/>
      <c r="H13" s="67"/>
      <c r="I13" s="67"/>
      <c r="J13" s="68"/>
      <c r="K13" s="69">
        <f>(G13+H13+I13+J13)*E13</f>
        <v>0</v>
      </c>
      <c r="L13" s="63"/>
    </row>
    <row r="14" spans="2:12" ht="21.95" customHeight="1">
      <c r="B14" s="57"/>
      <c r="C14" s="64" t="s">
        <v>345</v>
      </c>
      <c r="D14" s="65"/>
      <c r="E14" s="66"/>
      <c r="F14" s="67" t="s">
        <v>96</v>
      </c>
      <c r="G14" s="67"/>
      <c r="H14" s="67"/>
      <c r="I14" s="67"/>
      <c r="J14" s="70"/>
      <c r="K14" s="69">
        <f t="shared" ref="K14:K32" si="0">(G14+H14+I14+J14)*E14</f>
        <v>0</v>
      </c>
      <c r="L14" s="63"/>
    </row>
    <row r="15" spans="2:12" ht="21.95" customHeight="1">
      <c r="B15" s="57"/>
      <c r="C15" s="64" t="s">
        <v>346</v>
      </c>
      <c r="D15" s="65"/>
      <c r="E15" s="66"/>
      <c r="F15" s="67" t="s">
        <v>96</v>
      </c>
      <c r="G15" s="67"/>
      <c r="H15" s="67"/>
      <c r="I15" s="67"/>
      <c r="J15" s="68"/>
      <c r="K15" s="69">
        <f t="shared" si="0"/>
        <v>0</v>
      </c>
      <c r="L15" s="63"/>
    </row>
    <row r="16" spans="2:12" ht="21.95" customHeight="1">
      <c r="B16" s="57"/>
      <c r="C16" s="64" t="s">
        <v>347</v>
      </c>
      <c r="D16" s="65"/>
      <c r="E16" s="66"/>
      <c r="F16" s="67" t="s">
        <v>96</v>
      </c>
      <c r="G16" s="71"/>
      <c r="H16" s="71"/>
      <c r="I16" s="71"/>
      <c r="J16" s="69"/>
      <c r="K16" s="69">
        <f t="shared" si="0"/>
        <v>0</v>
      </c>
      <c r="L16" s="63"/>
    </row>
    <row r="17" spans="2:12" ht="21.95" customHeight="1">
      <c r="B17" s="57"/>
      <c r="C17" s="64" t="s">
        <v>348</v>
      </c>
      <c r="D17" s="65"/>
      <c r="E17" s="66"/>
      <c r="F17" s="67" t="s">
        <v>96</v>
      </c>
      <c r="G17" s="67"/>
      <c r="H17" s="67"/>
      <c r="I17" s="67"/>
      <c r="J17" s="68"/>
      <c r="K17" s="69">
        <f t="shared" si="0"/>
        <v>0</v>
      </c>
      <c r="L17" s="63"/>
    </row>
    <row r="18" spans="2:12" ht="21.95" customHeight="1">
      <c r="B18" s="57"/>
      <c r="C18" s="64" t="s">
        <v>349</v>
      </c>
      <c r="D18" s="65"/>
      <c r="E18" s="66"/>
      <c r="F18" s="67" t="s">
        <v>96</v>
      </c>
      <c r="G18" s="71"/>
      <c r="H18" s="71"/>
      <c r="I18" s="71"/>
      <c r="J18" s="69"/>
      <c r="K18" s="69">
        <f t="shared" si="0"/>
        <v>0</v>
      </c>
      <c r="L18" s="63"/>
    </row>
    <row r="19" spans="2:12" ht="21.95" customHeight="1">
      <c r="B19" s="57"/>
      <c r="C19" s="64" t="s">
        <v>350</v>
      </c>
      <c r="D19" s="65"/>
      <c r="E19" s="66"/>
      <c r="F19" s="67" t="s">
        <v>96</v>
      </c>
      <c r="G19" s="67"/>
      <c r="H19" s="67"/>
      <c r="I19" s="67"/>
      <c r="J19" s="68"/>
      <c r="K19" s="69">
        <f t="shared" si="0"/>
        <v>0</v>
      </c>
      <c r="L19" s="63"/>
    </row>
    <row r="20" spans="2:12" ht="21.95" customHeight="1">
      <c r="B20" s="57"/>
      <c r="C20" s="64" t="s">
        <v>351</v>
      </c>
      <c r="D20" s="65"/>
      <c r="E20" s="66"/>
      <c r="F20" s="67" t="s">
        <v>96</v>
      </c>
      <c r="G20" s="71"/>
      <c r="H20" s="71"/>
      <c r="I20" s="71"/>
      <c r="J20" s="69"/>
      <c r="K20" s="69">
        <f t="shared" si="0"/>
        <v>0</v>
      </c>
      <c r="L20" s="63"/>
    </row>
    <row r="21" spans="2:12" ht="21.95" customHeight="1">
      <c r="B21" s="57"/>
      <c r="C21" s="64" t="s">
        <v>352</v>
      </c>
      <c r="D21" s="65"/>
      <c r="E21" s="66"/>
      <c r="F21" s="67" t="s">
        <v>96</v>
      </c>
      <c r="G21" s="71"/>
      <c r="H21" s="71"/>
      <c r="I21" s="71"/>
      <c r="J21" s="69"/>
      <c r="K21" s="69">
        <f t="shared" si="0"/>
        <v>0</v>
      </c>
      <c r="L21" s="63"/>
    </row>
    <row r="22" spans="2:12" ht="21.95" customHeight="1">
      <c r="B22" s="57"/>
      <c r="C22" s="64" t="s">
        <v>353</v>
      </c>
      <c r="D22" s="65"/>
      <c r="E22" s="66"/>
      <c r="F22" s="67" t="s">
        <v>96</v>
      </c>
      <c r="G22" s="71"/>
      <c r="H22" s="71"/>
      <c r="I22" s="71"/>
      <c r="J22" s="69"/>
      <c r="K22" s="69">
        <f t="shared" si="0"/>
        <v>0</v>
      </c>
      <c r="L22" s="63"/>
    </row>
    <row r="23" spans="2:12" ht="21.95" customHeight="1">
      <c r="B23" s="57"/>
      <c r="C23" s="64" t="s">
        <v>354</v>
      </c>
      <c r="D23" s="65"/>
      <c r="E23" s="66"/>
      <c r="F23" s="67" t="s">
        <v>96</v>
      </c>
      <c r="G23" s="71"/>
      <c r="H23" s="71"/>
      <c r="I23" s="71"/>
      <c r="J23" s="69"/>
      <c r="K23" s="69">
        <f t="shared" si="0"/>
        <v>0</v>
      </c>
      <c r="L23" s="63"/>
    </row>
    <row r="24" spans="2:12" ht="21.95" customHeight="1">
      <c r="B24" s="57"/>
      <c r="C24" s="64" t="s">
        <v>355</v>
      </c>
      <c r="D24" s="65"/>
      <c r="E24" s="66"/>
      <c r="F24" s="67" t="s">
        <v>96</v>
      </c>
      <c r="G24" s="71"/>
      <c r="H24" s="71"/>
      <c r="I24" s="71"/>
      <c r="J24" s="69"/>
      <c r="K24" s="69">
        <f t="shared" si="0"/>
        <v>0</v>
      </c>
      <c r="L24" s="63"/>
    </row>
    <row r="25" spans="2:12" ht="21.95" customHeight="1">
      <c r="B25" s="57"/>
      <c r="C25" s="64" t="s">
        <v>356</v>
      </c>
      <c r="D25" s="65"/>
      <c r="E25" s="66"/>
      <c r="F25" s="67" t="s">
        <v>96</v>
      </c>
      <c r="G25" s="71"/>
      <c r="H25" s="71"/>
      <c r="I25" s="71"/>
      <c r="J25" s="69"/>
      <c r="K25" s="69">
        <f t="shared" si="0"/>
        <v>0</v>
      </c>
      <c r="L25" s="63"/>
    </row>
    <row r="26" spans="2:12" ht="21.95" customHeight="1">
      <c r="B26" s="57"/>
      <c r="C26" s="64" t="s">
        <v>357</v>
      </c>
      <c r="D26" s="65"/>
      <c r="E26" s="66"/>
      <c r="F26" s="67" t="s">
        <v>96</v>
      </c>
      <c r="G26" s="71"/>
      <c r="H26" s="71"/>
      <c r="I26" s="71"/>
      <c r="J26" s="69"/>
      <c r="K26" s="69">
        <f t="shared" si="0"/>
        <v>0</v>
      </c>
      <c r="L26" s="63"/>
    </row>
    <row r="27" spans="2:12" ht="21.95" customHeight="1">
      <c r="B27" s="57"/>
      <c r="C27" s="64" t="s">
        <v>358</v>
      </c>
      <c r="D27" s="65"/>
      <c r="E27" s="66"/>
      <c r="F27" s="67" t="s">
        <v>96</v>
      </c>
      <c r="G27" s="71"/>
      <c r="H27" s="71"/>
      <c r="I27" s="71"/>
      <c r="J27" s="69"/>
      <c r="K27" s="69">
        <f t="shared" si="0"/>
        <v>0</v>
      </c>
      <c r="L27" s="63"/>
    </row>
    <row r="28" spans="2:12" ht="21.95" customHeight="1">
      <c r="B28" s="57"/>
      <c r="C28" s="64" t="s">
        <v>359</v>
      </c>
      <c r="D28" s="65"/>
      <c r="E28" s="66"/>
      <c r="F28" s="67" t="s">
        <v>96</v>
      </c>
      <c r="G28" s="71"/>
      <c r="H28" s="71"/>
      <c r="I28" s="71"/>
      <c r="J28" s="69"/>
      <c r="K28" s="69">
        <f t="shared" si="0"/>
        <v>0</v>
      </c>
      <c r="L28" s="63"/>
    </row>
    <row r="29" spans="2:12" ht="21.95" customHeight="1">
      <c r="B29" s="57"/>
      <c r="C29" s="64" t="s">
        <v>360</v>
      </c>
      <c r="D29" s="65"/>
      <c r="E29" s="66"/>
      <c r="F29" s="67" t="s">
        <v>96</v>
      </c>
      <c r="G29" s="71"/>
      <c r="H29" s="71"/>
      <c r="I29" s="71"/>
      <c r="J29" s="69"/>
      <c r="K29" s="69">
        <f t="shared" si="0"/>
        <v>0</v>
      </c>
      <c r="L29" s="63"/>
    </row>
    <row r="30" spans="2:12" ht="21.95" customHeight="1">
      <c r="B30" s="57"/>
      <c r="C30" s="64" t="s">
        <v>361</v>
      </c>
      <c r="D30" s="65"/>
      <c r="E30" s="66"/>
      <c r="F30" s="67" t="s">
        <v>96</v>
      </c>
      <c r="G30" s="71"/>
      <c r="H30" s="71"/>
      <c r="I30" s="71"/>
      <c r="J30" s="69"/>
      <c r="K30" s="69">
        <f t="shared" si="0"/>
        <v>0</v>
      </c>
      <c r="L30" s="63"/>
    </row>
    <row r="31" spans="2:12" ht="21.95" customHeight="1">
      <c r="B31" s="57"/>
      <c r="C31" s="64" t="s">
        <v>362</v>
      </c>
      <c r="D31" s="65"/>
      <c r="E31" s="66"/>
      <c r="F31" s="67" t="s">
        <v>96</v>
      </c>
      <c r="G31" s="71"/>
      <c r="H31" s="71"/>
      <c r="I31" s="71"/>
      <c r="J31" s="69"/>
      <c r="K31" s="69">
        <f t="shared" si="0"/>
        <v>0</v>
      </c>
      <c r="L31" s="63"/>
    </row>
    <row r="32" spans="2:12" ht="21.95" customHeight="1">
      <c r="B32" s="57"/>
      <c r="C32" s="64" t="s">
        <v>363</v>
      </c>
      <c r="D32" s="65"/>
      <c r="E32" s="66"/>
      <c r="F32" s="67" t="s">
        <v>96</v>
      </c>
      <c r="G32" s="67"/>
      <c r="H32" s="67"/>
      <c r="I32" s="67"/>
      <c r="J32" s="68"/>
      <c r="K32" s="69">
        <f t="shared" si="0"/>
        <v>0</v>
      </c>
      <c r="L32" s="63"/>
    </row>
    <row r="33" spans="2:12" ht="6.95" customHeight="1" thickBot="1">
      <c r="B33" s="72"/>
      <c r="C33" s="73"/>
      <c r="D33" s="74"/>
      <c r="E33" s="75"/>
      <c r="F33" s="76"/>
      <c r="G33" s="76"/>
      <c r="H33" s="76"/>
      <c r="I33" s="76"/>
      <c r="J33" s="75"/>
      <c r="K33" s="77"/>
      <c r="L33" s="78"/>
    </row>
    <row r="34" spans="2:12" ht="30" customHeight="1">
      <c r="B34" s="103"/>
      <c r="C34" s="104"/>
      <c r="D34" s="105" t="s">
        <v>116</v>
      </c>
      <c r="E34" s="106"/>
      <c r="F34" s="107"/>
      <c r="G34" s="107"/>
      <c r="H34" s="107"/>
      <c r="I34" s="107"/>
      <c r="J34" s="108"/>
      <c r="K34" s="109">
        <f>SUM(K13:K33)</f>
        <v>0</v>
      </c>
      <c r="L34" s="110"/>
    </row>
    <row r="35" spans="2:12" ht="9.9499999999999993" customHeight="1" thickBot="1">
      <c r="B35" s="111"/>
      <c r="C35" s="112"/>
      <c r="D35" s="113"/>
      <c r="E35" s="114"/>
      <c r="F35" s="115"/>
      <c r="G35" s="116"/>
      <c r="H35" s="116"/>
      <c r="I35" s="116"/>
      <c r="J35" s="116"/>
      <c r="K35" s="117"/>
      <c r="L35" s="118"/>
    </row>
  </sheetData>
  <mergeCells count="8">
    <mergeCell ref="B2:L2"/>
    <mergeCell ref="C5:F7"/>
    <mergeCell ref="B10:C11"/>
    <mergeCell ref="D10:D11"/>
    <mergeCell ref="E10:E11"/>
    <mergeCell ref="F10:F11"/>
    <mergeCell ref="G10:J10"/>
    <mergeCell ref="K10:L11"/>
  </mergeCells>
  <dataValidations count="1">
    <dataValidation type="list" allowBlank="1" showInputMessage="1" showErrorMessage="1" sqref="F13:F32" xr:uid="{00000000-0002-0000-0F00-000000000000}">
      <formula1>"m,m²,m³,kg,L,un,vb"</formula1>
    </dataValidation>
  </dataValidations>
  <pageMargins left="0.51181102362204722" right="0.51181102362204722" top="0.59055118110236227" bottom="0.59055118110236227" header="0.31496062992125984" footer="0.31496062992125984"/>
  <pageSetup paperSize="9" scale="72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L35"/>
  <sheetViews>
    <sheetView zoomScale="80" zoomScaleNormal="80" workbookViewId="0" xr3:uid="{11A3ACCB-1F19-5AC9-A611-4158731A345D}">
      <selection activeCell="G13" sqref="G13:J13"/>
    </sheetView>
  </sheetViews>
  <sheetFormatPr defaultColWidth="9.14453125" defaultRowHeight="15"/>
  <cols>
    <col min="1" max="1" width="2.28515625" style="2" customWidth="1"/>
    <col min="2" max="2" width="3.2265625" style="2" customWidth="1"/>
    <col min="3" max="3" width="10.76171875" style="2" customWidth="1"/>
    <col min="4" max="4" width="56.765625" style="2" customWidth="1"/>
    <col min="5" max="5" width="14.66015625" style="2" customWidth="1"/>
    <col min="6" max="6" width="12.64453125" style="2" customWidth="1"/>
    <col min="7" max="10" width="16.6796875" style="2" customWidth="1"/>
    <col min="11" max="11" width="18.6953125" style="2" customWidth="1"/>
    <col min="12" max="12" width="2.6875" style="2" customWidth="1"/>
    <col min="13" max="16384" width="9.14453125" style="2"/>
  </cols>
  <sheetData>
    <row r="1" spans="2:12" ht="15.75" thickBot="1"/>
    <row r="2" spans="2:12" ht="50.1" customHeight="1" thickBot="1">
      <c r="B2" s="210" t="s">
        <v>592</v>
      </c>
      <c r="C2" s="189"/>
      <c r="D2" s="189"/>
      <c r="E2" s="189"/>
      <c r="F2" s="189"/>
      <c r="G2" s="189"/>
      <c r="H2" s="189"/>
      <c r="I2" s="189"/>
      <c r="J2" s="189"/>
      <c r="K2" s="189"/>
      <c r="L2" s="190"/>
    </row>
    <row r="3" spans="2:12">
      <c r="B3" s="35"/>
      <c r="C3" s="36" t="s">
        <v>22</v>
      </c>
      <c r="D3" s="37"/>
      <c r="E3" s="38"/>
      <c r="F3" s="39"/>
      <c r="G3" s="39"/>
      <c r="H3" s="39"/>
      <c r="I3" s="39"/>
      <c r="J3" s="40"/>
      <c r="K3" s="41"/>
      <c r="L3" s="42"/>
    </row>
    <row r="4" spans="2:12" ht="6.95" customHeight="1">
      <c r="B4" s="35"/>
      <c r="C4" s="36"/>
      <c r="D4" s="37"/>
      <c r="E4" s="38"/>
      <c r="F4" s="39"/>
      <c r="G4" s="39"/>
      <c r="H4" s="39"/>
      <c r="I4" s="39"/>
      <c r="J4" s="40"/>
      <c r="K4" s="41"/>
      <c r="L4" s="42"/>
    </row>
    <row r="5" spans="2:12" ht="21.95" customHeight="1">
      <c r="B5" s="35"/>
      <c r="C5" s="191" t="s">
        <v>593</v>
      </c>
      <c r="D5" s="191"/>
      <c r="E5" s="191"/>
      <c r="F5" s="192"/>
      <c r="G5" s="39" t="s">
        <v>80</v>
      </c>
      <c r="H5" s="39" t="s">
        <v>81</v>
      </c>
      <c r="I5" s="39" t="s">
        <v>82</v>
      </c>
      <c r="J5" s="43" t="s">
        <v>83</v>
      </c>
      <c r="K5" s="43" t="s">
        <v>84</v>
      </c>
      <c r="L5" s="42"/>
    </row>
    <row r="6" spans="2:12" ht="21.95" customHeight="1">
      <c r="B6" s="44"/>
      <c r="C6" s="191"/>
      <c r="D6" s="191"/>
      <c r="E6" s="191"/>
      <c r="F6" s="192"/>
      <c r="G6" s="45">
        <f>SUMPRODUCT(E13:E33,G13:G33)</f>
        <v>0</v>
      </c>
      <c r="H6" s="45">
        <f>SUMPRODUCT(E13:E33,H13:H33)</f>
        <v>0</v>
      </c>
      <c r="I6" s="45">
        <f>SUMPRODUCT(E13:E33,I13:I33)</f>
        <v>0</v>
      </c>
      <c r="J6" s="46">
        <f>SUMPRODUCT(E13:E33,J13:J33)</f>
        <v>0</v>
      </c>
      <c r="K6" s="46">
        <f>K34</f>
        <v>0</v>
      </c>
      <c r="L6" s="42"/>
    </row>
    <row r="7" spans="2:12" ht="21.95" customHeight="1">
      <c r="B7" s="44"/>
      <c r="C7" s="191"/>
      <c r="D7" s="191"/>
      <c r="E7" s="191"/>
      <c r="F7" s="192"/>
      <c r="G7" s="47">
        <f>IF(K34&lt;&gt;0,G6/K34,0)</f>
        <v>0</v>
      </c>
      <c r="H7" s="47">
        <f>IF(K34&lt;&gt;0,H6/K34,0)</f>
        <v>0</v>
      </c>
      <c r="I7" s="47">
        <f>IF(K34&lt;&gt;0,I6/K34,0)</f>
        <v>0</v>
      </c>
      <c r="J7" s="48">
        <f>IF(K34&lt;&gt;0,J6/K34,0)</f>
        <v>0</v>
      </c>
      <c r="K7" s="48">
        <f>IF(K34&lt;&gt;0,K6/ORC_Custo!G33,0)</f>
        <v>0</v>
      </c>
      <c r="L7" s="42"/>
    </row>
    <row r="8" spans="2:12" ht="6.95" customHeight="1">
      <c r="B8" s="35"/>
      <c r="C8" s="49"/>
      <c r="D8" s="50"/>
      <c r="E8" s="51"/>
      <c r="F8" s="52"/>
      <c r="G8" s="52"/>
      <c r="H8" s="52"/>
      <c r="I8" s="52"/>
      <c r="J8" s="53"/>
      <c r="K8" s="54"/>
      <c r="L8" s="42"/>
    </row>
    <row r="9" spans="2:12" ht="6.95" customHeight="1" thickBot="1">
      <c r="B9" s="35"/>
      <c r="C9" s="55"/>
      <c r="D9" s="56"/>
      <c r="E9" s="51"/>
      <c r="F9" s="52"/>
      <c r="G9" s="52"/>
      <c r="H9" s="52"/>
      <c r="I9" s="52"/>
      <c r="J9" s="53"/>
      <c r="K9" s="54"/>
      <c r="L9" s="42"/>
    </row>
    <row r="10" spans="2:12" ht="30" customHeight="1" thickBot="1">
      <c r="B10" s="193" t="s">
        <v>85</v>
      </c>
      <c r="C10" s="194"/>
      <c r="D10" s="197" t="s">
        <v>86</v>
      </c>
      <c r="E10" s="199" t="s">
        <v>87</v>
      </c>
      <c r="F10" s="201" t="s">
        <v>88</v>
      </c>
      <c r="G10" s="203" t="s">
        <v>89</v>
      </c>
      <c r="H10" s="204"/>
      <c r="I10" s="204"/>
      <c r="J10" s="205"/>
      <c r="K10" s="206" t="s">
        <v>90</v>
      </c>
      <c r="L10" s="207"/>
    </row>
    <row r="11" spans="2:12" ht="30" customHeight="1" thickBot="1">
      <c r="B11" s="195"/>
      <c r="C11" s="196"/>
      <c r="D11" s="198"/>
      <c r="E11" s="200"/>
      <c r="F11" s="202"/>
      <c r="G11" s="101" t="s">
        <v>91</v>
      </c>
      <c r="H11" s="101" t="s">
        <v>92</v>
      </c>
      <c r="I11" s="101" t="s">
        <v>93</v>
      </c>
      <c r="J11" s="102" t="s">
        <v>94</v>
      </c>
      <c r="K11" s="208"/>
      <c r="L11" s="209"/>
    </row>
    <row r="12" spans="2:12" ht="6.95" customHeight="1">
      <c r="B12" s="57"/>
      <c r="C12" s="58"/>
      <c r="D12" s="59"/>
      <c r="E12" s="60"/>
      <c r="F12" s="61"/>
      <c r="G12" s="61"/>
      <c r="H12" s="61"/>
      <c r="I12" s="61"/>
      <c r="J12" s="60"/>
      <c r="K12" s="62"/>
      <c r="L12" s="63"/>
    </row>
    <row r="13" spans="2:12" ht="21.95" customHeight="1">
      <c r="B13" s="57"/>
      <c r="C13" s="64" t="s">
        <v>364</v>
      </c>
      <c r="D13" s="65"/>
      <c r="E13" s="66"/>
      <c r="F13" s="67" t="s">
        <v>96</v>
      </c>
      <c r="G13" s="67"/>
      <c r="H13" s="67"/>
      <c r="I13" s="67"/>
      <c r="J13" s="68"/>
      <c r="K13" s="69">
        <f>(G13+H13+I13+J13)*E13</f>
        <v>0</v>
      </c>
      <c r="L13" s="63"/>
    </row>
    <row r="14" spans="2:12" ht="21.95" customHeight="1">
      <c r="B14" s="57"/>
      <c r="C14" s="64" t="s">
        <v>365</v>
      </c>
      <c r="D14" s="65"/>
      <c r="E14" s="66"/>
      <c r="F14" s="67" t="s">
        <v>96</v>
      </c>
      <c r="G14" s="67"/>
      <c r="H14" s="67"/>
      <c r="I14" s="67"/>
      <c r="J14" s="70"/>
      <c r="K14" s="69">
        <f t="shared" ref="K14:K32" si="0">(G14+H14+I14+J14)*E14</f>
        <v>0</v>
      </c>
      <c r="L14" s="63"/>
    </row>
    <row r="15" spans="2:12" ht="21.95" customHeight="1">
      <c r="B15" s="57"/>
      <c r="C15" s="64" t="s">
        <v>366</v>
      </c>
      <c r="D15" s="65"/>
      <c r="E15" s="66"/>
      <c r="F15" s="67" t="s">
        <v>96</v>
      </c>
      <c r="G15" s="67"/>
      <c r="H15" s="67"/>
      <c r="I15" s="67"/>
      <c r="J15" s="68"/>
      <c r="K15" s="69">
        <f t="shared" si="0"/>
        <v>0</v>
      </c>
      <c r="L15" s="63"/>
    </row>
    <row r="16" spans="2:12" ht="21.95" customHeight="1">
      <c r="B16" s="57"/>
      <c r="C16" s="64" t="s">
        <v>367</v>
      </c>
      <c r="D16" s="65"/>
      <c r="E16" s="66"/>
      <c r="F16" s="67" t="s">
        <v>96</v>
      </c>
      <c r="G16" s="71"/>
      <c r="H16" s="71"/>
      <c r="I16" s="71"/>
      <c r="J16" s="69"/>
      <c r="K16" s="69">
        <f t="shared" si="0"/>
        <v>0</v>
      </c>
      <c r="L16" s="63"/>
    </row>
    <row r="17" spans="2:12" ht="21.95" customHeight="1">
      <c r="B17" s="57"/>
      <c r="C17" s="64" t="s">
        <v>368</v>
      </c>
      <c r="D17" s="65"/>
      <c r="E17" s="66"/>
      <c r="F17" s="67" t="s">
        <v>96</v>
      </c>
      <c r="G17" s="67"/>
      <c r="H17" s="67"/>
      <c r="I17" s="67"/>
      <c r="J17" s="68"/>
      <c r="K17" s="69">
        <f t="shared" si="0"/>
        <v>0</v>
      </c>
      <c r="L17" s="63"/>
    </row>
    <row r="18" spans="2:12" ht="21.95" customHeight="1">
      <c r="B18" s="57"/>
      <c r="C18" s="64" t="s">
        <v>369</v>
      </c>
      <c r="D18" s="65"/>
      <c r="E18" s="66"/>
      <c r="F18" s="67" t="s">
        <v>96</v>
      </c>
      <c r="G18" s="71"/>
      <c r="H18" s="71"/>
      <c r="I18" s="71"/>
      <c r="J18" s="69"/>
      <c r="K18" s="69">
        <f t="shared" si="0"/>
        <v>0</v>
      </c>
      <c r="L18" s="63"/>
    </row>
    <row r="19" spans="2:12" ht="21.95" customHeight="1">
      <c r="B19" s="57"/>
      <c r="C19" s="64" t="s">
        <v>370</v>
      </c>
      <c r="D19" s="65"/>
      <c r="E19" s="66"/>
      <c r="F19" s="67" t="s">
        <v>96</v>
      </c>
      <c r="G19" s="67"/>
      <c r="H19" s="67"/>
      <c r="I19" s="67"/>
      <c r="J19" s="68"/>
      <c r="K19" s="69">
        <f t="shared" si="0"/>
        <v>0</v>
      </c>
      <c r="L19" s="63"/>
    </row>
    <row r="20" spans="2:12" ht="21.95" customHeight="1">
      <c r="B20" s="57"/>
      <c r="C20" s="64" t="s">
        <v>371</v>
      </c>
      <c r="D20" s="65"/>
      <c r="E20" s="66"/>
      <c r="F20" s="67" t="s">
        <v>96</v>
      </c>
      <c r="G20" s="71"/>
      <c r="H20" s="71"/>
      <c r="I20" s="71"/>
      <c r="J20" s="69"/>
      <c r="K20" s="69">
        <f t="shared" si="0"/>
        <v>0</v>
      </c>
      <c r="L20" s="63"/>
    </row>
    <row r="21" spans="2:12" ht="21.95" customHeight="1">
      <c r="B21" s="57"/>
      <c r="C21" s="64" t="s">
        <v>372</v>
      </c>
      <c r="D21" s="65"/>
      <c r="E21" s="66"/>
      <c r="F21" s="67" t="s">
        <v>96</v>
      </c>
      <c r="G21" s="71"/>
      <c r="H21" s="71"/>
      <c r="I21" s="71"/>
      <c r="J21" s="69"/>
      <c r="K21" s="69">
        <f t="shared" si="0"/>
        <v>0</v>
      </c>
      <c r="L21" s="63"/>
    </row>
    <row r="22" spans="2:12" ht="21.95" customHeight="1">
      <c r="B22" s="57"/>
      <c r="C22" s="64" t="s">
        <v>373</v>
      </c>
      <c r="D22" s="65"/>
      <c r="E22" s="66"/>
      <c r="F22" s="67" t="s">
        <v>96</v>
      </c>
      <c r="G22" s="71"/>
      <c r="H22" s="71"/>
      <c r="I22" s="71"/>
      <c r="J22" s="69"/>
      <c r="K22" s="69">
        <f t="shared" si="0"/>
        <v>0</v>
      </c>
      <c r="L22" s="63"/>
    </row>
    <row r="23" spans="2:12" ht="21.95" customHeight="1">
      <c r="B23" s="57"/>
      <c r="C23" s="64" t="s">
        <v>374</v>
      </c>
      <c r="D23" s="65"/>
      <c r="E23" s="66"/>
      <c r="F23" s="67" t="s">
        <v>96</v>
      </c>
      <c r="G23" s="71"/>
      <c r="H23" s="71"/>
      <c r="I23" s="71"/>
      <c r="J23" s="69"/>
      <c r="K23" s="69">
        <f t="shared" si="0"/>
        <v>0</v>
      </c>
      <c r="L23" s="63"/>
    </row>
    <row r="24" spans="2:12" ht="21.95" customHeight="1">
      <c r="B24" s="57"/>
      <c r="C24" s="64" t="s">
        <v>375</v>
      </c>
      <c r="D24" s="65"/>
      <c r="E24" s="66"/>
      <c r="F24" s="67" t="s">
        <v>96</v>
      </c>
      <c r="G24" s="71"/>
      <c r="H24" s="71"/>
      <c r="I24" s="71"/>
      <c r="J24" s="69"/>
      <c r="K24" s="69">
        <f t="shared" si="0"/>
        <v>0</v>
      </c>
      <c r="L24" s="63"/>
    </row>
    <row r="25" spans="2:12" ht="21.95" customHeight="1">
      <c r="B25" s="57"/>
      <c r="C25" s="64" t="s">
        <v>376</v>
      </c>
      <c r="D25" s="65"/>
      <c r="E25" s="66"/>
      <c r="F25" s="67" t="s">
        <v>96</v>
      </c>
      <c r="G25" s="71"/>
      <c r="H25" s="71"/>
      <c r="I25" s="71"/>
      <c r="J25" s="69"/>
      <c r="K25" s="69">
        <f t="shared" si="0"/>
        <v>0</v>
      </c>
      <c r="L25" s="63"/>
    </row>
    <row r="26" spans="2:12" ht="21.95" customHeight="1">
      <c r="B26" s="57"/>
      <c r="C26" s="64" t="s">
        <v>377</v>
      </c>
      <c r="D26" s="65"/>
      <c r="E26" s="66"/>
      <c r="F26" s="67" t="s">
        <v>96</v>
      </c>
      <c r="G26" s="71"/>
      <c r="H26" s="71"/>
      <c r="I26" s="71"/>
      <c r="J26" s="69"/>
      <c r="K26" s="69">
        <f t="shared" si="0"/>
        <v>0</v>
      </c>
      <c r="L26" s="63"/>
    </row>
    <row r="27" spans="2:12" ht="21.95" customHeight="1">
      <c r="B27" s="57"/>
      <c r="C27" s="64" t="s">
        <v>378</v>
      </c>
      <c r="D27" s="65"/>
      <c r="E27" s="66"/>
      <c r="F27" s="67" t="s">
        <v>96</v>
      </c>
      <c r="G27" s="71"/>
      <c r="H27" s="71"/>
      <c r="I27" s="71"/>
      <c r="J27" s="69"/>
      <c r="K27" s="69">
        <f t="shared" si="0"/>
        <v>0</v>
      </c>
      <c r="L27" s="63"/>
    </row>
    <row r="28" spans="2:12" ht="21.95" customHeight="1">
      <c r="B28" s="57"/>
      <c r="C28" s="64" t="s">
        <v>379</v>
      </c>
      <c r="D28" s="65"/>
      <c r="E28" s="66"/>
      <c r="F28" s="67" t="s">
        <v>96</v>
      </c>
      <c r="G28" s="71"/>
      <c r="H28" s="71"/>
      <c r="I28" s="71"/>
      <c r="J28" s="69"/>
      <c r="K28" s="69">
        <f t="shared" si="0"/>
        <v>0</v>
      </c>
      <c r="L28" s="63"/>
    </row>
    <row r="29" spans="2:12" ht="21.95" customHeight="1">
      <c r="B29" s="57"/>
      <c r="C29" s="64" t="s">
        <v>380</v>
      </c>
      <c r="D29" s="65"/>
      <c r="E29" s="66"/>
      <c r="F29" s="67" t="s">
        <v>96</v>
      </c>
      <c r="G29" s="71"/>
      <c r="H29" s="71"/>
      <c r="I29" s="71"/>
      <c r="J29" s="69"/>
      <c r="K29" s="69">
        <f t="shared" si="0"/>
        <v>0</v>
      </c>
      <c r="L29" s="63"/>
    </row>
    <row r="30" spans="2:12" ht="21.95" customHeight="1">
      <c r="B30" s="57"/>
      <c r="C30" s="64" t="s">
        <v>381</v>
      </c>
      <c r="D30" s="65"/>
      <c r="E30" s="66"/>
      <c r="F30" s="67" t="s">
        <v>96</v>
      </c>
      <c r="G30" s="71"/>
      <c r="H30" s="71"/>
      <c r="I30" s="71"/>
      <c r="J30" s="69"/>
      <c r="K30" s="69">
        <f t="shared" si="0"/>
        <v>0</v>
      </c>
      <c r="L30" s="63"/>
    </row>
    <row r="31" spans="2:12" ht="21.95" customHeight="1">
      <c r="B31" s="57"/>
      <c r="C31" s="64" t="s">
        <v>382</v>
      </c>
      <c r="D31" s="65"/>
      <c r="E31" s="66"/>
      <c r="F31" s="67" t="s">
        <v>96</v>
      </c>
      <c r="G31" s="71"/>
      <c r="H31" s="71"/>
      <c r="I31" s="71"/>
      <c r="J31" s="69"/>
      <c r="K31" s="69">
        <f t="shared" si="0"/>
        <v>0</v>
      </c>
      <c r="L31" s="63"/>
    </row>
    <row r="32" spans="2:12" ht="21.95" customHeight="1">
      <c r="B32" s="57"/>
      <c r="C32" s="64" t="s">
        <v>383</v>
      </c>
      <c r="D32" s="65"/>
      <c r="E32" s="66"/>
      <c r="F32" s="67" t="s">
        <v>96</v>
      </c>
      <c r="G32" s="67"/>
      <c r="H32" s="67"/>
      <c r="I32" s="67"/>
      <c r="J32" s="68"/>
      <c r="K32" s="69">
        <f t="shared" si="0"/>
        <v>0</v>
      </c>
      <c r="L32" s="63"/>
    </row>
    <row r="33" spans="2:12" ht="6.95" customHeight="1" thickBot="1">
      <c r="B33" s="72"/>
      <c r="C33" s="73"/>
      <c r="D33" s="74"/>
      <c r="E33" s="75"/>
      <c r="F33" s="76"/>
      <c r="G33" s="76"/>
      <c r="H33" s="76"/>
      <c r="I33" s="76"/>
      <c r="J33" s="75"/>
      <c r="K33" s="77"/>
      <c r="L33" s="78"/>
    </row>
    <row r="34" spans="2:12" ht="30" customHeight="1">
      <c r="B34" s="103"/>
      <c r="C34" s="104"/>
      <c r="D34" s="105" t="s">
        <v>116</v>
      </c>
      <c r="E34" s="106"/>
      <c r="F34" s="107"/>
      <c r="G34" s="107"/>
      <c r="H34" s="107"/>
      <c r="I34" s="107"/>
      <c r="J34" s="108"/>
      <c r="K34" s="109">
        <f>SUM(K13:K33)</f>
        <v>0</v>
      </c>
      <c r="L34" s="110"/>
    </row>
    <row r="35" spans="2:12" ht="9.9499999999999993" customHeight="1" thickBot="1">
      <c r="B35" s="111"/>
      <c r="C35" s="112"/>
      <c r="D35" s="113"/>
      <c r="E35" s="114"/>
      <c r="F35" s="115"/>
      <c r="G35" s="116"/>
      <c r="H35" s="116"/>
      <c r="I35" s="116"/>
      <c r="J35" s="116"/>
      <c r="K35" s="117"/>
      <c r="L35" s="118"/>
    </row>
  </sheetData>
  <mergeCells count="8">
    <mergeCell ref="B2:L2"/>
    <mergeCell ref="C5:F7"/>
    <mergeCell ref="B10:C11"/>
    <mergeCell ref="D10:D11"/>
    <mergeCell ref="E10:E11"/>
    <mergeCell ref="F10:F11"/>
    <mergeCell ref="G10:J10"/>
    <mergeCell ref="K10:L11"/>
  </mergeCells>
  <dataValidations count="1">
    <dataValidation type="list" allowBlank="1" showInputMessage="1" showErrorMessage="1" sqref="F13:F32" xr:uid="{00000000-0002-0000-1000-000000000000}">
      <formula1>"m,m²,m³,kg,L,un,vb"</formula1>
    </dataValidation>
  </dataValidations>
  <pageMargins left="0.51181102362204722" right="0.51181102362204722" top="0.59055118110236227" bottom="0.59055118110236227" header="0.31496062992125984" footer="0.31496062992125984"/>
  <pageSetup paperSize="9" scale="72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L35"/>
  <sheetViews>
    <sheetView zoomScale="80" zoomScaleNormal="80" workbookViewId="0" xr3:uid="{F1CDC194-CB96-5A2D-8E84-222F42300CFA}">
      <selection activeCell="G13" sqref="G13:J13"/>
    </sheetView>
  </sheetViews>
  <sheetFormatPr defaultColWidth="9.14453125" defaultRowHeight="15"/>
  <cols>
    <col min="1" max="1" width="2.28515625" style="2" customWidth="1"/>
    <col min="2" max="2" width="3.2265625" style="2" customWidth="1"/>
    <col min="3" max="3" width="10.76171875" style="2" customWidth="1"/>
    <col min="4" max="4" width="56.765625" style="2" customWidth="1"/>
    <col min="5" max="5" width="14.66015625" style="2" customWidth="1"/>
    <col min="6" max="6" width="12.64453125" style="2" customWidth="1"/>
    <col min="7" max="10" width="16.6796875" style="2" customWidth="1"/>
    <col min="11" max="11" width="18.6953125" style="2" customWidth="1"/>
    <col min="12" max="12" width="2.6875" style="2" customWidth="1"/>
    <col min="13" max="16384" width="9.14453125" style="2"/>
  </cols>
  <sheetData>
    <row r="1" spans="2:12" ht="15.75" thickBot="1"/>
    <row r="2" spans="2:12" ht="50.1" customHeight="1" thickBot="1">
      <c r="B2" s="188" t="s">
        <v>594</v>
      </c>
      <c r="C2" s="189"/>
      <c r="D2" s="189"/>
      <c r="E2" s="189"/>
      <c r="F2" s="189"/>
      <c r="G2" s="189"/>
      <c r="H2" s="189"/>
      <c r="I2" s="189"/>
      <c r="J2" s="189"/>
      <c r="K2" s="189"/>
      <c r="L2" s="190"/>
    </row>
    <row r="3" spans="2:12">
      <c r="B3" s="35"/>
      <c r="C3" s="36" t="s">
        <v>22</v>
      </c>
      <c r="D3" s="37"/>
      <c r="E3" s="38"/>
      <c r="F3" s="39"/>
      <c r="G3" s="39"/>
      <c r="H3" s="39"/>
      <c r="I3" s="39"/>
      <c r="J3" s="40"/>
      <c r="K3" s="41"/>
      <c r="L3" s="42"/>
    </row>
    <row r="4" spans="2:12" ht="6.95" customHeight="1">
      <c r="B4" s="35"/>
      <c r="C4" s="36"/>
      <c r="D4" s="37"/>
      <c r="E4" s="38"/>
      <c r="F4" s="39"/>
      <c r="G4" s="39"/>
      <c r="H4" s="39"/>
      <c r="I4" s="39"/>
      <c r="J4" s="40"/>
      <c r="K4" s="41"/>
      <c r="L4" s="42"/>
    </row>
    <row r="5" spans="2:12" ht="21.95" customHeight="1">
      <c r="B5" s="35"/>
      <c r="C5" s="191" t="s">
        <v>595</v>
      </c>
      <c r="D5" s="191"/>
      <c r="E5" s="191"/>
      <c r="F5" s="192"/>
      <c r="G5" s="39" t="s">
        <v>80</v>
      </c>
      <c r="H5" s="39" t="s">
        <v>81</v>
      </c>
      <c r="I5" s="39" t="s">
        <v>82</v>
      </c>
      <c r="J5" s="43" t="s">
        <v>83</v>
      </c>
      <c r="K5" s="43" t="s">
        <v>84</v>
      </c>
      <c r="L5" s="42"/>
    </row>
    <row r="6" spans="2:12" ht="21.95" customHeight="1">
      <c r="B6" s="44"/>
      <c r="C6" s="191"/>
      <c r="D6" s="191"/>
      <c r="E6" s="191"/>
      <c r="F6" s="192"/>
      <c r="G6" s="45">
        <f>SUMPRODUCT(E13:E33,G13:G33)</f>
        <v>0</v>
      </c>
      <c r="H6" s="45">
        <f>SUMPRODUCT(E13:E33,H13:H33)</f>
        <v>0</v>
      </c>
      <c r="I6" s="45">
        <f>SUMPRODUCT(E13:E33,I13:I33)</f>
        <v>0</v>
      </c>
      <c r="J6" s="46">
        <f>SUMPRODUCT(E13:E33,J13:J33)</f>
        <v>0</v>
      </c>
      <c r="K6" s="46">
        <f>K34</f>
        <v>0</v>
      </c>
      <c r="L6" s="42"/>
    </row>
    <row r="7" spans="2:12" ht="21.95" customHeight="1">
      <c r="B7" s="44"/>
      <c r="C7" s="191"/>
      <c r="D7" s="191"/>
      <c r="E7" s="191"/>
      <c r="F7" s="192"/>
      <c r="G7" s="47">
        <f>IF(K34&lt;&gt;0,G6/K34,0)</f>
        <v>0</v>
      </c>
      <c r="H7" s="47">
        <f>IF(K34&lt;&gt;0,H6/K34,0)</f>
        <v>0</v>
      </c>
      <c r="I7" s="47">
        <f>IF(K34&lt;&gt;0,I6/K34,0)</f>
        <v>0</v>
      </c>
      <c r="J7" s="48">
        <f>IF(K34&lt;&gt;0,J6/K34,0)</f>
        <v>0</v>
      </c>
      <c r="K7" s="48">
        <f>IF(K34&lt;&gt;0,K6/ORC_Custo!G33,0)</f>
        <v>0</v>
      </c>
      <c r="L7" s="42"/>
    </row>
    <row r="8" spans="2:12" ht="6.95" customHeight="1">
      <c r="B8" s="35"/>
      <c r="C8" s="49"/>
      <c r="D8" s="50"/>
      <c r="E8" s="51"/>
      <c r="F8" s="52"/>
      <c r="G8" s="52"/>
      <c r="H8" s="52"/>
      <c r="I8" s="52"/>
      <c r="J8" s="53"/>
      <c r="K8" s="54"/>
      <c r="L8" s="42"/>
    </row>
    <row r="9" spans="2:12" ht="6.95" customHeight="1" thickBot="1">
      <c r="B9" s="35"/>
      <c r="C9" s="55"/>
      <c r="D9" s="56"/>
      <c r="E9" s="51"/>
      <c r="F9" s="52"/>
      <c r="G9" s="52"/>
      <c r="H9" s="52"/>
      <c r="I9" s="52"/>
      <c r="J9" s="53"/>
      <c r="K9" s="54"/>
      <c r="L9" s="42"/>
    </row>
    <row r="10" spans="2:12" ht="30" customHeight="1" thickBot="1">
      <c r="B10" s="193" t="s">
        <v>85</v>
      </c>
      <c r="C10" s="194"/>
      <c r="D10" s="197" t="s">
        <v>86</v>
      </c>
      <c r="E10" s="199" t="s">
        <v>87</v>
      </c>
      <c r="F10" s="201" t="s">
        <v>88</v>
      </c>
      <c r="G10" s="203" t="s">
        <v>89</v>
      </c>
      <c r="H10" s="204"/>
      <c r="I10" s="204"/>
      <c r="J10" s="205"/>
      <c r="K10" s="206" t="s">
        <v>90</v>
      </c>
      <c r="L10" s="207"/>
    </row>
    <row r="11" spans="2:12" ht="30" customHeight="1" thickBot="1">
      <c r="B11" s="195"/>
      <c r="C11" s="196"/>
      <c r="D11" s="198"/>
      <c r="E11" s="200"/>
      <c r="F11" s="202"/>
      <c r="G11" s="101" t="s">
        <v>91</v>
      </c>
      <c r="H11" s="101" t="s">
        <v>92</v>
      </c>
      <c r="I11" s="101" t="s">
        <v>93</v>
      </c>
      <c r="J11" s="102" t="s">
        <v>94</v>
      </c>
      <c r="K11" s="208"/>
      <c r="L11" s="209"/>
    </row>
    <row r="12" spans="2:12" ht="6.95" customHeight="1">
      <c r="B12" s="57"/>
      <c r="C12" s="58"/>
      <c r="D12" s="59"/>
      <c r="E12" s="60"/>
      <c r="F12" s="61"/>
      <c r="G12" s="61"/>
      <c r="H12" s="61"/>
      <c r="I12" s="61"/>
      <c r="J12" s="60"/>
      <c r="K12" s="62"/>
      <c r="L12" s="63"/>
    </row>
    <row r="13" spans="2:12" ht="21.95" customHeight="1">
      <c r="B13" s="57"/>
      <c r="C13" s="64" t="s">
        <v>384</v>
      </c>
      <c r="D13" s="65"/>
      <c r="E13" s="66"/>
      <c r="F13" s="67" t="s">
        <v>96</v>
      </c>
      <c r="G13" s="67"/>
      <c r="H13" s="67"/>
      <c r="I13" s="67"/>
      <c r="J13" s="68"/>
      <c r="K13" s="69">
        <f>(G13+H13+I13+J13)*E13</f>
        <v>0</v>
      </c>
      <c r="L13" s="63"/>
    </row>
    <row r="14" spans="2:12" ht="21.95" customHeight="1">
      <c r="B14" s="57"/>
      <c r="C14" s="64" t="s">
        <v>385</v>
      </c>
      <c r="D14" s="65"/>
      <c r="E14" s="66"/>
      <c r="F14" s="67" t="s">
        <v>96</v>
      </c>
      <c r="G14" s="67"/>
      <c r="H14" s="67"/>
      <c r="I14" s="67"/>
      <c r="J14" s="70"/>
      <c r="K14" s="69">
        <f t="shared" ref="K14:K32" si="0">(G14+H14+I14+J14)*E14</f>
        <v>0</v>
      </c>
      <c r="L14" s="63"/>
    </row>
    <row r="15" spans="2:12" ht="21.95" customHeight="1">
      <c r="B15" s="57"/>
      <c r="C15" s="64" t="s">
        <v>386</v>
      </c>
      <c r="D15" s="65"/>
      <c r="E15" s="66"/>
      <c r="F15" s="67" t="s">
        <v>96</v>
      </c>
      <c r="G15" s="67"/>
      <c r="H15" s="67"/>
      <c r="I15" s="67"/>
      <c r="J15" s="68"/>
      <c r="K15" s="69">
        <f t="shared" si="0"/>
        <v>0</v>
      </c>
      <c r="L15" s="63"/>
    </row>
    <row r="16" spans="2:12" ht="21.95" customHeight="1">
      <c r="B16" s="57"/>
      <c r="C16" s="64" t="s">
        <v>387</v>
      </c>
      <c r="D16" s="65"/>
      <c r="E16" s="66"/>
      <c r="F16" s="67" t="s">
        <v>96</v>
      </c>
      <c r="G16" s="71"/>
      <c r="H16" s="71"/>
      <c r="I16" s="71"/>
      <c r="J16" s="69"/>
      <c r="K16" s="69">
        <f t="shared" si="0"/>
        <v>0</v>
      </c>
      <c r="L16" s="63"/>
    </row>
    <row r="17" spans="2:12" ht="21.95" customHeight="1">
      <c r="B17" s="57"/>
      <c r="C17" s="64" t="s">
        <v>388</v>
      </c>
      <c r="D17" s="65"/>
      <c r="E17" s="66"/>
      <c r="F17" s="67" t="s">
        <v>96</v>
      </c>
      <c r="G17" s="67"/>
      <c r="H17" s="67"/>
      <c r="I17" s="67"/>
      <c r="J17" s="68"/>
      <c r="K17" s="69">
        <f t="shared" si="0"/>
        <v>0</v>
      </c>
      <c r="L17" s="63"/>
    </row>
    <row r="18" spans="2:12" ht="21.95" customHeight="1">
      <c r="B18" s="57"/>
      <c r="C18" s="64" t="s">
        <v>389</v>
      </c>
      <c r="D18" s="65"/>
      <c r="E18" s="66"/>
      <c r="F18" s="67" t="s">
        <v>96</v>
      </c>
      <c r="G18" s="71"/>
      <c r="H18" s="71"/>
      <c r="I18" s="71"/>
      <c r="J18" s="69"/>
      <c r="K18" s="69">
        <f t="shared" si="0"/>
        <v>0</v>
      </c>
      <c r="L18" s="63"/>
    </row>
    <row r="19" spans="2:12" ht="21.95" customHeight="1">
      <c r="B19" s="57"/>
      <c r="C19" s="64" t="s">
        <v>390</v>
      </c>
      <c r="D19" s="65"/>
      <c r="E19" s="66"/>
      <c r="F19" s="67" t="s">
        <v>96</v>
      </c>
      <c r="G19" s="67"/>
      <c r="H19" s="67"/>
      <c r="I19" s="67"/>
      <c r="J19" s="68"/>
      <c r="K19" s="69">
        <f t="shared" si="0"/>
        <v>0</v>
      </c>
      <c r="L19" s="63"/>
    </row>
    <row r="20" spans="2:12" ht="21.95" customHeight="1">
      <c r="B20" s="57"/>
      <c r="C20" s="64" t="s">
        <v>391</v>
      </c>
      <c r="D20" s="65"/>
      <c r="E20" s="66"/>
      <c r="F20" s="67" t="s">
        <v>96</v>
      </c>
      <c r="G20" s="71"/>
      <c r="H20" s="71"/>
      <c r="I20" s="71"/>
      <c r="J20" s="69"/>
      <c r="K20" s="69">
        <f t="shared" si="0"/>
        <v>0</v>
      </c>
      <c r="L20" s="63"/>
    </row>
    <row r="21" spans="2:12" ht="21.95" customHeight="1">
      <c r="B21" s="57"/>
      <c r="C21" s="64" t="s">
        <v>392</v>
      </c>
      <c r="D21" s="65"/>
      <c r="E21" s="66"/>
      <c r="F21" s="67" t="s">
        <v>96</v>
      </c>
      <c r="G21" s="71"/>
      <c r="H21" s="71"/>
      <c r="I21" s="71"/>
      <c r="J21" s="69"/>
      <c r="K21" s="69">
        <f t="shared" si="0"/>
        <v>0</v>
      </c>
      <c r="L21" s="63"/>
    </row>
    <row r="22" spans="2:12" ht="21.95" customHeight="1">
      <c r="B22" s="57"/>
      <c r="C22" s="64" t="s">
        <v>393</v>
      </c>
      <c r="D22" s="65"/>
      <c r="E22" s="66"/>
      <c r="F22" s="67" t="s">
        <v>96</v>
      </c>
      <c r="G22" s="71"/>
      <c r="H22" s="71"/>
      <c r="I22" s="71"/>
      <c r="J22" s="69"/>
      <c r="K22" s="69">
        <f t="shared" si="0"/>
        <v>0</v>
      </c>
      <c r="L22" s="63"/>
    </row>
    <row r="23" spans="2:12" ht="21.95" customHeight="1">
      <c r="B23" s="57"/>
      <c r="C23" s="64" t="s">
        <v>394</v>
      </c>
      <c r="D23" s="65"/>
      <c r="E23" s="66"/>
      <c r="F23" s="67" t="s">
        <v>96</v>
      </c>
      <c r="G23" s="71"/>
      <c r="H23" s="71"/>
      <c r="I23" s="71"/>
      <c r="J23" s="69"/>
      <c r="K23" s="69">
        <f t="shared" si="0"/>
        <v>0</v>
      </c>
      <c r="L23" s="63"/>
    </row>
    <row r="24" spans="2:12" ht="21.95" customHeight="1">
      <c r="B24" s="57"/>
      <c r="C24" s="64" t="s">
        <v>395</v>
      </c>
      <c r="D24" s="65"/>
      <c r="E24" s="66"/>
      <c r="F24" s="67" t="s">
        <v>96</v>
      </c>
      <c r="G24" s="71"/>
      <c r="H24" s="71"/>
      <c r="I24" s="71"/>
      <c r="J24" s="69"/>
      <c r="K24" s="69">
        <f t="shared" si="0"/>
        <v>0</v>
      </c>
      <c r="L24" s="63"/>
    </row>
    <row r="25" spans="2:12" ht="21.95" customHeight="1">
      <c r="B25" s="57"/>
      <c r="C25" s="64" t="s">
        <v>396</v>
      </c>
      <c r="D25" s="65"/>
      <c r="E25" s="66"/>
      <c r="F25" s="67" t="s">
        <v>96</v>
      </c>
      <c r="G25" s="71"/>
      <c r="H25" s="71"/>
      <c r="I25" s="71"/>
      <c r="J25" s="69"/>
      <c r="K25" s="69">
        <f t="shared" si="0"/>
        <v>0</v>
      </c>
      <c r="L25" s="63"/>
    </row>
    <row r="26" spans="2:12" ht="21.95" customHeight="1">
      <c r="B26" s="57"/>
      <c r="C26" s="64" t="s">
        <v>397</v>
      </c>
      <c r="D26" s="65"/>
      <c r="E26" s="66"/>
      <c r="F26" s="67" t="s">
        <v>96</v>
      </c>
      <c r="G26" s="71"/>
      <c r="H26" s="71"/>
      <c r="I26" s="71"/>
      <c r="J26" s="69"/>
      <c r="K26" s="69">
        <f t="shared" si="0"/>
        <v>0</v>
      </c>
      <c r="L26" s="63"/>
    </row>
    <row r="27" spans="2:12" ht="21.95" customHeight="1">
      <c r="B27" s="57"/>
      <c r="C27" s="64" t="s">
        <v>398</v>
      </c>
      <c r="D27" s="65"/>
      <c r="E27" s="66"/>
      <c r="F27" s="67" t="s">
        <v>96</v>
      </c>
      <c r="G27" s="71"/>
      <c r="H27" s="71"/>
      <c r="I27" s="71"/>
      <c r="J27" s="69"/>
      <c r="K27" s="69">
        <f t="shared" si="0"/>
        <v>0</v>
      </c>
      <c r="L27" s="63"/>
    </row>
    <row r="28" spans="2:12" ht="21.95" customHeight="1">
      <c r="B28" s="57"/>
      <c r="C28" s="64" t="s">
        <v>399</v>
      </c>
      <c r="D28" s="65"/>
      <c r="E28" s="66"/>
      <c r="F28" s="67" t="s">
        <v>96</v>
      </c>
      <c r="G28" s="71"/>
      <c r="H28" s="71"/>
      <c r="I28" s="71"/>
      <c r="J28" s="69"/>
      <c r="K28" s="69">
        <f t="shared" si="0"/>
        <v>0</v>
      </c>
      <c r="L28" s="63"/>
    </row>
    <row r="29" spans="2:12" ht="21.95" customHeight="1">
      <c r="B29" s="57"/>
      <c r="C29" s="64" t="s">
        <v>400</v>
      </c>
      <c r="D29" s="65"/>
      <c r="E29" s="66"/>
      <c r="F29" s="67" t="s">
        <v>96</v>
      </c>
      <c r="G29" s="71"/>
      <c r="H29" s="71"/>
      <c r="I29" s="71"/>
      <c r="J29" s="69"/>
      <c r="K29" s="69">
        <f t="shared" si="0"/>
        <v>0</v>
      </c>
      <c r="L29" s="63"/>
    </row>
    <row r="30" spans="2:12" ht="21.95" customHeight="1">
      <c r="B30" s="57"/>
      <c r="C30" s="64" t="s">
        <v>401</v>
      </c>
      <c r="D30" s="65"/>
      <c r="E30" s="66"/>
      <c r="F30" s="67" t="s">
        <v>96</v>
      </c>
      <c r="G30" s="71"/>
      <c r="H30" s="71"/>
      <c r="I30" s="71"/>
      <c r="J30" s="69"/>
      <c r="K30" s="69">
        <f t="shared" si="0"/>
        <v>0</v>
      </c>
      <c r="L30" s="63"/>
    </row>
    <row r="31" spans="2:12" ht="21.95" customHeight="1">
      <c r="B31" s="57"/>
      <c r="C31" s="64" t="s">
        <v>402</v>
      </c>
      <c r="D31" s="65"/>
      <c r="E31" s="66"/>
      <c r="F31" s="67" t="s">
        <v>96</v>
      </c>
      <c r="G31" s="71"/>
      <c r="H31" s="71"/>
      <c r="I31" s="71"/>
      <c r="J31" s="69"/>
      <c r="K31" s="69">
        <f t="shared" si="0"/>
        <v>0</v>
      </c>
      <c r="L31" s="63"/>
    </row>
    <row r="32" spans="2:12" ht="21.95" customHeight="1">
      <c r="B32" s="57"/>
      <c r="C32" s="64" t="s">
        <v>403</v>
      </c>
      <c r="D32" s="65"/>
      <c r="E32" s="66"/>
      <c r="F32" s="67" t="s">
        <v>96</v>
      </c>
      <c r="G32" s="67"/>
      <c r="H32" s="67"/>
      <c r="I32" s="67"/>
      <c r="J32" s="68"/>
      <c r="K32" s="69">
        <f t="shared" si="0"/>
        <v>0</v>
      </c>
      <c r="L32" s="63"/>
    </row>
    <row r="33" spans="2:12" ht="6.95" customHeight="1" thickBot="1">
      <c r="B33" s="72"/>
      <c r="C33" s="73"/>
      <c r="D33" s="74"/>
      <c r="E33" s="75"/>
      <c r="F33" s="76"/>
      <c r="G33" s="76"/>
      <c r="H33" s="76"/>
      <c r="I33" s="76"/>
      <c r="J33" s="75"/>
      <c r="K33" s="77"/>
      <c r="L33" s="78"/>
    </row>
    <row r="34" spans="2:12" ht="30" customHeight="1">
      <c r="B34" s="103"/>
      <c r="C34" s="104"/>
      <c r="D34" s="105" t="s">
        <v>116</v>
      </c>
      <c r="E34" s="106"/>
      <c r="F34" s="107"/>
      <c r="G34" s="107"/>
      <c r="H34" s="107"/>
      <c r="I34" s="107"/>
      <c r="J34" s="108"/>
      <c r="K34" s="109">
        <f>SUM(K13:K33)</f>
        <v>0</v>
      </c>
      <c r="L34" s="110"/>
    </row>
    <row r="35" spans="2:12" ht="9.9499999999999993" customHeight="1" thickBot="1">
      <c r="B35" s="111"/>
      <c r="C35" s="112"/>
      <c r="D35" s="113"/>
      <c r="E35" s="114"/>
      <c r="F35" s="115"/>
      <c r="G35" s="116"/>
      <c r="H35" s="116"/>
      <c r="I35" s="116"/>
      <c r="J35" s="116"/>
      <c r="K35" s="117"/>
      <c r="L35" s="118"/>
    </row>
  </sheetData>
  <mergeCells count="8">
    <mergeCell ref="B2:L2"/>
    <mergeCell ref="C5:F7"/>
    <mergeCell ref="B10:C11"/>
    <mergeCell ref="D10:D11"/>
    <mergeCell ref="E10:E11"/>
    <mergeCell ref="F10:F11"/>
    <mergeCell ref="G10:J10"/>
    <mergeCell ref="K10:L11"/>
  </mergeCells>
  <dataValidations count="1">
    <dataValidation type="list" allowBlank="1" showInputMessage="1" showErrorMessage="1" sqref="F13:F32" xr:uid="{00000000-0002-0000-1100-000000000000}">
      <formula1>"m,m²,m³,kg,L,un,vb"</formula1>
    </dataValidation>
  </dataValidations>
  <pageMargins left="0.51181102362204722" right="0.51181102362204722" top="0.59055118110236227" bottom="0.59055118110236227" header="0.31496062992125984" footer="0.31496062992125984"/>
  <pageSetup paperSize="9" scale="72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1:L35"/>
  <sheetViews>
    <sheetView zoomScale="80" zoomScaleNormal="80" workbookViewId="0" xr3:uid="{CF366857-BBDD-5199-9BC9-FF52903B0715}">
      <selection activeCell="G13" sqref="G13:J13"/>
    </sheetView>
  </sheetViews>
  <sheetFormatPr defaultColWidth="9.14453125" defaultRowHeight="15"/>
  <cols>
    <col min="1" max="1" width="2.28515625" style="2" customWidth="1"/>
    <col min="2" max="2" width="3.2265625" style="2" customWidth="1"/>
    <col min="3" max="3" width="10.76171875" style="2" customWidth="1"/>
    <col min="4" max="4" width="56.765625" style="2" customWidth="1"/>
    <col min="5" max="5" width="14.66015625" style="2" customWidth="1"/>
    <col min="6" max="6" width="12.64453125" style="2" customWidth="1"/>
    <col min="7" max="10" width="16.6796875" style="2" customWidth="1"/>
    <col min="11" max="11" width="18.6953125" style="2" customWidth="1"/>
    <col min="12" max="12" width="2.6875" style="2" customWidth="1"/>
    <col min="13" max="16384" width="9.14453125" style="2"/>
  </cols>
  <sheetData>
    <row r="1" spans="2:12" ht="15.75" thickBot="1"/>
    <row r="2" spans="2:12" ht="50.1" customHeight="1" thickBot="1">
      <c r="B2" s="188" t="s">
        <v>596</v>
      </c>
      <c r="C2" s="189"/>
      <c r="D2" s="189"/>
      <c r="E2" s="189"/>
      <c r="F2" s="189"/>
      <c r="G2" s="189"/>
      <c r="H2" s="189"/>
      <c r="I2" s="189"/>
      <c r="J2" s="189"/>
      <c r="K2" s="189"/>
      <c r="L2" s="190"/>
    </row>
    <row r="3" spans="2:12">
      <c r="B3" s="35"/>
      <c r="C3" s="36" t="s">
        <v>22</v>
      </c>
      <c r="D3" s="37"/>
      <c r="E3" s="38"/>
      <c r="F3" s="39"/>
      <c r="G3" s="39"/>
      <c r="H3" s="39"/>
      <c r="I3" s="39"/>
      <c r="J3" s="40"/>
      <c r="K3" s="41"/>
      <c r="L3" s="42"/>
    </row>
    <row r="4" spans="2:12" ht="6.95" customHeight="1">
      <c r="B4" s="35"/>
      <c r="C4" s="36"/>
      <c r="D4" s="37"/>
      <c r="E4" s="38"/>
      <c r="F4" s="39"/>
      <c r="G4" s="39"/>
      <c r="H4" s="39"/>
      <c r="I4" s="39"/>
      <c r="J4" s="40"/>
      <c r="K4" s="41"/>
      <c r="L4" s="42"/>
    </row>
    <row r="5" spans="2:12" ht="21.95" customHeight="1">
      <c r="B5" s="35"/>
      <c r="C5" s="191" t="s">
        <v>597</v>
      </c>
      <c r="D5" s="191"/>
      <c r="E5" s="191"/>
      <c r="F5" s="192"/>
      <c r="G5" s="39" t="s">
        <v>80</v>
      </c>
      <c r="H5" s="39" t="s">
        <v>81</v>
      </c>
      <c r="I5" s="39" t="s">
        <v>82</v>
      </c>
      <c r="J5" s="43" t="s">
        <v>83</v>
      </c>
      <c r="K5" s="43" t="s">
        <v>84</v>
      </c>
      <c r="L5" s="42"/>
    </row>
    <row r="6" spans="2:12" ht="21.95" customHeight="1">
      <c r="B6" s="44"/>
      <c r="C6" s="191"/>
      <c r="D6" s="191"/>
      <c r="E6" s="191"/>
      <c r="F6" s="192"/>
      <c r="G6" s="45">
        <f>SUMPRODUCT(E13:E33,G13:G33)</f>
        <v>0</v>
      </c>
      <c r="H6" s="45">
        <f>SUMPRODUCT(E13:E33,H13:H33)</f>
        <v>0</v>
      </c>
      <c r="I6" s="45">
        <f>SUMPRODUCT(E13:E33,I13:I33)</f>
        <v>0</v>
      </c>
      <c r="J6" s="46">
        <f>SUMPRODUCT(E13:E33,J13:J33)</f>
        <v>0</v>
      </c>
      <c r="K6" s="46">
        <f>K34</f>
        <v>0</v>
      </c>
      <c r="L6" s="42"/>
    </row>
    <row r="7" spans="2:12" ht="21.95" customHeight="1">
      <c r="B7" s="44"/>
      <c r="C7" s="191"/>
      <c r="D7" s="191"/>
      <c r="E7" s="191"/>
      <c r="F7" s="192"/>
      <c r="G7" s="47">
        <f>IF(K34&lt;&gt;0,G6/K34,0)</f>
        <v>0</v>
      </c>
      <c r="H7" s="47">
        <f>IF(K34&lt;&gt;0,H6/K34,0)</f>
        <v>0</v>
      </c>
      <c r="I7" s="47">
        <f>IF(K34&lt;&gt;0,I6/K34,0)</f>
        <v>0</v>
      </c>
      <c r="J7" s="48">
        <f>IF(K34&lt;&gt;0,J6/K34,0)</f>
        <v>0</v>
      </c>
      <c r="K7" s="48">
        <f>IF(K34&lt;&gt;0,K6/ORC_Custo!G33,0)</f>
        <v>0</v>
      </c>
      <c r="L7" s="42"/>
    </row>
    <row r="8" spans="2:12" ht="6.95" customHeight="1">
      <c r="B8" s="35"/>
      <c r="C8" s="49"/>
      <c r="D8" s="50"/>
      <c r="E8" s="51"/>
      <c r="F8" s="52"/>
      <c r="G8" s="52"/>
      <c r="H8" s="52"/>
      <c r="I8" s="52"/>
      <c r="J8" s="53"/>
      <c r="K8" s="54"/>
      <c r="L8" s="42"/>
    </row>
    <row r="9" spans="2:12" ht="6.95" customHeight="1" thickBot="1">
      <c r="B9" s="35"/>
      <c r="C9" s="55"/>
      <c r="D9" s="56"/>
      <c r="E9" s="51"/>
      <c r="F9" s="52"/>
      <c r="G9" s="52"/>
      <c r="H9" s="52"/>
      <c r="I9" s="52"/>
      <c r="J9" s="53"/>
      <c r="K9" s="54"/>
      <c r="L9" s="42"/>
    </row>
    <row r="10" spans="2:12" ht="30" customHeight="1" thickBot="1">
      <c r="B10" s="193" t="s">
        <v>85</v>
      </c>
      <c r="C10" s="194"/>
      <c r="D10" s="197" t="s">
        <v>86</v>
      </c>
      <c r="E10" s="199" t="s">
        <v>87</v>
      </c>
      <c r="F10" s="201" t="s">
        <v>88</v>
      </c>
      <c r="G10" s="203" t="s">
        <v>89</v>
      </c>
      <c r="H10" s="204"/>
      <c r="I10" s="204"/>
      <c r="J10" s="205"/>
      <c r="K10" s="206" t="s">
        <v>90</v>
      </c>
      <c r="L10" s="207"/>
    </row>
    <row r="11" spans="2:12" ht="30" customHeight="1" thickBot="1">
      <c r="B11" s="195"/>
      <c r="C11" s="196"/>
      <c r="D11" s="198"/>
      <c r="E11" s="200"/>
      <c r="F11" s="202"/>
      <c r="G11" s="101" t="s">
        <v>91</v>
      </c>
      <c r="H11" s="101" t="s">
        <v>92</v>
      </c>
      <c r="I11" s="101" t="s">
        <v>93</v>
      </c>
      <c r="J11" s="102" t="s">
        <v>94</v>
      </c>
      <c r="K11" s="208"/>
      <c r="L11" s="209"/>
    </row>
    <row r="12" spans="2:12" ht="6.95" customHeight="1">
      <c r="B12" s="57"/>
      <c r="C12" s="58"/>
      <c r="D12" s="59"/>
      <c r="E12" s="60"/>
      <c r="F12" s="61"/>
      <c r="G12" s="61"/>
      <c r="H12" s="61"/>
      <c r="I12" s="61"/>
      <c r="J12" s="60"/>
      <c r="K12" s="62"/>
      <c r="L12" s="63"/>
    </row>
    <row r="13" spans="2:12" ht="21.95" customHeight="1">
      <c r="B13" s="57"/>
      <c r="C13" s="64" t="s">
        <v>404</v>
      </c>
      <c r="D13" s="65"/>
      <c r="E13" s="66"/>
      <c r="F13" s="67" t="s">
        <v>96</v>
      </c>
      <c r="G13" s="67"/>
      <c r="H13" s="67"/>
      <c r="I13" s="67"/>
      <c r="J13" s="68"/>
      <c r="K13" s="69">
        <f>(G13+H13+I13+J13)*E13</f>
        <v>0</v>
      </c>
      <c r="L13" s="63"/>
    </row>
    <row r="14" spans="2:12" ht="21.95" customHeight="1">
      <c r="B14" s="57"/>
      <c r="C14" s="64" t="s">
        <v>405</v>
      </c>
      <c r="D14" s="65"/>
      <c r="E14" s="66"/>
      <c r="F14" s="67" t="s">
        <v>96</v>
      </c>
      <c r="G14" s="67"/>
      <c r="H14" s="67"/>
      <c r="I14" s="67"/>
      <c r="J14" s="70"/>
      <c r="K14" s="69">
        <f t="shared" ref="K14:K32" si="0">(G14+H14+I14+J14)*E14</f>
        <v>0</v>
      </c>
      <c r="L14" s="63"/>
    </row>
    <row r="15" spans="2:12" ht="21.95" customHeight="1">
      <c r="B15" s="57"/>
      <c r="C15" s="64" t="s">
        <v>406</v>
      </c>
      <c r="D15" s="65"/>
      <c r="E15" s="66"/>
      <c r="F15" s="67" t="s">
        <v>96</v>
      </c>
      <c r="G15" s="67"/>
      <c r="H15" s="67"/>
      <c r="I15" s="67"/>
      <c r="J15" s="68"/>
      <c r="K15" s="69">
        <f t="shared" si="0"/>
        <v>0</v>
      </c>
      <c r="L15" s="63"/>
    </row>
    <row r="16" spans="2:12" ht="21.95" customHeight="1">
      <c r="B16" s="57"/>
      <c r="C16" s="64" t="s">
        <v>407</v>
      </c>
      <c r="D16" s="65"/>
      <c r="E16" s="66"/>
      <c r="F16" s="67" t="s">
        <v>96</v>
      </c>
      <c r="G16" s="71"/>
      <c r="H16" s="71"/>
      <c r="I16" s="71"/>
      <c r="J16" s="69"/>
      <c r="K16" s="69">
        <f t="shared" si="0"/>
        <v>0</v>
      </c>
      <c r="L16" s="63"/>
    </row>
    <row r="17" spans="2:12" ht="21.95" customHeight="1">
      <c r="B17" s="57"/>
      <c r="C17" s="64" t="s">
        <v>408</v>
      </c>
      <c r="D17" s="65"/>
      <c r="E17" s="66"/>
      <c r="F17" s="67" t="s">
        <v>96</v>
      </c>
      <c r="G17" s="67"/>
      <c r="H17" s="67"/>
      <c r="I17" s="67"/>
      <c r="J17" s="68"/>
      <c r="K17" s="69">
        <f t="shared" si="0"/>
        <v>0</v>
      </c>
      <c r="L17" s="63"/>
    </row>
    <row r="18" spans="2:12" ht="21.95" customHeight="1">
      <c r="B18" s="57"/>
      <c r="C18" s="64" t="s">
        <v>409</v>
      </c>
      <c r="D18" s="65"/>
      <c r="E18" s="66"/>
      <c r="F18" s="67" t="s">
        <v>96</v>
      </c>
      <c r="G18" s="71"/>
      <c r="H18" s="71"/>
      <c r="I18" s="71"/>
      <c r="J18" s="69"/>
      <c r="K18" s="69">
        <f t="shared" si="0"/>
        <v>0</v>
      </c>
      <c r="L18" s="63"/>
    </row>
    <row r="19" spans="2:12" ht="21.95" customHeight="1">
      <c r="B19" s="57"/>
      <c r="C19" s="64" t="s">
        <v>410</v>
      </c>
      <c r="D19" s="65"/>
      <c r="E19" s="66"/>
      <c r="F19" s="67" t="s">
        <v>96</v>
      </c>
      <c r="G19" s="67"/>
      <c r="H19" s="67"/>
      <c r="I19" s="67"/>
      <c r="J19" s="68"/>
      <c r="K19" s="69">
        <f t="shared" si="0"/>
        <v>0</v>
      </c>
      <c r="L19" s="63"/>
    </row>
    <row r="20" spans="2:12" ht="21.95" customHeight="1">
      <c r="B20" s="57"/>
      <c r="C20" s="64" t="s">
        <v>411</v>
      </c>
      <c r="D20" s="65"/>
      <c r="E20" s="66"/>
      <c r="F20" s="67" t="s">
        <v>96</v>
      </c>
      <c r="G20" s="71"/>
      <c r="H20" s="71"/>
      <c r="I20" s="71"/>
      <c r="J20" s="69"/>
      <c r="K20" s="69">
        <f t="shared" si="0"/>
        <v>0</v>
      </c>
      <c r="L20" s="63"/>
    </row>
    <row r="21" spans="2:12" ht="21.95" customHeight="1">
      <c r="B21" s="57"/>
      <c r="C21" s="64" t="s">
        <v>412</v>
      </c>
      <c r="D21" s="65"/>
      <c r="E21" s="66"/>
      <c r="F21" s="67" t="s">
        <v>96</v>
      </c>
      <c r="G21" s="71"/>
      <c r="H21" s="71"/>
      <c r="I21" s="71"/>
      <c r="J21" s="69"/>
      <c r="K21" s="69">
        <f t="shared" si="0"/>
        <v>0</v>
      </c>
      <c r="L21" s="63"/>
    </row>
    <row r="22" spans="2:12" ht="21.95" customHeight="1">
      <c r="B22" s="57"/>
      <c r="C22" s="64" t="s">
        <v>413</v>
      </c>
      <c r="D22" s="65"/>
      <c r="E22" s="66"/>
      <c r="F22" s="67" t="s">
        <v>96</v>
      </c>
      <c r="G22" s="71"/>
      <c r="H22" s="71"/>
      <c r="I22" s="71"/>
      <c r="J22" s="69"/>
      <c r="K22" s="69">
        <f t="shared" si="0"/>
        <v>0</v>
      </c>
      <c r="L22" s="63"/>
    </row>
    <row r="23" spans="2:12" ht="21.95" customHeight="1">
      <c r="B23" s="57"/>
      <c r="C23" s="64" t="s">
        <v>414</v>
      </c>
      <c r="D23" s="65"/>
      <c r="E23" s="66"/>
      <c r="F23" s="67" t="s">
        <v>96</v>
      </c>
      <c r="G23" s="71"/>
      <c r="H23" s="71"/>
      <c r="I23" s="71"/>
      <c r="J23" s="69"/>
      <c r="K23" s="69">
        <f t="shared" si="0"/>
        <v>0</v>
      </c>
      <c r="L23" s="63"/>
    </row>
    <row r="24" spans="2:12" ht="21.95" customHeight="1">
      <c r="B24" s="57"/>
      <c r="C24" s="64" t="s">
        <v>415</v>
      </c>
      <c r="D24" s="65"/>
      <c r="E24" s="66"/>
      <c r="F24" s="67" t="s">
        <v>96</v>
      </c>
      <c r="G24" s="71"/>
      <c r="H24" s="71"/>
      <c r="I24" s="71"/>
      <c r="J24" s="69"/>
      <c r="K24" s="69">
        <f t="shared" si="0"/>
        <v>0</v>
      </c>
      <c r="L24" s="63"/>
    </row>
    <row r="25" spans="2:12" ht="21.95" customHeight="1">
      <c r="B25" s="57"/>
      <c r="C25" s="64" t="s">
        <v>416</v>
      </c>
      <c r="D25" s="65"/>
      <c r="E25" s="66"/>
      <c r="F25" s="67" t="s">
        <v>96</v>
      </c>
      <c r="G25" s="71"/>
      <c r="H25" s="71"/>
      <c r="I25" s="71"/>
      <c r="J25" s="69"/>
      <c r="K25" s="69">
        <f t="shared" si="0"/>
        <v>0</v>
      </c>
      <c r="L25" s="63"/>
    </row>
    <row r="26" spans="2:12" ht="21.95" customHeight="1">
      <c r="B26" s="57"/>
      <c r="C26" s="64" t="s">
        <v>417</v>
      </c>
      <c r="D26" s="65"/>
      <c r="E26" s="66"/>
      <c r="F26" s="67" t="s">
        <v>96</v>
      </c>
      <c r="G26" s="71"/>
      <c r="H26" s="71"/>
      <c r="I26" s="71"/>
      <c r="J26" s="69"/>
      <c r="K26" s="69">
        <f t="shared" si="0"/>
        <v>0</v>
      </c>
      <c r="L26" s="63"/>
    </row>
    <row r="27" spans="2:12" ht="21.95" customHeight="1">
      <c r="B27" s="57"/>
      <c r="C27" s="64" t="s">
        <v>418</v>
      </c>
      <c r="D27" s="65"/>
      <c r="E27" s="66"/>
      <c r="F27" s="67" t="s">
        <v>96</v>
      </c>
      <c r="G27" s="71"/>
      <c r="H27" s="71"/>
      <c r="I27" s="71"/>
      <c r="J27" s="69"/>
      <c r="K27" s="69">
        <f t="shared" si="0"/>
        <v>0</v>
      </c>
      <c r="L27" s="63"/>
    </row>
    <row r="28" spans="2:12" ht="21.95" customHeight="1">
      <c r="B28" s="57"/>
      <c r="C28" s="64" t="s">
        <v>419</v>
      </c>
      <c r="D28" s="65"/>
      <c r="E28" s="66"/>
      <c r="F28" s="67" t="s">
        <v>96</v>
      </c>
      <c r="G28" s="71"/>
      <c r="H28" s="71"/>
      <c r="I28" s="71"/>
      <c r="J28" s="69"/>
      <c r="K28" s="69">
        <f t="shared" si="0"/>
        <v>0</v>
      </c>
      <c r="L28" s="63"/>
    </row>
    <row r="29" spans="2:12" ht="21.95" customHeight="1">
      <c r="B29" s="57"/>
      <c r="C29" s="64" t="s">
        <v>420</v>
      </c>
      <c r="D29" s="65"/>
      <c r="E29" s="66"/>
      <c r="F29" s="67" t="s">
        <v>96</v>
      </c>
      <c r="G29" s="71"/>
      <c r="H29" s="71"/>
      <c r="I29" s="71"/>
      <c r="J29" s="69"/>
      <c r="K29" s="69">
        <f t="shared" si="0"/>
        <v>0</v>
      </c>
      <c r="L29" s="63"/>
    </row>
    <row r="30" spans="2:12" ht="21.95" customHeight="1">
      <c r="B30" s="57"/>
      <c r="C30" s="64" t="s">
        <v>421</v>
      </c>
      <c r="D30" s="65"/>
      <c r="E30" s="66"/>
      <c r="F30" s="67" t="s">
        <v>96</v>
      </c>
      <c r="G30" s="71"/>
      <c r="H30" s="71"/>
      <c r="I30" s="71"/>
      <c r="J30" s="69"/>
      <c r="K30" s="69">
        <f t="shared" si="0"/>
        <v>0</v>
      </c>
      <c r="L30" s="63"/>
    </row>
    <row r="31" spans="2:12" ht="21.95" customHeight="1">
      <c r="B31" s="57"/>
      <c r="C31" s="64" t="s">
        <v>422</v>
      </c>
      <c r="D31" s="65"/>
      <c r="E31" s="66"/>
      <c r="F31" s="67" t="s">
        <v>96</v>
      </c>
      <c r="G31" s="71"/>
      <c r="H31" s="71"/>
      <c r="I31" s="71"/>
      <c r="J31" s="69"/>
      <c r="K31" s="69">
        <f t="shared" si="0"/>
        <v>0</v>
      </c>
      <c r="L31" s="63"/>
    </row>
    <row r="32" spans="2:12" ht="21.95" customHeight="1">
      <c r="B32" s="57"/>
      <c r="C32" s="64" t="s">
        <v>423</v>
      </c>
      <c r="D32" s="65"/>
      <c r="E32" s="66"/>
      <c r="F32" s="67" t="s">
        <v>96</v>
      </c>
      <c r="G32" s="67"/>
      <c r="H32" s="67"/>
      <c r="I32" s="67"/>
      <c r="J32" s="68"/>
      <c r="K32" s="69">
        <f t="shared" si="0"/>
        <v>0</v>
      </c>
      <c r="L32" s="63"/>
    </row>
    <row r="33" spans="2:12" ht="6.95" customHeight="1" thickBot="1">
      <c r="B33" s="72"/>
      <c r="C33" s="73"/>
      <c r="D33" s="74"/>
      <c r="E33" s="75"/>
      <c r="F33" s="76"/>
      <c r="G33" s="76"/>
      <c r="H33" s="76"/>
      <c r="I33" s="76"/>
      <c r="J33" s="75"/>
      <c r="K33" s="77"/>
      <c r="L33" s="78"/>
    </row>
    <row r="34" spans="2:12" ht="30" customHeight="1">
      <c r="B34" s="103"/>
      <c r="C34" s="104"/>
      <c r="D34" s="105" t="s">
        <v>116</v>
      </c>
      <c r="E34" s="106"/>
      <c r="F34" s="107"/>
      <c r="G34" s="107"/>
      <c r="H34" s="107"/>
      <c r="I34" s="107"/>
      <c r="J34" s="108"/>
      <c r="K34" s="109">
        <f>SUM(K13:K33)</f>
        <v>0</v>
      </c>
      <c r="L34" s="110"/>
    </row>
    <row r="35" spans="2:12" ht="9.9499999999999993" customHeight="1" thickBot="1">
      <c r="B35" s="111"/>
      <c r="C35" s="112"/>
      <c r="D35" s="113"/>
      <c r="E35" s="114"/>
      <c r="F35" s="115"/>
      <c r="G35" s="116"/>
      <c r="H35" s="116"/>
      <c r="I35" s="116"/>
      <c r="J35" s="116"/>
      <c r="K35" s="117"/>
      <c r="L35" s="118"/>
    </row>
  </sheetData>
  <mergeCells count="8">
    <mergeCell ref="B2:L2"/>
    <mergeCell ref="C5:F7"/>
    <mergeCell ref="B10:C11"/>
    <mergeCell ref="D10:D11"/>
    <mergeCell ref="E10:E11"/>
    <mergeCell ref="F10:F11"/>
    <mergeCell ref="G10:J10"/>
    <mergeCell ref="K10:L11"/>
  </mergeCells>
  <dataValidations count="1">
    <dataValidation type="list" allowBlank="1" showInputMessage="1" showErrorMessage="1" sqref="F13:F32" xr:uid="{00000000-0002-0000-1200-000000000000}">
      <formula1>"m,m²,m³,kg,L,un,vb"</formula1>
    </dataValidation>
  </dataValidations>
  <pageMargins left="0.51181102362204722" right="0.51181102362204722" top="0.59055118110236227" bottom="0.59055118110236227" header="0.31496062992125984" footer="0.31496062992125984"/>
  <pageSetup paperSize="9" scale="72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1:L35"/>
  <sheetViews>
    <sheetView zoomScale="80" zoomScaleNormal="80" workbookViewId="0" xr3:uid="{34904945-5288-588E-9F07-34343C13E9F2}">
      <selection activeCell="G13" sqref="G13:J13"/>
    </sheetView>
  </sheetViews>
  <sheetFormatPr defaultColWidth="9.14453125" defaultRowHeight="15"/>
  <cols>
    <col min="1" max="1" width="2.28515625" style="2" customWidth="1"/>
    <col min="2" max="2" width="3.2265625" style="2" customWidth="1"/>
    <col min="3" max="3" width="10.76171875" style="2" customWidth="1"/>
    <col min="4" max="4" width="56.765625" style="2" customWidth="1"/>
    <col min="5" max="5" width="14.66015625" style="2" customWidth="1"/>
    <col min="6" max="6" width="12.64453125" style="2" customWidth="1"/>
    <col min="7" max="10" width="16.6796875" style="2" customWidth="1"/>
    <col min="11" max="11" width="18.6953125" style="2" customWidth="1"/>
    <col min="12" max="12" width="2.6875" style="2" customWidth="1"/>
    <col min="13" max="16384" width="9.14453125" style="2"/>
  </cols>
  <sheetData>
    <row r="1" spans="2:12" ht="15.75" thickBot="1"/>
    <row r="2" spans="2:12" ht="50.1" customHeight="1" thickBot="1">
      <c r="B2" s="188" t="s">
        <v>598</v>
      </c>
      <c r="C2" s="189"/>
      <c r="D2" s="189"/>
      <c r="E2" s="189"/>
      <c r="F2" s="189"/>
      <c r="G2" s="189"/>
      <c r="H2" s="189"/>
      <c r="I2" s="189"/>
      <c r="J2" s="189"/>
      <c r="K2" s="189"/>
      <c r="L2" s="190"/>
    </row>
    <row r="3" spans="2:12">
      <c r="B3" s="35"/>
      <c r="C3" s="36" t="s">
        <v>22</v>
      </c>
      <c r="D3" s="37"/>
      <c r="E3" s="38"/>
      <c r="F3" s="39"/>
      <c r="G3" s="39"/>
      <c r="H3" s="39"/>
      <c r="I3" s="39"/>
      <c r="J3" s="40"/>
      <c r="K3" s="41"/>
      <c r="L3" s="42"/>
    </row>
    <row r="4" spans="2:12" ht="6.95" customHeight="1">
      <c r="B4" s="35"/>
      <c r="C4" s="36"/>
      <c r="D4" s="37"/>
      <c r="E4" s="38"/>
      <c r="F4" s="39"/>
      <c r="G4" s="39"/>
      <c r="H4" s="39"/>
      <c r="I4" s="39"/>
      <c r="J4" s="40"/>
      <c r="K4" s="41"/>
      <c r="L4" s="42"/>
    </row>
    <row r="5" spans="2:12" ht="21.95" customHeight="1">
      <c r="B5" s="35"/>
      <c r="C5" s="191" t="s">
        <v>599</v>
      </c>
      <c r="D5" s="191"/>
      <c r="E5" s="191"/>
      <c r="F5" s="192"/>
      <c r="G5" s="39" t="s">
        <v>80</v>
      </c>
      <c r="H5" s="39" t="s">
        <v>81</v>
      </c>
      <c r="I5" s="39" t="s">
        <v>82</v>
      </c>
      <c r="J5" s="43" t="s">
        <v>83</v>
      </c>
      <c r="K5" s="43" t="s">
        <v>84</v>
      </c>
      <c r="L5" s="42"/>
    </row>
    <row r="6" spans="2:12" ht="21.95" customHeight="1">
      <c r="B6" s="44"/>
      <c r="C6" s="191"/>
      <c r="D6" s="191"/>
      <c r="E6" s="191"/>
      <c r="F6" s="192"/>
      <c r="G6" s="45">
        <f>SUMPRODUCT(E13:E33,G13:G33)</f>
        <v>0</v>
      </c>
      <c r="H6" s="45">
        <f>SUMPRODUCT(E13:E33,H13:H33)</f>
        <v>0</v>
      </c>
      <c r="I6" s="45">
        <f>SUMPRODUCT(E13:E33,I13:I33)</f>
        <v>0</v>
      </c>
      <c r="J6" s="46">
        <f>SUMPRODUCT(E13:E33,J13:J33)</f>
        <v>0</v>
      </c>
      <c r="K6" s="46">
        <f>K34</f>
        <v>0</v>
      </c>
      <c r="L6" s="42"/>
    </row>
    <row r="7" spans="2:12" ht="21.95" customHeight="1">
      <c r="B7" s="44"/>
      <c r="C7" s="191"/>
      <c r="D7" s="191"/>
      <c r="E7" s="191"/>
      <c r="F7" s="192"/>
      <c r="G7" s="47">
        <f>IF(K34&lt;&gt;0,G6/K34,0)</f>
        <v>0</v>
      </c>
      <c r="H7" s="47">
        <f>IF(K34&lt;&gt;0,H6/K34,0)</f>
        <v>0</v>
      </c>
      <c r="I7" s="47">
        <f>IF(K34&lt;&gt;0,I6/K34,0)</f>
        <v>0</v>
      </c>
      <c r="J7" s="48">
        <f>IF(K34&lt;&gt;0,J6/K34,0)</f>
        <v>0</v>
      </c>
      <c r="K7" s="48">
        <f>IF(K34&lt;&gt;0,K6/ORC_Custo!G33,0)</f>
        <v>0</v>
      </c>
      <c r="L7" s="42"/>
    </row>
    <row r="8" spans="2:12" ht="6.95" customHeight="1">
      <c r="B8" s="35"/>
      <c r="C8" s="49"/>
      <c r="D8" s="50"/>
      <c r="E8" s="51"/>
      <c r="F8" s="52"/>
      <c r="G8" s="52"/>
      <c r="H8" s="52"/>
      <c r="I8" s="52"/>
      <c r="J8" s="53"/>
      <c r="K8" s="54"/>
      <c r="L8" s="42"/>
    </row>
    <row r="9" spans="2:12" ht="6.95" customHeight="1" thickBot="1">
      <c r="B9" s="35"/>
      <c r="C9" s="55"/>
      <c r="D9" s="56"/>
      <c r="E9" s="51"/>
      <c r="F9" s="52"/>
      <c r="G9" s="52"/>
      <c r="H9" s="52"/>
      <c r="I9" s="52"/>
      <c r="J9" s="53"/>
      <c r="K9" s="54"/>
      <c r="L9" s="42"/>
    </row>
    <row r="10" spans="2:12" ht="30" customHeight="1" thickBot="1">
      <c r="B10" s="193" t="s">
        <v>85</v>
      </c>
      <c r="C10" s="194"/>
      <c r="D10" s="197" t="s">
        <v>86</v>
      </c>
      <c r="E10" s="199" t="s">
        <v>87</v>
      </c>
      <c r="F10" s="201" t="s">
        <v>88</v>
      </c>
      <c r="G10" s="203" t="s">
        <v>89</v>
      </c>
      <c r="H10" s="204"/>
      <c r="I10" s="204"/>
      <c r="J10" s="205"/>
      <c r="K10" s="206" t="s">
        <v>90</v>
      </c>
      <c r="L10" s="207"/>
    </row>
    <row r="11" spans="2:12" ht="30" customHeight="1" thickBot="1">
      <c r="B11" s="195"/>
      <c r="C11" s="196"/>
      <c r="D11" s="198"/>
      <c r="E11" s="200"/>
      <c r="F11" s="202"/>
      <c r="G11" s="101" t="s">
        <v>91</v>
      </c>
      <c r="H11" s="101" t="s">
        <v>92</v>
      </c>
      <c r="I11" s="101" t="s">
        <v>93</v>
      </c>
      <c r="J11" s="102" t="s">
        <v>94</v>
      </c>
      <c r="K11" s="208"/>
      <c r="L11" s="209"/>
    </row>
    <row r="12" spans="2:12" ht="6.95" customHeight="1">
      <c r="B12" s="57"/>
      <c r="C12" s="58"/>
      <c r="D12" s="59"/>
      <c r="E12" s="60"/>
      <c r="F12" s="61"/>
      <c r="G12" s="61"/>
      <c r="H12" s="61"/>
      <c r="I12" s="61"/>
      <c r="J12" s="60"/>
      <c r="K12" s="62"/>
      <c r="L12" s="63"/>
    </row>
    <row r="13" spans="2:12" ht="21.95" customHeight="1">
      <c r="B13" s="57"/>
      <c r="C13" s="64" t="s">
        <v>424</v>
      </c>
      <c r="D13" s="65"/>
      <c r="E13" s="66"/>
      <c r="F13" s="67" t="s">
        <v>96</v>
      </c>
      <c r="G13" s="67"/>
      <c r="H13" s="67"/>
      <c r="I13" s="67"/>
      <c r="J13" s="68"/>
      <c r="K13" s="69">
        <f>(G13+H13+I13+J13)*E13</f>
        <v>0</v>
      </c>
      <c r="L13" s="63"/>
    </row>
    <row r="14" spans="2:12" ht="21.95" customHeight="1">
      <c r="B14" s="57"/>
      <c r="C14" s="64" t="s">
        <v>425</v>
      </c>
      <c r="D14" s="65"/>
      <c r="E14" s="66"/>
      <c r="F14" s="67" t="s">
        <v>96</v>
      </c>
      <c r="G14" s="67"/>
      <c r="H14" s="67"/>
      <c r="I14" s="67"/>
      <c r="J14" s="70"/>
      <c r="K14" s="69">
        <f t="shared" ref="K14:K32" si="0">(G14+H14+I14+J14)*E14</f>
        <v>0</v>
      </c>
      <c r="L14" s="63"/>
    </row>
    <row r="15" spans="2:12" ht="21.95" customHeight="1">
      <c r="B15" s="57"/>
      <c r="C15" s="64" t="s">
        <v>426</v>
      </c>
      <c r="D15" s="65"/>
      <c r="E15" s="66"/>
      <c r="F15" s="67" t="s">
        <v>96</v>
      </c>
      <c r="G15" s="67"/>
      <c r="H15" s="67"/>
      <c r="I15" s="67"/>
      <c r="J15" s="68"/>
      <c r="K15" s="69">
        <f t="shared" si="0"/>
        <v>0</v>
      </c>
      <c r="L15" s="63"/>
    </row>
    <row r="16" spans="2:12" ht="21.95" customHeight="1">
      <c r="B16" s="57"/>
      <c r="C16" s="64" t="s">
        <v>427</v>
      </c>
      <c r="D16" s="65"/>
      <c r="E16" s="66"/>
      <c r="F16" s="67" t="s">
        <v>96</v>
      </c>
      <c r="G16" s="71"/>
      <c r="H16" s="71"/>
      <c r="I16" s="71"/>
      <c r="J16" s="69"/>
      <c r="K16" s="69">
        <f t="shared" si="0"/>
        <v>0</v>
      </c>
      <c r="L16" s="63"/>
    </row>
    <row r="17" spans="2:12" ht="21.95" customHeight="1">
      <c r="B17" s="57"/>
      <c r="C17" s="64" t="s">
        <v>428</v>
      </c>
      <c r="D17" s="65"/>
      <c r="E17" s="66"/>
      <c r="F17" s="67" t="s">
        <v>96</v>
      </c>
      <c r="G17" s="67"/>
      <c r="H17" s="67"/>
      <c r="I17" s="67"/>
      <c r="J17" s="68"/>
      <c r="K17" s="69">
        <f t="shared" si="0"/>
        <v>0</v>
      </c>
      <c r="L17" s="63"/>
    </row>
    <row r="18" spans="2:12" ht="21.95" customHeight="1">
      <c r="B18" s="57"/>
      <c r="C18" s="64" t="s">
        <v>429</v>
      </c>
      <c r="D18" s="65"/>
      <c r="E18" s="66"/>
      <c r="F18" s="67" t="s">
        <v>96</v>
      </c>
      <c r="G18" s="71"/>
      <c r="H18" s="71"/>
      <c r="I18" s="71"/>
      <c r="J18" s="69"/>
      <c r="K18" s="69">
        <f t="shared" si="0"/>
        <v>0</v>
      </c>
      <c r="L18" s="63"/>
    </row>
    <row r="19" spans="2:12" ht="21.95" customHeight="1">
      <c r="B19" s="57"/>
      <c r="C19" s="64" t="s">
        <v>430</v>
      </c>
      <c r="D19" s="65"/>
      <c r="E19" s="66"/>
      <c r="F19" s="67" t="s">
        <v>96</v>
      </c>
      <c r="G19" s="67"/>
      <c r="H19" s="67"/>
      <c r="I19" s="67"/>
      <c r="J19" s="68"/>
      <c r="K19" s="69">
        <f t="shared" si="0"/>
        <v>0</v>
      </c>
      <c r="L19" s="63"/>
    </row>
    <row r="20" spans="2:12" ht="21.95" customHeight="1">
      <c r="B20" s="57"/>
      <c r="C20" s="64" t="s">
        <v>431</v>
      </c>
      <c r="D20" s="65"/>
      <c r="E20" s="66"/>
      <c r="F20" s="67" t="s">
        <v>96</v>
      </c>
      <c r="G20" s="71"/>
      <c r="H20" s="71"/>
      <c r="I20" s="71"/>
      <c r="J20" s="69"/>
      <c r="K20" s="69">
        <f t="shared" si="0"/>
        <v>0</v>
      </c>
      <c r="L20" s="63"/>
    </row>
    <row r="21" spans="2:12" ht="21.95" customHeight="1">
      <c r="B21" s="57"/>
      <c r="C21" s="64" t="s">
        <v>432</v>
      </c>
      <c r="D21" s="65"/>
      <c r="E21" s="66"/>
      <c r="F21" s="67" t="s">
        <v>96</v>
      </c>
      <c r="G21" s="71"/>
      <c r="H21" s="71"/>
      <c r="I21" s="71"/>
      <c r="J21" s="69"/>
      <c r="K21" s="69">
        <f t="shared" si="0"/>
        <v>0</v>
      </c>
      <c r="L21" s="63"/>
    </row>
    <row r="22" spans="2:12" ht="21.95" customHeight="1">
      <c r="B22" s="57"/>
      <c r="C22" s="64" t="s">
        <v>433</v>
      </c>
      <c r="D22" s="65"/>
      <c r="E22" s="66"/>
      <c r="F22" s="67" t="s">
        <v>96</v>
      </c>
      <c r="G22" s="71"/>
      <c r="H22" s="71"/>
      <c r="I22" s="71"/>
      <c r="J22" s="69"/>
      <c r="K22" s="69">
        <f t="shared" si="0"/>
        <v>0</v>
      </c>
      <c r="L22" s="63"/>
    </row>
    <row r="23" spans="2:12" ht="21.95" customHeight="1">
      <c r="B23" s="57"/>
      <c r="C23" s="64" t="s">
        <v>434</v>
      </c>
      <c r="D23" s="65"/>
      <c r="E23" s="66"/>
      <c r="F23" s="67" t="s">
        <v>96</v>
      </c>
      <c r="G23" s="71"/>
      <c r="H23" s="71"/>
      <c r="I23" s="71"/>
      <c r="J23" s="69"/>
      <c r="K23" s="69">
        <f t="shared" si="0"/>
        <v>0</v>
      </c>
      <c r="L23" s="63"/>
    </row>
    <row r="24" spans="2:12" ht="21.95" customHeight="1">
      <c r="B24" s="57"/>
      <c r="C24" s="64" t="s">
        <v>435</v>
      </c>
      <c r="D24" s="65"/>
      <c r="E24" s="66"/>
      <c r="F24" s="67" t="s">
        <v>96</v>
      </c>
      <c r="G24" s="71"/>
      <c r="H24" s="71"/>
      <c r="I24" s="71"/>
      <c r="J24" s="69"/>
      <c r="K24" s="69">
        <f t="shared" si="0"/>
        <v>0</v>
      </c>
      <c r="L24" s="63"/>
    </row>
    <row r="25" spans="2:12" ht="21.95" customHeight="1">
      <c r="B25" s="57"/>
      <c r="C25" s="64" t="s">
        <v>436</v>
      </c>
      <c r="D25" s="65"/>
      <c r="E25" s="66"/>
      <c r="F25" s="67" t="s">
        <v>96</v>
      </c>
      <c r="G25" s="71"/>
      <c r="H25" s="71"/>
      <c r="I25" s="71"/>
      <c r="J25" s="69"/>
      <c r="K25" s="69">
        <f t="shared" si="0"/>
        <v>0</v>
      </c>
      <c r="L25" s="63"/>
    </row>
    <row r="26" spans="2:12" ht="21.95" customHeight="1">
      <c r="B26" s="57"/>
      <c r="C26" s="64" t="s">
        <v>437</v>
      </c>
      <c r="D26" s="65"/>
      <c r="E26" s="66"/>
      <c r="F26" s="67" t="s">
        <v>96</v>
      </c>
      <c r="G26" s="71"/>
      <c r="H26" s="71"/>
      <c r="I26" s="71"/>
      <c r="J26" s="69"/>
      <c r="K26" s="69">
        <f t="shared" si="0"/>
        <v>0</v>
      </c>
      <c r="L26" s="63"/>
    </row>
    <row r="27" spans="2:12" ht="21.95" customHeight="1">
      <c r="B27" s="57"/>
      <c r="C27" s="64" t="s">
        <v>438</v>
      </c>
      <c r="D27" s="65"/>
      <c r="E27" s="66"/>
      <c r="F27" s="67" t="s">
        <v>96</v>
      </c>
      <c r="G27" s="71"/>
      <c r="H27" s="71"/>
      <c r="I27" s="71"/>
      <c r="J27" s="69"/>
      <c r="K27" s="69">
        <f t="shared" si="0"/>
        <v>0</v>
      </c>
      <c r="L27" s="63"/>
    </row>
    <row r="28" spans="2:12" ht="21.95" customHeight="1">
      <c r="B28" s="57"/>
      <c r="C28" s="64" t="s">
        <v>439</v>
      </c>
      <c r="D28" s="65"/>
      <c r="E28" s="66"/>
      <c r="F28" s="67" t="s">
        <v>96</v>
      </c>
      <c r="G28" s="71"/>
      <c r="H28" s="71"/>
      <c r="I28" s="71"/>
      <c r="J28" s="69"/>
      <c r="K28" s="69">
        <f t="shared" si="0"/>
        <v>0</v>
      </c>
      <c r="L28" s="63"/>
    </row>
    <row r="29" spans="2:12" ht="21.95" customHeight="1">
      <c r="B29" s="57"/>
      <c r="C29" s="64" t="s">
        <v>440</v>
      </c>
      <c r="D29" s="65"/>
      <c r="E29" s="66"/>
      <c r="F29" s="67" t="s">
        <v>96</v>
      </c>
      <c r="G29" s="71"/>
      <c r="H29" s="71"/>
      <c r="I29" s="71"/>
      <c r="J29" s="69"/>
      <c r="K29" s="69">
        <f t="shared" si="0"/>
        <v>0</v>
      </c>
      <c r="L29" s="63"/>
    </row>
    <row r="30" spans="2:12" ht="21.95" customHeight="1">
      <c r="B30" s="57"/>
      <c r="C30" s="64" t="s">
        <v>441</v>
      </c>
      <c r="D30" s="65"/>
      <c r="E30" s="66"/>
      <c r="F30" s="67" t="s">
        <v>96</v>
      </c>
      <c r="G30" s="71"/>
      <c r="H30" s="71"/>
      <c r="I30" s="71"/>
      <c r="J30" s="69"/>
      <c r="K30" s="69">
        <f t="shared" si="0"/>
        <v>0</v>
      </c>
      <c r="L30" s="63"/>
    </row>
    <row r="31" spans="2:12" ht="21.95" customHeight="1">
      <c r="B31" s="57"/>
      <c r="C31" s="64" t="s">
        <v>442</v>
      </c>
      <c r="D31" s="65"/>
      <c r="E31" s="66"/>
      <c r="F31" s="67" t="s">
        <v>96</v>
      </c>
      <c r="G31" s="71"/>
      <c r="H31" s="71"/>
      <c r="I31" s="71"/>
      <c r="J31" s="69"/>
      <c r="K31" s="69">
        <f t="shared" si="0"/>
        <v>0</v>
      </c>
      <c r="L31" s="63"/>
    </row>
    <row r="32" spans="2:12" ht="21.95" customHeight="1">
      <c r="B32" s="57"/>
      <c r="C32" s="64" t="s">
        <v>443</v>
      </c>
      <c r="D32" s="65"/>
      <c r="E32" s="66"/>
      <c r="F32" s="67" t="s">
        <v>96</v>
      </c>
      <c r="G32" s="67"/>
      <c r="H32" s="67"/>
      <c r="I32" s="67"/>
      <c r="J32" s="68"/>
      <c r="K32" s="69">
        <f t="shared" si="0"/>
        <v>0</v>
      </c>
      <c r="L32" s="63"/>
    </row>
    <row r="33" spans="2:12" ht="6.95" customHeight="1" thickBot="1">
      <c r="B33" s="72"/>
      <c r="C33" s="73"/>
      <c r="D33" s="74"/>
      <c r="E33" s="75"/>
      <c r="F33" s="76"/>
      <c r="G33" s="76"/>
      <c r="H33" s="76"/>
      <c r="I33" s="76"/>
      <c r="J33" s="75"/>
      <c r="K33" s="77"/>
      <c r="L33" s="78"/>
    </row>
    <row r="34" spans="2:12" ht="30" customHeight="1">
      <c r="B34" s="103"/>
      <c r="C34" s="104"/>
      <c r="D34" s="105" t="s">
        <v>116</v>
      </c>
      <c r="E34" s="106"/>
      <c r="F34" s="107"/>
      <c r="G34" s="107"/>
      <c r="H34" s="107"/>
      <c r="I34" s="107"/>
      <c r="J34" s="108"/>
      <c r="K34" s="109">
        <f>SUM(K13:K33)</f>
        <v>0</v>
      </c>
      <c r="L34" s="110"/>
    </row>
    <row r="35" spans="2:12" ht="9.9499999999999993" customHeight="1" thickBot="1">
      <c r="B35" s="111"/>
      <c r="C35" s="112"/>
      <c r="D35" s="113"/>
      <c r="E35" s="114"/>
      <c r="F35" s="115"/>
      <c r="G35" s="116"/>
      <c r="H35" s="116"/>
      <c r="I35" s="116"/>
      <c r="J35" s="116"/>
      <c r="K35" s="117"/>
      <c r="L35" s="118"/>
    </row>
  </sheetData>
  <mergeCells count="8">
    <mergeCell ref="B2:L2"/>
    <mergeCell ref="C5:F7"/>
    <mergeCell ref="B10:C11"/>
    <mergeCell ref="D10:D11"/>
    <mergeCell ref="E10:E11"/>
    <mergeCell ref="F10:F11"/>
    <mergeCell ref="G10:J10"/>
    <mergeCell ref="K10:L11"/>
  </mergeCells>
  <dataValidations count="1">
    <dataValidation type="list" allowBlank="1" showInputMessage="1" showErrorMessage="1" sqref="F13:F32" xr:uid="{00000000-0002-0000-1300-000000000000}">
      <formula1>"m,m²,m³,kg,L,un,vb"</formula1>
    </dataValidation>
  </dataValidations>
  <pageMargins left="0.51181102362204722" right="0.51181102362204722" top="0.59055118110236227" bottom="0.59055118110236227" header="0.31496062992125984" footer="0.31496062992125984"/>
  <pageSetup paperSize="9" scale="72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1:L35"/>
  <sheetViews>
    <sheetView zoomScale="80" zoomScaleNormal="80" workbookViewId="0" xr3:uid="{731C365F-4EDE-5636-9D2D-917179ED8537}">
      <selection activeCell="J24" sqref="J24"/>
    </sheetView>
  </sheetViews>
  <sheetFormatPr defaultColWidth="9.14453125" defaultRowHeight="15"/>
  <cols>
    <col min="1" max="1" width="2.28515625" style="2" customWidth="1"/>
    <col min="2" max="2" width="3.2265625" style="2" customWidth="1"/>
    <col min="3" max="3" width="10.76171875" style="2" customWidth="1"/>
    <col min="4" max="4" width="56.765625" style="2" customWidth="1"/>
    <col min="5" max="5" width="14.66015625" style="2" customWidth="1"/>
    <col min="6" max="6" width="12.64453125" style="2" customWidth="1"/>
    <col min="7" max="10" width="16.6796875" style="2" customWidth="1"/>
    <col min="11" max="11" width="18.6953125" style="2" customWidth="1"/>
    <col min="12" max="12" width="2.6875" style="2" customWidth="1"/>
    <col min="13" max="16384" width="9.14453125" style="2"/>
  </cols>
  <sheetData>
    <row r="1" spans="2:12" ht="15.75" thickBot="1"/>
    <row r="2" spans="2:12" ht="50.1" customHeight="1" thickBot="1">
      <c r="B2" s="188" t="s">
        <v>600</v>
      </c>
      <c r="C2" s="189"/>
      <c r="D2" s="189"/>
      <c r="E2" s="189"/>
      <c r="F2" s="189"/>
      <c r="G2" s="189"/>
      <c r="H2" s="189"/>
      <c r="I2" s="189"/>
      <c r="J2" s="189"/>
      <c r="K2" s="189"/>
      <c r="L2" s="190"/>
    </row>
    <row r="3" spans="2:12">
      <c r="B3" s="35"/>
      <c r="C3" s="36" t="s">
        <v>22</v>
      </c>
      <c r="D3" s="37"/>
      <c r="E3" s="38"/>
      <c r="F3" s="39"/>
      <c r="G3" s="39"/>
      <c r="H3" s="39"/>
      <c r="I3" s="39"/>
      <c r="J3" s="40"/>
      <c r="K3" s="41"/>
      <c r="L3" s="42"/>
    </row>
    <row r="4" spans="2:12" ht="6.95" customHeight="1">
      <c r="B4" s="35"/>
      <c r="C4" s="36"/>
      <c r="D4" s="37"/>
      <c r="E4" s="38"/>
      <c r="F4" s="39"/>
      <c r="G4" s="39"/>
      <c r="H4" s="39"/>
      <c r="I4" s="39"/>
      <c r="J4" s="40"/>
      <c r="K4" s="41"/>
      <c r="L4" s="42"/>
    </row>
    <row r="5" spans="2:12" ht="21.95" customHeight="1">
      <c r="B5" s="35"/>
      <c r="C5" s="191" t="s">
        <v>601</v>
      </c>
      <c r="D5" s="191"/>
      <c r="E5" s="191"/>
      <c r="F5" s="192"/>
      <c r="G5" s="39" t="s">
        <v>80</v>
      </c>
      <c r="H5" s="39" t="s">
        <v>81</v>
      </c>
      <c r="I5" s="39" t="s">
        <v>82</v>
      </c>
      <c r="J5" s="43" t="s">
        <v>83</v>
      </c>
      <c r="K5" s="43" t="s">
        <v>84</v>
      </c>
      <c r="L5" s="42"/>
    </row>
    <row r="6" spans="2:12" ht="21.95" customHeight="1">
      <c r="B6" s="44"/>
      <c r="C6" s="191"/>
      <c r="D6" s="191"/>
      <c r="E6" s="191"/>
      <c r="F6" s="192"/>
      <c r="G6" s="45">
        <f>SUMPRODUCT(E13:E33,G13:G33)</f>
        <v>0</v>
      </c>
      <c r="H6" s="45">
        <f>SUMPRODUCT(E13:E33,H13:H33)</f>
        <v>0</v>
      </c>
      <c r="I6" s="45">
        <f>SUMPRODUCT(E13:E33,I13:I33)</f>
        <v>0</v>
      </c>
      <c r="J6" s="46">
        <f>SUMPRODUCT(E13:E33,J13:J33)</f>
        <v>0</v>
      </c>
      <c r="K6" s="46">
        <f>K34</f>
        <v>0</v>
      </c>
      <c r="L6" s="42"/>
    </row>
    <row r="7" spans="2:12" ht="21.95" customHeight="1">
      <c r="B7" s="44"/>
      <c r="C7" s="191"/>
      <c r="D7" s="191"/>
      <c r="E7" s="191"/>
      <c r="F7" s="192"/>
      <c r="G7" s="47">
        <f>IF(K34&lt;&gt;0,G6/K34,0)</f>
        <v>0</v>
      </c>
      <c r="H7" s="47">
        <f>IF(K34&lt;&gt;0,H6/K34,0)</f>
        <v>0</v>
      </c>
      <c r="I7" s="47">
        <f>IF(K34&lt;&gt;0,I6/K34,0)</f>
        <v>0</v>
      </c>
      <c r="J7" s="48">
        <f>IF(K34&lt;&gt;0,J6/K34,0)</f>
        <v>0</v>
      </c>
      <c r="K7" s="48">
        <f>IF(K34&lt;&gt;0,K6/ORC_Custo!G33,0)</f>
        <v>0</v>
      </c>
      <c r="L7" s="42"/>
    </row>
    <row r="8" spans="2:12" ht="6.95" customHeight="1">
      <c r="B8" s="35"/>
      <c r="C8" s="49"/>
      <c r="D8" s="50"/>
      <c r="E8" s="51"/>
      <c r="F8" s="52"/>
      <c r="G8" s="52"/>
      <c r="H8" s="52"/>
      <c r="I8" s="52"/>
      <c r="J8" s="53"/>
      <c r="K8" s="54"/>
      <c r="L8" s="42"/>
    </row>
    <row r="9" spans="2:12" ht="6.95" customHeight="1" thickBot="1">
      <c r="B9" s="35"/>
      <c r="C9" s="55"/>
      <c r="D9" s="56"/>
      <c r="E9" s="51"/>
      <c r="F9" s="52"/>
      <c r="G9" s="52"/>
      <c r="H9" s="52"/>
      <c r="I9" s="52"/>
      <c r="J9" s="53"/>
      <c r="K9" s="54"/>
      <c r="L9" s="42"/>
    </row>
    <row r="10" spans="2:12" ht="30" customHeight="1" thickBot="1">
      <c r="B10" s="193" t="s">
        <v>85</v>
      </c>
      <c r="C10" s="194"/>
      <c r="D10" s="197" t="s">
        <v>86</v>
      </c>
      <c r="E10" s="199" t="s">
        <v>87</v>
      </c>
      <c r="F10" s="201" t="s">
        <v>88</v>
      </c>
      <c r="G10" s="203" t="s">
        <v>89</v>
      </c>
      <c r="H10" s="204"/>
      <c r="I10" s="204"/>
      <c r="J10" s="205"/>
      <c r="K10" s="206" t="s">
        <v>90</v>
      </c>
      <c r="L10" s="207"/>
    </row>
    <row r="11" spans="2:12" ht="30" customHeight="1" thickBot="1">
      <c r="B11" s="195"/>
      <c r="C11" s="196"/>
      <c r="D11" s="198"/>
      <c r="E11" s="200"/>
      <c r="F11" s="202"/>
      <c r="G11" s="101" t="s">
        <v>91</v>
      </c>
      <c r="H11" s="101" t="s">
        <v>92</v>
      </c>
      <c r="I11" s="101" t="s">
        <v>93</v>
      </c>
      <c r="J11" s="102" t="s">
        <v>94</v>
      </c>
      <c r="K11" s="208"/>
      <c r="L11" s="209"/>
    </row>
    <row r="12" spans="2:12" ht="6.95" customHeight="1">
      <c r="B12" s="57"/>
      <c r="C12" s="58"/>
      <c r="D12" s="59"/>
      <c r="E12" s="60"/>
      <c r="F12" s="61"/>
      <c r="G12" s="61"/>
      <c r="H12" s="61"/>
      <c r="I12" s="61"/>
      <c r="J12" s="60"/>
      <c r="K12" s="62"/>
      <c r="L12" s="63"/>
    </row>
    <row r="13" spans="2:12" ht="21.95" customHeight="1">
      <c r="B13" s="57"/>
      <c r="C13" s="64" t="s">
        <v>444</v>
      </c>
      <c r="D13" s="65"/>
      <c r="E13" s="66"/>
      <c r="F13" s="67" t="s">
        <v>96</v>
      </c>
      <c r="G13" s="67"/>
      <c r="H13" s="67"/>
      <c r="I13" s="67"/>
      <c r="J13" s="68"/>
      <c r="K13" s="69">
        <f>(G13+H13+I13+J13)*E13</f>
        <v>0</v>
      </c>
      <c r="L13" s="63"/>
    </row>
    <row r="14" spans="2:12" ht="21.95" customHeight="1">
      <c r="B14" s="57"/>
      <c r="C14" s="64" t="s">
        <v>445</v>
      </c>
      <c r="D14" s="65"/>
      <c r="E14" s="66"/>
      <c r="F14" s="67" t="s">
        <v>96</v>
      </c>
      <c r="G14" s="67"/>
      <c r="H14" s="67"/>
      <c r="I14" s="67"/>
      <c r="J14" s="70"/>
      <c r="K14" s="69">
        <f t="shared" ref="K14:K32" si="0">(G14+H14+I14+J14)*E14</f>
        <v>0</v>
      </c>
      <c r="L14" s="63"/>
    </row>
    <row r="15" spans="2:12" ht="21.95" customHeight="1">
      <c r="B15" s="57"/>
      <c r="C15" s="64" t="s">
        <v>446</v>
      </c>
      <c r="D15" s="65"/>
      <c r="E15" s="66"/>
      <c r="F15" s="67" t="s">
        <v>96</v>
      </c>
      <c r="G15" s="67"/>
      <c r="H15" s="67"/>
      <c r="I15" s="67"/>
      <c r="J15" s="68"/>
      <c r="K15" s="69">
        <f t="shared" si="0"/>
        <v>0</v>
      </c>
      <c r="L15" s="63"/>
    </row>
    <row r="16" spans="2:12" ht="21.95" customHeight="1">
      <c r="B16" s="57"/>
      <c r="C16" s="64" t="s">
        <v>447</v>
      </c>
      <c r="D16" s="65"/>
      <c r="E16" s="66"/>
      <c r="F16" s="67" t="s">
        <v>96</v>
      </c>
      <c r="G16" s="71"/>
      <c r="H16" s="71"/>
      <c r="I16" s="71"/>
      <c r="J16" s="69"/>
      <c r="K16" s="69">
        <f t="shared" si="0"/>
        <v>0</v>
      </c>
      <c r="L16" s="63"/>
    </row>
    <row r="17" spans="2:12" ht="21.95" customHeight="1">
      <c r="B17" s="57"/>
      <c r="C17" s="64" t="s">
        <v>448</v>
      </c>
      <c r="D17" s="65"/>
      <c r="E17" s="66"/>
      <c r="F17" s="67" t="s">
        <v>96</v>
      </c>
      <c r="G17" s="67"/>
      <c r="H17" s="67"/>
      <c r="I17" s="67"/>
      <c r="J17" s="68"/>
      <c r="K17" s="69">
        <f t="shared" si="0"/>
        <v>0</v>
      </c>
      <c r="L17" s="63"/>
    </row>
    <row r="18" spans="2:12" ht="21.95" customHeight="1">
      <c r="B18" s="57"/>
      <c r="C18" s="64" t="s">
        <v>449</v>
      </c>
      <c r="D18" s="65"/>
      <c r="E18" s="66"/>
      <c r="F18" s="67" t="s">
        <v>96</v>
      </c>
      <c r="G18" s="71"/>
      <c r="H18" s="71"/>
      <c r="I18" s="71"/>
      <c r="J18" s="69"/>
      <c r="K18" s="69">
        <f t="shared" si="0"/>
        <v>0</v>
      </c>
      <c r="L18" s="63"/>
    </row>
    <row r="19" spans="2:12" ht="21.95" customHeight="1">
      <c r="B19" s="57"/>
      <c r="C19" s="64" t="s">
        <v>450</v>
      </c>
      <c r="D19" s="65"/>
      <c r="E19" s="66"/>
      <c r="F19" s="67" t="s">
        <v>96</v>
      </c>
      <c r="G19" s="67"/>
      <c r="H19" s="67"/>
      <c r="I19" s="67"/>
      <c r="J19" s="68"/>
      <c r="K19" s="69">
        <f t="shared" si="0"/>
        <v>0</v>
      </c>
      <c r="L19" s="63"/>
    </row>
    <row r="20" spans="2:12" ht="21.95" customHeight="1">
      <c r="B20" s="57"/>
      <c r="C20" s="64" t="s">
        <v>451</v>
      </c>
      <c r="D20" s="65"/>
      <c r="E20" s="66"/>
      <c r="F20" s="67" t="s">
        <v>96</v>
      </c>
      <c r="G20" s="71"/>
      <c r="H20" s="71"/>
      <c r="I20" s="71"/>
      <c r="J20" s="69"/>
      <c r="K20" s="69">
        <f t="shared" si="0"/>
        <v>0</v>
      </c>
      <c r="L20" s="63"/>
    </row>
    <row r="21" spans="2:12" ht="21.95" customHeight="1">
      <c r="B21" s="57"/>
      <c r="C21" s="64" t="s">
        <v>452</v>
      </c>
      <c r="D21" s="65"/>
      <c r="E21" s="66"/>
      <c r="F21" s="67" t="s">
        <v>96</v>
      </c>
      <c r="G21" s="71"/>
      <c r="H21" s="71"/>
      <c r="I21" s="71"/>
      <c r="J21" s="69"/>
      <c r="K21" s="69">
        <f t="shared" si="0"/>
        <v>0</v>
      </c>
      <c r="L21" s="63"/>
    </row>
    <row r="22" spans="2:12" ht="21.95" customHeight="1">
      <c r="B22" s="57"/>
      <c r="C22" s="64" t="s">
        <v>453</v>
      </c>
      <c r="D22" s="65"/>
      <c r="E22" s="66"/>
      <c r="F22" s="67" t="s">
        <v>96</v>
      </c>
      <c r="G22" s="71"/>
      <c r="H22" s="71"/>
      <c r="I22" s="71"/>
      <c r="J22" s="69"/>
      <c r="K22" s="69">
        <f t="shared" si="0"/>
        <v>0</v>
      </c>
      <c r="L22" s="63"/>
    </row>
    <row r="23" spans="2:12" ht="21.95" customHeight="1">
      <c r="B23" s="57"/>
      <c r="C23" s="64" t="s">
        <v>454</v>
      </c>
      <c r="D23" s="65"/>
      <c r="E23" s="66"/>
      <c r="F23" s="67" t="s">
        <v>96</v>
      </c>
      <c r="G23" s="71"/>
      <c r="H23" s="71"/>
      <c r="I23" s="71"/>
      <c r="J23" s="69"/>
      <c r="K23" s="69">
        <f t="shared" si="0"/>
        <v>0</v>
      </c>
      <c r="L23" s="63"/>
    </row>
    <row r="24" spans="2:12" ht="21.95" customHeight="1">
      <c r="B24" s="57"/>
      <c r="C24" s="64" t="s">
        <v>455</v>
      </c>
      <c r="D24" s="65"/>
      <c r="E24" s="66"/>
      <c r="F24" s="67" t="s">
        <v>96</v>
      </c>
      <c r="G24" s="71"/>
      <c r="H24" s="71"/>
      <c r="I24" s="71"/>
      <c r="J24" s="69"/>
      <c r="K24" s="69">
        <f t="shared" si="0"/>
        <v>0</v>
      </c>
      <c r="L24" s="63"/>
    </row>
    <row r="25" spans="2:12" ht="21.95" customHeight="1">
      <c r="B25" s="57"/>
      <c r="C25" s="64" t="s">
        <v>456</v>
      </c>
      <c r="D25" s="65"/>
      <c r="E25" s="66"/>
      <c r="F25" s="67" t="s">
        <v>96</v>
      </c>
      <c r="G25" s="71"/>
      <c r="H25" s="71"/>
      <c r="I25" s="71"/>
      <c r="J25" s="69"/>
      <c r="K25" s="69">
        <f t="shared" si="0"/>
        <v>0</v>
      </c>
      <c r="L25" s="63"/>
    </row>
    <row r="26" spans="2:12" ht="21.95" customHeight="1">
      <c r="B26" s="57"/>
      <c r="C26" s="64" t="s">
        <v>457</v>
      </c>
      <c r="D26" s="65"/>
      <c r="E26" s="66"/>
      <c r="F26" s="67" t="s">
        <v>96</v>
      </c>
      <c r="G26" s="71"/>
      <c r="H26" s="71"/>
      <c r="I26" s="71"/>
      <c r="J26" s="69"/>
      <c r="K26" s="69">
        <f t="shared" si="0"/>
        <v>0</v>
      </c>
      <c r="L26" s="63"/>
    </row>
    <row r="27" spans="2:12" ht="21.95" customHeight="1">
      <c r="B27" s="57"/>
      <c r="C27" s="64" t="s">
        <v>458</v>
      </c>
      <c r="D27" s="65"/>
      <c r="E27" s="66"/>
      <c r="F27" s="67" t="s">
        <v>96</v>
      </c>
      <c r="G27" s="71"/>
      <c r="H27" s="71"/>
      <c r="I27" s="71"/>
      <c r="J27" s="69"/>
      <c r="K27" s="69">
        <f t="shared" si="0"/>
        <v>0</v>
      </c>
      <c r="L27" s="63"/>
    </row>
    <row r="28" spans="2:12" ht="21.95" customHeight="1">
      <c r="B28" s="57"/>
      <c r="C28" s="64" t="s">
        <v>459</v>
      </c>
      <c r="D28" s="65"/>
      <c r="E28" s="66"/>
      <c r="F28" s="67" t="s">
        <v>96</v>
      </c>
      <c r="G28" s="71"/>
      <c r="H28" s="71"/>
      <c r="I28" s="71"/>
      <c r="J28" s="69"/>
      <c r="K28" s="69">
        <f t="shared" si="0"/>
        <v>0</v>
      </c>
      <c r="L28" s="63"/>
    </row>
    <row r="29" spans="2:12" ht="21.95" customHeight="1">
      <c r="B29" s="57"/>
      <c r="C29" s="64" t="s">
        <v>460</v>
      </c>
      <c r="D29" s="65"/>
      <c r="E29" s="66"/>
      <c r="F29" s="67" t="s">
        <v>96</v>
      </c>
      <c r="G29" s="71"/>
      <c r="H29" s="71"/>
      <c r="I29" s="71"/>
      <c r="J29" s="69"/>
      <c r="K29" s="69">
        <f t="shared" si="0"/>
        <v>0</v>
      </c>
      <c r="L29" s="63"/>
    </row>
    <row r="30" spans="2:12" ht="21.95" customHeight="1">
      <c r="B30" s="57"/>
      <c r="C30" s="64" t="s">
        <v>461</v>
      </c>
      <c r="D30" s="65"/>
      <c r="E30" s="66"/>
      <c r="F30" s="67" t="s">
        <v>96</v>
      </c>
      <c r="G30" s="71"/>
      <c r="H30" s="71"/>
      <c r="I30" s="71"/>
      <c r="J30" s="69"/>
      <c r="K30" s="69">
        <f t="shared" si="0"/>
        <v>0</v>
      </c>
      <c r="L30" s="63"/>
    </row>
    <row r="31" spans="2:12" ht="21.95" customHeight="1">
      <c r="B31" s="57"/>
      <c r="C31" s="64" t="s">
        <v>462</v>
      </c>
      <c r="D31" s="65"/>
      <c r="E31" s="66"/>
      <c r="F31" s="67" t="s">
        <v>96</v>
      </c>
      <c r="G31" s="71"/>
      <c r="H31" s="71"/>
      <c r="I31" s="71"/>
      <c r="J31" s="69"/>
      <c r="K31" s="69">
        <f t="shared" si="0"/>
        <v>0</v>
      </c>
      <c r="L31" s="63"/>
    </row>
    <row r="32" spans="2:12" ht="21.95" customHeight="1">
      <c r="B32" s="57"/>
      <c r="C32" s="64" t="s">
        <v>463</v>
      </c>
      <c r="D32" s="65"/>
      <c r="E32" s="66"/>
      <c r="F32" s="67" t="s">
        <v>96</v>
      </c>
      <c r="G32" s="67"/>
      <c r="H32" s="67"/>
      <c r="I32" s="67"/>
      <c r="J32" s="68"/>
      <c r="K32" s="69">
        <f t="shared" si="0"/>
        <v>0</v>
      </c>
      <c r="L32" s="63"/>
    </row>
    <row r="33" spans="2:12" ht="6.95" customHeight="1" thickBot="1">
      <c r="B33" s="72"/>
      <c r="C33" s="73"/>
      <c r="D33" s="74"/>
      <c r="E33" s="75"/>
      <c r="F33" s="76"/>
      <c r="G33" s="76"/>
      <c r="H33" s="76"/>
      <c r="I33" s="76"/>
      <c r="J33" s="75"/>
      <c r="K33" s="77"/>
      <c r="L33" s="78"/>
    </row>
    <row r="34" spans="2:12" ht="30" customHeight="1">
      <c r="B34" s="103"/>
      <c r="C34" s="104"/>
      <c r="D34" s="105" t="s">
        <v>116</v>
      </c>
      <c r="E34" s="106"/>
      <c r="F34" s="107"/>
      <c r="G34" s="107"/>
      <c r="H34" s="107"/>
      <c r="I34" s="107"/>
      <c r="J34" s="108"/>
      <c r="K34" s="109">
        <f>SUM(K13:K33)</f>
        <v>0</v>
      </c>
      <c r="L34" s="110"/>
    </row>
    <row r="35" spans="2:12" ht="9.9499999999999993" customHeight="1" thickBot="1">
      <c r="B35" s="111"/>
      <c r="C35" s="112"/>
      <c r="D35" s="113"/>
      <c r="E35" s="114"/>
      <c r="F35" s="115"/>
      <c r="G35" s="116"/>
      <c r="H35" s="116"/>
      <c r="I35" s="116"/>
      <c r="J35" s="116"/>
      <c r="K35" s="117"/>
      <c r="L35" s="118"/>
    </row>
  </sheetData>
  <mergeCells count="8">
    <mergeCell ref="B2:L2"/>
    <mergeCell ref="C5:F7"/>
    <mergeCell ref="B10:C11"/>
    <mergeCell ref="D10:D11"/>
    <mergeCell ref="E10:E11"/>
    <mergeCell ref="F10:F11"/>
    <mergeCell ref="G10:J10"/>
    <mergeCell ref="K10:L11"/>
  </mergeCells>
  <dataValidations count="1">
    <dataValidation type="list" allowBlank="1" showInputMessage="1" showErrorMessage="1" sqref="F13:F32" xr:uid="{00000000-0002-0000-1400-000000000000}">
      <formula1>"m,m²,m³,kg,L,un,vb"</formula1>
    </dataValidation>
  </dataValidations>
  <pageMargins left="0.51181102362204722" right="0.51181102362204722" top="0.59055118110236227" bottom="0.59055118110236227" header="0.31496062992125984" footer="0.31496062992125984"/>
  <pageSetup paperSize="9" scale="72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1:L35"/>
  <sheetViews>
    <sheetView zoomScale="80" zoomScaleNormal="80" workbookViewId="0" xr3:uid="{0801C90D-E949-51CC-9495-7D82D7DEDABF}">
      <selection activeCell="G13" sqref="G13:J13"/>
    </sheetView>
  </sheetViews>
  <sheetFormatPr defaultColWidth="9.14453125" defaultRowHeight="15"/>
  <cols>
    <col min="1" max="1" width="2.28515625" style="2" customWidth="1"/>
    <col min="2" max="2" width="3.2265625" style="2" customWidth="1"/>
    <col min="3" max="3" width="10.76171875" style="2" customWidth="1"/>
    <col min="4" max="4" width="56.765625" style="2" customWidth="1"/>
    <col min="5" max="5" width="14.66015625" style="2" customWidth="1"/>
    <col min="6" max="6" width="12.64453125" style="2" customWidth="1"/>
    <col min="7" max="10" width="16.6796875" style="2" customWidth="1"/>
    <col min="11" max="11" width="18.6953125" style="2" customWidth="1"/>
    <col min="12" max="12" width="2.6875" style="2" customWidth="1"/>
    <col min="13" max="16384" width="9.14453125" style="2"/>
  </cols>
  <sheetData>
    <row r="1" spans="2:12" ht="15.75" thickBot="1"/>
    <row r="2" spans="2:12" ht="50.1" customHeight="1" thickBot="1">
      <c r="B2" s="188" t="s">
        <v>605</v>
      </c>
      <c r="C2" s="189"/>
      <c r="D2" s="189"/>
      <c r="E2" s="189"/>
      <c r="F2" s="189"/>
      <c r="G2" s="189"/>
      <c r="H2" s="189"/>
      <c r="I2" s="189"/>
      <c r="J2" s="189"/>
      <c r="K2" s="189"/>
      <c r="L2" s="190"/>
    </row>
    <row r="3" spans="2:12">
      <c r="B3" s="35"/>
      <c r="C3" s="36" t="s">
        <v>22</v>
      </c>
      <c r="D3" s="37"/>
      <c r="E3" s="38"/>
      <c r="F3" s="39"/>
      <c r="G3" s="39"/>
      <c r="H3" s="39"/>
      <c r="I3" s="39"/>
      <c r="J3" s="40"/>
      <c r="K3" s="41"/>
      <c r="L3" s="42"/>
    </row>
    <row r="4" spans="2:12" ht="6.95" customHeight="1">
      <c r="B4" s="35"/>
      <c r="C4" s="36"/>
      <c r="D4" s="37"/>
      <c r="E4" s="38"/>
      <c r="F4" s="39"/>
      <c r="G4" s="39"/>
      <c r="H4" s="39"/>
      <c r="I4" s="39"/>
      <c r="J4" s="40"/>
      <c r="K4" s="41"/>
      <c r="L4" s="42"/>
    </row>
    <row r="5" spans="2:12" ht="21.95" customHeight="1">
      <c r="B5" s="35"/>
      <c r="C5" s="191" t="s">
        <v>604</v>
      </c>
      <c r="D5" s="191"/>
      <c r="E5" s="191"/>
      <c r="F5" s="192"/>
      <c r="G5" s="39" t="s">
        <v>80</v>
      </c>
      <c r="H5" s="39" t="s">
        <v>81</v>
      </c>
      <c r="I5" s="39" t="s">
        <v>82</v>
      </c>
      <c r="J5" s="43" t="s">
        <v>83</v>
      </c>
      <c r="K5" s="43" t="s">
        <v>84</v>
      </c>
      <c r="L5" s="42"/>
    </row>
    <row r="6" spans="2:12" ht="21.95" customHeight="1">
      <c r="B6" s="44"/>
      <c r="C6" s="191"/>
      <c r="D6" s="191"/>
      <c r="E6" s="191"/>
      <c r="F6" s="192"/>
      <c r="G6" s="45">
        <f>SUMPRODUCT(E13:E33,G13:G33)</f>
        <v>0</v>
      </c>
      <c r="H6" s="45">
        <f>SUMPRODUCT(E13:E33,H13:H33)</f>
        <v>0</v>
      </c>
      <c r="I6" s="45">
        <f>SUMPRODUCT(E13:E33,I13:I33)</f>
        <v>0</v>
      </c>
      <c r="J6" s="46">
        <f>SUMPRODUCT(E13:E33,J13:J33)</f>
        <v>0</v>
      </c>
      <c r="K6" s="46">
        <f>K34</f>
        <v>0</v>
      </c>
      <c r="L6" s="42"/>
    </row>
    <row r="7" spans="2:12" ht="21.95" customHeight="1">
      <c r="B7" s="44"/>
      <c r="C7" s="191"/>
      <c r="D7" s="191"/>
      <c r="E7" s="191"/>
      <c r="F7" s="192"/>
      <c r="G7" s="47">
        <f>IF(K34&lt;&gt;0,G6/K34,0)</f>
        <v>0</v>
      </c>
      <c r="H7" s="47">
        <f>IF(K34&lt;&gt;0,H6/K34,0)</f>
        <v>0</v>
      </c>
      <c r="I7" s="47">
        <f>IF(K34&lt;&gt;0,I6/K34,0)</f>
        <v>0</v>
      </c>
      <c r="J7" s="48">
        <f>IF(K34&lt;&gt;0,J6/K34,0)</f>
        <v>0</v>
      </c>
      <c r="K7" s="48">
        <f>IF(K34&lt;&gt;0,K6/ORC_Custo!G33,0)</f>
        <v>0</v>
      </c>
      <c r="L7" s="42"/>
    </row>
    <row r="8" spans="2:12" ht="6.95" customHeight="1">
      <c r="B8" s="35"/>
      <c r="C8" s="49"/>
      <c r="D8" s="50"/>
      <c r="E8" s="51"/>
      <c r="F8" s="52"/>
      <c r="G8" s="52"/>
      <c r="H8" s="52"/>
      <c r="I8" s="52"/>
      <c r="J8" s="53"/>
      <c r="K8" s="54"/>
      <c r="L8" s="42"/>
    </row>
    <row r="9" spans="2:12" ht="6.95" customHeight="1" thickBot="1">
      <c r="B9" s="35"/>
      <c r="C9" s="55"/>
      <c r="D9" s="56"/>
      <c r="E9" s="51"/>
      <c r="F9" s="52"/>
      <c r="G9" s="52"/>
      <c r="H9" s="52"/>
      <c r="I9" s="52"/>
      <c r="J9" s="53"/>
      <c r="K9" s="54"/>
      <c r="L9" s="42"/>
    </row>
    <row r="10" spans="2:12" ht="30" customHeight="1" thickBot="1">
      <c r="B10" s="193" t="s">
        <v>85</v>
      </c>
      <c r="C10" s="194"/>
      <c r="D10" s="197" t="s">
        <v>86</v>
      </c>
      <c r="E10" s="199" t="s">
        <v>87</v>
      </c>
      <c r="F10" s="201" t="s">
        <v>88</v>
      </c>
      <c r="G10" s="203" t="s">
        <v>89</v>
      </c>
      <c r="H10" s="204"/>
      <c r="I10" s="204"/>
      <c r="J10" s="205"/>
      <c r="K10" s="206" t="s">
        <v>90</v>
      </c>
      <c r="L10" s="207"/>
    </row>
    <row r="11" spans="2:12" ht="30" customHeight="1" thickBot="1">
      <c r="B11" s="195"/>
      <c r="C11" s="196"/>
      <c r="D11" s="198"/>
      <c r="E11" s="200"/>
      <c r="F11" s="202"/>
      <c r="G11" s="101" t="s">
        <v>91</v>
      </c>
      <c r="H11" s="101" t="s">
        <v>92</v>
      </c>
      <c r="I11" s="101" t="s">
        <v>93</v>
      </c>
      <c r="J11" s="102" t="s">
        <v>94</v>
      </c>
      <c r="K11" s="208"/>
      <c r="L11" s="209"/>
    </row>
    <row r="12" spans="2:12" ht="6.95" customHeight="1">
      <c r="B12" s="57"/>
      <c r="C12" s="58"/>
      <c r="D12" s="59"/>
      <c r="E12" s="60"/>
      <c r="F12" s="61"/>
      <c r="G12" s="61"/>
      <c r="H12" s="61"/>
      <c r="I12" s="61"/>
      <c r="J12" s="60"/>
      <c r="K12" s="62"/>
      <c r="L12" s="63"/>
    </row>
    <row r="13" spans="2:12" ht="21.95" customHeight="1">
      <c r="B13" s="57"/>
      <c r="C13" s="64" t="s">
        <v>464</v>
      </c>
      <c r="D13" s="65"/>
      <c r="E13" s="66"/>
      <c r="F13" s="67" t="s">
        <v>96</v>
      </c>
      <c r="G13" s="67"/>
      <c r="H13" s="67"/>
      <c r="I13" s="67"/>
      <c r="J13" s="68"/>
      <c r="K13" s="69">
        <f>(G13+H13+I13+J13)*E13</f>
        <v>0</v>
      </c>
      <c r="L13" s="63"/>
    </row>
    <row r="14" spans="2:12" ht="21.95" customHeight="1">
      <c r="B14" s="57"/>
      <c r="C14" s="64" t="s">
        <v>465</v>
      </c>
      <c r="D14" s="65"/>
      <c r="E14" s="66"/>
      <c r="F14" s="67" t="s">
        <v>96</v>
      </c>
      <c r="G14" s="67"/>
      <c r="H14" s="67"/>
      <c r="I14" s="67"/>
      <c r="J14" s="70"/>
      <c r="K14" s="69">
        <f t="shared" ref="K14:K32" si="0">(G14+H14+I14+J14)*E14</f>
        <v>0</v>
      </c>
      <c r="L14" s="63"/>
    </row>
    <row r="15" spans="2:12" ht="21.95" customHeight="1">
      <c r="B15" s="57"/>
      <c r="C15" s="64" t="s">
        <v>466</v>
      </c>
      <c r="D15" s="65"/>
      <c r="E15" s="66"/>
      <c r="F15" s="67" t="s">
        <v>96</v>
      </c>
      <c r="G15" s="67"/>
      <c r="H15" s="67"/>
      <c r="I15" s="67"/>
      <c r="J15" s="68"/>
      <c r="K15" s="69">
        <f t="shared" si="0"/>
        <v>0</v>
      </c>
      <c r="L15" s="63"/>
    </row>
    <row r="16" spans="2:12" ht="21.95" customHeight="1">
      <c r="B16" s="57"/>
      <c r="C16" s="64" t="s">
        <v>467</v>
      </c>
      <c r="D16" s="65"/>
      <c r="E16" s="66"/>
      <c r="F16" s="67" t="s">
        <v>96</v>
      </c>
      <c r="G16" s="71"/>
      <c r="H16" s="71"/>
      <c r="I16" s="71"/>
      <c r="J16" s="69"/>
      <c r="K16" s="69">
        <f t="shared" si="0"/>
        <v>0</v>
      </c>
      <c r="L16" s="63"/>
    </row>
    <row r="17" spans="2:12" ht="21.95" customHeight="1">
      <c r="B17" s="57"/>
      <c r="C17" s="64" t="s">
        <v>468</v>
      </c>
      <c r="D17" s="65"/>
      <c r="E17" s="66"/>
      <c r="F17" s="67" t="s">
        <v>96</v>
      </c>
      <c r="G17" s="67"/>
      <c r="H17" s="67"/>
      <c r="I17" s="67"/>
      <c r="J17" s="68"/>
      <c r="K17" s="69">
        <f t="shared" si="0"/>
        <v>0</v>
      </c>
      <c r="L17" s="63"/>
    </row>
    <row r="18" spans="2:12" ht="21.95" customHeight="1">
      <c r="B18" s="57"/>
      <c r="C18" s="64" t="s">
        <v>469</v>
      </c>
      <c r="D18" s="65"/>
      <c r="E18" s="66"/>
      <c r="F18" s="67" t="s">
        <v>96</v>
      </c>
      <c r="G18" s="71"/>
      <c r="H18" s="71"/>
      <c r="I18" s="71"/>
      <c r="J18" s="69"/>
      <c r="K18" s="69">
        <f t="shared" si="0"/>
        <v>0</v>
      </c>
      <c r="L18" s="63"/>
    </row>
    <row r="19" spans="2:12" ht="21.95" customHeight="1">
      <c r="B19" s="57"/>
      <c r="C19" s="64" t="s">
        <v>470</v>
      </c>
      <c r="D19" s="65"/>
      <c r="E19" s="66"/>
      <c r="F19" s="67" t="s">
        <v>96</v>
      </c>
      <c r="G19" s="67"/>
      <c r="H19" s="67"/>
      <c r="I19" s="67"/>
      <c r="J19" s="68"/>
      <c r="K19" s="69">
        <f t="shared" si="0"/>
        <v>0</v>
      </c>
      <c r="L19" s="63"/>
    </row>
    <row r="20" spans="2:12" ht="21.95" customHeight="1">
      <c r="B20" s="57"/>
      <c r="C20" s="64" t="s">
        <v>471</v>
      </c>
      <c r="D20" s="65"/>
      <c r="E20" s="66"/>
      <c r="F20" s="67" t="s">
        <v>96</v>
      </c>
      <c r="G20" s="71"/>
      <c r="H20" s="71"/>
      <c r="I20" s="71"/>
      <c r="J20" s="69"/>
      <c r="K20" s="69">
        <f t="shared" si="0"/>
        <v>0</v>
      </c>
      <c r="L20" s="63"/>
    </row>
    <row r="21" spans="2:12" ht="21.95" customHeight="1">
      <c r="B21" s="57"/>
      <c r="C21" s="64" t="s">
        <v>472</v>
      </c>
      <c r="D21" s="65"/>
      <c r="E21" s="66"/>
      <c r="F21" s="67" t="s">
        <v>96</v>
      </c>
      <c r="G21" s="71"/>
      <c r="H21" s="71"/>
      <c r="I21" s="71"/>
      <c r="J21" s="69"/>
      <c r="K21" s="69">
        <f t="shared" si="0"/>
        <v>0</v>
      </c>
      <c r="L21" s="63"/>
    </row>
    <row r="22" spans="2:12" ht="21.95" customHeight="1">
      <c r="B22" s="57"/>
      <c r="C22" s="64" t="s">
        <v>473</v>
      </c>
      <c r="D22" s="65"/>
      <c r="E22" s="66"/>
      <c r="F22" s="67" t="s">
        <v>96</v>
      </c>
      <c r="G22" s="71"/>
      <c r="H22" s="71"/>
      <c r="I22" s="71"/>
      <c r="J22" s="69"/>
      <c r="K22" s="69">
        <f t="shared" si="0"/>
        <v>0</v>
      </c>
      <c r="L22" s="63"/>
    </row>
    <row r="23" spans="2:12" ht="21.95" customHeight="1">
      <c r="B23" s="57"/>
      <c r="C23" s="64" t="s">
        <v>474</v>
      </c>
      <c r="D23" s="65"/>
      <c r="E23" s="66"/>
      <c r="F23" s="67" t="s">
        <v>96</v>
      </c>
      <c r="G23" s="71"/>
      <c r="H23" s="71"/>
      <c r="I23" s="71"/>
      <c r="J23" s="69"/>
      <c r="K23" s="69">
        <f t="shared" si="0"/>
        <v>0</v>
      </c>
      <c r="L23" s="63"/>
    </row>
    <row r="24" spans="2:12" ht="21.95" customHeight="1">
      <c r="B24" s="57"/>
      <c r="C24" s="64" t="s">
        <v>475</v>
      </c>
      <c r="D24" s="65"/>
      <c r="E24" s="66"/>
      <c r="F24" s="67" t="s">
        <v>96</v>
      </c>
      <c r="G24" s="71"/>
      <c r="H24" s="71"/>
      <c r="I24" s="71"/>
      <c r="J24" s="69"/>
      <c r="K24" s="69">
        <f t="shared" si="0"/>
        <v>0</v>
      </c>
      <c r="L24" s="63"/>
    </row>
    <row r="25" spans="2:12" ht="21.95" customHeight="1">
      <c r="B25" s="57"/>
      <c r="C25" s="64" t="s">
        <v>476</v>
      </c>
      <c r="D25" s="65"/>
      <c r="E25" s="66"/>
      <c r="F25" s="67" t="s">
        <v>96</v>
      </c>
      <c r="G25" s="71"/>
      <c r="H25" s="71"/>
      <c r="I25" s="71"/>
      <c r="J25" s="69"/>
      <c r="K25" s="69">
        <f t="shared" si="0"/>
        <v>0</v>
      </c>
      <c r="L25" s="63"/>
    </row>
    <row r="26" spans="2:12" ht="21.95" customHeight="1">
      <c r="B26" s="57"/>
      <c r="C26" s="64" t="s">
        <v>477</v>
      </c>
      <c r="D26" s="65"/>
      <c r="E26" s="66"/>
      <c r="F26" s="67" t="s">
        <v>96</v>
      </c>
      <c r="G26" s="71"/>
      <c r="H26" s="71"/>
      <c r="I26" s="71"/>
      <c r="J26" s="69"/>
      <c r="K26" s="69">
        <f t="shared" si="0"/>
        <v>0</v>
      </c>
      <c r="L26" s="63"/>
    </row>
    <row r="27" spans="2:12" ht="21.95" customHeight="1">
      <c r="B27" s="57"/>
      <c r="C27" s="64" t="s">
        <v>478</v>
      </c>
      <c r="D27" s="65"/>
      <c r="E27" s="66"/>
      <c r="F27" s="67" t="s">
        <v>96</v>
      </c>
      <c r="G27" s="71"/>
      <c r="H27" s="71"/>
      <c r="I27" s="71"/>
      <c r="J27" s="69"/>
      <c r="K27" s="69">
        <f t="shared" si="0"/>
        <v>0</v>
      </c>
      <c r="L27" s="63"/>
    </row>
    <row r="28" spans="2:12" ht="21.95" customHeight="1">
      <c r="B28" s="57"/>
      <c r="C28" s="64" t="s">
        <v>479</v>
      </c>
      <c r="D28" s="65"/>
      <c r="E28" s="66"/>
      <c r="F28" s="67" t="s">
        <v>96</v>
      </c>
      <c r="G28" s="71"/>
      <c r="H28" s="71"/>
      <c r="I28" s="71"/>
      <c r="J28" s="69"/>
      <c r="K28" s="69">
        <f t="shared" si="0"/>
        <v>0</v>
      </c>
      <c r="L28" s="63"/>
    </row>
    <row r="29" spans="2:12" ht="21.95" customHeight="1">
      <c r="B29" s="57"/>
      <c r="C29" s="64" t="s">
        <v>480</v>
      </c>
      <c r="D29" s="65"/>
      <c r="E29" s="66"/>
      <c r="F29" s="67" t="s">
        <v>96</v>
      </c>
      <c r="G29" s="71"/>
      <c r="H29" s="71"/>
      <c r="I29" s="71"/>
      <c r="J29" s="69"/>
      <c r="K29" s="69">
        <f t="shared" si="0"/>
        <v>0</v>
      </c>
      <c r="L29" s="63"/>
    </row>
    <row r="30" spans="2:12" ht="21.95" customHeight="1">
      <c r="B30" s="57"/>
      <c r="C30" s="64" t="s">
        <v>481</v>
      </c>
      <c r="D30" s="65"/>
      <c r="E30" s="66"/>
      <c r="F30" s="67" t="s">
        <v>96</v>
      </c>
      <c r="G30" s="71"/>
      <c r="H30" s="71"/>
      <c r="I30" s="71"/>
      <c r="J30" s="69"/>
      <c r="K30" s="69">
        <f t="shared" si="0"/>
        <v>0</v>
      </c>
      <c r="L30" s="63"/>
    </row>
    <row r="31" spans="2:12" ht="21.95" customHeight="1">
      <c r="B31" s="57"/>
      <c r="C31" s="64" t="s">
        <v>482</v>
      </c>
      <c r="D31" s="65"/>
      <c r="E31" s="66"/>
      <c r="F31" s="67" t="s">
        <v>96</v>
      </c>
      <c r="G31" s="71"/>
      <c r="H31" s="71"/>
      <c r="I31" s="71"/>
      <c r="J31" s="69"/>
      <c r="K31" s="69">
        <f t="shared" si="0"/>
        <v>0</v>
      </c>
      <c r="L31" s="63"/>
    </row>
    <row r="32" spans="2:12" ht="21.95" customHeight="1">
      <c r="B32" s="57"/>
      <c r="C32" s="64" t="s">
        <v>483</v>
      </c>
      <c r="D32" s="65"/>
      <c r="E32" s="66"/>
      <c r="F32" s="67" t="s">
        <v>96</v>
      </c>
      <c r="G32" s="67"/>
      <c r="H32" s="67"/>
      <c r="I32" s="67"/>
      <c r="J32" s="68"/>
      <c r="K32" s="69">
        <f t="shared" si="0"/>
        <v>0</v>
      </c>
      <c r="L32" s="63"/>
    </row>
    <row r="33" spans="2:12" ht="6.95" customHeight="1" thickBot="1">
      <c r="B33" s="72"/>
      <c r="C33" s="73"/>
      <c r="D33" s="74"/>
      <c r="E33" s="75"/>
      <c r="F33" s="76"/>
      <c r="G33" s="76"/>
      <c r="H33" s="76"/>
      <c r="I33" s="76"/>
      <c r="J33" s="75"/>
      <c r="K33" s="77"/>
      <c r="L33" s="78"/>
    </row>
    <row r="34" spans="2:12" ht="30" customHeight="1">
      <c r="B34" s="103"/>
      <c r="C34" s="104"/>
      <c r="D34" s="105" t="s">
        <v>116</v>
      </c>
      <c r="E34" s="106"/>
      <c r="F34" s="107"/>
      <c r="G34" s="107"/>
      <c r="H34" s="107"/>
      <c r="I34" s="107"/>
      <c r="J34" s="108"/>
      <c r="K34" s="109">
        <f>SUM(K13:K33)</f>
        <v>0</v>
      </c>
      <c r="L34" s="110"/>
    </row>
    <row r="35" spans="2:12" ht="9.9499999999999993" customHeight="1" thickBot="1">
      <c r="B35" s="111"/>
      <c r="C35" s="112"/>
      <c r="D35" s="113"/>
      <c r="E35" s="114"/>
      <c r="F35" s="115"/>
      <c r="G35" s="116"/>
      <c r="H35" s="116"/>
      <c r="I35" s="116"/>
      <c r="J35" s="116"/>
      <c r="K35" s="117"/>
      <c r="L35" s="118"/>
    </row>
  </sheetData>
  <mergeCells count="8">
    <mergeCell ref="B2:L2"/>
    <mergeCell ref="C5:F7"/>
    <mergeCell ref="B10:C11"/>
    <mergeCell ref="D10:D11"/>
    <mergeCell ref="E10:E11"/>
    <mergeCell ref="F10:F11"/>
    <mergeCell ref="G10:J10"/>
    <mergeCell ref="K10:L11"/>
  </mergeCells>
  <dataValidations count="1">
    <dataValidation type="list" allowBlank="1" showInputMessage="1" showErrorMessage="1" sqref="F13:F32" xr:uid="{00000000-0002-0000-1500-000000000000}">
      <formula1>"m,m²,m³,kg,L,un,vb"</formula1>
    </dataValidation>
  </dataValidations>
  <pageMargins left="0.51181102362204722" right="0.51181102362204722" top="0.59055118110236227" bottom="0.59055118110236227" header="0.31496062992125984" footer="0.31496062992125984"/>
  <pageSetup paperSize="9" scale="72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B1:L35"/>
  <sheetViews>
    <sheetView zoomScale="80" zoomScaleNormal="80" workbookViewId="0" xr3:uid="{AB5DE215-5931-5800-A1A6-141DC62B4C85}">
      <selection activeCell="G13" sqref="G13:J13"/>
    </sheetView>
  </sheetViews>
  <sheetFormatPr defaultColWidth="9.14453125" defaultRowHeight="15"/>
  <cols>
    <col min="1" max="1" width="2.28515625" style="2" customWidth="1"/>
    <col min="2" max="2" width="3.2265625" style="2" customWidth="1"/>
    <col min="3" max="3" width="10.76171875" style="2" customWidth="1"/>
    <col min="4" max="4" width="56.765625" style="2" customWidth="1"/>
    <col min="5" max="5" width="14.66015625" style="2" customWidth="1"/>
    <col min="6" max="6" width="12.64453125" style="2" customWidth="1"/>
    <col min="7" max="10" width="16.6796875" style="2" customWidth="1"/>
    <col min="11" max="11" width="18.6953125" style="2" customWidth="1"/>
    <col min="12" max="12" width="2.6875" style="2" customWidth="1"/>
    <col min="13" max="16384" width="9.14453125" style="2"/>
  </cols>
  <sheetData>
    <row r="1" spans="2:12" ht="15.75" thickBot="1"/>
    <row r="2" spans="2:12" ht="50.1" customHeight="1" thickBot="1">
      <c r="B2" s="188" t="s">
        <v>603</v>
      </c>
      <c r="C2" s="189"/>
      <c r="D2" s="189"/>
      <c r="E2" s="189"/>
      <c r="F2" s="189"/>
      <c r="G2" s="189"/>
      <c r="H2" s="189"/>
      <c r="I2" s="189"/>
      <c r="J2" s="189"/>
      <c r="K2" s="189"/>
      <c r="L2" s="190"/>
    </row>
    <row r="3" spans="2:12">
      <c r="B3" s="35"/>
      <c r="C3" s="36" t="s">
        <v>22</v>
      </c>
      <c r="D3" s="37"/>
      <c r="E3" s="38"/>
      <c r="F3" s="39"/>
      <c r="G3" s="39"/>
      <c r="H3" s="39"/>
      <c r="I3" s="39"/>
      <c r="J3" s="40"/>
      <c r="K3" s="41"/>
      <c r="L3" s="42"/>
    </row>
    <row r="4" spans="2:12" ht="6.95" customHeight="1">
      <c r="B4" s="35"/>
      <c r="C4" s="36"/>
      <c r="D4" s="37"/>
      <c r="E4" s="38"/>
      <c r="F4" s="39"/>
      <c r="G4" s="39"/>
      <c r="H4" s="39"/>
      <c r="I4" s="39"/>
      <c r="J4" s="40"/>
      <c r="K4" s="41"/>
      <c r="L4" s="42"/>
    </row>
    <row r="5" spans="2:12" ht="21.95" customHeight="1">
      <c r="B5" s="35"/>
      <c r="C5" s="191" t="s">
        <v>606</v>
      </c>
      <c r="D5" s="191"/>
      <c r="E5" s="191"/>
      <c r="F5" s="192"/>
      <c r="G5" s="39" t="s">
        <v>80</v>
      </c>
      <c r="H5" s="39" t="s">
        <v>81</v>
      </c>
      <c r="I5" s="39" t="s">
        <v>82</v>
      </c>
      <c r="J5" s="43" t="s">
        <v>83</v>
      </c>
      <c r="K5" s="43" t="s">
        <v>84</v>
      </c>
      <c r="L5" s="42"/>
    </row>
    <row r="6" spans="2:12" ht="21.95" customHeight="1">
      <c r="B6" s="44"/>
      <c r="C6" s="191"/>
      <c r="D6" s="191"/>
      <c r="E6" s="191"/>
      <c r="F6" s="192"/>
      <c r="G6" s="45">
        <f>SUMPRODUCT(E13:E33,G13:G33)</f>
        <v>0</v>
      </c>
      <c r="H6" s="45">
        <f>SUMPRODUCT(E13:E33,H13:H33)</f>
        <v>0</v>
      </c>
      <c r="I6" s="45">
        <f>SUMPRODUCT(E13:E33,I13:I33)</f>
        <v>0</v>
      </c>
      <c r="J6" s="46">
        <f>SUMPRODUCT(E13:E33,J13:J33)</f>
        <v>0</v>
      </c>
      <c r="K6" s="46">
        <f>K34</f>
        <v>0</v>
      </c>
      <c r="L6" s="42"/>
    </row>
    <row r="7" spans="2:12" ht="21.95" customHeight="1">
      <c r="B7" s="44"/>
      <c r="C7" s="191"/>
      <c r="D7" s="191"/>
      <c r="E7" s="191"/>
      <c r="F7" s="192"/>
      <c r="G7" s="47">
        <f>IF(K34&lt;&gt;0,G6/K34,0)</f>
        <v>0</v>
      </c>
      <c r="H7" s="47">
        <f>IF(K34&lt;&gt;0,H6/K34,0)</f>
        <v>0</v>
      </c>
      <c r="I7" s="47">
        <f>IF(K34&lt;&gt;0,I6/K34,0)</f>
        <v>0</v>
      </c>
      <c r="J7" s="48">
        <f>IF(K34&lt;&gt;0,J6/K34,0)</f>
        <v>0</v>
      </c>
      <c r="K7" s="48">
        <f>IF(K34&lt;&gt;0,K6/ORC_Custo!G33,0)</f>
        <v>0</v>
      </c>
      <c r="L7" s="42"/>
    </row>
    <row r="8" spans="2:12" ht="6.95" customHeight="1">
      <c r="B8" s="35"/>
      <c r="C8" s="49"/>
      <c r="D8" s="50"/>
      <c r="E8" s="51"/>
      <c r="F8" s="52"/>
      <c r="G8" s="52"/>
      <c r="H8" s="52"/>
      <c r="I8" s="52"/>
      <c r="J8" s="53"/>
      <c r="K8" s="54"/>
      <c r="L8" s="42"/>
    </row>
    <row r="9" spans="2:12" ht="6.95" customHeight="1" thickBot="1">
      <c r="B9" s="35"/>
      <c r="C9" s="55"/>
      <c r="D9" s="56"/>
      <c r="E9" s="51"/>
      <c r="F9" s="52"/>
      <c r="G9" s="52"/>
      <c r="H9" s="52"/>
      <c r="I9" s="52"/>
      <c r="J9" s="53"/>
      <c r="K9" s="54"/>
      <c r="L9" s="42"/>
    </row>
    <row r="10" spans="2:12" ht="30" customHeight="1" thickBot="1">
      <c r="B10" s="193" t="s">
        <v>85</v>
      </c>
      <c r="C10" s="194"/>
      <c r="D10" s="197" t="s">
        <v>86</v>
      </c>
      <c r="E10" s="199" t="s">
        <v>87</v>
      </c>
      <c r="F10" s="201" t="s">
        <v>88</v>
      </c>
      <c r="G10" s="203" t="s">
        <v>89</v>
      </c>
      <c r="H10" s="204"/>
      <c r="I10" s="204"/>
      <c r="J10" s="205"/>
      <c r="K10" s="206" t="s">
        <v>90</v>
      </c>
      <c r="L10" s="207"/>
    </row>
    <row r="11" spans="2:12" ht="30" customHeight="1" thickBot="1">
      <c r="B11" s="195"/>
      <c r="C11" s="196"/>
      <c r="D11" s="198"/>
      <c r="E11" s="200"/>
      <c r="F11" s="202"/>
      <c r="G11" s="101" t="s">
        <v>91</v>
      </c>
      <c r="H11" s="101" t="s">
        <v>92</v>
      </c>
      <c r="I11" s="101" t="s">
        <v>93</v>
      </c>
      <c r="J11" s="102" t="s">
        <v>94</v>
      </c>
      <c r="K11" s="208"/>
      <c r="L11" s="209"/>
    </row>
    <row r="12" spans="2:12" ht="6.95" customHeight="1">
      <c r="B12" s="57"/>
      <c r="C12" s="58"/>
      <c r="D12" s="59"/>
      <c r="E12" s="60"/>
      <c r="F12" s="61"/>
      <c r="G12" s="61"/>
      <c r="H12" s="61"/>
      <c r="I12" s="61"/>
      <c r="J12" s="60"/>
      <c r="K12" s="62"/>
      <c r="L12" s="63"/>
    </row>
    <row r="13" spans="2:12" ht="21.95" customHeight="1">
      <c r="B13" s="57"/>
      <c r="C13" s="64" t="s">
        <v>484</v>
      </c>
      <c r="D13" s="65"/>
      <c r="E13" s="66"/>
      <c r="F13" s="67" t="s">
        <v>96</v>
      </c>
      <c r="G13" s="67"/>
      <c r="H13" s="67"/>
      <c r="I13" s="67"/>
      <c r="J13" s="68"/>
      <c r="K13" s="69">
        <f>(G13+H13+I13+J13)*E13</f>
        <v>0</v>
      </c>
      <c r="L13" s="63"/>
    </row>
    <row r="14" spans="2:12" ht="21.95" customHeight="1">
      <c r="B14" s="57"/>
      <c r="C14" s="64" t="s">
        <v>485</v>
      </c>
      <c r="D14" s="65"/>
      <c r="E14" s="66"/>
      <c r="F14" s="67" t="s">
        <v>96</v>
      </c>
      <c r="G14" s="67"/>
      <c r="H14" s="67"/>
      <c r="I14" s="67"/>
      <c r="J14" s="70"/>
      <c r="K14" s="69">
        <f t="shared" ref="K14:K32" si="0">(G14+H14+I14+J14)*E14</f>
        <v>0</v>
      </c>
      <c r="L14" s="63"/>
    </row>
    <row r="15" spans="2:12" ht="21.95" customHeight="1">
      <c r="B15" s="57"/>
      <c r="C15" s="64" t="s">
        <v>486</v>
      </c>
      <c r="D15" s="65"/>
      <c r="E15" s="66"/>
      <c r="F15" s="67" t="s">
        <v>96</v>
      </c>
      <c r="G15" s="67"/>
      <c r="H15" s="67"/>
      <c r="I15" s="67"/>
      <c r="J15" s="68"/>
      <c r="K15" s="69">
        <f t="shared" si="0"/>
        <v>0</v>
      </c>
      <c r="L15" s="63"/>
    </row>
    <row r="16" spans="2:12" ht="21.95" customHeight="1">
      <c r="B16" s="57"/>
      <c r="C16" s="64" t="s">
        <v>487</v>
      </c>
      <c r="D16" s="65"/>
      <c r="E16" s="66"/>
      <c r="F16" s="67" t="s">
        <v>96</v>
      </c>
      <c r="G16" s="71"/>
      <c r="H16" s="71"/>
      <c r="I16" s="71"/>
      <c r="J16" s="69"/>
      <c r="K16" s="69">
        <f t="shared" si="0"/>
        <v>0</v>
      </c>
      <c r="L16" s="63"/>
    </row>
    <row r="17" spans="2:12" ht="21.95" customHeight="1">
      <c r="B17" s="57"/>
      <c r="C17" s="64" t="s">
        <v>488</v>
      </c>
      <c r="D17" s="65"/>
      <c r="E17" s="66"/>
      <c r="F17" s="67" t="s">
        <v>96</v>
      </c>
      <c r="G17" s="67"/>
      <c r="H17" s="67"/>
      <c r="I17" s="67"/>
      <c r="J17" s="68"/>
      <c r="K17" s="69">
        <f t="shared" si="0"/>
        <v>0</v>
      </c>
      <c r="L17" s="63"/>
    </row>
    <row r="18" spans="2:12" ht="21.95" customHeight="1">
      <c r="B18" s="57"/>
      <c r="C18" s="64" t="s">
        <v>489</v>
      </c>
      <c r="D18" s="65"/>
      <c r="E18" s="66"/>
      <c r="F18" s="67" t="s">
        <v>96</v>
      </c>
      <c r="G18" s="71"/>
      <c r="H18" s="71"/>
      <c r="I18" s="71"/>
      <c r="J18" s="69"/>
      <c r="K18" s="69">
        <f t="shared" si="0"/>
        <v>0</v>
      </c>
      <c r="L18" s="63"/>
    </row>
    <row r="19" spans="2:12" ht="21.95" customHeight="1">
      <c r="B19" s="57"/>
      <c r="C19" s="64" t="s">
        <v>490</v>
      </c>
      <c r="D19" s="65"/>
      <c r="E19" s="66"/>
      <c r="F19" s="67" t="s">
        <v>96</v>
      </c>
      <c r="G19" s="67"/>
      <c r="H19" s="67"/>
      <c r="I19" s="67"/>
      <c r="J19" s="68"/>
      <c r="K19" s="69">
        <f t="shared" si="0"/>
        <v>0</v>
      </c>
      <c r="L19" s="63"/>
    </row>
    <row r="20" spans="2:12" ht="21.95" customHeight="1">
      <c r="B20" s="57"/>
      <c r="C20" s="64" t="s">
        <v>491</v>
      </c>
      <c r="D20" s="65"/>
      <c r="E20" s="66"/>
      <c r="F20" s="67" t="s">
        <v>96</v>
      </c>
      <c r="G20" s="71"/>
      <c r="H20" s="71"/>
      <c r="I20" s="71"/>
      <c r="J20" s="69"/>
      <c r="K20" s="69">
        <f t="shared" si="0"/>
        <v>0</v>
      </c>
      <c r="L20" s="63"/>
    </row>
    <row r="21" spans="2:12" ht="21.95" customHeight="1">
      <c r="B21" s="57"/>
      <c r="C21" s="64" t="s">
        <v>492</v>
      </c>
      <c r="D21" s="65"/>
      <c r="E21" s="66"/>
      <c r="F21" s="67" t="s">
        <v>96</v>
      </c>
      <c r="G21" s="71"/>
      <c r="H21" s="71"/>
      <c r="I21" s="71"/>
      <c r="J21" s="69"/>
      <c r="K21" s="69">
        <f t="shared" si="0"/>
        <v>0</v>
      </c>
      <c r="L21" s="63"/>
    </row>
    <row r="22" spans="2:12" ht="21.95" customHeight="1">
      <c r="B22" s="57"/>
      <c r="C22" s="64" t="s">
        <v>493</v>
      </c>
      <c r="D22" s="65"/>
      <c r="E22" s="66"/>
      <c r="F22" s="67" t="s">
        <v>96</v>
      </c>
      <c r="G22" s="71"/>
      <c r="H22" s="71"/>
      <c r="I22" s="71"/>
      <c r="J22" s="69"/>
      <c r="K22" s="69">
        <f t="shared" si="0"/>
        <v>0</v>
      </c>
      <c r="L22" s="63"/>
    </row>
    <row r="23" spans="2:12" ht="21.95" customHeight="1">
      <c r="B23" s="57"/>
      <c r="C23" s="64" t="s">
        <v>494</v>
      </c>
      <c r="D23" s="65"/>
      <c r="E23" s="66"/>
      <c r="F23" s="67" t="s">
        <v>96</v>
      </c>
      <c r="G23" s="71"/>
      <c r="H23" s="71"/>
      <c r="I23" s="71"/>
      <c r="J23" s="69"/>
      <c r="K23" s="69">
        <f t="shared" si="0"/>
        <v>0</v>
      </c>
      <c r="L23" s="63"/>
    </row>
    <row r="24" spans="2:12" ht="21.95" customHeight="1">
      <c r="B24" s="57"/>
      <c r="C24" s="64" t="s">
        <v>495</v>
      </c>
      <c r="D24" s="65"/>
      <c r="E24" s="66"/>
      <c r="F24" s="67" t="s">
        <v>96</v>
      </c>
      <c r="G24" s="71"/>
      <c r="H24" s="71"/>
      <c r="I24" s="71"/>
      <c r="J24" s="69"/>
      <c r="K24" s="69">
        <f t="shared" si="0"/>
        <v>0</v>
      </c>
      <c r="L24" s="63"/>
    </row>
    <row r="25" spans="2:12" ht="21.95" customHeight="1">
      <c r="B25" s="57"/>
      <c r="C25" s="64" t="s">
        <v>496</v>
      </c>
      <c r="D25" s="65"/>
      <c r="E25" s="66"/>
      <c r="F25" s="67" t="s">
        <v>96</v>
      </c>
      <c r="G25" s="71"/>
      <c r="H25" s="71"/>
      <c r="I25" s="71"/>
      <c r="J25" s="69"/>
      <c r="K25" s="69">
        <f t="shared" si="0"/>
        <v>0</v>
      </c>
      <c r="L25" s="63"/>
    </row>
    <row r="26" spans="2:12" ht="21.95" customHeight="1">
      <c r="B26" s="57"/>
      <c r="C26" s="64" t="s">
        <v>497</v>
      </c>
      <c r="D26" s="65"/>
      <c r="E26" s="66"/>
      <c r="F26" s="67" t="s">
        <v>96</v>
      </c>
      <c r="G26" s="71"/>
      <c r="H26" s="71"/>
      <c r="I26" s="71"/>
      <c r="J26" s="69"/>
      <c r="K26" s="69">
        <f t="shared" si="0"/>
        <v>0</v>
      </c>
      <c r="L26" s="63"/>
    </row>
    <row r="27" spans="2:12" ht="21.95" customHeight="1">
      <c r="B27" s="57"/>
      <c r="C27" s="64" t="s">
        <v>498</v>
      </c>
      <c r="D27" s="65"/>
      <c r="E27" s="66"/>
      <c r="F27" s="67" t="s">
        <v>96</v>
      </c>
      <c r="G27" s="71"/>
      <c r="H27" s="71"/>
      <c r="I27" s="71"/>
      <c r="J27" s="69"/>
      <c r="K27" s="69">
        <f t="shared" si="0"/>
        <v>0</v>
      </c>
      <c r="L27" s="63"/>
    </row>
    <row r="28" spans="2:12" ht="21.95" customHeight="1">
      <c r="B28" s="57"/>
      <c r="C28" s="64" t="s">
        <v>499</v>
      </c>
      <c r="D28" s="65"/>
      <c r="E28" s="66"/>
      <c r="F28" s="67" t="s">
        <v>96</v>
      </c>
      <c r="G28" s="71"/>
      <c r="H28" s="71"/>
      <c r="I28" s="71"/>
      <c r="J28" s="69"/>
      <c r="K28" s="69">
        <f t="shared" si="0"/>
        <v>0</v>
      </c>
      <c r="L28" s="63"/>
    </row>
    <row r="29" spans="2:12" ht="21.95" customHeight="1">
      <c r="B29" s="57"/>
      <c r="C29" s="64" t="s">
        <v>500</v>
      </c>
      <c r="D29" s="65"/>
      <c r="E29" s="66"/>
      <c r="F29" s="67" t="s">
        <v>96</v>
      </c>
      <c r="G29" s="71"/>
      <c r="H29" s="71"/>
      <c r="I29" s="71"/>
      <c r="J29" s="69"/>
      <c r="K29" s="69">
        <f t="shared" si="0"/>
        <v>0</v>
      </c>
      <c r="L29" s="63"/>
    </row>
    <row r="30" spans="2:12" ht="21.95" customHeight="1">
      <c r="B30" s="57"/>
      <c r="C30" s="64" t="s">
        <v>501</v>
      </c>
      <c r="D30" s="65"/>
      <c r="E30" s="66"/>
      <c r="F30" s="67" t="s">
        <v>96</v>
      </c>
      <c r="G30" s="71"/>
      <c r="H30" s="71"/>
      <c r="I30" s="71"/>
      <c r="J30" s="69"/>
      <c r="K30" s="69">
        <f t="shared" si="0"/>
        <v>0</v>
      </c>
      <c r="L30" s="63"/>
    </row>
    <row r="31" spans="2:12" ht="21.95" customHeight="1">
      <c r="B31" s="57"/>
      <c r="C31" s="64" t="s">
        <v>502</v>
      </c>
      <c r="D31" s="65"/>
      <c r="E31" s="66"/>
      <c r="F31" s="67" t="s">
        <v>96</v>
      </c>
      <c r="G31" s="71"/>
      <c r="H31" s="71"/>
      <c r="I31" s="71"/>
      <c r="J31" s="69"/>
      <c r="K31" s="69">
        <f t="shared" si="0"/>
        <v>0</v>
      </c>
      <c r="L31" s="63"/>
    </row>
    <row r="32" spans="2:12" ht="21.95" customHeight="1">
      <c r="B32" s="57"/>
      <c r="C32" s="64" t="s">
        <v>503</v>
      </c>
      <c r="D32" s="65"/>
      <c r="E32" s="66"/>
      <c r="F32" s="67" t="s">
        <v>96</v>
      </c>
      <c r="G32" s="67"/>
      <c r="H32" s="67"/>
      <c r="I32" s="67"/>
      <c r="J32" s="68"/>
      <c r="K32" s="69">
        <f t="shared" si="0"/>
        <v>0</v>
      </c>
      <c r="L32" s="63"/>
    </row>
    <row r="33" spans="2:12" ht="6.95" customHeight="1" thickBot="1">
      <c r="B33" s="72"/>
      <c r="C33" s="73"/>
      <c r="D33" s="74"/>
      <c r="E33" s="75"/>
      <c r="F33" s="76"/>
      <c r="G33" s="76"/>
      <c r="H33" s="76"/>
      <c r="I33" s="76"/>
      <c r="J33" s="75"/>
      <c r="K33" s="77"/>
      <c r="L33" s="78"/>
    </row>
    <row r="34" spans="2:12" ht="30" customHeight="1">
      <c r="B34" s="103"/>
      <c r="C34" s="104"/>
      <c r="D34" s="105" t="s">
        <v>116</v>
      </c>
      <c r="E34" s="106"/>
      <c r="F34" s="107"/>
      <c r="G34" s="107"/>
      <c r="H34" s="107"/>
      <c r="I34" s="107"/>
      <c r="J34" s="108"/>
      <c r="K34" s="109">
        <f>SUM(K13:K33)</f>
        <v>0</v>
      </c>
      <c r="L34" s="110"/>
    </row>
    <row r="35" spans="2:12" ht="9.9499999999999993" customHeight="1" thickBot="1">
      <c r="B35" s="111"/>
      <c r="C35" s="112"/>
      <c r="D35" s="113"/>
      <c r="E35" s="114"/>
      <c r="F35" s="115"/>
      <c r="G35" s="116"/>
      <c r="H35" s="116"/>
      <c r="I35" s="116"/>
      <c r="J35" s="116"/>
      <c r="K35" s="117"/>
      <c r="L35" s="118"/>
    </row>
  </sheetData>
  <mergeCells count="8">
    <mergeCell ref="B2:L2"/>
    <mergeCell ref="C5:F7"/>
    <mergeCell ref="B10:C11"/>
    <mergeCell ref="D10:D11"/>
    <mergeCell ref="E10:E11"/>
    <mergeCell ref="F10:F11"/>
    <mergeCell ref="G10:J10"/>
    <mergeCell ref="K10:L11"/>
  </mergeCells>
  <dataValidations count="1">
    <dataValidation type="list" allowBlank="1" showInputMessage="1" showErrorMessage="1" sqref="F13:F32" xr:uid="{00000000-0002-0000-1600-000000000000}">
      <formula1>"m,m²,m³,kg,L,un,vb"</formula1>
    </dataValidation>
  </dataValidations>
  <pageMargins left="0.51181102362204722" right="0.51181102362204722" top="0.59055118110236227" bottom="0.59055118110236227" header="0.31496062992125984" footer="0.31496062992125984"/>
  <pageSetup paperSize="9" scale="72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B1:L35"/>
  <sheetViews>
    <sheetView zoomScale="80" zoomScaleNormal="80" workbookViewId="0" xr3:uid="{96AA9D09-0E06-52DD-9EE1-B522AFA11096}">
      <selection activeCell="G13" sqref="G13:J13"/>
    </sheetView>
  </sheetViews>
  <sheetFormatPr defaultColWidth="9.14453125" defaultRowHeight="15"/>
  <cols>
    <col min="1" max="1" width="2.28515625" style="2" customWidth="1"/>
    <col min="2" max="2" width="3.2265625" style="2" customWidth="1"/>
    <col min="3" max="3" width="10.76171875" style="2" customWidth="1"/>
    <col min="4" max="4" width="56.765625" style="2" customWidth="1"/>
    <col min="5" max="5" width="14.66015625" style="2" customWidth="1"/>
    <col min="6" max="6" width="12.64453125" style="2" customWidth="1"/>
    <col min="7" max="10" width="16.6796875" style="2" customWidth="1"/>
    <col min="11" max="11" width="18.6953125" style="2" customWidth="1"/>
    <col min="12" max="12" width="2.6875" style="2" customWidth="1"/>
    <col min="13" max="16384" width="9.14453125" style="2"/>
  </cols>
  <sheetData>
    <row r="1" spans="2:12" ht="15.75" thickBot="1"/>
    <row r="2" spans="2:12" ht="50.1" customHeight="1" thickBot="1">
      <c r="B2" s="188" t="s">
        <v>608</v>
      </c>
      <c r="C2" s="189"/>
      <c r="D2" s="189"/>
      <c r="E2" s="189"/>
      <c r="F2" s="189"/>
      <c r="G2" s="189"/>
      <c r="H2" s="189"/>
      <c r="I2" s="189"/>
      <c r="J2" s="189"/>
      <c r="K2" s="189"/>
      <c r="L2" s="190"/>
    </row>
    <row r="3" spans="2:12">
      <c r="B3" s="35"/>
      <c r="C3" s="36" t="s">
        <v>22</v>
      </c>
      <c r="D3" s="37"/>
      <c r="E3" s="38"/>
      <c r="F3" s="39"/>
      <c r="G3" s="39"/>
      <c r="H3" s="39"/>
      <c r="I3" s="39"/>
      <c r="J3" s="40"/>
      <c r="K3" s="41"/>
      <c r="L3" s="42"/>
    </row>
    <row r="4" spans="2:12" ht="6.95" customHeight="1">
      <c r="B4" s="35"/>
      <c r="C4" s="36"/>
      <c r="D4" s="37"/>
      <c r="E4" s="38"/>
      <c r="F4" s="39"/>
      <c r="G4" s="39"/>
      <c r="H4" s="39"/>
      <c r="I4" s="39"/>
      <c r="J4" s="40"/>
      <c r="K4" s="41"/>
      <c r="L4" s="42"/>
    </row>
    <row r="5" spans="2:12" ht="21.95" customHeight="1">
      <c r="B5" s="35"/>
      <c r="C5" s="191" t="s">
        <v>609</v>
      </c>
      <c r="D5" s="191"/>
      <c r="E5" s="191"/>
      <c r="F5" s="192"/>
      <c r="G5" s="39" t="s">
        <v>80</v>
      </c>
      <c r="H5" s="39" t="s">
        <v>81</v>
      </c>
      <c r="I5" s="39" t="s">
        <v>82</v>
      </c>
      <c r="J5" s="43" t="s">
        <v>83</v>
      </c>
      <c r="K5" s="43" t="s">
        <v>84</v>
      </c>
      <c r="L5" s="42"/>
    </row>
    <row r="6" spans="2:12" ht="21.95" customHeight="1">
      <c r="B6" s="44"/>
      <c r="C6" s="191"/>
      <c r="D6" s="191"/>
      <c r="E6" s="191"/>
      <c r="F6" s="192"/>
      <c r="G6" s="45">
        <f>SUMPRODUCT(E13:E33,G13:G33)</f>
        <v>0</v>
      </c>
      <c r="H6" s="45">
        <f>SUMPRODUCT(E13:E33,H13:H33)</f>
        <v>0</v>
      </c>
      <c r="I6" s="45">
        <f>SUMPRODUCT(E13:E33,I13:I33)</f>
        <v>0</v>
      </c>
      <c r="J6" s="46">
        <f>SUMPRODUCT(E13:E33,J13:J33)</f>
        <v>0</v>
      </c>
      <c r="K6" s="46">
        <f>K34</f>
        <v>0</v>
      </c>
      <c r="L6" s="42"/>
    </row>
    <row r="7" spans="2:12" ht="21.95" customHeight="1">
      <c r="B7" s="44"/>
      <c r="C7" s="191"/>
      <c r="D7" s="191"/>
      <c r="E7" s="191"/>
      <c r="F7" s="192"/>
      <c r="G7" s="47">
        <f>IF(K34&lt;&gt;0,G6/K34,0)</f>
        <v>0</v>
      </c>
      <c r="H7" s="47">
        <f>IF(K34&lt;&gt;0,H6/K34,0)</f>
        <v>0</v>
      </c>
      <c r="I7" s="47">
        <f>IF(K34&lt;&gt;0,I6/K34,0)</f>
        <v>0</v>
      </c>
      <c r="J7" s="48">
        <f>IF(K34&lt;&gt;0,J6/K34,0)</f>
        <v>0</v>
      </c>
      <c r="K7" s="48">
        <f>IF(K34&lt;&gt;0,K6/ORC_Custo!G33,0)</f>
        <v>0</v>
      </c>
      <c r="L7" s="42"/>
    </row>
    <row r="8" spans="2:12" ht="6.95" customHeight="1">
      <c r="B8" s="35"/>
      <c r="C8" s="49"/>
      <c r="D8" s="50"/>
      <c r="E8" s="51"/>
      <c r="F8" s="52"/>
      <c r="G8" s="52"/>
      <c r="H8" s="52"/>
      <c r="I8" s="52"/>
      <c r="J8" s="53"/>
      <c r="K8" s="54"/>
      <c r="L8" s="42"/>
    </row>
    <row r="9" spans="2:12" ht="6.95" customHeight="1" thickBot="1">
      <c r="B9" s="35"/>
      <c r="C9" s="55"/>
      <c r="D9" s="56"/>
      <c r="E9" s="51"/>
      <c r="F9" s="52"/>
      <c r="G9" s="52"/>
      <c r="H9" s="52"/>
      <c r="I9" s="52"/>
      <c r="J9" s="53"/>
      <c r="K9" s="54"/>
      <c r="L9" s="42"/>
    </row>
    <row r="10" spans="2:12" ht="30" customHeight="1" thickBot="1">
      <c r="B10" s="193" t="s">
        <v>85</v>
      </c>
      <c r="C10" s="194"/>
      <c r="D10" s="197" t="s">
        <v>86</v>
      </c>
      <c r="E10" s="199" t="s">
        <v>87</v>
      </c>
      <c r="F10" s="201" t="s">
        <v>88</v>
      </c>
      <c r="G10" s="203" t="s">
        <v>89</v>
      </c>
      <c r="H10" s="204"/>
      <c r="I10" s="204"/>
      <c r="J10" s="205"/>
      <c r="K10" s="206" t="s">
        <v>90</v>
      </c>
      <c r="L10" s="207"/>
    </row>
    <row r="11" spans="2:12" ht="30" customHeight="1" thickBot="1">
      <c r="B11" s="195"/>
      <c r="C11" s="196"/>
      <c r="D11" s="198"/>
      <c r="E11" s="200"/>
      <c r="F11" s="202"/>
      <c r="G11" s="101" t="s">
        <v>91</v>
      </c>
      <c r="H11" s="101" t="s">
        <v>92</v>
      </c>
      <c r="I11" s="101" t="s">
        <v>93</v>
      </c>
      <c r="J11" s="102" t="s">
        <v>94</v>
      </c>
      <c r="K11" s="208"/>
      <c r="L11" s="209"/>
    </row>
    <row r="12" spans="2:12" ht="6.95" customHeight="1">
      <c r="B12" s="57"/>
      <c r="C12" s="58"/>
      <c r="D12" s="59"/>
      <c r="E12" s="60"/>
      <c r="F12" s="61"/>
      <c r="G12" s="61"/>
      <c r="H12" s="61"/>
      <c r="I12" s="61"/>
      <c r="J12" s="60"/>
      <c r="K12" s="62"/>
      <c r="L12" s="63"/>
    </row>
    <row r="13" spans="2:12" ht="21.95" customHeight="1">
      <c r="B13" s="57"/>
      <c r="C13" s="64" t="s">
        <v>504</v>
      </c>
      <c r="D13" s="65"/>
      <c r="E13" s="66"/>
      <c r="F13" s="67" t="s">
        <v>96</v>
      </c>
      <c r="G13" s="67"/>
      <c r="H13" s="67"/>
      <c r="I13" s="67"/>
      <c r="J13" s="68"/>
      <c r="K13" s="69">
        <f>(G13+H13+I13+J13)*E13</f>
        <v>0</v>
      </c>
      <c r="L13" s="63"/>
    </row>
    <row r="14" spans="2:12" ht="21.95" customHeight="1">
      <c r="B14" s="57"/>
      <c r="C14" s="64" t="s">
        <v>505</v>
      </c>
      <c r="D14" s="65"/>
      <c r="E14" s="66"/>
      <c r="F14" s="67" t="s">
        <v>96</v>
      </c>
      <c r="G14" s="67"/>
      <c r="H14" s="67"/>
      <c r="I14" s="67"/>
      <c r="J14" s="70"/>
      <c r="K14" s="69">
        <f t="shared" ref="K14:K32" si="0">(G14+H14+I14+J14)*E14</f>
        <v>0</v>
      </c>
      <c r="L14" s="63"/>
    </row>
    <row r="15" spans="2:12" ht="21.95" customHeight="1">
      <c r="B15" s="57"/>
      <c r="C15" s="64" t="s">
        <v>506</v>
      </c>
      <c r="D15" s="65"/>
      <c r="E15" s="66"/>
      <c r="F15" s="67" t="s">
        <v>96</v>
      </c>
      <c r="G15" s="67"/>
      <c r="H15" s="67"/>
      <c r="I15" s="67"/>
      <c r="J15" s="68"/>
      <c r="K15" s="69">
        <f t="shared" si="0"/>
        <v>0</v>
      </c>
      <c r="L15" s="63"/>
    </row>
    <row r="16" spans="2:12" ht="21.95" customHeight="1">
      <c r="B16" s="57"/>
      <c r="C16" s="64" t="s">
        <v>507</v>
      </c>
      <c r="D16" s="65"/>
      <c r="E16" s="66"/>
      <c r="F16" s="67" t="s">
        <v>96</v>
      </c>
      <c r="G16" s="71"/>
      <c r="H16" s="71"/>
      <c r="I16" s="71"/>
      <c r="J16" s="69"/>
      <c r="K16" s="69">
        <f t="shared" si="0"/>
        <v>0</v>
      </c>
      <c r="L16" s="63"/>
    </row>
    <row r="17" spans="2:12" ht="21.95" customHeight="1">
      <c r="B17" s="57"/>
      <c r="C17" s="64" t="s">
        <v>508</v>
      </c>
      <c r="D17" s="65"/>
      <c r="E17" s="66"/>
      <c r="F17" s="67" t="s">
        <v>96</v>
      </c>
      <c r="G17" s="67"/>
      <c r="H17" s="67"/>
      <c r="I17" s="67"/>
      <c r="J17" s="68"/>
      <c r="K17" s="69">
        <f t="shared" si="0"/>
        <v>0</v>
      </c>
      <c r="L17" s="63"/>
    </row>
    <row r="18" spans="2:12" ht="21.95" customHeight="1">
      <c r="B18" s="57"/>
      <c r="C18" s="64" t="s">
        <v>509</v>
      </c>
      <c r="D18" s="65"/>
      <c r="E18" s="66"/>
      <c r="F18" s="67" t="s">
        <v>96</v>
      </c>
      <c r="G18" s="71"/>
      <c r="H18" s="71"/>
      <c r="I18" s="71"/>
      <c r="J18" s="69"/>
      <c r="K18" s="69">
        <f t="shared" si="0"/>
        <v>0</v>
      </c>
      <c r="L18" s="63"/>
    </row>
    <row r="19" spans="2:12" ht="21.95" customHeight="1">
      <c r="B19" s="57"/>
      <c r="C19" s="64" t="s">
        <v>510</v>
      </c>
      <c r="D19" s="65"/>
      <c r="E19" s="66"/>
      <c r="F19" s="67" t="s">
        <v>96</v>
      </c>
      <c r="G19" s="67"/>
      <c r="H19" s="67"/>
      <c r="I19" s="67"/>
      <c r="J19" s="68"/>
      <c r="K19" s="69">
        <f t="shared" si="0"/>
        <v>0</v>
      </c>
      <c r="L19" s="63"/>
    </row>
    <row r="20" spans="2:12" ht="21.95" customHeight="1">
      <c r="B20" s="57"/>
      <c r="C20" s="64" t="s">
        <v>511</v>
      </c>
      <c r="D20" s="65"/>
      <c r="E20" s="66"/>
      <c r="F20" s="67" t="s">
        <v>96</v>
      </c>
      <c r="G20" s="71"/>
      <c r="H20" s="71"/>
      <c r="I20" s="71"/>
      <c r="J20" s="69"/>
      <c r="K20" s="69">
        <f t="shared" si="0"/>
        <v>0</v>
      </c>
      <c r="L20" s="63"/>
    </row>
    <row r="21" spans="2:12" ht="21.95" customHeight="1">
      <c r="B21" s="57"/>
      <c r="C21" s="64" t="s">
        <v>512</v>
      </c>
      <c r="D21" s="65"/>
      <c r="E21" s="66"/>
      <c r="F21" s="67" t="s">
        <v>96</v>
      </c>
      <c r="G21" s="71"/>
      <c r="H21" s="71"/>
      <c r="I21" s="71"/>
      <c r="J21" s="69"/>
      <c r="K21" s="69">
        <f t="shared" si="0"/>
        <v>0</v>
      </c>
      <c r="L21" s="63"/>
    </row>
    <row r="22" spans="2:12" ht="21.95" customHeight="1">
      <c r="B22" s="57"/>
      <c r="C22" s="64" t="s">
        <v>513</v>
      </c>
      <c r="D22" s="65"/>
      <c r="E22" s="66"/>
      <c r="F22" s="67" t="s">
        <v>96</v>
      </c>
      <c r="G22" s="71"/>
      <c r="H22" s="71"/>
      <c r="I22" s="71"/>
      <c r="J22" s="69"/>
      <c r="K22" s="69">
        <f t="shared" si="0"/>
        <v>0</v>
      </c>
      <c r="L22" s="63"/>
    </row>
    <row r="23" spans="2:12" ht="21.95" customHeight="1">
      <c r="B23" s="57"/>
      <c r="C23" s="64" t="s">
        <v>514</v>
      </c>
      <c r="D23" s="65"/>
      <c r="E23" s="66"/>
      <c r="F23" s="67" t="s">
        <v>96</v>
      </c>
      <c r="G23" s="71"/>
      <c r="H23" s="71"/>
      <c r="I23" s="71"/>
      <c r="J23" s="69"/>
      <c r="K23" s="69">
        <f t="shared" si="0"/>
        <v>0</v>
      </c>
      <c r="L23" s="63"/>
    </row>
    <row r="24" spans="2:12" ht="21.95" customHeight="1">
      <c r="B24" s="57"/>
      <c r="C24" s="64" t="s">
        <v>515</v>
      </c>
      <c r="D24" s="65"/>
      <c r="E24" s="66"/>
      <c r="F24" s="67" t="s">
        <v>96</v>
      </c>
      <c r="G24" s="71"/>
      <c r="H24" s="71"/>
      <c r="I24" s="71"/>
      <c r="J24" s="69"/>
      <c r="K24" s="69">
        <f t="shared" si="0"/>
        <v>0</v>
      </c>
      <c r="L24" s="63"/>
    </row>
    <row r="25" spans="2:12" ht="21.95" customHeight="1">
      <c r="B25" s="57"/>
      <c r="C25" s="64" t="s">
        <v>516</v>
      </c>
      <c r="D25" s="65"/>
      <c r="E25" s="66"/>
      <c r="F25" s="67" t="s">
        <v>96</v>
      </c>
      <c r="G25" s="71"/>
      <c r="H25" s="71"/>
      <c r="I25" s="71"/>
      <c r="J25" s="69"/>
      <c r="K25" s="69">
        <f t="shared" si="0"/>
        <v>0</v>
      </c>
      <c r="L25" s="63"/>
    </row>
    <row r="26" spans="2:12" ht="21.95" customHeight="1">
      <c r="B26" s="57"/>
      <c r="C26" s="64" t="s">
        <v>517</v>
      </c>
      <c r="D26" s="65"/>
      <c r="E26" s="66"/>
      <c r="F26" s="67" t="s">
        <v>96</v>
      </c>
      <c r="G26" s="71"/>
      <c r="H26" s="71"/>
      <c r="I26" s="71"/>
      <c r="J26" s="69"/>
      <c r="K26" s="69">
        <f t="shared" si="0"/>
        <v>0</v>
      </c>
      <c r="L26" s="63"/>
    </row>
    <row r="27" spans="2:12" ht="21.95" customHeight="1">
      <c r="B27" s="57"/>
      <c r="C27" s="64" t="s">
        <v>518</v>
      </c>
      <c r="D27" s="65"/>
      <c r="E27" s="66"/>
      <c r="F27" s="67" t="s">
        <v>96</v>
      </c>
      <c r="G27" s="71"/>
      <c r="H27" s="71"/>
      <c r="I27" s="71"/>
      <c r="J27" s="69"/>
      <c r="K27" s="69">
        <f t="shared" si="0"/>
        <v>0</v>
      </c>
      <c r="L27" s="63"/>
    </row>
    <row r="28" spans="2:12" ht="21.95" customHeight="1">
      <c r="B28" s="57"/>
      <c r="C28" s="64" t="s">
        <v>519</v>
      </c>
      <c r="D28" s="65"/>
      <c r="E28" s="66"/>
      <c r="F28" s="67" t="s">
        <v>96</v>
      </c>
      <c r="G28" s="71"/>
      <c r="H28" s="71"/>
      <c r="I28" s="71"/>
      <c r="J28" s="69"/>
      <c r="K28" s="69">
        <f t="shared" si="0"/>
        <v>0</v>
      </c>
      <c r="L28" s="63"/>
    </row>
    <row r="29" spans="2:12" ht="21.95" customHeight="1">
      <c r="B29" s="57"/>
      <c r="C29" s="64" t="s">
        <v>520</v>
      </c>
      <c r="D29" s="65"/>
      <c r="E29" s="66"/>
      <c r="F29" s="67" t="s">
        <v>96</v>
      </c>
      <c r="G29" s="71"/>
      <c r="H29" s="71"/>
      <c r="I29" s="71"/>
      <c r="J29" s="69"/>
      <c r="K29" s="69">
        <f t="shared" si="0"/>
        <v>0</v>
      </c>
      <c r="L29" s="63"/>
    </row>
    <row r="30" spans="2:12" ht="21.95" customHeight="1">
      <c r="B30" s="57"/>
      <c r="C30" s="64" t="s">
        <v>521</v>
      </c>
      <c r="D30" s="65"/>
      <c r="E30" s="66"/>
      <c r="F30" s="67" t="s">
        <v>96</v>
      </c>
      <c r="G30" s="71"/>
      <c r="H30" s="71"/>
      <c r="I30" s="71"/>
      <c r="J30" s="69"/>
      <c r="K30" s="69">
        <f t="shared" si="0"/>
        <v>0</v>
      </c>
      <c r="L30" s="63"/>
    </row>
    <row r="31" spans="2:12" ht="21.95" customHeight="1">
      <c r="B31" s="57"/>
      <c r="C31" s="64" t="s">
        <v>522</v>
      </c>
      <c r="D31" s="65"/>
      <c r="E31" s="66"/>
      <c r="F31" s="67" t="s">
        <v>96</v>
      </c>
      <c r="G31" s="71"/>
      <c r="H31" s="71"/>
      <c r="I31" s="71"/>
      <c r="J31" s="69"/>
      <c r="K31" s="69">
        <f t="shared" si="0"/>
        <v>0</v>
      </c>
      <c r="L31" s="63"/>
    </row>
    <row r="32" spans="2:12" ht="21.95" customHeight="1">
      <c r="B32" s="57"/>
      <c r="C32" s="64" t="s">
        <v>523</v>
      </c>
      <c r="D32" s="65"/>
      <c r="E32" s="66"/>
      <c r="F32" s="67" t="s">
        <v>96</v>
      </c>
      <c r="G32" s="67"/>
      <c r="H32" s="67"/>
      <c r="I32" s="67"/>
      <c r="J32" s="68"/>
      <c r="K32" s="69">
        <f t="shared" si="0"/>
        <v>0</v>
      </c>
      <c r="L32" s="63"/>
    </row>
    <row r="33" spans="2:12" ht="6.95" customHeight="1" thickBot="1">
      <c r="B33" s="72"/>
      <c r="C33" s="73"/>
      <c r="D33" s="74"/>
      <c r="E33" s="75"/>
      <c r="F33" s="76"/>
      <c r="G33" s="76"/>
      <c r="H33" s="76"/>
      <c r="I33" s="76"/>
      <c r="J33" s="75"/>
      <c r="K33" s="77"/>
      <c r="L33" s="78"/>
    </row>
    <row r="34" spans="2:12" ht="30" customHeight="1">
      <c r="B34" s="103"/>
      <c r="C34" s="104"/>
      <c r="D34" s="105" t="s">
        <v>116</v>
      </c>
      <c r="E34" s="106"/>
      <c r="F34" s="107"/>
      <c r="G34" s="107"/>
      <c r="H34" s="107"/>
      <c r="I34" s="107"/>
      <c r="J34" s="108"/>
      <c r="K34" s="109">
        <f>SUM(K13:K33)</f>
        <v>0</v>
      </c>
      <c r="L34" s="110"/>
    </row>
    <row r="35" spans="2:12" ht="9.9499999999999993" customHeight="1" thickBot="1">
      <c r="B35" s="111"/>
      <c r="C35" s="112"/>
      <c r="D35" s="113"/>
      <c r="E35" s="114"/>
      <c r="F35" s="115"/>
      <c r="G35" s="116"/>
      <c r="H35" s="116"/>
      <c r="I35" s="116"/>
      <c r="J35" s="116"/>
      <c r="K35" s="117"/>
      <c r="L35" s="118"/>
    </row>
  </sheetData>
  <mergeCells count="8">
    <mergeCell ref="B2:L2"/>
    <mergeCell ref="C5:F7"/>
    <mergeCell ref="B10:C11"/>
    <mergeCell ref="D10:D11"/>
    <mergeCell ref="E10:E11"/>
    <mergeCell ref="F10:F11"/>
    <mergeCell ref="G10:J10"/>
    <mergeCell ref="K10:L11"/>
  </mergeCells>
  <dataValidations count="1">
    <dataValidation type="list" allowBlank="1" showInputMessage="1" showErrorMessage="1" sqref="F13:F32" xr:uid="{00000000-0002-0000-1700-000000000000}">
      <formula1>"m,m²,m³,kg,L,un,vb"</formula1>
    </dataValidation>
  </dataValidations>
  <pageMargins left="0.51181102362204722" right="0.51181102362204722" top="0.59055118110236227" bottom="0.59055118110236227" header="0.31496062992125984" footer="0.31496062992125984"/>
  <pageSetup paperSize="9" scale="72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B1:L35"/>
  <sheetViews>
    <sheetView zoomScale="80" zoomScaleNormal="80" workbookViewId="0" xr3:uid="{2C1BA805-FFAE-53D9-94C0-3D95D45B0C9C}">
      <selection activeCell="G13" sqref="G13:J13"/>
    </sheetView>
  </sheetViews>
  <sheetFormatPr defaultColWidth="9.14453125" defaultRowHeight="15"/>
  <cols>
    <col min="1" max="1" width="2.28515625" style="2" customWidth="1"/>
    <col min="2" max="2" width="3.2265625" style="2" customWidth="1"/>
    <col min="3" max="3" width="10.76171875" style="2" customWidth="1"/>
    <col min="4" max="4" width="56.765625" style="2" customWidth="1"/>
    <col min="5" max="5" width="14.66015625" style="2" customWidth="1"/>
    <col min="6" max="6" width="12.64453125" style="2" customWidth="1"/>
    <col min="7" max="10" width="16.6796875" style="2" customWidth="1"/>
    <col min="11" max="11" width="18.6953125" style="2" customWidth="1"/>
    <col min="12" max="12" width="2.6875" style="2" customWidth="1"/>
    <col min="13" max="16384" width="9.14453125" style="2"/>
  </cols>
  <sheetData>
    <row r="1" spans="2:12" ht="15.75" thickBot="1"/>
    <row r="2" spans="2:12" ht="50.1" customHeight="1" thickBot="1">
      <c r="B2" s="188" t="s">
        <v>610</v>
      </c>
      <c r="C2" s="189"/>
      <c r="D2" s="189"/>
      <c r="E2" s="189"/>
      <c r="F2" s="189"/>
      <c r="G2" s="189"/>
      <c r="H2" s="189"/>
      <c r="I2" s="189"/>
      <c r="J2" s="189"/>
      <c r="K2" s="189"/>
      <c r="L2" s="190"/>
    </row>
    <row r="3" spans="2:12">
      <c r="B3" s="35"/>
      <c r="C3" s="36" t="s">
        <v>22</v>
      </c>
      <c r="D3" s="37"/>
      <c r="E3" s="38"/>
      <c r="F3" s="39"/>
      <c r="G3" s="39"/>
      <c r="H3" s="39"/>
      <c r="I3" s="39"/>
      <c r="J3" s="40"/>
      <c r="K3" s="41"/>
      <c r="L3" s="42"/>
    </row>
    <row r="4" spans="2:12" ht="6.95" customHeight="1">
      <c r="B4" s="35"/>
      <c r="C4" s="36"/>
      <c r="D4" s="37"/>
      <c r="E4" s="38"/>
      <c r="F4" s="39"/>
      <c r="G4" s="39"/>
      <c r="H4" s="39"/>
      <c r="I4" s="39"/>
      <c r="J4" s="40"/>
      <c r="K4" s="41"/>
      <c r="L4" s="42"/>
    </row>
    <row r="5" spans="2:12" ht="21.95" customHeight="1">
      <c r="B5" s="35"/>
      <c r="C5" s="191" t="s">
        <v>611</v>
      </c>
      <c r="D5" s="191"/>
      <c r="E5" s="191"/>
      <c r="F5" s="192"/>
      <c r="G5" s="39" t="s">
        <v>80</v>
      </c>
      <c r="H5" s="39" t="s">
        <v>81</v>
      </c>
      <c r="I5" s="39" t="s">
        <v>82</v>
      </c>
      <c r="J5" s="43" t="s">
        <v>83</v>
      </c>
      <c r="K5" s="43" t="s">
        <v>84</v>
      </c>
      <c r="L5" s="42"/>
    </row>
    <row r="6" spans="2:12" ht="21.95" customHeight="1">
      <c r="B6" s="44"/>
      <c r="C6" s="191"/>
      <c r="D6" s="191"/>
      <c r="E6" s="191"/>
      <c r="F6" s="192"/>
      <c r="G6" s="45">
        <f>SUMPRODUCT(E13:E33,G13:G33)</f>
        <v>0</v>
      </c>
      <c r="H6" s="45">
        <f>SUMPRODUCT(E13:E33,H13:H33)</f>
        <v>0</v>
      </c>
      <c r="I6" s="45">
        <f>SUMPRODUCT(E13:E33,I13:I33)</f>
        <v>0</v>
      </c>
      <c r="J6" s="46">
        <f>SUMPRODUCT(E13:E33,J13:J33)</f>
        <v>0</v>
      </c>
      <c r="K6" s="46">
        <f>K34</f>
        <v>0</v>
      </c>
      <c r="L6" s="42"/>
    </row>
    <row r="7" spans="2:12" ht="21.95" customHeight="1">
      <c r="B7" s="44"/>
      <c r="C7" s="191"/>
      <c r="D7" s="191"/>
      <c r="E7" s="191"/>
      <c r="F7" s="192"/>
      <c r="G7" s="47">
        <f>IF(K34&lt;&gt;0,G6/K34,0)</f>
        <v>0</v>
      </c>
      <c r="H7" s="47">
        <f>IF(K34&lt;&gt;0,H6/K34,0)</f>
        <v>0</v>
      </c>
      <c r="I7" s="47">
        <f>IF(K34&lt;&gt;0,I6/K34,0)</f>
        <v>0</v>
      </c>
      <c r="J7" s="48">
        <f>IF(K34&lt;&gt;0,J6/K34,0)</f>
        <v>0</v>
      </c>
      <c r="K7" s="48">
        <f>IF(K34&lt;&gt;0,K6/ORC_Custo!G33,0)</f>
        <v>0</v>
      </c>
      <c r="L7" s="42"/>
    </row>
    <row r="8" spans="2:12" ht="6.95" customHeight="1">
      <c r="B8" s="35"/>
      <c r="C8" s="49"/>
      <c r="D8" s="50"/>
      <c r="E8" s="51"/>
      <c r="F8" s="52"/>
      <c r="G8" s="52"/>
      <c r="H8" s="52"/>
      <c r="I8" s="52"/>
      <c r="J8" s="53"/>
      <c r="K8" s="54"/>
      <c r="L8" s="42"/>
    </row>
    <row r="9" spans="2:12" ht="6.95" customHeight="1" thickBot="1">
      <c r="B9" s="35"/>
      <c r="C9" s="55"/>
      <c r="D9" s="56"/>
      <c r="E9" s="51"/>
      <c r="F9" s="52"/>
      <c r="G9" s="52"/>
      <c r="H9" s="52"/>
      <c r="I9" s="52"/>
      <c r="J9" s="53"/>
      <c r="K9" s="54"/>
      <c r="L9" s="42"/>
    </row>
    <row r="10" spans="2:12" ht="30" customHeight="1" thickBot="1">
      <c r="B10" s="193" t="s">
        <v>85</v>
      </c>
      <c r="C10" s="194"/>
      <c r="D10" s="197" t="s">
        <v>86</v>
      </c>
      <c r="E10" s="199" t="s">
        <v>87</v>
      </c>
      <c r="F10" s="201" t="s">
        <v>88</v>
      </c>
      <c r="G10" s="203" t="s">
        <v>89</v>
      </c>
      <c r="H10" s="204"/>
      <c r="I10" s="204"/>
      <c r="J10" s="205"/>
      <c r="K10" s="206" t="s">
        <v>90</v>
      </c>
      <c r="L10" s="207"/>
    </row>
    <row r="11" spans="2:12" ht="30" customHeight="1" thickBot="1">
      <c r="B11" s="195"/>
      <c r="C11" s="196"/>
      <c r="D11" s="198"/>
      <c r="E11" s="200"/>
      <c r="F11" s="202"/>
      <c r="G11" s="101" t="s">
        <v>91</v>
      </c>
      <c r="H11" s="101" t="s">
        <v>92</v>
      </c>
      <c r="I11" s="101" t="s">
        <v>93</v>
      </c>
      <c r="J11" s="102" t="s">
        <v>94</v>
      </c>
      <c r="K11" s="208"/>
      <c r="L11" s="209"/>
    </row>
    <row r="12" spans="2:12" ht="6.95" customHeight="1">
      <c r="B12" s="57"/>
      <c r="C12" s="58"/>
      <c r="D12" s="59"/>
      <c r="E12" s="60"/>
      <c r="F12" s="61"/>
      <c r="G12" s="61"/>
      <c r="H12" s="61"/>
      <c r="I12" s="61"/>
      <c r="J12" s="60"/>
      <c r="K12" s="62"/>
      <c r="L12" s="63"/>
    </row>
    <row r="13" spans="2:12" ht="21.95" customHeight="1">
      <c r="B13" s="57"/>
      <c r="C13" s="64" t="s">
        <v>524</v>
      </c>
      <c r="D13" s="65"/>
      <c r="E13" s="66"/>
      <c r="F13" s="67" t="s">
        <v>96</v>
      </c>
      <c r="G13" s="67"/>
      <c r="H13" s="67"/>
      <c r="I13" s="67"/>
      <c r="J13" s="68"/>
      <c r="K13" s="69">
        <f>(G13+H13+I13+J13)*E13</f>
        <v>0</v>
      </c>
      <c r="L13" s="63"/>
    </row>
    <row r="14" spans="2:12" ht="21.95" customHeight="1">
      <c r="B14" s="57"/>
      <c r="C14" s="64" t="s">
        <v>525</v>
      </c>
      <c r="D14" s="65"/>
      <c r="E14" s="66"/>
      <c r="F14" s="67" t="s">
        <v>96</v>
      </c>
      <c r="G14" s="67"/>
      <c r="H14" s="67"/>
      <c r="I14" s="67"/>
      <c r="J14" s="70"/>
      <c r="K14" s="69">
        <f t="shared" ref="K14:K32" si="0">(G14+H14+I14+J14)*E14</f>
        <v>0</v>
      </c>
      <c r="L14" s="63"/>
    </row>
    <row r="15" spans="2:12" ht="21.95" customHeight="1">
      <c r="B15" s="57"/>
      <c r="C15" s="64" t="s">
        <v>526</v>
      </c>
      <c r="D15" s="65"/>
      <c r="E15" s="66"/>
      <c r="F15" s="67" t="s">
        <v>96</v>
      </c>
      <c r="G15" s="67"/>
      <c r="H15" s="67"/>
      <c r="I15" s="67"/>
      <c r="J15" s="68"/>
      <c r="K15" s="69">
        <f t="shared" si="0"/>
        <v>0</v>
      </c>
      <c r="L15" s="63"/>
    </row>
    <row r="16" spans="2:12" ht="21.95" customHeight="1">
      <c r="B16" s="57"/>
      <c r="C16" s="64" t="s">
        <v>527</v>
      </c>
      <c r="D16" s="65"/>
      <c r="E16" s="66"/>
      <c r="F16" s="67" t="s">
        <v>96</v>
      </c>
      <c r="G16" s="71"/>
      <c r="H16" s="71"/>
      <c r="I16" s="71"/>
      <c r="J16" s="69"/>
      <c r="K16" s="69">
        <f t="shared" si="0"/>
        <v>0</v>
      </c>
      <c r="L16" s="63"/>
    </row>
    <row r="17" spans="2:12" ht="21.95" customHeight="1">
      <c r="B17" s="57"/>
      <c r="C17" s="64" t="s">
        <v>528</v>
      </c>
      <c r="D17" s="65"/>
      <c r="E17" s="66"/>
      <c r="F17" s="67" t="s">
        <v>96</v>
      </c>
      <c r="G17" s="67"/>
      <c r="H17" s="67"/>
      <c r="I17" s="67"/>
      <c r="J17" s="68"/>
      <c r="K17" s="69">
        <f t="shared" si="0"/>
        <v>0</v>
      </c>
      <c r="L17" s="63"/>
    </row>
    <row r="18" spans="2:12" ht="21.95" customHeight="1">
      <c r="B18" s="57"/>
      <c r="C18" s="64" t="s">
        <v>529</v>
      </c>
      <c r="D18" s="65"/>
      <c r="E18" s="66"/>
      <c r="F18" s="67" t="s">
        <v>96</v>
      </c>
      <c r="G18" s="71"/>
      <c r="H18" s="71"/>
      <c r="I18" s="71"/>
      <c r="J18" s="69"/>
      <c r="K18" s="69">
        <f t="shared" si="0"/>
        <v>0</v>
      </c>
      <c r="L18" s="63"/>
    </row>
    <row r="19" spans="2:12" ht="21.95" customHeight="1">
      <c r="B19" s="57"/>
      <c r="C19" s="64" t="s">
        <v>530</v>
      </c>
      <c r="D19" s="65"/>
      <c r="E19" s="66"/>
      <c r="F19" s="67" t="s">
        <v>96</v>
      </c>
      <c r="G19" s="67"/>
      <c r="H19" s="67"/>
      <c r="I19" s="67"/>
      <c r="J19" s="68"/>
      <c r="K19" s="69">
        <f t="shared" si="0"/>
        <v>0</v>
      </c>
      <c r="L19" s="63"/>
    </row>
    <row r="20" spans="2:12" ht="21.95" customHeight="1">
      <c r="B20" s="57"/>
      <c r="C20" s="64" t="s">
        <v>531</v>
      </c>
      <c r="D20" s="65"/>
      <c r="E20" s="66"/>
      <c r="F20" s="67" t="s">
        <v>96</v>
      </c>
      <c r="G20" s="71"/>
      <c r="H20" s="71"/>
      <c r="I20" s="71"/>
      <c r="J20" s="69"/>
      <c r="K20" s="69">
        <f t="shared" si="0"/>
        <v>0</v>
      </c>
      <c r="L20" s="63"/>
    </row>
    <row r="21" spans="2:12" ht="21.95" customHeight="1">
      <c r="B21" s="57"/>
      <c r="C21" s="64" t="s">
        <v>532</v>
      </c>
      <c r="D21" s="65"/>
      <c r="E21" s="66"/>
      <c r="F21" s="67" t="s">
        <v>96</v>
      </c>
      <c r="G21" s="71"/>
      <c r="H21" s="71"/>
      <c r="I21" s="71"/>
      <c r="J21" s="69"/>
      <c r="K21" s="69">
        <f t="shared" si="0"/>
        <v>0</v>
      </c>
      <c r="L21" s="63"/>
    </row>
    <row r="22" spans="2:12" ht="21.95" customHeight="1">
      <c r="B22" s="57"/>
      <c r="C22" s="64" t="s">
        <v>533</v>
      </c>
      <c r="D22" s="65"/>
      <c r="E22" s="66"/>
      <c r="F22" s="67" t="s">
        <v>96</v>
      </c>
      <c r="G22" s="71"/>
      <c r="H22" s="71"/>
      <c r="I22" s="71"/>
      <c r="J22" s="69"/>
      <c r="K22" s="69">
        <f t="shared" si="0"/>
        <v>0</v>
      </c>
      <c r="L22" s="63"/>
    </row>
    <row r="23" spans="2:12" ht="21.95" customHeight="1">
      <c r="B23" s="57"/>
      <c r="C23" s="64" t="s">
        <v>534</v>
      </c>
      <c r="D23" s="65"/>
      <c r="E23" s="66"/>
      <c r="F23" s="67" t="s">
        <v>96</v>
      </c>
      <c r="G23" s="71"/>
      <c r="H23" s="71"/>
      <c r="I23" s="71"/>
      <c r="J23" s="69"/>
      <c r="K23" s="69">
        <f t="shared" si="0"/>
        <v>0</v>
      </c>
      <c r="L23" s="63"/>
    </row>
    <row r="24" spans="2:12" ht="21.95" customHeight="1">
      <c r="B24" s="57"/>
      <c r="C24" s="64" t="s">
        <v>535</v>
      </c>
      <c r="D24" s="65"/>
      <c r="E24" s="66"/>
      <c r="F24" s="67" t="s">
        <v>96</v>
      </c>
      <c r="G24" s="71"/>
      <c r="H24" s="71"/>
      <c r="I24" s="71"/>
      <c r="J24" s="69"/>
      <c r="K24" s="69">
        <f t="shared" si="0"/>
        <v>0</v>
      </c>
      <c r="L24" s="63"/>
    </row>
    <row r="25" spans="2:12" ht="21.95" customHeight="1">
      <c r="B25" s="57"/>
      <c r="C25" s="64" t="s">
        <v>536</v>
      </c>
      <c r="D25" s="65"/>
      <c r="E25" s="66"/>
      <c r="F25" s="67" t="s">
        <v>96</v>
      </c>
      <c r="G25" s="71"/>
      <c r="H25" s="71"/>
      <c r="I25" s="71"/>
      <c r="J25" s="69"/>
      <c r="K25" s="69">
        <f t="shared" si="0"/>
        <v>0</v>
      </c>
      <c r="L25" s="63"/>
    </row>
    <row r="26" spans="2:12" ht="21.95" customHeight="1">
      <c r="B26" s="57"/>
      <c r="C26" s="64" t="s">
        <v>537</v>
      </c>
      <c r="D26" s="65"/>
      <c r="E26" s="66"/>
      <c r="F26" s="67" t="s">
        <v>96</v>
      </c>
      <c r="G26" s="71"/>
      <c r="H26" s="71"/>
      <c r="I26" s="71"/>
      <c r="J26" s="69"/>
      <c r="K26" s="69">
        <f t="shared" si="0"/>
        <v>0</v>
      </c>
      <c r="L26" s="63"/>
    </row>
    <row r="27" spans="2:12" ht="21.95" customHeight="1">
      <c r="B27" s="57"/>
      <c r="C27" s="64" t="s">
        <v>538</v>
      </c>
      <c r="D27" s="65"/>
      <c r="E27" s="66"/>
      <c r="F27" s="67" t="s">
        <v>96</v>
      </c>
      <c r="G27" s="71"/>
      <c r="H27" s="71"/>
      <c r="I27" s="71"/>
      <c r="J27" s="69"/>
      <c r="K27" s="69">
        <f t="shared" si="0"/>
        <v>0</v>
      </c>
      <c r="L27" s="63"/>
    </row>
    <row r="28" spans="2:12" ht="21.95" customHeight="1">
      <c r="B28" s="57"/>
      <c r="C28" s="64" t="s">
        <v>539</v>
      </c>
      <c r="D28" s="65"/>
      <c r="E28" s="66"/>
      <c r="F28" s="67" t="s">
        <v>96</v>
      </c>
      <c r="G28" s="71"/>
      <c r="H28" s="71"/>
      <c r="I28" s="71"/>
      <c r="J28" s="69"/>
      <c r="K28" s="69">
        <f t="shared" si="0"/>
        <v>0</v>
      </c>
      <c r="L28" s="63"/>
    </row>
    <row r="29" spans="2:12" ht="21.95" customHeight="1">
      <c r="B29" s="57"/>
      <c r="C29" s="64" t="s">
        <v>540</v>
      </c>
      <c r="D29" s="65"/>
      <c r="E29" s="66"/>
      <c r="F29" s="67" t="s">
        <v>96</v>
      </c>
      <c r="G29" s="71"/>
      <c r="H29" s="71"/>
      <c r="I29" s="71"/>
      <c r="J29" s="69"/>
      <c r="K29" s="69">
        <f t="shared" si="0"/>
        <v>0</v>
      </c>
      <c r="L29" s="63"/>
    </row>
    <row r="30" spans="2:12" ht="21.95" customHeight="1">
      <c r="B30" s="57"/>
      <c r="C30" s="64" t="s">
        <v>541</v>
      </c>
      <c r="D30" s="65"/>
      <c r="E30" s="66"/>
      <c r="F30" s="67" t="s">
        <v>96</v>
      </c>
      <c r="G30" s="71"/>
      <c r="H30" s="71"/>
      <c r="I30" s="71"/>
      <c r="J30" s="69"/>
      <c r="K30" s="69">
        <f t="shared" si="0"/>
        <v>0</v>
      </c>
      <c r="L30" s="63"/>
    </row>
    <row r="31" spans="2:12" ht="21.95" customHeight="1">
      <c r="B31" s="57"/>
      <c r="C31" s="64" t="s">
        <v>542</v>
      </c>
      <c r="D31" s="65"/>
      <c r="E31" s="66"/>
      <c r="F31" s="67" t="s">
        <v>96</v>
      </c>
      <c r="G31" s="71"/>
      <c r="H31" s="71"/>
      <c r="I31" s="71"/>
      <c r="J31" s="69"/>
      <c r="K31" s="69">
        <f t="shared" si="0"/>
        <v>0</v>
      </c>
      <c r="L31" s="63"/>
    </row>
    <row r="32" spans="2:12" ht="21.95" customHeight="1">
      <c r="B32" s="57"/>
      <c r="C32" s="64" t="s">
        <v>543</v>
      </c>
      <c r="D32" s="65"/>
      <c r="E32" s="66"/>
      <c r="F32" s="67" t="s">
        <v>96</v>
      </c>
      <c r="G32" s="67"/>
      <c r="H32" s="67"/>
      <c r="I32" s="67"/>
      <c r="J32" s="68"/>
      <c r="K32" s="69">
        <f t="shared" si="0"/>
        <v>0</v>
      </c>
      <c r="L32" s="63"/>
    </row>
    <row r="33" spans="2:12" ht="6.95" customHeight="1" thickBot="1">
      <c r="B33" s="72"/>
      <c r="C33" s="73"/>
      <c r="D33" s="74"/>
      <c r="E33" s="75"/>
      <c r="F33" s="76"/>
      <c r="G33" s="76"/>
      <c r="H33" s="76"/>
      <c r="I33" s="76"/>
      <c r="J33" s="75"/>
      <c r="K33" s="77"/>
      <c r="L33" s="78"/>
    </row>
    <row r="34" spans="2:12" ht="30" customHeight="1">
      <c r="B34" s="103"/>
      <c r="C34" s="104"/>
      <c r="D34" s="105" t="s">
        <v>116</v>
      </c>
      <c r="E34" s="106"/>
      <c r="F34" s="107"/>
      <c r="G34" s="107"/>
      <c r="H34" s="107"/>
      <c r="I34" s="107"/>
      <c r="J34" s="108"/>
      <c r="K34" s="109">
        <f>SUM(K13:K33)</f>
        <v>0</v>
      </c>
      <c r="L34" s="110"/>
    </row>
    <row r="35" spans="2:12" ht="9.9499999999999993" customHeight="1" thickBot="1">
      <c r="B35" s="111"/>
      <c r="C35" s="112"/>
      <c r="D35" s="113"/>
      <c r="E35" s="114"/>
      <c r="F35" s="115"/>
      <c r="G35" s="116"/>
      <c r="H35" s="116"/>
      <c r="I35" s="116"/>
      <c r="J35" s="116"/>
      <c r="K35" s="117"/>
      <c r="L35" s="118"/>
    </row>
  </sheetData>
  <mergeCells count="8">
    <mergeCell ref="B2:L2"/>
    <mergeCell ref="C5:F7"/>
    <mergeCell ref="B10:C11"/>
    <mergeCell ref="D10:D11"/>
    <mergeCell ref="E10:E11"/>
    <mergeCell ref="F10:F11"/>
    <mergeCell ref="G10:J10"/>
    <mergeCell ref="K10:L11"/>
  </mergeCells>
  <dataValidations count="1">
    <dataValidation type="list" allowBlank="1" showInputMessage="1" showErrorMessage="1" sqref="F13:F32" xr:uid="{00000000-0002-0000-1800-000000000000}">
      <formula1>"m,m²,m³,kg,L,un,vb"</formula1>
    </dataValidation>
  </dataValidations>
  <pageMargins left="0.51181102362204722" right="0.51181102362204722" top="0.59055118110236227" bottom="0.59055118110236227" header="0.31496062992125984" footer="0.31496062992125984"/>
  <pageSetup paperSize="9" scale="72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B1:L35"/>
  <sheetViews>
    <sheetView zoomScale="80" zoomScaleNormal="80" workbookViewId="0" xr3:uid="{94BC7849-1D55-59FD-A4A3-F33B65D9F6CB}">
      <selection activeCell="G13" sqref="G13:J13"/>
    </sheetView>
  </sheetViews>
  <sheetFormatPr defaultColWidth="9.14453125" defaultRowHeight="15"/>
  <cols>
    <col min="1" max="1" width="2.28515625" style="2" customWidth="1"/>
    <col min="2" max="2" width="3.2265625" style="2" customWidth="1"/>
    <col min="3" max="3" width="10.76171875" style="2" customWidth="1"/>
    <col min="4" max="4" width="56.765625" style="2" customWidth="1"/>
    <col min="5" max="5" width="14.66015625" style="2" customWidth="1"/>
    <col min="6" max="6" width="12.64453125" style="2" customWidth="1"/>
    <col min="7" max="10" width="16.6796875" style="2" customWidth="1"/>
    <col min="11" max="11" width="18.6953125" style="2" customWidth="1"/>
    <col min="12" max="12" width="2.6875" style="2" customWidth="1"/>
    <col min="13" max="16384" width="9.14453125" style="2"/>
  </cols>
  <sheetData>
    <row r="1" spans="2:12" ht="15.75" thickBot="1"/>
    <row r="2" spans="2:12" ht="50.1" customHeight="1" thickBot="1">
      <c r="B2" s="188" t="s">
        <v>612</v>
      </c>
      <c r="C2" s="189"/>
      <c r="D2" s="189"/>
      <c r="E2" s="189"/>
      <c r="F2" s="189"/>
      <c r="G2" s="189"/>
      <c r="H2" s="189"/>
      <c r="I2" s="189"/>
      <c r="J2" s="189"/>
      <c r="K2" s="189"/>
      <c r="L2" s="190"/>
    </row>
    <row r="3" spans="2:12">
      <c r="B3" s="35"/>
      <c r="C3" s="36" t="s">
        <v>22</v>
      </c>
      <c r="D3" s="37"/>
      <c r="E3" s="38"/>
      <c r="F3" s="39"/>
      <c r="G3" s="39"/>
      <c r="H3" s="39"/>
      <c r="I3" s="39"/>
      <c r="J3" s="40"/>
      <c r="K3" s="41"/>
      <c r="L3" s="42"/>
    </row>
    <row r="4" spans="2:12" ht="6.95" customHeight="1">
      <c r="B4" s="35"/>
      <c r="C4" s="36"/>
      <c r="D4" s="37"/>
      <c r="E4" s="38"/>
      <c r="F4" s="39"/>
      <c r="G4" s="39"/>
      <c r="H4" s="39"/>
      <c r="I4" s="39"/>
      <c r="J4" s="40"/>
      <c r="K4" s="41"/>
      <c r="L4" s="42"/>
    </row>
    <row r="5" spans="2:12" ht="21.95" customHeight="1">
      <c r="B5" s="35"/>
      <c r="C5" s="191" t="s">
        <v>613</v>
      </c>
      <c r="D5" s="191"/>
      <c r="E5" s="191"/>
      <c r="F5" s="192"/>
      <c r="G5" s="39" t="s">
        <v>80</v>
      </c>
      <c r="H5" s="39" t="s">
        <v>81</v>
      </c>
      <c r="I5" s="39" t="s">
        <v>82</v>
      </c>
      <c r="J5" s="43" t="s">
        <v>83</v>
      </c>
      <c r="K5" s="43" t="s">
        <v>84</v>
      </c>
      <c r="L5" s="42"/>
    </row>
    <row r="6" spans="2:12" ht="21.95" customHeight="1">
      <c r="B6" s="44"/>
      <c r="C6" s="191"/>
      <c r="D6" s="191"/>
      <c r="E6" s="191"/>
      <c r="F6" s="192"/>
      <c r="G6" s="45">
        <f>SUMPRODUCT(E13:E33,G13:G33)</f>
        <v>0</v>
      </c>
      <c r="H6" s="45">
        <f>SUMPRODUCT(E13:E33,H13:H33)</f>
        <v>0</v>
      </c>
      <c r="I6" s="45">
        <f>SUMPRODUCT(E13:E33,I13:I33)</f>
        <v>0</v>
      </c>
      <c r="J6" s="46">
        <f>SUMPRODUCT(E13:E33,J13:J33)</f>
        <v>0</v>
      </c>
      <c r="K6" s="46">
        <f>K34</f>
        <v>0</v>
      </c>
      <c r="L6" s="42"/>
    </row>
    <row r="7" spans="2:12" ht="21.95" customHeight="1">
      <c r="B7" s="44"/>
      <c r="C7" s="191"/>
      <c r="D7" s="191"/>
      <c r="E7" s="191"/>
      <c r="F7" s="192"/>
      <c r="G7" s="47">
        <f>IF(K34&lt;&gt;0,G6/K34,0)</f>
        <v>0</v>
      </c>
      <c r="H7" s="47">
        <f>IF(K34&lt;&gt;0,H6/K34,0)</f>
        <v>0</v>
      </c>
      <c r="I7" s="47">
        <f>IF(K34&lt;&gt;0,I6/K34,0)</f>
        <v>0</v>
      </c>
      <c r="J7" s="48">
        <f>IF(K34&lt;&gt;0,J6/K34,0)</f>
        <v>0</v>
      </c>
      <c r="K7" s="48">
        <f>IF(K34&lt;&gt;0,K6/ORC_Custo!G33,0)</f>
        <v>0</v>
      </c>
      <c r="L7" s="42"/>
    </row>
    <row r="8" spans="2:12" ht="6.95" customHeight="1">
      <c r="B8" s="35"/>
      <c r="C8" s="49"/>
      <c r="D8" s="50"/>
      <c r="E8" s="51"/>
      <c r="F8" s="52"/>
      <c r="G8" s="52"/>
      <c r="H8" s="52"/>
      <c r="I8" s="52"/>
      <c r="J8" s="53"/>
      <c r="K8" s="54"/>
      <c r="L8" s="42"/>
    </row>
    <row r="9" spans="2:12" ht="6.95" customHeight="1" thickBot="1">
      <c r="B9" s="35"/>
      <c r="C9" s="55"/>
      <c r="D9" s="56"/>
      <c r="E9" s="51"/>
      <c r="F9" s="52"/>
      <c r="G9" s="52"/>
      <c r="H9" s="52"/>
      <c r="I9" s="52"/>
      <c r="J9" s="53"/>
      <c r="K9" s="54"/>
      <c r="L9" s="42"/>
    </row>
    <row r="10" spans="2:12" ht="30" customHeight="1" thickBot="1">
      <c r="B10" s="193" t="s">
        <v>85</v>
      </c>
      <c r="C10" s="194"/>
      <c r="D10" s="197" t="s">
        <v>86</v>
      </c>
      <c r="E10" s="199" t="s">
        <v>87</v>
      </c>
      <c r="F10" s="201" t="s">
        <v>88</v>
      </c>
      <c r="G10" s="203" t="s">
        <v>89</v>
      </c>
      <c r="H10" s="204"/>
      <c r="I10" s="204"/>
      <c r="J10" s="205"/>
      <c r="K10" s="206" t="s">
        <v>90</v>
      </c>
      <c r="L10" s="207"/>
    </row>
    <row r="11" spans="2:12" ht="30" customHeight="1" thickBot="1">
      <c r="B11" s="195"/>
      <c r="C11" s="196"/>
      <c r="D11" s="198"/>
      <c r="E11" s="200"/>
      <c r="F11" s="202"/>
      <c r="G11" s="101" t="s">
        <v>91</v>
      </c>
      <c r="H11" s="101" t="s">
        <v>92</v>
      </c>
      <c r="I11" s="101" t="s">
        <v>93</v>
      </c>
      <c r="J11" s="102" t="s">
        <v>94</v>
      </c>
      <c r="K11" s="208"/>
      <c r="L11" s="209"/>
    </row>
    <row r="12" spans="2:12" ht="6.95" customHeight="1">
      <c r="B12" s="57"/>
      <c r="C12" s="58"/>
      <c r="D12" s="59"/>
      <c r="E12" s="60"/>
      <c r="F12" s="61"/>
      <c r="G12" s="61"/>
      <c r="H12" s="61"/>
      <c r="I12" s="61"/>
      <c r="J12" s="60"/>
      <c r="K12" s="62"/>
      <c r="L12" s="63"/>
    </row>
    <row r="13" spans="2:12" ht="21.95" customHeight="1">
      <c r="B13" s="57"/>
      <c r="C13" s="64" t="s">
        <v>544</v>
      </c>
      <c r="D13" s="65"/>
      <c r="E13" s="66"/>
      <c r="F13" s="67" t="s">
        <v>96</v>
      </c>
      <c r="G13" s="67"/>
      <c r="H13" s="67"/>
      <c r="I13" s="67"/>
      <c r="J13" s="68"/>
      <c r="K13" s="69">
        <f>(G13+H13+I13+J13)*E13</f>
        <v>0</v>
      </c>
      <c r="L13" s="63"/>
    </row>
    <row r="14" spans="2:12" ht="21.95" customHeight="1">
      <c r="B14" s="57"/>
      <c r="C14" s="64" t="s">
        <v>545</v>
      </c>
      <c r="D14" s="65"/>
      <c r="E14" s="66"/>
      <c r="F14" s="67" t="s">
        <v>96</v>
      </c>
      <c r="G14" s="67"/>
      <c r="H14" s="67"/>
      <c r="I14" s="67"/>
      <c r="J14" s="70"/>
      <c r="K14" s="69">
        <f t="shared" ref="K14:K32" si="0">(G14+H14+I14+J14)*E14</f>
        <v>0</v>
      </c>
      <c r="L14" s="63"/>
    </row>
    <row r="15" spans="2:12" ht="21.95" customHeight="1">
      <c r="B15" s="57"/>
      <c r="C15" s="64" t="s">
        <v>546</v>
      </c>
      <c r="D15" s="65"/>
      <c r="E15" s="66"/>
      <c r="F15" s="67" t="s">
        <v>96</v>
      </c>
      <c r="G15" s="67"/>
      <c r="H15" s="67"/>
      <c r="I15" s="67"/>
      <c r="J15" s="68"/>
      <c r="K15" s="69">
        <f t="shared" si="0"/>
        <v>0</v>
      </c>
      <c r="L15" s="63"/>
    </row>
    <row r="16" spans="2:12" ht="21.95" customHeight="1">
      <c r="B16" s="57"/>
      <c r="C16" s="64" t="s">
        <v>547</v>
      </c>
      <c r="D16" s="65"/>
      <c r="E16" s="66"/>
      <c r="F16" s="67" t="s">
        <v>96</v>
      </c>
      <c r="G16" s="71"/>
      <c r="H16" s="71"/>
      <c r="I16" s="71"/>
      <c r="J16" s="69"/>
      <c r="K16" s="69">
        <f t="shared" si="0"/>
        <v>0</v>
      </c>
      <c r="L16" s="63"/>
    </row>
    <row r="17" spans="2:12" ht="21.95" customHeight="1">
      <c r="B17" s="57"/>
      <c r="C17" s="64" t="s">
        <v>548</v>
      </c>
      <c r="D17" s="65"/>
      <c r="E17" s="66"/>
      <c r="F17" s="67" t="s">
        <v>96</v>
      </c>
      <c r="G17" s="67"/>
      <c r="H17" s="67"/>
      <c r="I17" s="67"/>
      <c r="J17" s="68"/>
      <c r="K17" s="69">
        <f t="shared" si="0"/>
        <v>0</v>
      </c>
      <c r="L17" s="63"/>
    </row>
    <row r="18" spans="2:12" ht="21.95" customHeight="1">
      <c r="B18" s="57"/>
      <c r="C18" s="64" t="s">
        <v>549</v>
      </c>
      <c r="D18" s="65"/>
      <c r="E18" s="66"/>
      <c r="F18" s="67" t="s">
        <v>96</v>
      </c>
      <c r="G18" s="71"/>
      <c r="H18" s="71"/>
      <c r="I18" s="71"/>
      <c r="J18" s="69"/>
      <c r="K18" s="69">
        <f t="shared" si="0"/>
        <v>0</v>
      </c>
      <c r="L18" s="63"/>
    </row>
    <row r="19" spans="2:12" ht="21.95" customHeight="1">
      <c r="B19" s="57"/>
      <c r="C19" s="64" t="s">
        <v>550</v>
      </c>
      <c r="D19" s="65"/>
      <c r="E19" s="66"/>
      <c r="F19" s="67" t="s">
        <v>96</v>
      </c>
      <c r="G19" s="67"/>
      <c r="H19" s="67"/>
      <c r="I19" s="67"/>
      <c r="J19" s="68"/>
      <c r="K19" s="69">
        <f t="shared" si="0"/>
        <v>0</v>
      </c>
      <c r="L19" s="63"/>
    </row>
    <row r="20" spans="2:12" ht="21.95" customHeight="1">
      <c r="B20" s="57"/>
      <c r="C20" s="64" t="s">
        <v>551</v>
      </c>
      <c r="D20" s="65"/>
      <c r="E20" s="66"/>
      <c r="F20" s="67" t="s">
        <v>96</v>
      </c>
      <c r="G20" s="71"/>
      <c r="H20" s="71"/>
      <c r="I20" s="71"/>
      <c r="J20" s="69"/>
      <c r="K20" s="69">
        <f t="shared" si="0"/>
        <v>0</v>
      </c>
      <c r="L20" s="63"/>
    </row>
    <row r="21" spans="2:12" ht="21.95" customHeight="1">
      <c r="B21" s="57"/>
      <c r="C21" s="64" t="s">
        <v>552</v>
      </c>
      <c r="D21" s="65"/>
      <c r="E21" s="66"/>
      <c r="F21" s="67" t="s">
        <v>96</v>
      </c>
      <c r="G21" s="71"/>
      <c r="H21" s="71"/>
      <c r="I21" s="71"/>
      <c r="J21" s="69"/>
      <c r="K21" s="69">
        <f t="shared" si="0"/>
        <v>0</v>
      </c>
      <c r="L21" s="63"/>
    </row>
    <row r="22" spans="2:12" ht="21.95" customHeight="1">
      <c r="B22" s="57"/>
      <c r="C22" s="64" t="s">
        <v>553</v>
      </c>
      <c r="D22" s="65"/>
      <c r="E22" s="66"/>
      <c r="F22" s="67" t="s">
        <v>96</v>
      </c>
      <c r="G22" s="71"/>
      <c r="H22" s="71"/>
      <c r="I22" s="71"/>
      <c r="J22" s="69"/>
      <c r="K22" s="69">
        <f t="shared" si="0"/>
        <v>0</v>
      </c>
      <c r="L22" s="63"/>
    </row>
    <row r="23" spans="2:12" ht="21.95" customHeight="1">
      <c r="B23" s="57"/>
      <c r="C23" s="64" t="s">
        <v>554</v>
      </c>
      <c r="D23" s="65"/>
      <c r="E23" s="66"/>
      <c r="F23" s="67" t="s">
        <v>96</v>
      </c>
      <c r="G23" s="71"/>
      <c r="H23" s="71"/>
      <c r="I23" s="71"/>
      <c r="J23" s="69"/>
      <c r="K23" s="69">
        <f t="shared" si="0"/>
        <v>0</v>
      </c>
      <c r="L23" s="63"/>
    </row>
    <row r="24" spans="2:12" ht="21.95" customHeight="1">
      <c r="B24" s="57"/>
      <c r="C24" s="64" t="s">
        <v>555</v>
      </c>
      <c r="D24" s="65"/>
      <c r="E24" s="66"/>
      <c r="F24" s="67" t="s">
        <v>96</v>
      </c>
      <c r="G24" s="71"/>
      <c r="H24" s="71"/>
      <c r="I24" s="71"/>
      <c r="J24" s="69"/>
      <c r="K24" s="69">
        <f t="shared" si="0"/>
        <v>0</v>
      </c>
      <c r="L24" s="63"/>
    </row>
    <row r="25" spans="2:12" ht="21.95" customHeight="1">
      <c r="B25" s="57"/>
      <c r="C25" s="64" t="s">
        <v>556</v>
      </c>
      <c r="D25" s="65"/>
      <c r="E25" s="66"/>
      <c r="F25" s="67" t="s">
        <v>96</v>
      </c>
      <c r="G25" s="71"/>
      <c r="H25" s="71"/>
      <c r="I25" s="71"/>
      <c r="J25" s="69"/>
      <c r="K25" s="69">
        <f t="shared" si="0"/>
        <v>0</v>
      </c>
      <c r="L25" s="63"/>
    </row>
    <row r="26" spans="2:12" ht="21.95" customHeight="1">
      <c r="B26" s="57"/>
      <c r="C26" s="64" t="s">
        <v>557</v>
      </c>
      <c r="D26" s="65"/>
      <c r="E26" s="66"/>
      <c r="F26" s="67" t="s">
        <v>96</v>
      </c>
      <c r="G26" s="71"/>
      <c r="H26" s="71"/>
      <c r="I26" s="71"/>
      <c r="J26" s="69"/>
      <c r="K26" s="69">
        <f t="shared" si="0"/>
        <v>0</v>
      </c>
      <c r="L26" s="63"/>
    </row>
    <row r="27" spans="2:12" ht="21.95" customHeight="1">
      <c r="B27" s="57"/>
      <c r="C27" s="64" t="s">
        <v>558</v>
      </c>
      <c r="D27" s="65"/>
      <c r="E27" s="66"/>
      <c r="F27" s="67" t="s">
        <v>96</v>
      </c>
      <c r="G27" s="71"/>
      <c r="H27" s="71"/>
      <c r="I27" s="71"/>
      <c r="J27" s="69"/>
      <c r="K27" s="69">
        <f t="shared" si="0"/>
        <v>0</v>
      </c>
      <c r="L27" s="63"/>
    </row>
    <row r="28" spans="2:12" ht="21.95" customHeight="1">
      <c r="B28" s="57"/>
      <c r="C28" s="64" t="s">
        <v>559</v>
      </c>
      <c r="D28" s="65"/>
      <c r="E28" s="66"/>
      <c r="F28" s="67" t="s">
        <v>96</v>
      </c>
      <c r="G28" s="71"/>
      <c r="H28" s="71"/>
      <c r="I28" s="71"/>
      <c r="J28" s="69"/>
      <c r="K28" s="69">
        <f t="shared" si="0"/>
        <v>0</v>
      </c>
      <c r="L28" s="63"/>
    </row>
    <row r="29" spans="2:12" ht="21.95" customHeight="1">
      <c r="B29" s="57"/>
      <c r="C29" s="64" t="s">
        <v>560</v>
      </c>
      <c r="D29" s="65"/>
      <c r="E29" s="66"/>
      <c r="F29" s="67" t="s">
        <v>96</v>
      </c>
      <c r="G29" s="71"/>
      <c r="H29" s="71"/>
      <c r="I29" s="71"/>
      <c r="J29" s="69"/>
      <c r="K29" s="69">
        <f t="shared" si="0"/>
        <v>0</v>
      </c>
      <c r="L29" s="63"/>
    </row>
    <row r="30" spans="2:12" ht="21.95" customHeight="1">
      <c r="B30" s="57"/>
      <c r="C30" s="64" t="s">
        <v>561</v>
      </c>
      <c r="D30" s="65"/>
      <c r="E30" s="66"/>
      <c r="F30" s="67" t="s">
        <v>96</v>
      </c>
      <c r="G30" s="71"/>
      <c r="H30" s="71"/>
      <c r="I30" s="71"/>
      <c r="J30" s="69"/>
      <c r="K30" s="69">
        <f t="shared" si="0"/>
        <v>0</v>
      </c>
      <c r="L30" s="63"/>
    </row>
    <row r="31" spans="2:12" ht="21.95" customHeight="1">
      <c r="B31" s="57"/>
      <c r="C31" s="64" t="s">
        <v>562</v>
      </c>
      <c r="D31" s="65"/>
      <c r="E31" s="66"/>
      <c r="F31" s="67" t="s">
        <v>96</v>
      </c>
      <c r="G31" s="71"/>
      <c r="H31" s="71"/>
      <c r="I31" s="71"/>
      <c r="J31" s="69"/>
      <c r="K31" s="69">
        <f t="shared" si="0"/>
        <v>0</v>
      </c>
      <c r="L31" s="63"/>
    </row>
    <row r="32" spans="2:12" ht="21.95" customHeight="1">
      <c r="B32" s="57"/>
      <c r="C32" s="64" t="s">
        <v>563</v>
      </c>
      <c r="D32" s="65"/>
      <c r="E32" s="66"/>
      <c r="F32" s="67" t="s">
        <v>96</v>
      </c>
      <c r="G32" s="67"/>
      <c r="H32" s="67"/>
      <c r="I32" s="67"/>
      <c r="J32" s="68"/>
      <c r="K32" s="69">
        <f t="shared" si="0"/>
        <v>0</v>
      </c>
      <c r="L32" s="63"/>
    </row>
    <row r="33" spans="2:12" ht="6.95" customHeight="1" thickBot="1">
      <c r="B33" s="72"/>
      <c r="C33" s="73"/>
      <c r="D33" s="74"/>
      <c r="E33" s="75"/>
      <c r="F33" s="76"/>
      <c r="G33" s="76"/>
      <c r="H33" s="76"/>
      <c r="I33" s="76"/>
      <c r="J33" s="75"/>
      <c r="K33" s="77"/>
      <c r="L33" s="78"/>
    </row>
    <row r="34" spans="2:12" ht="30" customHeight="1">
      <c r="B34" s="103"/>
      <c r="C34" s="104"/>
      <c r="D34" s="105" t="s">
        <v>116</v>
      </c>
      <c r="E34" s="106"/>
      <c r="F34" s="107"/>
      <c r="G34" s="107"/>
      <c r="H34" s="107"/>
      <c r="I34" s="107"/>
      <c r="J34" s="108"/>
      <c r="K34" s="109">
        <f>SUM(K13:K33)</f>
        <v>0</v>
      </c>
      <c r="L34" s="110"/>
    </row>
    <row r="35" spans="2:12" ht="9.9499999999999993" customHeight="1" thickBot="1">
      <c r="B35" s="111"/>
      <c r="C35" s="112"/>
      <c r="D35" s="113"/>
      <c r="E35" s="114"/>
      <c r="F35" s="115"/>
      <c r="G35" s="116"/>
      <c r="H35" s="116"/>
      <c r="I35" s="116"/>
      <c r="J35" s="116"/>
      <c r="K35" s="117"/>
      <c r="L35" s="118"/>
    </row>
  </sheetData>
  <mergeCells count="8">
    <mergeCell ref="B2:L2"/>
    <mergeCell ref="C5:F7"/>
    <mergeCell ref="B10:C11"/>
    <mergeCell ref="D10:D11"/>
    <mergeCell ref="E10:E11"/>
    <mergeCell ref="F10:F11"/>
    <mergeCell ref="G10:J10"/>
    <mergeCell ref="K10:L11"/>
  </mergeCells>
  <dataValidations count="1">
    <dataValidation type="list" allowBlank="1" showInputMessage="1" showErrorMessage="1" sqref="F13:F32" xr:uid="{00000000-0002-0000-1900-000000000000}">
      <formula1>"m,m²,m³,kg,L,un,vb"</formula1>
    </dataValidation>
  </dataValidations>
  <pageMargins left="0.51181102362204722" right="0.51181102362204722" top="0.59055118110236227" bottom="0.59055118110236227" header="0.31496062992125984" footer="0.31496062992125984"/>
  <pageSetup paperSize="9" scale="72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R22"/>
  <sheetViews>
    <sheetView zoomScaleNormal="100" workbookViewId="0" xr3:uid="{F4A53677-9E12-59C4-BAB1-211CDE2C826E}"/>
  </sheetViews>
  <sheetFormatPr defaultColWidth="9.14453125" defaultRowHeight="15"/>
  <cols>
    <col min="1" max="1" width="4.70703125" style="2" customWidth="1"/>
    <col min="2" max="17" width="9.14453125" style="2"/>
    <col min="18" max="18" width="16.140625" style="2" customWidth="1"/>
    <col min="19" max="16384" width="9.14453125" style="2"/>
  </cols>
  <sheetData>
    <row r="1" spans="2:18" ht="15.75" thickBot="1"/>
    <row r="2" spans="2:18">
      <c r="B2" s="152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4"/>
    </row>
    <row r="3" spans="2:18">
      <c r="B3" s="155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7"/>
    </row>
    <row r="4" spans="2:18">
      <c r="B4" s="155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7"/>
    </row>
    <row r="5" spans="2:18">
      <c r="B5" s="155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7"/>
    </row>
    <row r="6" spans="2:18">
      <c r="B6" s="155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7"/>
    </row>
    <row r="7" spans="2:18">
      <c r="B7" s="155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7"/>
    </row>
    <row r="8" spans="2:18">
      <c r="B8" s="155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7"/>
    </row>
    <row r="9" spans="2:18">
      <c r="B9" s="155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7"/>
    </row>
    <row r="10" spans="2:18">
      <c r="B10" s="155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7"/>
    </row>
    <row r="11" spans="2:18">
      <c r="B11" s="155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7"/>
    </row>
    <row r="12" spans="2:18">
      <c r="B12" s="155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7"/>
    </row>
    <row r="13" spans="2:18">
      <c r="B13" s="155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7"/>
    </row>
    <row r="14" spans="2:18">
      <c r="B14" s="155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7"/>
    </row>
    <row r="15" spans="2:18">
      <c r="B15" s="155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7"/>
    </row>
    <row r="16" spans="2:18">
      <c r="B16" s="155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7"/>
    </row>
    <row r="17" spans="2:18">
      <c r="B17" s="155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7"/>
    </row>
    <row r="18" spans="2:18">
      <c r="B18" s="155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7"/>
    </row>
    <row r="19" spans="2:18">
      <c r="B19" s="155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7"/>
    </row>
    <row r="20" spans="2:18">
      <c r="B20" s="155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7"/>
    </row>
    <row r="21" spans="2:18">
      <c r="B21" s="155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7"/>
    </row>
    <row r="22" spans="2:18" ht="15.75" thickBot="1">
      <c r="B22" s="158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60"/>
    </row>
  </sheetData>
  <pageMargins left="0.511811024" right="0.511811024" top="0.78740157499999996" bottom="0.78740157499999996" header="0.31496062000000002" footer="0.31496062000000002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2:Z7"/>
  <sheetViews>
    <sheetView topLeftCell="C1" workbookViewId="0" xr3:uid="{23B2C380-326F-580B-8990-D38B2516F165}">
      <selection activeCell="B3" sqref="B3:B6"/>
    </sheetView>
  </sheetViews>
  <sheetFormatPr defaultRowHeight="15"/>
  <cols>
    <col min="1" max="1" width="5.6484375" customWidth="1"/>
    <col min="2" max="2" width="14.52734375" customWidth="1"/>
    <col min="3" max="25" width="12.64453125" customWidth="1"/>
    <col min="26" max="26" width="13.31640625" bestFit="1" customWidth="1"/>
  </cols>
  <sheetData>
    <row r="2" spans="2:26" s="147" customFormat="1">
      <c r="C2" s="146" t="s">
        <v>32</v>
      </c>
      <c r="D2" s="147" t="s">
        <v>34</v>
      </c>
      <c r="E2" s="147" t="s">
        <v>36</v>
      </c>
      <c r="F2" s="147" t="s">
        <v>38</v>
      </c>
      <c r="G2" s="147" t="s">
        <v>40</v>
      </c>
      <c r="H2" s="147" t="s">
        <v>42</v>
      </c>
      <c r="I2" s="147" t="s">
        <v>44</v>
      </c>
      <c r="J2" s="147" t="s">
        <v>46</v>
      </c>
      <c r="K2" s="147" t="s">
        <v>48</v>
      </c>
      <c r="L2" s="147" t="s">
        <v>50</v>
      </c>
      <c r="M2" s="147" t="s">
        <v>52</v>
      </c>
      <c r="N2" s="147" t="s">
        <v>54</v>
      </c>
      <c r="O2" s="147" t="s">
        <v>55</v>
      </c>
      <c r="P2" s="147" t="s">
        <v>57</v>
      </c>
      <c r="Q2" s="147" t="s">
        <v>59</v>
      </c>
      <c r="R2" s="147" t="s">
        <v>61</v>
      </c>
      <c r="S2" s="147" t="s">
        <v>63</v>
      </c>
      <c r="T2" s="147" t="s">
        <v>65</v>
      </c>
      <c r="U2" s="147" t="s">
        <v>67</v>
      </c>
      <c r="V2" s="147" t="s">
        <v>68</v>
      </c>
      <c r="W2" s="147" t="s">
        <v>70</v>
      </c>
      <c r="X2" s="147" t="s">
        <v>71</v>
      </c>
      <c r="Y2" s="147" t="s">
        <v>73</v>
      </c>
    </row>
    <row r="3" spans="2:26">
      <c r="B3" t="s">
        <v>80</v>
      </c>
      <c r="C3" s="148">
        <f>'01.'!G6</f>
        <v>0</v>
      </c>
      <c r="D3" s="148">
        <f>'02.'!G6</f>
        <v>0</v>
      </c>
      <c r="E3" s="148">
        <f>'03.'!G6</f>
        <v>0</v>
      </c>
      <c r="F3" s="148">
        <f>'04.'!G6</f>
        <v>0</v>
      </c>
      <c r="G3" s="148">
        <f>'05.'!G6</f>
        <v>0</v>
      </c>
      <c r="H3" s="148">
        <f>'06.'!G6</f>
        <v>0</v>
      </c>
      <c r="I3" s="148">
        <f>'07.'!G6</f>
        <v>0</v>
      </c>
      <c r="J3" s="148">
        <f>'08.'!G6</f>
        <v>0</v>
      </c>
      <c r="K3" s="148">
        <f>'09.'!G6</f>
        <v>0</v>
      </c>
      <c r="L3" s="148">
        <f>'10.'!G6</f>
        <v>0</v>
      </c>
      <c r="M3" s="148">
        <f>'11.'!G6</f>
        <v>0</v>
      </c>
      <c r="N3" s="148">
        <f>'12.'!G6</f>
        <v>0</v>
      </c>
      <c r="O3" s="148">
        <f>'13.'!G6</f>
        <v>0</v>
      </c>
      <c r="P3" s="148">
        <f>'14.'!G6</f>
        <v>0</v>
      </c>
      <c r="Q3" s="148">
        <f>'15.'!G6</f>
        <v>0</v>
      </c>
      <c r="R3" s="148">
        <f>'16.'!G6</f>
        <v>0</v>
      </c>
      <c r="S3" s="148">
        <f>'17.'!G6</f>
        <v>0</v>
      </c>
      <c r="T3" s="148">
        <f>'18.'!G6</f>
        <v>0</v>
      </c>
      <c r="U3" s="148">
        <f>'19.'!G6</f>
        <v>0</v>
      </c>
      <c r="V3" s="148">
        <f>'20.'!G6</f>
        <v>0</v>
      </c>
      <c r="W3" s="148">
        <f>'21.'!G6</f>
        <v>0</v>
      </c>
      <c r="X3" s="148">
        <f>'22.'!G6</f>
        <v>0</v>
      </c>
      <c r="Y3" s="148">
        <f>'23.'!G6</f>
        <v>0</v>
      </c>
      <c r="Z3" s="151">
        <f t="shared" ref="Z3:Z6" si="0">SUM(C3:Y3)</f>
        <v>0</v>
      </c>
    </row>
    <row r="4" spans="2:26">
      <c r="B4" t="s">
        <v>81</v>
      </c>
      <c r="C4" s="148">
        <f>'01.'!H6</f>
        <v>0</v>
      </c>
      <c r="D4" s="148">
        <f>'02.'!H6</f>
        <v>0</v>
      </c>
      <c r="E4" s="148">
        <f>'03.'!H6</f>
        <v>0</v>
      </c>
      <c r="F4" s="148">
        <f>'04.'!H6</f>
        <v>0</v>
      </c>
      <c r="G4" s="148">
        <f>'05.'!H6</f>
        <v>0</v>
      </c>
      <c r="H4" s="148">
        <f>'06.'!H6</f>
        <v>0</v>
      </c>
      <c r="I4" s="148">
        <f>'07.'!H6</f>
        <v>0</v>
      </c>
      <c r="J4" s="148">
        <f>'08.'!H6</f>
        <v>0</v>
      </c>
      <c r="K4" s="148">
        <f>'09.'!H6</f>
        <v>0</v>
      </c>
      <c r="L4" s="148">
        <f>'10.'!H6</f>
        <v>0</v>
      </c>
      <c r="M4" s="148">
        <f>'11.'!H6</f>
        <v>0</v>
      </c>
      <c r="N4" s="148">
        <f>'12.'!H6</f>
        <v>0</v>
      </c>
      <c r="O4" s="148">
        <f>'13.'!H6</f>
        <v>0</v>
      </c>
      <c r="P4" s="148">
        <f>'14.'!H6</f>
        <v>0</v>
      </c>
      <c r="Q4" s="148">
        <f>'15.'!H6</f>
        <v>0</v>
      </c>
      <c r="R4" s="148">
        <f>'16.'!H6</f>
        <v>0</v>
      </c>
      <c r="S4" s="148">
        <f>'17.'!H6</f>
        <v>0</v>
      </c>
      <c r="T4" s="148">
        <f>'18.'!H6</f>
        <v>0</v>
      </c>
      <c r="U4" s="148">
        <f>'19.'!H6</f>
        <v>0</v>
      </c>
      <c r="V4" s="148">
        <f>'20.'!H6</f>
        <v>0</v>
      </c>
      <c r="W4" s="148">
        <f>'21.'!H6</f>
        <v>0</v>
      </c>
      <c r="X4" s="148">
        <f>'22.'!H6</f>
        <v>0</v>
      </c>
      <c r="Y4" s="148">
        <f>'23.'!H6</f>
        <v>0</v>
      </c>
      <c r="Z4" s="151">
        <f t="shared" si="0"/>
        <v>0</v>
      </c>
    </row>
    <row r="5" spans="2:26">
      <c r="B5" t="s">
        <v>82</v>
      </c>
      <c r="C5" s="148">
        <f>'01.'!I6</f>
        <v>0</v>
      </c>
      <c r="D5" s="148">
        <f>'02.'!I6</f>
        <v>0</v>
      </c>
      <c r="E5" s="148">
        <f>'03.'!I6</f>
        <v>0</v>
      </c>
      <c r="F5" s="148">
        <f>'04.'!I6</f>
        <v>0</v>
      </c>
      <c r="G5" s="148">
        <f>'05.'!I6</f>
        <v>0</v>
      </c>
      <c r="H5" s="148">
        <f>'06.'!I6</f>
        <v>0</v>
      </c>
      <c r="I5" s="148">
        <f>'07.'!I6</f>
        <v>0</v>
      </c>
      <c r="J5" s="148">
        <f>'08.'!I6</f>
        <v>0</v>
      </c>
      <c r="K5" s="148">
        <f>'09.'!I6</f>
        <v>0</v>
      </c>
      <c r="L5" s="148">
        <f>'10.'!I6</f>
        <v>0</v>
      </c>
      <c r="M5" s="148">
        <f>'11.'!I6</f>
        <v>0</v>
      </c>
      <c r="N5" s="148">
        <f>'12.'!I6</f>
        <v>0</v>
      </c>
      <c r="O5" s="148">
        <f>'13.'!I6</f>
        <v>0</v>
      </c>
      <c r="P5" s="148">
        <f>'14.'!I6</f>
        <v>0</v>
      </c>
      <c r="Q5" s="148">
        <f>'15.'!I6</f>
        <v>0</v>
      </c>
      <c r="R5" s="148">
        <f>'16.'!I6</f>
        <v>0</v>
      </c>
      <c r="S5" s="148">
        <f>'17.'!I6</f>
        <v>0</v>
      </c>
      <c r="T5" s="148">
        <f>'18.'!I6</f>
        <v>0</v>
      </c>
      <c r="U5" s="148">
        <f>'19.'!I6</f>
        <v>0</v>
      </c>
      <c r="V5" s="148">
        <f>'20.'!I6</f>
        <v>0</v>
      </c>
      <c r="W5" s="148">
        <f>'21.'!I6</f>
        <v>0</v>
      </c>
      <c r="X5" s="148">
        <f>'22.'!I6</f>
        <v>0</v>
      </c>
      <c r="Y5" s="148">
        <f>'23.'!I6</f>
        <v>0</v>
      </c>
      <c r="Z5" s="151">
        <f t="shared" si="0"/>
        <v>0</v>
      </c>
    </row>
    <row r="6" spans="2:26">
      <c r="B6" t="s">
        <v>83</v>
      </c>
      <c r="C6" s="148">
        <f>'01.'!J6</f>
        <v>0</v>
      </c>
      <c r="D6" s="148">
        <f>'02.'!J6</f>
        <v>0</v>
      </c>
      <c r="E6" s="148">
        <f>'03.'!J6</f>
        <v>0</v>
      </c>
      <c r="F6" s="148">
        <f>'04.'!J6</f>
        <v>0</v>
      </c>
      <c r="G6" s="148">
        <f>'05.'!J6</f>
        <v>0</v>
      </c>
      <c r="H6" s="148">
        <f>'06.'!J6</f>
        <v>0</v>
      </c>
      <c r="I6" s="148">
        <f>'07.'!J6</f>
        <v>0</v>
      </c>
      <c r="J6" s="148">
        <f>'08.'!J6</f>
        <v>0</v>
      </c>
      <c r="K6" s="148">
        <f>'09.'!J6</f>
        <v>0</v>
      </c>
      <c r="L6" s="148">
        <f>'10.'!J6</f>
        <v>0</v>
      </c>
      <c r="M6" s="148">
        <f>'11.'!J6</f>
        <v>0</v>
      </c>
      <c r="N6" s="148">
        <f>'12.'!J6</f>
        <v>0</v>
      </c>
      <c r="O6" s="148">
        <f>'13.'!J6</f>
        <v>0</v>
      </c>
      <c r="P6" s="148">
        <f>'14.'!J6</f>
        <v>0</v>
      </c>
      <c r="Q6" s="148">
        <f>'15.'!J6</f>
        <v>0</v>
      </c>
      <c r="R6" s="148">
        <f>'16.'!J6</f>
        <v>0</v>
      </c>
      <c r="S6" s="148">
        <f>'17.'!J6</f>
        <v>0</v>
      </c>
      <c r="T6" s="148">
        <f>'18.'!J6</f>
        <v>0</v>
      </c>
      <c r="U6" s="148">
        <f>'19.'!J6</f>
        <v>0</v>
      </c>
      <c r="V6" s="148">
        <f>'20.'!J6</f>
        <v>0</v>
      </c>
      <c r="W6" s="148">
        <f>'21.'!J6</f>
        <v>0</v>
      </c>
      <c r="X6" s="148">
        <f>'22.'!J6</f>
        <v>0</v>
      </c>
      <c r="Y6" s="148">
        <f>'23.'!J6</f>
        <v>0</v>
      </c>
      <c r="Z6" s="151">
        <f t="shared" si="0"/>
        <v>0</v>
      </c>
    </row>
    <row r="7" spans="2:26" s="149" customFormat="1">
      <c r="B7" s="149" t="s">
        <v>84</v>
      </c>
      <c r="C7" s="150">
        <f>'01.'!K6</f>
        <v>0</v>
      </c>
      <c r="D7" s="150">
        <f>'02.'!K6</f>
        <v>0</v>
      </c>
      <c r="E7" s="150">
        <f>'03.'!K6</f>
        <v>0</v>
      </c>
      <c r="F7" s="150">
        <f>'04.'!K6</f>
        <v>0</v>
      </c>
      <c r="G7" s="150">
        <f>'05.'!K6</f>
        <v>0</v>
      </c>
      <c r="H7" s="150">
        <f>'06.'!K6</f>
        <v>0</v>
      </c>
      <c r="I7" s="150">
        <f>'07.'!K6</f>
        <v>0</v>
      </c>
      <c r="J7" s="150">
        <f>'08.'!K6</f>
        <v>0</v>
      </c>
      <c r="K7" s="150">
        <f>'09.'!K6</f>
        <v>0</v>
      </c>
      <c r="L7" s="150">
        <f>'10.'!K6</f>
        <v>0</v>
      </c>
      <c r="M7" s="150">
        <f>'11.'!K6</f>
        <v>0</v>
      </c>
      <c r="N7" s="150">
        <f>'12.'!K6</f>
        <v>0</v>
      </c>
      <c r="O7" s="150">
        <f>'13.'!K6</f>
        <v>0</v>
      </c>
      <c r="P7" s="150">
        <f>'14.'!K6</f>
        <v>0</v>
      </c>
      <c r="Q7" s="150">
        <f>'15.'!K6</f>
        <v>0</v>
      </c>
      <c r="R7" s="150">
        <f>'16.'!K6</f>
        <v>0</v>
      </c>
      <c r="S7" s="150">
        <f>'17.'!K6</f>
        <v>0</v>
      </c>
      <c r="T7" s="150">
        <f>'18.'!K6</f>
        <v>0</v>
      </c>
      <c r="U7" s="150">
        <f>'19.'!K6</f>
        <v>0</v>
      </c>
      <c r="V7" s="150">
        <f>'20.'!K6</f>
        <v>0</v>
      </c>
      <c r="W7" s="150">
        <f>'21.'!K6</f>
        <v>0</v>
      </c>
      <c r="X7" s="150">
        <f>'22.'!K6</f>
        <v>0</v>
      </c>
      <c r="Y7" s="150">
        <f>'23.'!K6</f>
        <v>0</v>
      </c>
      <c r="Z7" s="151">
        <f>SUM(C7:Y7)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28</vt:i4>
      </vt:variant>
    </vt:vector>
  </HeadingPairs>
  <TitlesOfParts>
    <vt:vector size="28" baseType="lpstr">
      <vt:lpstr>Frente</vt:lpstr>
      <vt:lpstr>ORC_Custo</vt:lpstr>
      <vt:lpstr>ORC_PV</vt:lpstr>
      <vt:lpstr>01.</vt:lpstr>
      <vt:lpstr>02.</vt:lpstr>
      <vt:lpstr>03.</vt:lpstr>
      <vt:lpstr>04.</vt:lpstr>
      <vt:lpstr>05.</vt:lpstr>
      <vt:lpstr>06.</vt:lpstr>
      <vt:lpstr>07.</vt:lpstr>
      <vt:lpstr>08.</vt:lpstr>
      <vt:lpstr>09.</vt:lpstr>
      <vt:lpstr>10.</vt:lpstr>
      <vt:lpstr>11.</vt:lpstr>
      <vt:lpstr>12.</vt:lpstr>
      <vt:lpstr>13.</vt:lpstr>
      <vt:lpstr>14.</vt:lpstr>
      <vt:lpstr>15.</vt:lpstr>
      <vt:lpstr>16.</vt:lpstr>
      <vt:lpstr>17.</vt:lpstr>
      <vt:lpstr>18.</vt:lpstr>
      <vt:lpstr>19.</vt:lpstr>
      <vt:lpstr>20.</vt:lpstr>
      <vt:lpstr>21.</vt:lpstr>
      <vt:lpstr>22.</vt:lpstr>
      <vt:lpstr>23.</vt:lpstr>
      <vt:lpstr>DSHB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cp:lastPrinted>2017-06-21T19:27:12Z</cp:lastPrinted>
  <dcterms:created xsi:type="dcterms:W3CDTF">2017-06-19T17:30:47Z</dcterms:created>
  <dcterms:modified xsi:type="dcterms:W3CDTF">2017-06-24T00:41:12Z</dcterms:modified>
</cp:coreProperties>
</file>