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1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<sst xmlns="http://schemas.openxmlformats.org/spreadsheetml/2006/main" count="30" uniqueCount="29">
  <si>
    <t>Rótulos de Linha</t>
  </si>
  <si>
    <t>ANO</t>
  </si>
  <si>
    <t>(Tudo)</t>
  </si>
  <si>
    <t>SEMESTRE</t>
  </si>
  <si>
    <t>TRIMESTRE</t>
  </si>
  <si>
    <t>FILTROS</t>
  </si>
  <si>
    <t>VER GRÁFICO</t>
  </si>
  <si>
    <t>VER TABELA</t>
  </si>
  <si>
    <t>Total Geral</t>
  </si>
  <si>
    <t>TIPO</t>
  </si>
  <si>
    <t>ENTRADAS</t>
  </si>
  <si>
    <t>Valores</t>
  </si>
  <si>
    <t>VOLUME FINANCEIRO</t>
  </si>
  <si>
    <t>OCORRÊNCIA</t>
  </si>
  <si>
    <t>FLUXO DE CAIXA - VOLUME FINANCEIRO E OCORRÊNCIA POR TIPO, SITUAÇÃO E MÊS</t>
  </si>
  <si>
    <t>01 (JAN)</t>
  </si>
  <si>
    <t>02 (FEV)</t>
  </si>
  <si>
    <t>03 (MAR)</t>
  </si>
  <si>
    <t>04 (ABR)</t>
  </si>
  <si>
    <t>05 (MAI)</t>
  </si>
  <si>
    <t>06 (JUN)</t>
  </si>
  <si>
    <t>07 (JUL)</t>
  </si>
  <si>
    <t>08 (AGO)</t>
  </si>
  <si>
    <t>09 (SET)</t>
  </si>
  <si>
    <t>10 (OUT)</t>
  </si>
  <si>
    <t>11 (NOV)</t>
  </si>
  <si>
    <t>12 (DEZ)</t>
  </si>
  <si>
    <t>SITUAÇÃO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</si>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</sst>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/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50"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33" formatCode="_-* #,##0_-;\-* #,##0_-;_-* &quot;-&quot;_-;_-@_-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33" formatCode="_-* #,##0_-;\-* #,##0_-;_-* &quot;-&quot;_-;_-@_-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33" formatCode="_-* #,##0_-;\-* #,##0_-;_-* &quot;-&quot;_-;_-@_-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[reidasplanilhas-R010-Fluxo-Caixa-Volume-Financeiro-Ocorrencia-por-Tipo-e-Mes.xlsx]TABELA!Tabela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  <c:spPr>
          <a:scene3d>
            <a:camera prst="orthographicFront"/>
            <a:lightRig rig="threePt" dir="t">
              <a:rot lat="0" lon="0" rev="1200000"/>
            </a:lightRig>
          </a:scene3d>
          <a:sp3d>
            <a:bevelT w="25400" h="12700"/>
          </a:sp3d>
        </c:spPr>
        <c:marker>
          <c:symbol val="none"/>
        </c:marker>
      </c:pivotFmt>
      <c:pivotFmt>
        <c:idx val="211"/>
        <c:spPr>
          <a:ln w="101600" cap="flat" cmpd="sng" algn="ctr">
            <a:solidFill>
              <a:srgbClr val="FF0000">
                <a:alpha val="72000"/>
              </a:srgbClr>
            </a:solidFill>
            <a:prstDash val="solid"/>
            <a:headEnd type="none" w="med" len="med"/>
            <a:tailEnd type="none" w="med" len="med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65442782513259"/>
          <c:y val="8.3652805571049552E-2"/>
          <c:w val="0.83703729632424206"/>
          <c:h val="0.8098114947964557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VOLUME FINANCEIRO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"/>
              </a:lightRig>
            </a:scene3d>
            <a:sp3d>
              <a:bevelT w="25400" h="12700"/>
            </a:sp3d>
          </c:spPr>
          <c:invertIfNegative val="0"/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TABELA!$C$11:$C$23</c:f>
              <c:numCache>
                <c:formatCode>_(* #,##0.00_);_(* \(#,##0.00\);_(* "-"??_);_(@_)</c:formatCode>
                <c:ptCount val="12"/>
                <c:pt idx="0">
                  <c:v>160568.26999999999</c:v>
                </c:pt>
                <c:pt idx="1">
                  <c:v>277358.60000000009</c:v>
                </c:pt>
                <c:pt idx="2">
                  <c:v>420734.88</c:v>
                </c:pt>
                <c:pt idx="3">
                  <c:v>508824.28000000014</c:v>
                </c:pt>
                <c:pt idx="4">
                  <c:v>668913.00000000012</c:v>
                </c:pt>
                <c:pt idx="5">
                  <c:v>783255.29999999946</c:v>
                </c:pt>
                <c:pt idx="6">
                  <c:v>836420.5500000004</c:v>
                </c:pt>
                <c:pt idx="7">
                  <c:v>963940.31999999948</c:v>
                </c:pt>
                <c:pt idx="8">
                  <c:v>1074697.1099999996</c:v>
                </c:pt>
                <c:pt idx="9">
                  <c:v>1249876.3000000005</c:v>
                </c:pt>
                <c:pt idx="10">
                  <c:v>1219156.8399999994</c:v>
                </c:pt>
                <c:pt idx="11">
                  <c:v>1384527.9600000009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3309312"/>
        <c:axId val="83310848"/>
      </c:barChart>
      <c:lineChart>
        <c:grouping val="standard"/>
        <c:varyColors val="1"/>
        <c:ser>
          <c:idx val="1"/>
          <c:order val="1"/>
          <c:tx>
            <c:strRef>
              <c:f>TABELA!$D$9:$D$10</c:f>
              <c:strCache>
                <c:ptCount val="1"/>
                <c:pt idx="0">
                  <c:v>OCORRÊNCIA</c:v>
                </c:pt>
              </c:strCache>
            </c:strRef>
          </c:tx>
          <c:spPr>
            <a:ln w="101600" cap="flat" cmpd="sng" algn="ctr">
              <a:solidFill>
                <a:srgbClr val="FF0000">
                  <a:alpha val="72000"/>
                </a:srgbClr>
              </a:solidFill>
              <a:prstDash val="solid"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TABELA!$D$11:$D$23</c:f>
              <c:numCache>
                <c:formatCode>_(* #,##0_);_(* \(#,##0\);_(* "-"_);_(@_)</c:formatCode>
                <c:ptCount val="12"/>
                <c:pt idx="0">
                  <c:v>166</c:v>
                </c:pt>
                <c:pt idx="1">
                  <c:v>138</c:v>
                </c:pt>
                <c:pt idx="2">
                  <c:v>166</c:v>
                </c:pt>
                <c:pt idx="3">
                  <c:v>156</c:v>
                </c:pt>
                <c:pt idx="4">
                  <c:v>168</c:v>
                </c:pt>
                <c:pt idx="5">
                  <c:v>158</c:v>
                </c:pt>
                <c:pt idx="6">
                  <c:v>168</c:v>
                </c:pt>
                <c:pt idx="7">
                  <c:v>168</c:v>
                </c:pt>
                <c:pt idx="8">
                  <c:v>160</c:v>
                </c:pt>
                <c:pt idx="9">
                  <c:v>169</c:v>
                </c:pt>
                <c:pt idx="10">
                  <c:v>164</c:v>
                </c:pt>
                <c:pt idx="11">
                  <c:v>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22368"/>
        <c:axId val="83320832"/>
      </c:lineChart>
      <c:catAx>
        <c:axId val="83309312"/>
        <c:scaling>
          <c:orientation val="minMax"/>
        </c:scaling>
        <c:delete val="0"/>
        <c:axPos val="b"/>
        <c:majorTickMark val="out"/>
        <c:minorTickMark val="none"/>
        <c:tickLblPos val="low"/>
        <c:crossAx val="83310848"/>
        <c:crosses val="autoZero"/>
        <c:auto val="1"/>
        <c:lblAlgn val="ctr"/>
        <c:lblOffset val="100"/>
        <c:noMultiLvlLbl val="0"/>
      </c:catAx>
      <c:valAx>
        <c:axId val="833108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83309312"/>
        <c:crosses val="autoZero"/>
        <c:crossBetween val="between"/>
      </c:valAx>
      <c:valAx>
        <c:axId val="83320832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3322368"/>
        <c:crosses val="max"/>
        <c:crossBetween val="between"/>
      </c:valAx>
      <c:catAx>
        <c:axId val="83322368"/>
        <c:scaling>
          <c:orientation val="minMax"/>
        </c:scaling>
        <c:delete val="1"/>
        <c:axPos val="b"/>
        <c:majorTickMark val="out"/>
        <c:minorTickMark val="none"/>
        <c:tickLblPos val="nextTo"/>
        <c:crossAx val="8332083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141" footer="0.31496062000000141"/>
    <c:pageSetup orientation="portrait"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203200</xdr:rowOff>
    </xdr:from>
    <xdr:to>
      <xdr:col>3</xdr:col>
      <xdr:colOff>454710</xdr:colOff>
      <xdr:row>3</xdr:row>
      <xdr:rowOff>30286</xdr:rowOff>
    </xdr:to>
    <xdr:sp macro="" textlink="">
      <xdr:nvSpPr>
        <xdr:cNvPr id="2" name="Seta para a direita 1"/>
        <xdr:cNvSpPr/>
      </xdr:nvSpPr>
      <xdr:spPr>
        <a:xfrm rot="10800000">
          <a:off x="2501900" y="8128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56130011574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1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D23" firstHeaderRow="1" firstDataRow="2" firstDataCol="1" rowPageCount="5" colPageCount="1"/>
  <pivotFields count="14">
    <pivotField showAll="0" insertBlankRow="1"/>
    <pivotField showAll="0" insertBlankRow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insertBlankRow="1"/>
    <pivotField axis="axisRow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dataField="1" showAll="0" insertBlankRow="1"/>
    <pivotField axis="axisPage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5">
    <pageField fld="7" item="0" hier="-1"/>
    <pageField fld="12" item="1" hier="-1"/>
    <pageField fld="6" item="1" hier="-1"/>
    <pageField fld="5" hier="-1"/>
    <pageField fld="4" hier="-1"/>
  </pageFields>
  <dataFields count="2">
    <dataField name="VOLUME FINANCEIRO" fld="13" baseField="1" baseItem="0" numFmtId="43"/>
    <dataField name="OCORRÊNCIA" fld="11" subtotal="count" baseField="1" baseItem="0" numFmtId="41"/>
  </dataFields>
  <formats count="10">
    <format dxfId="49">
      <pivotArea field="7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48">
      <pivotArea field="6" type="button" dataOnly="0" labelOnly="1" outline="0" axis="axisPage" fieldPosition="2"/>
    </format>
    <format dxfId="47">
      <pivotArea dataOnly="0" labelOnly="1" outline="0" fieldPosition="0">
        <references count="1">
          <reference field="6" count="1">
            <x v="1"/>
          </reference>
        </references>
      </pivotArea>
    </format>
    <format dxfId="46">
      <pivotArea field="5" type="button" dataOnly="0" labelOnly="1" outline="0" axis="axisPage" fieldPosition="3"/>
    </format>
    <format dxfId="45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44">
      <pivotArea field="4" type="button" dataOnly="0" labelOnly="1" outline="0" axis="axisPage" fieldPosition="4"/>
    </format>
    <format dxfId="43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42">
      <pivotArea field="8" type="button" dataOnly="0" labelOnly="1" outline="0"/>
    </format>
    <format dxfId="41">
      <pivotArea field="9" type="button" dataOnly="0" labelOnly="1" outline="0"/>
    </format>
    <format dxfId="40">
      <pivotArea outline="0" fieldPosition="0">
        <references count="1">
          <reference field="4294967294" count="1">
            <x v="1"/>
          </reference>
        </references>
      </pivotArea>
    </format>
  </formats>
  <chartFormats count="43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23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6" customFormat="1" ht="48" customHeight="1" x14ac:dyDescent="0.4">
      <c r="B1" s="15" t="s">
        <v>5</v>
      </c>
      <c r="C1" s="15"/>
      <c r="E1" s="16" t="str">
        <f>GRAFICO!B1</f>
        <v>FLUXO DE CAIXA - VOLUME FINANCEIRO E OCORRÊNCIA POR TIPO, SITUAÇÃO E MÊS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7" customFormat="1" ht="20.100000000000001" customHeight="1" x14ac:dyDescent="0.25">
      <c r="B2" s="5"/>
      <c r="C2" s="5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SITUAÇÃO=REALIZADO, ANO=2011, SEMESTRE=(Tudo), TRIMESTRE=(Tudo)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7" customFormat="1" ht="15" customHeight="1" x14ac:dyDescent="0.25">
      <c r="B3" s="3" t="s">
        <v>9</v>
      </c>
      <c r="C3" t="s">
        <v>10</v>
      </c>
      <c r="E3" s="18" t="s">
        <v>6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9" customFormat="1" ht="15" customHeight="1" x14ac:dyDescent="0.25">
      <c r="B4" s="3" t="s">
        <v>27</v>
      </c>
      <c r="C4" t="s">
        <v>28</v>
      </c>
    </row>
    <row r="5" spans="2:14" s="9" customFormat="1" ht="15" customHeight="1" x14ac:dyDescent="0.25">
      <c r="B5" s="12" t="s">
        <v>1</v>
      </c>
      <c r="C5" s="13">
        <v>2011</v>
      </c>
    </row>
    <row r="6" spans="2:14" s="9" customFormat="1" ht="15" customHeight="1" x14ac:dyDescent="0.25">
      <c r="B6" s="12" t="s">
        <v>3</v>
      </c>
      <c r="C6" s="9" t="s">
        <v>2</v>
      </c>
    </row>
    <row r="7" spans="2:14" s="9" customFormat="1" ht="15" customHeight="1" x14ac:dyDescent="0.25">
      <c r="B7" s="12" t="s">
        <v>4</v>
      </c>
      <c r="C7" s="9" t="s">
        <v>2</v>
      </c>
    </row>
    <row r="8" spans="2:14" s="9" customFormat="1" x14ac:dyDescent="0.25"/>
    <row r="9" spans="2:14" x14ac:dyDescent="0.25">
      <c r="C9" s="3" t="s">
        <v>11</v>
      </c>
    </row>
    <row r="10" spans="2:14" x14ac:dyDescent="0.25">
      <c r="B10" s="3" t="s">
        <v>0</v>
      </c>
      <c r="C10" t="s">
        <v>12</v>
      </c>
      <c r="D10" t="s">
        <v>13</v>
      </c>
    </row>
    <row r="11" spans="2:14" x14ac:dyDescent="0.25">
      <c r="B11" s="2" t="s">
        <v>15</v>
      </c>
      <c r="C11" s="1">
        <v>160568.26999999999</v>
      </c>
      <c r="D11" s="14">
        <v>166</v>
      </c>
    </row>
    <row r="12" spans="2:14" x14ac:dyDescent="0.25">
      <c r="B12" s="2" t="s">
        <v>16</v>
      </c>
      <c r="C12" s="1">
        <v>277358.60000000009</v>
      </c>
      <c r="D12" s="14">
        <v>138</v>
      </c>
    </row>
    <row r="13" spans="2:14" x14ac:dyDescent="0.25">
      <c r="B13" s="2" t="s">
        <v>17</v>
      </c>
      <c r="C13" s="1">
        <v>420734.88</v>
      </c>
      <c r="D13" s="14">
        <v>166</v>
      </c>
    </row>
    <row r="14" spans="2:14" x14ac:dyDescent="0.25">
      <c r="B14" s="2" t="s">
        <v>18</v>
      </c>
      <c r="C14" s="1">
        <v>508824.28000000014</v>
      </c>
      <c r="D14" s="14">
        <v>156</v>
      </c>
    </row>
    <row r="15" spans="2:14" x14ac:dyDescent="0.25">
      <c r="B15" s="2" t="s">
        <v>19</v>
      </c>
      <c r="C15" s="1">
        <v>668913.00000000012</v>
      </c>
      <c r="D15" s="14">
        <v>168</v>
      </c>
    </row>
    <row r="16" spans="2:14" x14ac:dyDescent="0.25">
      <c r="B16" s="2" t="s">
        <v>20</v>
      </c>
      <c r="C16" s="1">
        <v>783255.29999999946</v>
      </c>
      <c r="D16" s="14">
        <v>158</v>
      </c>
    </row>
    <row r="17" spans="2:4" x14ac:dyDescent="0.25">
      <c r="B17" s="2" t="s">
        <v>21</v>
      </c>
      <c r="C17" s="1">
        <v>836420.5500000004</v>
      </c>
      <c r="D17" s="14">
        <v>168</v>
      </c>
    </row>
    <row r="18" spans="2:4" x14ac:dyDescent="0.25">
      <c r="B18" s="2" t="s">
        <v>22</v>
      </c>
      <c r="C18" s="1">
        <v>963940.31999999948</v>
      </c>
      <c r="D18" s="14">
        <v>168</v>
      </c>
    </row>
    <row r="19" spans="2:4" x14ac:dyDescent="0.25">
      <c r="B19" s="2" t="s">
        <v>23</v>
      </c>
      <c r="C19" s="1">
        <v>1074697.1099999996</v>
      </c>
      <c r="D19" s="14">
        <v>160</v>
      </c>
    </row>
    <row r="20" spans="2:4" x14ac:dyDescent="0.25">
      <c r="B20" s="2" t="s">
        <v>24</v>
      </c>
      <c r="C20" s="1">
        <v>1249876.3000000005</v>
      </c>
      <c r="D20" s="14">
        <v>169</v>
      </c>
    </row>
    <row r="21" spans="2:4" x14ac:dyDescent="0.25">
      <c r="B21" s="2" t="s">
        <v>25</v>
      </c>
      <c r="C21" s="1">
        <v>1219156.8399999994</v>
      </c>
      <c r="D21" s="14">
        <v>164</v>
      </c>
    </row>
    <row r="22" spans="2:4" x14ac:dyDescent="0.25">
      <c r="B22" s="2" t="s">
        <v>26</v>
      </c>
      <c r="C22" s="1">
        <v>1384527.9600000009</v>
      </c>
      <c r="D22" s="14">
        <v>168</v>
      </c>
    </row>
    <row r="23" spans="2:4" x14ac:dyDescent="0.25">
      <c r="B23" s="2" t="s">
        <v>8</v>
      </c>
      <c r="C23" s="1">
        <v>9548273.4099999908</v>
      </c>
      <c r="D23" s="14">
        <v>1949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4"/>
      <c r="B1" s="10" t="s">
        <v>14</v>
      </c>
      <c r="C1" s="6"/>
    </row>
    <row r="2" spans="1:3" s="9" customFormat="1" ht="20.100000000000001" customHeight="1" x14ac:dyDescent="0.25">
      <c r="A2" s="7"/>
      <c r="B2" s="8" t="str">
        <f>TRIM(TABELA!E2)</f>
        <v>PARÂMETROS DE CONSULTA: TIPO=ENTRADAS, SITUAÇÃO=REALIZADO, ANO=2011, SEMESTRE=(Tudo), TRIMESTRE=(Tudo)</v>
      </c>
      <c r="C2" s="7"/>
    </row>
    <row r="3" spans="1:3" x14ac:dyDescent="0.25">
      <c r="B3" s="11" t="s">
        <v>7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2011-12-31T10:48:29Z</dcterms:created>
  <dcterms:modified xsi:type="dcterms:W3CDTF">2011-12-31T16:30:06Z</dcterms:modified>
</cp:coreProperties>
</file>