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120" windowWidth="9585" windowHeight="6990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7"/>
  <c r="D45"/>
  <c r="E44"/>
  <c r="B19" i="9" l="1"/>
  <c r="C19" s="1"/>
  <c r="B18"/>
  <c r="C18" s="1"/>
  <c r="B17"/>
  <c r="C17" s="1"/>
  <c r="B16"/>
  <c r="C16" s="1"/>
  <c r="B15"/>
  <c r="C15" s="1"/>
  <c r="B14"/>
  <c r="C14" s="1"/>
  <c r="L32" i="8"/>
  <c r="K28"/>
  <c r="H29"/>
  <c r="B19"/>
  <c r="C19" s="1"/>
  <c r="B18"/>
  <c r="C18" s="1"/>
  <c r="B17"/>
  <c r="C17" s="1"/>
  <c r="K16"/>
  <c r="B16"/>
  <c r="C16" s="1"/>
  <c r="B15"/>
  <c r="C15" s="1"/>
  <c r="B14"/>
  <c r="C14" s="1"/>
  <c r="D14"/>
  <c r="D15" s="1"/>
  <c r="C4" s="1"/>
  <c r="O11"/>
  <c r="O10"/>
  <c r="O9"/>
  <c r="L40" i="7"/>
  <c r="H41"/>
  <c r="L31"/>
  <c r="L27"/>
  <c r="H29"/>
  <c r="B19"/>
  <c r="C19" s="1"/>
  <c r="B18"/>
  <c r="C18" s="1"/>
  <c r="B17"/>
  <c r="C17" s="1"/>
  <c r="B16"/>
  <c r="C16" s="1"/>
  <c r="B15"/>
  <c r="C15" s="1"/>
  <c r="B14"/>
  <c r="C14" s="1"/>
  <c r="B20" i="1"/>
  <c r="C20" s="1"/>
  <c r="B19"/>
  <c r="C19" s="1"/>
  <c r="B18"/>
  <c r="C18" s="1"/>
  <c r="B17"/>
  <c r="C17" s="1"/>
  <c r="B16"/>
  <c r="C16" s="1"/>
  <c r="B15"/>
  <c r="C15" s="1"/>
  <c r="B14"/>
  <c r="C14" s="1"/>
  <c r="D14" s="1"/>
  <c r="D15" s="1"/>
  <c r="C4" s="1"/>
  <c r="B19" i="3"/>
  <c r="C19" s="1"/>
  <c r="B18"/>
  <c r="C18" s="1"/>
  <c r="B17"/>
  <c r="C17" s="1"/>
  <c r="B16"/>
  <c r="C16" s="1"/>
  <c r="B15"/>
  <c r="C15" s="1"/>
  <c r="B14"/>
  <c r="C14" s="1"/>
  <c r="J29" i="7"/>
  <c r="K29"/>
  <c r="I29" i="8"/>
  <c r="I30"/>
  <c r="K28" i="7"/>
  <c r="G28"/>
  <c r="G29"/>
  <c r="H28"/>
  <c r="I29"/>
  <c r="I28"/>
  <c r="G29" i="8"/>
  <c r="G30"/>
  <c r="J41" i="7"/>
  <c r="I41"/>
  <c r="K41"/>
  <c r="G41"/>
  <c r="J29" i="8"/>
  <c r="J30"/>
  <c r="J28" i="7"/>
  <c r="L28"/>
  <c r="L29"/>
  <c r="D14" i="3" l="1"/>
  <c r="D15" s="1"/>
  <c r="C4" s="1"/>
  <c r="H15" s="1"/>
  <c r="H16" s="1"/>
  <c r="J15" i="1"/>
  <c r="J16" s="1"/>
  <c r="L15"/>
  <c r="L16" s="1"/>
  <c r="G15"/>
  <c r="G16" s="1"/>
  <c r="K15"/>
  <c r="K16" s="1"/>
  <c r="M15"/>
  <c r="M16" s="1"/>
  <c r="H15"/>
  <c r="H16" s="1"/>
  <c r="I15"/>
  <c r="I16" s="1"/>
  <c r="D14" i="7"/>
  <c r="D15" s="1"/>
  <c r="C4" s="1"/>
  <c r="J36" s="1"/>
  <c r="D14" i="9"/>
  <c r="D15" s="1"/>
  <c r="C4" s="1"/>
  <c r="I15" s="1"/>
  <c r="I16" s="1"/>
  <c r="K15"/>
  <c r="K16" s="1"/>
  <c r="G15"/>
  <c r="G16" s="1"/>
  <c r="L15"/>
  <c r="L16" s="1"/>
  <c r="J15"/>
  <c r="J16" s="1"/>
  <c r="I36" i="8"/>
  <c r="L36"/>
  <c r="H15"/>
  <c r="H16" s="1"/>
  <c r="K31"/>
  <c r="K32" s="1"/>
  <c r="L15"/>
  <c r="L16" s="1"/>
  <c r="G36"/>
  <c r="I15"/>
  <c r="I16" s="1"/>
  <c r="H36"/>
  <c r="I37"/>
  <c r="J31"/>
  <c r="J32" s="1"/>
  <c r="K37"/>
  <c r="I31"/>
  <c r="I32" s="1"/>
  <c r="H37"/>
  <c r="G31"/>
  <c r="H31"/>
  <c r="H32" s="1"/>
  <c r="H33" s="1"/>
  <c r="K36"/>
  <c r="G37"/>
  <c r="J37"/>
  <c r="J36"/>
  <c r="J15"/>
  <c r="J16" s="1"/>
  <c r="G15"/>
  <c r="H15" i="9" l="1"/>
  <c r="H16" s="1"/>
  <c r="I15" i="3"/>
  <c r="I16" s="1"/>
  <c r="L15"/>
  <c r="L16" s="1"/>
  <c r="J15"/>
  <c r="J16" s="1"/>
  <c r="G15"/>
  <c r="G16" s="1"/>
  <c r="K15"/>
  <c r="K16" s="1"/>
  <c r="H36" i="7"/>
  <c r="G15"/>
  <c r="G16" s="1"/>
  <c r="I30"/>
  <c r="I31" s="1"/>
  <c r="J15"/>
  <c r="J16" s="1"/>
  <c r="K15"/>
  <c r="K16" s="1"/>
  <c r="I17" i="1"/>
  <c r="I18" s="1"/>
  <c r="F4" s="1"/>
  <c r="N16"/>
  <c r="N19" s="1"/>
  <c r="K17" s="1"/>
  <c r="K18" s="1"/>
  <c r="G17"/>
  <c r="M17"/>
  <c r="M18" s="1"/>
  <c r="J4" s="1"/>
  <c r="J17"/>
  <c r="J18" s="1"/>
  <c r="H17"/>
  <c r="H18" s="1"/>
  <c r="L17"/>
  <c r="L18" s="1"/>
  <c r="G36" i="7"/>
  <c r="H15"/>
  <c r="H16" s="1"/>
  <c r="L15"/>
  <c r="L16" s="1"/>
  <c r="K36"/>
  <c r="I15"/>
  <c r="I16" s="1"/>
  <c r="J30"/>
  <c r="J31" s="1"/>
  <c r="K30"/>
  <c r="K31" s="1"/>
  <c r="I36"/>
  <c r="G30"/>
  <c r="G31" s="1"/>
  <c r="I35"/>
  <c r="J35"/>
  <c r="G35"/>
  <c r="H30"/>
  <c r="H31" s="1"/>
  <c r="K35"/>
  <c r="H35"/>
  <c r="L35"/>
  <c r="L17" i="9"/>
  <c r="L18" s="1"/>
  <c r="L19" s="1"/>
  <c r="J17"/>
  <c r="J18" s="1"/>
  <c r="H17"/>
  <c r="H18" s="1"/>
  <c r="G17"/>
  <c r="M16"/>
  <c r="M19" s="1"/>
  <c r="K17" s="1"/>
  <c r="K18" s="1"/>
  <c r="I17"/>
  <c r="I18" s="1"/>
  <c r="K33" i="8"/>
  <c r="M15"/>
  <c r="G16"/>
  <c r="I17" s="1"/>
  <c r="I18" s="1"/>
  <c r="G32"/>
  <c r="M31"/>
  <c r="J33"/>
  <c r="J17"/>
  <c r="J18" s="1"/>
  <c r="I33"/>
  <c r="H17" i="7" l="1"/>
  <c r="H18" s="1"/>
  <c r="H19" s="1"/>
  <c r="H17" i="3"/>
  <c r="H18" s="1"/>
  <c r="E4" s="1"/>
  <c r="J17" i="7"/>
  <c r="J18" s="1"/>
  <c r="J19" s="1"/>
  <c r="M16" i="3"/>
  <c r="N16" s="1"/>
  <c r="K17" s="1"/>
  <c r="K18" s="1"/>
  <c r="H4" s="1"/>
  <c r="J17"/>
  <c r="J18" s="1"/>
  <c r="G4" s="1"/>
  <c r="I17"/>
  <c r="I18" s="1"/>
  <c r="F4" s="1"/>
  <c r="I19" i="1"/>
  <c r="L17" i="3"/>
  <c r="L18" s="1"/>
  <c r="I4" s="1"/>
  <c r="G17"/>
  <c r="G18" s="1"/>
  <c r="L19" i="1"/>
  <c r="I4"/>
  <c r="E4"/>
  <c r="H19"/>
  <c r="H4"/>
  <c r="K19"/>
  <c r="G4"/>
  <c r="J19"/>
  <c r="G18"/>
  <c r="O17"/>
  <c r="O18" s="1"/>
  <c r="N17"/>
  <c r="M16" i="7"/>
  <c r="M19" s="1"/>
  <c r="K17" s="1"/>
  <c r="K18" s="1"/>
  <c r="K20" s="1"/>
  <c r="G17"/>
  <c r="G18" s="1"/>
  <c r="L32"/>
  <c r="I17"/>
  <c r="I18" s="1"/>
  <c r="I20" s="1"/>
  <c r="H32"/>
  <c r="L17"/>
  <c r="L18" s="1"/>
  <c r="L20" s="1"/>
  <c r="M30"/>
  <c r="J32"/>
  <c r="I4" i="9"/>
  <c r="M17"/>
  <c r="N17"/>
  <c r="N18" s="1"/>
  <c r="G18"/>
  <c r="H4"/>
  <c r="K19"/>
  <c r="H19"/>
  <c r="E4"/>
  <c r="F4"/>
  <c r="I19"/>
  <c r="G4"/>
  <c r="J19"/>
  <c r="I19" i="8"/>
  <c r="I20"/>
  <c r="L33"/>
  <c r="M16"/>
  <c r="M19" s="1"/>
  <c r="G17"/>
  <c r="K17"/>
  <c r="K18" s="1"/>
  <c r="L17"/>
  <c r="L18" s="1"/>
  <c r="G33"/>
  <c r="M32"/>
  <c r="N32" s="1"/>
  <c r="H17"/>
  <c r="H18" s="1"/>
  <c r="J20"/>
  <c r="J19"/>
  <c r="K19" i="7"/>
  <c r="H20"/>
  <c r="M31"/>
  <c r="G32"/>
  <c r="I32"/>
  <c r="H19" i="3" l="1"/>
  <c r="J20" i="7"/>
  <c r="J19" i="3"/>
  <c r="K19"/>
  <c r="L19"/>
  <c r="I19"/>
  <c r="M17"/>
  <c r="M18" s="1"/>
  <c r="D4" i="1"/>
  <c r="G19"/>
  <c r="L19" i="7"/>
  <c r="G19" i="3"/>
  <c r="D4"/>
  <c r="N17" i="7"/>
  <c r="N18" s="1"/>
  <c r="N31"/>
  <c r="K32" s="1"/>
  <c r="M32" s="1"/>
  <c r="M17"/>
  <c r="I19"/>
  <c r="G19" i="9"/>
  <c r="D4"/>
  <c r="L20" i="8"/>
  <c r="L19"/>
  <c r="H20"/>
  <c r="H19"/>
  <c r="K19"/>
  <c r="K20"/>
  <c r="M17"/>
  <c r="N17"/>
  <c r="N18" s="1"/>
  <c r="G18"/>
  <c r="M33"/>
  <c r="G20" i="7"/>
  <c r="G19"/>
  <c r="M20"/>
  <c r="N20" s="1"/>
  <c r="G19" i="8" l="1"/>
  <c r="G20"/>
  <c r="M20"/>
  <c r="N20" s="1"/>
  <c r="L22" s="1"/>
  <c r="L23" s="1"/>
  <c r="L24" s="1"/>
  <c r="H4" s="1"/>
  <c r="K21" i="7"/>
  <c r="K22" s="1"/>
  <c r="K23" s="1"/>
  <c r="I21"/>
  <c r="I22" s="1"/>
  <c r="I23" s="1"/>
  <c r="J21"/>
  <c r="J22" s="1"/>
  <c r="J23" s="1"/>
  <c r="G21"/>
  <c r="H21"/>
  <c r="H22" s="1"/>
  <c r="H23" s="1"/>
  <c r="L22"/>
  <c r="L23" s="1"/>
  <c r="I21" i="8" l="1"/>
  <c r="I22" s="1"/>
  <c r="I23" s="1"/>
  <c r="J21"/>
  <c r="J22" s="1"/>
  <c r="J23" s="1"/>
  <c r="G21"/>
  <c r="K21"/>
  <c r="K22" s="1"/>
  <c r="K23" s="1"/>
  <c r="H21"/>
  <c r="H22" s="1"/>
  <c r="H23" s="1"/>
  <c r="M21" i="7"/>
  <c r="G22"/>
  <c r="M21" i="8" l="1"/>
  <c r="G22"/>
  <c r="M22" i="7"/>
  <c r="G23"/>
  <c r="M22" i="8" l="1"/>
  <c r="G23"/>
  <c r="G24" i="7"/>
  <c r="M23"/>
  <c r="N23" s="1"/>
  <c r="K24" s="1"/>
  <c r="H4" s="1"/>
  <c r="H24"/>
  <c r="E4" s="1"/>
  <c r="L24"/>
  <c r="I4" s="1"/>
  <c r="I24"/>
  <c r="F4" s="1"/>
  <c r="J24"/>
  <c r="G4" s="1"/>
  <c r="E47" l="1"/>
  <c r="E48"/>
  <c r="E50" s="1"/>
  <c r="D48"/>
  <c r="D47"/>
  <c r="F48"/>
  <c r="F50" s="1"/>
  <c r="F47"/>
  <c r="H48"/>
  <c r="H50" s="1"/>
  <c r="H47"/>
  <c r="G47"/>
  <c r="G48"/>
  <c r="G50" s="1"/>
  <c r="M23" i="8"/>
  <c r="N23" s="1"/>
  <c r="H24" s="1"/>
  <c r="E4" s="1"/>
  <c r="J24"/>
  <c r="G4" s="1"/>
  <c r="K24"/>
  <c r="P4" s="1"/>
  <c r="I24"/>
  <c r="F4" s="1"/>
  <c r="M24" i="7"/>
  <c r="D4"/>
  <c r="D50" l="1"/>
  <c r="C47"/>
  <c r="J47" s="1"/>
  <c r="C48"/>
  <c r="J48" s="1"/>
  <c r="G24" i="8"/>
  <c r="D4" s="1"/>
  <c r="M24" l="1"/>
</calcChain>
</file>

<file path=xl/sharedStrings.xml><?xml version="1.0" encoding="utf-8"?>
<sst xmlns="http://schemas.openxmlformats.org/spreadsheetml/2006/main" count="234" uniqueCount="28">
  <si>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</si>
  <si>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</si>
  <si>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</si>
  <si>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</si>
  <si>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</si>
  <si>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</si>
  <si>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</si>
  <si>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</si>
  <si>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</si>
  <si>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</si>
  <si>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</si>
  <si>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</si>
  <si>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</si>
  <si>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</si>
  <si>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</si>
  <si>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</si>
  <si>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</si>
  <si>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</si>
  <si>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</si>
  <si>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</si>
  <si>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</si>
  <si>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</si>
  <si>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</si>
  <si>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</si>
  <si>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</si>
  <si>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</si>
  <si>
    <t>valor a pagar</t>
  </si>
  <si>
    <t xml:space="preserve"> </t>
  </si>
</sst>
</file>

<file path=xl/styles.xml><?xml version="1.0" encoding="utf-8"?>
<styleSheet xmlns="http://schemas.openxmlformats.org/spreadsheetml/2006/main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61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43" fontId="7" fillId="0" borderId="0" xfId="0" applyNumberFormat="1" applyFont="1"/>
    <xf numFmtId="0" fontId="0" fillId="0" borderId="0" xfId="0" applyFont="1" applyAlignment="1"/>
    <xf numFmtId="44" fontId="20" fillId="0" borderId="0" xfId="3" applyFont="1" applyAlignment="1"/>
    <xf numFmtId="44" fontId="0" fillId="0" borderId="0" xfId="0" applyNumberForma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Separador de milhares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27"/>
  <sheetViews>
    <sheetView tabSelected="1" zoomScaleNormal="100" workbookViewId="0">
      <selection activeCell="L9" sqref="L9"/>
    </sheetView>
  </sheetViews>
  <sheetFormatPr defaultRowHeight="15"/>
  <cols>
    <col min="1" max="1" width="19.28515625" customWidth="1"/>
    <col min="2" max="2" width="23.85546875" customWidth="1"/>
    <col min="3" max="3" width="15.5703125" bestFit="1" customWidth="1"/>
    <col min="4" max="4" width="16.140625" bestFit="1" customWidth="1"/>
    <col min="5" max="6" width="16" customWidth="1"/>
    <col min="7" max="8" width="13.5703125" bestFit="1" customWidth="1"/>
    <col min="9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>
      <c r="B2" s="58" t="s">
        <v>6</v>
      </c>
      <c r="C2" s="59" t="s">
        <v>18</v>
      </c>
      <c r="D2" s="60" t="s">
        <v>19</v>
      </c>
      <c r="E2" s="60"/>
      <c r="F2" s="60"/>
      <c r="G2" s="60"/>
      <c r="H2" s="60"/>
      <c r="I2" s="60"/>
    </row>
    <row r="3" spans="1:14" ht="21">
      <c r="B3" s="58"/>
      <c r="C3" s="59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>
      <c r="A4" s="19" t="s">
        <v>17</v>
      </c>
      <c r="B4" s="9">
        <v>447653.87</v>
      </c>
      <c r="C4" s="20">
        <f>D15</f>
        <v>6.4000000000000001E-2</v>
      </c>
      <c r="D4" s="20">
        <f>G18</f>
        <v>3.5000000000000001E-3</v>
      </c>
      <c r="E4" s="20">
        <f t="shared" ref="E4:I4" si="0">H18</f>
        <v>2.2000000000000001E-3</v>
      </c>
      <c r="F4" s="20">
        <f t="shared" si="0"/>
        <v>8.2000000000000007E-3</v>
      </c>
      <c r="G4" s="20">
        <f t="shared" si="0"/>
        <v>1.8E-3</v>
      </c>
      <c r="H4" s="20">
        <f t="shared" si="0"/>
        <v>2.69E-2</v>
      </c>
      <c r="I4" s="20">
        <f t="shared" si="0"/>
        <v>2.1399999999999999E-2</v>
      </c>
      <c r="M4" s="8"/>
    </row>
    <row r="5" spans="1:14" ht="32.25" customHeight="1">
      <c r="G5" s="60" t="s">
        <v>21</v>
      </c>
      <c r="H5" s="60"/>
      <c r="I5" s="60"/>
      <c r="J5" s="60"/>
      <c r="K5" s="60"/>
      <c r="L5" s="60"/>
    </row>
    <row r="6" spans="1:14" ht="30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ht="16.5" customHeight="1">
      <c r="A13" s="10"/>
      <c r="B13" s="3"/>
      <c r="C13" s="4"/>
    </row>
    <row r="14" spans="1:14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6.404E-2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6.4000000000000001E-2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3.5200000000000001E-3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2.2400000000000002E-3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8.1536000000000004E-3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1.7664E-3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2.6880000000000001E-2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2.1440000000000001E-2</v>
      </c>
    </row>
    <row r="16" spans="1:14" hidden="1">
      <c r="A16" s="10" t="s">
        <v>12</v>
      </c>
      <c r="B16" s="3">
        <f t="shared" si="1"/>
        <v>6.4038578846643282E-2</v>
      </c>
      <c r="C16" s="4">
        <f t="shared" ref="C16:C19" si="3">ROUND(B16,5)</f>
        <v>6.404E-2</v>
      </c>
      <c r="G16" s="22">
        <f>ROUND(G15,4)</f>
        <v>3.5000000000000001E-3</v>
      </c>
      <c r="H16" s="22">
        <f t="shared" ref="H16:L16" si="4">ROUND(H15,4)</f>
        <v>2.2000000000000001E-3</v>
      </c>
      <c r="I16" s="22">
        <f t="shared" si="4"/>
        <v>8.2000000000000007E-3</v>
      </c>
      <c r="J16" s="22">
        <f t="shared" si="4"/>
        <v>1.8E-3</v>
      </c>
      <c r="K16" s="22">
        <f t="shared" si="4"/>
        <v>2.69E-2</v>
      </c>
      <c r="L16" s="22">
        <f t="shared" si="4"/>
        <v>2.1399999999999999E-2</v>
      </c>
      <c r="M16" s="4">
        <f>SUM(G16:L16)</f>
        <v>6.4000000000000001E-2</v>
      </c>
      <c r="N16" s="4">
        <f>C4-M16</f>
        <v>0</v>
      </c>
    </row>
    <row r="17" spans="1:13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3.5000000000000001E-3</v>
      </c>
      <c r="H17" s="21">
        <f t="shared" si="5"/>
        <v>2.2000000000000001E-3</v>
      </c>
      <c r="I17" s="21">
        <f t="shared" si="5"/>
        <v>8.2000000000000007E-3</v>
      </c>
      <c r="J17" s="21">
        <f t="shared" si="5"/>
        <v>1.8E-3</v>
      </c>
      <c r="K17" s="21">
        <f t="shared" si="5"/>
        <v>2.69E-2</v>
      </c>
      <c r="L17" s="21">
        <f t="shared" si="5"/>
        <v>2.1399999999999999E-2</v>
      </c>
      <c r="M17" s="23">
        <f>SUM(G17:L17)</f>
        <v>6.4000000000000001E-2</v>
      </c>
    </row>
    <row r="18" spans="1:13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3.5000000000000001E-3</v>
      </c>
      <c r="H18" s="21">
        <f t="shared" ref="H18:L18" si="6">ROUND(H17,4)</f>
        <v>2.2000000000000001E-3</v>
      </c>
      <c r="I18" s="21">
        <f t="shared" si="6"/>
        <v>8.2000000000000007E-3</v>
      </c>
      <c r="J18" s="21">
        <f t="shared" si="6"/>
        <v>1.8E-3</v>
      </c>
      <c r="K18" s="21">
        <f t="shared" si="6"/>
        <v>2.69E-2</v>
      </c>
      <c r="L18" s="21">
        <f t="shared" si="6"/>
        <v>2.1399999999999999E-2</v>
      </c>
      <c r="M18" s="11" t="str">
        <f>IF(C4=M17,"OK")</f>
        <v>OK</v>
      </c>
    </row>
    <row r="19" spans="1:13" hidden="1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>
      <c r="A20" s="10"/>
      <c r="B20" s="3"/>
      <c r="C20" s="4"/>
    </row>
    <row r="22" spans="1:13">
      <c r="C22" s="57"/>
      <c r="D22" s="56"/>
      <c r="E22" s="56"/>
      <c r="F22" s="56"/>
      <c r="G22" s="56"/>
      <c r="H22" s="56"/>
    </row>
    <row r="23" spans="1:13">
      <c r="C23" s="57"/>
      <c r="D23" s="55"/>
    </row>
    <row r="24" spans="1:13">
      <c r="C24" s="57"/>
    </row>
    <row r="25" spans="1:13">
      <c r="C25" s="57"/>
    </row>
    <row r="26" spans="1:13">
      <c r="C26" s="57"/>
    </row>
    <row r="27" spans="1:13">
      <c r="C27" s="57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V22"/>
  <sheetViews>
    <sheetView zoomScaleNormal="100" workbookViewId="0">
      <selection activeCell="C4" sqref="C4"/>
    </sheetView>
  </sheetViews>
  <sheetFormatPr defaultRowHeight="1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>
      <c r="B2" s="58" t="s">
        <v>6</v>
      </c>
      <c r="C2" s="59" t="s">
        <v>18</v>
      </c>
      <c r="D2" s="60" t="s">
        <v>19</v>
      </c>
      <c r="E2" s="60"/>
      <c r="F2" s="60"/>
      <c r="G2" s="60"/>
      <c r="H2" s="60"/>
      <c r="I2" s="60"/>
    </row>
    <row r="3" spans="1:22" ht="21">
      <c r="B3" s="58"/>
      <c r="C3" s="59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>
      <c r="A4" s="19" t="s">
        <v>17</v>
      </c>
      <c r="B4" s="9">
        <v>148315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>
      <c r="B5" s="14" t="s">
        <v>7</v>
      </c>
      <c r="C5" s="14" t="s">
        <v>8</v>
      </c>
      <c r="D5" s="14" t="s">
        <v>20</v>
      </c>
      <c r="E5" s="14" t="s">
        <v>9</v>
      </c>
      <c r="G5" s="60" t="s">
        <v>21</v>
      </c>
      <c r="H5" s="60"/>
      <c r="I5" s="60"/>
      <c r="J5" s="60"/>
      <c r="K5" s="60"/>
      <c r="L5" s="60"/>
    </row>
    <row r="6" spans="1:2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>
      <c r="A13" s="10"/>
      <c r="B13" s="3"/>
      <c r="C13" s="4"/>
    </row>
    <row r="14" spans="1:22" hidden="1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>
      <c r="A21" s="10"/>
      <c r="B21" s="3"/>
      <c r="C21" s="4"/>
    </row>
    <row r="22" spans="1:1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zoomScaleNormal="100" workbookViewId="0">
      <selection activeCell="L8" sqref="L8"/>
    </sheetView>
  </sheetViews>
  <sheetFormatPr defaultRowHeight="1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1" spans="1:14">
      <c r="A1">
        <v>2</v>
      </c>
    </row>
    <row r="2" spans="1:14" ht="15.75">
      <c r="B2" s="58" t="s">
        <v>6</v>
      </c>
      <c r="C2" s="59" t="s">
        <v>18</v>
      </c>
      <c r="D2" s="60" t="s">
        <v>19</v>
      </c>
      <c r="E2" s="60"/>
      <c r="F2" s="60"/>
      <c r="G2" s="60"/>
      <c r="H2" s="60"/>
      <c r="I2" s="60"/>
    </row>
    <row r="3" spans="1:14" ht="21">
      <c r="B3" s="58"/>
      <c r="C3" s="59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>
      <c r="A4" s="19" t="s">
        <v>17</v>
      </c>
      <c r="B4" s="9">
        <v>272571.57</v>
      </c>
      <c r="C4" s="20">
        <f>D15</f>
        <v>7.7700000000000005E-2</v>
      </c>
      <c r="D4" s="20">
        <f t="shared" ref="D4:I4" si="0">G24</f>
        <v>3.0999999999999999E-3</v>
      </c>
      <c r="E4" s="20">
        <f t="shared" si="0"/>
        <v>2.7000000000000001E-3</v>
      </c>
      <c r="F4" s="20">
        <f t="shared" si="0"/>
        <v>1.09E-2</v>
      </c>
      <c r="G4" s="20">
        <f t="shared" si="0"/>
        <v>2.3999999999999998E-3</v>
      </c>
      <c r="H4" s="20">
        <f t="shared" si="0"/>
        <v>3.3700000000000001E-2</v>
      </c>
      <c r="I4" s="20">
        <f t="shared" si="0"/>
        <v>2.4899999999999999E-2</v>
      </c>
    </row>
    <row r="5" spans="1:14" ht="32.25" customHeight="1">
      <c r="B5" t="s">
        <v>27</v>
      </c>
      <c r="G5" s="60" t="s">
        <v>21</v>
      </c>
      <c r="H5" s="60"/>
      <c r="I5" s="60"/>
      <c r="J5" s="60"/>
      <c r="K5" s="60"/>
      <c r="L5" s="60"/>
    </row>
    <row r="6" spans="1:14" ht="30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>
      <c r="A13" s="10"/>
      <c r="B13" s="3"/>
      <c r="C13" s="4"/>
    </row>
    <row r="14" spans="1:14" hidden="1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7.7660000000000007E-2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>
      <c r="A15" s="10" t="s">
        <v>11</v>
      </c>
      <c r="B15" s="3">
        <f t="shared" si="1"/>
        <v>7.7660395176210054E-2</v>
      </c>
      <c r="C15" s="4">
        <f>ROUND(B15,5)</f>
        <v>7.7660000000000007E-2</v>
      </c>
      <c r="D15" s="3">
        <f>ROUND(D14,4)</f>
        <v>7.7700000000000005E-2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3.1080000000000001E-3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2.7195000000000006E-3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1.0916850000000002E-2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2.3698500000000002E-3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3.3721800000000003E-2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2.4864000000000001E-2</v>
      </c>
      <c r="M15" s="48"/>
    </row>
    <row r="16" spans="1:14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3.0999999999999999E-3</v>
      </c>
      <c r="H16" s="22">
        <f t="shared" ref="H16:L16" si="4">ROUND(H15,4)</f>
        <v>2.7000000000000001E-3</v>
      </c>
      <c r="I16" s="22">
        <f t="shared" si="4"/>
        <v>1.09E-2</v>
      </c>
      <c r="J16" s="22">
        <f t="shared" si="4"/>
        <v>2.3999999999999998E-3</v>
      </c>
      <c r="K16" s="22">
        <f t="shared" si="4"/>
        <v>3.3700000000000001E-2</v>
      </c>
      <c r="L16" s="22">
        <f t="shared" si="4"/>
        <v>2.4899999999999999E-2</v>
      </c>
      <c r="M16" s="4">
        <f>SUM(G16:L16)</f>
        <v>7.7699999999999991E-2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3.0999999999999999E-3</v>
      </c>
      <c r="H17" s="21">
        <f t="shared" si="5"/>
        <v>2.7000000000000001E-3</v>
      </c>
      <c r="I17" s="21">
        <f t="shared" si="5"/>
        <v>1.09E-2</v>
      </c>
      <c r="J17" s="21">
        <f t="shared" si="5"/>
        <v>2.3999999999999998E-3</v>
      </c>
      <c r="K17" s="21">
        <f t="shared" si="5"/>
        <v>3.3700000000000001E-2</v>
      </c>
      <c r="L17" s="21">
        <f t="shared" si="5"/>
        <v>2.4899999999999999E-2</v>
      </c>
      <c r="M17" s="4">
        <f>SUM(G17:L17)</f>
        <v>7.7699999999999991E-2</v>
      </c>
      <c r="N17" s="23">
        <f>SUM(G17:L17)</f>
        <v>7.7699999999999991E-2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3.0999999999999999E-3</v>
      </c>
      <c r="H18" s="21">
        <f t="shared" ref="H18:L18" si="6">ROUND(H17,4)</f>
        <v>2.7000000000000001E-3</v>
      </c>
      <c r="I18" s="21">
        <f t="shared" si="6"/>
        <v>1.09E-2</v>
      </c>
      <c r="J18" s="21">
        <f t="shared" si="6"/>
        <v>2.3999999999999998E-3</v>
      </c>
      <c r="K18" s="21">
        <f t="shared" si="6"/>
        <v>3.3700000000000001E-2</v>
      </c>
      <c r="L18" s="21">
        <f t="shared" si="6"/>
        <v>2.4899999999999999E-2</v>
      </c>
      <c r="N18" s="11" t="str">
        <f>IF(C4=N17,"OK")</f>
        <v>OK</v>
      </c>
    </row>
    <row r="19" spans="1:14" hidden="1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>
      <c r="A20" s="10"/>
      <c r="B20" s="3"/>
      <c r="C20" s="4"/>
      <c r="G20" s="21">
        <f>G18</f>
        <v>3.0999999999999999E-3</v>
      </c>
      <c r="H20" s="21">
        <f>H18</f>
        <v>2.7000000000000001E-3</v>
      </c>
      <c r="I20" s="21">
        <f>I18</f>
        <v>1.09E-2</v>
      </c>
      <c r="J20" s="21">
        <f t="shared" ref="J20:L20" si="8">J18</f>
        <v>2.3999999999999998E-3</v>
      </c>
      <c r="K20" s="21">
        <f t="shared" si="8"/>
        <v>3.3700000000000001E-2</v>
      </c>
      <c r="L20" s="21">
        <f t="shared" si="8"/>
        <v>2.4899999999999999E-2</v>
      </c>
      <c r="M20" s="21">
        <f>L20-N14</f>
        <v>-2.5100000000000004E-2</v>
      </c>
      <c r="N20" s="21">
        <f>IF(M20&gt;0,M20,0)</f>
        <v>0</v>
      </c>
    </row>
    <row r="21" spans="1:14" hidden="1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>
      <c r="G22" s="21">
        <f>G18+G21</f>
        <v>3.0999999999999999E-3</v>
      </c>
      <c r="H22" s="21">
        <f t="shared" ref="H22:K22" si="10">H18+H21</f>
        <v>2.7000000000000001E-3</v>
      </c>
      <c r="I22" s="21">
        <f t="shared" si="10"/>
        <v>1.09E-2</v>
      </c>
      <c r="J22" s="21">
        <f t="shared" si="10"/>
        <v>2.3999999999999998E-3</v>
      </c>
      <c r="K22" s="21">
        <f t="shared" si="10"/>
        <v>3.3700000000000001E-2</v>
      </c>
      <c r="L22" s="21">
        <f>L20-N20</f>
        <v>2.4899999999999999E-2</v>
      </c>
      <c r="M22" s="21">
        <f>SUM(G22:L22)</f>
        <v>7.7699999999999991E-2</v>
      </c>
    </row>
    <row r="23" spans="1:14" hidden="1">
      <c r="G23" s="21">
        <f>ROUND(G22,4)</f>
        <v>3.0999999999999999E-3</v>
      </c>
      <c r="H23" s="21">
        <f t="shared" ref="H23:K23" si="11">ROUND(H22,4)</f>
        <v>2.7000000000000001E-3</v>
      </c>
      <c r="I23" s="21">
        <f t="shared" si="11"/>
        <v>1.09E-2</v>
      </c>
      <c r="J23" s="21">
        <f t="shared" si="11"/>
        <v>2.3999999999999998E-3</v>
      </c>
      <c r="K23" s="21">
        <f t="shared" si="11"/>
        <v>3.3700000000000001E-2</v>
      </c>
      <c r="L23" s="21">
        <f>TRUNC(L22,4)</f>
        <v>2.4899999999999999E-2</v>
      </c>
      <c r="M23" s="21">
        <f>SUM(G23:L23)</f>
        <v>7.7699999999999991E-2</v>
      </c>
      <c r="N23" s="21">
        <f>M22-M23</f>
        <v>0</v>
      </c>
    </row>
    <row r="24" spans="1:14" ht="23.25" hidden="1">
      <c r="A24" s="49" t="s">
        <v>25</v>
      </c>
      <c r="B24" s="50">
        <v>2064579</v>
      </c>
      <c r="G24" s="21">
        <f>IF(G23=MAX($G$23:$K$23),(G23+$N$23),IF(G23&lt;&gt;MAX($G$23:$K$23),G23))</f>
        <v>3.0999999999999999E-3</v>
      </c>
      <c r="H24" s="21">
        <f t="shared" ref="H24:L24" si="12">IF(H23=MAX($G$23:$L$23),(H23+$N$23),IF(H23&lt;&gt;MAX($G$23:$L$23),H23))</f>
        <v>2.7000000000000001E-3</v>
      </c>
      <c r="I24" s="21">
        <f t="shared" si="12"/>
        <v>1.09E-2</v>
      </c>
      <c r="J24" s="21">
        <f t="shared" si="12"/>
        <v>2.3999999999999998E-3</v>
      </c>
      <c r="K24" s="21">
        <f t="shared" si="12"/>
        <v>3.3700000000000001E-2</v>
      </c>
      <c r="L24" s="21">
        <f t="shared" si="12"/>
        <v>2.4899999999999999E-2</v>
      </c>
      <c r="M24" s="23">
        <f>SUM(G24:L24)</f>
        <v>7.7699999999999991E-2</v>
      </c>
    </row>
    <row r="25" spans="1:14" hidden="1">
      <c r="G25" s="21"/>
      <c r="H25" s="21"/>
      <c r="I25" s="21"/>
      <c r="J25" s="21"/>
      <c r="K25" s="21"/>
      <c r="L25" s="21"/>
      <c r="M25" s="21"/>
    </row>
    <row r="26" spans="1:14" hidden="1"/>
    <row r="27" spans="1:14" ht="15.75" hidden="1" thickBot="1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>
      <c r="G30" s="22">
        <f>($C$4-5%)*G29</f>
        <v>1.6661654135338346E-3</v>
      </c>
      <c r="H30" s="22">
        <f>($C$4-5%)*H29</f>
        <v>1.4578947368421055E-3</v>
      </c>
      <c r="I30" s="22">
        <f>($C$4-5%)*I29</f>
        <v>5.3400601503759406E-3</v>
      </c>
      <c r="J30" s="22">
        <f>($C$4-5%)*J29</f>
        <v>1.157984962406015E-3</v>
      </c>
      <c r="K30" s="22">
        <f>($C$4-5%)*K29</f>
        <v>1.8077894736842105E-2</v>
      </c>
      <c r="L30" s="36">
        <v>0.05</v>
      </c>
      <c r="M30" s="37">
        <f>SUM(G30:L30)</f>
        <v>7.7700000000000005E-2</v>
      </c>
    </row>
    <row r="31" spans="1:14" hidden="1">
      <c r="G31" s="21">
        <f>ROUND(G30,4)</f>
        <v>1.6999999999999999E-3</v>
      </c>
      <c r="H31" s="21">
        <f t="shared" ref="H31:L31" si="15">ROUND(H30,4)</f>
        <v>1.5E-3</v>
      </c>
      <c r="I31" s="21">
        <f t="shared" si="15"/>
        <v>5.3E-3</v>
      </c>
      <c r="J31" s="21">
        <f t="shared" si="15"/>
        <v>1.1999999999999999E-3</v>
      </c>
      <c r="K31" s="21">
        <f t="shared" si="15"/>
        <v>1.8100000000000002E-2</v>
      </c>
      <c r="L31" s="21">
        <f t="shared" si="15"/>
        <v>0.05</v>
      </c>
      <c r="M31" s="37">
        <f>SUM(G31:L31)</f>
        <v>7.7800000000000008E-2</v>
      </c>
      <c r="N31" s="37">
        <f>-M31+M30</f>
        <v>-1.0000000000000286E-4</v>
      </c>
    </row>
    <row r="32" spans="1:14" hidden="1">
      <c r="G32" s="21">
        <f>IF(G31=MAX($G$31:$L$31),(G31+$N$31),IF(G31&lt;&gt;MAX($G$31:$L$31),G31))</f>
        <v>1.6999999999999999E-3</v>
      </c>
      <c r="H32" s="21">
        <f t="shared" ref="H32:K32" si="16">IF(H31=MAX($G$31:$L$31),(H31+$N$31),IF(H31&lt;&gt;MAX($G$31:$L$31),H31))</f>
        <v>1.5E-3</v>
      </c>
      <c r="I32" s="21">
        <f t="shared" si="16"/>
        <v>5.3E-3</v>
      </c>
      <c r="J32" s="21">
        <f t="shared" si="16"/>
        <v>1.1999999999999999E-3</v>
      </c>
      <c r="K32" s="21">
        <f t="shared" si="16"/>
        <v>1.8100000000000002E-2</v>
      </c>
      <c r="L32" s="21">
        <f>IF(L31=MAX($G$16:$L$16),(L31+$M$19),IF(L31&lt;&gt;MAX($G$16:$L$16),L31))</f>
        <v>0.05</v>
      </c>
      <c r="M32" s="21">
        <f>SUM(G32:L32)</f>
        <v>7.7800000000000008E-2</v>
      </c>
    </row>
    <row r="33" spans="2:12" hidden="1"/>
    <row r="34" spans="2:12" hidden="1"/>
    <row r="35" spans="2:12" hidden="1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2:12" hidden="1">
      <c r="G36" s="22">
        <f>IF($C$4&gt;$N$4,($C$4-$R$8)*G29)</f>
        <v>4.673684210526316E-3</v>
      </c>
      <c r="H36" s="22">
        <f t="shared" ref="H36:K36" si="18">IF($C$4&gt;$N$4,($C$4-$R$8)*H29)</f>
        <v>4.0894736842105265E-3</v>
      </c>
      <c r="I36" s="22">
        <f t="shared" si="18"/>
        <v>1.4979157894736844E-2</v>
      </c>
      <c r="J36" s="22">
        <f t="shared" si="18"/>
        <v>3.2482105263157892E-3</v>
      </c>
      <c r="K36" s="22">
        <f t="shared" si="18"/>
        <v>5.0709473684210526E-2</v>
      </c>
    </row>
    <row r="37" spans="2:12" hidden="1"/>
    <row r="38" spans="2:12" hidden="1"/>
    <row r="39" spans="2:12" hidden="1"/>
    <row r="40" spans="2:12" ht="15.75" hidden="1" thickBot="1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2:12" hidden="1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2:12" hidden="1"/>
    <row r="43" spans="2:12">
      <c r="C43" s="52">
        <v>24065.71</v>
      </c>
    </row>
    <row r="44" spans="2:12">
      <c r="C44" s="52">
        <v>23832.6</v>
      </c>
      <c r="D44" s="21">
        <v>2.87E-2</v>
      </c>
      <c r="E44" s="51">
        <f>C44*D44</f>
        <v>683.99561999999992</v>
      </c>
    </row>
    <row r="45" spans="2:12">
      <c r="B45" t="s">
        <v>26</v>
      </c>
      <c r="C45" s="52">
        <v>2106.8000000000002</v>
      </c>
      <c r="D45" s="51">
        <f>E44</f>
        <v>683.99561999999992</v>
      </c>
      <c r="E45" s="54">
        <f>C45-D45</f>
        <v>1422.8043800000003</v>
      </c>
      <c r="G45">
        <v>1421.44</v>
      </c>
    </row>
    <row r="47" spans="2:12">
      <c r="C47" s="53">
        <f>$C$44*D4</f>
        <v>73.881059999999991</v>
      </c>
      <c r="D47" s="53">
        <f t="shared" ref="D47:H47" si="20">$C$44*E4</f>
        <v>64.348020000000005</v>
      </c>
      <c r="E47" s="53">
        <f t="shared" si="20"/>
        <v>259.77533999999997</v>
      </c>
      <c r="F47" s="53">
        <f t="shared" si="20"/>
        <v>57.198239999999991</v>
      </c>
      <c r="G47" s="53">
        <f t="shared" si="20"/>
        <v>803.15861999999993</v>
      </c>
      <c r="H47" s="53">
        <f t="shared" si="20"/>
        <v>593.43173999999988</v>
      </c>
      <c r="J47" s="53">
        <f>SUM(C47:H47)</f>
        <v>1851.7930199999996</v>
      </c>
    </row>
    <row r="48" spans="2:12">
      <c r="C48" s="53">
        <f>$C$43*D4</f>
        <v>74.603701000000001</v>
      </c>
      <c r="D48" s="53">
        <f t="shared" ref="D48:H48" si="21">$C$43*E4</f>
        <v>64.977417000000003</v>
      </c>
      <c r="E48" s="53">
        <f t="shared" si="21"/>
        <v>262.316239</v>
      </c>
      <c r="F48" s="53">
        <f t="shared" si="21"/>
        <v>57.75770399999999</v>
      </c>
      <c r="G48" s="53">
        <f t="shared" si="21"/>
        <v>811.01442699999996</v>
      </c>
      <c r="H48" s="53">
        <f t="shared" si="21"/>
        <v>599.23617899999999</v>
      </c>
      <c r="J48" s="53">
        <f>SUM(C48:H48)</f>
        <v>1869.905667</v>
      </c>
    </row>
    <row r="50" spans="4:8">
      <c r="D50" s="53">
        <f>D48*100/D4/100</f>
        <v>20960.457096774197</v>
      </c>
      <c r="E50" s="53">
        <f t="shared" ref="E50:H50" si="22">E48*100/E4/100</f>
        <v>97154.162592592576</v>
      </c>
      <c r="F50" s="53">
        <f t="shared" si="22"/>
        <v>5298.8719266055032</v>
      </c>
      <c r="G50" s="53">
        <f t="shared" si="22"/>
        <v>337922.67791666673</v>
      </c>
      <c r="H50" s="53">
        <f t="shared" si="22"/>
        <v>17781.488991097922</v>
      </c>
    </row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T44"/>
  <sheetViews>
    <sheetView zoomScale="110" zoomScaleNormal="110" workbookViewId="0">
      <selection activeCell="B4" sqref="B4"/>
    </sheetView>
  </sheetViews>
  <sheetFormatPr defaultRowHeight="1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>
      <c r="B2" s="58" t="s">
        <v>6</v>
      </c>
      <c r="C2" s="59" t="s">
        <v>18</v>
      </c>
      <c r="D2" s="60" t="s">
        <v>19</v>
      </c>
      <c r="E2" s="60"/>
      <c r="F2" s="60"/>
      <c r="G2" s="60"/>
      <c r="H2" s="60"/>
      <c r="I2" s="60"/>
    </row>
    <row r="3" spans="1:20" ht="21">
      <c r="B3" s="58"/>
      <c r="C3" s="59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>
      <c r="A4" s="19" t="s">
        <v>17</v>
      </c>
      <c r="B4" s="9">
        <v>112034.56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>
      <c r="G5" s="60" t="s">
        <v>21</v>
      </c>
      <c r="H5" s="60"/>
      <c r="I5" s="60"/>
      <c r="J5" s="60"/>
      <c r="K5" s="60"/>
      <c r="L5" s="60"/>
    </row>
    <row r="6" spans="1:20" ht="30.75" thickBot="1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>
      <c r="A13" s="10"/>
      <c r="B13" s="3"/>
      <c r="C13" s="4"/>
      <c r="K13" s="32"/>
    </row>
    <row r="14" spans="1:20" hidden="1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/>
    <row r="26" spans="1:14" hidden="1"/>
    <row r="27" spans="1:14" hidden="1"/>
    <row r="28" spans="1:14" ht="15.75" hidden="1" thickBot="1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7:13" hidden="1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7:13" hidden="1"/>
    <row r="35" spans="7:13" hidden="1"/>
    <row r="36" spans="7:13" hidden="1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7:13" hidden="1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7:13" hidden="1"/>
    <row r="39" spans="7:13" hidden="1"/>
    <row r="40" spans="7:13" hidden="1"/>
    <row r="41" spans="7:13" hidden="1"/>
    <row r="42" spans="7:13" hidden="1"/>
    <row r="43" spans="7:13" hidden="1"/>
    <row r="44" spans="7:13" hidden="1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N23"/>
  <sheetViews>
    <sheetView zoomScaleNormal="100" workbookViewId="0">
      <selection activeCell="C4" sqref="C4"/>
    </sheetView>
  </sheetViews>
  <sheetFormatPr defaultRowHeight="1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>
      <c r="B2" s="58" t="s">
        <v>6</v>
      </c>
      <c r="C2" s="59" t="s">
        <v>18</v>
      </c>
      <c r="D2" s="60" t="s">
        <v>19</v>
      </c>
      <c r="E2" s="60"/>
      <c r="F2" s="60"/>
      <c r="G2" s="60"/>
      <c r="H2" s="60"/>
      <c r="I2" s="60"/>
    </row>
    <row r="3" spans="1:13" ht="21">
      <c r="B3" s="58"/>
      <c r="C3" s="59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>
      <c r="A4" s="19" t="s">
        <v>17</v>
      </c>
      <c r="B4" s="9">
        <v>109200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>
      <c r="G5" s="60" t="s">
        <v>21</v>
      </c>
      <c r="H5" s="60"/>
      <c r="I5" s="60"/>
      <c r="J5" s="60"/>
      <c r="K5" s="60"/>
      <c r="L5" s="60"/>
    </row>
    <row r="6" spans="1:13" ht="30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>
      <c r="A13" s="10"/>
      <c r="B13" s="3"/>
      <c r="C13" s="4"/>
    </row>
    <row r="14" spans="1:13" hidden="1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>
      <c r="A20" s="10"/>
      <c r="B20" s="3"/>
      <c r="C20" s="4"/>
    </row>
    <row r="21" spans="1:14" hidden="1"/>
    <row r="22" spans="1:14" hidden="1"/>
    <row r="23" spans="1:14" hidden="1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Bruna</cp:lastModifiedBy>
  <dcterms:created xsi:type="dcterms:W3CDTF">2015-03-08T09:25:42Z</dcterms:created>
  <dcterms:modified xsi:type="dcterms:W3CDTF">2018-07-20T14:58:53Z</dcterms:modified>
</cp:coreProperties>
</file>