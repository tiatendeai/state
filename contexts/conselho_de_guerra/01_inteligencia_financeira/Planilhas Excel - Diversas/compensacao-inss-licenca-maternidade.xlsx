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showInkAnnotation="0" defaultThemeVersion="124226"/>
  <bookViews>
    <workbookView xWindow="720" yWindow="510" windowWidth="12120" windowHeight="8445" activeTab="1"/>
  </bookViews>
  <sheets>
    <sheet name="EXEMPLO1" sheetId="4" r:id="rId1"/>
    <sheet name="COLEGIO " sheetId="8" r:id="rId2"/>
  </sheets>
  <calcPr calcId="144525"/>
</workbook>
</file>

<file path=xl/calcChain.xml><?xml version="1.0" encoding="utf-8"?>
<calcChain xmlns="http://schemas.openxmlformats.org/spreadsheetml/2006/main">
  <c r="F9" i="8" l="1"/>
  <c r="F8" i="8"/>
  <c r="F7" i="8"/>
  <c r="F6" i="8"/>
  <c r="H16" i="8"/>
  <c r="C15" i="8"/>
  <c r="F11" i="8"/>
  <c r="B15" i="8"/>
  <c r="E5" i="8"/>
  <c r="E4" i="8"/>
  <c r="F15" i="8" l="1"/>
  <c r="C24" i="8"/>
  <c r="D15" i="8"/>
  <c r="F11" i="4"/>
  <c r="E9" i="4"/>
  <c r="E8" i="4"/>
  <c r="E7" i="4"/>
  <c r="E6" i="4"/>
  <c r="E5" i="4"/>
  <c r="E4" i="4"/>
  <c r="C24" i="4" l="1"/>
  <c r="D11" i="4"/>
  <c r="C11" i="4"/>
  <c r="B11" i="4"/>
  <c r="C27" i="4" l="1"/>
</calcChain>
</file>

<file path=xl/sharedStrings.xml><?xml version="1.0" encoding="utf-8"?>
<sst xmlns="http://schemas.openxmlformats.org/spreadsheetml/2006/main" count="37" uniqueCount="18">
  <si>
    <t>DATA</t>
  </si>
  <si>
    <t>Sal. Maternidade</t>
  </si>
  <si>
    <t>Vlr INSS (empresa + empregado)</t>
  </si>
  <si>
    <t>Vlr compensado</t>
  </si>
  <si>
    <t>Vlr Pago</t>
  </si>
  <si>
    <t>Saldo a Compensar</t>
  </si>
  <si>
    <t>TOTAL</t>
  </si>
  <si>
    <t>(-) INSS ADMINISTRATIVO</t>
  </si>
  <si>
    <t>Compensado</t>
  </si>
  <si>
    <t>total Compensado</t>
  </si>
  <si>
    <t>SALDO A COMPENSAL</t>
  </si>
  <si>
    <t>* Nesta planilha não contém o valor do INSS referente a Terceiros. O Mesmo não pode ser abatido e nem compensado. Seu recolhimento foi efetuado mensalmente.</t>
  </si>
  <si>
    <t>*O Valor de 31/10/2013 R$ 182,66 será compensado na guia com vencimento em 20/11/2013. Portanto nesta data já terá valores a recolher. Referente ao mês de Novembro, o recolhimento já volta ao normal, sem compensação em 20/12/2013.                                                                                                                                                     Qualquer duvida estamos a disposição</t>
  </si>
  <si>
    <t>+</t>
  </si>
  <si>
    <t xml:space="preserve">COMPETENCIAS </t>
  </si>
  <si>
    <t xml:space="preserve">Vlr Pago a PAGAR </t>
  </si>
  <si>
    <t>01/13/2017</t>
  </si>
  <si>
    <t xml:space="preserve">Não foi  compensado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</si>
</sst>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9"/>
      <name val="Arial"/>
    </font>
    <font>
      <b/>
      <sz val="11"/>
      <color indexed="9"/>
      <name val="Arial"/>
    </font>
    <font>
      <b/>
      <sz val="14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0" borderId="0" xfId="0" applyNumberFormat="1"/>
    <xf numFmtId="164" fontId="0" fillId="0" borderId="0" xfId="0" applyNumberFormat="1"/>
    <xf numFmtId="0" fontId="0" fillId="0" borderId="0" xfId="0" applyBorder="1"/>
    <xf numFmtId="164" fontId="4" fillId="0" borderId="1" xfId="0" applyNumberFormat="1" applyFont="1" applyBorder="1"/>
    <xf numFmtId="164" fontId="0" fillId="0" borderId="0" xfId="0" applyNumberFormat="1" applyBorder="1"/>
    <xf numFmtId="0" fontId="0" fillId="0" borderId="2" xfId="0" applyBorder="1"/>
    <xf numFmtId="0" fontId="0" fillId="0" borderId="3" xfId="0" applyBorder="1"/>
    <xf numFmtId="164" fontId="1" fillId="0" borderId="1" xfId="1" applyFont="1" applyBorder="1"/>
    <xf numFmtId="164" fontId="1" fillId="0" borderId="0" xfId="1" applyFont="1" applyBorder="1"/>
    <xf numFmtId="164" fontId="1" fillId="0" borderId="4" xfId="1" applyFont="1" applyBorder="1"/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/>
    <xf numFmtId="0" fontId="5" fillId="0" borderId="0" xfId="0" applyFont="1" applyBorder="1"/>
    <xf numFmtId="164" fontId="5" fillId="0" borderId="0" xfId="1" applyFont="1" applyBorder="1"/>
    <xf numFmtId="0" fontId="5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164" fontId="6" fillId="0" borderId="0" xfId="0" applyNumberFormat="1" applyFont="1" applyBorder="1"/>
    <xf numFmtId="164" fontId="5" fillId="0" borderId="0" xfId="1" applyFont="1" applyFill="1" applyBorder="1"/>
    <xf numFmtId="0" fontId="2" fillId="0" borderId="0" xfId="0" applyFont="1" applyBorder="1" applyAlignment="1"/>
    <xf numFmtId="164" fontId="1" fillId="2" borderId="5" xfId="1" applyFont="1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9" fillId="0" borderId="0" xfId="0" applyFont="1"/>
    <xf numFmtId="14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1" applyFont="1" applyBorder="1"/>
    <xf numFmtId="14" fontId="0" fillId="0" borderId="6" xfId="0" applyNumberFormat="1" applyBorder="1"/>
    <xf numFmtId="164" fontId="3" fillId="0" borderId="0" xfId="1" applyFont="1" applyBorder="1"/>
    <xf numFmtId="164" fontId="1" fillId="0" borderId="5" xfId="1" applyFont="1" applyBorder="1"/>
    <xf numFmtId="14" fontId="1" fillId="0" borderId="2" xfId="1" applyNumberFormat="1" applyFont="1" applyBorder="1" applyAlignment="1"/>
    <xf numFmtId="164" fontId="1" fillId="0" borderId="2" xfId="1" applyFont="1" applyBorder="1" applyAlignment="1"/>
    <xf numFmtId="14" fontId="0" fillId="0" borderId="7" xfId="0" applyNumberFormat="1" applyBorder="1"/>
    <xf numFmtId="14" fontId="1" fillId="0" borderId="0" xfId="1" applyNumberFormat="1" applyFont="1" applyBorder="1" applyAlignment="1"/>
    <xf numFmtId="164" fontId="1" fillId="0" borderId="0" xfId="1" applyFont="1" applyBorder="1" applyAlignment="1"/>
    <xf numFmtId="14" fontId="2" fillId="0" borderId="1" xfId="0" applyNumberFormat="1" applyFont="1" applyBorder="1"/>
    <xf numFmtId="4" fontId="2" fillId="0" borderId="1" xfId="0" applyNumberFormat="1" applyFont="1" applyBorder="1"/>
    <xf numFmtId="164" fontId="2" fillId="0" borderId="1" xfId="1" applyFont="1" applyBorder="1"/>
    <xf numFmtId="0" fontId="8" fillId="0" borderId="8" xfId="0" applyFont="1" applyBorder="1"/>
    <xf numFmtId="0" fontId="3" fillId="0" borderId="1" xfId="0" applyFont="1" applyBorder="1" applyAlignment="1">
      <alignment horizontal="center" vertical="justify"/>
    </xf>
    <xf numFmtId="164" fontId="1" fillId="0" borderId="0" xfId="1" applyFont="1" applyFill="1" applyBorder="1"/>
    <xf numFmtId="0" fontId="0" fillId="0" borderId="0" xfId="0" applyFill="1" applyBorder="1"/>
    <xf numFmtId="14" fontId="2" fillId="0" borderId="0" xfId="0" applyNumberFormat="1" applyFont="1" applyBorder="1"/>
    <xf numFmtId="4" fontId="2" fillId="0" borderId="0" xfId="0" applyNumberFormat="1" applyFont="1" applyBorder="1"/>
    <xf numFmtId="164" fontId="2" fillId="0" borderId="0" xfId="1" applyFont="1" applyBorder="1"/>
    <xf numFmtId="14" fontId="10" fillId="4" borderId="6" xfId="0" applyNumberFormat="1" applyFont="1" applyFill="1" applyBorder="1"/>
    <xf numFmtId="4" fontId="10" fillId="4" borderId="14" xfId="0" applyNumberFormat="1" applyFont="1" applyFill="1" applyBorder="1"/>
    <xf numFmtId="164" fontId="10" fillId="4" borderId="14" xfId="1" applyFont="1" applyFill="1" applyBorder="1"/>
    <xf numFmtId="4" fontId="10" fillId="4" borderId="15" xfId="0" applyNumberFormat="1" applyFont="1" applyFill="1" applyBorder="1"/>
    <xf numFmtId="14" fontId="3" fillId="6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4" fontId="3" fillId="7" borderId="1" xfId="1" applyFont="1" applyFill="1" applyBorder="1"/>
    <xf numFmtId="164" fontId="1" fillId="7" borderId="1" xfId="1" applyFont="1" applyFill="1" applyBorder="1"/>
    <xf numFmtId="164" fontId="2" fillId="7" borderId="1" xfId="1" applyFont="1" applyFill="1" applyBorder="1"/>
    <xf numFmtId="0" fontId="2" fillId="6" borderId="1" xfId="0" applyFont="1" applyFill="1" applyBorder="1" applyAlignment="1">
      <alignment horizontal="center" vertical="justify"/>
    </xf>
    <xf numFmtId="0" fontId="2" fillId="7" borderId="1" xfId="0" applyFont="1" applyFill="1" applyBorder="1" applyAlignment="1">
      <alignment horizontal="center" vertical="justify"/>
    </xf>
    <xf numFmtId="0" fontId="12" fillId="5" borderId="1" xfId="0" applyFont="1" applyFill="1" applyBorder="1" applyAlignment="1">
      <alignment horizontal="center" vertical="justify"/>
    </xf>
    <xf numFmtId="0" fontId="2" fillId="5" borderId="1" xfId="0" applyFont="1" applyFill="1" applyBorder="1" applyAlignment="1">
      <alignment horizontal="center" vertical="justify"/>
    </xf>
    <xf numFmtId="0" fontId="7" fillId="0" borderId="0" xfId="0" applyFont="1" applyBorder="1" applyAlignment="1">
      <alignment horizontal="center"/>
    </xf>
    <xf numFmtId="0" fontId="9" fillId="0" borderId="0" xfId="0" applyFont="1" applyBorder="1"/>
    <xf numFmtId="0" fontId="2" fillId="0" borderId="0" xfId="0" applyFont="1" applyBorder="1"/>
    <xf numFmtId="4" fontId="0" fillId="0" borderId="0" xfId="0" applyNumberFormat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64" fontId="1" fillId="8" borderId="1" xfId="1" applyFont="1" applyFill="1" applyBorder="1"/>
    <xf numFmtId="164" fontId="3" fillId="8" borderId="1" xfId="1" applyFont="1" applyFill="1" applyBorder="1"/>
    <xf numFmtId="14" fontId="1" fillId="8" borderId="1" xfId="1" applyNumberFormat="1" applyFont="1" applyFill="1" applyBorder="1" applyAlignment="1"/>
    <xf numFmtId="164" fontId="1" fillId="8" borderId="1" xfId="1" applyFont="1" applyFill="1" applyBorder="1" applyAlignment="1"/>
    <xf numFmtId="164" fontId="4" fillId="8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14" fontId="0" fillId="8" borderId="1" xfId="0" applyNumberFormat="1" applyFill="1" applyBorder="1"/>
    <xf numFmtId="0" fontId="3" fillId="0" borderId="0" xfId="0" applyFont="1"/>
    <xf numFmtId="43" fontId="2" fillId="0" borderId="0" xfId="0" applyNumberFormat="1" applyFont="1"/>
    <xf numFmtId="44" fontId="3" fillId="7" borderId="1" xfId="2" applyFont="1" applyFill="1" applyBorder="1"/>
    <xf numFmtId="44" fontId="11" fillId="5" borderId="1" xfId="2" applyFont="1" applyFill="1" applyBorder="1"/>
    <xf numFmtId="44" fontId="1" fillId="7" borderId="1" xfId="2" applyFont="1" applyFill="1" applyBorder="1"/>
    <xf numFmtId="44" fontId="2" fillId="7" borderId="1" xfId="2" applyFont="1" applyFill="1" applyBorder="1"/>
    <xf numFmtId="44" fontId="12" fillId="5" borderId="1" xfId="2" applyFont="1" applyFill="1" applyBorder="1"/>
    <xf numFmtId="44" fontId="3" fillId="5" borderId="1" xfId="2" applyFont="1" applyFill="1" applyBorder="1"/>
    <xf numFmtId="44" fontId="1" fillId="5" borderId="1" xfId="2" applyFont="1" applyFill="1" applyBorder="1"/>
    <xf numFmtId="44" fontId="0" fillId="7" borderId="1" xfId="2" applyFont="1" applyFill="1" applyBorder="1"/>
    <xf numFmtId="44" fontId="2" fillId="5" borderId="1" xfId="2" applyFont="1" applyFill="1" applyBorder="1"/>
    <xf numFmtId="14" fontId="9" fillId="6" borderId="1" xfId="0" applyNumberFormat="1" applyFont="1" applyFill="1" applyBorder="1" applyAlignment="1">
      <alignment horizontal="center"/>
    </xf>
    <xf numFmtId="44" fontId="9" fillId="7" borderId="1" xfId="2" applyFont="1" applyFill="1" applyBorder="1"/>
    <xf numFmtId="44" fontId="9" fillId="5" borderId="1" xfId="2" applyFont="1" applyFill="1" applyBorder="1"/>
    <xf numFmtId="164" fontId="9" fillId="7" borderId="1" xfId="1" applyFont="1" applyFill="1" applyBorder="1"/>
    <xf numFmtId="0" fontId="13" fillId="0" borderId="0" xfId="0" applyFont="1" applyBorder="1"/>
    <xf numFmtId="0" fontId="3" fillId="0" borderId="0" xfId="0" applyFont="1" applyBorder="1" applyAlignment="1">
      <alignment horizontal="left" vertical="justify"/>
    </xf>
    <xf numFmtId="0" fontId="0" fillId="0" borderId="0" xfId="0" applyBorder="1" applyAlignment="1">
      <alignment horizontal="left" vertical="justify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E4" sqref="E4"/>
    </sheetView>
  </sheetViews>
  <sheetFormatPr defaultRowHeight="12.75" x14ac:dyDescent="0.2"/>
  <cols>
    <col min="1" max="1" width="11.5703125" customWidth="1"/>
    <col min="2" max="2" width="15.140625" customWidth="1"/>
    <col min="3" max="3" width="16.85546875" customWidth="1"/>
    <col min="4" max="4" width="16.42578125" customWidth="1"/>
    <col min="5" max="5" width="14.140625" customWidth="1"/>
    <col min="6" max="6" width="14.7109375" customWidth="1"/>
    <col min="7" max="7" width="15.28515625" customWidth="1"/>
    <col min="8" max="8" width="17.140625" customWidth="1"/>
    <col min="9" max="9" width="19.28515625" customWidth="1"/>
  </cols>
  <sheetData>
    <row r="1" spans="1:7" ht="24" customHeight="1" x14ac:dyDescent="0.25">
      <c r="A1" s="100"/>
      <c r="B1" s="100"/>
      <c r="C1" s="100"/>
      <c r="D1" s="26"/>
      <c r="E1" s="26"/>
    </row>
    <row r="2" spans="1:7" x14ac:dyDescent="0.2">
      <c r="B2" s="101"/>
      <c r="C2" s="101"/>
      <c r="D2" s="101"/>
      <c r="E2" s="101"/>
      <c r="F2" s="101"/>
    </row>
    <row r="3" spans="1:7" ht="30" customHeight="1" x14ac:dyDescent="0.2">
      <c r="A3" s="44" t="s">
        <v>0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</row>
    <row r="4" spans="1:7" s="28" customFormat="1" x14ac:dyDescent="0.2">
      <c r="A4" s="29">
        <v>42736</v>
      </c>
      <c r="B4" s="30">
        <v>456.56</v>
      </c>
      <c r="C4" s="31">
        <v>1756.69</v>
      </c>
      <c r="D4" s="31"/>
      <c r="E4" s="31">
        <f t="shared" ref="E4:E9" si="0">C4-B4</f>
        <v>1300.1300000000001</v>
      </c>
      <c r="F4" s="30"/>
    </row>
    <row r="5" spans="1:7" s="28" customFormat="1" x14ac:dyDescent="0.2">
      <c r="A5" s="29">
        <v>42767</v>
      </c>
      <c r="B5" s="30">
        <v>1970.75</v>
      </c>
      <c r="C5" s="31">
        <v>1706</v>
      </c>
      <c r="D5" s="31"/>
      <c r="E5" s="31">
        <f t="shared" si="0"/>
        <v>-264.75</v>
      </c>
      <c r="F5" s="30">
        <v>264.75</v>
      </c>
      <c r="G5" s="28" t="s">
        <v>13</v>
      </c>
    </row>
    <row r="6" spans="1:7" s="28" customFormat="1" x14ac:dyDescent="0.2">
      <c r="A6" s="29">
        <v>42795</v>
      </c>
      <c r="B6" s="30">
        <v>2288.5100000000002</v>
      </c>
      <c r="C6" s="31">
        <v>1688.59</v>
      </c>
      <c r="D6" s="31">
        <v>0</v>
      </c>
      <c r="E6" s="31">
        <f t="shared" si="0"/>
        <v>-599.9200000000003</v>
      </c>
      <c r="F6" s="30">
        <v>599.91999999999996</v>
      </c>
      <c r="G6" s="28" t="s">
        <v>13</v>
      </c>
    </row>
    <row r="7" spans="1:7" s="28" customFormat="1" x14ac:dyDescent="0.2">
      <c r="A7" s="29">
        <v>42826</v>
      </c>
      <c r="B7" s="30">
        <v>2288.5100000000002</v>
      </c>
      <c r="C7" s="31">
        <v>1705.18</v>
      </c>
      <c r="D7" s="31"/>
      <c r="E7" s="31">
        <f t="shared" si="0"/>
        <v>-583.33000000000015</v>
      </c>
      <c r="F7" s="30">
        <v>583.33000000000004</v>
      </c>
      <c r="G7" s="28" t="s">
        <v>13</v>
      </c>
    </row>
    <row r="8" spans="1:7" s="28" customFormat="1" x14ac:dyDescent="0.2">
      <c r="A8" s="29">
        <v>42856</v>
      </c>
      <c r="B8" s="30">
        <v>1799.85</v>
      </c>
      <c r="C8" s="31">
        <v>1778.7</v>
      </c>
      <c r="D8" s="31"/>
      <c r="E8" s="31">
        <f t="shared" si="0"/>
        <v>-21.149999999999864</v>
      </c>
      <c r="F8" s="30">
        <v>21.15</v>
      </c>
      <c r="G8" s="28" t="s">
        <v>13</v>
      </c>
    </row>
    <row r="9" spans="1:7" s="28" customFormat="1" x14ac:dyDescent="0.2">
      <c r="A9" s="29">
        <v>42887</v>
      </c>
      <c r="B9" s="30">
        <v>154.78</v>
      </c>
      <c r="C9" s="31">
        <v>1841.06</v>
      </c>
      <c r="D9" s="31"/>
      <c r="E9" s="31">
        <f t="shared" si="0"/>
        <v>1686.28</v>
      </c>
      <c r="F9" s="30"/>
    </row>
    <row r="10" spans="1:7" x14ac:dyDescent="0.2">
      <c r="A10" s="3"/>
      <c r="B10" s="4"/>
      <c r="C10" s="12"/>
      <c r="D10" s="12"/>
      <c r="E10" s="12"/>
      <c r="F10" s="4"/>
    </row>
    <row r="11" spans="1:7" s="1" customFormat="1" x14ac:dyDescent="0.2">
      <c r="A11" s="40" t="s">
        <v>6</v>
      </c>
      <c r="B11" s="41">
        <f>SUM(B4:B10)</f>
        <v>8958.9600000000009</v>
      </c>
      <c r="C11" s="42">
        <f>SUM(C4:C10)</f>
        <v>10476.219999999999</v>
      </c>
      <c r="D11" s="42">
        <f>SUM(D4:D10)</f>
        <v>0</v>
      </c>
      <c r="E11" s="42"/>
      <c r="F11" s="41">
        <f>SUM(F5:F10)</f>
        <v>1469.15</v>
      </c>
    </row>
    <row r="12" spans="1:7" s="1" customFormat="1" x14ac:dyDescent="0.2">
      <c r="A12" s="47"/>
      <c r="B12" s="48"/>
      <c r="C12" s="49"/>
      <c r="D12" s="49"/>
      <c r="E12" s="49"/>
      <c r="F12" s="48"/>
    </row>
    <row r="13" spans="1:7" s="1" customFormat="1" x14ac:dyDescent="0.2">
      <c r="A13" s="50">
        <v>42704</v>
      </c>
      <c r="B13" s="51"/>
      <c r="C13" s="52">
        <v>880</v>
      </c>
      <c r="D13" s="52">
        <v>311.2</v>
      </c>
      <c r="E13" s="52"/>
      <c r="F13" s="53"/>
    </row>
    <row r="14" spans="1:7" s="1" customFormat="1" x14ac:dyDescent="0.2">
      <c r="A14" s="47"/>
      <c r="B14" s="48"/>
      <c r="C14" s="49"/>
      <c r="D14" s="49"/>
      <c r="E14" s="49"/>
      <c r="F14" s="48"/>
    </row>
    <row r="15" spans="1:7" s="1" customFormat="1" x14ac:dyDescent="0.2">
      <c r="A15" s="47"/>
      <c r="B15" s="48"/>
      <c r="C15" s="49"/>
      <c r="D15" s="49"/>
      <c r="E15" s="49"/>
      <c r="F15" s="48"/>
    </row>
    <row r="16" spans="1:7" s="1" customFormat="1" x14ac:dyDescent="0.2">
      <c r="A16" s="47"/>
      <c r="B16" s="48"/>
      <c r="C16" s="49"/>
      <c r="D16" s="49"/>
      <c r="E16" s="49"/>
      <c r="F16" s="48"/>
    </row>
    <row r="17" spans="1:8" ht="13.5" thickBot="1" x14ac:dyDescent="0.25">
      <c r="C17" s="5"/>
      <c r="D17" s="5"/>
      <c r="E17" s="5"/>
      <c r="F17" s="6"/>
      <c r="G17" s="6"/>
    </row>
    <row r="18" spans="1:8" ht="13.5" thickBot="1" x14ac:dyDescent="0.25">
      <c r="A18" s="102" t="s">
        <v>7</v>
      </c>
      <c r="B18" s="103"/>
      <c r="C18" s="104"/>
      <c r="D18" s="27"/>
      <c r="E18" s="27"/>
      <c r="F18" s="13"/>
      <c r="G18" s="13"/>
      <c r="H18" s="9"/>
    </row>
    <row r="19" spans="1:8" x14ac:dyDescent="0.2">
      <c r="A19" s="10"/>
      <c r="B19" s="7"/>
      <c r="C19" s="11"/>
      <c r="D19" s="7"/>
      <c r="E19" s="7"/>
      <c r="F19" s="13"/>
      <c r="G19" s="13"/>
      <c r="H19" s="9"/>
    </row>
    <row r="20" spans="1:8" x14ac:dyDescent="0.2">
      <c r="A20" s="43" t="s">
        <v>8</v>
      </c>
      <c r="B20" s="32">
        <v>41516</v>
      </c>
      <c r="C20" s="14">
        <v>237.95</v>
      </c>
      <c r="D20" s="33"/>
      <c r="E20" s="33"/>
      <c r="F20" s="13"/>
      <c r="G20" s="13"/>
      <c r="H20" s="7"/>
    </row>
    <row r="21" spans="1:8" x14ac:dyDescent="0.2">
      <c r="A21" s="43" t="s">
        <v>8</v>
      </c>
      <c r="B21" s="32">
        <v>41547</v>
      </c>
      <c r="C21" s="14">
        <v>607.41</v>
      </c>
      <c r="D21" s="35"/>
      <c r="E21" s="38"/>
      <c r="F21" s="13"/>
      <c r="G21" s="13"/>
      <c r="H21" s="7"/>
    </row>
    <row r="22" spans="1:8" x14ac:dyDescent="0.2">
      <c r="A22" s="43" t="s">
        <v>8</v>
      </c>
      <c r="B22" s="32">
        <v>41577</v>
      </c>
      <c r="C22" s="14">
        <v>182.66</v>
      </c>
      <c r="D22" s="36"/>
      <c r="E22" s="39"/>
      <c r="F22" s="13"/>
      <c r="G22" s="13"/>
      <c r="H22" s="7"/>
    </row>
    <row r="23" spans="1:8" ht="12" customHeight="1" x14ac:dyDescent="0.2">
      <c r="A23" s="43" t="s">
        <v>8</v>
      </c>
      <c r="B23" s="37"/>
      <c r="C23" s="34"/>
      <c r="D23" s="13"/>
      <c r="E23" s="13"/>
      <c r="F23" s="7"/>
      <c r="G23" s="7"/>
      <c r="H23" s="7"/>
    </row>
    <row r="24" spans="1:8" ht="18" customHeight="1" x14ac:dyDescent="0.2">
      <c r="A24" s="105" t="s">
        <v>9</v>
      </c>
      <c r="B24" s="106"/>
      <c r="C24" s="25">
        <f>SUM(C20:C23)</f>
        <v>1028.02</v>
      </c>
      <c r="D24" s="45"/>
      <c r="E24" s="45"/>
      <c r="F24" s="46"/>
      <c r="G24" s="7"/>
      <c r="H24" s="7"/>
    </row>
    <row r="25" spans="1:8" ht="7.5" customHeight="1" x14ac:dyDescent="0.2">
      <c r="A25" s="2"/>
      <c r="B25" s="2"/>
      <c r="C25" s="2"/>
      <c r="D25" s="7"/>
      <c r="E25" s="7"/>
    </row>
    <row r="26" spans="1:8" x14ac:dyDescent="0.2">
      <c r="A26" s="2"/>
      <c r="B26" s="2"/>
      <c r="C26" s="2"/>
      <c r="D26" s="7"/>
      <c r="E26" s="7"/>
    </row>
    <row r="27" spans="1:8" ht="15" x14ac:dyDescent="0.25">
      <c r="A27" s="99" t="s">
        <v>10</v>
      </c>
      <c r="B27" s="99"/>
      <c r="C27" s="8">
        <f>F11-C24</f>
        <v>441.13000000000011</v>
      </c>
      <c r="D27" s="16"/>
      <c r="E27" s="16"/>
    </row>
    <row r="28" spans="1:8" ht="15" x14ac:dyDescent="0.25">
      <c r="A28" s="15"/>
      <c r="B28" s="15"/>
      <c r="C28" s="16"/>
      <c r="D28" s="16"/>
      <c r="E28" s="16"/>
    </row>
    <row r="29" spans="1:8" x14ac:dyDescent="0.2">
      <c r="A29" s="24"/>
      <c r="B29" s="24"/>
      <c r="C29" s="24"/>
      <c r="D29" s="24"/>
      <c r="E29" s="24"/>
    </row>
    <row r="30" spans="1:8" x14ac:dyDescent="0.2">
      <c r="A30" s="97" t="s">
        <v>11</v>
      </c>
      <c r="B30" s="97"/>
      <c r="C30" s="97"/>
      <c r="D30" s="97"/>
      <c r="E30" s="97"/>
      <c r="F30" s="97"/>
    </row>
    <row r="31" spans="1:8" ht="14.25" customHeight="1" x14ac:dyDescent="0.2">
      <c r="A31" s="97"/>
      <c r="B31" s="97"/>
      <c r="C31" s="97"/>
      <c r="D31" s="97"/>
      <c r="E31" s="97"/>
      <c r="F31" s="97"/>
    </row>
    <row r="32" spans="1:8" x14ac:dyDescent="0.2">
      <c r="A32" s="7"/>
      <c r="B32" s="7"/>
      <c r="C32" s="13"/>
      <c r="D32" s="13"/>
      <c r="E32" s="13"/>
    </row>
    <row r="33" spans="1:8" x14ac:dyDescent="0.2">
      <c r="A33" s="97" t="s">
        <v>12</v>
      </c>
      <c r="B33" s="98"/>
      <c r="C33" s="98"/>
      <c r="D33" s="98"/>
      <c r="E33" s="98"/>
      <c r="F33" s="98"/>
    </row>
    <row r="34" spans="1:8" x14ac:dyDescent="0.2">
      <c r="A34" s="98"/>
      <c r="B34" s="98"/>
      <c r="C34" s="98"/>
      <c r="D34" s="98"/>
      <c r="E34" s="98"/>
      <c r="F34" s="98"/>
    </row>
    <row r="35" spans="1:8" x14ac:dyDescent="0.2">
      <c r="A35" s="98"/>
      <c r="B35" s="98"/>
      <c r="C35" s="98"/>
      <c r="D35" s="98"/>
      <c r="E35" s="98"/>
      <c r="F35" s="98"/>
    </row>
    <row r="36" spans="1:8" x14ac:dyDescent="0.2">
      <c r="A36" s="98"/>
      <c r="B36" s="98"/>
      <c r="C36" s="98"/>
      <c r="D36" s="98"/>
      <c r="E36" s="98"/>
      <c r="F36" s="98"/>
    </row>
    <row r="37" spans="1:8" ht="15" customHeight="1" x14ac:dyDescent="0.2">
      <c r="A37" s="98"/>
      <c r="B37" s="98"/>
      <c r="C37" s="98"/>
      <c r="D37" s="98"/>
      <c r="E37" s="98"/>
      <c r="F37" s="98"/>
    </row>
    <row r="38" spans="1:8" x14ac:dyDescent="0.2">
      <c r="A38" s="7"/>
      <c r="B38" s="7"/>
      <c r="C38" s="13"/>
      <c r="D38" s="13"/>
      <c r="E38" s="13"/>
    </row>
    <row r="39" spans="1:8" x14ac:dyDescent="0.2">
      <c r="A39" s="7"/>
      <c r="B39" s="7"/>
      <c r="C39" s="13"/>
      <c r="D39" s="13"/>
      <c r="E39" s="13"/>
    </row>
    <row r="40" spans="1:8" x14ac:dyDescent="0.2">
      <c r="A40" s="17"/>
      <c r="B40" s="17"/>
      <c r="C40" s="18"/>
      <c r="D40" s="18"/>
      <c r="E40" s="18"/>
      <c r="F40" s="19"/>
      <c r="G40" s="19"/>
    </row>
    <row r="41" spans="1:8" x14ac:dyDescent="0.2">
      <c r="A41" s="17"/>
      <c r="B41" s="17"/>
      <c r="C41" s="18"/>
      <c r="D41" s="18"/>
      <c r="E41" s="18"/>
      <c r="F41" s="19"/>
      <c r="G41" s="19"/>
    </row>
    <row r="42" spans="1:8" x14ac:dyDescent="0.2">
      <c r="A42" s="17"/>
      <c r="B42" s="17"/>
      <c r="C42" s="18"/>
      <c r="D42" s="18"/>
      <c r="E42" s="18"/>
      <c r="F42" s="19"/>
      <c r="G42" s="19"/>
    </row>
    <row r="43" spans="1:8" x14ac:dyDescent="0.2">
      <c r="A43" s="20"/>
      <c r="B43" s="20"/>
      <c r="C43" s="23"/>
      <c r="D43" s="23"/>
      <c r="E43" s="23"/>
      <c r="F43" s="17"/>
      <c r="G43" s="17"/>
      <c r="H43" s="7"/>
    </row>
    <row r="44" spans="1:8" x14ac:dyDescent="0.2">
      <c r="A44" s="17"/>
      <c r="B44" s="17"/>
      <c r="C44" s="17"/>
      <c r="D44" s="17"/>
      <c r="E44" s="17"/>
      <c r="F44" s="19"/>
      <c r="G44" s="19"/>
    </row>
    <row r="45" spans="1:8" ht="15" x14ac:dyDescent="0.25">
      <c r="A45" s="21"/>
      <c r="B45" s="21"/>
      <c r="C45" s="22"/>
      <c r="D45" s="22"/>
      <c r="E45" s="22"/>
      <c r="F45" s="19"/>
      <c r="G45" s="19"/>
    </row>
    <row r="46" spans="1:8" x14ac:dyDescent="0.2">
      <c r="A46" s="17"/>
      <c r="B46" s="17"/>
      <c r="C46" s="17"/>
      <c r="D46" s="17"/>
      <c r="E46" s="17"/>
      <c r="F46" s="19"/>
      <c r="G46" s="19"/>
    </row>
  </sheetData>
  <mergeCells count="7">
    <mergeCell ref="A33:F37"/>
    <mergeCell ref="A27:B27"/>
    <mergeCell ref="A1:C1"/>
    <mergeCell ref="B2:F2"/>
    <mergeCell ref="A18:C18"/>
    <mergeCell ref="A24:B24"/>
    <mergeCell ref="A30:F31"/>
  </mergeCells>
  <phoneticPr fontId="0" type="noConversion"/>
  <pageMargins left="0" right="0" top="0" bottom="0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E13" sqref="E13"/>
    </sheetView>
  </sheetViews>
  <sheetFormatPr defaultRowHeight="12.75" x14ac:dyDescent="0.2"/>
  <cols>
    <col min="1" max="1" width="16.140625" style="26" customWidth="1"/>
    <col min="2" max="2" width="15.140625" customWidth="1"/>
    <col min="3" max="4" width="16.85546875" customWidth="1"/>
    <col min="5" max="5" width="16.42578125" customWidth="1"/>
    <col min="6" max="6" width="14.140625" customWidth="1"/>
    <col min="7" max="7" width="15.28515625" customWidth="1"/>
    <col min="8" max="8" width="17.140625" customWidth="1"/>
    <col min="9" max="9" width="19.28515625" customWidth="1"/>
  </cols>
  <sheetData>
    <row r="1" spans="1:8" ht="18" x14ac:dyDescent="0.25">
      <c r="A1" s="107"/>
      <c r="B1" s="107"/>
      <c r="C1" s="107"/>
      <c r="D1" s="68"/>
      <c r="E1" s="58"/>
      <c r="F1" s="58"/>
      <c r="G1" s="7"/>
    </row>
    <row r="2" spans="1:8" x14ac:dyDescent="0.2">
      <c r="A2" s="58"/>
      <c r="B2" s="108"/>
      <c r="C2" s="108"/>
      <c r="D2" s="108"/>
      <c r="E2" s="108"/>
      <c r="F2" s="108"/>
      <c r="G2" s="7"/>
    </row>
    <row r="3" spans="1:8" ht="38.25" x14ac:dyDescent="0.2">
      <c r="A3" s="64" t="s">
        <v>14</v>
      </c>
      <c r="B3" s="65" t="s">
        <v>2</v>
      </c>
      <c r="C3" s="66" t="s">
        <v>1</v>
      </c>
      <c r="D3" s="65" t="s">
        <v>3</v>
      </c>
      <c r="E3" s="67" t="s">
        <v>15</v>
      </c>
      <c r="F3" s="65" t="s">
        <v>5</v>
      </c>
      <c r="G3" s="7"/>
    </row>
    <row r="4" spans="1:8" s="28" customFormat="1" x14ac:dyDescent="0.2">
      <c r="A4" s="54">
        <v>42917</v>
      </c>
      <c r="B4" s="83">
        <v>2603</v>
      </c>
      <c r="C4" s="84">
        <v>186.89</v>
      </c>
      <c r="D4" s="61">
        <v>0</v>
      </c>
      <c r="E4" s="88">
        <f>B4-C4</f>
        <v>2416.11</v>
      </c>
      <c r="F4" s="83"/>
      <c r="G4" s="69"/>
    </row>
    <row r="5" spans="1:8" s="28" customFormat="1" x14ac:dyDescent="0.2">
      <c r="A5" s="54">
        <v>42948</v>
      </c>
      <c r="B5" s="83">
        <v>1849.69</v>
      </c>
      <c r="C5" s="84">
        <v>1401.7</v>
      </c>
      <c r="D5" s="61"/>
      <c r="E5" s="88">
        <f>B5-C5</f>
        <v>447.99</v>
      </c>
      <c r="F5" s="83"/>
      <c r="G5" s="69"/>
    </row>
    <row r="6" spans="1:8" s="28" customFormat="1" x14ac:dyDescent="0.2">
      <c r="A6" s="54">
        <v>42979</v>
      </c>
      <c r="B6" s="83">
        <v>1377.62</v>
      </c>
      <c r="C6" s="84">
        <v>2446.4499999999998</v>
      </c>
      <c r="D6" s="61"/>
      <c r="E6" s="88">
        <v>0</v>
      </c>
      <c r="F6" s="83">
        <f>B6-C6</f>
        <v>-1068.83</v>
      </c>
      <c r="G6" s="69"/>
    </row>
    <row r="7" spans="1:8" s="28" customFormat="1" x14ac:dyDescent="0.2">
      <c r="A7" s="54">
        <v>43009</v>
      </c>
      <c r="B7" s="83">
        <v>1374.68</v>
      </c>
      <c r="C7" s="84">
        <v>2562.5300000000002</v>
      </c>
      <c r="D7" s="61"/>
      <c r="E7" s="88"/>
      <c r="F7" s="83">
        <f>B7-C7</f>
        <v>-1187.8500000000001</v>
      </c>
      <c r="G7" s="69"/>
    </row>
    <row r="8" spans="1:8" s="28" customFormat="1" x14ac:dyDescent="0.2">
      <c r="A8" s="54">
        <v>43040</v>
      </c>
      <c r="B8" s="83">
        <v>1350.48</v>
      </c>
      <c r="C8" s="84">
        <v>2282.19</v>
      </c>
      <c r="D8" s="61"/>
      <c r="E8" s="88"/>
      <c r="F8" s="83">
        <f>B8-C8</f>
        <v>-931.71</v>
      </c>
      <c r="G8" s="69"/>
    </row>
    <row r="9" spans="1:8" s="28" customFormat="1" x14ac:dyDescent="0.2">
      <c r="A9" s="54">
        <v>43070</v>
      </c>
      <c r="B9" s="83">
        <v>1385.16</v>
      </c>
      <c r="C9" s="84">
        <v>1160.83</v>
      </c>
      <c r="D9" s="61"/>
      <c r="E9" s="88"/>
      <c r="F9" s="83">
        <f>B9-C9</f>
        <v>224.33000000000015</v>
      </c>
      <c r="G9" s="69"/>
    </row>
    <row r="10" spans="1:8" ht="15" x14ac:dyDescent="0.2">
      <c r="A10" s="92" t="s">
        <v>16</v>
      </c>
      <c r="B10" s="93">
        <v>1374.06</v>
      </c>
      <c r="C10" s="94">
        <v>1175.3900000000001</v>
      </c>
      <c r="D10" s="95"/>
      <c r="E10" s="94">
        <v>513.63</v>
      </c>
      <c r="F10" s="93">
        <v>0</v>
      </c>
      <c r="G10" s="96" t="s">
        <v>17</v>
      </c>
      <c r="H10" s="81"/>
    </row>
    <row r="11" spans="1:8" x14ac:dyDescent="0.2">
      <c r="A11" s="54">
        <v>43101</v>
      </c>
      <c r="B11" s="85">
        <v>1378.51</v>
      </c>
      <c r="C11" s="84">
        <v>38.69</v>
      </c>
      <c r="D11" s="62"/>
      <c r="E11" s="89"/>
      <c r="F11" s="90">
        <f>B11-C11</f>
        <v>1339.82</v>
      </c>
      <c r="G11" s="7"/>
    </row>
    <row r="12" spans="1:8" x14ac:dyDescent="0.2">
      <c r="A12" s="54">
        <v>43132</v>
      </c>
      <c r="B12" s="85"/>
      <c r="C12" s="84"/>
      <c r="D12" s="62"/>
      <c r="E12" s="89"/>
      <c r="F12" s="90"/>
      <c r="G12" s="7"/>
    </row>
    <row r="13" spans="1:8" x14ac:dyDescent="0.2">
      <c r="A13" s="54">
        <v>43160</v>
      </c>
      <c r="B13" s="85"/>
      <c r="C13" s="84"/>
      <c r="D13" s="62">
        <v>415.71</v>
      </c>
      <c r="E13" s="89"/>
      <c r="F13" s="90"/>
      <c r="G13" s="7"/>
    </row>
    <row r="14" spans="1:8" x14ac:dyDescent="0.2">
      <c r="A14" s="54"/>
      <c r="B14" s="85"/>
      <c r="C14" s="84"/>
      <c r="D14" s="62"/>
      <c r="E14" s="89"/>
      <c r="F14" s="90"/>
      <c r="G14" s="7"/>
    </row>
    <row r="15" spans="1:8" s="1" customFormat="1" x14ac:dyDescent="0.2">
      <c r="A15" s="55" t="s">
        <v>6</v>
      </c>
      <c r="B15" s="86">
        <f>SUM(B4:B11)</f>
        <v>12693.2</v>
      </c>
      <c r="C15" s="87">
        <f>SUM(C4:C11)</f>
        <v>11254.67</v>
      </c>
      <c r="D15" s="63">
        <f>SUM(D4:D10)</f>
        <v>0</v>
      </c>
      <c r="E15" s="91"/>
      <c r="F15" s="86">
        <f>SUM(F5:F11)</f>
        <v>-1624.2400000000005</v>
      </c>
      <c r="G15" s="70"/>
    </row>
    <row r="16" spans="1:8" s="1" customFormat="1" x14ac:dyDescent="0.2">
      <c r="A16" s="56"/>
      <c r="B16" s="48"/>
      <c r="C16" s="49"/>
      <c r="D16" s="49"/>
      <c r="E16" s="49"/>
      <c r="F16" s="49"/>
      <c r="G16" s="70"/>
      <c r="H16" s="82">
        <f>B15-C15</f>
        <v>1438.5300000000007</v>
      </c>
    </row>
    <row r="17" spans="1:8" x14ac:dyDescent="0.2">
      <c r="A17" s="58"/>
      <c r="B17" s="7"/>
      <c r="C17" s="71"/>
      <c r="D17" s="71"/>
      <c r="E17" s="71"/>
      <c r="F17" s="71"/>
      <c r="G17" s="9"/>
    </row>
    <row r="18" spans="1:8" x14ac:dyDescent="0.2">
      <c r="A18" s="109" t="s">
        <v>7</v>
      </c>
      <c r="B18" s="109"/>
      <c r="C18" s="109"/>
      <c r="D18" s="72"/>
      <c r="E18" s="72"/>
      <c r="F18" s="72"/>
      <c r="G18" s="13"/>
      <c r="H18" s="9"/>
    </row>
    <row r="19" spans="1:8" x14ac:dyDescent="0.2">
      <c r="A19" s="72"/>
      <c r="B19" s="73"/>
      <c r="C19" s="73"/>
      <c r="D19" s="73"/>
      <c r="E19" s="73"/>
      <c r="F19" s="73"/>
      <c r="G19" s="13"/>
      <c r="H19" s="9"/>
    </row>
    <row r="20" spans="1:8" x14ac:dyDescent="0.2">
      <c r="A20" s="79" t="s">
        <v>8</v>
      </c>
      <c r="B20" s="80"/>
      <c r="C20" s="74"/>
      <c r="D20" s="74"/>
      <c r="E20" s="75"/>
      <c r="F20" s="75"/>
      <c r="G20" s="13"/>
      <c r="H20" s="7"/>
    </row>
    <row r="21" spans="1:8" x14ac:dyDescent="0.2">
      <c r="A21" s="79" t="s">
        <v>8</v>
      </c>
      <c r="B21" s="80"/>
      <c r="C21" s="74"/>
      <c r="D21" s="74"/>
      <c r="E21" s="76"/>
      <c r="F21" s="76"/>
      <c r="G21" s="13"/>
      <c r="H21" s="7"/>
    </row>
    <row r="22" spans="1:8" x14ac:dyDescent="0.2">
      <c r="A22" s="79" t="s">
        <v>8</v>
      </c>
      <c r="B22" s="80"/>
      <c r="C22" s="74"/>
      <c r="D22" s="74"/>
      <c r="E22" s="77"/>
      <c r="F22" s="77"/>
      <c r="G22" s="13"/>
      <c r="H22" s="7"/>
    </row>
    <row r="23" spans="1:8" ht="12" customHeight="1" x14ac:dyDescent="0.2">
      <c r="A23" s="79" t="s">
        <v>8</v>
      </c>
      <c r="B23" s="80"/>
      <c r="C23" s="74"/>
      <c r="D23" s="74"/>
      <c r="E23" s="74"/>
      <c r="F23" s="74"/>
      <c r="G23" s="7"/>
      <c r="H23" s="7"/>
    </row>
    <row r="24" spans="1:8" ht="18" customHeight="1" x14ac:dyDescent="0.2">
      <c r="A24" s="109" t="s">
        <v>9</v>
      </c>
      <c r="B24" s="109"/>
      <c r="C24" s="74">
        <f>SUM(C20:C23)</f>
        <v>0</v>
      </c>
      <c r="D24" s="74"/>
      <c r="E24" s="74"/>
      <c r="F24" s="74"/>
      <c r="G24" s="7"/>
      <c r="H24" s="7"/>
    </row>
    <row r="25" spans="1:8" ht="7.5" customHeight="1" x14ac:dyDescent="0.2">
      <c r="A25" s="72"/>
      <c r="B25" s="73"/>
      <c r="C25" s="73"/>
      <c r="D25" s="73"/>
      <c r="E25" s="73"/>
      <c r="F25" s="73"/>
      <c r="G25" s="7"/>
    </row>
    <row r="26" spans="1:8" hidden="1" x14ac:dyDescent="0.2">
      <c r="A26" s="72"/>
      <c r="B26" s="73"/>
      <c r="C26" s="73"/>
      <c r="D26" s="73"/>
      <c r="E26" s="73"/>
      <c r="F26" s="73"/>
      <c r="G26" s="7"/>
    </row>
    <row r="27" spans="1:8" ht="15" x14ac:dyDescent="0.25">
      <c r="A27" s="110" t="s">
        <v>10</v>
      </c>
      <c r="B27" s="110"/>
      <c r="C27" s="78"/>
      <c r="D27" s="78"/>
      <c r="E27" s="78"/>
      <c r="F27" s="78"/>
      <c r="G27" s="7"/>
    </row>
    <row r="28" spans="1:8" ht="15" x14ac:dyDescent="0.25">
      <c r="A28" s="15"/>
      <c r="B28" s="15"/>
      <c r="C28" s="16"/>
      <c r="D28" s="16"/>
      <c r="E28" s="16"/>
      <c r="F28" s="16"/>
      <c r="G28" s="7"/>
    </row>
    <row r="29" spans="1:8" x14ac:dyDescent="0.2">
      <c r="A29" s="57"/>
      <c r="B29" s="24"/>
      <c r="C29" s="24"/>
      <c r="D29" s="24"/>
      <c r="E29" s="24"/>
      <c r="F29" s="24"/>
      <c r="G29" s="7"/>
    </row>
    <row r="30" spans="1:8" x14ac:dyDescent="0.2">
      <c r="A30" s="97" t="s">
        <v>11</v>
      </c>
      <c r="B30" s="97"/>
      <c r="C30" s="97"/>
      <c r="D30" s="97"/>
      <c r="E30" s="97"/>
      <c r="F30" s="97"/>
      <c r="G30" s="7"/>
    </row>
    <row r="31" spans="1:8" ht="14.25" customHeight="1" x14ac:dyDescent="0.2">
      <c r="A31" s="97"/>
      <c r="B31" s="97"/>
      <c r="C31" s="97"/>
      <c r="D31" s="97"/>
      <c r="E31" s="97"/>
      <c r="F31" s="97"/>
      <c r="G31" s="7"/>
    </row>
    <row r="32" spans="1:8" x14ac:dyDescent="0.2">
      <c r="A32" s="58"/>
      <c r="B32" s="7"/>
      <c r="C32" s="13"/>
      <c r="D32" s="13"/>
      <c r="E32" s="13"/>
      <c r="F32" s="13"/>
      <c r="G32" s="7"/>
    </row>
    <row r="33" spans="1:8" x14ac:dyDescent="0.2">
      <c r="A33" s="97"/>
      <c r="B33" s="98"/>
      <c r="C33" s="98"/>
      <c r="D33" s="98"/>
      <c r="E33" s="98"/>
      <c r="F33" s="98"/>
      <c r="G33" s="7"/>
    </row>
    <row r="34" spans="1:8" x14ac:dyDescent="0.2">
      <c r="A34" s="98"/>
      <c r="B34" s="98"/>
      <c r="C34" s="98"/>
      <c r="D34" s="98"/>
      <c r="E34" s="98"/>
      <c r="F34" s="98"/>
      <c r="G34" s="7"/>
    </row>
    <row r="35" spans="1:8" x14ac:dyDescent="0.2">
      <c r="A35" s="98"/>
      <c r="B35" s="98"/>
      <c r="C35" s="98"/>
      <c r="D35" s="98"/>
      <c r="E35" s="98"/>
      <c r="F35" s="98"/>
      <c r="G35" s="7"/>
    </row>
    <row r="36" spans="1:8" x14ac:dyDescent="0.2">
      <c r="A36" s="98"/>
      <c r="B36" s="98"/>
      <c r="C36" s="98"/>
      <c r="D36" s="98"/>
      <c r="E36" s="98"/>
      <c r="F36" s="98"/>
      <c r="G36" s="7"/>
    </row>
    <row r="37" spans="1:8" ht="15" customHeight="1" x14ac:dyDescent="0.2">
      <c r="A37" s="98"/>
      <c r="B37" s="98"/>
      <c r="C37" s="98"/>
      <c r="D37" s="98"/>
      <c r="E37" s="98"/>
      <c r="F37" s="98"/>
      <c r="G37" s="7"/>
    </row>
    <row r="38" spans="1:8" x14ac:dyDescent="0.2">
      <c r="A38" s="58"/>
      <c r="B38" s="7"/>
      <c r="C38" s="13"/>
      <c r="D38" s="13"/>
      <c r="E38" s="13"/>
      <c r="F38" s="13"/>
      <c r="G38" s="7"/>
    </row>
    <row r="39" spans="1:8" x14ac:dyDescent="0.2">
      <c r="A39" s="58"/>
      <c r="B39" s="7"/>
      <c r="C39" s="13"/>
      <c r="D39" s="13"/>
      <c r="E39" s="13"/>
      <c r="F39" s="13"/>
      <c r="G39" s="7"/>
    </row>
    <row r="40" spans="1:8" x14ac:dyDescent="0.2">
      <c r="A40" s="59"/>
      <c r="B40" s="17"/>
      <c r="C40" s="18"/>
      <c r="D40" s="18"/>
      <c r="E40" s="18"/>
      <c r="F40" s="18"/>
      <c r="G40" s="17"/>
    </row>
    <row r="41" spans="1:8" x14ac:dyDescent="0.2">
      <c r="A41" s="59"/>
      <c r="B41" s="17"/>
      <c r="C41" s="18"/>
      <c r="D41" s="18"/>
      <c r="E41" s="18"/>
      <c r="F41" s="18"/>
      <c r="G41" s="19"/>
    </row>
    <row r="42" spans="1:8" x14ac:dyDescent="0.2">
      <c r="A42" s="59"/>
      <c r="B42" s="17"/>
      <c r="C42" s="18"/>
      <c r="D42" s="18"/>
      <c r="E42" s="18"/>
      <c r="F42" s="18"/>
      <c r="G42" s="19"/>
    </row>
    <row r="43" spans="1:8" x14ac:dyDescent="0.2">
      <c r="A43" s="59"/>
      <c r="B43" s="20"/>
      <c r="C43" s="23"/>
      <c r="D43" s="23"/>
      <c r="E43" s="23"/>
      <c r="F43" s="23"/>
      <c r="G43" s="17"/>
      <c r="H43" s="7"/>
    </row>
    <row r="44" spans="1:8" x14ac:dyDescent="0.2">
      <c r="A44" s="59"/>
      <c r="B44" s="17"/>
      <c r="C44" s="17"/>
      <c r="D44" s="17"/>
      <c r="E44" s="17"/>
      <c r="F44" s="17"/>
      <c r="G44" s="19"/>
    </row>
    <row r="45" spans="1:8" ht="15" x14ac:dyDescent="0.25">
      <c r="A45" s="60"/>
      <c r="B45" s="21"/>
      <c r="C45" s="22"/>
      <c r="D45" s="22"/>
      <c r="E45" s="22"/>
      <c r="F45" s="22"/>
      <c r="G45" s="19"/>
    </row>
    <row r="46" spans="1:8" x14ac:dyDescent="0.2">
      <c r="A46" s="59"/>
      <c r="B46" s="17"/>
      <c r="C46" s="17"/>
      <c r="D46" s="17"/>
      <c r="E46" s="17"/>
      <c r="F46" s="17"/>
      <c r="G46" s="19"/>
    </row>
  </sheetData>
  <mergeCells count="7">
    <mergeCell ref="A33:F37"/>
    <mergeCell ref="A1:C1"/>
    <mergeCell ref="B2:F2"/>
    <mergeCell ref="A18:C18"/>
    <mergeCell ref="A24:B24"/>
    <mergeCell ref="A27:B27"/>
    <mergeCell ref="A30:F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EXEMPLO1</vt:lpstr>
      <vt:lpstr>COLEGIO 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Vander</cp:lastModifiedBy>
  <cp:revision/>
  <dcterms:created xsi:type="dcterms:W3CDTF">1997-01-10T22:22:50Z</dcterms:created>
  <dcterms:modified xsi:type="dcterms:W3CDTF">2018-04-04T17:28:47Z</dcterms:modified>
</cp:coreProperties>
</file>