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defaultThemeVersion="124226"/>
  <xr:revisionPtr revIDLastSave="0" documentId="10_ncr:8100000_{75B74B07-8D9E-4F73-B64E-5EF2144BB187}" xr6:coauthVersionLast="33" xr6:coauthVersionMax="33" xr10:uidLastSave="{00000000-0000-0000-0000-000000000000}"/>
  <bookViews>
    <workbookView xWindow="0" yWindow="0" windowWidth="19200" windowHeight="11085" firstSheet="9" activeTab="14" xr2:uid="{00000000-000D-0000-FFFF-FFFF00000000}"/>
  </bookViews>
  <sheets>
    <sheet name="índice" sheetId="22" r:id="rId1"/>
    <sheet name="Operadores" sheetId="13" r:id="rId2"/>
    <sheet name="Adição" sheetId="3" r:id="rId3"/>
    <sheet name="Subtração" sheetId="4" r:id="rId4"/>
    <sheet name="Multiplicação" sheetId="5" r:id="rId5"/>
    <sheet name="Divisão" sheetId="6" r:id="rId6"/>
    <sheet name="Porcentagem" sheetId="7" r:id="rId7"/>
    <sheet name="Valor do Imposto" sheetId="14" r:id="rId8"/>
    <sheet name="Valor da Compra" sheetId="15" r:id="rId9"/>
    <sheet name="Diferença Entre Dois Valores" sheetId="16" r:id="rId10"/>
    <sheet name="Taxa Aplicada" sheetId="17" r:id="rId11"/>
    <sheet name="EX1" sheetId="18" r:id="rId12"/>
    <sheet name="EX2" sheetId="19" r:id="rId13"/>
    <sheet name="EX3" sheetId="20" r:id="rId14"/>
    <sheet name="EX4" sheetId="21" r:id="rId15"/>
  </sheets>
  <externalReferences>
    <externalReference r:id="rId16"/>
  </externalReferences>
  <definedNames>
    <definedName name="a" localSheetId="11" hidden="1">{"azul",#N/A,FALSE,"geral";"verde",#N/A,FALSE,"geral";"vermelho",#N/A,FALSE,"geral"}</definedName>
    <definedName name="a" localSheetId="12" hidden="1">{"azul",#N/A,FALSE,"geral";"verde",#N/A,FALSE,"geral";"vermelho",#N/A,FALSE,"geral"}</definedName>
    <definedName name="a" localSheetId="13" hidden="1">{"azul",#N/A,FALSE,"geral";"verde",#N/A,FALSE,"geral";"vermelho",#N/A,FALSE,"geral"}</definedName>
    <definedName name="a" localSheetId="14" hidden="1">{"azul",#N/A,FALSE,"geral";"verde",#N/A,FALSE,"geral";"vermelho",#N/A,FALSE,"geral"}</definedName>
    <definedName name="a" hidden="1">{"azul",#N/A,FALSE,"geral";"verde",#N/A,FALSE,"geral";"vermelho",#N/A,FALSE,"geral"}</definedName>
    <definedName name="aaaaaaaaaaa" hidden="1">{"azul",#N/A,FALSE,"geral";"verde",#N/A,FALSE,"geral";"vermelho",#N/A,FALSE,"geral"}</definedName>
    <definedName name="anscount" hidden="1">5</definedName>
    <definedName name="b" localSheetId="11" hidden="1">{"azul",#N/A,FALSE,"geral";"verde",#N/A,FALSE,"geral";"vermelho",#N/A,FALSE,"geral"}</definedName>
    <definedName name="b" localSheetId="12" hidden="1">{"azul",#N/A,FALSE,"geral";"verde",#N/A,FALSE,"geral";"vermelho",#N/A,FALSE,"geral"}</definedName>
    <definedName name="b" localSheetId="13" hidden="1">{"azul",#N/A,FALSE,"geral";"verde",#N/A,FALSE,"geral";"vermelho",#N/A,FALSE,"geral"}</definedName>
    <definedName name="b" localSheetId="14" hidden="1">{"azul",#N/A,FALSE,"geral";"verde",#N/A,FALSE,"geral";"vermelho",#N/A,FALSE,"geral"}</definedName>
    <definedName name="b" hidden="1">{"azul",#N/A,FALSE,"geral";"verde",#N/A,FALSE,"geral";"vermelho",#N/A,FALSE,"geral"}</definedName>
    <definedName name="ba" localSheetId="11" hidden="1">{"azul",#N/A,FALSE,"geral";"verde",#N/A,FALSE,"geral";"vermelho",#N/A,FALSE,"geral"}</definedName>
    <definedName name="ba" localSheetId="12" hidden="1">{"azul",#N/A,FALSE,"geral";"verde",#N/A,FALSE,"geral";"vermelho",#N/A,FALSE,"geral"}</definedName>
    <definedName name="ba" localSheetId="13" hidden="1">{"azul",#N/A,FALSE,"geral";"verde",#N/A,FALSE,"geral";"vermelho",#N/A,FALSE,"geral"}</definedName>
    <definedName name="ba" localSheetId="14" hidden="1">{"azul",#N/A,FALSE,"geral";"verde",#N/A,FALSE,"geral";"vermelho",#N/A,FALSE,"geral"}</definedName>
    <definedName name="ba" hidden="1">{"azul",#N/A,FALSE,"geral";"verde",#N/A,FALSE,"geral";"vermelho",#N/A,FALSE,"geral"}</definedName>
    <definedName name="CategoriaOrçamentária">[1]!PesquisaCategoriaOrçamentária[Pesquisa de Categoria Orçamentária]</definedName>
    <definedName name="conf" localSheetId="11" hidden="1">{"azul",#N/A,FALSE,"geral";"verde",#N/A,FALSE,"geral";"vermelho",#N/A,FALSE,"geral"}</definedName>
    <definedName name="conf" localSheetId="12" hidden="1">{"azul",#N/A,FALSE,"geral";"verde",#N/A,FALSE,"geral";"vermelho",#N/A,FALSE,"geral"}</definedName>
    <definedName name="conf" localSheetId="13" hidden="1">{"azul",#N/A,FALSE,"geral";"verde",#N/A,FALSE,"geral";"vermelho",#N/A,FALSE,"geral"}</definedName>
    <definedName name="conf" localSheetId="14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localSheetId="11" hidden="1">{"azul",#N/A,FALSE,"geral";"verde",#N/A,FALSE,"geral";"vermelho",#N/A,FALSE,"geral"}</definedName>
    <definedName name="conf1" localSheetId="12" hidden="1">{"azul",#N/A,FALSE,"geral";"verde",#N/A,FALSE,"geral";"vermelho",#N/A,FALSE,"geral"}</definedName>
    <definedName name="conf1" localSheetId="13" hidden="1">{"azul",#N/A,FALSE,"geral";"verde",#N/A,FALSE,"geral";"vermelho",#N/A,FALSE,"geral"}</definedName>
    <definedName name="conf1" localSheetId="14" hidden="1">{"azul",#N/A,FALSE,"geral";"verde",#N/A,FALSE,"geral";"vermelho",#N/A,FALSE,"geral"}</definedName>
    <definedName name="conf1" hidden="1">{"azul",#N/A,FALSE,"geral";"verde",#N/A,FALSE,"geral";"vermelho",#N/A,FALSE,"geral"}</definedName>
    <definedName name="d" localSheetId="11" hidden="1">{"azul",#N/A,FALSE,"geral";"verde",#N/A,FALSE,"geral";"vermelho",#N/A,FALSE,"geral"}</definedName>
    <definedName name="d" localSheetId="12" hidden="1">{"azul",#N/A,FALSE,"geral";"verde",#N/A,FALSE,"geral";"vermelho",#N/A,FALSE,"geral"}</definedName>
    <definedName name="d" localSheetId="13" hidden="1">{"azul",#N/A,FALSE,"geral";"verde",#N/A,FALSE,"geral";"vermelho",#N/A,FALSE,"geral"}</definedName>
    <definedName name="d" localSheetId="14" hidden="1">{"azul",#N/A,FALSE,"geral";"verde",#N/A,FALSE,"geral";"vermelho",#N/A,FALSE,"geral"}</definedName>
    <definedName name="d" hidden="1">{"azul",#N/A,FALSE,"geral";"verde",#N/A,FALSE,"geral";"vermelho",#N/A,FALSE,"geral"}</definedName>
    <definedName name="da" localSheetId="11" hidden="1">{"azul",#N/A,FALSE,"geral";"verde",#N/A,FALSE,"geral";"vermelho",#N/A,FALSE,"geral"}</definedName>
    <definedName name="da" localSheetId="12" hidden="1">{"azul",#N/A,FALSE,"geral";"verde",#N/A,FALSE,"geral";"vermelho",#N/A,FALSE,"geral"}</definedName>
    <definedName name="da" localSheetId="13" hidden="1">{"azul",#N/A,FALSE,"geral";"verde",#N/A,FALSE,"geral";"vermelho",#N/A,FALSE,"geral"}</definedName>
    <definedName name="da" localSheetId="14" hidden="1">{"azul",#N/A,FALSE,"geral";"verde",#N/A,FALSE,"geral";"vermelho",#N/A,FALSE,"geral"}</definedName>
    <definedName name="da" hidden="1">{"azul",#N/A,FALSE,"geral";"verde",#N/A,FALSE,"geral";"vermelho",#N/A,FALSE,"geral"}</definedName>
    <definedName name="DFDFD" localSheetId="11" hidden="1">{#N/A,"Médio",TRUE,"Plan30";"3º Trimestre Geral",#N/A,TRUE,"1º Trimestre"}</definedName>
    <definedName name="DFDFD" localSheetId="12" hidden="1">{#N/A,"Médio",TRUE,"Plan30";"3º Trimestre Geral",#N/A,TRUE,"1º Trimestre"}</definedName>
    <definedName name="DFDFD" localSheetId="13" hidden="1">{#N/A,"Médio",TRUE,"Plan30";"3º Trimestre Geral",#N/A,TRUE,"1º Trimestre"}</definedName>
    <definedName name="DFDFD" localSheetId="14" hidden="1">{#N/A,"Médio",TRUE,"Plan30";"3º Trimestre Geral",#N/A,TRUE,"1º Trimestre"}</definedName>
    <definedName name="DFDFD" hidden="1">{#N/A,"Médio",TRUE,"Plan30";"3º Trimestre Geral",#N/A,TRUE,"1º Trimestre"}</definedName>
    <definedName name="e" localSheetId="11" hidden="1">{"azul",#N/A,FALSE,"geral";"verde",#N/A,FALSE,"geral";"vermelho",#N/A,FALSE,"geral"}</definedName>
    <definedName name="e" localSheetId="12" hidden="1">{"azul",#N/A,FALSE,"geral";"verde",#N/A,FALSE,"geral";"vermelho",#N/A,FALSE,"geral"}</definedName>
    <definedName name="e" localSheetId="13" hidden="1">{"azul",#N/A,FALSE,"geral";"verde",#N/A,FALSE,"geral";"vermelho",#N/A,FALSE,"geral"}</definedName>
    <definedName name="e" localSheetId="14" hidden="1">{"azul",#N/A,FALSE,"geral";"verde",#N/A,FALSE,"geral";"vermelho",#N/A,FALSE,"geral"}</definedName>
    <definedName name="e" hidden="1">{"azul",#N/A,FALSE,"geral";"verde",#N/A,FALSE,"geral";"vermelho",#N/A,FALSE,"geral"}</definedName>
    <definedName name="ea" localSheetId="11" hidden="1">{"azul",#N/A,FALSE,"geral";"verde",#N/A,FALSE,"geral";"vermelho",#N/A,FALSE,"geral"}</definedName>
    <definedName name="ea" localSheetId="12" hidden="1">{"azul",#N/A,FALSE,"geral";"verde",#N/A,FALSE,"geral";"vermelho",#N/A,FALSE,"geral"}</definedName>
    <definedName name="ea" localSheetId="13" hidden="1">{"azul",#N/A,FALSE,"geral";"verde",#N/A,FALSE,"geral";"vermelho",#N/A,FALSE,"geral"}</definedName>
    <definedName name="ea" localSheetId="14" hidden="1">{"azul",#N/A,FALSE,"geral";"verde",#N/A,FALSE,"geral";"vermelho",#N/A,FALSE,"geral"}</definedName>
    <definedName name="ea" hidden="1">{"azul",#N/A,FALSE,"geral";"verde",#N/A,FALSE,"geral";"vermelho",#N/A,FALSE,"geral"}</definedName>
    <definedName name="EXER" localSheetId="11" hidden="1">{"azul",#N/A,FALSE,"geral";"verde",#N/A,FALSE,"geral";"vermelho",#N/A,FALSE,"geral"}</definedName>
    <definedName name="EXER" localSheetId="12" hidden="1">{"azul",#N/A,FALSE,"geral";"verde",#N/A,FALSE,"geral";"vermelho",#N/A,FALSE,"geral"}</definedName>
    <definedName name="EXER" localSheetId="13" hidden="1">{"azul",#N/A,FALSE,"geral";"verde",#N/A,FALSE,"geral";"vermelho",#N/A,FALSE,"geral"}</definedName>
    <definedName name="EXER" localSheetId="14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localSheetId="11" hidden="1">{"azul",#N/A,FALSE,"geral";"verde",#N/A,FALSE,"geral";"vermelho",#N/A,FALSE,"geral"}</definedName>
    <definedName name="exercicio2" localSheetId="12" hidden="1">{"azul",#N/A,FALSE,"geral";"verde",#N/A,FALSE,"geral";"vermelho",#N/A,FALSE,"geral"}</definedName>
    <definedName name="exercicio2" localSheetId="13" hidden="1">{"azul",#N/A,FALSE,"geral";"verde",#N/A,FALSE,"geral";"vermelho",#N/A,FALSE,"geral"}</definedName>
    <definedName name="exercicio2" localSheetId="14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g" localSheetId="11" hidden="1">{"normal","argentina",FALSE,"cenários e solver";#N/A,#N/A,FALSE,"banco de dados"}</definedName>
    <definedName name="g" localSheetId="12" hidden="1">{"normal","argentina",FALSE,"cenários e solver";#N/A,#N/A,FALSE,"banco de dados"}</definedName>
    <definedName name="g" localSheetId="13" hidden="1">{"normal","argentina",FALSE,"cenários e solver";#N/A,#N/A,FALSE,"banco de dados"}</definedName>
    <definedName name="g" localSheetId="14" hidden="1">{"normal","argentina",FALSE,"cenários e solver";#N/A,#N/A,FALSE,"banco de dados"}</definedName>
    <definedName name="g" hidden="1">{"normal","argentina",FALSE,"cenários e solver";#N/A,#N/A,FALSE,"banco de dados"}</definedName>
    <definedName name="limcount" hidden="1">1</definedName>
    <definedName name="Resumo" localSheetId="11" hidden="1">{"azul",#N/A,FALSE,"geral";"verde",#N/A,FALSE,"geral";"vermelho",#N/A,FALSE,"geral"}</definedName>
    <definedName name="Resumo" localSheetId="12" hidden="1">{"azul",#N/A,FALSE,"geral";"verde",#N/A,FALSE,"geral";"vermelho",#N/A,FALSE,"geral"}</definedName>
    <definedName name="Resumo" localSheetId="13" hidden="1">{"azul",#N/A,FALSE,"geral";"verde",#N/A,FALSE,"geral";"vermelho",#N/A,FALSE,"geral"}</definedName>
    <definedName name="Resumo" localSheetId="14" hidden="1">{"azul",#N/A,FALSE,"geral";"verde",#N/A,FALSE,"geral";"vermelho",#N/A,FALSE,"geral"}</definedName>
    <definedName name="Resumo" hidden="1">{"azul",#N/A,FALSE,"geral";"verde",#N/A,FALSE,"geral";"vermelho",#N/A,FALSE,"geral"}</definedName>
    <definedName name="resumoa" localSheetId="11" hidden="1">{"azul",#N/A,FALSE,"geral";"verde",#N/A,FALSE,"geral";"vermelho",#N/A,FALSE,"geral"}</definedName>
    <definedName name="resumoa" localSheetId="12" hidden="1">{"azul",#N/A,FALSE,"geral";"verde",#N/A,FALSE,"geral";"vermelho",#N/A,FALSE,"geral"}</definedName>
    <definedName name="resumoa" localSheetId="13" hidden="1">{"azul",#N/A,FALSE,"geral";"verde",#N/A,FALSE,"geral";"vermelho",#N/A,FALSE,"geral"}</definedName>
    <definedName name="resumoa" localSheetId="14" hidden="1">{"azul",#N/A,FALSE,"geral";"verde",#N/A,FALSE,"geral";"vermelho",#N/A,FALSE,"geral"}</definedName>
    <definedName name="resumoa" hidden="1">{"azul",#N/A,FALSE,"geral";"verde",#N/A,FALSE,"geral";"vermelho",#N/A,FALSE,"geral"}</definedName>
    <definedName name="sencount" hidden="1">1</definedName>
    <definedName name="solver_lhs0" hidden="1">#REF!</definedName>
    <definedName name="solver_lhs10" hidden="1">#REF!</definedName>
    <definedName name="solver_lhs11" hidden="1">#REF!</definedName>
    <definedName name="solver_lhs12" hidden="1">#REF!</definedName>
    <definedName name="solver_lhs7" hidden="1">#REF!</definedName>
    <definedName name="solver_lhs8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hidden="1">#REF!</definedName>
    <definedName name="solver_rhs11" localSheetId="11" hidden="1">número</definedName>
    <definedName name="solver_rhs11" localSheetId="12" hidden="1">número</definedName>
    <definedName name="solver_rhs11" localSheetId="13" hidden="1">número</definedName>
    <definedName name="solver_rhs11" localSheetId="14" hidden="1">número</definedName>
    <definedName name="solver_rhs11" hidden="1">número</definedName>
    <definedName name="solver_rhs12" localSheetId="11" hidden="1">número</definedName>
    <definedName name="solver_rhs12" localSheetId="12" hidden="1">número</definedName>
    <definedName name="solver_rhs12" localSheetId="13" hidden="1">número</definedName>
    <definedName name="solver_rhs12" localSheetId="14" hidden="1">número</definedName>
    <definedName name="solver_rhs12" hidden="1">número</definedName>
    <definedName name="solver_rhs7" hidden="1">#REF!</definedName>
    <definedName name="solver_rhs8" hidden="1">#REF!</definedName>
    <definedName name="solver_rhs9" hidden="1">#REF!</definedName>
    <definedName name="solver_tmp" hidden="1">0</definedName>
    <definedName name="teste" localSheetId="11" hidden="1">{"normal","argentina",FALSE,"cenários e solver";#N/A,#N/A,FALSE,"banco de dados"}</definedName>
    <definedName name="teste" localSheetId="12" hidden="1">{"normal","argentina",FALSE,"cenários e solver";#N/A,#N/A,FALSE,"banco de dados"}</definedName>
    <definedName name="teste" localSheetId="13" hidden="1">{"normal","argentina",FALSE,"cenários e solver";#N/A,#N/A,FALSE,"banco de dados"}</definedName>
    <definedName name="teste" localSheetId="14" hidden="1">{"normal","argentina",FALSE,"cenários e solver";#N/A,#N/A,FALSE,"banco de dados"}</definedName>
    <definedName name="teste" hidden="1">{"normal","argentina",FALSE,"cenários e solver";#N/A,#N/A,FALSE,"banco de dados"}</definedName>
    <definedName name="v" localSheetId="11" hidden="1">{"normal","argentina",FALSE,"cenários e solver";#N/A,#N/A,FALSE,"banco de dados"}</definedName>
    <definedName name="v" localSheetId="12" hidden="1">{"normal","argentina",FALSE,"cenários e solver";#N/A,#N/A,FALSE,"banco de dados"}</definedName>
    <definedName name="v" localSheetId="13" hidden="1">{"normal","argentina",FALSE,"cenários e solver";#N/A,#N/A,FALSE,"banco de dados"}</definedName>
    <definedName name="v" localSheetId="14" hidden="1">{"normal","argentina",FALSE,"cenários e solver";#N/A,#N/A,FALSE,"banco de dados"}</definedName>
    <definedName name="v" hidden="1">{"normal","argentina",FALSE,"cenários e solver";#N/A,#N/A,FALSE,"banco de dados"}</definedName>
    <definedName name="vandasa" localSheetId="11" hidden="1">{"Normal","receita baixa",TRUE,"CENÁRIO ATUAL";"Linhas de Totais","despesa alta",TRUE,"CENÁRIO ATUAL";"Primeiros Meses","despesa baixa",TRUE,"CENÁRIO ATUAL";"Últimos Meses","receita alta",TRUE,"CENÁRIO ATUAL"}</definedName>
    <definedName name="vandasa" localSheetId="12" hidden="1">{"Normal","receita baixa",TRUE,"CENÁRIO ATUAL";"Linhas de Totais","despesa alta",TRUE,"CENÁRIO ATUAL";"Primeiros Meses","despesa baixa",TRUE,"CENÁRIO ATUAL";"Últimos Meses","receita alta",TRUE,"CENÁRIO ATUAL"}</definedName>
    <definedName name="vandasa" localSheetId="13" hidden="1">{"Normal","receita baixa",TRUE,"CENÁRIO ATUAL";"Linhas de Totais","despesa alta",TRUE,"CENÁRIO ATUAL";"Primeiros Meses","despesa baixa",TRUE,"CENÁRIO ATUAL";"Últimos Meses","receita alta",TRUE,"CENÁRIO ATUAL"}</definedName>
    <definedName name="vandasa" localSheetId="14" hidden="1">{"Normal","receita baixa",TRUE,"CENÁRIO ATUAL";"Linhas de Totais","despesa alta",TRUE,"CENÁRIO ATUAL";"Primeiros Meses","despesa baixa",TRUE,"CENÁRIO ATUAL";"Últimos Meses","receita alta",TRUE,"CENÁRIO ATUAL"}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localSheetId="11" hidden="1">{"Normal","receita baixa",TRUE,"CENÁRIO ATUAL";"Linhas de Totais","despesa alta",TRUE,"CENÁRIO ATUAL";"Primeiros Meses","despesa baixa",TRUE,"CENÁRIO ATUAL";"Últimos Meses","receita alta",TRUE,"CENÁRIO ATUAL"}</definedName>
    <definedName name="Vendas" localSheetId="12" hidden="1">{"Normal","receita baixa",TRUE,"CENÁRIO ATUAL";"Linhas de Totais","despesa alta",TRUE,"CENÁRIO ATUAL";"Primeiros Meses","despesa baixa",TRUE,"CENÁRIO ATUAL";"Últimos Meses","receita alta",TRUE,"CENÁRIO ATUAL"}</definedName>
    <definedName name="Vendas" localSheetId="13" hidden="1">{"Normal","receita baixa",TRUE,"CENÁRIO ATUAL";"Linhas de Totais","despesa alta",TRUE,"CENÁRIO ATUAL";"Primeiros Meses","despesa baixa",TRUE,"CENÁRIO ATUAL";"Últimos Meses","receita alta",TRUE,"CENÁRIO ATUAL"}</definedName>
    <definedName name="Vendas" localSheetId="14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localSheetId="11" hidden="1">{"Normal","receita baixa",TRUE,"CENÁRIO ATUAL";"Linhas de Totais","despesa alta",TRUE,"CENÁRIO ATUAL";"Primeiros Meses","despesa baixa",TRUE,"CENÁRIO ATUAL";"Últimos Meses","receita alta",TRUE,"CENÁRIO ATUAL"}</definedName>
    <definedName name="wrf" localSheetId="12" hidden="1">{"Normal","receita baixa",TRUE,"CENÁRIO ATUAL";"Linhas de Totais","despesa alta",TRUE,"CENÁRIO ATUAL";"Primeiros Meses","despesa baixa",TRUE,"CENÁRIO ATUAL";"Últimos Meses","receita alta",TRUE,"CENÁRIO ATUAL"}</definedName>
    <definedName name="wrf" localSheetId="13" hidden="1">{"Normal","receita baixa",TRUE,"CENÁRIO ATUAL";"Linhas de Totais","despesa alta",TRUE,"CENÁRIO ATUAL";"Primeiros Meses","despesa baixa",TRUE,"CENÁRIO ATUAL";"Últimos Meses","receita alta",TRUE,"CENÁRIO ATUAL"}</definedName>
    <definedName name="wrf" localSheetId="14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localSheetId="11" hidden="1">{#N/A,"Médio",TRUE,"Plan30";"3º Trimestre Geral",#N/A,TRUE,"1º Trimestre"}</definedName>
    <definedName name="wrn.Alfa." localSheetId="12" hidden="1">{#N/A,"Médio",TRUE,"Plan30";"3º Trimestre Geral",#N/A,TRUE,"1º Trimestre"}</definedName>
    <definedName name="wrn.Alfa." localSheetId="13" hidden="1">{#N/A,"Médio",TRUE,"Plan30";"3º Trimestre Geral",#N/A,TRUE,"1º Trimestre"}</definedName>
    <definedName name="wrn.Alfa." localSheetId="14" hidden="1">{#N/A,"Médio",TRUE,"Plan30";"3º Trimestre Geral",#N/A,TRUE,"1º Trimestre"}</definedName>
    <definedName name="wrn.Alfa." hidden="1">{#N/A,"Médio",TRUE,"Plan30";"3º Trimestre Geral",#N/A,TRUE,"1º Trimestre"}</definedName>
    <definedName name="wrn.aula." localSheetId="11" hidden="1">{"azul",#N/A,FALSE,"geral";"verde",#N/A,FALSE,"geral";"vermelho",#N/A,FALSE,"geral"}</definedName>
    <definedName name="wrn.aula." localSheetId="12" hidden="1">{"azul",#N/A,FALSE,"geral";"verde",#N/A,FALSE,"geral";"vermelho",#N/A,FALSE,"geral"}</definedName>
    <definedName name="wrn.aula." localSheetId="13" hidden="1">{"azul",#N/A,FALSE,"geral";"verde",#N/A,FALSE,"geral";"vermelho",#N/A,FALSE,"geral"}</definedName>
    <definedName name="wrn.aula." localSheetId="14" hidden="1">{"azul",#N/A,FALSE,"geral";"verde",#N/A,FALSE,"geral";"vermelho",#N/A,FALSE,"geral"}</definedName>
    <definedName name="wrn.aula." hidden="1">{"azul",#N/A,FALSE,"geral";"verde",#N/A,FALSE,"geral";"vermelho",#N/A,FALSE,"geral"}</definedName>
    <definedName name="wrn.aulaa" localSheetId="11" hidden="1">{"azul",#N/A,FALSE,"geral";"verde",#N/A,FALSE,"geral";"vermelho",#N/A,FALSE,"geral"}</definedName>
    <definedName name="wrn.aulaa" localSheetId="12" hidden="1">{"azul",#N/A,FALSE,"geral";"verde",#N/A,FALSE,"geral";"vermelho",#N/A,FALSE,"geral"}</definedName>
    <definedName name="wrn.aulaa" localSheetId="13" hidden="1">{"azul",#N/A,FALSE,"geral";"verde",#N/A,FALSE,"geral";"vermelho",#N/A,FALSE,"geral"}</definedName>
    <definedName name="wrn.aulaa" localSheetId="14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localSheetId="11" hidden="1">{#N/A,"Bom",FALSE,"Cenario 34"}</definedName>
    <definedName name="wrn.Bom." localSheetId="12" hidden="1">{#N/A,"Bom",FALSE,"Cenario 34"}</definedName>
    <definedName name="wrn.Bom." localSheetId="13" hidden="1">{#N/A,"Bom",FALSE,"Cenario 34"}</definedName>
    <definedName name="wrn.Bom." localSheetId="14" hidden="1">{#N/A,"Bom",FALSE,"Cenario 34"}</definedName>
    <definedName name="wrn.Bom." hidden="1">{#N/A,"Bom",FALSE,"Cenario 34"}</definedName>
    <definedName name="wrn.Colar._.Especial." localSheetId="11" hidden="1">{#N/A,#N/A,FALSE,"Colar especial 11"}</definedName>
    <definedName name="wrn.Colar._.Especial." localSheetId="12" hidden="1">{#N/A,#N/A,FALSE,"Colar especial 11"}</definedName>
    <definedName name="wrn.Colar._.Especial." localSheetId="13" hidden="1">{#N/A,#N/A,FALSE,"Colar especial 11"}</definedName>
    <definedName name="wrn.Colar._.Especial." localSheetId="14" hidden="1">{#N/A,#N/A,FALSE,"Colar especial 11"}</definedName>
    <definedName name="wrn.Colar._.Especial." hidden="1">{#N/A,#N/A,FALSE,"Colar especial 11"}</definedName>
    <definedName name="wrn.fluxo._.de._.caixa." localSheetId="11" hidden="1">{"normal","argentina",FALSE,"cenários e solver";#N/A,#N/A,FALSE,"banco de dados"}</definedName>
    <definedName name="wrn.fluxo._.de._.caixa." localSheetId="12" hidden="1">{"normal","argentina",FALSE,"cenários e solver";#N/A,#N/A,FALSE,"banco de dados"}</definedName>
    <definedName name="wrn.fluxo._.de._.caixa." localSheetId="13" hidden="1">{"normal","argentina",FALSE,"cenários e solver";#N/A,#N/A,FALSE,"banco de dados"}</definedName>
    <definedName name="wrn.fluxo._.de._.caixa." localSheetId="14" hidden="1">{"normal","argentina",FALSE,"cenários e solver";#N/A,#N/A,FALSE,"banco de dados"}</definedName>
    <definedName name="wrn.fluxo._.de._.caixa." hidden="1">{"normal","argentina",FALSE,"cenários e solver";#N/A,#N/A,FALSE,"banco de dados"}</definedName>
    <definedName name="wrn.Mensal." localSheetId="11" hidden="1">{"Integral",#N/A,FALSE,"Plan1"}</definedName>
    <definedName name="wrn.Mensal." localSheetId="12" hidden="1">{"Integral",#N/A,FALSE,"Plan1"}</definedName>
    <definedName name="wrn.Mensal." localSheetId="13" hidden="1">{"Integral",#N/A,FALSE,"Plan1"}</definedName>
    <definedName name="wrn.Mensal." localSheetId="14" hidden="1">{"Integral",#N/A,FALSE,"Plan1"}</definedName>
    <definedName name="wrn.Mensal." hidden="1">{"Integral",#N/A,FALSE,"Plan1"}</definedName>
    <definedName name="wrn.Minas._.Gerais." localSheetId="11" hidden="1">{"Minas Gerais",#N/A,FALSE,"Exibição 41"}</definedName>
    <definedName name="wrn.Minas._.Gerais." localSheetId="12" hidden="1">{"Minas Gerais",#N/A,FALSE,"Exibição 41"}</definedName>
    <definedName name="wrn.Minas._.Gerais." localSheetId="13" hidden="1">{"Minas Gerais",#N/A,FALSE,"Exibição 41"}</definedName>
    <definedName name="wrn.Minas._.Gerais." localSheetId="14" hidden="1">{"Minas Gerais",#N/A,FALSE,"Exibição 41"}</definedName>
    <definedName name="wrn.Minas._.Gerais." hidden="1">{"Minas Gerais",#N/A,FALSE,"Exibição 41"}</definedName>
    <definedName name="wrn.Relat." localSheetId="11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" localSheetId="12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" localSheetId="13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" localSheetId="14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localSheetId="11" hidden="1">{"Normal","receita baixa",TRUE,"CENÁRIO ATUAL";"Linhas de Totais","despesa alta",TRUE,"CENÁRIO ATUAL";"Primeiros Meses","despesa baixa",TRUE,"CENÁRIO ATUAL";"Últimos Meses","receita alta",TRUE,"CENÁRIO ATUAL"}</definedName>
    <definedName name="wrn.Relat._.Final." localSheetId="12" hidden="1">{"Normal","receita baixa",TRUE,"CENÁRIO ATUAL";"Linhas de Totais","despesa alta",TRUE,"CENÁRIO ATUAL";"Primeiros Meses","despesa baixa",TRUE,"CENÁRIO ATUAL";"Últimos Meses","receita alta",TRUE,"CENÁRIO ATUAL"}</definedName>
    <definedName name="wrn.Relat._.Final." localSheetId="13" hidden="1">{"Normal","receita baixa",TRUE,"CENÁRIO ATUAL";"Linhas de Totais","despesa alta",TRUE,"CENÁRIO ATUAL";"Primeiros Meses","despesa baixa",TRUE,"CENÁRIO ATUAL";"Últimos Meses","receita alta",TRUE,"CENÁRIO ATUAL"}</definedName>
    <definedName name="wrn.Relat._.Final." localSheetId="14" hidden="1">{"Normal","receita baixa",TRUE,"CENÁRIO ATUAL";"Linhas de Totais","despesa alta",TRUE,"CENÁRIO ATUAL";"Primeiros Meses","despesa baixa",TRUE,"CENÁRIO ATUAL";"Últimos Meses","receita alta",TRUE,"CENÁRIO ATUAL"}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localSheetId="11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a" localSheetId="12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a" localSheetId="13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a" localSheetId="14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localSheetId="11" hidden="1">{"Modo1","Otimista",FALSE,"Orçamento Pessoal"}</definedName>
    <definedName name="wrn.Relatório._.Mensal." localSheetId="12" hidden="1">{"Modo1","Otimista",FALSE,"Orçamento Pessoal"}</definedName>
    <definedName name="wrn.Relatório._.Mensal." localSheetId="13" hidden="1">{"Modo1","Otimista",FALSE,"Orçamento Pessoal"}</definedName>
    <definedName name="wrn.Relatório._.Mensal." localSheetId="14" hidden="1">{"Modo1","Otimista",FALSE,"Orçamento Pessoal"}</definedName>
    <definedName name="wrn.Relatório._.Mensal." hidden="1">{"Modo1","Otimista",FALSE,"Orçamento Pessoal"}</definedName>
    <definedName name="wrn.Ruim." localSheetId="11" hidden="1">{#N/A,"Ruim",FALSE,"Cenario 34"}</definedName>
    <definedName name="wrn.Ruim." localSheetId="12" hidden="1">{#N/A,"Ruim",FALSE,"Cenario 34"}</definedName>
    <definedName name="wrn.Ruim." localSheetId="13" hidden="1">{#N/A,"Ruim",FALSE,"Cenario 34"}</definedName>
    <definedName name="wrn.Ruim." localSheetId="14" hidden="1">{#N/A,"Ruim",FALSE,"Cenario 34"}</definedName>
    <definedName name="wrn.Ruim." hidden="1">{#N/A,"Ruim",FALSE,"Cenario 34"}</definedName>
    <definedName name="wrn.Santa._.Catarina." localSheetId="11" hidden="1">{"Santa Catarina",#N/A,FALSE,"Exibição 41"}</definedName>
    <definedName name="wrn.Santa._.Catarina." localSheetId="12" hidden="1">{"Santa Catarina",#N/A,FALSE,"Exibição 41"}</definedName>
    <definedName name="wrn.Santa._.Catarina." localSheetId="13" hidden="1">{"Santa Catarina",#N/A,FALSE,"Exibição 41"}</definedName>
    <definedName name="wrn.Santa._.Catarina." localSheetId="14" hidden="1">{"Santa Catarina",#N/A,FALSE,"Exibição 41"}</definedName>
    <definedName name="wrn.Santa._.Catarina." hidden="1">{"Santa Catarina",#N/A,FALSE,"Exibição 41"}</definedName>
    <definedName name="yu" localSheetId="11" hidden="1">{"normal","argentina",FALSE,"cenários e solver";#N/A,#N/A,FALSE,"banco de dados"}</definedName>
    <definedName name="yu" localSheetId="12" hidden="1">{"normal","argentina",FALSE,"cenários e solver";#N/A,#N/A,FALSE,"banco de dados"}</definedName>
    <definedName name="yu" localSheetId="13" hidden="1">{"normal","argentina",FALSE,"cenários e solver";#N/A,#N/A,FALSE,"banco de dados"}</definedName>
    <definedName name="yu" localSheetId="14" hidden="1">{"normal","argentina",FALSE,"cenários e solver";#N/A,#N/A,FALSE,"banco de dados"}</definedName>
    <definedName name="yu" hidden="1">{"normal","argentina",FALSE,"cenários e solver";#N/A,#N/A,FALSE,"banco de dados"}</definedName>
  </definedNames>
  <calcPr calcId="162913"/>
</workbook>
</file>

<file path=xl/calcChain.xml><?xml version="1.0" encoding="utf-8"?>
<calcChain xmlns="http://schemas.openxmlformats.org/spreadsheetml/2006/main">
  <c r="I5" i="21" l="1"/>
  <c r="I6" i="21"/>
  <c r="I7" i="21"/>
  <c r="I8" i="21"/>
  <c r="I9" i="21"/>
  <c r="I10" i="21"/>
  <c r="I11" i="21"/>
  <c r="I12" i="21"/>
  <c r="I13" i="21"/>
  <c r="I4" i="21"/>
  <c r="H5" i="21"/>
  <c r="H6" i="21"/>
  <c r="H7" i="21"/>
  <c r="H8" i="21"/>
  <c r="H9" i="21"/>
  <c r="H10" i="21"/>
  <c r="H11" i="21"/>
  <c r="H12" i="21"/>
  <c r="H13" i="21"/>
  <c r="H4" i="21"/>
  <c r="G5" i="21"/>
  <c r="G6" i="21"/>
  <c r="G7" i="21"/>
  <c r="G8" i="21"/>
  <c r="G9" i="21"/>
  <c r="G10" i="21"/>
  <c r="G11" i="21"/>
  <c r="G12" i="21"/>
  <c r="G13" i="21"/>
  <c r="G4" i="21"/>
  <c r="F5" i="21"/>
  <c r="F6" i="21"/>
  <c r="F7" i="21"/>
  <c r="F8" i="21"/>
  <c r="F9" i="21"/>
  <c r="F10" i="21"/>
  <c r="F11" i="21"/>
  <c r="F12" i="21"/>
  <c r="F13" i="21"/>
  <c r="F4" i="21"/>
  <c r="E5" i="21"/>
  <c r="E6" i="21"/>
  <c r="E7" i="21"/>
  <c r="E8" i="21"/>
  <c r="E9" i="21"/>
  <c r="E10" i="21"/>
  <c r="E11" i="21"/>
  <c r="E12" i="21"/>
  <c r="E13" i="21"/>
  <c r="E4" i="21"/>
  <c r="D5" i="21"/>
  <c r="D6" i="21"/>
  <c r="D7" i="21"/>
  <c r="D8" i="21"/>
  <c r="D9" i="21"/>
  <c r="D10" i="21"/>
  <c r="D11" i="21"/>
  <c r="D12" i="21"/>
  <c r="D13" i="21"/>
  <c r="D4" i="2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4" i="20"/>
  <c r="D5" i="19"/>
  <c r="D6" i="19"/>
  <c r="D7" i="19"/>
  <c r="D8" i="19"/>
  <c r="D9" i="19"/>
  <c r="D10" i="19"/>
  <c r="D11" i="19"/>
  <c r="D12" i="19"/>
  <c r="D13" i="19"/>
  <c r="D14" i="19"/>
  <c r="D15" i="19"/>
  <c r="D16" i="19"/>
  <c r="D4" i="19"/>
  <c r="D5" i="18"/>
  <c r="D6" i="18"/>
  <c r="D7" i="18"/>
  <c r="D8" i="18"/>
  <c r="D4" i="18"/>
  <c r="C5" i="18"/>
  <c r="C6" i="18"/>
  <c r="C7" i="18"/>
  <c r="C8" i="18"/>
  <c r="C4" i="18"/>
  <c r="B2" i="17"/>
  <c r="B3" i="16"/>
  <c r="B1" i="15"/>
  <c r="B3" i="14"/>
  <c r="C27" i="7"/>
  <c r="C28" i="7"/>
  <c r="C29" i="7"/>
  <c r="C30" i="7"/>
  <c r="C31" i="7"/>
  <c r="C32" i="7"/>
  <c r="C26" i="7"/>
  <c r="F15" i="7"/>
  <c r="F16" i="7"/>
  <c r="F17" i="7"/>
  <c r="F18" i="7"/>
  <c r="F19" i="7"/>
  <c r="F20" i="7"/>
  <c r="F14" i="7"/>
  <c r="E15" i="7"/>
  <c r="E16" i="7"/>
  <c r="E17" i="7"/>
  <c r="E18" i="7"/>
  <c r="E19" i="7"/>
  <c r="E20" i="7"/>
  <c r="E14" i="7"/>
  <c r="E5" i="7"/>
  <c r="E6" i="7"/>
  <c r="E7" i="7"/>
  <c r="E8" i="7"/>
  <c r="E4" i="7"/>
  <c r="D5" i="7"/>
  <c r="D6" i="7"/>
  <c r="D7" i="7"/>
  <c r="D4" i="7"/>
  <c r="I5" i="6"/>
  <c r="I6" i="6"/>
  <c r="I7" i="6"/>
  <c r="I4" i="6"/>
  <c r="D4" i="6"/>
  <c r="D5" i="6"/>
  <c r="D6" i="6"/>
  <c r="D7" i="6"/>
  <c r="D3" i="6"/>
  <c r="I6" i="5"/>
  <c r="I7" i="5"/>
  <c r="I8" i="5"/>
  <c r="I5" i="5"/>
  <c r="D7" i="5"/>
  <c r="D8" i="5"/>
  <c r="D6" i="5"/>
  <c r="D5" i="5"/>
  <c r="D4" i="5"/>
  <c r="I6" i="4"/>
  <c r="I7" i="4"/>
  <c r="I8" i="4"/>
  <c r="I9" i="4"/>
  <c r="I5" i="4"/>
  <c r="D9" i="4"/>
  <c r="C9" i="4"/>
  <c r="B9" i="4"/>
  <c r="D4" i="4"/>
  <c r="D5" i="4"/>
  <c r="D6" i="4"/>
  <c r="D7" i="4"/>
  <c r="D8" i="4"/>
  <c r="D3" i="4"/>
  <c r="J9" i="3"/>
  <c r="K9" i="3"/>
  <c r="L9" i="3"/>
  <c r="M9" i="3"/>
  <c r="N9" i="3"/>
  <c r="I9" i="3"/>
  <c r="O5" i="3"/>
  <c r="O6" i="3"/>
  <c r="O7" i="3"/>
  <c r="O8" i="3"/>
  <c r="O4" i="3"/>
  <c r="F6" i="3"/>
  <c r="F7" i="3"/>
  <c r="F8" i="3"/>
  <c r="F9" i="3"/>
  <c r="F5" i="3"/>
  <c r="F20" i="13"/>
  <c r="F19" i="13"/>
  <c r="F7" i="13"/>
  <c r="F4" i="13"/>
  <c r="F13" i="13"/>
  <c r="F16" i="13"/>
  <c r="F10" i="13"/>
  <c r="D33" i="21" l="1"/>
  <c r="E33" i="21" s="1"/>
  <c r="D32" i="21"/>
  <c r="E32" i="21" s="1"/>
  <c r="D31" i="21"/>
  <c r="E31" i="21" s="1"/>
  <c r="D30" i="21"/>
  <c r="E30" i="21" s="1"/>
  <c r="D29" i="21"/>
  <c r="E29" i="21" s="1"/>
  <c r="D28" i="21"/>
  <c r="E28" i="21" s="1"/>
  <c r="D27" i="21"/>
  <c r="E27" i="21" s="1"/>
  <c r="D26" i="21"/>
  <c r="E26" i="21" s="1"/>
  <c r="D25" i="21"/>
  <c r="E25" i="21" s="1"/>
  <c r="D24" i="21"/>
  <c r="E24" i="21" s="1"/>
  <c r="F24" i="21" l="1"/>
  <c r="G24" i="21"/>
  <c r="F28" i="21"/>
  <c r="G28" i="21"/>
  <c r="G25" i="21"/>
  <c r="F25" i="21"/>
  <c r="H25" i="21" s="1"/>
  <c r="I25" i="21" s="1"/>
  <c r="F32" i="21"/>
  <c r="G32" i="21"/>
  <c r="F29" i="21"/>
  <c r="G29" i="21"/>
  <c r="G33" i="21"/>
  <c r="F33" i="21"/>
  <c r="H33" i="21" s="1"/>
  <c r="I33" i="21" s="1"/>
  <c r="F27" i="21"/>
  <c r="F31" i="21"/>
  <c r="G31" i="21"/>
  <c r="F30" i="21"/>
  <c r="G27" i="21"/>
  <c r="F26" i="21"/>
  <c r="G26" i="21"/>
  <c r="G30" i="21"/>
  <c r="H31" i="21" l="1"/>
  <c r="I31" i="21" s="1"/>
  <c r="H27" i="21"/>
  <c r="I27" i="21" s="1"/>
  <c r="H29" i="21"/>
  <c r="I29" i="21" s="1"/>
  <c r="H24" i="21"/>
  <c r="I24" i="21" s="1"/>
  <c r="H28" i="21"/>
  <c r="I28" i="21" s="1"/>
  <c r="H32" i="21"/>
  <c r="I32" i="21" s="1"/>
  <c r="H26" i="21"/>
  <c r="I26" i="21" s="1"/>
  <c r="H30" i="21"/>
  <c r="I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3" authorId="0" shapeId="0" xr:uid="{00000000-0006-0000-0500-000001000000}">
      <text>
        <r>
          <rPr>
            <sz val="9"/>
            <color indexed="81"/>
            <rFont val="Tahoma"/>
            <family val="2"/>
          </rPr>
          <t>Dica: neste caso, além de calcularmos a porcentagem de desconto, também temos que calcular a valor final MENOS o desconto calculado.</t>
        </r>
      </text>
    </comment>
  </commentList>
</comments>
</file>

<file path=xl/sharedStrings.xml><?xml version="1.0" encoding="utf-8"?>
<sst xmlns="http://schemas.openxmlformats.org/spreadsheetml/2006/main" count="298" uniqueCount="245">
  <si>
    <t>FÓRMULAS</t>
  </si>
  <si>
    <t>SOMA</t>
  </si>
  <si>
    <t>+</t>
  </si>
  <si>
    <t>SUBTRAÇÃO</t>
  </si>
  <si>
    <t>-</t>
  </si>
  <si>
    <t>DIVISÃO</t>
  </si>
  <si>
    <t>/</t>
  </si>
  <si>
    <t>MULTIPLICAÇÃO</t>
  </si>
  <si>
    <t>*</t>
  </si>
  <si>
    <t>EXPONENCIAÇÃO</t>
  </si>
  <si>
    <t>^</t>
  </si>
  <si>
    <t>PORCENTAGEM</t>
  </si>
  <si>
    <t>%</t>
  </si>
  <si>
    <t>Venda de salgados</t>
  </si>
  <si>
    <t>Tipo</t>
  </si>
  <si>
    <t>Seg</t>
  </si>
  <si>
    <t>Ter</t>
  </si>
  <si>
    <t>Qua</t>
  </si>
  <si>
    <t>Qui</t>
  </si>
  <si>
    <t>Sex</t>
  </si>
  <si>
    <t>Sáb</t>
  </si>
  <si>
    <t>Total</t>
  </si>
  <si>
    <t>Coxinha</t>
  </si>
  <si>
    <t>Esfiha</t>
  </si>
  <si>
    <t>Kibe</t>
  </si>
  <si>
    <t>Rissoles</t>
  </si>
  <si>
    <t>Empada</t>
  </si>
  <si>
    <t>Fluxo de caixa</t>
  </si>
  <si>
    <t>Dia</t>
  </si>
  <si>
    <t>Entrada</t>
  </si>
  <si>
    <t>Saída</t>
  </si>
  <si>
    <t>Saldo</t>
  </si>
  <si>
    <t>Segunda-feira</t>
  </si>
  <si>
    <t>Terça-feira</t>
  </si>
  <si>
    <t>Quarta-feira</t>
  </si>
  <si>
    <t>Quinta-feira</t>
  </si>
  <si>
    <t>Sexta-feira</t>
  </si>
  <si>
    <t>Sábado</t>
  </si>
  <si>
    <t>Impressões</t>
  </si>
  <si>
    <t>Livro</t>
  </si>
  <si>
    <t>Quantidade</t>
  </si>
  <si>
    <t>Lotes</t>
  </si>
  <si>
    <t>Windows</t>
  </si>
  <si>
    <t>Internet</t>
  </si>
  <si>
    <t>Word</t>
  </si>
  <si>
    <t>PowerPoint</t>
  </si>
  <si>
    <t>Excel</t>
  </si>
  <si>
    <t>Investimentos</t>
  </si>
  <si>
    <t>Zona</t>
  </si>
  <si>
    <t>Escolas</t>
  </si>
  <si>
    <t>Norte</t>
  </si>
  <si>
    <t>Sul</t>
  </si>
  <si>
    <t>Leste</t>
  </si>
  <si>
    <t>Oeste</t>
  </si>
  <si>
    <t>Centro</t>
  </si>
  <si>
    <t>Total por Salgado</t>
  </si>
  <si>
    <t>Total por Dia</t>
  </si>
  <si>
    <t>Somar o total de produtos vendidos por cada vendedor.</t>
  </si>
  <si>
    <t>Venda de Produtos</t>
  </si>
  <si>
    <t>Vendedor</t>
  </si>
  <si>
    <t>Camisas</t>
  </si>
  <si>
    <t>Calças</t>
  </si>
  <si>
    <t>Sapatos</t>
  </si>
  <si>
    <t>Gravatas</t>
  </si>
  <si>
    <t>Carlos</t>
  </si>
  <si>
    <t>Márcia</t>
  </si>
  <si>
    <t>Lucas</t>
  </si>
  <si>
    <t>Taiane</t>
  </si>
  <si>
    <t>Valéria</t>
  </si>
  <si>
    <t>CONSTANTES</t>
  </si>
  <si>
    <t>Calcular o estado atual do estoque após o fechamento da loja.</t>
  </si>
  <si>
    <t>Controle de Estoque</t>
  </si>
  <si>
    <t>Produto</t>
  </si>
  <si>
    <t>Estoque inicial</t>
  </si>
  <si>
    <t>Quantidade vendida</t>
  </si>
  <si>
    <t>Estoque atual</t>
  </si>
  <si>
    <t>Cintos</t>
  </si>
  <si>
    <t>Calcular o lucro total obtido com as vendas de cada tipo de produto.</t>
  </si>
  <si>
    <t>Lucro Total:</t>
  </si>
  <si>
    <t>Preço unitário</t>
  </si>
  <si>
    <t>Lucro por produto</t>
  </si>
  <si>
    <t>Total em Páginas</t>
  </si>
  <si>
    <t>Montante (Total)</t>
  </si>
  <si>
    <t>Calcular a valor unitário de cada produto vendido.</t>
  </si>
  <si>
    <t>Divisão dos Lucros</t>
  </si>
  <si>
    <t>Lucro Total</t>
  </si>
  <si>
    <t>Vendas</t>
  </si>
  <si>
    <t>Lucro Unitário</t>
  </si>
  <si>
    <t>Investimento por Escola</t>
  </si>
  <si>
    <t>Calcular um desconto de 15% para pagamentos com boleto bancário.</t>
  </si>
  <si>
    <t>Pedido</t>
  </si>
  <si>
    <t>Meio de Pgto.</t>
  </si>
  <si>
    <t>Valor do Pedido</t>
  </si>
  <si>
    <t>Desconto</t>
  </si>
  <si>
    <t>Valor com desconto</t>
  </si>
  <si>
    <t>Boleto</t>
  </si>
  <si>
    <t>Cartão</t>
  </si>
  <si>
    <t>Calcular uma multa de 40% para os pagamentos atrasados.</t>
  </si>
  <si>
    <t>Compra</t>
  </si>
  <si>
    <t>Valor
Compra</t>
  </si>
  <si>
    <t>Data
Vencimento</t>
  </si>
  <si>
    <t>Data
Pagamento</t>
  </si>
  <si>
    <t>Valor
Multa</t>
  </si>
  <si>
    <t>CPRSP-889</t>
  </si>
  <si>
    <t>CPRSP-932</t>
  </si>
  <si>
    <t>CPRSP-924</t>
  </si>
  <si>
    <t>CPRSP-931</t>
  </si>
  <si>
    <t>CPRSP-964</t>
  </si>
  <si>
    <t>CPRSP-975</t>
  </si>
  <si>
    <t>CPRSP-937</t>
  </si>
  <si>
    <t>Aplique um desconto de 30% aos pedidos contemplados abaixo</t>
  </si>
  <si>
    <t>Valor Original</t>
  </si>
  <si>
    <t>Valor com Desconto</t>
  </si>
  <si>
    <t>176PEDGTY</t>
  </si>
  <si>
    <t>161PEDGTY</t>
  </si>
  <si>
    <t>249PEDGTY</t>
  </si>
  <si>
    <t>227PEDGTY</t>
  </si>
  <si>
    <t>219PEDGTY</t>
  </si>
  <si>
    <t>189PEDGTY</t>
  </si>
  <si>
    <t>182PEDGTY</t>
  </si>
  <si>
    <t>1. Parênteses ( );</t>
  </si>
  <si>
    <t>2. Negação (-);</t>
  </si>
  <si>
    <t>3. Porcentagem (%);</t>
  </si>
  <si>
    <t>4. Exponenciação (^);</t>
  </si>
  <si>
    <t>5. Multiplicação (*) e divisão (/);</t>
  </si>
  <si>
    <t>6. Soma (+) e subtração (-);</t>
  </si>
  <si>
    <t>7. Concatenação de texto (&amp;);</t>
  </si>
  <si>
    <t>8. Operadores de comparação: = (igual), &lt;&gt; (diferente), &lt; (menor que), &lt;= (menor ou igual a), &gt; (maior que), &gt;= (maior ou igual a).</t>
  </si>
  <si>
    <t>Valor Total</t>
  </si>
  <si>
    <t>VALOR DO IMPOSTO</t>
  </si>
  <si>
    <t>TAXA DO IMPOSTO</t>
  </si>
  <si>
    <t>VALOR DA COMPRA</t>
  </si>
  <si>
    <t>Taxa</t>
  </si>
  <si>
    <t>Valor Mês 2</t>
  </si>
  <si>
    <t>Valor Mês 1</t>
  </si>
  <si>
    <t>Variação percentual (valor final – valor inicial) / valor inicial</t>
  </si>
  <si>
    <t>Variação percentual = valor final / valor inicial – 1</t>
  </si>
  <si>
    <t>ou</t>
  </si>
  <si>
    <t>=valor/ porcentagem</t>
  </si>
  <si>
    <t>Descobrir valor em R$ sabendo o valor da compra e % do imposto:</t>
  </si>
  <si>
    <t xml:space="preserve">Descobrir um valor em R$ sabendo a % do imposto e o valor do imposto </t>
  </si>
  <si>
    <t>= valor*porcentagem</t>
  </si>
  <si>
    <t>Obs: A subtração por -1 retira o valor 100 utilizado na %.</t>
  </si>
  <si>
    <t>Calcular a diferença em % entre dois valores:</t>
  </si>
  <si>
    <t>Descobrir o valor em % sabendo um valor em R$ e o valor do imposto pago em R$.</t>
  </si>
  <si>
    <t>Atualização de Preços</t>
  </si>
  <si>
    <t>Valor</t>
  </si>
  <si>
    <t>10% do Valor</t>
  </si>
  <si>
    <t>Resposta:</t>
  </si>
  <si>
    <t>Pentium 4</t>
  </si>
  <si>
    <t>Impressora HP</t>
  </si>
  <si>
    <t>Placa de Som</t>
  </si>
  <si>
    <t>CD-ROM</t>
  </si>
  <si>
    <t>CD-RW</t>
  </si>
  <si>
    <t>10% do Valor:</t>
  </si>
  <si>
    <t>Valor * 10%</t>
  </si>
  <si>
    <t>Valor Total:</t>
  </si>
  <si>
    <t>Valor + Aumento de 10%</t>
  </si>
  <si>
    <t>Farmácia &amp; Cia</t>
  </si>
  <si>
    <t>Nome</t>
  </si>
  <si>
    <t>Data de Compra</t>
  </si>
  <si>
    <t>Valor de Compra</t>
  </si>
  <si>
    <t>Imposto</t>
  </si>
  <si>
    <t>Agasten</t>
  </si>
  <si>
    <t>Bisolvon</t>
  </si>
  <si>
    <t>Dorflex</t>
  </si>
  <si>
    <t>Equilid</t>
  </si>
  <si>
    <t>Flogoral</t>
  </si>
  <si>
    <t>Mylanta Plus</t>
  </si>
  <si>
    <t>Paraqueimol</t>
  </si>
  <si>
    <t>Pulmicort</t>
  </si>
  <si>
    <t>Quemicetina</t>
  </si>
  <si>
    <t>Ranidin</t>
  </si>
  <si>
    <t>Silomat</t>
  </si>
  <si>
    <t>Transpulmin</t>
  </si>
  <si>
    <t>Zoltec</t>
  </si>
  <si>
    <t>Imposto:</t>
  </si>
  <si>
    <t>18% * Valor da Compra</t>
  </si>
  <si>
    <t>Cadastro de Funcionários</t>
  </si>
  <si>
    <t>Salário Base</t>
  </si>
  <si>
    <t>Valor das Vendas</t>
  </si>
  <si>
    <t>Comissão</t>
  </si>
  <si>
    <t>Salário Final</t>
  </si>
  <si>
    <t>Alexandre Chuba</t>
  </si>
  <si>
    <t>Andre Yedid</t>
  </si>
  <si>
    <t>Conrado Nakata</t>
  </si>
  <si>
    <t xml:space="preserve">Erika Akemi Thinen </t>
  </si>
  <si>
    <t>Fabiano Marques Milani</t>
  </si>
  <si>
    <t>Fabio Andre Wohnrath</t>
  </si>
  <si>
    <t>Fabio Freire  da Costa</t>
  </si>
  <si>
    <t>Fabio Luis Ribeiro</t>
  </si>
  <si>
    <t>Fabio Spartano Romano</t>
  </si>
  <si>
    <t>Felipe Estefano</t>
  </si>
  <si>
    <t>Fernanda Almeida Marino</t>
  </si>
  <si>
    <t>Fernando Carita</t>
  </si>
  <si>
    <t>Fernando Mendes Valverde Filho</t>
  </si>
  <si>
    <t>Flavia Martini Pineda</t>
  </si>
  <si>
    <t>Flavia Pinto Coelho</t>
  </si>
  <si>
    <t>Francisco Paulo de Andrade</t>
  </si>
  <si>
    <t>Guilherme Marin Kesssedjan</t>
  </si>
  <si>
    <t>Comissão:</t>
  </si>
  <si>
    <t>10% do Valor das Vendas</t>
  </si>
  <si>
    <t>Salário Final:</t>
  </si>
  <si>
    <t>Salário Base + Comissão</t>
  </si>
  <si>
    <t>Folha de Pagamento</t>
  </si>
  <si>
    <t>Funcionario</t>
  </si>
  <si>
    <t>Salario Fixo</t>
  </si>
  <si>
    <t>Total de Vendas</t>
  </si>
  <si>
    <t>Salário Bruto</t>
  </si>
  <si>
    <t>IR</t>
  </si>
  <si>
    <t>INSS</t>
  </si>
  <si>
    <t>Total Descontos</t>
  </si>
  <si>
    <t>Salário Líquido</t>
  </si>
  <si>
    <t>João da Silva</t>
  </si>
  <si>
    <t>Luiz Lemos</t>
  </si>
  <si>
    <t>Carlos Lopes</t>
  </si>
  <si>
    <t>Danilo Ribeiro</t>
  </si>
  <si>
    <t>Celso Souza</t>
  </si>
  <si>
    <t>Lucio Moura</t>
  </si>
  <si>
    <t>Roberto Campos</t>
  </si>
  <si>
    <t>Rui Neto</t>
  </si>
  <si>
    <t>Joé Santos</t>
  </si>
  <si>
    <t>Mario Moura</t>
  </si>
  <si>
    <t>5% * Total das Vendas</t>
  </si>
  <si>
    <t>Salário Bruto:</t>
  </si>
  <si>
    <t>Salário Fixo + Comissão</t>
  </si>
  <si>
    <t>IR:</t>
  </si>
  <si>
    <t>17% * Salário Bruto</t>
  </si>
  <si>
    <t>INSS:</t>
  </si>
  <si>
    <t>8% * Salário Bruto</t>
  </si>
  <si>
    <t>Total Desconto</t>
  </si>
  <si>
    <t>IR + INSS</t>
  </si>
  <si>
    <t>Salário Líquido:</t>
  </si>
  <si>
    <t>Salário Bruto - Total Descontos</t>
  </si>
  <si>
    <t>Capítulo 4</t>
  </si>
  <si>
    <t>Cálculos básicos</t>
  </si>
  <si>
    <t>Páginas 135 à 148</t>
  </si>
  <si>
    <t>Cálculos simples</t>
  </si>
  <si>
    <t>Operadores matemáticos</t>
  </si>
  <si>
    <t>Cálculos com porcentagem</t>
  </si>
  <si>
    <t>Descontos</t>
  </si>
  <si>
    <t>Acréscimos</t>
  </si>
  <si>
    <t>Variação percentual</t>
  </si>
  <si>
    <t>Operadores</t>
  </si>
  <si>
    <t xml:space="preserve"> = Valor do imposto em R$ / Valor em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</si>
</sst>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0.0%"/>
    <numFmt numFmtId="167" formatCode="0.000000"/>
    <numFmt numFmtId="168" formatCode="_(&quot;R$ &quot;* #,##0.00_);_(&quot;R$ &quot;* \(#,##0.00\);_(&quot;R$ &quot;* &quot;-&quot;??_);_(@_)"/>
    <numFmt numFmtId="169" formatCode="_(* #,##0.00_);_(* \(#,##0.00\);_(* &quot;-&quot;??_);_(@_)"/>
  </numFmts>
  <fonts count="27" x14ac:knownFonts="1"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indexed="8"/>
      <name val="Calibri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6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22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gradientFill degree="135">
        <stop position="0">
          <color theme="8" tint="0.40000610370189521"/>
        </stop>
        <stop position="1">
          <color theme="4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6" fillId="0" borderId="0"/>
    <xf numFmtId="0" fontId="8" fillId="2" borderId="0" applyNumberFormat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9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8" fillId="22" borderId="0"/>
    <xf numFmtId="0" fontId="4" fillId="0" borderId="0"/>
    <xf numFmtId="9" fontId="7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</cellStyleXfs>
  <cellXfs count="214">
    <xf numFmtId="0" fontId="0" fillId="0" borderId="0" xfId="0"/>
    <xf numFmtId="0" fontId="0" fillId="0" borderId="9" xfId="0" applyFont="1" applyBorder="1"/>
    <xf numFmtId="0" fontId="0" fillId="0" borderId="11" xfId="0" applyFont="1" applyBorder="1"/>
    <xf numFmtId="0" fontId="0" fillId="6" borderId="20" xfId="0" applyFont="1" applyFill="1" applyBorder="1" applyAlignment="1">
      <alignment horizontal="left" vertical="center"/>
    </xf>
    <xf numFmtId="0" fontId="0" fillId="6" borderId="2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165" fontId="0" fillId="0" borderId="1" xfId="0" applyNumberFormat="1" applyFont="1" applyBorder="1"/>
    <xf numFmtId="165" fontId="0" fillId="0" borderId="12" xfId="0" applyNumberFormat="1" applyFont="1" applyBorder="1"/>
    <xf numFmtId="0" fontId="14" fillId="8" borderId="10" xfId="0" applyFont="1" applyFill="1" applyBorder="1" applyAlignment="1">
      <alignment horizontal="left" vertical="center"/>
    </xf>
    <xf numFmtId="0" fontId="0" fillId="6" borderId="9" xfId="0" applyFont="1" applyFill="1" applyBorder="1" applyAlignment="1">
      <alignment horizontal="left" vertical="center"/>
    </xf>
    <xf numFmtId="0" fontId="0" fillId="6" borderId="19" xfId="0" applyFont="1" applyFill="1" applyBorder="1" applyAlignment="1">
      <alignment horizontal="left" vertical="center"/>
    </xf>
    <xf numFmtId="0" fontId="7" fillId="0" borderId="1" xfId="3" applyNumberFormat="1" applyFont="1" applyFill="1" applyBorder="1" applyAlignment="1">
      <alignment horizontal="center" vertical="center"/>
    </xf>
    <xf numFmtId="0" fontId="7" fillId="0" borderId="12" xfId="3" applyNumberFormat="1" applyFont="1" applyFill="1" applyBorder="1" applyAlignment="1">
      <alignment horizontal="center" vertical="center"/>
    </xf>
    <xf numFmtId="0" fontId="7" fillId="0" borderId="9" xfId="1" applyFont="1" applyFill="1" applyBorder="1" applyAlignment="1">
      <alignment horizontal="center" vertical="center"/>
    </xf>
    <xf numFmtId="44" fontId="7" fillId="0" borderId="1" xfId="4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  <xf numFmtId="44" fontId="7" fillId="0" borderId="12" xfId="4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left" vertical="center" wrapText="1"/>
    </xf>
    <xf numFmtId="44" fontId="0" fillId="0" borderId="1" xfId="0" applyNumberFormat="1" applyFont="1" applyBorder="1"/>
    <xf numFmtId="44" fontId="0" fillId="8" borderId="10" xfId="0" applyNumberFormat="1" applyFont="1" applyFill="1" applyBorder="1"/>
    <xf numFmtId="44" fontId="0" fillId="0" borderId="12" xfId="0" applyNumberFormat="1" applyFont="1" applyBorder="1"/>
    <xf numFmtId="0" fontId="0" fillId="6" borderId="9" xfId="0" applyFont="1" applyFill="1" applyBorder="1" applyAlignment="1">
      <alignment horizontal="left" vertical="center" wrapText="1"/>
    </xf>
    <xf numFmtId="44" fontId="0" fillId="0" borderId="1" xfId="5" applyFont="1" applyBorder="1"/>
    <xf numFmtId="44" fontId="0" fillId="0" borderId="12" xfId="5" applyFont="1" applyBorder="1"/>
    <xf numFmtId="0" fontId="0" fillId="6" borderId="1" xfId="0" applyFont="1" applyFill="1" applyBorder="1" applyAlignment="1">
      <alignment horizontal="left" vertical="center" wrapText="1"/>
    </xf>
    <xf numFmtId="44" fontId="0" fillId="8" borderId="10" xfId="5" applyFont="1" applyFill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23" borderId="1" xfId="0" applyFill="1" applyBorder="1" applyAlignment="1">
      <alignment vertical="center"/>
    </xf>
    <xf numFmtId="0" fontId="0" fillId="23" borderId="1" xfId="0" applyFill="1" applyBorder="1" applyAlignment="1">
      <alignment horizontal="center" vertical="center"/>
    </xf>
    <xf numFmtId="0" fontId="16" fillId="24" borderId="0" xfId="0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 wrapText="1"/>
    </xf>
    <xf numFmtId="0" fontId="0" fillId="6" borderId="9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4" fillId="0" borderId="0" xfId="22"/>
    <xf numFmtId="0" fontId="4" fillId="0" borderId="1" xfId="22" applyBorder="1"/>
    <xf numFmtId="2" fontId="4" fillId="0" borderId="1" xfId="22" applyNumberFormat="1" applyBorder="1"/>
    <xf numFmtId="0" fontId="4" fillId="0" borderId="1" xfId="22" applyBorder="1" applyAlignment="1"/>
    <xf numFmtId="2" fontId="4" fillId="0" borderId="1" xfId="22" applyNumberFormat="1" applyBorder="1" applyAlignment="1"/>
    <xf numFmtId="0" fontId="4" fillId="0" borderId="0" xfId="22" applyAlignment="1"/>
    <xf numFmtId="0" fontId="4" fillId="0" borderId="0" xfId="23" applyNumberFormat="1" applyFont="1" applyAlignment="1"/>
    <xf numFmtId="2" fontId="4" fillId="8" borderId="1" xfId="22" applyNumberFormat="1" applyFill="1" applyBorder="1"/>
    <xf numFmtId="166" fontId="4" fillId="0" borderId="1" xfId="22" applyNumberFormat="1" applyBorder="1"/>
    <xf numFmtId="0" fontId="12" fillId="8" borderId="10" xfId="0" applyFont="1" applyFill="1" applyBorder="1" applyAlignment="1">
      <alignment horizontal="center" vertical="center"/>
    </xf>
    <xf numFmtId="0" fontId="10" fillId="0" borderId="10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0" fillId="0" borderId="2" xfId="0" applyFont="1" applyBorder="1" applyAlignment="1">
      <alignment vertical="center"/>
    </xf>
    <xf numFmtId="0" fontId="10" fillId="0" borderId="9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0" fontId="9" fillId="0" borderId="9" xfId="1" applyFont="1" applyFill="1" applyBorder="1" applyAlignment="1">
      <alignment vertical="center"/>
    </xf>
    <xf numFmtId="164" fontId="9" fillId="0" borderId="1" xfId="3" applyNumberFormat="1" applyFont="1" applyFill="1" applyBorder="1" applyAlignment="1">
      <alignment vertical="center"/>
    </xf>
    <xf numFmtId="164" fontId="9" fillId="3" borderId="10" xfId="3" applyNumberFormat="1" applyFont="1" applyFill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8" borderId="10" xfId="0" applyFont="1" applyFill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10" fillId="0" borderId="11" xfId="1" applyFont="1" applyFill="1" applyBorder="1" applyAlignment="1">
      <alignment horizontal="center" vertical="center"/>
    </xf>
    <xf numFmtId="164" fontId="9" fillId="3" borderId="12" xfId="1" applyNumberFormat="1" applyFont="1" applyFill="1" applyBorder="1" applyAlignment="1">
      <alignment vertical="center"/>
    </xf>
    <xf numFmtId="8" fontId="9" fillId="0" borderId="1" xfId="4" applyNumberFormat="1" applyFont="1" applyFill="1" applyBorder="1" applyAlignment="1">
      <alignment vertical="center"/>
    </xf>
    <xf numFmtId="8" fontId="9" fillId="3" borderId="10" xfId="4" applyNumberFormat="1" applyFont="1" applyFill="1" applyBorder="1" applyAlignment="1">
      <alignment vertical="center"/>
    </xf>
    <xf numFmtId="0" fontId="14" fillId="8" borderId="10" xfId="0" applyFont="1" applyFill="1" applyBorder="1" applyAlignment="1">
      <alignment vertical="center"/>
    </xf>
    <xf numFmtId="0" fontId="9" fillId="0" borderId="11" xfId="1" applyFont="1" applyFill="1" applyBorder="1" applyAlignment="1">
      <alignment vertical="center"/>
    </xf>
    <xf numFmtId="8" fontId="9" fillId="3" borderId="12" xfId="4" applyNumberFormat="1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8" fillId="2" borderId="9" xfId="2" applyBorder="1" applyAlignment="1">
      <alignment horizontal="center" vertical="center"/>
    </xf>
    <xf numFmtId="0" fontId="8" fillId="2" borderId="1" xfId="2" applyBorder="1" applyAlignment="1">
      <alignment horizontal="center" vertical="center"/>
    </xf>
    <xf numFmtId="0" fontId="8" fillId="2" borderId="10" xfId="2" applyBorder="1" applyAlignment="1">
      <alignment horizontal="center" vertical="center"/>
    </xf>
    <xf numFmtId="0" fontId="0" fillId="7" borderId="9" xfId="0" applyFont="1" applyFill="1" applyBorder="1" applyAlignment="1">
      <alignment vertical="center"/>
    </xf>
    <xf numFmtId="0" fontId="9" fillId="0" borderId="1" xfId="1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165" fontId="0" fillId="8" borderId="10" xfId="0" applyNumberFormat="1" applyFont="1" applyFill="1" applyBorder="1" applyAlignment="1">
      <alignment vertical="center"/>
    </xf>
    <xf numFmtId="164" fontId="9" fillId="0" borderId="12" xfId="3" applyNumberFormat="1" applyFont="1" applyFill="1" applyBorder="1" applyAlignment="1">
      <alignment vertical="center"/>
    </xf>
    <xf numFmtId="0" fontId="9" fillId="0" borderId="12" xfId="1" applyFont="1" applyFill="1" applyBorder="1" applyAlignment="1">
      <alignment vertical="center"/>
    </xf>
    <xf numFmtId="165" fontId="0" fillId="0" borderId="12" xfId="0" applyNumberFormat="1" applyFont="1" applyBorder="1" applyAlignment="1">
      <alignment vertical="center"/>
    </xf>
    <xf numFmtId="0" fontId="7" fillId="0" borderId="0" xfId="1" applyFont="1" applyAlignment="1">
      <alignment vertical="center"/>
    </xf>
    <xf numFmtId="0" fontId="8" fillId="2" borderId="9" xfId="2" applyBorder="1" applyAlignment="1">
      <alignment vertical="center"/>
    </xf>
    <xf numFmtId="0" fontId="8" fillId="2" borderId="1" xfId="2" applyBorder="1" applyAlignment="1">
      <alignment vertical="center"/>
    </xf>
    <xf numFmtId="0" fontId="8" fillId="2" borderId="10" xfId="2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4" fillId="0" borderId="1" xfId="22" applyNumberFormat="1" applyBorder="1"/>
    <xf numFmtId="166" fontId="4" fillId="8" borderId="1" xfId="23" applyNumberFormat="1" applyFont="1" applyFill="1" applyBorder="1" applyAlignment="1"/>
    <xf numFmtId="0" fontId="3" fillId="0" borderId="0" xfId="22" applyFont="1"/>
    <xf numFmtId="0" fontId="3" fillId="0" borderId="1" xfId="22" applyFont="1" applyBorder="1"/>
    <xf numFmtId="2" fontId="3" fillId="0" borderId="0" xfId="22" applyNumberFormat="1" applyFont="1"/>
    <xf numFmtId="9" fontId="3" fillId="0" borderId="0" xfId="23" applyFont="1"/>
    <xf numFmtId="10" fontId="3" fillId="8" borderId="1" xfId="22" applyNumberFormat="1" applyFont="1" applyFill="1" applyBorder="1"/>
    <xf numFmtId="167" fontId="3" fillId="0" borderId="0" xfId="22" applyNumberFormat="1" applyFont="1"/>
    <xf numFmtId="0" fontId="3" fillId="0" borderId="0" xfId="0" applyFont="1"/>
    <xf numFmtId="0" fontId="2" fillId="0" borderId="0" xfId="24"/>
    <xf numFmtId="0" fontId="18" fillId="0" borderId="0" xfId="24" applyFont="1"/>
    <xf numFmtId="0" fontId="18" fillId="0" borderId="0" xfId="24" applyFont="1" applyAlignment="1"/>
    <xf numFmtId="0" fontId="20" fillId="0" borderId="27" xfId="24" applyFont="1" applyBorder="1" applyAlignment="1">
      <alignment horizontal="center" vertical="center" wrapText="1"/>
    </xf>
    <xf numFmtId="0" fontId="2" fillId="0" borderId="27" xfId="24" applyBorder="1"/>
    <xf numFmtId="14" fontId="2" fillId="0" borderId="27" xfId="24" applyNumberFormat="1" applyBorder="1"/>
    <xf numFmtId="168" fontId="0" fillId="0" borderId="27" xfId="25" applyFont="1" applyBorder="1"/>
    <xf numFmtId="0" fontId="12" fillId="2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0" fontId="16" fillId="24" borderId="0" xfId="0" applyFont="1" applyFill="1" applyBorder="1" applyAlignment="1">
      <alignment horizontal="center" vertical="center"/>
    </xf>
    <xf numFmtId="9" fontId="0" fillId="23" borderId="1" xfId="0" applyNumberForma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12" xfId="0" applyNumberFormat="1" applyFont="1" applyBorder="1" applyAlignment="1">
      <alignment horizontal="center" vertical="center"/>
    </xf>
    <xf numFmtId="0" fontId="0" fillId="6" borderId="10" xfId="0" applyFont="1" applyFill="1" applyBorder="1" applyAlignment="1">
      <alignment horizontal="left" vertical="center"/>
    </xf>
    <xf numFmtId="0" fontId="4" fillId="0" borderId="0" xfId="22" applyBorder="1"/>
    <xf numFmtId="44" fontId="3" fillId="0" borderId="1" xfId="5" applyFont="1" applyBorder="1"/>
    <xf numFmtId="0" fontId="4" fillId="0" borderId="0" xfId="22" applyBorder="1" applyAlignment="1"/>
    <xf numFmtId="0" fontId="23" fillId="0" borderId="0" xfId="24" applyFont="1"/>
    <xf numFmtId="0" fontId="22" fillId="0" borderId="26" xfId="24" applyFont="1" applyBorder="1" applyAlignment="1">
      <alignment horizontal="center" vertical="center"/>
    </xf>
    <xf numFmtId="0" fontId="24" fillId="0" borderId="0" xfId="24" applyFont="1"/>
    <xf numFmtId="0" fontId="23" fillId="0" borderId="26" xfId="24" applyFont="1" applyBorder="1"/>
    <xf numFmtId="168" fontId="23" fillId="0" borderId="26" xfId="25" applyFont="1" applyBorder="1"/>
    <xf numFmtId="0" fontId="18" fillId="0" borderId="1" xfId="24" applyFont="1" applyBorder="1" applyAlignment="1">
      <alignment horizontal="center" vertical="center"/>
    </xf>
    <xf numFmtId="44" fontId="2" fillId="0" borderId="1" xfId="5" applyFont="1" applyBorder="1" applyAlignment="1">
      <alignment horizontal="center" vertical="center"/>
    </xf>
    <xf numFmtId="44" fontId="23" fillId="0" borderId="0" xfId="5" applyFont="1"/>
    <xf numFmtId="44" fontId="2" fillId="0" borderId="0" xfId="5" applyFont="1"/>
    <xf numFmtId="0" fontId="9" fillId="0" borderId="0" xfId="24" applyFont="1"/>
    <xf numFmtId="0" fontId="21" fillId="0" borderId="28" xfId="24" applyFont="1" applyBorder="1" applyAlignment="1">
      <alignment horizontal="center" vertical="center" wrapText="1"/>
    </xf>
    <xf numFmtId="0" fontId="12" fillId="0" borderId="0" xfId="24" applyFont="1"/>
    <xf numFmtId="0" fontId="9" fillId="0" borderId="28" xfId="24" applyFont="1" applyBorder="1"/>
    <xf numFmtId="168" fontId="9" fillId="0" borderId="28" xfId="25" applyFont="1" applyBorder="1"/>
    <xf numFmtId="44" fontId="9" fillId="0" borderId="1" xfId="5" applyFont="1" applyBorder="1"/>
    <xf numFmtId="0" fontId="25" fillId="0" borderId="0" xfId="24" applyFont="1"/>
    <xf numFmtId="0" fontId="26" fillId="0" borderId="1" xfId="24" applyFont="1" applyBorder="1" applyAlignment="1">
      <alignment horizontal="center" vertical="center" wrapText="1"/>
    </xf>
    <xf numFmtId="0" fontId="25" fillId="0" borderId="1" xfId="24" applyFont="1" applyBorder="1"/>
    <xf numFmtId="168" fontId="25" fillId="0" borderId="1" xfId="25" applyFont="1" applyBorder="1"/>
    <xf numFmtId="0" fontId="26" fillId="0" borderId="0" xfId="24" applyFont="1"/>
    <xf numFmtId="169" fontId="25" fillId="0" borderId="1" xfId="26" applyFont="1" applyBorder="1"/>
    <xf numFmtId="0" fontId="0" fillId="25" borderId="1" xfId="0" applyFill="1" applyBorder="1" applyAlignment="1">
      <alignment horizontal="left" vertical="center"/>
    </xf>
    <xf numFmtId="0" fontId="0" fillId="26" borderId="1" xfId="0" applyFill="1" applyBorder="1" applyAlignment="1">
      <alignment horizontal="left" vertical="center"/>
    </xf>
    <xf numFmtId="0" fontId="0" fillId="26" borderId="1" xfId="0" applyFill="1" applyBorder="1" applyAlignment="1">
      <alignment horizontal="left" vertical="center" wrapText="1"/>
    </xf>
    <xf numFmtId="0" fontId="16" fillId="24" borderId="0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0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7" borderId="4" xfId="0" applyFont="1" applyFill="1" applyBorder="1" applyAlignment="1">
      <alignment horizontal="center" vertical="center"/>
    </xf>
    <xf numFmtId="0" fontId="0" fillId="7" borderId="5" xfId="0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0" fillId="7" borderId="9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165" fontId="0" fillId="7" borderId="19" xfId="0" applyNumberFormat="1" applyFont="1" applyFill="1" applyBorder="1" applyAlignment="1">
      <alignment horizontal="left" vertical="center"/>
    </xf>
    <xf numFmtId="0" fontId="0" fillId="7" borderId="3" xfId="0" applyFont="1" applyFill="1" applyBorder="1" applyAlignment="1">
      <alignment horizontal="left" vertical="center"/>
    </xf>
    <xf numFmtId="0" fontId="0" fillId="7" borderId="8" xfId="0" applyFont="1" applyFill="1" applyBorder="1" applyAlignment="1">
      <alignment horizontal="left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5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vertical="center"/>
    </xf>
    <xf numFmtId="0" fontId="12" fillId="6" borderId="5" xfId="0" applyFont="1" applyFill="1" applyBorder="1" applyAlignment="1">
      <alignment vertical="center"/>
    </xf>
    <xf numFmtId="0" fontId="12" fillId="6" borderId="6" xfId="0" applyFont="1" applyFill="1" applyBorder="1" applyAlignment="1">
      <alignment vertical="center"/>
    </xf>
    <xf numFmtId="0" fontId="0" fillId="7" borderId="19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0" fillId="7" borderId="8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12" fillId="6" borderId="9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/>
    </xf>
    <xf numFmtId="0" fontId="12" fillId="6" borderId="10" xfId="0" applyFont="1" applyFill="1" applyBorder="1" applyAlignment="1">
      <alignment vertical="center"/>
    </xf>
    <xf numFmtId="0" fontId="12" fillId="6" borderId="13" xfId="0" applyFont="1" applyFill="1" applyBorder="1" applyAlignment="1">
      <alignment vertical="center" wrapText="1"/>
    </xf>
    <xf numFmtId="0" fontId="12" fillId="6" borderId="14" xfId="0" applyFont="1" applyFill="1" applyBorder="1" applyAlignment="1">
      <alignment vertical="center" wrapText="1"/>
    </xf>
    <xf numFmtId="0" fontId="12" fillId="6" borderId="15" xfId="0" applyFont="1" applyFill="1" applyBorder="1" applyAlignment="1">
      <alignment vertical="center" wrapText="1"/>
    </xf>
    <xf numFmtId="0" fontId="12" fillId="6" borderId="16" xfId="0" applyFont="1" applyFill="1" applyBorder="1" applyAlignment="1">
      <alignment vertical="center" wrapText="1"/>
    </xf>
    <xf numFmtId="0" fontId="12" fillId="6" borderId="17" xfId="0" applyFont="1" applyFill="1" applyBorder="1" applyAlignment="1">
      <alignment vertical="center" wrapText="1"/>
    </xf>
    <xf numFmtId="0" fontId="12" fillId="6" borderId="18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horizontal="center" vertical="center"/>
    </xf>
    <xf numFmtId="44" fontId="0" fillId="8" borderId="1" xfId="0" applyNumberFormat="1" applyFont="1" applyFill="1" applyBorder="1"/>
    <xf numFmtId="0" fontId="3" fillId="0" borderId="0" xfId="22" applyFont="1" applyBorder="1" applyAlignment="1">
      <alignment horizontal="center" vertical="center" wrapText="1"/>
    </xf>
    <xf numFmtId="0" fontId="3" fillId="0" borderId="0" xfId="22" quotePrefix="1" applyFont="1" applyAlignment="1">
      <alignment horizontal="center"/>
    </xf>
    <xf numFmtId="0" fontId="3" fillId="0" borderId="0" xfId="22" quotePrefix="1" applyFont="1" applyBorder="1" applyAlignment="1">
      <alignment horizontal="center" vertical="center" wrapText="1"/>
    </xf>
    <xf numFmtId="0" fontId="17" fillId="0" borderId="1" xfId="22" applyFont="1" applyBorder="1" applyAlignment="1">
      <alignment horizontal="center"/>
    </xf>
    <xf numFmtId="0" fontId="3" fillId="0" borderId="1" xfId="22" applyFont="1" applyBorder="1" applyAlignment="1">
      <alignment horizontal="left" vertical="center"/>
    </xf>
    <xf numFmtId="0" fontId="17" fillId="0" borderId="1" xfId="22" applyFont="1" applyBorder="1" applyAlignment="1">
      <alignment horizontal="center" vertical="center"/>
    </xf>
    <xf numFmtId="0" fontId="3" fillId="0" borderId="1" xfId="22" applyFont="1" applyBorder="1" applyAlignment="1">
      <alignment horizontal="center" vertical="center"/>
    </xf>
    <xf numFmtId="0" fontId="3" fillId="0" borderId="0" xfId="22" applyFont="1" applyAlignment="1">
      <alignment horizontal="center" wrapText="1"/>
    </xf>
    <xf numFmtId="0" fontId="3" fillId="0" borderId="0" xfId="22" quotePrefix="1" applyFont="1" applyBorder="1" applyAlignment="1">
      <alignment horizontal="center"/>
    </xf>
    <xf numFmtId="0" fontId="3" fillId="0" borderId="1" xfId="22" quotePrefix="1" applyFont="1" applyBorder="1" applyAlignment="1">
      <alignment horizontal="center"/>
    </xf>
    <xf numFmtId="0" fontId="22" fillId="0" borderId="0" xfId="24" applyFont="1" applyAlignment="1">
      <alignment horizontal="center"/>
    </xf>
    <xf numFmtId="0" fontId="19" fillId="0" borderId="0" xfId="24" applyFont="1" applyAlignment="1">
      <alignment horizontal="center"/>
    </xf>
    <xf numFmtId="0" fontId="2" fillId="0" borderId="0" xfId="24" applyAlignment="1">
      <alignment horizontal="left"/>
    </xf>
    <xf numFmtId="0" fontId="21" fillId="0" borderId="0" xfId="24" applyFont="1" applyAlignment="1">
      <alignment horizontal="center"/>
    </xf>
    <xf numFmtId="44" fontId="12" fillId="0" borderId="19" xfId="5" applyFont="1" applyBorder="1" applyAlignment="1">
      <alignment horizontal="center"/>
    </xf>
    <xf numFmtId="44" fontId="12" fillId="0" borderId="29" xfId="5" applyFont="1" applyBorder="1" applyAlignment="1">
      <alignment horizontal="center"/>
    </xf>
    <xf numFmtId="0" fontId="25" fillId="0" borderId="0" xfId="24" applyFont="1" applyAlignment="1">
      <alignment horizontal="center"/>
    </xf>
    <xf numFmtId="9" fontId="0" fillId="0" borderId="0" xfId="0" applyNumberFormat="1"/>
    <xf numFmtId="164" fontId="9" fillId="9" borderId="10" xfId="1" applyNumberFormat="1" applyFont="1" applyFill="1" applyBorder="1" applyAlignment="1">
      <alignment vertical="center"/>
    </xf>
    <xf numFmtId="44" fontId="7" fillId="3" borderId="10" xfId="4" applyNumberFormat="1" applyFont="1" applyFill="1" applyBorder="1" applyAlignment="1">
      <alignment horizontal="center" vertical="center"/>
    </xf>
    <xf numFmtId="44" fontId="0" fillId="0" borderId="0" xfId="0" applyNumberFormat="1"/>
    <xf numFmtId="0" fontId="1" fillId="0" borderId="0" xfId="22" quotePrefix="1" applyFont="1" applyBorder="1" applyAlignment="1">
      <alignment horizontal="center"/>
    </xf>
    <xf numFmtId="43" fontId="23" fillId="0" borderId="26" xfId="24" applyNumberFormat="1" applyFont="1" applyBorder="1"/>
    <xf numFmtId="43" fontId="2" fillId="0" borderId="27" xfId="24" applyNumberFormat="1" applyBorder="1"/>
    <xf numFmtId="43" fontId="9" fillId="0" borderId="28" xfId="25" applyNumberFormat="1" applyFont="1" applyBorder="1"/>
    <xf numFmtId="43" fontId="25" fillId="0" borderId="1" xfId="25" applyNumberFormat="1" applyFont="1" applyBorder="1"/>
    <xf numFmtId="43" fontId="25" fillId="0" borderId="0" xfId="24" applyNumberFormat="1" applyFont="1"/>
  </cellXfs>
  <cellStyles count="27">
    <cellStyle name="20% - Ênfase1" xfId="9" builtinId="30" customBuiltin="1"/>
    <cellStyle name="20% - Ênfase2" xfId="11" builtinId="34" customBuiltin="1"/>
    <cellStyle name="20% - Ênfase3" xfId="13" builtinId="38" customBuiltin="1"/>
    <cellStyle name="20% - Ênfase4" xfId="15" builtinId="42" customBuiltin="1"/>
    <cellStyle name="20% - Ênfase5" xfId="17" builtinId="46" customBuiltin="1"/>
    <cellStyle name="20% - Ênfase6" xfId="19" builtinId="50" customBuiltin="1"/>
    <cellStyle name="40% - Ênfase1" xfId="10" builtinId="31" customBuiltin="1"/>
    <cellStyle name="40% - Ênfase2" xfId="12" builtinId="35" customBuiltin="1"/>
    <cellStyle name="40% - Ênfase3" xfId="14" builtinId="39" customBuiltin="1"/>
    <cellStyle name="40% - Ênfase4" xfId="16" builtinId="43" customBuiltin="1"/>
    <cellStyle name="40% - Ênfase5" xfId="18" builtinId="47" customBuiltin="1"/>
    <cellStyle name="40% - Ênfase6" xfId="20" builtinId="51" customBuiltin="1"/>
    <cellStyle name="Ênfase1 2" xfId="7" xr:uid="{00000000-0005-0000-0000-00000F000000}"/>
    <cellStyle name="Ênfase2 2" xfId="8" xr:uid="{00000000-0005-0000-0000-000010000000}"/>
    <cellStyle name="Ênfase5 2" xfId="2" xr:uid="{00000000-0005-0000-0000-000012000000}"/>
    <cellStyle name="Moeda" xfId="5" builtinId="4"/>
    <cellStyle name="Moeda 2" xfId="4" xr:uid="{00000000-0005-0000-0000-000015000000}"/>
    <cellStyle name="Moeda 2 2" xfId="25" xr:uid="{6D1EB162-68DE-4547-8737-3DB68858CC76}"/>
    <cellStyle name="Normal" xfId="0" builtinId="0" customBuiltin="1"/>
    <cellStyle name="Normal 2" xfId="1" xr:uid="{00000000-0005-0000-0000-000018000000}"/>
    <cellStyle name="Normal 3" xfId="6" xr:uid="{00000000-0005-0000-0000-000019000000}"/>
    <cellStyle name="Normal 4" xfId="22" xr:uid="{24BEB90B-9AEA-4B1E-8EBB-013DCA5A10B6}"/>
    <cellStyle name="Normal 5" xfId="24" xr:uid="{A8E0FFBA-E962-4714-B3BB-EFDF2A8CA2AC}"/>
    <cellStyle name="Porcentagem" xfId="23" builtinId="5"/>
    <cellStyle name="Titles" xfId="21" xr:uid="{00000000-0005-0000-0000-00001B000000}"/>
    <cellStyle name="Vírgula 2" xfId="3" xr:uid="{00000000-0005-0000-0000-00001C000000}"/>
    <cellStyle name="Vírgula 2 2" xfId="26" xr:uid="{550EA974-EC16-480A-883F-EB6AECD1AC05}"/>
  </cellStyles>
  <dxfs count="0"/>
  <tableStyles count="0" defaultTableStyle="TableStyleMedium2" defaultPivotStyle="PivotStyleMedium9"/>
  <colors>
    <mruColors>
      <color rgb="FF9506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95250</xdr:rowOff>
    </xdr:from>
    <xdr:to>
      <xdr:col>7</xdr:col>
      <xdr:colOff>419100</xdr:colOff>
      <xdr:row>41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9903546-B365-4D0C-91B5-5CD66C285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22" b="2726"/>
        <a:stretch/>
      </xdr:blipFill>
      <xdr:spPr>
        <a:xfrm>
          <a:off x="0" y="8639175"/>
          <a:ext cx="8620125" cy="2733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%20Family%20Budget_Final%20Design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ório do Orçamento Mensal"/>
      <sheetName val="Despesas Mensais"/>
      <sheetName val="Dados Adicionais"/>
      <sheetName val="3 Family Budget_Final Design1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1F0B-7BC6-41FD-A461-6B49E697BB6B}">
  <dimension ref="A1:A9"/>
  <sheetViews>
    <sheetView workbookViewId="0">
      <selection activeCell="C12" sqref="C12"/>
    </sheetView>
  </sheetViews>
  <sheetFormatPr defaultRowHeight="21" x14ac:dyDescent="0.35"/>
  <cols>
    <col min="1" max="1" width="22" bestFit="1" customWidth="1"/>
  </cols>
  <sheetData>
    <row r="1" spans="1:1" x14ac:dyDescent="0.35">
      <c r="A1" s="100" t="s">
        <v>234</v>
      </c>
    </row>
    <row r="2" spans="1:1" x14ac:dyDescent="0.35">
      <c r="A2" s="100" t="s">
        <v>235</v>
      </c>
    </row>
    <row r="3" spans="1:1" x14ac:dyDescent="0.35">
      <c r="A3" s="100" t="s">
        <v>236</v>
      </c>
    </row>
    <row r="4" spans="1:1" x14ac:dyDescent="0.35">
      <c r="A4" s="101" t="s">
        <v>237</v>
      </c>
    </row>
    <row r="5" spans="1:1" x14ac:dyDescent="0.35">
      <c r="A5" s="101" t="s">
        <v>238</v>
      </c>
    </row>
    <row r="6" spans="1:1" x14ac:dyDescent="0.35">
      <c r="A6" s="101" t="s">
        <v>239</v>
      </c>
    </row>
    <row r="7" spans="1:1" x14ac:dyDescent="0.35">
      <c r="A7" s="102" t="s">
        <v>240</v>
      </c>
    </row>
    <row r="8" spans="1:1" x14ac:dyDescent="0.35">
      <c r="A8" s="102" t="s">
        <v>241</v>
      </c>
    </row>
    <row r="9" spans="1:1" x14ac:dyDescent="0.35">
      <c r="A9" s="102" t="s">
        <v>242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16" zoomScaleNormal="100" workbookViewId="0">
      <selection activeCell="F7" sqref="F7"/>
    </sheetView>
  </sheetViews>
  <sheetFormatPr defaultColWidth="11.90625" defaultRowHeight="21" x14ac:dyDescent="0.35"/>
  <cols>
    <col min="1" max="1" width="14.453125" bestFit="1" customWidth="1"/>
    <col min="2" max="2" width="5.6328125" customWidth="1"/>
    <col min="3" max="4" width="7.1796875" customWidth="1"/>
    <col min="5" max="5" width="5.54296875" customWidth="1"/>
    <col min="6" max="6" width="26.36328125" customWidth="1"/>
  </cols>
  <sheetData>
    <row r="1" spans="1:6" x14ac:dyDescent="0.35">
      <c r="A1" s="26"/>
      <c r="B1" s="26"/>
      <c r="C1" s="26"/>
      <c r="D1" s="26"/>
      <c r="E1" s="26"/>
      <c r="F1" s="26"/>
    </row>
    <row r="2" spans="1:6" x14ac:dyDescent="0.35">
      <c r="A2" s="103" t="s">
        <v>243</v>
      </c>
      <c r="C2" s="135" t="s">
        <v>69</v>
      </c>
      <c r="D2" s="135"/>
      <c r="E2" s="26"/>
      <c r="F2" s="30" t="s">
        <v>0</v>
      </c>
    </row>
    <row r="3" spans="1:6" x14ac:dyDescent="0.35">
      <c r="A3" s="29" t="s">
        <v>1</v>
      </c>
      <c r="C3" s="28"/>
      <c r="D3" s="28"/>
      <c r="E3" s="26"/>
      <c r="F3" s="26"/>
    </row>
    <row r="4" spans="1:6" x14ac:dyDescent="0.35">
      <c r="A4" s="29" t="s">
        <v>2</v>
      </c>
      <c r="C4" s="29">
        <v>10</v>
      </c>
      <c r="D4" s="29">
        <v>5</v>
      </c>
      <c r="E4" s="26"/>
      <c r="F4" s="28">
        <f>C4+D4</f>
        <v>15</v>
      </c>
    </row>
    <row r="5" spans="1:6" x14ac:dyDescent="0.35">
      <c r="A5" s="27"/>
      <c r="C5" s="27"/>
      <c r="D5" s="27"/>
      <c r="E5" s="26"/>
      <c r="F5" s="26"/>
    </row>
    <row r="6" spans="1:6" x14ac:dyDescent="0.35">
      <c r="A6" s="29" t="s">
        <v>3</v>
      </c>
      <c r="C6" s="29"/>
      <c r="D6" s="29"/>
      <c r="E6" s="26"/>
      <c r="F6" s="26"/>
    </row>
    <row r="7" spans="1:6" x14ac:dyDescent="0.35">
      <c r="A7" s="29" t="s">
        <v>4</v>
      </c>
      <c r="C7" s="29">
        <v>11</v>
      </c>
      <c r="D7" s="29">
        <v>8</v>
      </c>
      <c r="E7" s="26"/>
      <c r="F7" s="28">
        <f>C7-D7</f>
        <v>3</v>
      </c>
    </row>
    <row r="8" spans="1:6" x14ac:dyDescent="0.35">
      <c r="A8" s="27"/>
      <c r="C8" s="27"/>
      <c r="D8" s="27"/>
      <c r="E8" s="26"/>
      <c r="F8" s="26"/>
    </row>
    <row r="9" spans="1:6" x14ac:dyDescent="0.35">
      <c r="A9" s="29" t="s">
        <v>5</v>
      </c>
      <c r="C9" s="29"/>
      <c r="D9" s="29"/>
      <c r="E9" s="26"/>
      <c r="F9" s="26"/>
    </row>
    <row r="10" spans="1:6" x14ac:dyDescent="0.35">
      <c r="A10" s="29" t="s">
        <v>6</v>
      </c>
      <c r="C10" s="29">
        <v>20</v>
      </c>
      <c r="D10" s="29">
        <v>5</v>
      </c>
      <c r="E10" s="26"/>
      <c r="F10" s="28">
        <f>C10/D10</f>
        <v>4</v>
      </c>
    </row>
    <row r="11" spans="1:6" x14ac:dyDescent="0.35">
      <c r="A11" s="27"/>
      <c r="C11" s="27"/>
      <c r="D11" s="27"/>
      <c r="E11" s="26"/>
      <c r="F11" s="26"/>
    </row>
    <row r="12" spans="1:6" x14ac:dyDescent="0.35">
      <c r="A12" s="29" t="s">
        <v>7</v>
      </c>
      <c r="C12" s="29"/>
      <c r="D12" s="29"/>
      <c r="E12" s="26"/>
      <c r="F12" s="26"/>
    </row>
    <row r="13" spans="1:6" x14ac:dyDescent="0.35">
      <c r="A13" s="29" t="s">
        <v>8</v>
      </c>
      <c r="C13" s="29">
        <v>3</v>
      </c>
      <c r="D13" s="29">
        <v>9</v>
      </c>
      <c r="E13" s="26"/>
      <c r="F13" s="28">
        <f>C13*D13</f>
        <v>27</v>
      </c>
    </row>
    <row r="14" spans="1:6" x14ac:dyDescent="0.35">
      <c r="A14" s="27"/>
      <c r="C14" s="27"/>
      <c r="D14" s="27"/>
      <c r="E14" s="26"/>
      <c r="F14" s="26"/>
    </row>
    <row r="15" spans="1:6" x14ac:dyDescent="0.35">
      <c r="A15" s="29" t="s">
        <v>9</v>
      </c>
      <c r="C15" s="29"/>
      <c r="D15" s="29"/>
      <c r="E15" s="26"/>
      <c r="F15" s="26"/>
    </row>
    <row r="16" spans="1:6" x14ac:dyDescent="0.35">
      <c r="A16" s="29" t="s">
        <v>10</v>
      </c>
      <c r="C16" s="29">
        <v>2</v>
      </c>
      <c r="D16" s="29">
        <v>5</v>
      </c>
      <c r="E16" s="26"/>
      <c r="F16" s="28">
        <f>2^5</f>
        <v>32</v>
      </c>
    </row>
    <row r="17" spans="1:6" x14ac:dyDescent="0.35">
      <c r="A17" s="27"/>
      <c r="C17" s="27"/>
      <c r="D17" s="27"/>
      <c r="E17" s="26"/>
      <c r="F17" s="26"/>
    </row>
    <row r="18" spans="1:6" x14ac:dyDescent="0.35">
      <c r="A18" s="29" t="s">
        <v>11</v>
      </c>
      <c r="C18" s="29"/>
      <c r="D18" s="29"/>
      <c r="E18" s="26"/>
      <c r="F18" s="26"/>
    </row>
    <row r="19" spans="1:6" x14ac:dyDescent="0.35">
      <c r="A19" s="29" t="s">
        <v>12</v>
      </c>
      <c r="C19" s="104">
        <v>0.5</v>
      </c>
      <c r="D19" s="29">
        <v>200</v>
      </c>
      <c r="E19" s="26"/>
      <c r="F19" s="28">
        <f>D19*C19</f>
        <v>100</v>
      </c>
    </row>
    <row r="20" spans="1:6" x14ac:dyDescent="0.35">
      <c r="C20" s="204">
        <v>0.13</v>
      </c>
      <c r="D20">
        <v>1300</v>
      </c>
      <c r="F20">
        <f>D20*13/100</f>
        <v>169</v>
      </c>
    </row>
    <row r="23" spans="1:6" x14ac:dyDescent="0.35">
      <c r="A23" s="132" t="s">
        <v>120</v>
      </c>
      <c r="B23" s="132"/>
      <c r="C23" s="132"/>
      <c r="D23" s="132"/>
      <c r="E23" s="132"/>
    </row>
    <row r="24" spans="1:6" x14ac:dyDescent="0.35">
      <c r="A24" s="133" t="s">
        <v>121</v>
      </c>
      <c r="B24" s="133"/>
      <c r="C24" s="133"/>
      <c r="D24" s="133"/>
      <c r="E24" s="133"/>
    </row>
    <row r="25" spans="1:6" x14ac:dyDescent="0.35">
      <c r="A25" s="132" t="s">
        <v>122</v>
      </c>
      <c r="B25" s="132"/>
      <c r="C25" s="132"/>
      <c r="D25" s="132"/>
      <c r="E25" s="132"/>
    </row>
    <row r="26" spans="1:6" x14ac:dyDescent="0.35">
      <c r="A26" s="133" t="s">
        <v>123</v>
      </c>
      <c r="B26" s="133"/>
      <c r="C26" s="133"/>
      <c r="D26" s="133"/>
      <c r="E26" s="133"/>
    </row>
    <row r="27" spans="1:6" x14ac:dyDescent="0.35">
      <c r="A27" s="132" t="s">
        <v>124</v>
      </c>
      <c r="B27" s="132"/>
      <c r="C27" s="132"/>
      <c r="D27" s="132"/>
      <c r="E27" s="132"/>
    </row>
    <row r="28" spans="1:6" x14ac:dyDescent="0.35">
      <c r="A28" s="133" t="s">
        <v>125</v>
      </c>
      <c r="B28" s="133"/>
      <c r="C28" s="133"/>
      <c r="D28" s="133"/>
      <c r="E28" s="133"/>
    </row>
    <row r="29" spans="1:6" x14ac:dyDescent="0.35">
      <c r="A29" s="132" t="s">
        <v>126</v>
      </c>
      <c r="B29" s="132"/>
      <c r="C29" s="132"/>
      <c r="D29" s="132"/>
      <c r="E29" s="132"/>
    </row>
    <row r="30" spans="1:6" ht="42.75" customHeight="1" x14ac:dyDescent="0.35">
      <c r="A30" s="134" t="s">
        <v>127</v>
      </c>
      <c r="B30" s="134"/>
      <c r="C30" s="134"/>
      <c r="D30" s="134"/>
      <c r="E30" s="134"/>
    </row>
  </sheetData>
  <mergeCells count="9">
    <mergeCell ref="A27:E27"/>
    <mergeCell ref="A28:E28"/>
    <mergeCell ref="A29:E29"/>
    <mergeCell ref="A30:E30"/>
    <mergeCell ref="C2:D2"/>
    <mergeCell ref="A23:E23"/>
    <mergeCell ref="A24:E24"/>
    <mergeCell ref="A25:E25"/>
    <mergeCell ref="A26:E2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0"/>
  <sheetViews>
    <sheetView topLeftCell="G1" zoomScaleNormal="100" workbookViewId="0">
      <selection activeCell="O9" sqref="O9"/>
    </sheetView>
  </sheetViews>
  <sheetFormatPr defaultColWidth="0" defaultRowHeight="18.75" zeroHeight="1" x14ac:dyDescent="0.35"/>
  <cols>
    <col min="1" max="1" width="8.7265625" style="45" bestFit="1" customWidth="1"/>
    <col min="2" max="2" width="7.1796875" style="45" bestFit="1" customWidth="1"/>
    <col min="3" max="3" width="5.7265625" style="45" bestFit="1" customWidth="1"/>
    <col min="4" max="4" width="7" style="45" bestFit="1" customWidth="1"/>
    <col min="5" max="5" width="7.81640625" style="45" bestFit="1" customWidth="1"/>
    <col min="6" max="6" width="27" style="45" customWidth="1"/>
    <col min="7" max="7" width="4.453125" style="45" bestFit="1" customWidth="1"/>
    <col min="8" max="8" width="10.7265625" style="45" bestFit="1" customWidth="1"/>
    <col min="9" max="14" width="5.08984375" style="45" customWidth="1"/>
    <col min="15" max="15" width="14.1796875" style="45" bestFit="1" customWidth="1"/>
    <col min="16" max="16" width="7.453125" style="45" customWidth="1"/>
    <col min="17" max="38" width="0" style="45" hidden="1" customWidth="1"/>
    <col min="39" max="16384" width="8.7265625" style="45" hidden="1"/>
  </cols>
  <sheetData>
    <row r="1" spans="1:15" x14ac:dyDescent="0.35">
      <c r="A1" s="136" t="s">
        <v>57</v>
      </c>
      <c r="B1" s="137"/>
      <c r="C1" s="137"/>
      <c r="D1" s="137"/>
      <c r="E1" s="137"/>
      <c r="F1" s="141"/>
      <c r="H1" s="136" t="s">
        <v>13</v>
      </c>
      <c r="I1" s="137"/>
      <c r="J1" s="137"/>
      <c r="K1" s="137"/>
      <c r="L1" s="137"/>
      <c r="M1" s="137"/>
      <c r="N1" s="137"/>
      <c r="O1" s="137"/>
    </row>
    <row r="2" spans="1:15" ht="21" x14ac:dyDescent="0.35">
      <c r="A2" s="144"/>
      <c r="B2" s="145"/>
      <c r="C2" s="145"/>
      <c r="D2" s="145"/>
      <c r="E2" s="145"/>
      <c r="F2" s="146"/>
      <c r="H2" s="138"/>
      <c r="I2" s="139"/>
      <c r="J2" s="139"/>
      <c r="K2" s="139"/>
      <c r="L2" s="139"/>
      <c r="M2" s="139"/>
      <c r="N2" s="139"/>
      <c r="O2" s="140"/>
    </row>
    <row r="3" spans="1:15" ht="21" x14ac:dyDescent="0.35">
      <c r="A3" s="46"/>
      <c r="B3" s="142" t="s">
        <v>58</v>
      </c>
      <c r="C3" s="142"/>
      <c r="D3" s="142"/>
      <c r="E3" s="142"/>
      <c r="F3" s="143"/>
      <c r="H3" s="47" t="s">
        <v>14</v>
      </c>
      <c r="I3" s="48" t="s">
        <v>15</v>
      </c>
      <c r="J3" s="48" t="s">
        <v>16</v>
      </c>
      <c r="K3" s="48" t="s">
        <v>17</v>
      </c>
      <c r="L3" s="48" t="s">
        <v>18</v>
      </c>
      <c r="M3" s="48" t="s">
        <v>19</v>
      </c>
      <c r="N3" s="48" t="s">
        <v>20</v>
      </c>
      <c r="O3" s="44" t="s">
        <v>55</v>
      </c>
    </row>
    <row r="4" spans="1:15" ht="21" x14ac:dyDescent="0.35">
      <c r="A4" s="49" t="s">
        <v>59</v>
      </c>
      <c r="B4" s="50" t="s">
        <v>60</v>
      </c>
      <c r="C4" s="50" t="s">
        <v>61</v>
      </c>
      <c r="D4" s="50" t="s">
        <v>62</v>
      </c>
      <c r="E4" s="50" t="s">
        <v>63</v>
      </c>
      <c r="F4" s="43" t="s">
        <v>21</v>
      </c>
      <c r="H4" s="51" t="s">
        <v>22</v>
      </c>
      <c r="I4" s="52">
        <v>53</v>
      </c>
      <c r="J4" s="52">
        <v>47</v>
      </c>
      <c r="K4" s="52">
        <v>57</v>
      </c>
      <c r="L4" s="52">
        <v>48</v>
      </c>
      <c r="M4" s="52">
        <v>48</v>
      </c>
      <c r="N4" s="52">
        <v>49</v>
      </c>
      <c r="O4" s="53">
        <f>SUM(I4:N4)</f>
        <v>302</v>
      </c>
    </row>
    <row r="5" spans="1:15" ht="21" x14ac:dyDescent="0.35">
      <c r="A5" s="54" t="s">
        <v>64</v>
      </c>
      <c r="B5" s="55">
        <v>2</v>
      </c>
      <c r="C5" s="55">
        <v>1</v>
      </c>
      <c r="D5" s="55">
        <v>3</v>
      </c>
      <c r="E5" s="55">
        <v>1</v>
      </c>
      <c r="F5" s="56">
        <f>SUM(B5:E5)</f>
        <v>7</v>
      </c>
      <c r="H5" s="51" t="s">
        <v>23</v>
      </c>
      <c r="I5" s="52">
        <v>43</v>
      </c>
      <c r="J5" s="52">
        <v>56</v>
      </c>
      <c r="K5" s="52">
        <v>48</v>
      </c>
      <c r="L5" s="52">
        <v>51</v>
      </c>
      <c r="M5" s="52">
        <v>51</v>
      </c>
      <c r="N5" s="52">
        <v>43</v>
      </c>
      <c r="O5" s="53">
        <f t="shared" ref="O5:O9" si="0">SUM(I5:N5)</f>
        <v>292</v>
      </c>
    </row>
    <row r="6" spans="1:15" ht="21" x14ac:dyDescent="0.35">
      <c r="A6" s="54" t="s">
        <v>65</v>
      </c>
      <c r="B6" s="55">
        <v>3</v>
      </c>
      <c r="C6" s="55">
        <v>0</v>
      </c>
      <c r="D6" s="55">
        <v>2</v>
      </c>
      <c r="E6" s="55">
        <v>3</v>
      </c>
      <c r="F6" s="56">
        <f t="shared" ref="F6:F9" si="1">SUM(B6:E6)</f>
        <v>8</v>
      </c>
      <c r="H6" s="51" t="s">
        <v>24</v>
      </c>
      <c r="I6" s="52">
        <v>48</v>
      </c>
      <c r="J6" s="52">
        <v>58</v>
      </c>
      <c r="K6" s="52">
        <v>42</v>
      </c>
      <c r="L6" s="52">
        <v>46</v>
      </c>
      <c r="M6" s="52">
        <v>43</v>
      </c>
      <c r="N6" s="52">
        <v>45</v>
      </c>
      <c r="O6" s="53">
        <f t="shared" si="0"/>
        <v>282</v>
      </c>
    </row>
    <row r="7" spans="1:15" ht="21" x14ac:dyDescent="0.35">
      <c r="A7" s="54" t="s">
        <v>66</v>
      </c>
      <c r="B7" s="55">
        <v>1</v>
      </c>
      <c r="C7" s="55">
        <v>2</v>
      </c>
      <c r="D7" s="55">
        <v>2</v>
      </c>
      <c r="E7" s="55">
        <v>1</v>
      </c>
      <c r="F7" s="56">
        <f t="shared" si="1"/>
        <v>6</v>
      </c>
      <c r="H7" s="51" t="s">
        <v>25</v>
      </c>
      <c r="I7" s="52">
        <v>45</v>
      </c>
      <c r="J7" s="52">
        <v>54</v>
      </c>
      <c r="K7" s="52">
        <v>58</v>
      </c>
      <c r="L7" s="52">
        <v>49</v>
      </c>
      <c r="M7" s="52">
        <v>41</v>
      </c>
      <c r="N7" s="52">
        <v>44</v>
      </c>
      <c r="O7" s="53">
        <f t="shared" si="0"/>
        <v>291</v>
      </c>
    </row>
    <row r="8" spans="1:15" ht="21" x14ac:dyDescent="0.35">
      <c r="A8" s="54" t="s">
        <v>67</v>
      </c>
      <c r="B8" s="55">
        <v>2</v>
      </c>
      <c r="C8" s="55">
        <v>3</v>
      </c>
      <c r="D8" s="55">
        <v>1</v>
      </c>
      <c r="E8" s="55">
        <v>0</v>
      </c>
      <c r="F8" s="56">
        <f t="shared" si="1"/>
        <v>6</v>
      </c>
      <c r="H8" s="51" t="s">
        <v>26</v>
      </c>
      <c r="I8" s="52">
        <v>52</v>
      </c>
      <c r="J8" s="52">
        <v>59</v>
      </c>
      <c r="K8" s="52">
        <v>41</v>
      </c>
      <c r="L8" s="52">
        <v>47</v>
      </c>
      <c r="M8" s="52">
        <v>42</v>
      </c>
      <c r="N8" s="52">
        <v>52</v>
      </c>
      <c r="O8" s="53">
        <f t="shared" si="0"/>
        <v>293</v>
      </c>
    </row>
    <row r="9" spans="1:15" ht="21.75" thickBot="1" x14ac:dyDescent="0.4">
      <c r="A9" s="57" t="s">
        <v>68</v>
      </c>
      <c r="B9" s="58">
        <v>3</v>
      </c>
      <c r="C9" s="58">
        <v>2</v>
      </c>
      <c r="D9" s="58">
        <v>0</v>
      </c>
      <c r="E9" s="58">
        <v>1</v>
      </c>
      <c r="F9" s="56">
        <f t="shared" si="1"/>
        <v>6</v>
      </c>
      <c r="H9" s="59" t="s">
        <v>56</v>
      </c>
      <c r="I9" s="60">
        <f>SUM(I4:I8)</f>
        <v>241</v>
      </c>
      <c r="J9" s="60">
        <f t="shared" ref="J9:N9" si="2">SUM(J4:J8)</f>
        <v>274</v>
      </c>
      <c r="K9" s="60">
        <f t="shared" si="2"/>
        <v>246</v>
      </c>
      <c r="L9" s="60">
        <f t="shared" si="2"/>
        <v>241</v>
      </c>
      <c r="M9" s="60">
        <f t="shared" si="2"/>
        <v>225</v>
      </c>
      <c r="N9" s="60">
        <f t="shared" si="2"/>
        <v>233</v>
      </c>
      <c r="O9" s="53"/>
    </row>
    <row r="10" spans="1:15" x14ac:dyDescent="0.35"/>
    <row r="11" spans="1:15" hidden="1" x14ac:dyDescent="0.35"/>
    <row r="12" spans="1:15" hidden="1" x14ac:dyDescent="0.35"/>
    <row r="13" spans="1:15" hidden="1" x14ac:dyDescent="0.35"/>
    <row r="14" spans="1:15" hidden="1" x14ac:dyDescent="0.35"/>
    <row r="15" spans="1:15" hidden="1" x14ac:dyDescent="0.35"/>
    <row r="16" spans="1:15" hidden="1" x14ac:dyDescent="0.35"/>
    <row r="17" hidden="1" x14ac:dyDescent="0.35"/>
    <row r="18" hidden="1" x14ac:dyDescent="0.35"/>
    <row r="19" hidden="1" x14ac:dyDescent="0.35"/>
    <row r="20" hidden="1" x14ac:dyDescent="0.35"/>
  </sheetData>
  <mergeCells count="5">
    <mergeCell ref="H1:O1"/>
    <mergeCell ref="H2:O2"/>
    <mergeCell ref="A1:F1"/>
    <mergeCell ref="B3:F3"/>
    <mergeCell ref="A2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Normal="100" workbookViewId="0">
      <selection activeCell="I10" sqref="I10"/>
    </sheetView>
  </sheetViews>
  <sheetFormatPr defaultColWidth="0" defaultRowHeight="18.75" zeroHeight="1" x14ac:dyDescent="0.35"/>
  <cols>
    <col min="1" max="1" width="10.6328125" style="45" bestFit="1" customWidth="1"/>
    <col min="2" max="3" width="9.453125" style="45" bestFit="1" customWidth="1"/>
    <col min="4" max="4" width="8.1796875" style="45" bestFit="1" customWidth="1"/>
    <col min="5" max="5" width="3.6328125" style="45" customWidth="1"/>
    <col min="6" max="6" width="7.7265625" style="45" bestFit="1" customWidth="1"/>
    <col min="7" max="7" width="12" style="45" bestFit="1" customWidth="1"/>
    <col min="8" max="8" width="16.6328125" style="45" bestFit="1" customWidth="1"/>
    <col min="9" max="9" width="12" style="45" bestFit="1" customWidth="1"/>
    <col min="10" max="10" width="8.7265625" style="45" customWidth="1"/>
    <col min="11" max="16384" width="8.7265625" style="45" hidden="1"/>
  </cols>
  <sheetData>
    <row r="1" spans="1:9" ht="21" x14ac:dyDescent="0.35">
      <c r="A1" s="147" t="s">
        <v>27</v>
      </c>
      <c r="B1" s="148"/>
      <c r="C1" s="148"/>
      <c r="D1" s="149"/>
      <c r="F1" s="154" t="s">
        <v>70</v>
      </c>
      <c r="G1" s="155"/>
      <c r="H1" s="155"/>
      <c r="I1" s="156"/>
    </row>
    <row r="2" spans="1:9" ht="21" x14ac:dyDescent="0.35">
      <c r="A2" s="47" t="s">
        <v>28</v>
      </c>
      <c r="B2" s="48" t="s">
        <v>29</v>
      </c>
      <c r="C2" s="48" t="s">
        <v>30</v>
      </c>
      <c r="D2" s="44" t="s">
        <v>31</v>
      </c>
      <c r="F2" s="151"/>
      <c r="G2" s="152"/>
      <c r="H2" s="152"/>
      <c r="I2" s="153"/>
    </row>
    <row r="3" spans="1:9" ht="21" x14ac:dyDescent="0.35">
      <c r="A3" s="51" t="s">
        <v>32</v>
      </c>
      <c r="B3" s="61">
        <v>350</v>
      </c>
      <c r="C3" s="61">
        <v>320</v>
      </c>
      <c r="D3" s="62">
        <f>B3-C3</f>
        <v>30</v>
      </c>
      <c r="F3" s="150" t="s">
        <v>71</v>
      </c>
      <c r="G3" s="142"/>
      <c r="H3" s="142"/>
      <c r="I3" s="143"/>
    </row>
    <row r="4" spans="1:9" ht="21" x14ac:dyDescent="0.35">
      <c r="A4" s="51" t="s">
        <v>33</v>
      </c>
      <c r="B4" s="61">
        <v>340</v>
      </c>
      <c r="C4" s="61">
        <v>310</v>
      </c>
      <c r="D4" s="62">
        <f t="shared" ref="D4:D9" si="0">B4-C4</f>
        <v>30</v>
      </c>
      <c r="F4" s="49" t="s">
        <v>72</v>
      </c>
      <c r="G4" s="50" t="s">
        <v>73</v>
      </c>
      <c r="H4" s="50" t="s">
        <v>74</v>
      </c>
      <c r="I4" s="63" t="s">
        <v>75</v>
      </c>
    </row>
    <row r="5" spans="1:9" ht="21" x14ac:dyDescent="0.35">
      <c r="A5" s="51" t="s">
        <v>34</v>
      </c>
      <c r="B5" s="61">
        <v>360</v>
      </c>
      <c r="C5" s="61">
        <v>380</v>
      </c>
      <c r="D5" s="62">
        <f t="shared" si="0"/>
        <v>-20</v>
      </c>
      <c r="F5" s="54" t="s">
        <v>60</v>
      </c>
      <c r="G5" s="55">
        <v>25</v>
      </c>
      <c r="H5" s="55">
        <v>11</v>
      </c>
      <c r="I5" s="56">
        <f>G5-H5</f>
        <v>14</v>
      </c>
    </row>
    <row r="6" spans="1:9" ht="21" x14ac:dyDescent="0.35">
      <c r="A6" s="51" t="s">
        <v>35</v>
      </c>
      <c r="B6" s="61">
        <v>390</v>
      </c>
      <c r="C6" s="61">
        <v>410</v>
      </c>
      <c r="D6" s="62">
        <f t="shared" si="0"/>
        <v>-20</v>
      </c>
      <c r="F6" s="54" t="s">
        <v>61</v>
      </c>
      <c r="G6" s="55">
        <v>30</v>
      </c>
      <c r="H6" s="55">
        <v>8</v>
      </c>
      <c r="I6" s="56">
        <f t="shared" ref="I6:I9" si="1">G6-H6</f>
        <v>22</v>
      </c>
    </row>
    <row r="7" spans="1:9" ht="21" x14ac:dyDescent="0.35">
      <c r="A7" s="51" t="s">
        <v>36</v>
      </c>
      <c r="B7" s="61">
        <v>380</v>
      </c>
      <c r="C7" s="61">
        <v>340</v>
      </c>
      <c r="D7" s="62">
        <f t="shared" si="0"/>
        <v>40</v>
      </c>
      <c r="F7" s="54" t="s">
        <v>62</v>
      </c>
      <c r="G7" s="55">
        <v>18</v>
      </c>
      <c r="H7" s="55">
        <v>8</v>
      </c>
      <c r="I7" s="56">
        <f t="shared" si="1"/>
        <v>10</v>
      </c>
    </row>
    <row r="8" spans="1:9" ht="21" x14ac:dyDescent="0.35">
      <c r="A8" s="51" t="s">
        <v>37</v>
      </c>
      <c r="B8" s="61">
        <v>220</v>
      </c>
      <c r="C8" s="61">
        <v>310</v>
      </c>
      <c r="D8" s="62">
        <f t="shared" si="0"/>
        <v>-90</v>
      </c>
      <c r="F8" s="54" t="s">
        <v>63</v>
      </c>
      <c r="G8" s="55">
        <v>12</v>
      </c>
      <c r="H8" s="55">
        <v>6</v>
      </c>
      <c r="I8" s="56">
        <f t="shared" si="1"/>
        <v>6</v>
      </c>
    </row>
    <row r="9" spans="1:9" ht="21.75" thickBot="1" x14ac:dyDescent="0.4">
      <c r="A9" s="64" t="s">
        <v>21</v>
      </c>
      <c r="B9" s="65">
        <f>SUM(B3:B8)</f>
        <v>2040</v>
      </c>
      <c r="C9" s="65">
        <f>SUM(C3:C8)</f>
        <v>2070</v>
      </c>
      <c r="D9" s="62">
        <f t="shared" si="0"/>
        <v>-30</v>
      </c>
      <c r="F9" s="66" t="s">
        <v>76</v>
      </c>
      <c r="G9" s="67">
        <v>6</v>
      </c>
      <c r="H9" s="67">
        <v>4</v>
      </c>
      <c r="I9" s="56">
        <f t="shared" si="1"/>
        <v>2</v>
      </c>
    </row>
    <row r="10" spans="1:9" x14ac:dyDescent="0.35"/>
    <row r="11" spans="1:9" x14ac:dyDescent="0.35"/>
  </sheetData>
  <mergeCells count="4">
    <mergeCell ref="A1:D1"/>
    <mergeCell ref="F3:I3"/>
    <mergeCell ref="F2:I2"/>
    <mergeCell ref="F1:I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zoomScaleNormal="100" workbookViewId="0">
      <selection activeCell="I9" sqref="I9"/>
    </sheetView>
  </sheetViews>
  <sheetFormatPr defaultColWidth="0" defaultRowHeight="18.75" zeroHeight="1" x14ac:dyDescent="0.35"/>
  <cols>
    <col min="1" max="1" width="9.08984375" style="45" bestFit="1" customWidth="1"/>
    <col min="2" max="2" width="10" style="45" bestFit="1" customWidth="1"/>
    <col min="3" max="3" width="5.08984375" style="45" bestFit="1" customWidth="1"/>
    <col min="4" max="4" width="13.1796875" style="45" customWidth="1"/>
    <col min="5" max="5" width="8.7265625" style="45" customWidth="1"/>
    <col min="6" max="6" width="10.26953125" style="45" bestFit="1" customWidth="1"/>
    <col min="7" max="7" width="12" style="45" bestFit="1" customWidth="1"/>
    <col min="8" max="8" width="17.08984375" style="45" bestFit="1" customWidth="1"/>
    <col min="9" max="9" width="16.7265625" style="45" customWidth="1"/>
    <col min="10" max="10" width="8.7265625" style="45" customWidth="1"/>
    <col min="11" max="16384" width="8.7265625" style="45" hidden="1"/>
  </cols>
  <sheetData>
    <row r="1" spans="1:9" x14ac:dyDescent="0.35">
      <c r="A1" s="136" t="s">
        <v>38</v>
      </c>
      <c r="B1" s="137"/>
      <c r="C1" s="137"/>
      <c r="D1" s="141"/>
      <c r="F1" s="136" t="s">
        <v>77</v>
      </c>
      <c r="G1" s="137"/>
      <c r="H1" s="137"/>
      <c r="I1" s="141"/>
    </row>
    <row r="2" spans="1:9" ht="21" x14ac:dyDescent="0.35">
      <c r="A2" s="138"/>
      <c r="B2" s="139"/>
      <c r="C2" s="139"/>
      <c r="D2" s="140"/>
      <c r="F2" s="151"/>
      <c r="G2" s="152"/>
      <c r="H2" s="152"/>
      <c r="I2" s="153"/>
    </row>
    <row r="3" spans="1:9" ht="21" x14ac:dyDescent="0.35">
      <c r="A3" s="68" t="s">
        <v>39</v>
      </c>
      <c r="B3" s="69" t="s">
        <v>40</v>
      </c>
      <c r="C3" s="69" t="s">
        <v>41</v>
      </c>
      <c r="D3" s="70" t="s">
        <v>81</v>
      </c>
      <c r="F3" s="71" t="s">
        <v>78</v>
      </c>
      <c r="G3" s="157"/>
      <c r="H3" s="158"/>
      <c r="I3" s="159"/>
    </row>
    <row r="4" spans="1:9" ht="21" x14ac:dyDescent="0.35">
      <c r="A4" s="51" t="s">
        <v>42</v>
      </c>
      <c r="B4" s="52">
        <v>18</v>
      </c>
      <c r="C4" s="72">
        <v>5</v>
      </c>
      <c r="D4" s="205">
        <f>B4*C4</f>
        <v>90</v>
      </c>
      <c r="F4" s="3" t="s">
        <v>72</v>
      </c>
      <c r="G4" s="4" t="s">
        <v>79</v>
      </c>
      <c r="H4" s="5" t="s">
        <v>74</v>
      </c>
      <c r="I4" s="8" t="s">
        <v>80</v>
      </c>
    </row>
    <row r="5" spans="1:9" ht="21" x14ac:dyDescent="0.35">
      <c r="A5" s="51" t="s">
        <v>43</v>
      </c>
      <c r="B5" s="52">
        <v>22</v>
      </c>
      <c r="C5" s="72">
        <v>4</v>
      </c>
      <c r="D5" s="205">
        <f t="shared" ref="D5:D8" si="0">B5*C5</f>
        <v>88</v>
      </c>
      <c r="F5" s="54" t="s">
        <v>60</v>
      </c>
      <c r="G5" s="73">
        <v>29.9</v>
      </c>
      <c r="H5" s="55">
        <v>11</v>
      </c>
      <c r="I5" s="74">
        <f>PRODUCT(G5*H5)</f>
        <v>328.9</v>
      </c>
    </row>
    <row r="6" spans="1:9" ht="21" x14ac:dyDescent="0.35">
      <c r="A6" s="51" t="s">
        <v>44</v>
      </c>
      <c r="B6" s="52">
        <v>19</v>
      </c>
      <c r="C6" s="72">
        <v>5</v>
      </c>
      <c r="D6" s="205">
        <f>PRODUCT(B6:C6)</f>
        <v>95</v>
      </c>
      <c r="F6" s="54" t="s">
        <v>61</v>
      </c>
      <c r="G6" s="73">
        <v>39.9</v>
      </c>
      <c r="H6" s="55">
        <v>8</v>
      </c>
      <c r="I6" s="74">
        <f t="shared" ref="I6:I8" si="1">PRODUCT(G6*H6)</f>
        <v>319.2</v>
      </c>
    </row>
    <row r="7" spans="1:9" ht="21" x14ac:dyDescent="0.35">
      <c r="A7" s="51" t="s">
        <v>45</v>
      </c>
      <c r="B7" s="52">
        <v>12</v>
      </c>
      <c r="C7" s="72">
        <v>6</v>
      </c>
      <c r="D7" s="205">
        <f t="shared" ref="D7:D8" si="2">PRODUCT(B7:C7)</f>
        <v>72</v>
      </c>
      <c r="F7" s="54" t="s">
        <v>62</v>
      </c>
      <c r="G7" s="73">
        <v>79.900000000000006</v>
      </c>
      <c r="H7" s="55">
        <v>8</v>
      </c>
      <c r="I7" s="74">
        <f t="shared" si="1"/>
        <v>639.20000000000005</v>
      </c>
    </row>
    <row r="8" spans="1:9" ht="21.75" thickBot="1" x14ac:dyDescent="0.4">
      <c r="A8" s="64" t="s">
        <v>46</v>
      </c>
      <c r="B8" s="75">
        <v>35</v>
      </c>
      <c r="C8" s="76">
        <v>5</v>
      </c>
      <c r="D8" s="205">
        <f t="shared" si="2"/>
        <v>175</v>
      </c>
      <c r="F8" s="57" t="s">
        <v>63</v>
      </c>
      <c r="G8" s="77">
        <v>12.9</v>
      </c>
      <c r="H8" s="58">
        <v>6</v>
      </c>
      <c r="I8" s="74">
        <f t="shared" si="1"/>
        <v>77.400000000000006</v>
      </c>
    </row>
    <row r="9" spans="1:9" x14ac:dyDescent="0.35"/>
    <row r="10" spans="1:9" hidden="1" x14ac:dyDescent="0.35"/>
    <row r="11" spans="1:9" hidden="1" x14ac:dyDescent="0.35"/>
    <row r="12" spans="1:9" hidden="1" x14ac:dyDescent="0.35"/>
    <row r="13" spans="1:9" hidden="1" x14ac:dyDescent="0.35"/>
    <row r="14" spans="1:9" hidden="1" x14ac:dyDescent="0.35"/>
    <row r="15" spans="1:9" hidden="1" x14ac:dyDescent="0.35"/>
    <row r="16" spans="1:9" hidden="1" x14ac:dyDescent="0.35"/>
    <row r="17" hidden="1" x14ac:dyDescent="0.35"/>
    <row r="18" hidden="1" x14ac:dyDescent="0.35"/>
  </sheetData>
  <mergeCells count="5">
    <mergeCell ref="A1:D1"/>
    <mergeCell ref="A2:D2"/>
    <mergeCell ref="F1:I1"/>
    <mergeCell ref="G3:I3"/>
    <mergeCell ref="F2:I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zoomScaleNormal="100" workbookViewId="0">
      <selection activeCell="J6" sqref="J6"/>
    </sheetView>
  </sheetViews>
  <sheetFormatPr defaultColWidth="0" defaultRowHeight="21" zeroHeight="1" x14ac:dyDescent="0.35"/>
  <cols>
    <col min="1" max="1" width="6.26953125" style="78" bestFit="1" customWidth="1"/>
    <col min="2" max="2" width="15.6328125" style="78" bestFit="1" customWidth="1"/>
    <col min="3" max="3" width="6.7265625" style="78" bestFit="1" customWidth="1"/>
    <col min="4" max="4" width="18.36328125" style="78" bestFit="1" customWidth="1"/>
    <col min="5" max="5" width="8.7265625" style="78" customWidth="1"/>
    <col min="6" max="6" width="7.81640625" style="78" bestFit="1" customWidth="1"/>
    <col min="7" max="7" width="9.6328125" style="78" bestFit="1" customWidth="1"/>
    <col min="8" max="8" width="6.6328125" style="78" bestFit="1" customWidth="1"/>
    <col min="9" max="9" width="11" style="78" bestFit="1" customWidth="1"/>
    <col min="10" max="10" width="8.7265625" style="78" customWidth="1"/>
    <col min="11" max="16384" width="8.7265625" style="78" hidden="1"/>
  </cols>
  <sheetData>
    <row r="1" spans="1:9" x14ac:dyDescent="0.35">
      <c r="A1" s="160" t="s">
        <v>47</v>
      </c>
      <c r="B1" s="161"/>
      <c r="C1" s="161"/>
      <c r="D1" s="162"/>
      <c r="F1" s="163" t="s">
        <v>83</v>
      </c>
      <c r="G1" s="164"/>
      <c r="H1" s="164"/>
      <c r="I1" s="165"/>
    </row>
    <row r="2" spans="1:9" x14ac:dyDescent="0.35">
      <c r="A2" s="79" t="s">
        <v>48</v>
      </c>
      <c r="B2" s="80" t="s">
        <v>82</v>
      </c>
      <c r="C2" s="80" t="s">
        <v>49</v>
      </c>
      <c r="D2" s="81" t="s">
        <v>88</v>
      </c>
      <c r="F2" s="46"/>
      <c r="G2" s="166" t="s">
        <v>84</v>
      </c>
      <c r="H2" s="167"/>
      <c r="I2" s="168"/>
    </row>
    <row r="3" spans="1:9" ht="23.25" customHeight="1" x14ac:dyDescent="0.35">
      <c r="A3" s="13" t="s">
        <v>50</v>
      </c>
      <c r="B3" s="14">
        <v>5489249</v>
      </c>
      <c r="C3" s="11">
        <v>89</v>
      </c>
      <c r="D3" s="206">
        <f>B3/C3</f>
        <v>61676.955056179773</v>
      </c>
      <c r="F3" s="9" t="s">
        <v>72</v>
      </c>
      <c r="G3" s="5" t="s">
        <v>85</v>
      </c>
      <c r="H3" s="10" t="s">
        <v>86</v>
      </c>
      <c r="I3" s="17" t="s">
        <v>87</v>
      </c>
    </row>
    <row r="4" spans="1:9" x14ac:dyDescent="0.35">
      <c r="A4" s="13" t="s">
        <v>51</v>
      </c>
      <c r="B4" s="14">
        <v>6479954</v>
      </c>
      <c r="C4" s="11">
        <v>43</v>
      </c>
      <c r="D4" s="206">
        <f t="shared" ref="D4:D7" si="0">B4/C4</f>
        <v>150696.60465116278</v>
      </c>
      <c r="F4" s="54" t="s">
        <v>60</v>
      </c>
      <c r="G4" s="73">
        <v>328.9</v>
      </c>
      <c r="H4" s="82">
        <v>11</v>
      </c>
      <c r="I4" s="74">
        <f>G4/H4</f>
        <v>29.9</v>
      </c>
    </row>
    <row r="5" spans="1:9" x14ac:dyDescent="0.35">
      <c r="A5" s="13" t="s">
        <v>52</v>
      </c>
      <c r="B5" s="14">
        <v>8479632</v>
      </c>
      <c r="C5" s="11">
        <v>132</v>
      </c>
      <c r="D5" s="206">
        <f t="shared" si="0"/>
        <v>64239.63636363636</v>
      </c>
      <c r="F5" s="54" t="s">
        <v>61</v>
      </c>
      <c r="G5" s="73">
        <v>319.2</v>
      </c>
      <c r="H5" s="82">
        <v>8</v>
      </c>
      <c r="I5" s="74">
        <f t="shared" ref="I5:I7" si="1">G5/H5</f>
        <v>39.9</v>
      </c>
    </row>
    <row r="6" spans="1:9" x14ac:dyDescent="0.35">
      <c r="A6" s="13" t="s">
        <v>53</v>
      </c>
      <c r="B6" s="14">
        <v>3497624</v>
      </c>
      <c r="C6" s="11">
        <v>55</v>
      </c>
      <c r="D6" s="206">
        <f t="shared" si="0"/>
        <v>63593.163636363635</v>
      </c>
      <c r="F6" s="54" t="s">
        <v>62</v>
      </c>
      <c r="G6" s="73">
        <v>639.20000000000005</v>
      </c>
      <c r="H6" s="82">
        <v>8</v>
      </c>
      <c r="I6" s="74">
        <f t="shared" si="1"/>
        <v>79.900000000000006</v>
      </c>
    </row>
    <row r="7" spans="1:9" ht="21.75" thickBot="1" x14ac:dyDescent="0.4">
      <c r="A7" s="15" t="s">
        <v>54</v>
      </c>
      <c r="B7" s="16">
        <v>4799245</v>
      </c>
      <c r="C7" s="12">
        <v>26</v>
      </c>
      <c r="D7" s="206">
        <f t="shared" si="0"/>
        <v>184586.34615384616</v>
      </c>
      <c r="F7" s="57" t="s">
        <v>63</v>
      </c>
      <c r="G7" s="77">
        <v>77.400000000000006</v>
      </c>
      <c r="H7" s="83">
        <v>6</v>
      </c>
      <c r="I7" s="74">
        <f t="shared" si="1"/>
        <v>12.9</v>
      </c>
    </row>
    <row r="8" spans="1:9" x14ac:dyDescent="0.35"/>
    <row r="9" spans="1:9" hidden="1" x14ac:dyDescent="0.35"/>
    <row r="10" spans="1:9" hidden="1" x14ac:dyDescent="0.35"/>
    <row r="11" spans="1:9" hidden="1" x14ac:dyDescent="0.35"/>
    <row r="12" spans="1:9" hidden="1" x14ac:dyDescent="0.35"/>
    <row r="13" spans="1:9" hidden="1" x14ac:dyDescent="0.35"/>
    <row r="14" spans="1:9" hidden="1" x14ac:dyDescent="0.35"/>
    <row r="15" spans="1:9" hidden="1" x14ac:dyDescent="0.35"/>
    <row r="16" spans="1:9" hidden="1" x14ac:dyDescent="0.35"/>
  </sheetData>
  <mergeCells count="3">
    <mergeCell ref="A1:D1"/>
    <mergeCell ref="F1:I1"/>
    <mergeCell ref="G2:I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topLeftCell="A13" zoomScaleNormal="100" workbookViewId="0">
      <selection activeCell="C26" sqref="C26"/>
    </sheetView>
  </sheetViews>
  <sheetFormatPr defaultColWidth="8.7265625" defaultRowHeight="21" x14ac:dyDescent="0.35"/>
  <cols>
    <col min="1" max="1" width="10.81640625" bestFit="1" customWidth="1"/>
    <col min="2" max="2" width="11.6328125" bestFit="1" customWidth="1"/>
    <col min="3" max="3" width="16.54296875" bestFit="1" customWidth="1"/>
    <col min="4" max="6" width="20.6328125" customWidth="1"/>
    <col min="7" max="7" width="8.7265625" customWidth="1"/>
  </cols>
  <sheetData>
    <row r="1" spans="1:6" x14ac:dyDescent="0.35">
      <c r="A1" s="169" t="s">
        <v>89</v>
      </c>
      <c r="B1" s="170"/>
      <c r="C1" s="170"/>
      <c r="D1" s="170"/>
      <c r="E1" s="170"/>
      <c r="F1" s="170"/>
    </row>
    <row r="2" spans="1:6" x14ac:dyDescent="0.35">
      <c r="A2" s="171"/>
      <c r="B2" s="172"/>
      <c r="C2" s="172"/>
      <c r="D2" s="172"/>
      <c r="E2" s="172"/>
      <c r="F2" s="172"/>
    </row>
    <row r="3" spans="1:6" x14ac:dyDescent="0.35">
      <c r="A3" s="32" t="s">
        <v>90</v>
      </c>
      <c r="B3" s="33" t="s">
        <v>91</v>
      </c>
      <c r="C3" s="33" t="s">
        <v>92</v>
      </c>
      <c r="D3" s="33" t="s">
        <v>93</v>
      </c>
      <c r="E3" s="185" t="s">
        <v>94</v>
      </c>
      <c r="F3" s="185"/>
    </row>
    <row r="4" spans="1:6" x14ac:dyDescent="0.35">
      <c r="A4" s="1">
        <v>9295570160</v>
      </c>
      <c r="B4" s="6" t="s">
        <v>95</v>
      </c>
      <c r="C4" s="18">
        <v>145</v>
      </c>
      <c r="D4" s="18">
        <f>C4*15%</f>
        <v>21.75</v>
      </c>
      <c r="E4" s="186">
        <f>C4-D4</f>
        <v>123.25</v>
      </c>
      <c r="F4" s="186"/>
    </row>
    <row r="5" spans="1:6" x14ac:dyDescent="0.35">
      <c r="A5" s="1">
        <v>2630478103</v>
      </c>
      <c r="B5" s="6" t="s">
        <v>95</v>
      </c>
      <c r="C5" s="18">
        <v>789.5</v>
      </c>
      <c r="D5" s="18">
        <f t="shared" ref="D5:D8" si="0">C5*15%</f>
        <v>118.425</v>
      </c>
      <c r="E5" s="186">
        <f t="shared" ref="E5:E8" si="1">C5-D5</f>
        <v>671.07500000000005</v>
      </c>
      <c r="F5" s="186"/>
    </row>
    <row r="6" spans="1:6" x14ac:dyDescent="0.35">
      <c r="A6" s="1">
        <v>3682810381</v>
      </c>
      <c r="B6" s="6" t="s">
        <v>95</v>
      </c>
      <c r="C6" s="18">
        <v>4564.6499999999996</v>
      </c>
      <c r="D6" s="18">
        <f t="shared" si="0"/>
        <v>684.69749999999988</v>
      </c>
      <c r="E6" s="186">
        <f t="shared" si="1"/>
        <v>3879.9524999999999</v>
      </c>
      <c r="F6" s="186"/>
    </row>
    <row r="7" spans="1:6" x14ac:dyDescent="0.35">
      <c r="A7" s="1">
        <v>6384318293</v>
      </c>
      <c r="B7" s="6" t="s">
        <v>95</v>
      </c>
      <c r="C7" s="18">
        <v>3850.65</v>
      </c>
      <c r="D7" s="18">
        <f t="shared" si="0"/>
        <v>577.59749999999997</v>
      </c>
      <c r="E7" s="186">
        <f t="shared" si="1"/>
        <v>3273.0525000000002</v>
      </c>
      <c r="F7" s="186"/>
    </row>
    <row r="8" spans="1:6" ht="21.75" thickBot="1" x14ac:dyDescent="0.4">
      <c r="A8" s="2">
        <v>7295107540</v>
      </c>
      <c r="B8" s="7" t="s">
        <v>96</v>
      </c>
      <c r="C8" s="20">
        <v>456</v>
      </c>
      <c r="D8" s="18">
        <v>0</v>
      </c>
      <c r="E8" s="186">
        <f t="shared" si="1"/>
        <v>456</v>
      </c>
      <c r="F8" s="186"/>
    </row>
    <row r="10" spans="1:6" x14ac:dyDescent="0.35">
      <c r="A10" s="176" t="s">
        <v>97</v>
      </c>
      <c r="B10" s="177"/>
      <c r="C10" s="177"/>
      <c r="D10" s="177"/>
      <c r="E10" s="177"/>
      <c r="F10" s="178"/>
    </row>
    <row r="11" spans="1:6" x14ac:dyDescent="0.35">
      <c r="A11" s="176"/>
      <c r="B11" s="177"/>
      <c r="C11" s="177"/>
      <c r="D11" s="177"/>
      <c r="E11" s="177"/>
      <c r="F11" s="178"/>
    </row>
    <row r="12" spans="1:6" x14ac:dyDescent="0.35">
      <c r="A12" s="173"/>
      <c r="B12" s="174"/>
      <c r="C12" s="174"/>
      <c r="D12" s="174"/>
      <c r="E12" s="174"/>
      <c r="F12" s="175"/>
    </row>
    <row r="13" spans="1:6" ht="42" x14ac:dyDescent="0.35">
      <c r="A13" s="31" t="s">
        <v>98</v>
      </c>
      <c r="B13" s="31" t="s">
        <v>99</v>
      </c>
      <c r="C13" s="31" t="s">
        <v>100</v>
      </c>
      <c r="D13" s="31" t="s">
        <v>101</v>
      </c>
      <c r="E13" s="31" t="s">
        <v>102</v>
      </c>
      <c r="F13" s="31" t="s">
        <v>128</v>
      </c>
    </row>
    <row r="14" spans="1:6" x14ac:dyDescent="0.35">
      <c r="A14" s="1" t="s">
        <v>103</v>
      </c>
      <c r="B14" s="22">
        <v>1087</v>
      </c>
      <c r="C14" s="105">
        <v>42856</v>
      </c>
      <c r="D14" s="105">
        <v>42901</v>
      </c>
      <c r="E14" s="19">
        <f>B14*40%</f>
        <v>434.8</v>
      </c>
      <c r="F14" s="19">
        <f>SUM(B14,E14)</f>
        <v>1521.8</v>
      </c>
    </row>
    <row r="15" spans="1:6" x14ac:dyDescent="0.35">
      <c r="A15" s="1" t="s">
        <v>104</v>
      </c>
      <c r="B15" s="22">
        <v>1828</v>
      </c>
      <c r="C15" s="105">
        <v>42857</v>
      </c>
      <c r="D15" s="105">
        <v>42902</v>
      </c>
      <c r="E15" s="19">
        <f t="shared" ref="E15:E20" si="2">B15*40%</f>
        <v>731.2</v>
      </c>
      <c r="F15" s="19">
        <f t="shared" ref="F15:F20" si="3">SUM(B15,E15)</f>
        <v>2559.1999999999998</v>
      </c>
    </row>
    <row r="16" spans="1:6" x14ac:dyDescent="0.35">
      <c r="A16" s="1" t="s">
        <v>105</v>
      </c>
      <c r="B16" s="22">
        <v>1526</v>
      </c>
      <c r="C16" s="105">
        <v>42858</v>
      </c>
      <c r="D16" s="105">
        <v>42903</v>
      </c>
      <c r="E16" s="19">
        <f t="shared" si="2"/>
        <v>610.4</v>
      </c>
      <c r="F16" s="19">
        <f t="shared" si="3"/>
        <v>2136.4</v>
      </c>
    </row>
    <row r="17" spans="1:6" x14ac:dyDescent="0.35">
      <c r="A17" s="1" t="s">
        <v>106</v>
      </c>
      <c r="B17" s="22">
        <v>446</v>
      </c>
      <c r="C17" s="105">
        <v>42859</v>
      </c>
      <c r="D17" s="105">
        <v>42906</v>
      </c>
      <c r="E17" s="19">
        <f t="shared" si="2"/>
        <v>178.4</v>
      </c>
      <c r="F17" s="19">
        <f t="shared" si="3"/>
        <v>624.4</v>
      </c>
    </row>
    <row r="18" spans="1:6" x14ac:dyDescent="0.35">
      <c r="A18" s="1" t="s">
        <v>107</v>
      </c>
      <c r="B18" s="22">
        <v>688</v>
      </c>
      <c r="C18" s="105">
        <v>42860</v>
      </c>
      <c r="D18" s="105">
        <v>42907</v>
      </c>
      <c r="E18" s="19">
        <f t="shared" si="2"/>
        <v>275.2</v>
      </c>
      <c r="F18" s="19">
        <f t="shared" si="3"/>
        <v>963.2</v>
      </c>
    </row>
    <row r="19" spans="1:6" x14ac:dyDescent="0.35">
      <c r="A19" s="1" t="s">
        <v>108</v>
      </c>
      <c r="B19" s="22">
        <v>1262</v>
      </c>
      <c r="C19" s="105">
        <v>42861</v>
      </c>
      <c r="D19" s="105">
        <v>42908</v>
      </c>
      <c r="E19" s="19">
        <f t="shared" si="2"/>
        <v>504.8</v>
      </c>
      <c r="F19" s="19">
        <f t="shared" si="3"/>
        <v>1766.8</v>
      </c>
    </row>
    <row r="20" spans="1:6" ht="21.75" thickBot="1" x14ac:dyDescent="0.4">
      <c r="A20" s="2" t="s">
        <v>109</v>
      </c>
      <c r="B20" s="23">
        <v>1400</v>
      </c>
      <c r="C20" s="106">
        <v>42864</v>
      </c>
      <c r="D20" s="106">
        <v>42909</v>
      </c>
      <c r="E20" s="19">
        <f t="shared" si="2"/>
        <v>560</v>
      </c>
      <c r="F20" s="19">
        <f t="shared" si="3"/>
        <v>1960</v>
      </c>
    </row>
    <row r="22" spans="1:6" x14ac:dyDescent="0.35">
      <c r="A22" s="179" t="s">
        <v>110</v>
      </c>
      <c r="B22" s="180"/>
      <c r="C22" s="181"/>
    </row>
    <row r="23" spans="1:6" x14ac:dyDescent="0.35">
      <c r="A23" s="182"/>
      <c r="B23" s="183"/>
      <c r="C23" s="184"/>
    </row>
    <row r="24" spans="1:6" x14ac:dyDescent="0.35">
      <c r="A24" s="173"/>
      <c r="B24" s="174"/>
      <c r="C24" s="175"/>
    </row>
    <row r="25" spans="1:6" x14ac:dyDescent="0.35">
      <c r="A25" s="21" t="s">
        <v>90</v>
      </c>
      <c r="B25" s="24" t="s">
        <v>111</v>
      </c>
      <c r="C25" s="107" t="s">
        <v>112</v>
      </c>
    </row>
    <row r="26" spans="1:6" x14ac:dyDescent="0.35">
      <c r="A26" s="1" t="s">
        <v>113</v>
      </c>
      <c r="B26" s="22">
        <v>2018</v>
      </c>
      <c r="C26" s="25">
        <f>B26-(B26*30%)</f>
        <v>1412.6</v>
      </c>
      <c r="D26" s="207"/>
    </row>
    <row r="27" spans="1:6" x14ac:dyDescent="0.35">
      <c r="A27" s="1" t="s">
        <v>114</v>
      </c>
      <c r="B27" s="22">
        <v>1846</v>
      </c>
      <c r="C27" s="25">
        <f t="shared" ref="C27:C32" si="4">B27-(B27*30%)</f>
        <v>1292.2</v>
      </c>
      <c r="D27" s="207"/>
    </row>
    <row r="28" spans="1:6" x14ac:dyDescent="0.35">
      <c r="A28" s="1" t="s">
        <v>115</v>
      </c>
      <c r="B28" s="22">
        <v>2803</v>
      </c>
      <c r="C28" s="25">
        <f t="shared" si="4"/>
        <v>1962.1</v>
      </c>
    </row>
    <row r="29" spans="1:6" x14ac:dyDescent="0.35">
      <c r="A29" s="1" t="s">
        <v>116</v>
      </c>
      <c r="B29" s="22">
        <v>1870</v>
      </c>
      <c r="C29" s="25">
        <f t="shared" si="4"/>
        <v>1309</v>
      </c>
    </row>
    <row r="30" spans="1:6" x14ac:dyDescent="0.35">
      <c r="A30" s="1" t="s">
        <v>117</v>
      </c>
      <c r="B30" s="22">
        <v>1808</v>
      </c>
      <c r="C30" s="25">
        <f t="shared" si="4"/>
        <v>1265.5999999999999</v>
      </c>
    </row>
    <row r="31" spans="1:6" x14ac:dyDescent="0.35">
      <c r="A31" s="1" t="s">
        <v>118</v>
      </c>
      <c r="B31" s="22">
        <v>2675</v>
      </c>
      <c r="C31" s="25">
        <f t="shared" si="4"/>
        <v>1872.5</v>
      </c>
    </row>
    <row r="32" spans="1:6" ht="21.75" thickBot="1" x14ac:dyDescent="0.4">
      <c r="A32" s="2" t="s">
        <v>119</v>
      </c>
      <c r="B32" s="23">
        <v>1903</v>
      </c>
      <c r="C32" s="25">
        <f t="shared" si="4"/>
        <v>1332.1</v>
      </c>
    </row>
  </sheetData>
  <mergeCells count="12">
    <mergeCell ref="A1:F1"/>
    <mergeCell ref="A2:F2"/>
    <mergeCell ref="A24:C24"/>
    <mergeCell ref="A10:F11"/>
    <mergeCell ref="A22:C23"/>
    <mergeCell ref="A12:F12"/>
    <mergeCell ref="E3:F3"/>
    <mergeCell ref="E4:F4"/>
    <mergeCell ref="E5:F5"/>
    <mergeCell ref="E6:F6"/>
    <mergeCell ref="E7:F7"/>
    <mergeCell ref="E8:F8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A968-4D4D-4064-A2CF-37F8E1C74D0C}">
  <dimension ref="A1:F8"/>
  <sheetViews>
    <sheetView zoomScale="150" zoomScaleNormal="150" workbookViewId="0">
      <selection activeCell="E3" sqref="E3"/>
    </sheetView>
  </sheetViews>
  <sheetFormatPr defaultColWidth="0" defaultRowHeight="15" zeroHeight="1" x14ac:dyDescent="0.25"/>
  <cols>
    <col min="1" max="1" width="12.1796875" style="34" bestFit="1" customWidth="1"/>
    <col min="2" max="3" width="5.81640625" style="34" customWidth="1"/>
    <col min="4" max="4" width="8.08984375" style="34" customWidth="1"/>
    <col min="5" max="6" width="5.81640625" style="34" customWidth="1"/>
    <col min="7" max="16384" width="5.81640625" style="34" hidden="1"/>
  </cols>
  <sheetData>
    <row r="1" spans="1:6" x14ac:dyDescent="0.25">
      <c r="A1" s="35" t="s">
        <v>131</v>
      </c>
      <c r="B1" s="36">
        <v>800</v>
      </c>
    </row>
    <row r="2" spans="1:6" x14ac:dyDescent="0.25">
      <c r="A2" s="35" t="s">
        <v>130</v>
      </c>
      <c r="B2" s="42">
        <v>8.8999999999999996E-2</v>
      </c>
    </row>
    <row r="3" spans="1:6" x14ac:dyDescent="0.25">
      <c r="A3" s="35" t="s">
        <v>129</v>
      </c>
      <c r="B3" s="41">
        <f>B1*B2</f>
        <v>71.2</v>
      </c>
    </row>
    <row r="4" spans="1:6" x14ac:dyDescent="0.25"/>
    <row r="5" spans="1:6" x14ac:dyDescent="0.25">
      <c r="D5" s="84"/>
    </row>
    <row r="6" spans="1:6" x14ac:dyDescent="0.25">
      <c r="A6" s="187" t="s">
        <v>139</v>
      </c>
      <c r="B6" s="187"/>
      <c r="C6" s="187"/>
      <c r="D6" s="187"/>
      <c r="E6" s="187"/>
      <c r="F6" s="187"/>
    </row>
    <row r="7" spans="1:6" x14ac:dyDescent="0.25">
      <c r="A7" s="187"/>
      <c r="B7" s="187"/>
      <c r="C7" s="187"/>
      <c r="D7" s="187"/>
      <c r="E7" s="187"/>
      <c r="F7" s="187"/>
    </row>
    <row r="8" spans="1:6" x14ac:dyDescent="0.25">
      <c r="A8" s="188" t="s">
        <v>141</v>
      </c>
      <c r="B8" s="188"/>
      <c r="C8" s="188"/>
      <c r="D8" s="188"/>
      <c r="E8" s="188"/>
      <c r="F8" s="188"/>
    </row>
  </sheetData>
  <mergeCells count="2">
    <mergeCell ref="A6:F7"/>
    <mergeCell ref="A8:F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33AB-35A3-499A-94DF-E11F5A11092A}">
  <dimension ref="A1:F8"/>
  <sheetViews>
    <sheetView zoomScale="150" zoomScaleNormal="150" workbookViewId="0">
      <selection activeCell="B4" sqref="B4"/>
    </sheetView>
  </sheetViews>
  <sheetFormatPr defaultColWidth="0" defaultRowHeight="15" zeroHeight="1" x14ac:dyDescent="0.25"/>
  <cols>
    <col min="1" max="1" width="12.1796875" style="34" bestFit="1" customWidth="1"/>
    <col min="2" max="6" width="5.81640625" style="34" customWidth="1"/>
    <col min="7" max="16384" width="5.81640625" style="34" hidden="1"/>
  </cols>
  <sheetData>
    <row r="1" spans="1:6" x14ac:dyDescent="0.25">
      <c r="A1" s="35" t="s">
        <v>131</v>
      </c>
      <c r="B1" s="41">
        <f>B3/B2</f>
        <v>800.00000000000011</v>
      </c>
    </row>
    <row r="2" spans="1:6" x14ac:dyDescent="0.25">
      <c r="A2" s="35" t="s">
        <v>130</v>
      </c>
      <c r="B2" s="42">
        <v>8.8999999999999996E-2</v>
      </c>
    </row>
    <row r="3" spans="1:6" x14ac:dyDescent="0.25">
      <c r="A3" s="35" t="s">
        <v>129</v>
      </c>
      <c r="B3" s="36">
        <v>71.2</v>
      </c>
    </row>
    <row r="4" spans="1:6" x14ac:dyDescent="0.25"/>
    <row r="5" spans="1:6" x14ac:dyDescent="0.25">
      <c r="C5" s="108"/>
    </row>
    <row r="6" spans="1:6" ht="15" customHeight="1" x14ac:dyDescent="0.25">
      <c r="A6" s="187" t="s">
        <v>140</v>
      </c>
      <c r="B6" s="187"/>
      <c r="C6" s="187"/>
      <c r="D6" s="187"/>
      <c r="E6" s="187"/>
      <c r="F6" s="187"/>
    </row>
    <row r="7" spans="1:6" ht="15" customHeight="1" x14ac:dyDescent="0.25">
      <c r="A7" s="187"/>
      <c r="B7" s="187"/>
      <c r="C7" s="187"/>
      <c r="D7" s="187"/>
      <c r="E7" s="187"/>
      <c r="F7" s="187"/>
    </row>
    <row r="8" spans="1:6" ht="15" customHeight="1" x14ac:dyDescent="0.25">
      <c r="A8" s="189" t="s">
        <v>138</v>
      </c>
      <c r="B8" s="189"/>
      <c r="C8" s="189"/>
      <c r="D8" s="189"/>
      <c r="E8" s="189"/>
      <c r="F8" s="189"/>
    </row>
  </sheetData>
  <mergeCells count="2">
    <mergeCell ref="A8:F8"/>
    <mergeCell ref="A6:F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8D20-2A5D-41A3-9151-02C12ECB1837}">
  <dimension ref="A1:F12"/>
  <sheetViews>
    <sheetView zoomScale="150" zoomScaleNormal="150" workbookViewId="0">
      <selection activeCell="B4" sqref="B4"/>
    </sheetView>
  </sheetViews>
  <sheetFormatPr defaultColWidth="5.81640625" defaultRowHeight="15" customHeight="1" x14ac:dyDescent="0.25"/>
  <cols>
    <col min="1" max="1" width="7.1796875" style="86" bestFit="1" customWidth="1"/>
    <col min="2" max="2" width="7.81640625" style="86" bestFit="1" customWidth="1"/>
    <col min="3" max="3" width="5.81640625" style="86" customWidth="1"/>
    <col min="4" max="4" width="14.26953125" style="86" customWidth="1"/>
    <col min="5" max="5" width="5.81640625" style="86" customWidth="1"/>
    <col min="6" max="16384" width="5.81640625" style="86"/>
  </cols>
  <sheetData>
    <row r="1" spans="1:6" ht="15" customHeight="1" x14ac:dyDescent="0.25">
      <c r="A1" s="87" t="s">
        <v>134</v>
      </c>
      <c r="B1" s="109">
        <v>2342</v>
      </c>
      <c r="D1" s="88"/>
      <c r="E1" s="89"/>
    </row>
    <row r="2" spans="1:6" ht="15" customHeight="1" x14ac:dyDescent="0.25">
      <c r="A2" s="87" t="s">
        <v>133</v>
      </c>
      <c r="B2" s="109">
        <v>2500</v>
      </c>
    </row>
    <row r="3" spans="1:6" ht="15" customHeight="1" x14ac:dyDescent="0.25">
      <c r="A3" s="87" t="s">
        <v>132</v>
      </c>
      <c r="B3" s="90">
        <f>(B2/B1)-1</f>
        <v>6.7463706233988008E-2</v>
      </c>
      <c r="C3" s="92"/>
      <c r="D3" s="92"/>
      <c r="E3" s="92"/>
    </row>
    <row r="4" spans="1:6" ht="15" customHeight="1" x14ac:dyDescent="0.25">
      <c r="C4" s="92"/>
      <c r="D4" s="92"/>
      <c r="E4" s="92"/>
    </row>
    <row r="5" spans="1:6" ht="15" customHeight="1" x14ac:dyDescent="0.25">
      <c r="C5" s="92"/>
      <c r="D5" s="92"/>
      <c r="E5" s="92"/>
    </row>
    <row r="6" spans="1:6" ht="15" customHeight="1" x14ac:dyDescent="0.25">
      <c r="C6" s="92"/>
      <c r="D6" s="92"/>
      <c r="E6" s="92"/>
    </row>
    <row r="8" spans="1:6" ht="15" customHeight="1" x14ac:dyDescent="0.25">
      <c r="A8" s="192" t="s">
        <v>143</v>
      </c>
      <c r="B8" s="192"/>
      <c r="C8" s="192"/>
      <c r="D8" s="192"/>
    </row>
    <row r="9" spans="1:6" ht="15" customHeight="1" x14ac:dyDescent="0.25">
      <c r="A9" s="191" t="s">
        <v>135</v>
      </c>
      <c r="B9" s="191"/>
      <c r="C9" s="191"/>
      <c r="D9" s="191"/>
    </row>
    <row r="10" spans="1:6" ht="15" customHeight="1" x14ac:dyDescent="0.25">
      <c r="A10" s="192" t="s">
        <v>137</v>
      </c>
      <c r="B10" s="192"/>
      <c r="C10" s="192"/>
      <c r="D10" s="192"/>
    </row>
    <row r="11" spans="1:6" ht="15" customHeight="1" x14ac:dyDescent="0.25">
      <c r="A11" s="193" t="s">
        <v>136</v>
      </c>
      <c r="B11" s="193"/>
      <c r="C11" s="193"/>
      <c r="D11" s="193"/>
      <c r="F11" s="91"/>
    </row>
    <row r="12" spans="1:6" ht="15" customHeight="1" x14ac:dyDescent="0.25">
      <c r="A12" s="190" t="s">
        <v>142</v>
      </c>
      <c r="B12" s="190"/>
      <c r="C12" s="190"/>
      <c r="D12" s="190"/>
    </row>
  </sheetData>
  <mergeCells count="5">
    <mergeCell ref="A12:D12"/>
    <mergeCell ref="A9:D9"/>
    <mergeCell ref="A10:D10"/>
    <mergeCell ref="A8:D8"/>
    <mergeCell ref="A11:D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842F-F105-453F-987F-D05831D416E1}">
  <dimension ref="A1:F8"/>
  <sheetViews>
    <sheetView zoomScale="150" zoomScaleNormal="150" workbookViewId="0">
      <selection activeCell="D4" sqref="D4"/>
    </sheetView>
  </sheetViews>
  <sheetFormatPr defaultColWidth="0" defaultRowHeight="15" zeroHeight="1" x14ac:dyDescent="0.25"/>
  <cols>
    <col min="1" max="1" width="12" style="196" bestFit="1" customWidth="1"/>
    <col min="2" max="2" width="5.1796875" style="196" bestFit="1" customWidth="1"/>
    <col min="3" max="3" width="4.36328125" style="196" bestFit="1" customWidth="1"/>
    <col min="4" max="5" width="10.36328125" style="196" customWidth="1"/>
    <col min="6" max="16384" width="10.36328125" style="39" hidden="1"/>
  </cols>
  <sheetData>
    <row r="1" spans="1:6" x14ac:dyDescent="0.25">
      <c r="A1" s="37" t="s">
        <v>131</v>
      </c>
      <c r="B1" s="38">
        <v>800</v>
      </c>
      <c r="C1" s="39"/>
      <c r="D1" s="39"/>
      <c r="E1" s="39"/>
    </row>
    <row r="2" spans="1:6" x14ac:dyDescent="0.25">
      <c r="A2" s="37" t="s">
        <v>130</v>
      </c>
      <c r="B2" s="85">
        <f>B3/B1</f>
        <v>8.900000000000001E-2</v>
      </c>
      <c r="C2" s="39"/>
      <c r="D2" s="39"/>
      <c r="E2" s="39"/>
    </row>
    <row r="3" spans="1:6" x14ac:dyDescent="0.25">
      <c r="A3" s="37" t="s">
        <v>129</v>
      </c>
      <c r="B3" s="38">
        <v>71.2</v>
      </c>
      <c r="C3" s="39"/>
      <c r="D3" s="39"/>
      <c r="E3" s="39"/>
      <c r="F3" s="40"/>
    </row>
    <row r="4" spans="1:6" x14ac:dyDescent="0.25">
      <c r="A4" s="39"/>
      <c r="B4" s="39"/>
      <c r="C4" s="39"/>
      <c r="D4" s="39"/>
      <c r="E4" s="39"/>
    </row>
    <row r="5" spans="1:6" x14ac:dyDescent="0.25">
      <c r="A5" s="39"/>
      <c r="B5" s="39"/>
      <c r="C5" s="110"/>
      <c r="D5" s="39"/>
      <c r="E5" s="39"/>
    </row>
    <row r="6" spans="1:6" x14ac:dyDescent="0.25">
      <c r="A6" s="194" t="s">
        <v>144</v>
      </c>
      <c r="B6" s="194"/>
      <c r="C6" s="194"/>
      <c r="D6" s="194"/>
      <c r="E6" s="194"/>
    </row>
    <row r="7" spans="1:6" x14ac:dyDescent="0.25">
      <c r="A7" s="194"/>
      <c r="B7" s="194"/>
      <c r="C7" s="194"/>
      <c r="D7" s="194"/>
      <c r="E7" s="194"/>
    </row>
    <row r="8" spans="1:6" x14ac:dyDescent="0.25">
      <c r="A8" s="208" t="s">
        <v>244</v>
      </c>
      <c r="B8" s="195"/>
      <c r="C8" s="195"/>
      <c r="D8" s="195"/>
      <c r="E8" s="195"/>
    </row>
  </sheetData>
  <mergeCells count="2">
    <mergeCell ref="A6:E7"/>
    <mergeCell ref="A8:E104857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68FE-5866-4E38-B9C4-A778F2645841}">
  <sheetPr>
    <tabColor rgb="FFFF0000"/>
  </sheetPr>
  <dimension ref="A1:H14"/>
  <sheetViews>
    <sheetView zoomScaleNormal="100" workbookViewId="0">
      <selection activeCell="G12" sqref="G12"/>
    </sheetView>
  </sheetViews>
  <sheetFormatPr defaultColWidth="8.7265625" defaultRowHeight="15" x14ac:dyDescent="0.25"/>
  <cols>
    <col min="1" max="1" width="9.1796875" style="93" bestFit="1" customWidth="1"/>
    <col min="2" max="2" width="15.1796875" style="93" bestFit="1" customWidth="1"/>
    <col min="3" max="3" width="8.81640625" style="93" bestFit="1" customWidth="1"/>
    <col min="4" max="4" width="7.453125" style="93" bestFit="1" customWidth="1"/>
    <col min="5" max="6" width="8.7265625" style="93"/>
    <col min="7" max="7" width="7.453125" style="93" bestFit="1" customWidth="1"/>
    <col min="8" max="8" width="8.54296875" style="93" bestFit="1" customWidth="1"/>
    <col min="9" max="16384" width="8.7265625" style="93"/>
  </cols>
  <sheetData>
    <row r="1" spans="1:8" ht="15.75" x14ac:dyDescent="0.25">
      <c r="A1" s="197" t="s">
        <v>145</v>
      </c>
      <c r="B1" s="197"/>
      <c r="C1" s="197"/>
      <c r="D1" s="197"/>
      <c r="E1" s="111"/>
      <c r="F1" s="111"/>
      <c r="G1" s="111"/>
      <c r="H1" s="111"/>
    </row>
    <row r="2" spans="1:8" ht="15.75" x14ac:dyDescent="0.25">
      <c r="A2" s="111"/>
      <c r="B2" s="111"/>
      <c r="C2" s="111"/>
      <c r="D2" s="111"/>
      <c r="E2" s="111"/>
      <c r="F2" s="111"/>
      <c r="G2" s="111"/>
      <c r="H2" s="111"/>
    </row>
    <row r="3" spans="1:8" ht="15.75" x14ac:dyDescent="0.25">
      <c r="A3" s="112" t="s">
        <v>72</v>
      </c>
      <c r="B3" s="112" t="s">
        <v>146</v>
      </c>
      <c r="C3" s="112" t="s">
        <v>147</v>
      </c>
      <c r="D3" s="112" t="s">
        <v>128</v>
      </c>
      <c r="E3" s="111"/>
      <c r="F3" s="111"/>
      <c r="G3" s="113" t="s">
        <v>148</v>
      </c>
      <c r="H3" s="111"/>
    </row>
    <row r="4" spans="1:8" ht="15.75" x14ac:dyDescent="0.25">
      <c r="A4" s="114" t="s">
        <v>149</v>
      </c>
      <c r="B4" s="115">
        <v>1700</v>
      </c>
      <c r="C4" s="209">
        <f>B4*10%</f>
        <v>170</v>
      </c>
      <c r="D4" s="209">
        <f>B4+C4</f>
        <v>1870</v>
      </c>
      <c r="E4" s="111"/>
      <c r="F4" s="111"/>
      <c r="G4" s="118">
        <v>170</v>
      </c>
      <c r="H4" s="118">
        <v>1870</v>
      </c>
    </row>
    <row r="5" spans="1:8" ht="15.75" x14ac:dyDescent="0.25">
      <c r="A5" s="114" t="s">
        <v>150</v>
      </c>
      <c r="B5" s="115">
        <v>500</v>
      </c>
      <c r="C5" s="209">
        <f t="shared" ref="C5:C8" si="0">B5*10%</f>
        <v>50</v>
      </c>
      <c r="D5" s="209">
        <f t="shared" ref="D5:D8" si="1">B5+C5</f>
        <v>550</v>
      </c>
      <c r="E5" s="111"/>
      <c r="F5" s="111"/>
      <c r="G5" s="118">
        <v>50</v>
      </c>
      <c r="H5" s="118">
        <v>550</v>
      </c>
    </row>
    <row r="6" spans="1:8" ht="15.75" x14ac:dyDescent="0.25">
      <c r="A6" s="114" t="s">
        <v>151</v>
      </c>
      <c r="B6" s="115">
        <v>125</v>
      </c>
      <c r="C6" s="209">
        <f t="shared" si="0"/>
        <v>12.5</v>
      </c>
      <c r="D6" s="209">
        <f t="shared" si="1"/>
        <v>137.5</v>
      </c>
      <c r="E6" s="111"/>
      <c r="F6" s="111"/>
      <c r="G6" s="118">
        <v>12.5</v>
      </c>
      <c r="H6" s="118">
        <v>137.5</v>
      </c>
    </row>
    <row r="7" spans="1:8" ht="15.75" x14ac:dyDescent="0.25">
      <c r="A7" s="114" t="s">
        <v>152</v>
      </c>
      <c r="B7" s="115">
        <v>300</v>
      </c>
      <c r="C7" s="209">
        <f t="shared" si="0"/>
        <v>30</v>
      </c>
      <c r="D7" s="209">
        <f t="shared" si="1"/>
        <v>330</v>
      </c>
      <c r="E7" s="111"/>
      <c r="F7" s="111"/>
      <c r="G7" s="119">
        <v>30</v>
      </c>
      <c r="H7" s="119">
        <v>330</v>
      </c>
    </row>
    <row r="8" spans="1:8" ht="15.75" x14ac:dyDescent="0.25">
      <c r="A8" s="114" t="s">
        <v>153</v>
      </c>
      <c r="B8" s="115">
        <v>500</v>
      </c>
      <c r="C8" s="209">
        <f t="shared" si="0"/>
        <v>50</v>
      </c>
      <c r="D8" s="209">
        <f t="shared" si="1"/>
        <v>550</v>
      </c>
      <c r="E8" s="111"/>
      <c r="F8" s="111"/>
      <c r="G8" s="119">
        <v>50</v>
      </c>
      <c r="H8" s="119">
        <v>550</v>
      </c>
    </row>
    <row r="9" spans="1:8" ht="15.75" x14ac:dyDescent="0.25">
      <c r="A9" s="111"/>
      <c r="B9" s="111"/>
      <c r="C9" s="111"/>
      <c r="D9" s="111"/>
      <c r="E9" s="111"/>
      <c r="F9" s="111"/>
      <c r="G9" s="111"/>
      <c r="H9" s="111"/>
    </row>
    <row r="10" spans="1:8" ht="15.75" x14ac:dyDescent="0.25">
      <c r="A10" s="111"/>
      <c r="B10" s="111"/>
      <c r="C10" s="111"/>
      <c r="D10" s="111"/>
      <c r="E10" s="111"/>
      <c r="F10" s="111"/>
    </row>
    <row r="11" spans="1:8" ht="15.75" x14ac:dyDescent="0.25">
      <c r="A11" s="113" t="s">
        <v>154</v>
      </c>
      <c r="B11" s="111" t="s">
        <v>155</v>
      </c>
      <c r="C11" s="111"/>
      <c r="D11" s="111"/>
      <c r="E11" s="111"/>
      <c r="F11" s="111"/>
    </row>
    <row r="12" spans="1:8" ht="15.75" x14ac:dyDescent="0.25">
      <c r="A12" s="113" t="s">
        <v>156</v>
      </c>
      <c r="B12" s="111" t="s">
        <v>157</v>
      </c>
      <c r="C12" s="111"/>
      <c r="D12" s="111"/>
      <c r="E12" s="111"/>
      <c r="F12" s="111"/>
    </row>
    <row r="14" spans="1:8" x14ac:dyDescent="0.25">
      <c r="A14" s="95"/>
      <c r="B14" s="95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9BD4-D1D4-470B-9AEB-3D0DFEB0439F}">
  <sheetPr>
    <tabColor rgb="FFFF0000"/>
  </sheetPr>
  <dimension ref="A1:G19"/>
  <sheetViews>
    <sheetView showGridLines="0" zoomScaleNormal="100" workbookViewId="0">
      <selection activeCell="D4" sqref="D4:D16"/>
    </sheetView>
  </sheetViews>
  <sheetFormatPr defaultColWidth="8.7265625" defaultRowHeight="15" x14ac:dyDescent="0.25"/>
  <cols>
    <col min="1" max="1" width="7.90625" style="93" bestFit="1" customWidth="1"/>
    <col min="2" max="2" width="6.81640625" style="93" bestFit="1" customWidth="1"/>
    <col min="3" max="3" width="9.81640625" style="93" bestFit="1" customWidth="1"/>
    <col min="4" max="4" width="9.7265625" style="93" customWidth="1"/>
    <col min="5" max="6" width="8.7265625" style="93"/>
    <col min="7" max="7" width="9.36328125" style="93" customWidth="1"/>
    <col min="8" max="16384" width="8.7265625" style="93"/>
  </cols>
  <sheetData>
    <row r="1" spans="1:7" ht="18.75" x14ac:dyDescent="0.3">
      <c r="A1" s="198" t="s">
        <v>158</v>
      </c>
      <c r="B1" s="198"/>
      <c r="C1" s="198"/>
      <c r="D1" s="198"/>
    </row>
    <row r="3" spans="1:7" ht="30" x14ac:dyDescent="0.25">
      <c r="A3" s="96" t="s">
        <v>159</v>
      </c>
      <c r="B3" s="96" t="s">
        <v>160</v>
      </c>
      <c r="C3" s="96" t="s">
        <v>161</v>
      </c>
      <c r="D3" s="96" t="s">
        <v>162</v>
      </c>
      <c r="G3" s="116" t="s">
        <v>148</v>
      </c>
    </row>
    <row r="4" spans="1:7" ht="21" x14ac:dyDescent="0.35">
      <c r="A4" s="97" t="s">
        <v>163</v>
      </c>
      <c r="B4" s="98">
        <v>43126</v>
      </c>
      <c r="C4" s="99">
        <v>38</v>
      </c>
      <c r="D4" s="210">
        <f>C4*18%</f>
        <v>6.84</v>
      </c>
      <c r="G4" s="117">
        <v>6.84</v>
      </c>
    </row>
    <row r="5" spans="1:7" ht="21" x14ac:dyDescent="0.35">
      <c r="A5" s="97" t="s">
        <v>164</v>
      </c>
      <c r="B5" s="98">
        <v>43234</v>
      </c>
      <c r="C5" s="99">
        <v>25</v>
      </c>
      <c r="D5" s="210">
        <f t="shared" ref="D5:D16" si="0">C5*18%</f>
        <v>4.5</v>
      </c>
      <c r="G5" s="117">
        <v>4.5</v>
      </c>
    </row>
    <row r="6" spans="1:7" ht="21" x14ac:dyDescent="0.35">
      <c r="A6" s="97" t="s">
        <v>165</v>
      </c>
      <c r="B6" s="98">
        <v>43203</v>
      </c>
      <c r="C6" s="99">
        <v>2.5</v>
      </c>
      <c r="D6" s="210">
        <f t="shared" si="0"/>
        <v>0.44999999999999996</v>
      </c>
      <c r="G6" s="117">
        <v>0.44999999999999996</v>
      </c>
    </row>
    <row r="7" spans="1:7" ht="21" x14ac:dyDescent="0.35">
      <c r="A7" s="97" t="s">
        <v>166</v>
      </c>
      <c r="B7" s="98">
        <v>43238</v>
      </c>
      <c r="C7" s="99">
        <v>63</v>
      </c>
      <c r="D7" s="210">
        <f t="shared" si="0"/>
        <v>11.34</v>
      </c>
      <c r="G7" s="117">
        <v>11.34</v>
      </c>
    </row>
    <row r="8" spans="1:7" ht="21" x14ac:dyDescent="0.35">
      <c r="A8" s="97" t="s">
        <v>167</v>
      </c>
      <c r="B8" s="98">
        <v>43380</v>
      </c>
      <c r="C8" s="99">
        <v>28</v>
      </c>
      <c r="D8" s="210">
        <f t="shared" si="0"/>
        <v>5.04</v>
      </c>
      <c r="G8" s="117">
        <v>5.04</v>
      </c>
    </row>
    <row r="9" spans="1:7" ht="21" x14ac:dyDescent="0.35">
      <c r="A9" s="97" t="s">
        <v>168</v>
      </c>
      <c r="B9" s="98">
        <v>43182</v>
      </c>
      <c r="C9" s="99">
        <v>13.5</v>
      </c>
      <c r="D9" s="210">
        <f t="shared" si="0"/>
        <v>2.4299999999999997</v>
      </c>
      <c r="G9" s="117">
        <v>2.4299999999999997</v>
      </c>
    </row>
    <row r="10" spans="1:7" ht="21" x14ac:dyDescent="0.35">
      <c r="A10" s="97" t="s">
        <v>169</v>
      </c>
      <c r="B10" s="98">
        <v>43146</v>
      </c>
      <c r="C10" s="99">
        <v>9</v>
      </c>
      <c r="D10" s="210">
        <f t="shared" si="0"/>
        <v>1.6199999999999999</v>
      </c>
      <c r="G10" s="117">
        <v>1.6199999999999999</v>
      </c>
    </row>
    <row r="11" spans="1:7" ht="21" x14ac:dyDescent="0.35">
      <c r="A11" s="97" t="s">
        <v>170</v>
      </c>
      <c r="B11" s="98">
        <v>43195</v>
      </c>
      <c r="C11" s="99">
        <v>21</v>
      </c>
      <c r="D11" s="210">
        <f t="shared" si="0"/>
        <v>3.78</v>
      </c>
      <c r="G11" s="117">
        <v>3.78</v>
      </c>
    </row>
    <row r="12" spans="1:7" ht="21" x14ac:dyDescent="0.35">
      <c r="A12" s="97" t="s">
        <v>171</v>
      </c>
      <c r="B12" s="98">
        <v>43187</v>
      </c>
      <c r="C12" s="99">
        <v>17</v>
      </c>
      <c r="D12" s="210">
        <f t="shared" si="0"/>
        <v>3.06</v>
      </c>
      <c r="G12" s="117">
        <v>3.06</v>
      </c>
    </row>
    <row r="13" spans="1:7" ht="21" x14ac:dyDescent="0.35">
      <c r="A13" s="97" t="s">
        <v>172</v>
      </c>
      <c r="B13" s="98">
        <v>43118</v>
      </c>
      <c r="C13" s="99">
        <v>15</v>
      </c>
      <c r="D13" s="210">
        <f t="shared" si="0"/>
        <v>2.6999999999999997</v>
      </c>
      <c r="G13" s="117">
        <v>2.6999999999999997</v>
      </c>
    </row>
    <row r="14" spans="1:7" ht="21" x14ac:dyDescent="0.35">
      <c r="A14" s="97" t="s">
        <v>173</v>
      </c>
      <c r="B14" s="98">
        <v>43184</v>
      </c>
      <c r="C14" s="99">
        <v>6</v>
      </c>
      <c r="D14" s="210">
        <f t="shared" si="0"/>
        <v>1.08</v>
      </c>
      <c r="G14" s="117">
        <v>1.08</v>
      </c>
    </row>
    <row r="15" spans="1:7" ht="21" x14ac:dyDescent="0.35">
      <c r="A15" s="97" t="s">
        <v>174</v>
      </c>
      <c r="B15" s="98">
        <v>43221</v>
      </c>
      <c r="C15" s="99">
        <v>16</v>
      </c>
      <c r="D15" s="210">
        <f t="shared" si="0"/>
        <v>2.88</v>
      </c>
      <c r="G15" s="117">
        <v>2.88</v>
      </c>
    </row>
    <row r="16" spans="1:7" ht="21" x14ac:dyDescent="0.35">
      <c r="A16" s="97" t="s">
        <v>175</v>
      </c>
      <c r="B16" s="98">
        <v>43234</v>
      </c>
      <c r="C16" s="99">
        <v>162</v>
      </c>
      <c r="D16" s="210">
        <f t="shared" si="0"/>
        <v>29.16</v>
      </c>
      <c r="G16" s="117">
        <v>29.16</v>
      </c>
    </row>
    <row r="19" spans="1:4" x14ac:dyDescent="0.25">
      <c r="A19" s="94" t="s">
        <v>176</v>
      </c>
      <c r="B19" s="199" t="s">
        <v>177</v>
      </c>
      <c r="C19" s="199"/>
      <c r="D19" s="199"/>
    </row>
  </sheetData>
  <mergeCells count="2">
    <mergeCell ref="A1:D1"/>
    <mergeCell ref="B19:D19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2CF5-266E-4C77-8580-FA57F7AC85DD}">
  <sheetPr>
    <tabColor rgb="FFFF0000"/>
  </sheetPr>
  <dimension ref="A1:H24"/>
  <sheetViews>
    <sheetView showGridLines="0" workbookViewId="0">
      <selection activeCell="E22" sqref="E22"/>
    </sheetView>
  </sheetViews>
  <sheetFormatPr defaultColWidth="13.08984375" defaultRowHeight="18.75" x14ac:dyDescent="0.3"/>
  <cols>
    <col min="1" max="1" width="24.08984375" style="120" bestFit="1" customWidth="1"/>
    <col min="2" max="2" width="18.7265625" style="120" bestFit="1" customWidth="1"/>
    <col min="3" max="3" width="13.1796875" style="120" bestFit="1" customWidth="1"/>
    <col min="4" max="4" width="7.6328125" style="120" customWidth="1"/>
    <col min="5" max="5" width="9.54296875" style="120" bestFit="1" customWidth="1"/>
    <col min="6" max="7" width="13.08984375" style="120"/>
    <col min="8" max="9" width="10.453125" style="120" bestFit="1" customWidth="1"/>
    <col min="10" max="16384" width="13.08984375" style="120"/>
  </cols>
  <sheetData>
    <row r="1" spans="1:8" x14ac:dyDescent="0.3">
      <c r="A1" s="200" t="s">
        <v>178</v>
      </c>
      <c r="B1" s="200"/>
      <c r="C1" s="200"/>
      <c r="D1" s="200"/>
      <c r="E1" s="200"/>
    </row>
    <row r="3" spans="1:8" x14ac:dyDescent="0.3">
      <c r="A3" s="121" t="s">
        <v>59</v>
      </c>
      <c r="B3" s="121" t="s">
        <v>179</v>
      </c>
      <c r="C3" s="121" t="s">
        <v>180</v>
      </c>
      <c r="D3" s="121" t="s">
        <v>181</v>
      </c>
      <c r="E3" s="121" t="s">
        <v>182</v>
      </c>
      <c r="G3" s="201" t="s">
        <v>148</v>
      </c>
      <c r="H3" s="202"/>
    </row>
    <row r="4" spans="1:8" x14ac:dyDescent="0.3">
      <c r="A4" s="123" t="s">
        <v>183</v>
      </c>
      <c r="B4" s="124">
        <v>1000</v>
      </c>
      <c r="C4" s="124">
        <v>9691</v>
      </c>
      <c r="D4" s="211">
        <f>C4*10%</f>
        <v>969.1</v>
      </c>
      <c r="E4" s="211">
        <f>B4+D4</f>
        <v>1969.1</v>
      </c>
      <c r="G4" s="125">
        <v>969.1</v>
      </c>
      <c r="H4" s="125">
        <v>1969.1</v>
      </c>
    </row>
    <row r="5" spans="1:8" x14ac:dyDescent="0.3">
      <c r="A5" s="123" t="s">
        <v>184</v>
      </c>
      <c r="B5" s="124">
        <v>1200</v>
      </c>
      <c r="C5" s="124">
        <v>6298</v>
      </c>
      <c r="D5" s="211">
        <f t="shared" ref="D5:D20" si="0">C5*10%</f>
        <v>629.80000000000007</v>
      </c>
      <c r="E5" s="211">
        <f t="shared" ref="E5:E20" si="1">B5+D5</f>
        <v>1829.8000000000002</v>
      </c>
      <c r="G5" s="125">
        <v>629.80000000000007</v>
      </c>
      <c r="H5" s="125">
        <v>1829.8000000000002</v>
      </c>
    </row>
    <row r="6" spans="1:8" x14ac:dyDescent="0.3">
      <c r="A6" s="123" t="s">
        <v>185</v>
      </c>
      <c r="B6" s="124">
        <v>1300</v>
      </c>
      <c r="C6" s="124">
        <v>1571</v>
      </c>
      <c r="D6" s="211">
        <f t="shared" si="0"/>
        <v>157.10000000000002</v>
      </c>
      <c r="E6" s="211">
        <f t="shared" si="1"/>
        <v>1457.1</v>
      </c>
      <c r="G6" s="125">
        <v>157.10000000000002</v>
      </c>
      <c r="H6" s="125">
        <v>1457.1</v>
      </c>
    </row>
    <row r="7" spans="1:8" x14ac:dyDescent="0.3">
      <c r="A7" s="123" t="s">
        <v>186</v>
      </c>
      <c r="B7" s="124">
        <v>1000</v>
      </c>
      <c r="C7" s="124">
        <v>6072</v>
      </c>
      <c r="D7" s="211">
        <f t="shared" si="0"/>
        <v>607.20000000000005</v>
      </c>
      <c r="E7" s="211">
        <f t="shared" si="1"/>
        <v>1607.2</v>
      </c>
      <c r="G7" s="125">
        <v>607.20000000000005</v>
      </c>
      <c r="H7" s="125">
        <v>1607.2</v>
      </c>
    </row>
    <row r="8" spans="1:8" x14ac:dyDescent="0.3">
      <c r="A8" s="123" t="s">
        <v>187</v>
      </c>
      <c r="B8" s="124">
        <v>1150</v>
      </c>
      <c r="C8" s="124">
        <v>7463</v>
      </c>
      <c r="D8" s="211">
        <f t="shared" si="0"/>
        <v>746.30000000000007</v>
      </c>
      <c r="E8" s="211">
        <f t="shared" si="1"/>
        <v>1896.3000000000002</v>
      </c>
      <c r="G8" s="125">
        <v>746.30000000000007</v>
      </c>
      <c r="H8" s="125">
        <v>1896.3000000000002</v>
      </c>
    </row>
    <row r="9" spans="1:8" x14ac:dyDescent="0.3">
      <c r="A9" s="123" t="s">
        <v>188</v>
      </c>
      <c r="B9" s="124">
        <v>1250</v>
      </c>
      <c r="C9" s="124">
        <v>7150</v>
      </c>
      <c r="D9" s="211">
        <f t="shared" si="0"/>
        <v>715</v>
      </c>
      <c r="E9" s="211">
        <f t="shared" si="1"/>
        <v>1965</v>
      </c>
      <c r="G9" s="125">
        <v>715</v>
      </c>
      <c r="H9" s="125">
        <v>1965</v>
      </c>
    </row>
    <row r="10" spans="1:8" x14ac:dyDescent="0.3">
      <c r="A10" s="123" t="s">
        <v>189</v>
      </c>
      <c r="B10" s="124">
        <v>1300</v>
      </c>
      <c r="C10" s="124">
        <v>6447</v>
      </c>
      <c r="D10" s="211">
        <f t="shared" si="0"/>
        <v>644.70000000000005</v>
      </c>
      <c r="E10" s="211">
        <f t="shared" si="1"/>
        <v>1944.7</v>
      </c>
      <c r="G10" s="125">
        <v>644.70000000000005</v>
      </c>
      <c r="H10" s="125">
        <v>1944.7</v>
      </c>
    </row>
    <row r="11" spans="1:8" x14ac:dyDescent="0.3">
      <c r="A11" s="123" t="s">
        <v>190</v>
      </c>
      <c r="B11" s="124">
        <v>1000</v>
      </c>
      <c r="C11" s="124">
        <v>2806</v>
      </c>
      <c r="D11" s="211">
        <f t="shared" si="0"/>
        <v>280.60000000000002</v>
      </c>
      <c r="E11" s="211">
        <f t="shared" si="1"/>
        <v>1280.5999999999999</v>
      </c>
      <c r="G11" s="125">
        <v>280.60000000000002</v>
      </c>
      <c r="H11" s="125">
        <v>1280.5999999999999</v>
      </c>
    </row>
    <row r="12" spans="1:8" x14ac:dyDescent="0.3">
      <c r="A12" s="123" t="s">
        <v>191</v>
      </c>
      <c r="B12" s="124">
        <v>1000</v>
      </c>
      <c r="C12" s="124">
        <v>6954</v>
      </c>
      <c r="D12" s="211">
        <f t="shared" si="0"/>
        <v>695.40000000000009</v>
      </c>
      <c r="E12" s="211">
        <f t="shared" si="1"/>
        <v>1695.4</v>
      </c>
      <c r="G12" s="125">
        <v>695.40000000000009</v>
      </c>
      <c r="H12" s="125">
        <v>1695.4</v>
      </c>
    </row>
    <row r="13" spans="1:8" x14ac:dyDescent="0.3">
      <c r="A13" s="123" t="s">
        <v>192</v>
      </c>
      <c r="B13" s="124">
        <v>1150</v>
      </c>
      <c r="C13" s="124">
        <v>4223</v>
      </c>
      <c r="D13" s="211">
        <f t="shared" si="0"/>
        <v>422.3</v>
      </c>
      <c r="E13" s="211">
        <f t="shared" si="1"/>
        <v>1572.3</v>
      </c>
      <c r="G13" s="125">
        <v>422.3</v>
      </c>
      <c r="H13" s="125">
        <v>1572.3</v>
      </c>
    </row>
    <row r="14" spans="1:8" x14ac:dyDescent="0.3">
      <c r="A14" s="123" t="s">
        <v>193</v>
      </c>
      <c r="B14" s="124">
        <v>1200</v>
      </c>
      <c r="C14" s="124">
        <v>1038</v>
      </c>
      <c r="D14" s="211">
        <f t="shared" si="0"/>
        <v>103.80000000000001</v>
      </c>
      <c r="E14" s="211">
        <f t="shared" si="1"/>
        <v>1303.8</v>
      </c>
      <c r="G14" s="125">
        <v>103.80000000000001</v>
      </c>
      <c r="H14" s="125">
        <v>1303.8</v>
      </c>
    </row>
    <row r="15" spans="1:8" x14ac:dyDescent="0.3">
      <c r="A15" s="123" t="s">
        <v>194</v>
      </c>
      <c r="B15" s="124">
        <v>1250</v>
      </c>
      <c r="C15" s="124">
        <v>1948</v>
      </c>
      <c r="D15" s="211">
        <f t="shared" si="0"/>
        <v>194.8</v>
      </c>
      <c r="E15" s="211">
        <f t="shared" si="1"/>
        <v>1444.8</v>
      </c>
      <c r="G15" s="125">
        <v>194.8</v>
      </c>
      <c r="H15" s="125">
        <v>1444.8</v>
      </c>
    </row>
    <row r="16" spans="1:8" x14ac:dyDescent="0.3">
      <c r="A16" s="123" t="s">
        <v>195</v>
      </c>
      <c r="B16" s="124">
        <v>1300</v>
      </c>
      <c r="C16" s="124">
        <v>4795</v>
      </c>
      <c r="D16" s="211">
        <f t="shared" si="0"/>
        <v>479.5</v>
      </c>
      <c r="E16" s="211">
        <f t="shared" si="1"/>
        <v>1779.5</v>
      </c>
      <c r="G16" s="125">
        <v>479.5</v>
      </c>
      <c r="H16" s="125">
        <v>1779.5</v>
      </c>
    </row>
    <row r="17" spans="1:8" x14ac:dyDescent="0.3">
      <c r="A17" s="123" t="s">
        <v>196</v>
      </c>
      <c r="B17" s="124">
        <v>1300</v>
      </c>
      <c r="C17" s="124">
        <v>2796</v>
      </c>
      <c r="D17" s="211">
        <f t="shared" si="0"/>
        <v>279.60000000000002</v>
      </c>
      <c r="E17" s="211">
        <f t="shared" si="1"/>
        <v>1579.6</v>
      </c>
      <c r="G17" s="125">
        <v>279.60000000000002</v>
      </c>
      <c r="H17" s="125">
        <v>1579.6</v>
      </c>
    </row>
    <row r="18" spans="1:8" x14ac:dyDescent="0.3">
      <c r="A18" s="123" t="s">
        <v>197</v>
      </c>
      <c r="B18" s="124">
        <v>1000</v>
      </c>
      <c r="C18" s="124">
        <v>7032</v>
      </c>
      <c r="D18" s="211">
        <f t="shared" si="0"/>
        <v>703.2</v>
      </c>
      <c r="E18" s="211">
        <f t="shared" si="1"/>
        <v>1703.2</v>
      </c>
      <c r="G18" s="125">
        <v>703.2</v>
      </c>
      <c r="H18" s="125">
        <v>1703.2</v>
      </c>
    </row>
    <row r="19" spans="1:8" x14ac:dyDescent="0.3">
      <c r="A19" s="123" t="s">
        <v>198</v>
      </c>
      <c r="B19" s="124">
        <v>1000</v>
      </c>
      <c r="C19" s="124">
        <v>8825</v>
      </c>
      <c r="D19" s="211">
        <f t="shared" si="0"/>
        <v>882.5</v>
      </c>
      <c r="E19" s="211">
        <f t="shared" si="1"/>
        <v>1882.5</v>
      </c>
      <c r="G19" s="125">
        <v>882.5</v>
      </c>
      <c r="H19" s="125">
        <v>1882.5</v>
      </c>
    </row>
    <row r="20" spans="1:8" x14ac:dyDescent="0.3">
      <c r="A20" s="123" t="s">
        <v>199</v>
      </c>
      <c r="B20" s="124">
        <v>1150</v>
      </c>
      <c r="C20" s="124">
        <v>1039</v>
      </c>
      <c r="D20" s="211">
        <f t="shared" si="0"/>
        <v>103.9</v>
      </c>
      <c r="E20" s="211">
        <f t="shared" si="1"/>
        <v>1253.9000000000001</v>
      </c>
      <c r="G20" s="125">
        <v>103.9</v>
      </c>
      <c r="H20" s="125">
        <v>1253.9000000000001</v>
      </c>
    </row>
    <row r="23" spans="1:8" x14ac:dyDescent="0.3">
      <c r="A23" s="122" t="s">
        <v>200</v>
      </c>
      <c r="B23" s="120" t="s">
        <v>201</v>
      </c>
    </row>
    <row r="24" spans="1:8" x14ac:dyDescent="0.3">
      <c r="A24" s="122" t="s">
        <v>202</v>
      </c>
      <c r="B24" s="120" t="s">
        <v>203</v>
      </c>
    </row>
  </sheetData>
  <mergeCells count="2">
    <mergeCell ref="A1:E1"/>
    <mergeCell ref="G3:H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9D73-4E2C-4D4E-9D6A-8DDD2279394F}">
  <sheetPr>
    <tabColor rgb="FFFF0000"/>
  </sheetPr>
  <dimension ref="A1:J33"/>
  <sheetViews>
    <sheetView showGridLines="0" tabSelected="1" workbookViewId="0">
      <selection activeCell="D18" sqref="D18"/>
    </sheetView>
  </sheetViews>
  <sheetFormatPr defaultColWidth="50.7265625" defaultRowHeight="18" x14ac:dyDescent="0.25"/>
  <cols>
    <col min="1" max="1" width="13.36328125" style="126" bestFit="1" customWidth="1"/>
    <col min="2" max="2" width="23.6328125" style="126" bestFit="1" customWidth="1"/>
    <col min="3" max="3" width="13.453125" style="126" bestFit="1" customWidth="1"/>
    <col min="4" max="4" width="8.453125" style="126" bestFit="1" customWidth="1"/>
    <col min="5" max="5" width="11.36328125" style="126" bestFit="1" customWidth="1"/>
    <col min="6" max="7" width="7.453125" style="126" bestFit="1" customWidth="1"/>
    <col min="8" max="8" width="11.6328125" style="126" customWidth="1"/>
    <col min="9" max="9" width="12.90625" style="126" bestFit="1" customWidth="1"/>
    <col min="10" max="16384" width="50.7265625" style="126"/>
  </cols>
  <sheetData>
    <row r="1" spans="1:10" x14ac:dyDescent="0.25">
      <c r="A1" s="203" t="s">
        <v>204</v>
      </c>
      <c r="B1" s="203"/>
      <c r="C1" s="203"/>
      <c r="D1" s="203"/>
      <c r="E1" s="203"/>
      <c r="F1" s="203"/>
      <c r="G1" s="203"/>
      <c r="H1" s="203"/>
      <c r="I1" s="203"/>
    </row>
    <row r="3" spans="1:10" x14ac:dyDescent="0.25">
      <c r="A3" s="127" t="s">
        <v>205</v>
      </c>
      <c r="B3" s="127" t="s">
        <v>206</v>
      </c>
      <c r="C3" s="127" t="s">
        <v>207</v>
      </c>
      <c r="D3" s="127" t="s">
        <v>181</v>
      </c>
      <c r="E3" s="127" t="s">
        <v>208</v>
      </c>
      <c r="F3" s="127" t="s">
        <v>209</v>
      </c>
      <c r="G3" s="127" t="s">
        <v>210</v>
      </c>
      <c r="H3" s="127" t="s">
        <v>211</v>
      </c>
      <c r="I3" s="127" t="s">
        <v>212</v>
      </c>
    </row>
    <row r="4" spans="1:10" x14ac:dyDescent="0.25">
      <c r="A4" s="128" t="s">
        <v>213</v>
      </c>
      <c r="B4" s="129">
        <v>1700</v>
      </c>
      <c r="C4" s="129">
        <v>4500</v>
      </c>
      <c r="D4" s="212">
        <f>C4*5%</f>
        <v>225</v>
      </c>
      <c r="E4" s="212">
        <f>B4+D4</f>
        <v>1925</v>
      </c>
      <c r="F4" s="212">
        <f>E4*17%</f>
        <v>327.25</v>
      </c>
      <c r="G4" s="212">
        <f>E4*8%</f>
        <v>154</v>
      </c>
      <c r="H4" s="212">
        <f>F4+G4</f>
        <v>481.25</v>
      </c>
      <c r="I4" s="212">
        <f>E4-H4</f>
        <v>1443.75</v>
      </c>
      <c r="J4" s="213"/>
    </row>
    <row r="5" spans="1:10" x14ac:dyDescent="0.25">
      <c r="A5" s="128" t="s">
        <v>214</v>
      </c>
      <c r="B5" s="129">
        <v>1200</v>
      </c>
      <c r="C5" s="129">
        <v>8000</v>
      </c>
      <c r="D5" s="212">
        <f t="shared" ref="D5:D13" si="0">C5*5%</f>
        <v>400</v>
      </c>
      <c r="E5" s="212">
        <f t="shared" ref="E5:E13" si="1">B5+D5</f>
        <v>1600</v>
      </c>
      <c r="F5" s="212">
        <f t="shared" ref="F5:F13" si="2">E5*17%</f>
        <v>272</v>
      </c>
      <c r="G5" s="212">
        <f t="shared" ref="G5:G13" si="3">E5*8%</f>
        <v>128</v>
      </c>
      <c r="H5" s="212">
        <f t="shared" ref="H5:H13" si="4">F5+G5</f>
        <v>400</v>
      </c>
      <c r="I5" s="212">
        <f t="shared" ref="I5:I13" si="5">E5-H5</f>
        <v>1200</v>
      </c>
      <c r="J5" s="213"/>
    </row>
    <row r="6" spans="1:10" x14ac:dyDescent="0.25">
      <c r="A6" s="128" t="s">
        <v>215</v>
      </c>
      <c r="B6" s="129">
        <v>3500</v>
      </c>
      <c r="C6" s="129">
        <v>9000</v>
      </c>
      <c r="D6" s="212">
        <f t="shared" si="0"/>
        <v>450</v>
      </c>
      <c r="E6" s="212">
        <f t="shared" si="1"/>
        <v>3950</v>
      </c>
      <c r="F6" s="212">
        <f t="shared" si="2"/>
        <v>671.5</v>
      </c>
      <c r="G6" s="212">
        <f t="shared" si="3"/>
        <v>316</v>
      </c>
      <c r="H6" s="212">
        <f t="shared" si="4"/>
        <v>987.5</v>
      </c>
      <c r="I6" s="212">
        <f t="shared" si="5"/>
        <v>2962.5</v>
      </c>
      <c r="J6" s="213"/>
    </row>
    <row r="7" spans="1:10" x14ac:dyDescent="0.25">
      <c r="A7" s="128" t="s">
        <v>216</v>
      </c>
      <c r="B7" s="129">
        <v>2700</v>
      </c>
      <c r="C7" s="129">
        <v>3400</v>
      </c>
      <c r="D7" s="212">
        <f t="shared" si="0"/>
        <v>170</v>
      </c>
      <c r="E7" s="212">
        <f t="shared" si="1"/>
        <v>2870</v>
      </c>
      <c r="F7" s="212">
        <f t="shared" si="2"/>
        <v>487.90000000000003</v>
      </c>
      <c r="G7" s="212">
        <f t="shared" si="3"/>
        <v>229.6</v>
      </c>
      <c r="H7" s="212">
        <f t="shared" si="4"/>
        <v>717.5</v>
      </c>
      <c r="I7" s="212">
        <f t="shared" si="5"/>
        <v>2152.5</v>
      </c>
      <c r="J7" s="213"/>
    </row>
    <row r="8" spans="1:10" x14ac:dyDescent="0.25">
      <c r="A8" s="128" t="s">
        <v>217</v>
      </c>
      <c r="B8" s="129">
        <v>1200</v>
      </c>
      <c r="C8" s="129">
        <v>2900</v>
      </c>
      <c r="D8" s="212">
        <f t="shared" si="0"/>
        <v>145</v>
      </c>
      <c r="E8" s="212">
        <f t="shared" si="1"/>
        <v>1345</v>
      </c>
      <c r="F8" s="212">
        <f t="shared" si="2"/>
        <v>228.65</v>
      </c>
      <c r="G8" s="212">
        <f t="shared" si="3"/>
        <v>107.60000000000001</v>
      </c>
      <c r="H8" s="212">
        <f t="shared" si="4"/>
        <v>336.25</v>
      </c>
      <c r="I8" s="212">
        <f t="shared" si="5"/>
        <v>1008.75</v>
      </c>
      <c r="J8" s="213"/>
    </row>
    <row r="9" spans="1:10" x14ac:dyDescent="0.25">
      <c r="A9" s="128" t="s">
        <v>218</v>
      </c>
      <c r="B9" s="129">
        <v>1300</v>
      </c>
      <c r="C9" s="129">
        <v>1000</v>
      </c>
      <c r="D9" s="212">
        <f t="shared" si="0"/>
        <v>50</v>
      </c>
      <c r="E9" s="212">
        <f t="shared" si="1"/>
        <v>1350</v>
      </c>
      <c r="F9" s="212">
        <f t="shared" si="2"/>
        <v>229.50000000000003</v>
      </c>
      <c r="G9" s="212">
        <f t="shared" si="3"/>
        <v>108</v>
      </c>
      <c r="H9" s="212">
        <f t="shared" si="4"/>
        <v>337.5</v>
      </c>
      <c r="I9" s="212">
        <f t="shared" si="5"/>
        <v>1012.5</v>
      </c>
      <c r="J9" s="213"/>
    </row>
    <row r="10" spans="1:10" x14ac:dyDescent="0.25">
      <c r="A10" s="128" t="s">
        <v>219</v>
      </c>
      <c r="B10" s="129">
        <v>900</v>
      </c>
      <c r="C10" s="129">
        <v>4000</v>
      </c>
      <c r="D10" s="212">
        <f t="shared" si="0"/>
        <v>200</v>
      </c>
      <c r="E10" s="212">
        <f t="shared" si="1"/>
        <v>1100</v>
      </c>
      <c r="F10" s="212">
        <f t="shared" si="2"/>
        <v>187</v>
      </c>
      <c r="G10" s="212">
        <f t="shared" si="3"/>
        <v>88</v>
      </c>
      <c r="H10" s="212">
        <f t="shared" si="4"/>
        <v>275</v>
      </c>
      <c r="I10" s="212">
        <f t="shared" si="5"/>
        <v>825</v>
      </c>
      <c r="J10" s="213"/>
    </row>
    <row r="11" spans="1:10" x14ac:dyDescent="0.25">
      <c r="A11" s="128" t="s">
        <v>220</v>
      </c>
      <c r="B11" s="129">
        <v>1000</v>
      </c>
      <c r="C11" s="129">
        <v>3000</v>
      </c>
      <c r="D11" s="212">
        <f t="shared" si="0"/>
        <v>150</v>
      </c>
      <c r="E11" s="212">
        <f t="shared" si="1"/>
        <v>1150</v>
      </c>
      <c r="F11" s="212">
        <f t="shared" si="2"/>
        <v>195.5</v>
      </c>
      <c r="G11" s="212">
        <f t="shared" si="3"/>
        <v>92</v>
      </c>
      <c r="H11" s="212">
        <f t="shared" si="4"/>
        <v>287.5</v>
      </c>
      <c r="I11" s="212">
        <f t="shared" si="5"/>
        <v>862.5</v>
      </c>
      <c r="J11" s="213"/>
    </row>
    <row r="12" spans="1:10" x14ac:dyDescent="0.25">
      <c r="A12" s="128" t="s">
        <v>221</v>
      </c>
      <c r="B12" s="129">
        <v>1800</v>
      </c>
      <c r="C12" s="129">
        <v>2000</v>
      </c>
      <c r="D12" s="212">
        <f t="shared" si="0"/>
        <v>100</v>
      </c>
      <c r="E12" s="212">
        <f t="shared" si="1"/>
        <v>1900</v>
      </c>
      <c r="F12" s="212">
        <f t="shared" si="2"/>
        <v>323</v>
      </c>
      <c r="G12" s="212">
        <f t="shared" si="3"/>
        <v>152</v>
      </c>
      <c r="H12" s="212">
        <f t="shared" si="4"/>
        <v>475</v>
      </c>
      <c r="I12" s="212">
        <f t="shared" si="5"/>
        <v>1425</v>
      </c>
      <c r="J12" s="213"/>
    </row>
    <row r="13" spans="1:10" x14ac:dyDescent="0.25">
      <c r="A13" s="128" t="s">
        <v>222</v>
      </c>
      <c r="B13" s="129">
        <v>1100</v>
      </c>
      <c r="C13" s="129">
        <v>5000</v>
      </c>
      <c r="D13" s="212">
        <f t="shared" si="0"/>
        <v>250</v>
      </c>
      <c r="E13" s="212">
        <f t="shared" si="1"/>
        <v>1350</v>
      </c>
      <c r="F13" s="212">
        <f t="shared" si="2"/>
        <v>229.50000000000003</v>
      </c>
      <c r="G13" s="212">
        <f t="shared" si="3"/>
        <v>108</v>
      </c>
      <c r="H13" s="212">
        <f t="shared" si="4"/>
        <v>337.5</v>
      </c>
      <c r="I13" s="212">
        <f t="shared" si="5"/>
        <v>1012.5</v>
      </c>
      <c r="J13" s="213"/>
    </row>
    <row r="15" spans="1:10" x14ac:dyDescent="0.25">
      <c r="A15" s="130" t="s">
        <v>200</v>
      </c>
      <c r="B15" s="126" t="s">
        <v>223</v>
      </c>
    </row>
    <row r="16" spans="1:10" x14ac:dyDescent="0.25">
      <c r="A16" s="130" t="s">
        <v>224</v>
      </c>
      <c r="B16" s="126" t="s">
        <v>225</v>
      </c>
    </row>
    <row r="17" spans="1:9" x14ac:dyDescent="0.25">
      <c r="A17" s="130" t="s">
        <v>226</v>
      </c>
      <c r="B17" s="126" t="s">
        <v>227</v>
      </c>
    </row>
    <row r="18" spans="1:9" x14ac:dyDescent="0.25">
      <c r="A18" s="130" t="s">
        <v>228</v>
      </c>
      <c r="B18" s="126" t="s">
        <v>229</v>
      </c>
    </row>
    <row r="19" spans="1:9" x14ac:dyDescent="0.25">
      <c r="A19" s="130" t="s">
        <v>230</v>
      </c>
      <c r="B19" s="126" t="s">
        <v>231</v>
      </c>
    </row>
    <row r="20" spans="1:9" x14ac:dyDescent="0.25">
      <c r="A20" s="130" t="s">
        <v>232</v>
      </c>
      <c r="B20" s="126" t="s">
        <v>233</v>
      </c>
    </row>
    <row r="22" spans="1:9" x14ac:dyDescent="0.25">
      <c r="A22" s="130" t="s">
        <v>148</v>
      </c>
    </row>
    <row r="23" spans="1:9" x14ac:dyDescent="0.25">
      <c r="A23" s="127" t="s">
        <v>205</v>
      </c>
      <c r="B23" s="127" t="s">
        <v>206</v>
      </c>
      <c r="C23" s="127" t="s">
        <v>207</v>
      </c>
      <c r="D23" s="127" t="s">
        <v>181</v>
      </c>
      <c r="E23" s="127" t="s">
        <v>208</v>
      </c>
      <c r="F23" s="127" t="s">
        <v>209</v>
      </c>
      <c r="G23" s="127" t="s">
        <v>210</v>
      </c>
      <c r="H23" s="127" t="s">
        <v>211</v>
      </c>
      <c r="I23" s="127" t="s">
        <v>212</v>
      </c>
    </row>
    <row r="24" spans="1:9" x14ac:dyDescent="0.25">
      <c r="A24" s="128" t="s">
        <v>213</v>
      </c>
      <c r="B24" s="131">
        <v>1700</v>
      </c>
      <c r="C24" s="131">
        <v>4500</v>
      </c>
      <c r="D24" s="131">
        <f>C24*5%</f>
        <v>225</v>
      </c>
      <c r="E24" s="131">
        <f>B24+D24</f>
        <v>1925</v>
      </c>
      <c r="F24" s="131">
        <f>E24*17%</f>
        <v>327.25</v>
      </c>
      <c r="G24" s="131">
        <f>E24*8%</f>
        <v>154</v>
      </c>
      <c r="H24" s="131">
        <f>F24+G24</f>
        <v>481.25</v>
      </c>
      <c r="I24" s="131">
        <f>E24-H24</f>
        <v>1443.75</v>
      </c>
    </row>
    <row r="25" spans="1:9" x14ac:dyDescent="0.25">
      <c r="A25" s="128" t="s">
        <v>214</v>
      </c>
      <c r="B25" s="131">
        <v>1200</v>
      </c>
      <c r="C25" s="131">
        <v>8000</v>
      </c>
      <c r="D25" s="131">
        <f t="shared" ref="D25:D33" si="6">C25*5%</f>
        <v>400</v>
      </c>
      <c r="E25" s="131">
        <f t="shared" ref="E25:E33" si="7">B25+D25</f>
        <v>1600</v>
      </c>
      <c r="F25" s="131">
        <f t="shared" ref="F25:F33" si="8">E25*17%</f>
        <v>272</v>
      </c>
      <c r="G25" s="131">
        <f t="shared" ref="G25:G33" si="9">E25*8%</f>
        <v>128</v>
      </c>
      <c r="H25" s="131">
        <f t="shared" ref="H25:H33" si="10">F25+G25</f>
        <v>400</v>
      </c>
      <c r="I25" s="131">
        <f t="shared" ref="I25:I33" si="11">E25-H25</f>
        <v>1200</v>
      </c>
    </row>
    <row r="26" spans="1:9" x14ac:dyDescent="0.25">
      <c r="A26" s="128" t="s">
        <v>215</v>
      </c>
      <c r="B26" s="131">
        <v>3500</v>
      </c>
      <c r="C26" s="131">
        <v>9000</v>
      </c>
      <c r="D26" s="131">
        <f t="shared" si="6"/>
        <v>450</v>
      </c>
      <c r="E26" s="131">
        <f t="shared" si="7"/>
        <v>3950</v>
      </c>
      <c r="F26" s="131">
        <f t="shared" si="8"/>
        <v>671.5</v>
      </c>
      <c r="G26" s="131">
        <f t="shared" si="9"/>
        <v>316</v>
      </c>
      <c r="H26" s="131">
        <f t="shared" si="10"/>
        <v>987.5</v>
      </c>
      <c r="I26" s="131">
        <f t="shared" si="11"/>
        <v>2962.5</v>
      </c>
    </row>
    <row r="27" spans="1:9" x14ac:dyDescent="0.25">
      <c r="A27" s="128" t="s">
        <v>216</v>
      </c>
      <c r="B27" s="131">
        <v>2700</v>
      </c>
      <c r="C27" s="131">
        <v>3400</v>
      </c>
      <c r="D27" s="131">
        <f t="shared" si="6"/>
        <v>170</v>
      </c>
      <c r="E27" s="131">
        <f t="shared" si="7"/>
        <v>2870</v>
      </c>
      <c r="F27" s="131">
        <f t="shared" si="8"/>
        <v>487.90000000000003</v>
      </c>
      <c r="G27" s="131">
        <f t="shared" si="9"/>
        <v>229.6</v>
      </c>
      <c r="H27" s="131">
        <f t="shared" si="10"/>
        <v>717.5</v>
      </c>
      <c r="I27" s="131">
        <f t="shared" si="11"/>
        <v>2152.5</v>
      </c>
    </row>
    <row r="28" spans="1:9" x14ac:dyDescent="0.25">
      <c r="A28" s="128" t="s">
        <v>217</v>
      </c>
      <c r="B28" s="131">
        <v>1200</v>
      </c>
      <c r="C28" s="131">
        <v>2900</v>
      </c>
      <c r="D28" s="131">
        <f t="shared" si="6"/>
        <v>145</v>
      </c>
      <c r="E28" s="131">
        <f t="shared" si="7"/>
        <v>1345</v>
      </c>
      <c r="F28" s="131">
        <f t="shared" si="8"/>
        <v>228.65</v>
      </c>
      <c r="G28" s="131">
        <f t="shared" si="9"/>
        <v>107.60000000000001</v>
      </c>
      <c r="H28" s="131">
        <f t="shared" si="10"/>
        <v>336.25</v>
      </c>
      <c r="I28" s="131">
        <f t="shared" si="11"/>
        <v>1008.75</v>
      </c>
    </row>
    <row r="29" spans="1:9" x14ac:dyDescent="0.25">
      <c r="A29" s="128" t="s">
        <v>218</v>
      </c>
      <c r="B29" s="131">
        <v>1300</v>
      </c>
      <c r="C29" s="131">
        <v>1000</v>
      </c>
      <c r="D29" s="131">
        <f t="shared" si="6"/>
        <v>50</v>
      </c>
      <c r="E29" s="131">
        <f t="shared" si="7"/>
        <v>1350</v>
      </c>
      <c r="F29" s="131">
        <f t="shared" si="8"/>
        <v>229.50000000000003</v>
      </c>
      <c r="G29" s="131">
        <f t="shared" si="9"/>
        <v>108</v>
      </c>
      <c r="H29" s="131">
        <f t="shared" si="10"/>
        <v>337.5</v>
      </c>
      <c r="I29" s="131">
        <f t="shared" si="11"/>
        <v>1012.5</v>
      </c>
    </row>
    <row r="30" spans="1:9" x14ac:dyDescent="0.25">
      <c r="A30" s="128" t="s">
        <v>219</v>
      </c>
      <c r="B30" s="131">
        <v>900</v>
      </c>
      <c r="C30" s="131">
        <v>4000</v>
      </c>
      <c r="D30" s="131">
        <f t="shared" si="6"/>
        <v>200</v>
      </c>
      <c r="E30" s="131">
        <f t="shared" si="7"/>
        <v>1100</v>
      </c>
      <c r="F30" s="131">
        <f t="shared" si="8"/>
        <v>187</v>
      </c>
      <c r="G30" s="131">
        <f t="shared" si="9"/>
        <v>88</v>
      </c>
      <c r="H30" s="131">
        <f t="shared" si="10"/>
        <v>275</v>
      </c>
      <c r="I30" s="131">
        <f t="shared" si="11"/>
        <v>825</v>
      </c>
    </row>
    <row r="31" spans="1:9" x14ac:dyDescent="0.25">
      <c r="A31" s="128" t="s">
        <v>220</v>
      </c>
      <c r="B31" s="131">
        <v>1000</v>
      </c>
      <c r="C31" s="131">
        <v>3000</v>
      </c>
      <c r="D31" s="131">
        <f t="shared" si="6"/>
        <v>150</v>
      </c>
      <c r="E31" s="131">
        <f t="shared" si="7"/>
        <v>1150</v>
      </c>
      <c r="F31" s="131">
        <f t="shared" si="8"/>
        <v>195.5</v>
      </c>
      <c r="G31" s="131">
        <f t="shared" si="9"/>
        <v>92</v>
      </c>
      <c r="H31" s="131">
        <f t="shared" si="10"/>
        <v>287.5</v>
      </c>
      <c r="I31" s="131">
        <f t="shared" si="11"/>
        <v>862.5</v>
      </c>
    </row>
    <row r="32" spans="1:9" x14ac:dyDescent="0.25">
      <c r="A32" s="128" t="s">
        <v>221</v>
      </c>
      <c r="B32" s="131">
        <v>1800</v>
      </c>
      <c r="C32" s="131">
        <v>2000</v>
      </c>
      <c r="D32" s="131">
        <f t="shared" si="6"/>
        <v>100</v>
      </c>
      <c r="E32" s="131">
        <f t="shared" si="7"/>
        <v>1900</v>
      </c>
      <c r="F32" s="131">
        <f t="shared" si="8"/>
        <v>323</v>
      </c>
      <c r="G32" s="131">
        <f t="shared" si="9"/>
        <v>152</v>
      </c>
      <c r="H32" s="131">
        <f t="shared" si="10"/>
        <v>475</v>
      </c>
      <c r="I32" s="131">
        <f t="shared" si="11"/>
        <v>1425</v>
      </c>
    </row>
    <row r="33" spans="1:9" x14ac:dyDescent="0.25">
      <c r="A33" s="128" t="s">
        <v>222</v>
      </c>
      <c r="B33" s="131">
        <v>1100</v>
      </c>
      <c r="C33" s="131">
        <v>5000</v>
      </c>
      <c r="D33" s="131">
        <f t="shared" si="6"/>
        <v>250</v>
      </c>
      <c r="E33" s="131">
        <f t="shared" si="7"/>
        <v>1350</v>
      </c>
      <c r="F33" s="131">
        <f t="shared" si="8"/>
        <v>229.50000000000003</v>
      </c>
      <c r="G33" s="131">
        <f t="shared" si="9"/>
        <v>108</v>
      </c>
      <c r="H33" s="131">
        <f t="shared" si="10"/>
        <v>337.5</v>
      </c>
      <c r="I33" s="131">
        <f t="shared" si="11"/>
        <v>1012.5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índice</vt:lpstr>
      <vt:lpstr>Operadores</vt:lpstr>
      <vt:lpstr>Adição</vt:lpstr>
      <vt:lpstr>Subtração</vt:lpstr>
      <vt:lpstr>Multiplicação</vt:lpstr>
      <vt:lpstr>Divisão</vt:lpstr>
      <vt:lpstr>Porcentagem</vt:lpstr>
      <vt:lpstr>Valor do Imposto</vt:lpstr>
      <vt:lpstr>Valor da Compra</vt:lpstr>
      <vt:lpstr>Diferença Entre Dois Valores</vt:lpstr>
      <vt:lpstr>Taxa Aplicada</vt:lpstr>
      <vt:lpstr>EX1</vt:lpstr>
      <vt:lpstr>EX2</vt:lpstr>
      <vt:lpstr>EX3</vt:lpstr>
      <vt:lpstr>EX4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2018-06-13T00:51:00Z</dcterms:modified>
</cp:coreProperties>
</file>