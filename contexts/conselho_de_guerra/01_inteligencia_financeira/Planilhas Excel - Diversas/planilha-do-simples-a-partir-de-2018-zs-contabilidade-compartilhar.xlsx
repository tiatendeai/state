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DADOS\Dados\_ ESCRITÓRIO ZS CONTABILIDADE\PLANILHAS DIVERSAS\"/>
    </mc:Choice>
  </mc:AlternateContent>
  <xr:revisionPtr revIDLastSave="0" documentId="13_ncr:1_{E7FCAF78-0AF7-4BFB-A19A-1AB55560E771}" xr6:coauthVersionLast="43" xr6:coauthVersionMax="43" xr10:uidLastSave="{00000000-0000-0000-0000-000000000000}"/>
  <bookViews>
    <workbookView xWindow="-120" yWindow="-120" windowWidth="20640" windowHeight="11160" xr2:uid="{00000000-000D-0000-FFFF-FFFF00000000}"/>
  </bookViews>
  <sheets>
    <sheet name="Comércio - Anexo I" sheetId="8" r:id="rId1"/>
    <sheet name="Industria - Anexo II" sheetId="4" r:id="rId2"/>
    <sheet name="Serviços - Anexo III" sheetId="5" r:id="rId3"/>
    <sheet name="Serviços - Anexo IV" sheetId="6" r:id="rId4"/>
    <sheet name="Serviços - Anexo V" sheetId="7" r:id="rId5"/>
    <sheet name="Anexo I - Trib. Subst. Monof." sheetId="10" r:id="rId6"/>
    <sheet name="Com. e Serviço - Anexo I e III" sheetId="9" r:id="rId7"/>
    <sheet name="Anexo I, III e IV" sheetId="11" r:id="rId8"/>
    <sheet name="I, III e Locação" sheetId="1" r:id="rId9"/>
    <sheet name="Serviço de Transporte" sheetId="12" r:id="rId10"/>
  </sheets>
  <definedNames>
    <definedName name="_xlnm.Print_Area" localSheetId="8">'I, III e Locação'!$A$1:$V$25</definedName>
    <definedName name="_xlnm.Print_Area" localSheetId="1">'Industria - Anexo II'!$A$1:$AE$47</definedName>
    <definedName name="_xlnm.Print_Area" localSheetId="9">'Serviço de Transporte'!$A$1:$R$34</definedName>
    <definedName name="_xlnm.Print_Area" localSheetId="2">'Serviços - Anexo III'!$A$1:$L$34</definedName>
    <definedName name="_xlnm.Print_Area" localSheetId="3">'Serviços - Anexo IV'!$A$1:$Q$34</definedName>
    <definedName name="_xlnm.Print_Area" localSheetId="4">'Serviços - Anexo V'!$A$1:$AE$47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3" i="1" l="1"/>
  <c r="P14" i="1"/>
  <c r="P15" i="1"/>
  <c r="P16" i="1"/>
  <c r="P17" i="1"/>
  <c r="P18" i="1"/>
  <c r="P19" i="1"/>
  <c r="P20" i="1"/>
  <c r="P21" i="1"/>
  <c r="P22" i="1"/>
  <c r="P23" i="1"/>
  <c r="P12" i="1"/>
  <c r="R13" i="11"/>
  <c r="R14" i="11"/>
  <c r="R15" i="11"/>
  <c r="R16" i="11"/>
  <c r="R17" i="11"/>
  <c r="R18" i="11"/>
  <c r="R19" i="11"/>
  <c r="R20" i="11"/>
  <c r="R21" i="11"/>
  <c r="R22" i="11"/>
  <c r="R23" i="11"/>
  <c r="R12" i="11"/>
  <c r="N13" i="9"/>
  <c r="N14" i="9"/>
  <c r="N15" i="9"/>
  <c r="N16" i="9"/>
  <c r="N17" i="9"/>
  <c r="N18" i="9"/>
  <c r="N19" i="9"/>
  <c r="N20" i="9"/>
  <c r="N21" i="9"/>
  <c r="N22" i="9"/>
  <c r="N23" i="9"/>
  <c r="N12" i="9"/>
  <c r="L12" i="10"/>
  <c r="L13" i="10"/>
  <c r="L14" i="10"/>
  <c r="L15" i="10"/>
  <c r="L16" i="10"/>
  <c r="L17" i="10"/>
  <c r="L18" i="10"/>
  <c r="L19" i="10"/>
  <c r="L20" i="10"/>
  <c r="L21" i="10"/>
  <c r="L22" i="10"/>
  <c r="L11" i="10"/>
  <c r="J12" i="8"/>
  <c r="J13" i="8"/>
  <c r="J14" i="8"/>
  <c r="J15" i="8"/>
  <c r="J16" i="8"/>
  <c r="J17" i="8"/>
  <c r="J18" i="8"/>
  <c r="J19" i="8"/>
  <c r="J20" i="8"/>
  <c r="J21" i="8"/>
  <c r="J22" i="8"/>
  <c r="J11" i="8"/>
  <c r="M12" i="12"/>
  <c r="M13" i="12"/>
  <c r="M14" i="12"/>
  <c r="M15" i="12"/>
  <c r="M16" i="12"/>
  <c r="M17" i="12"/>
  <c r="M22" i="12"/>
  <c r="M11" i="12"/>
  <c r="B12" i="8"/>
  <c r="B13" i="8"/>
  <c r="B14" i="8" s="1"/>
  <c r="B15" i="8" s="1"/>
  <c r="B16" i="8" s="1"/>
  <c r="B17" i="8" s="1"/>
  <c r="B18" i="8" s="1"/>
  <c r="B19" i="8" s="1"/>
  <c r="B20" i="8" s="1"/>
  <c r="B21" i="8" s="1"/>
  <c r="B22" i="8" s="1"/>
  <c r="F23" i="12"/>
  <c r="G23" i="12"/>
  <c r="H23" i="12"/>
  <c r="I12" i="12"/>
  <c r="I13" i="12"/>
  <c r="I14" i="12"/>
  <c r="I15" i="12"/>
  <c r="I16" i="12"/>
  <c r="I17" i="12"/>
  <c r="I18" i="12"/>
  <c r="I19" i="12"/>
  <c r="I20" i="12"/>
  <c r="I21" i="12"/>
  <c r="I22" i="12"/>
  <c r="I11" i="12"/>
  <c r="K12" i="12"/>
  <c r="K13" i="12"/>
  <c r="K14" i="12"/>
  <c r="K15" i="12"/>
  <c r="K16" i="12"/>
  <c r="K17" i="12"/>
  <c r="K22" i="12"/>
  <c r="K11" i="12"/>
  <c r="N22" i="12"/>
  <c r="F23" i="5"/>
  <c r="L22" i="12"/>
  <c r="L12" i="12"/>
  <c r="L13" i="12"/>
  <c r="L14" i="12"/>
  <c r="L15" i="12"/>
  <c r="L16" i="12"/>
  <c r="L17" i="12"/>
  <c r="L11" i="12"/>
  <c r="V24" i="12" l="1"/>
  <c r="V23" i="12"/>
  <c r="V22" i="12"/>
  <c r="V21" i="12"/>
  <c r="V20" i="12"/>
  <c r="V19" i="12"/>
  <c r="V11" i="12"/>
  <c r="E23" i="12"/>
  <c r="C23" i="12"/>
  <c r="J22" i="12"/>
  <c r="N21" i="12"/>
  <c r="J21" i="12"/>
  <c r="N20" i="12"/>
  <c r="J20" i="12"/>
  <c r="N19" i="12"/>
  <c r="J19" i="12"/>
  <c r="N18" i="12"/>
  <c r="J18" i="12"/>
  <c r="N17" i="12"/>
  <c r="J17" i="12"/>
  <c r="V16" i="12"/>
  <c r="N16" i="12"/>
  <c r="J16" i="12"/>
  <c r="V15" i="12"/>
  <c r="N15" i="12"/>
  <c r="J15" i="12"/>
  <c r="V14" i="12"/>
  <c r="N14" i="12"/>
  <c r="J14" i="12"/>
  <c r="V13" i="12"/>
  <c r="N13" i="12"/>
  <c r="J13" i="12"/>
  <c r="D13" i="12"/>
  <c r="D14" i="12" s="1"/>
  <c r="D15" i="12" s="1"/>
  <c r="D16" i="12" s="1"/>
  <c r="D17" i="12" s="1"/>
  <c r="D18" i="12" s="1"/>
  <c r="D19" i="12" s="1"/>
  <c r="D20" i="12" s="1"/>
  <c r="D21" i="12" s="1"/>
  <c r="D22" i="12" s="1"/>
  <c r="V12" i="12"/>
  <c r="N12" i="12"/>
  <c r="J12" i="12"/>
  <c r="D12" i="12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N11" i="12"/>
  <c r="J11" i="12"/>
  <c r="P12" i="11"/>
  <c r="AB33" i="11"/>
  <c r="AB32" i="11"/>
  <c r="Q12" i="11" s="1"/>
  <c r="AB31" i="11"/>
  <c r="AB30" i="11"/>
  <c r="AB29" i="11"/>
  <c r="AB28" i="11"/>
  <c r="W23" i="11" s="1"/>
  <c r="AB25" i="11"/>
  <c r="AB24" i="11"/>
  <c r="J24" i="11"/>
  <c r="I24" i="11"/>
  <c r="H24" i="11"/>
  <c r="G24" i="11"/>
  <c r="F24" i="11"/>
  <c r="E24" i="11"/>
  <c r="C24" i="11"/>
  <c r="AB23" i="11"/>
  <c r="U23" i="11"/>
  <c r="T23" i="11"/>
  <c r="Q23" i="11"/>
  <c r="P23" i="11"/>
  <c r="O23" i="11"/>
  <c r="N23" i="11"/>
  <c r="M23" i="11"/>
  <c r="L23" i="11"/>
  <c r="K23" i="11"/>
  <c r="AB22" i="11"/>
  <c r="W22" i="11"/>
  <c r="T22" i="11"/>
  <c r="Q22" i="11"/>
  <c r="P22" i="11"/>
  <c r="O22" i="11"/>
  <c r="N22" i="11"/>
  <c r="M22" i="11"/>
  <c r="L22" i="11"/>
  <c r="K22" i="11"/>
  <c r="AB21" i="11"/>
  <c r="W21" i="11"/>
  <c r="U21" i="11"/>
  <c r="T21" i="11"/>
  <c r="Q21" i="11"/>
  <c r="P21" i="11"/>
  <c r="O21" i="11"/>
  <c r="N21" i="11"/>
  <c r="M21" i="11"/>
  <c r="L21" i="11"/>
  <c r="K21" i="11"/>
  <c r="AB20" i="11"/>
  <c r="U19" i="11" s="1"/>
  <c r="W20" i="11"/>
  <c r="U20" i="11"/>
  <c r="T20" i="11"/>
  <c r="Q20" i="11"/>
  <c r="P20" i="11"/>
  <c r="O20" i="11"/>
  <c r="N20" i="11"/>
  <c r="M20" i="11"/>
  <c r="L20" i="11"/>
  <c r="K20" i="11"/>
  <c r="W19" i="11"/>
  <c r="T19" i="11"/>
  <c r="S19" i="11"/>
  <c r="Q19" i="11"/>
  <c r="P19" i="11"/>
  <c r="O19" i="11"/>
  <c r="N19" i="11"/>
  <c r="M19" i="11"/>
  <c r="L19" i="11"/>
  <c r="K19" i="11"/>
  <c r="W18" i="11"/>
  <c r="T18" i="11"/>
  <c r="S18" i="11"/>
  <c r="Q18" i="11"/>
  <c r="P18" i="11"/>
  <c r="O18" i="11"/>
  <c r="N18" i="11"/>
  <c r="M18" i="11"/>
  <c r="L18" i="11"/>
  <c r="K18" i="11"/>
  <c r="AB17" i="11"/>
  <c r="W17" i="11"/>
  <c r="T17" i="11"/>
  <c r="S17" i="11"/>
  <c r="Q17" i="11"/>
  <c r="P17" i="11"/>
  <c r="O17" i="11"/>
  <c r="N17" i="11"/>
  <c r="M17" i="11"/>
  <c r="L17" i="11"/>
  <c r="K17" i="11"/>
  <c r="AB16" i="11"/>
  <c r="W16" i="11"/>
  <c r="T16" i="11"/>
  <c r="S16" i="11"/>
  <c r="Q16" i="11"/>
  <c r="P16" i="11"/>
  <c r="O16" i="11"/>
  <c r="N16" i="11"/>
  <c r="M16" i="11"/>
  <c r="L16" i="11"/>
  <c r="K16" i="11"/>
  <c r="AB15" i="11"/>
  <c r="W15" i="11"/>
  <c r="T15" i="11"/>
  <c r="S15" i="11"/>
  <c r="Q15" i="11"/>
  <c r="P15" i="11"/>
  <c r="O15" i="11"/>
  <c r="N15" i="11"/>
  <c r="M15" i="11"/>
  <c r="L15" i="11"/>
  <c r="K15" i="11"/>
  <c r="AB14" i="11"/>
  <c r="W14" i="11"/>
  <c r="T14" i="11"/>
  <c r="S14" i="11"/>
  <c r="Q14" i="11"/>
  <c r="P14" i="11"/>
  <c r="O14" i="11"/>
  <c r="N14" i="11"/>
  <c r="M14" i="11"/>
  <c r="L14" i="11"/>
  <c r="K14" i="11"/>
  <c r="AB13" i="11"/>
  <c r="W13" i="11"/>
  <c r="T13" i="11"/>
  <c r="S13" i="11"/>
  <c r="Q13" i="11"/>
  <c r="P13" i="11"/>
  <c r="O13" i="11"/>
  <c r="N13" i="11"/>
  <c r="M13" i="11"/>
  <c r="L13" i="11"/>
  <c r="K13" i="11"/>
  <c r="D13" i="1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B13" i="1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AB12" i="11"/>
  <c r="W12" i="11"/>
  <c r="W24" i="11" s="1"/>
  <c r="V12" i="11"/>
  <c r="V24" i="11" s="1"/>
  <c r="T12" i="11"/>
  <c r="S12" i="11"/>
  <c r="O12" i="11"/>
  <c r="N12" i="11"/>
  <c r="M12" i="11"/>
  <c r="L12" i="11"/>
  <c r="K12" i="11"/>
  <c r="K24" i="11" s="1"/>
  <c r="D28" i="11" s="1"/>
  <c r="F23" i="10"/>
  <c r="E23" i="10"/>
  <c r="C23" i="10"/>
  <c r="K22" i="10"/>
  <c r="J22" i="10"/>
  <c r="I22" i="10"/>
  <c r="H22" i="10"/>
  <c r="K21" i="10"/>
  <c r="J21" i="10"/>
  <c r="I21" i="10"/>
  <c r="H21" i="10"/>
  <c r="K20" i="10"/>
  <c r="J20" i="10"/>
  <c r="I20" i="10"/>
  <c r="H20" i="10"/>
  <c r="K19" i="10"/>
  <c r="J19" i="10"/>
  <c r="I19" i="10"/>
  <c r="H19" i="10"/>
  <c r="K18" i="10"/>
  <c r="J18" i="10"/>
  <c r="I18" i="10"/>
  <c r="H18" i="10"/>
  <c r="K17" i="10"/>
  <c r="J17" i="10"/>
  <c r="I17" i="10"/>
  <c r="H17" i="10"/>
  <c r="T16" i="10"/>
  <c r="S16" i="10"/>
  <c r="K16" i="10"/>
  <c r="J16" i="10"/>
  <c r="I16" i="10"/>
  <c r="H16" i="10"/>
  <c r="T15" i="10"/>
  <c r="S15" i="10"/>
  <c r="K15" i="10"/>
  <c r="J15" i="10"/>
  <c r="I15" i="10"/>
  <c r="H15" i="10"/>
  <c r="T14" i="10"/>
  <c r="N12" i="10" s="1"/>
  <c r="S14" i="10"/>
  <c r="J12" i="10" s="1"/>
  <c r="K14" i="10"/>
  <c r="J14" i="10"/>
  <c r="I14" i="10"/>
  <c r="H14" i="10"/>
  <c r="T13" i="10"/>
  <c r="S13" i="10"/>
  <c r="K13" i="10"/>
  <c r="J13" i="10"/>
  <c r="I13" i="10"/>
  <c r="H13" i="10"/>
  <c r="T12" i="10"/>
  <c r="S12" i="10"/>
  <c r="I12" i="10"/>
  <c r="H12" i="10"/>
  <c r="D12" i="10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B12" i="10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T11" i="10"/>
  <c r="N21" i="10" s="1"/>
  <c r="S11" i="10"/>
  <c r="I11" i="10"/>
  <c r="H11" i="10"/>
  <c r="M21" i="10" l="1"/>
  <c r="M17" i="10"/>
  <c r="M13" i="10"/>
  <c r="M20" i="10"/>
  <c r="M16" i="10"/>
  <c r="M12" i="10"/>
  <c r="M20" i="12"/>
  <c r="Q12" i="12"/>
  <c r="Q16" i="12"/>
  <c r="Q20" i="12"/>
  <c r="M21" i="12"/>
  <c r="Q13" i="12"/>
  <c r="Q17" i="12"/>
  <c r="R17" i="12" s="1"/>
  <c r="Q21" i="12"/>
  <c r="O12" i="12"/>
  <c r="R12" i="12" s="1"/>
  <c r="O16" i="12"/>
  <c r="O20" i="12"/>
  <c r="R20" i="12" s="1"/>
  <c r="K20" i="12"/>
  <c r="P12" i="12"/>
  <c r="P16" i="12"/>
  <c r="P20" i="12"/>
  <c r="L20" i="12"/>
  <c r="O13" i="12"/>
  <c r="R13" i="12" s="1"/>
  <c r="O17" i="12"/>
  <c r="O21" i="12"/>
  <c r="R21" i="12" s="1"/>
  <c r="K21" i="12"/>
  <c r="P13" i="12"/>
  <c r="P17" i="12"/>
  <c r="P21" i="12"/>
  <c r="L21" i="12"/>
  <c r="M18" i="12"/>
  <c r="Q14" i="12"/>
  <c r="Q18" i="12"/>
  <c r="Q22" i="12"/>
  <c r="M19" i="12"/>
  <c r="Q15" i="12"/>
  <c r="Q19" i="12"/>
  <c r="Q11" i="12"/>
  <c r="O14" i="12"/>
  <c r="O18" i="12"/>
  <c r="O22" i="12"/>
  <c r="K18" i="12"/>
  <c r="P14" i="12"/>
  <c r="P18" i="12"/>
  <c r="P22" i="12"/>
  <c r="L18" i="12"/>
  <c r="O15" i="12"/>
  <c r="R15" i="12" s="1"/>
  <c r="O19" i="12"/>
  <c r="R19" i="12" s="1"/>
  <c r="O11" i="12"/>
  <c r="K19" i="12"/>
  <c r="P15" i="12"/>
  <c r="P19" i="12"/>
  <c r="P11" i="12"/>
  <c r="L19" i="12"/>
  <c r="M11" i="10"/>
  <c r="M19" i="10"/>
  <c r="M15" i="10"/>
  <c r="R16" i="12"/>
  <c r="H23" i="10"/>
  <c r="D27" i="10" s="1"/>
  <c r="D29" i="10" s="1"/>
  <c r="M22" i="10"/>
  <c r="M18" i="10"/>
  <c r="M14" i="10"/>
  <c r="X18" i="11"/>
  <c r="U22" i="11"/>
  <c r="R14" i="12"/>
  <c r="R18" i="12"/>
  <c r="I23" i="12"/>
  <c r="D27" i="12" s="1"/>
  <c r="D31" i="12" s="1"/>
  <c r="N23" i="12"/>
  <c r="D34" i="11"/>
  <c r="D33" i="11"/>
  <c r="D32" i="11"/>
  <c r="D31" i="11"/>
  <c r="X14" i="11"/>
  <c r="X16" i="11"/>
  <c r="U13" i="11"/>
  <c r="X13" i="11" s="1"/>
  <c r="U14" i="11"/>
  <c r="U15" i="11"/>
  <c r="X15" i="11" s="1"/>
  <c r="U16" i="11"/>
  <c r="U17" i="11"/>
  <c r="X17" i="11" s="1"/>
  <c r="U18" i="11"/>
  <c r="S20" i="11"/>
  <c r="S21" i="11"/>
  <c r="S22" i="11"/>
  <c r="S23" i="11"/>
  <c r="X23" i="11" s="1"/>
  <c r="T24" i="11"/>
  <c r="U12" i="11"/>
  <c r="U24" i="11" s="1"/>
  <c r="X20" i="11"/>
  <c r="D30" i="11"/>
  <c r="D30" i="10"/>
  <c r="O12" i="10"/>
  <c r="N20" i="10"/>
  <c r="N22" i="10"/>
  <c r="N18" i="10"/>
  <c r="O21" i="10"/>
  <c r="K11" i="10"/>
  <c r="K12" i="10"/>
  <c r="O22" i="10"/>
  <c r="J11" i="10"/>
  <c r="N11" i="10"/>
  <c r="N13" i="10"/>
  <c r="N14" i="10"/>
  <c r="N15" i="10"/>
  <c r="N16" i="10"/>
  <c r="N17" i="10"/>
  <c r="O18" i="10"/>
  <c r="N19" i="10"/>
  <c r="D32" i="10" l="1"/>
  <c r="D33" i="10"/>
  <c r="D31" i="10"/>
  <c r="O11" i="10"/>
  <c r="S24" i="11"/>
  <c r="P23" i="12"/>
  <c r="O23" i="12"/>
  <c r="R22" i="12"/>
  <c r="R11" i="12"/>
  <c r="R23" i="12" s="1"/>
  <c r="D28" i="12" s="1"/>
  <c r="Q23" i="12"/>
  <c r="D32" i="12"/>
  <c r="D33" i="12"/>
  <c r="D29" i="12"/>
  <c r="D30" i="12"/>
  <c r="X19" i="11"/>
  <c r="R24" i="11"/>
  <c r="X12" i="11"/>
  <c r="X21" i="11"/>
  <c r="X22" i="11"/>
  <c r="M23" i="10"/>
  <c r="O17" i="10"/>
  <c r="L23" i="10"/>
  <c r="O19" i="10"/>
  <c r="O13" i="10"/>
  <c r="O14" i="10"/>
  <c r="O20" i="10"/>
  <c r="N23" i="10"/>
  <c r="O15" i="10"/>
  <c r="O16" i="10"/>
  <c r="X24" i="11" l="1"/>
  <c r="D29" i="11" s="1"/>
  <c r="D35" i="11" s="1"/>
  <c r="D34" i="12"/>
  <c r="O23" i="10"/>
  <c r="D28" i="10" s="1"/>
  <c r="D34" i="10" s="1"/>
  <c r="J12" i="1" l="1"/>
  <c r="V25" i="9"/>
  <c r="V24" i="9"/>
  <c r="H24" i="9"/>
  <c r="G24" i="9"/>
  <c r="F24" i="9"/>
  <c r="E24" i="9"/>
  <c r="D30" i="9" s="1"/>
  <c r="C24" i="9"/>
  <c r="V23" i="9"/>
  <c r="P23" i="9"/>
  <c r="O23" i="9"/>
  <c r="M23" i="9"/>
  <c r="L23" i="9"/>
  <c r="K23" i="9"/>
  <c r="J23" i="9"/>
  <c r="I23" i="9"/>
  <c r="V22" i="9"/>
  <c r="P22" i="9"/>
  <c r="M22" i="9"/>
  <c r="L22" i="9"/>
  <c r="K22" i="9"/>
  <c r="J22" i="9"/>
  <c r="I22" i="9"/>
  <c r="V21" i="9"/>
  <c r="P21" i="9"/>
  <c r="M21" i="9"/>
  <c r="L21" i="9"/>
  <c r="K21" i="9"/>
  <c r="J21" i="9"/>
  <c r="I21" i="9"/>
  <c r="V20" i="9"/>
  <c r="Q22" i="9" s="1"/>
  <c r="P20" i="9"/>
  <c r="M20" i="9"/>
  <c r="L20" i="9"/>
  <c r="K20" i="9"/>
  <c r="J20" i="9"/>
  <c r="I20" i="9"/>
  <c r="Q19" i="9"/>
  <c r="P19" i="9"/>
  <c r="M19" i="9"/>
  <c r="L19" i="9"/>
  <c r="K19" i="9"/>
  <c r="J19" i="9"/>
  <c r="I19" i="9"/>
  <c r="P18" i="9"/>
  <c r="M18" i="9"/>
  <c r="L18" i="9"/>
  <c r="K18" i="9"/>
  <c r="J18" i="9"/>
  <c r="I18" i="9"/>
  <c r="V17" i="9"/>
  <c r="P17" i="9"/>
  <c r="O17" i="9"/>
  <c r="M17" i="9"/>
  <c r="L17" i="9"/>
  <c r="K17" i="9"/>
  <c r="J17" i="9"/>
  <c r="I17" i="9"/>
  <c r="V16" i="9"/>
  <c r="P16" i="9"/>
  <c r="M16" i="9"/>
  <c r="L16" i="9"/>
  <c r="K16" i="9"/>
  <c r="J16" i="9"/>
  <c r="I16" i="9"/>
  <c r="V15" i="9"/>
  <c r="P15" i="9"/>
  <c r="M15" i="9"/>
  <c r="L15" i="9"/>
  <c r="K15" i="9"/>
  <c r="J15" i="9"/>
  <c r="I15" i="9"/>
  <c r="V14" i="9"/>
  <c r="P14" i="9"/>
  <c r="M14" i="9"/>
  <c r="L14" i="9"/>
  <c r="K14" i="9"/>
  <c r="J14" i="9"/>
  <c r="I14" i="9"/>
  <c r="V13" i="9"/>
  <c r="Q13" i="9"/>
  <c r="P13" i="9"/>
  <c r="M13" i="9"/>
  <c r="L13" i="9"/>
  <c r="K13" i="9"/>
  <c r="J13" i="9"/>
  <c r="I13" i="9"/>
  <c r="D13" i="9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B13" i="9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V12" i="9"/>
  <c r="O21" i="9" s="1"/>
  <c r="P12" i="9"/>
  <c r="P24" i="9" s="1"/>
  <c r="O12" i="9"/>
  <c r="L12" i="9"/>
  <c r="K12" i="9"/>
  <c r="J12" i="9"/>
  <c r="I12" i="9"/>
  <c r="I24" i="9" s="1"/>
  <c r="D28" i="9" s="1"/>
  <c r="R21" i="9" l="1"/>
  <c r="R17" i="9"/>
  <c r="Q14" i="9"/>
  <c r="Q17" i="9"/>
  <c r="Q18" i="9"/>
  <c r="Q23" i="9"/>
  <c r="R23" i="9" s="1"/>
  <c r="O13" i="9"/>
  <c r="Q15" i="9"/>
  <c r="R22" i="9"/>
  <c r="Q12" i="9"/>
  <c r="R12" i="9" s="1"/>
  <c r="Q16" i="9"/>
  <c r="Q20" i="9"/>
  <c r="Q21" i="9"/>
  <c r="D33" i="9"/>
  <c r="D34" i="9"/>
  <c r="N24" i="9"/>
  <c r="D32" i="9"/>
  <c r="D31" i="9"/>
  <c r="R20" i="9"/>
  <c r="R13" i="9"/>
  <c r="M12" i="9"/>
  <c r="O14" i="9"/>
  <c r="O24" i="9" s="1"/>
  <c r="O18" i="9"/>
  <c r="O19" i="9"/>
  <c r="R19" i="9" s="1"/>
  <c r="O20" i="9"/>
  <c r="O16" i="9"/>
  <c r="R16" i="9" s="1"/>
  <c r="O22" i="9"/>
  <c r="O15" i="9"/>
  <c r="Q24" i="9" l="1"/>
  <c r="R15" i="9"/>
  <c r="R18" i="9"/>
  <c r="R14" i="9"/>
  <c r="R24" i="9" l="1"/>
  <c r="D29" i="9" s="1"/>
  <c r="D35" i="9" s="1"/>
  <c r="J23" i="1"/>
  <c r="J22" i="1"/>
  <c r="J21" i="1"/>
  <c r="J20" i="1"/>
  <c r="J19" i="1"/>
  <c r="J18" i="1"/>
  <c r="J17" i="1"/>
  <c r="J16" i="1"/>
  <c r="J15" i="1"/>
  <c r="J14" i="1"/>
  <c r="J13" i="1"/>
  <c r="L13" i="1" l="1"/>
  <c r="L14" i="1"/>
  <c r="L15" i="1"/>
  <c r="L16" i="1"/>
  <c r="L17" i="1"/>
  <c r="L18" i="1"/>
  <c r="L19" i="1"/>
  <c r="L20" i="1"/>
  <c r="L21" i="1"/>
  <c r="L22" i="1"/>
  <c r="L23" i="1"/>
  <c r="F23" i="8"/>
  <c r="E23" i="8"/>
  <c r="C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P16" i="8"/>
  <c r="I16" i="8"/>
  <c r="H16" i="8"/>
  <c r="G16" i="8"/>
  <c r="P15" i="8"/>
  <c r="I15" i="8"/>
  <c r="H15" i="8"/>
  <c r="G15" i="8"/>
  <c r="P14" i="8"/>
  <c r="I14" i="8"/>
  <c r="H14" i="8"/>
  <c r="G14" i="8"/>
  <c r="P13" i="8"/>
  <c r="I13" i="8"/>
  <c r="H13" i="8"/>
  <c r="G13" i="8"/>
  <c r="P12" i="8"/>
  <c r="I12" i="8"/>
  <c r="H12" i="8"/>
  <c r="G12" i="8"/>
  <c r="D12" i="8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P11" i="8"/>
  <c r="I11" i="8"/>
  <c r="H11" i="8"/>
  <c r="G11" i="8"/>
  <c r="R13" i="1"/>
  <c r="R14" i="1"/>
  <c r="R15" i="1"/>
  <c r="R16" i="1"/>
  <c r="R17" i="1"/>
  <c r="R18" i="1"/>
  <c r="R19" i="1"/>
  <c r="R20" i="1"/>
  <c r="R21" i="1"/>
  <c r="R22" i="1"/>
  <c r="R23" i="1"/>
  <c r="R12" i="1"/>
  <c r="K13" i="8" l="1"/>
  <c r="K12" i="8"/>
  <c r="K16" i="8"/>
  <c r="K20" i="8"/>
  <c r="K19" i="8"/>
  <c r="K11" i="8"/>
  <c r="K18" i="8"/>
  <c r="K22" i="8"/>
  <c r="K17" i="8"/>
  <c r="K21" i="8"/>
  <c r="K15" i="8"/>
  <c r="K14" i="8"/>
  <c r="L13" i="8"/>
  <c r="L17" i="8"/>
  <c r="L15" i="8"/>
  <c r="L19" i="8"/>
  <c r="L18" i="8"/>
  <c r="L22" i="8"/>
  <c r="G23" i="8"/>
  <c r="D27" i="8" s="1"/>
  <c r="D33" i="8" s="1"/>
  <c r="R24" i="1"/>
  <c r="L14" i="8" l="1"/>
  <c r="L20" i="8"/>
  <c r="L11" i="8"/>
  <c r="J23" i="8"/>
  <c r="L21" i="8"/>
  <c r="L12" i="8"/>
  <c r="L16" i="8"/>
  <c r="D29" i="8"/>
  <c r="D32" i="8"/>
  <c r="D30" i="8"/>
  <c r="D31" i="8"/>
  <c r="K23" i="8"/>
  <c r="O13" i="1"/>
  <c r="O14" i="1"/>
  <c r="O15" i="1"/>
  <c r="O16" i="1"/>
  <c r="O17" i="1"/>
  <c r="O18" i="1"/>
  <c r="O19" i="1"/>
  <c r="O20" i="1"/>
  <c r="O21" i="1"/>
  <c r="O22" i="1"/>
  <c r="O23" i="1"/>
  <c r="O12" i="1"/>
  <c r="Y21" i="1"/>
  <c r="Y22" i="1"/>
  <c r="Y23" i="1"/>
  <c r="Y24" i="1"/>
  <c r="Y25" i="1"/>
  <c r="Y20" i="1"/>
  <c r="Y13" i="1"/>
  <c r="Y14" i="1"/>
  <c r="Y15" i="1"/>
  <c r="Y16" i="1"/>
  <c r="Y17" i="1"/>
  <c r="Y12" i="1"/>
  <c r="I24" i="1"/>
  <c r="U16" i="1" l="1"/>
  <c r="Q16" i="1"/>
  <c r="Q20" i="1"/>
  <c r="Q12" i="1"/>
  <c r="Q14" i="1"/>
  <c r="Q22" i="1"/>
  <c r="Q19" i="1"/>
  <c r="Q13" i="1"/>
  <c r="Q17" i="1"/>
  <c r="Q21" i="1"/>
  <c r="Q18" i="1"/>
  <c r="Q15" i="1"/>
  <c r="Q23" i="1"/>
  <c r="T16" i="1"/>
  <c r="T20" i="1"/>
  <c r="T12" i="1"/>
  <c r="S16" i="1"/>
  <c r="S20" i="1"/>
  <c r="S12" i="1"/>
  <c r="T18" i="1"/>
  <c r="S14" i="1"/>
  <c r="T15" i="1"/>
  <c r="T23" i="1"/>
  <c r="S15" i="1"/>
  <c r="S23" i="1"/>
  <c r="T13" i="1"/>
  <c r="T17" i="1"/>
  <c r="T21" i="1"/>
  <c r="S13" i="1"/>
  <c r="S17" i="1"/>
  <c r="S21" i="1"/>
  <c r="T14" i="1"/>
  <c r="T22" i="1"/>
  <c r="S18" i="1"/>
  <c r="S22" i="1"/>
  <c r="T19" i="1"/>
  <c r="S19" i="1"/>
  <c r="L23" i="8"/>
  <c r="D28" i="8" s="1"/>
  <c r="D34" i="8" s="1"/>
  <c r="K12" i="1"/>
  <c r="N12" i="1"/>
  <c r="M12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G24" i="1"/>
  <c r="H24" i="1"/>
  <c r="U17" i="1" l="1"/>
  <c r="U23" i="1"/>
  <c r="U18" i="1"/>
  <c r="U12" i="1"/>
  <c r="U19" i="1"/>
  <c r="U14" i="1"/>
  <c r="T24" i="1"/>
  <c r="Q24" i="1"/>
  <c r="U20" i="1"/>
  <c r="U15" i="1"/>
  <c r="U21" i="1"/>
  <c r="S24" i="1"/>
  <c r="U22" i="1"/>
  <c r="U13" i="1"/>
  <c r="P12" i="7"/>
  <c r="P13" i="7"/>
  <c r="P14" i="7"/>
  <c r="P15" i="7"/>
  <c r="P16" i="7"/>
  <c r="P11" i="7"/>
  <c r="K14" i="7" s="1"/>
  <c r="F23" i="7"/>
  <c r="E23" i="7"/>
  <c r="C23" i="7"/>
  <c r="K22" i="7"/>
  <c r="J22" i="7"/>
  <c r="I22" i="7"/>
  <c r="H22" i="7"/>
  <c r="G22" i="7"/>
  <c r="J21" i="7"/>
  <c r="I21" i="7"/>
  <c r="H21" i="7"/>
  <c r="G21" i="7"/>
  <c r="J20" i="7"/>
  <c r="I20" i="7"/>
  <c r="H20" i="7"/>
  <c r="G20" i="7"/>
  <c r="J19" i="7"/>
  <c r="I19" i="7"/>
  <c r="H19" i="7"/>
  <c r="G19" i="7"/>
  <c r="J18" i="7"/>
  <c r="I18" i="7"/>
  <c r="H18" i="7"/>
  <c r="G18" i="7"/>
  <c r="J17" i="7"/>
  <c r="I17" i="7"/>
  <c r="H17" i="7"/>
  <c r="G17" i="7"/>
  <c r="J16" i="7"/>
  <c r="I16" i="7"/>
  <c r="H16" i="7"/>
  <c r="G16" i="7"/>
  <c r="J15" i="7"/>
  <c r="I15" i="7"/>
  <c r="H15" i="7"/>
  <c r="G15" i="7"/>
  <c r="J14" i="7"/>
  <c r="I14" i="7"/>
  <c r="H14" i="7"/>
  <c r="G14" i="7"/>
  <c r="J13" i="7"/>
  <c r="I13" i="7"/>
  <c r="H13" i="7"/>
  <c r="G13" i="7"/>
  <c r="J12" i="7"/>
  <c r="I12" i="7"/>
  <c r="H12" i="7"/>
  <c r="G12" i="7"/>
  <c r="D12" i="7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J11" i="7"/>
  <c r="H11" i="7"/>
  <c r="G11" i="7"/>
  <c r="P12" i="6"/>
  <c r="P13" i="6"/>
  <c r="P14" i="6"/>
  <c r="P15" i="6"/>
  <c r="P16" i="6"/>
  <c r="P11" i="6"/>
  <c r="K14" i="6" s="1"/>
  <c r="P11" i="5"/>
  <c r="P12" i="5"/>
  <c r="P13" i="5"/>
  <c r="P14" i="5"/>
  <c r="P15" i="5"/>
  <c r="P16" i="5"/>
  <c r="F23" i="6"/>
  <c r="E23" i="6"/>
  <c r="C23" i="6"/>
  <c r="K22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J16" i="6"/>
  <c r="I16" i="6"/>
  <c r="H16" i="6"/>
  <c r="G16" i="6"/>
  <c r="J15" i="6"/>
  <c r="I15" i="6"/>
  <c r="H15" i="6"/>
  <c r="G15" i="6"/>
  <c r="J14" i="6"/>
  <c r="I14" i="6"/>
  <c r="H14" i="6"/>
  <c r="G14" i="6"/>
  <c r="J13" i="6"/>
  <c r="I13" i="6"/>
  <c r="H13" i="6"/>
  <c r="G13" i="6"/>
  <c r="D13" i="6"/>
  <c r="D14" i="6" s="1"/>
  <c r="D15" i="6" s="1"/>
  <c r="D16" i="6" s="1"/>
  <c r="D17" i="6" s="1"/>
  <c r="D18" i="6" s="1"/>
  <c r="D19" i="6" s="1"/>
  <c r="D20" i="6" s="1"/>
  <c r="D21" i="6" s="1"/>
  <c r="D22" i="6" s="1"/>
  <c r="B13" i="6"/>
  <c r="B14" i="6" s="1"/>
  <c r="B15" i="6" s="1"/>
  <c r="B16" i="6" s="1"/>
  <c r="B17" i="6" s="1"/>
  <c r="B18" i="6" s="1"/>
  <c r="B19" i="6" s="1"/>
  <c r="B20" i="6" s="1"/>
  <c r="B21" i="6" s="1"/>
  <c r="B22" i="6" s="1"/>
  <c r="J12" i="6"/>
  <c r="I12" i="6"/>
  <c r="H12" i="6"/>
  <c r="G12" i="6"/>
  <c r="D12" i="6"/>
  <c r="B12" i="6"/>
  <c r="J11" i="6"/>
  <c r="H11" i="6"/>
  <c r="G11" i="6"/>
  <c r="E23" i="5"/>
  <c r="C23" i="5"/>
  <c r="K22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D12" i="5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J11" i="5"/>
  <c r="H11" i="5"/>
  <c r="G11" i="5"/>
  <c r="P12" i="4"/>
  <c r="P13" i="4"/>
  <c r="P14" i="4"/>
  <c r="P15" i="4"/>
  <c r="P16" i="4"/>
  <c r="P11" i="4"/>
  <c r="I11" i="4"/>
  <c r="F23" i="4"/>
  <c r="E23" i="4"/>
  <c r="C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D13" i="4"/>
  <c r="D14" i="4" s="1"/>
  <c r="D15" i="4" s="1"/>
  <c r="D16" i="4" s="1"/>
  <c r="D17" i="4" s="1"/>
  <c r="D18" i="4" s="1"/>
  <c r="D19" i="4" s="1"/>
  <c r="D20" i="4" s="1"/>
  <c r="D21" i="4" s="1"/>
  <c r="D22" i="4" s="1"/>
  <c r="J12" i="4"/>
  <c r="I12" i="4"/>
  <c r="H12" i="4"/>
  <c r="G12" i="4"/>
  <c r="D12" i="4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J11" i="4"/>
  <c r="H11" i="4"/>
  <c r="G11" i="4"/>
  <c r="K13" i="1"/>
  <c r="K14" i="1"/>
  <c r="K15" i="1"/>
  <c r="K16" i="1"/>
  <c r="K17" i="1"/>
  <c r="K18" i="1"/>
  <c r="K19" i="1"/>
  <c r="K20" i="1"/>
  <c r="K21" i="1"/>
  <c r="K22" i="1"/>
  <c r="K23" i="1"/>
  <c r="U24" i="1" l="1"/>
  <c r="D29" i="1" s="1"/>
  <c r="G23" i="4"/>
  <c r="D27" i="4" s="1"/>
  <c r="D31" i="4" s="1"/>
  <c r="K14" i="4"/>
  <c r="L14" i="4" s="1"/>
  <c r="K18" i="4"/>
  <c r="K22" i="4"/>
  <c r="L22" i="4" s="1"/>
  <c r="K15" i="4"/>
  <c r="K19" i="4"/>
  <c r="K11" i="4"/>
  <c r="K12" i="4"/>
  <c r="L12" i="4" s="1"/>
  <c r="K16" i="4"/>
  <c r="K20" i="4"/>
  <c r="L20" i="4" s="1"/>
  <c r="K13" i="4"/>
  <c r="K17" i="4"/>
  <c r="K21" i="4"/>
  <c r="K14" i="5"/>
  <c r="K11" i="5"/>
  <c r="G23" i="7"/>
  <c r="D27" i="7" s="1"/>
  <c r="D32" i="7" s="1"/>
  <c r="D31" i="7"/>
  <c r="D29" i="7"/>
  <c r="G23" i="5"/>
  <c r="D27" i="5" s="1"/>
  <c r="G23" i="6"/>
  <c r="D27" i="6" s="1"/>
  <c r="I11" i="7"/>
  <c r="J23" i="7"/>
  <c r="D28" i="7" s="1"/>
  <c r="L14" i="7"/>
  <c r="L22" i="7"/>
  <c r="K13" i="7"/>
  <c r="L13" i="7" s="1"/>
  <c r="K17" i="7"/>
  <c r="L17" i="7" s="1"/>
  <c r="K18" i="7"/>
  <c r="L18" i="7" s="1"/>
  <c r="K19" i="7"/>
  <c r="L19" i="7" s="1"/>
  <c r="K20" i="7"/>
  <c r="L20" i="7" s="1"/>
  <c r="K16" i="7"/>
  <c r="L16" i="7" s="1"/>
  <c r="K11" i="7"/>
  <c r="K15" i="7"/>
  <c r="L15" i="7" s="1"/>
  <c r="K21" i="7"/>
  <c r="L21" i="7" s="1"/>
  <c r="K12" i="7"/>
  <c r="L12" i="7" s="1"/>
  <c r="L22" i="6"/>
  <c r="J23" i="6"/>
  <c r="D28" i="6" s="1"/>
  <c r="I11" i="6"/>
  <c r="L14" i="6"/>
  <c r="K13" i="6"/>
  <c r="L13" i="6" s="1"/>
  <c r="K17" i="6"/>
  <c r="L17" i="6" s="1"/>
  <c r="K18" i="6"/>
  <c r="L18" i="6" s="1"/>
  <c r="K19" i="6"/>
  <c r="L19" i="6" s="1"/>
  <c r="K20" i="6"/>
  <c r="L20" i="6" s="1"/>
  <c r="K21" i="6"/>
  <c r="L21" i="6" s="1"/>
  <c r="K12" i="6"/>
  <c r="L12" i="6" s="1"/>
  <c r="K16" i="6"/>
  <c r="L16" i="6" s="1"/>
  <c r="K11" i="6"/>
  <c r="K15" i="6"/>
  <c r="L15" i="6" s="1"/>
  <c r="K16" i="5"/>
  <c r="L16" i="5" s="1"/>
  <c r="I11" i="5"/>
  <c r="L11" i="5"/>
  <c r="K12" i="5"/>
  <c r="L12" i="5" s="1"/>
  <c r="L22" i="5"/>
  <c r="J23" i="5"/>
  <c r="D28" i="5" s="1"/>
  <c r="L14" i="5"/>
  <c r="K13" i="5"/>
  <c r="L13" i="5" s="1"/>
  <c r="K17" i="5"/>
  <c r="L17" i="5" s="1"/>
  <c r="K18" i="5"/>
  <c r="L18" i="5" s="1"/>
  <c r="K19" i="5"/>
  <c r="L19" i="5" s="1"/>
  <c r="K20" i="5"/>
  <c r="L20" i="5" s="1"/>
  <c r="K21" i="5"/>
  <c r="L21" i="5" s="1"/>
  <c r="K15" i="5"/>
  <c r="L15" i="5" s="1"/>
  <c r="L15" i="4"/>
  <c r="J23" i="4"/>
  <c r="D28" i="4" s="1"/>
  <c r="D29" i="4"/>
  <c r="L16" i="4"/>
  <c r="L13" i="4"/>
  <c r="L11" i="4"/>
  <c r="L17" i="4"/>
  <c r="L18" i="4"/>
  <c r="L19" i="4"/>
  <c r="L21" i="4"/>
  <c r="F24" i="1"/>
  <c r="E24" i="1"/>
  <c r="C24" i="1"/>
  <c r="D30" i="4" l="1"/>
  <c r="D30" i="6"/>
  <c r="D33" i="6"/>
  <c r="D32" i="6"/>
  <c r="D29" i="6"/>
  <c r="D34" i="6" s="1"/>
  <c r="D31" i="6"/>
  <c r="D33" i="7"/>
  <c r="D30" i="7"/>
  <c r="D34" i="7" s="1"/>
  <c r="D33" i="4"/>
  <c r="D32" i="4"/>
  <c r="D29" i="5"/>
  <c r="D32" i="5"/>
  <c r="D33" i="5"/>
  <c r="D31" i="5"/>
  <c r="D30" i="5"/>
  <c r="D33" i="1"/>
  <c r="D34" i="1"/>
  <c r="D30" i="1"/>
  <c r="K23" i="7"/>
  <c r="L11" i="7"/>
  <c r="L23" i="7" s="1"/>
  <c r="K23" i="6"/>
  <c r="L11" i="6"/>
  <c r="L23" i="6" s="1"/>
  <c r="L23" i="5"/>
  <c r="K23" i="5"/>
  <c r="L23" i="4"/>
  <c r="K23" i="4"/>
  <c r="D34" i="4" l="1"/>
  <c r="D34" i="5"/>
  <c r="L12" i="1"/>
  <c r="D13" i="1" l="1"/>
  <c r="D14" i="1" s="1"/>
  <c r="B13" i="1"/>
  <c r="J24" i="1"/>
  <c r="B14" i="1" l="1"/>
  <c r="D15" i="1"/>
  <c r="D16" i="1" s="1"/>
  <c r="D17" i="1" s="1"/>
  <c r="D18" i="1" s="1"/>
  <c r="D19" i="1" s="1"/>
  <c r="D28" i="1"/>
  <c r="B15" i="1" l="1"/>
  <c r="P24" i="1"/>
  <c r="D32" i="1"/>
  <c r="D31" i="1"/>
  <c r="B16" i="1" l="1"/>
  <c r="D35" i="1"/>
  <c r="B17" i="1" l="1"/>
  <c r="B18" i="1" l="1"/>
  <c r="B19" i="1" l="1"/>
  <c r="D20" i="1"/>
  <c r="B20" i="1" l="1"/>
  <c r="D21" i="1"/>
  <c r="B21" i="1" l="1"/>
  <c r="D22" i="1"/>
  <c r="B22" i="1" l="1"/>
  <c r="D23" i="1"/>
  <c r="B23" i="1" l="1"/>
</calcChain>
</file>

<file path=xl/sharedStrings.xml><?xml version="1.0" encoding="utf-8"?>
<sst xmlns="http://schemas.openxmlformats.org/spreadsheetml/2006/main" count="605" uniqueCount="111">
  <si>
    <t>Salvador/BA</t>
  </si>
  <si>
    <t>MESES</t>
  </si>
  <si>
    <t>ANO ANTERIOR</t>
  </si>
  <si>
    <t>RECEITA BRUTA ACUMULADA ULTIMOS 12 MESES</t>
  </si>
  <si>
    <t>ANO CORRENTE</t>
  </si>
  <si>
    <t xml:space="preserve">RECEITA BRUTA TOTAL </t>
  </si>
  <si>
    <t>TOTAL IMPOSTO APURADO</t>
  </si>
  <si>
    <t>TOTAIS</t>
  </si>
  <si>
    <t>RESUMO</t>
  </si>
  <si>
    <t xml:space="preserve"> FATURAMENTO  </t>
  </si>
  <si>
    <t xml:space="preserve">SIMPLES NACIONAL </t>
  </si>
  <si>
    <t>PIS</t>
  </si>
  <si>
    <t>COFINS</t>
  </si>
  <si>
    <t>IRPJ</t>
  </si>
  <si>
    <t>CSLL</t>
  </si>
  <si>
    <t>ECONOMIA SIMPLES</t>
  </si>
  <si>
    <t>CÁLCULO SIMPLES  COMÉRCIO</t>
  </si>
  <si>
    <t>CÁLCULO SIMPLES  COMÉRCIO SUBSTITUIDO</t>
  </si>
  <si>
    <t>Receita Bruta Total em 12 meses</t>
  </si>
  <si>
    <t>Alíquota</t>
  </si>
  <si>
    <t>Quanto descontar do valor recolhido</t>
  </si>
  <si>
    <t>TESTE SIMPLES NACIONAL 2018</t>
  </si>
  <si>
    <t>Rua xxxx</t>
  </si>
  <si>
    <t>ICMS</t>
  </si>
  <si>
    <t>Percentual de Repartição dos Tributos</t>
  </si>
  <si>
    <t>Cofins</t>
  </si>
  <si>
    <t>PIS/Pasep</t>
  </si>
  <si>
    <t>CPP</t>
  </si>
  <si>
    <r>
      <t>1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</si>
  <si>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2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</si>
  <si>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3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</si>
  <si>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4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</si>
  <si>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5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</si>
  <si>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r>
      <t>6</t>
    </r>
    <r>
      <rPr>
        <u/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 Faixa</t>
    </r>
  </si>
  <si>
    <t>Faixas</t>
  </si>
  <si>
    <t>SEGREGANDO O ICMS</t>
  </si>
  <si>
    <t>ALÍQUOTA EFETIVA SEM SUBSTITUIÇÃO</t>
  </si>
  <si>
    <t>ALÍQUOTA EFETIVA COM SUBSTITUIÇÃO</t>
  </si>
  <si>
    <t>ANO  DE  2018</t>
  </si>
  <si>
    <t>IPI</t>
  </si>
  <si>
    <t>RECEITA INDUSTRIA</t>
  </si>
  <si>
    <t>RECEITA INDUSTRIA SUBST. ICMS</t>
  </si>
  <si>
    <t>ISS</t>
  </si>
  <si>
    <t>SEGREGANDO O ISS</t>
  </si>
  <si>
    <t>RECEITA SERVIÇOS</t>
  </si>
  <si>
    <t>RECEITA SERVIÇOS SUBST. ISS</t>
  </si>
  <si>
    <t>PREVISÃO DO CÁLCULO SIMPLES NACIONAL (SERVIÇO) - ANEXO IV</t>
  </si>
  <si>
    <t>PREVISÃO DO CÁLCULO SIMPLES NACIONAL (SERVIÇO) - ANEXO V</t>
  </si>
  <si>
    <t>CNPJ:00.508.000/0020-05 Inscrição Estadual: 044.055.487</t>
  </si>
  <si>
    <t>PREVISÃO DO CÁLCULO SIMPLES NACIONAL (SERVIÇO) - ANEXO III</t>
  </si>
  <si>
    <t>CÁLCULO SIMPLES  SERVIÇO</t>
  </si>
  <si>
    <t>CÁLCULO SIMPLES  SERVIÇO SUBSTITUIDO</t>
  </si>
  <si>
    <t>Percentual de Repartição dos Tributos - Anexo I</t>
  </si>
  <si>
    <t>Percentual de Repartição dos Tributos - Anexo III</t>
  </si>
  <si>
    <t>COMÉRCIO</t>
  </si>
  <si>
    <t>LOCAÇÃO</t>
  </si>
  <si>
    <t>ALÍQUOTA EFETIVA (LOCAÇÃO)</t>
  </si>
  <si>
    <t xml:space="preserve">  COMÉRCIO  (SUBSTITUIDO)</t>
  </si>
  <si>
    <t>SERVIÇOS</t>
  </si>
  <si>
    <t>SERVIÇOS (COM RETENÇÃO)</t>
  </si>
  <si>
    <t>CALCULO EM R$ POR ATIVIDADE</t>
  </si>
  <si>
    <t>% COMÉRCIO</t>
  </si>
  <si>
    <t>COMÉRCIO (COM SUBSTITUIÇÃO TRIBUTÁRIA)</t>
  </si>
  <si>
    <t>% SERVIÇO</t>
  </si>
  <si>
    <t>SERVIÇOS (SEM RETENÇÃO)</t>
  </si>
  <si>
    <t>SERVIÇOS (RETENÇÃO)</t>
  </si>
  <si>
    <t>RECEITA POR ATIVIDADE</t>
  </si>
  <si>
    <t>RECEITA COMÉRCIO</t>
  </si>
  <si>
    <t>RECEITA COMÉRCIO SUBST. ICMS</t>
  </si>
  <si>
    <t>CNPJ:xx.xxx.xxx/xxxx-xx Inscrição Estadual: xxx.xxx.xxx</t>
  </si>
  <si>
    <t>PREVISÃO DO CÁLCULO SIMPLES NACIONAL - COMÉRCIO, SERVIÇOS E LOCAÇÃO - ANEXOS I E III</t>
  </si>
  <si>
    <t>CÁLCULO SIMPLES NACIONAL - COMÉRCIO E SERVIÇOS - ANEXOS I E III</t>
  </si>
  <si>
    <t>PREVISÃO DO CÁLCULO SIMPLES NACIONAL (COMÉRCIO) - ANEXO I</t>
  </si>
  <si>
    <t>PREVISÃO DO CÁLCULO SIMPLES NACIONAL (INDUSTRIA) - ANEXO II</t>
  </si>
  <si>
    <t>CÁLCULO SIMPLES NACIONAL (COMÉRCIO) - ANEXO I</t>
  </si>
  <si>
    <t>RECEITA COMÉRCIO SUBST. ICMS E (MONOFASICA)</t>
  </si>
  <si>
    <t>ALIQUOTA EFETIVA COMÉRCIO SUBST. ICMS E (MONOFASICA)</t>
  </si>
  <si>
    <t>CÁLCULO SIMPLES  COMÉRCIO SUBST. ICMS E (MONOFASICA)</t>
  </si>
  <si>
    <t>SEGREGANDO (ICMS)</t>
  </si>
  <si>
    <t>SEGREGANDO (ICMS, PIS E COFINS)</t>
  </si>
  <si>
    <t>CÁLCULO SIMPLES  INDUSTRIA</t>
  </si>
  <si>
    <t>CÁLCULO SIMPLES  INDUSTRIA SUBSTITUIDO</t>
  </si>
  <si>
    <t>ALÍQUOTA EFETIVA IND SUBSTITUIÇÃO</t>
  </si>
  <si>
    <t>CÁLCULO SIMPLES  SERVIÇOS</t>
  </si>
  <si>
    <t>CÁLCULO SIMPLES  SERVIÇOS SUBSTITUIDO</t>
  </si>
  <si>
    <t>CÁLCULO SIMPLES NACIONAL - COMÉRCIO E SERVIÇOS - ANEXOS I, III e IV</t>
  </si>
  <si>
    <t>% COMÉRCIO (ANEXO I)</t>
  </si>
  <si>
    <t>% SERVIÇO (ANEXOIII)</t>
  </si>
  <si>
    <t>% SERVIÇO (ANEXO IV</t>
  </si>
  <si>
    <t>ANEXO I</t>
  </si>
  <si>
    <t>SERVIÇOS - ANEXO III</t>
  </si>
  <si>
    <t>SERVIÇOS (COM RETENÇÃO) - ANEXO III</t>
  </si>
  <si>
    <t>SERVIÇOS - ANEXO IV</t>
  </si>
  <si>
    <t>SERVIÇOS (COM RETENÇÃO) - ANEXO IV</t>
  </si>
  <si>
    <t>SERVIÇOS (COM RETENÇÃO) - IV</t>
  </si>
  <si>
    <t>ANEXO III</t>
  </si>
  <si>
    <t>ANEXO IV</t>
  </si>
  <si>
    <t>RECEITA SERVIÇOS (MUNICIPAL)</t>
  </si>
  <si>
    <t>RECEITA SERVIÇOS (INTERMUNICIPAL E INTERESTADUAL)</t>
  </si>
  <si>
    <t>ALÍQUOTA EFETIVA (SERVIÇO MUNICIPAL)</t>
  </si>
  <si>
    <t>ALÍQUOTA EFETIVA (SERVIÇO INTERMUNICIPAL E INTERESTADUAL)</t>
  </si>
  <si>
    <t>CÁLCULO SIMPLES  SERVIÇO (MUNICIPAL)</t>
  </si>
  <si>
    <t>CÁLCULO SIMPLES  SERVIÇO (INTERMUNICIPAL E INTERESTADUAL)</t>
  </si>
  <si>
    <t>CÁLCULO SIMPLES NACIONAL (SERVIÇO DE TRANSPORTE MUNICIPAL, INTERMUNICIPAL E INTERESTADUAL) - ANEXO III</t>
  </si>
  <si>
    <t>RECEITA SERVIÇOS (MUNICIPAL COM RETENÇÃO DO ISS)</t>
  </si>
  <si>
    <t>RECEITA SERVIÇOS ( INTERESTADUAL INICIADO EM OUTRAS UF)</t>
  </si>
  <si>
    <t>ALÍQUOTA EFETIVA (SERVIÇO  INTERESTADUAL INICIADO EM OUTRAS UF)</t>
  </si>
  <si>
    <t>CÁLCULO SIMPLES  SERVIÇO (MUNICIPAL) COM RETENÇÃO DO ISS</t>
  </si>
  <si>
    <t>CÁLCULO SIMPLES  SERVIÇO (INTERESTADUAL) INICIADO EM OUTRAS UF</t>
  </si>
  <si>
    <t>ALÍQUOTA EFETIVA SERVIÇO (MUNICIPAL) COM RETENÇÃO DO ISS</t>
  </si>
  <si>
    <t>OBS.: EM OPERAÇÕES INICIADAS EM OUTRAS UF, DEVERÁ SER RECOLHIDO O ICMS COM BASE NA ALÍQUOTA INTERESTADUAL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</si>
</sst>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[$-416]mmm\-yy;@"/>
    <numFmt numFmtId="166" formatCode="0.0%"/>
    <numFmt numFmtId="167" formatCode="0.0000%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b/>
      <sz val="10"/>
      <color indexed="12"/>
      <name val="Arial"/>
      <family val="2"/>
    </font>
    <font>
      <b/>
      <sz val="11"/>
      <color indexed="16"/>
      <name val="Arial"/>
      <family val="2"/>
    </font>
    <font>
      <b/>
      <sz val="10"/>
      <color theme="0"/>
      <name val="Calibri"/>
      <family val="2"/>
    </font>
    <font>
      <b/>
      <i/>
      <sz val="11"/>
      <color theme="1"/>
      <name val="Times New Roman"/>
      <family val="1"/>
    </font>
    <font>
      <b/>
      <sz val="13"/>
      <color theme="0"/>
      <name val="Arial"/>
      <family val="2"/>
    </font>
    <font>
      <sz val="10"/>
      <color rgb="FF000000"/>
      <name val="Arial"/>
      <family val="2"/>
    </font>
    <font>
      <u/>
      <vertAlign val="superscript"/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1"/>
    <xf numFmtId="0" fontId="4" fillId="0" borderId="0" xfId="1" applyFont="1" applyBorder="1" applyAlignment="1">
      <alignment horizontal="center"/>
    </xf>
    <xf numFmtId="164" fontId="4" fillId="0" borderId="0" xfId="2" applyFont="1" applyBorder="1"/>
    <xf numFmtId="164" fontId="4" fillId="0" borderId="0" xfId="2" applyFont="1" applyFill="1" applyBorder="1"/>
    <xf numFmtId="0" fontId="4" fillId="0" borderId="0" xfId="1" applyFont="1" applyAlignment="1">
      <alignment horizontal="center"/>
    </xf>
    <xf numFmtId="164" fontId="4" fillId="0" borderId="1" xfId="2" applyFont="1" applyBorder="1"/>
    <xf numFmtId="164" fontId="7" fillId="0" borderId="1" xfId="1" applyNumberFormat="1" applyFont="1" applyFill="1" applyBorder="1"/>
    <xf numFmtId="0" fontId="9" fillId="0" borderId="0" xfId="1" applyFont="1" applyBorder="1" applyAlignment="1">
      <alignment horizontal="center"/>
    </xf>
    <xf numFmtId="164" fontId="10" fillId="0" borderId="0" xfId="1" applyNumberFormat="1" applyFont="1" applyBorder="1" applyAlignment="1">
      <alignment horizontal="center"/>
    </xf>
    <xf numFmtId="164" fontId="6" fillId="0" borderId="1" xfId="2" applyFont="1" applyFill="1" applyBorder="1"/>
    <xf numFmtId="164" fontId="8" fillId="0" borderId="0" xfId="1" applyNumberFormat="1" applyFont="1" applyBorder="1" applyAlignment="1">
      <alignment horizontal="center"/>
    </xf>
    <xf numFmtId="0" fontId="2" fillId="0" borderId="0" xfId="1" applyFont="1" applyAlignment="1"/>
    <xf numFmtId="0" fontId="5" fillId="0" borderId="0" xfId="1" applyFont="1" applyAlignment="1"/>
    <xf numFmtId="0" fontId="11" fillId="2" borderId="1" xfId="1" applyFont="1" applyFill="1" applyBorder="1" applyAlignment="1">
      <alignment horizontal="center" vertical="center" wrapText="1"/>
    </xf>
    <xf numFmtId="0" fontId="3" fillId="0" borderId="0" xfId="1" applyFont="1" applyAlignment="1"/>
    <xf numFmtId="164" fontId="4" fillId="3" borderId="1" xfId="2" applyFont="1" applyFill="1" applyBorder="1"/>
    <xf numFmtId="0" fontId="12" fillId="0" borderId="0" xfId="1" applyFont="1" applyAlignment="1"/>
    <xf numFmtId="0" fontId="4" fillId="0" borderId="2" xfId="1" applyFont="1" applyBorder="1" applyAlignment="1">
      <alignment horizontal="center"/>
    </xf>
    <xf numFmtId="0" fontId="1" fillId="0" borderId="0" xfId="1" applyAlignment="1"/>
    <xf numFmtId="165" fontId="7" fillId="0" borderId="1" xfId="1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164" fontId="8" fillId="0" borderId="3" xfId="1" applyNumberFormat="1" applyFont="1" applyBorder="1" applyAlignment="1"/>
    <xf numFmtId="164" fontId="8" fillId="0" borderId="4" xfId="1" applyNumberFormat="1" applyFont="1" applyBorder="1" applyAlignment="1"/>
    <xf numFmtId="39" fontId="8" fillId="0" borderId="4" xfId="1" applyNumberFormat="1" applyFont="1" applyBorder="1" applyAlignment="1"/>
    <xf numFmtId="4" fontId="8" fillId="4" borderId="5" xfId="1" applyNumberFormat="1" applyFont="1" applyFill="1" applyBorder="1" applyAlignment="1"/>
    <xf numFmtId="44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4" fillId="0" borderId="16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10" fontId="14" fillId="0" borderId="16" xfId="0" applyNumberFormat="1" applyFont="1" applyBorder="1" applyAlignment="1">
      <alignment horizontal="center" vertical="top" wrapText="1"/>
    </xf>
    <xf numFmtId="0" fontId="14" fillId="0" borderId="0" xfId="0" applyFont="1" applyBorder="1" applyAlignment="1">
      <alignment vertical="top" wrapText="1"/>
    </xf>
    <xf numFmtId="10" fontId="14" fillId="0" borderId="0" xfId="0" applyNumberFormat="1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10" fontId="6" fillId="0" borderId="1" xfId="2" applyNumberFormat="1" applyFont="1" applyFill="1" applyBorder="1"/>
    <xf numFmtId="10" fontId="0" fillId="0" borderId="1" xfId="0" applyNumberForma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4" fillId="0" borderId="0" xfId="0" applyFont="1" applyBorder="1" applyAlignment="1">
      <alignment horizontal="center" vertical="top" wrapText="1"/>
    </xf>
    <xf numFmtId="0" fontId="4" fillId="5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0" applyFont="1" applyAlignment="1"/>
    <xf numFmtId="0" fontId="16" fillId="0" borderId="0" xfId="0" applyFont="1"/>
    <xf numFmtId="0" fontId="17" fillId="0" borderId="0" xfId="1" applyFont="1"/>
    <xf numFmtId="0" fontId="17" fillId="0" borderId="0" xfId="1" applyFont="1" applyAlignment="1"/>
    <xf numFmtId="0" fontId="14" fillId="0" borderId="0" xfId="0" applyFont="1" applyBorder="1" applyAlignment="1">
      <alignment horizontal="center" vertical="top" wrapText="1"/>
    </xf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164" fontId="4" fillId="10" borderId="12" xfId="2" applyFont="1" applyFill="1" applyBorder="1" applyAlignment="1">
      <alignment horizontal="center"/>
    </xf>
    <xf numFmtId="0" fontId="5" fillId="0" borderId="0" xfId="0" applyFont="1" applyAlignment="1"/>
    <xf numFmtId="0" fontId="18" fillId="0" borderId="1" xfId="1" applyFont="1" applyBorder="1" applyAlignment="1">
      <alignment horizontal="center"/>
    </xf>
    <xf numFmtId="165" fontId="18" fillId="0" borderId="1" xfId="1" applyNumberFormat="1" applyFont="1" applyFill="1" applyBorder="1" applyAlignment="1">
      <alignment horizontal="center"/>
    </xf>
    <xf numFmtId="164" fontId="18" fillId="0" borderId="1" xfId="2" applyFont="1" applyFill="1" applyBorder="1"/>
    <xf numFmtId="164" fontId="18" fillId="0" borderId="1" xfId="1" applyNumberFormat="1" applyFont="1" applyFill="1" applyBorder="1"/>
    <xf numFmtId="167" fontId="18" fillId="0" borderId="1" xfId="2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 wrapText="1"/>
    </xf>
    <xf numFmtId="10" fontId="18" fillId="0" borderId="1" xfId="2" applyNumberFormat="1" applyFont="1" applyFill="1" applyBorder="1"/>
    <xf numFmtId="0" fontId="14" fillId="11" borderId="14" xfId="0" applyFont="1" applyFill="1" applyBorder="1" applyAlignment="1">
      <alignment horizontal="center" vertical="top" wrapText="1"/>
    </xf>
    <xf numFmtId="10" fontId="14" fillId="11" borderId="16" xfId="0" applyNumberFormat="1" applyFont="1" applyFill="1" applyBorder="1" applyAlignment="1">
      <alignment horizontal="center" vertical="top" wrapText="1"/>
    </xf>
    <xf numFmtId="0" fontId="3" fillId="0" borderId="0" xfId="1" applyFont="1" applyBorder="1" applyAlignment="1">
      <alignment horizontal="center"/>
    </xf>
    <xf numFmtId="0" fontId="14" fillId="0" borderId="0" xfId="0" applyFont="1" applyBorder="1" applyAlignment="1">
      <alignment horizontal="center" vertical="top" wrapText="1"/>
    </xf>
    <xf numFmtId="0" fontId="11" fillId="2" borderId="1" xfId="1" applyFont="1" applyFill="1" applyBorder="1" applyAlignment="1">
      <alignment horizontal="center" vertical="center" wrapText="1"/>
    </xf>
    <xf numFmtId="164" fontId="4" fillId="12" borderId="1" xfId="2" applyFont="1" applyFill="1" applyBorder="1"/>
    <xf numFmtId="0" fontId="8" fillId="0" borderId="6" xfId="1" applyFont="1" applyBorder="1" applyAlignment="1">
      <alignment horizontal="left"/>
    </xf>
    <xf numFmtId="0" fontId="8" fillId="0" borderId="0" xfId="1" applyFont="1" applyBorder="1" applyAlignment="1">
      <alignment horizontal="left"/>
    </xf>
    <xf numFmtId="0" fontId="8" fillId="0" borderId="7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8" xfId="1" applyFont="1" applyBorder="1" applyAlignment="1">
      <alignment horizontal="left"/>
    </xf>
    <xf numFmtId="0" fontId="8" fillId="0" borderId="9" xfId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14" fillId="0" borderId="0" xfId="0" applyFont="1" applyBorder="1" applyAlignment="1">
      <alignment horizontal="center" vertical="top" wrapText="1"/>
    </xf>
    <xf numFmtId="0" fontId="4" fillId="0" borderId="11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3" fillId="3" borderId="11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11" fillId="2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/>
    </xf>
    <xf numFmtId="0" fontId="4" fillId="8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164" fontId="4" fillId="10" borderId="11" xfId="2" applyFont="1" applyFill="1" applyBorder="1" applyAlignment="1">
      <alignment horizontal="center"/>
    </xf>
    <xf numFmtId="164" fontId="4" fillId="10" borderId="12" xfId="2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7" borderId="11" xfId="1" applyFont="1" applyFill="1" applyBorder="1" applyAlignment="1">
      <alignment horizontal="center"/>
    </xf>
    <xf numFmtId="0" fontId="4" fillId="7" borderId="12" xfId="1" applyFont="1" applyFill="1" applyBorder="1" applyAlignment="1">
      <alignment horizontal="center"/>
    </xf>
    <xf numFmtId="0" fontId="4" fillId="7" borderId="13" xfId="1" applyFont="1" applyFill="1" applyBorder="1" applyAlignment="1">
      <alignment horizontal="center"/>
    </xf>
    <xf numFmtId="164" fontId="4" fillId="10" borderId="13" xfId="2" applyFont="1" applyFill="1" applyBorder="1" applyAlignment="1">
      <alignment horizontal="center"/>
    </xf>
    <xf numFmtId="164" fontId="4" fillId="13" borderId="9" xfId="2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Separador de milhares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topLeftCell="A7" workbookViewId="0">
      <selection activeCell="I11" sqref="I1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15.28515625" customWidth="1"/>
    <col min="8" max="8" width="18.5703125" customWidth="1"/>
    <col min="9" max="9" width="18.85546875" customWidth="1"/>
    <col min="10" max="10" width="16.5703125" customWidth="1"/>
    <col min="11" max="11" width="14.5703125" customWidth="1"/>
    <col min="12" max="12" width="14.85546875" customWidth="1"/>
    <col min="14" max="14" width="29.140625" customWidth="1"/>
    <col min="15" max="15" width="9.28515625" bestFit="1" customWidth="1"/>
    <col min="16" max="16" width="11.85546875" customWidth="1"/>
    <col min="17" max="17" width="17.28515625" bestFit="1" customWidth="1"/>
  </cols>
  <sheetData>
    <row r="1" spans="1:17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</row>
    <row r="2" spans="1:17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</row>
    <row r="3" spans="1:17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</row>
    <row r="5" spans="1:17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</row>
    <row r="6" spans="1:17" ht="18" x14ac:dyDescent="0.25">
      <c r="A6" s="76" t="s">
        <v>72</v>
      </c>
      <c r="B6" s="76"/>
      <c r="C6" s="76"/>
      <c r="D6" s="76"/>
      <c r="E6" s="76"/>
      <c r="F6" s="76"/>
      <c r="G6" s="76"/>
      <c r="H6" s="76"/>
      <c r="I6" s="76"/>
      <c r="J6" s="76"/>
      <c r="K6" s="12"/>
      <c r="L6" s="12"/>
    </row>
    <row r="7" spans="1:17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7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15"/>
      <c r="L8" s="15"/>
    </row>
    <row r="9" spans="1:17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5"/>
      <c r="L9" s="5"/>
    </row>
    <row r="10" spans="1:17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67</v>
      </c>
      <c r="F10" s="14" t="s">
        <v>68</v>
      </c>
      <c r="G10" s="14" t="s">
        <v>5</v>
      </c>
      <c r="H10" s="14" t="s">
        <v>36</v>
      </c>
      <c r="I10" s="14" t="s">
        <v>37</v>
      </c>
      <c r="J10" s="14" t="s">
        <v>16</v>
      </c>
      <c r="K10" s="14" t="s">
        <v>17</v>
      </c>
      <c r="L10" s="14" t="s">
        <v>6</v>
      </c>
      <c r="N10" s="14" t="s">
        <v>18</v>
      </c>
      <c r="O10" s="14" t="s">
        <v>19</v>
      </c>
      <c r="P10" s="14" t="s">
        <v>35</v>
      </c>
      <c r="Q10" s="14" t="s">
        <v>20</v>
      </c>
    </row>
    <row r="11" spans="1:17" x14ac:dyDescent="0.25">
      <c r="A11" s="42">
        <v>1</v>
      </c>
      <c r="B11" s="43">
        <v>42736</v>
      </c>
      <c r="C11" s="10">
        <v>0</v>
      </c>
      <c r="D11" s="43">
        <v>43101</v>
      </c>
      <c r="E11" s="44">
        <v>0</v>
      </c>
      <c r="F11" s="44">
        <v>0</v>
      </c>
      <c r="G11" s="10">
        <f t="shared" ref="G11:G22" si="0">E11+F11</f>
        <v>0</v>
      </c>
      <c r="H11" s="36">
        <f>IF(C11=0,0,IF(C11&lt;=N$11,O$11,IF(C11&lt;=N$12,((C11*O$12-Q$12)/C11),IF(C11&lt;=N$13,((C11*O$13-Q$13)/C11),IF(C11&lt;=N$14,((C11*O$14-Q$14)/C11),IF(C11&lt;=N$15,((C11*O$15-Q$15)/C11),IF(C11&lt;=N$16,((C11*O$16-Q$16)/C11),0)))))))</f>
        <v>0</v>
      </c>
      <c r="I11" s="36">
        <f>IF(C11=0,0,IF(C11&lt;=N$11,O$11*P$11,IF(C11&lt;=N$12,((C11*O$12-Q$12)/C11*(P$12)),IF(C11&lt;=N$13,((C11*O$13-Q$13)/C11*(P$13)),IF(C11&lt;=N$14,((C11*O$14-Q$14)/C11*(P$14)),IF(C11&lt;=N$15,((C11*O$15-Q$15)/C11*(P$15)),IF(C11&lt;=N$16,((C11*O$16-Q$16)/C11*(P$16)),0)))))))</f>
        <v>0</v>
      </c>
      <c r="J11" s="10">
        <f>IF(C11&lt;=N$11,E11*O$11,IF(C11&lt;=N$12,((C11*O$12-Q$12)/C11)*E11,IF(C11&lt;=N$13,((C11*O$13-Q$13)/C11)*E11,IF(C11&lt;=N$14,((C11*O$14-Q$14)/C11)*E11,IF(C11&lt;=N$15,((C11*O$15-Q$15)/C11)*E11,IF(C11&lt;=N$16,((C11*O$16-Q$16)/C11)*E11,0))))))</f>
        <v>0</v>
      </c>
      <c r="K11" s="10">
        <f>IF(C11&lt;=N$11,(F11*O$11)*P$11,
IF(C11&lt;=N$12,(((C11*O$12-Q$12)/C11)*F11)*P$12,
IF(C11&lt;=N$13,(((C11*O$13-Q$13)/C11)*F11)*P$13,
IF(C11&lt;=N$14,(((C11*O$14-Q$14)/C11)*F11)*P$14,
IF(C11&lt;=N$15,(((C11*O$15-Q$15)/C11)*F11)*P$15,
IF(C11&lt;=N$16,(((C11*O$16-Q$16)/C11)*F11)*P$16,0))))))</f>
        <v>0</v>
      </c>
      <c r="L11" s="10">
        <f t="shared" ref="L11:L22" si="1">J11+K11</f>
        <v>0</v>
      </c>
      <c r="N11" s="26">
        <v>180000</v>
      </c>
      <c r="O11" s="27">
        <v>0.04</v>
      </c>
      <c r="P11" s="28">
        <f>SUM(G28:K28)</f>
        <v>0.65999999999999992</v>
      </c>
      <c r="Q11" s="26">
        <v>0</v>
      </c>
    </row>
    <row r="12" spans="1:17" x14ac:dyDescent="0.25">
      <c r="A12" s="42">
        <v>2</v>
      </c>
      <c r="B12" s="43">
        <f>B11+31</f>
        <v>42767</v>
      </c>
      <c r="C12" s="10">
        <v>0</v>
      </c>
      <c r="D12" s="43">
        <f>D11+31</f>
        <v>43132</v>
      </c>
      <c r="E12" s="44">
        <v>0</v>
      </c>
      <c r="F12" s="44">
        <v>0</v>
      </c>
      <c r="G12" s="10">
        <f t="shared" si="0"/>
        <v>0</v>
      </c>
      <c r="H12" s="36">
        <f t="shared" ref="H12:H22" si="2">IF(C12=0,0,IF(C12&lt;=N$11,O$11,IF(C12&lt;=N$12,((C12*O$12-Q$12)/C12),IF(C12&lt;=N$13,((C12*O$13-Q$13)/C12),IF(C12&lt;=N$14,((C12*O$14-Q$14)/C12),IF(C12&lt;=N$15,((C12*O$15-Q$15)/C12),IF(C12&lt;=N$16,((C12*O$16-Q$16)/C12),0)))))))</f>
        <v>0</v>
      </c>
      <c r="I12" s="36">
        <f t="shared" ref="I12:I22" si="3">IF(C12=0,0,IF(C12&lt;=N$11,O$11*P$11,IF(C12&lt;=N$12,((C12*O$12-Q$12)/C12*(P$12)),IF(C12&lt;=N$13,((C12*O$13-Q$13)/C12*(P$13)),IF(C12&lt;=N$14,((C12*O$14-Q$14)/C12*(P$14)),IF(C12&lt;=N$15,((C12*O$15-Q$15)/C12*(P$15)),IF(C12&lt;=N$16,((C12*O$16-Q$16)/C12*(P$16)),0)))))))</f>
        <v>0</v>
      </c>
      <c r="J12" s="10">
        <f t="shared" ref="J12:J22" si="4">IF(C12&lt;=N$11,E12*O$11,IF(C12&lt;=N$12,((C12*O$12-Q$12)/C12)*E12,IF(C12&lt;=N$13,((C12*O$13-Q$13)/C12)*E12,IF(C12&lt;=N$14,((C12*O$14-Q$14)/C12)*E12,IF(C12&lt;=N$15,((C12*O$15-Q$15)/C12)*E12,IF(C12&lt;=N$16,((C12*O$16-Q$16)/C12)*E12,0))))))</f>
        <v>0</v>
      </c>
      <c r="K12" s="10">
        <f t="shared" ref="K12:K22" si="5">IF(C12&lt;=N$11,(F12*O$11)*P$11,
IF(C12&lt;=N$12,(((C12*O$12-Q$12)/C12)*F12)*P$12,
IF(C12&lt;=N$13,(((C12*O$13-Q$13)/C12)*F12)*P$13,
IF(C12&lt;=N$14,(((C12*O$14-Q$14)/C12)*F12)*P$14,
IF(C12&lt;=N$15,(((C12*O$15-Q$15)/C12)*F12)*P$15,
IF(C12&lt;=N$16,(((C12*O$16-Q$16)/C12)*F12)*P$16,0))))))</f>
        <v>0</v>
      </c>
      <c r="L12" s="10">
        <f t="shared" si="1"/>
        <v>0</v>
      </c>
      <c r="N12" s="26">
        <v>360000</v>
      </c>
      <c r="O12" s="28">
        <v>7.2999999999999995E-2</v>
      </c>
      <c r="P12" s="28">
        <f t="shared" ref="P12:P16" si="6">SUM(G29:K29)</f>
        <v>0.65999999999999992</v>
      </c>
      <c r="Q12" s="26">
        <v>5940</v>
      </c>
    </row>
    <row r="13" spans="1:17" x14ac:dyDescent="0.25">
      <c r="A13" s="42">
        <v>3</v>
      </c>
      <c r="B13" s="43">
        <f t="shared" ref="B13:B22" si="7">B12+31</f>
        <v>42798</v>
      </c>
      <c r="C13" s="10">
        <v>0</v>
      </c>
      <c r="D13" s="43">
        <f t="shared" ref="D13:D22" si="8">D12+31</f>
        <v>43163</v>
      </c>
      <c r="E13" s="44">
        <v>0</v>
      </c>
      <c r="F13" s="44">
        <v>0</v>
      </c>
      <c r="G13" s="10">
        <f t="shared" si="0"/>
        <v>0</v>
      </c>
      <c r="H13" s="36">
        <f t="shared" si="2"/>
        <v>0</v>
      </c>
      <c r="I13" s="36">
        <f t="shared" si="3"/>
        <v>0</v>
      </c>
      <c r="J13" s="10">
        <f t="shared" si="4"/>
        <v>0</v>
      </c>
      <c r="K13" s="10">
        <f t="shared" si="5"/>
        <v>0</v>
      </c>
      <c r="L13" s="10">
        <f t="shared" si="1"/>
        <v>0</v>
      </c>
      <c r="N13" s="26">
        <v>720000</v>
      </c>
      <c r="O13" s="28">
        <v>9.5000000000000001E-2</v>
      </c>
      <c r="P13" s="28">
        <f t="shared" si="6"/>
        <v>0.66500000000000004</v>
      </c>
      <c r="Q13" s="26">
        <v>13860</v>
      </c>
    </row>
    <row r="14" spans="1:17" x14ac:dyDescent="0.25">
      <c r="A14" s="42">
        <v>4</v>
      </c>
      <c r="B14" s="43">
        <f t="shared" si="7"/>
        <v>42829</v>
      </c>
      <c r="C14" s="10">
        <v>0</v>
      </c>
      <c r="D14" s="43">
        <f t="shared" si="8"/>
        <v>43194</v>
      </c>
      <c r="E14" s="44">
        <v>0</v>
      </c>
      <c r="F14" s="44">
        <v>0</v>
      </c>
      <c r="G14" s="10">
        <f t="shared" si="0"/>
        <v>0</v>
      </c>
      <c r="H14" s="36">
        <f t="shared" si="2"/>
        <v>0</v>
      </c>
      <c r="I14" s="36">
        <f t="shared" si="3"/>
        <v>0</v>
      </c>
      <c r="J14" s="10">
        <f t="shared" si="4"/>
        <v>0</v>
      </c>
      <c r="K14" s="10">
        <f t="shared" si="5"/>
        <v>0</v>
      </c>
      <c r="L14" s="10">
        <f t="shared" si="1"/>
        <v>0</v>
      </c>
      <c r="N14" s="26">
        <v>1800000</v>
      </c>
      <c r="O14" s="28">
        <v>0.107</v>
      </c>
      <c r="P14" s="28">
        <f t="shared" si="6"/>
        <v>0.66500000000000004</v>
      </c>
      <c r="Q14" s="26">
        <v>22500</v>
      </c>
    </row>
    <row r="15" spans="1:17" x14ac:dyDescent="0.25">
      <c r="A15" s="42">
        <v>5</v>
      </c>
      <c r="B15" s="43">
        <f t="shared" si="7"/>
        <v>42860</v>
      </c>
      <c r="C15" s="10">
        <v>0</v>
      </c>
      <c r="D15" s="43">
        <f t="shared" si="8"/>
        <v>43225</v>
      </c>
      <c r="E15" s="44">
        <v>0</v>
      </c>
      <c r="F15" s="44">
        <v>0</v>
      </c>
      <c r="G15" s="10">
        <f t="shared" si="0"/>
        <v>0</v>
      </c>
      <c r="H15" s="36">
        <f t="shared" si="2"/>
        <v>0</v>
      </c>
      <c r="I15" s="36">
        <f t="shared" si="3"/>
        <v>0</v>
      </c>
      <c r="J15" s="10">
        <f t="shared" si="4"/>
        <v>0</v>
      </c>
      <c r="K15" s="10">
        <f t="shared" si="5"/>
        <v>0</v>
      </c>
      <c r="L15" s="10">
        <f t="shared" si="1"/>
        <v>0</v>
      </c>
      <c r="N15" s="26">
        <v>3600000</v>
      </c>
      <c r="O15" s="28">
        <v>0.14299999999999999</v>
      </c>
      <c r="P15" s="28">
        <f t="shared" si="6"/>
        <v>0.66500000000000004</v>
      </c>
      <c r="Q15" s="26">
        <v>87300</v>
      </c>
    </row>
    <row r="16" spans="1:17" x14ac:dyDescent="0.25">
      <c r="A16" s="42">
        <v>6</v>
      </c>
      <c r="B16" s="43">
        <f t="shared" si="7"/>
        <v>42891</v>
      </c>
      <c r="C16" s="10">
        <v>0</v>
      </c>
      <c r="D16" s="43">
        <f t="shared" si="8"/>
        <v>43256</v>
      </c>
      <c r="E16" s="44">
        <v>0</v>
      </c>
      <c r="F16" s="44">
        <v>0</v>
      </c>
      <c r="G16" s="10">
        <f>E16+F16</f>
        <v>0</v>
      </c>
      <c r="H16" s="36">
        <f t="shared" si="2"/>
        <v>0</v>
      </c>
      <c r="I16" s="36">
        <f t="shared" si="3"/>
        <v>0</v>
      </c>
      <c r="J16" s="10">
        <f t="shared" si="4"/>
        <v>0</v>
      </c>
      <c r="K16" s="10">
        <f t="shared" si="5"/>
        <v>0</v>
      </c>
      <c r="L16" s="10">
        <f t="shared" si="1"/>
        <v>0</v>
      </c>
      <c r="N16" s="26">
        <v>4800000</v>
      </c>
      <c r="O16" s="27">
        <v>0.19</v>
      </c>
      <c r="P16" s="28">
        <f t="shared" si="6"/>
        <v>1</v>
      </c>
      <c r="Q16" s="26">
        <v>378000</v>
      </c>
    </row>
    <row r="17" spans="1:20" x14ac:dyDescent="0.25">
      <c r="A17" s="42">
        <v>7</v>
      </c>
      <c r="B17" s="43">
        <f t="shared" si="7"/>
        <v>42922</v>
      </c>
      <c r="C17" s="10">
        <v>0</v>
      </c>
      <c r="D17" s="43">
        <f t="shared" si="8"/>
        <v>43287</v>
      </c>
      <c r="E17" s="44">
        <v>0</v>
      </c>
      <c r="F17" s="44">
        <v>0</v>
      </c>
      <c r="G17" s="10">
        <f>E17+F17</f>
        <v>0</v>
      </c>
      <c r="H17" s="36">
        <f t="shared" si="2"/>
        <v>0</v>
      </c>
      <c r="I17" s="36">
        <f t="shared" si="3"/>
        <v>0</v>
      </c>
      <c r="J17" s="10">
        <f t="shared" si="4"/>
        <v>0</v>
      </c>
      <c r="K17" s="10">
        <f t="shared" si="5"/>
        <v>0</v>
      </c>
      <c r="L17" s="10">
        <f t="shared" si="1"/>
        <v>0</v>
      </c>
    </row>
    <row r="18" spans="1:20" x14ac:dyDescent="0.25">
      <c r="A18" s="42">
        <v>8</v>
      </c>
      <c r="B18" s="43">
        <f t="shared" si="7"/>
        <v>42953</v>
      </c>
      <c r="C18" s="10">
        <v>0</v>
      </c>
      <c r="D18" s="43">
        <f t="shared" si="8"/>
        <v>43318</v>
      </c>
      <c r="E18" s="44">
        <v>0</v>
      </c>
      <c r="F18" s="44">
        <v>0</v>
      </c>
      <c r="G18" s="10">
        <f t="shared" si="0"/>
        <v>0</v>
      </c>
      <c r="H18" s="36">
        <f t="shared" si="2"/>
        <v>0</v>
      </c>
      <c r="I18" s="36">
        <f t="shared" si="3"/>
        <v>0</v>
      </c>
      <c r="J18" s="10">
        <f t="shared" si="4"/>
        <v>0</v>
      </c>
      <c r="K18" s="10">
        <f t="shared" si="5"/>
        <v>0</v>
      </c>
      <c r="L18" s="10">
        <f t="shared" si="1"/>
        <v>0</v>
      </c>
      <c r="N18" s="78"/>
      <c r="O18" s="78"/>
      <c r="P18" s="78"/>
      <c r="Q18" s="78"/>
      <c r="R18" s="78"/>
      <c r="S18" s="78"/>
      <c r="T18" s="78"/>
    </row>
    <row r="19" spans="1:20" x14ac:dyDescent="0.25">
      <c r="A19" s="42">
        <v>9</v>
      </c>
      <c r="B19" s="43">
        <f t="shared" si="7"/>
        <v>42984</v>
      </c>
      <c r="C19" s="10">
        <v>0</v>
      </c>
      <c r="D19" s="43">
        <f t="shared" si="8"/>
        <v>43349</v>
      </c>
      <c r="E19" s="44">
        <v>0</v>
      </c>
      <c r="F19" s="44">
        <v>0</v>
      </c>
      <c r="G19" s="10">
        <f t="shared" si="0"/>
        <v>0</v>
      </c>
      <c r="H19" s="36">
        <f t="shared" si="2"/>
        <v>0</v>
      </c>
      <c r="I19" s="36">
        <f t="shared" si="3"/>
        <v>0</v>
      </c>
      <c r="J19" s="10">
        <f t="shared" si="4"/>
        <v>0</v>
      </c>
      <c r="K19" s="10">
        <f t="shared" si="5"/>
        <v>0</v>
      </c>
      <c r="L19" s="10">
        <f t="shared" si="1"/>
        <v>0</v>
      </c>
      <c r="N19" s="33"/>
      <c r="O19" s="40"/>
      <c r="P19" s="40"/>
      <c r="Q19" s="40"/>
      <c r="R19" s="40"/>
      <c r="S19" s="40"/>
      <c r="T19" s="40"/>
    </row>
    <row r="20" spans="1:20" x14ac:dyDescent="0.25">
      <c r="A20" s="42">
        <v>10</v>
      </c>
      <c r="B20" s="43">
        <f t="shared" si="7"/>
        <v>43015</v>
      </c>
      <c r="C20" s="10">
        <v>0</v>
      </c>
      <c r="D20" s="43">
        <f t="shared" si="8"/>
        <v>43380</v>
      </c>
      <c r="E20" s="44">
        <v>0</v>
      </c>
      <c r="F20" s="44">
        <v>0</v>
      </c>
      <c r="G20" s="10">
        <f t="shared" si="0"/>
        <v>0</v>
      </c>
      <c r="H20" s="36">
        <f t="shared" si="2"/>
        <v>0</v>
      </c>
      <c r="I20" s="36">
        <f t="shared" si="3"/>
        <v>0</v>
      </c>
      <c r="J20" s="10">
        <f t="shared" si="4"/>
        <v>0</v>
      </c>
      <c r="K20" s="10">
        <f t="shared" si="5"/>
        <v>0</v>
      </c>
      <c r="L20" s="10">
        <f t="shared" si="1"/>
        <v>0</v>
      </c>
      <c r="N20" s="40"/>
      <c r="O20" s="34"/>
      <c r="P20" s="34"/>
      <c r="Q20" s="34"/>
      <c r="R20" s="34"/>
      <c r="S20" s="34"/>
      <c r="T20" s="34"/>
    </row>
    <row r="21" spans="1:20" x14ac:dyDescent="0.25">
      <c r="A21" s="42">
        <v>11</v>
      </c>
      <c r="B21" s="43">
        <f t="shared" si="7"/>
        <v>43046</v>
      </c>
      <c r="C21" s="10">
        <v>0</v>
      </c>
      <c r="D21" s="43">
        <f t="shared" si="8"/>
        <v>43411</v>
      </c>
      <c r="E21" s="44">
        <v>0</v>
      </c>
      <c r="F21" s="44">
        <v>0</v>
      </c>
      <c r="G21" s="10">
        <f t="shared" si="0"/>
        <v>0</v>
      </c>
      <c r="H21" s="36">
        <f t="shared" si="2"/>
        <v>0</v>
      </c>
      <c r="I21" s="36">
        <f t="shared" si="3"/>
        <v>0</v>
      </c>
      <c r="J21" s="10">
        <f t="shared" si="4"/>
        <v>0</v>
      </c>
      <c r="K21" s="10">
        <f t="shared" si="5"/>
        <v>0</v>
      </c>
      <c r="L21" s="10">
        <f t="shared" si="1"/>
        <v>0</v>
      </c>
      <c r="N21" s="40"/>
      <c r="O21" s="34"/>
      <c r="P21" s="34"/>
      <c r="Q21" s="34"/>
      <c r="R21" s="34"/>
      <c r="S21" s="34"/>
      <c r="T21" s="34"/>
    </row>
    <row r="22" spans="1:20" x14ac:dyDescent="0.25">
      <c r="A22" s="42">
        <v>12</v>
      </c>
      <c r="B22" s="43">
        <f t="shared" si="7"/>
        <v>43077</v>
      </c>
      <c r="C22" s="10">
        <v>0</v>
      </c>
      <c r="D22" s="43">
        <f t="shared" si="8"/>
        <v>43442</v>
      </c>
      <c r="E22" s="44">
        <v>0</v>
      </c>
      <c r="F22" s="44">
        <v>0</v>
      </c>
      <c r="G22" s="10">
        <f t="shared" si="0"/>
        <v>0</v>
      </c>
      <c r="H22" s="36">
        <f t="shared" si="2"/>
        <v>0</v>
      </c>
      <c r="I22" s="36">
        <f t="shared" si="3"/>
        <v>0</v>
      </c>
      <c r="J22" s="10">
        <f t="shared" si="4"/>
        <v>0</v>
      </c>
      <c r="K22" s="10">
        <f t="shared" si="5"/>
        <v>0</v>
      </c>
      <c r="L22" s="10">
        <f t="shared" si="1"/>
        <v>0</v>
      </c>
      <c r="N22" s="40"/>
      <c r="O22" s="34"/>
      <c r="P22" s="34"/>
      <c r="Q22" s="34"/>
      <c r="R22" s="34"/>
      <c r="S22" s="34"/>
      <c r="T22" s="34"/>
    </row>
    <row r="23" spans="1:20" ht="15.75" x14ac:dyDescent="0.25">
      <c r="A23" s="79" t="s">
        <v>7</v>
      </c>
      <c r="B23" s="80"/>
      <c r="C23" s="6">
        <f>SUM(C11:C22)</f>
        <v>0</v>
      </c>
      <c r="D23" s="16"/>
      <c r="E23" s="6">
        <f t="shared" ref="E23:L23" si="9">SUM(E11:E22)</f>
        <v>0</v>
      </c>
      <c r="F23" s="6">
        <f t="shared" si="9"/>
        <v>0</v>
      </c>
      <c r="G23" s="6">
        <f t="shared" si="9"/>
        <v>0</v>
      </c>
      <c r="H23" s="6"/>
      <c r="I23" s="6"/>
      <c r="J23" s="6">
        <f t="shared" si="9"/>
        <v>0</v>
      </c>
      <c r="K23" s="6">
        <f t="shared" si="9"/>
        <v>0</v>
      </c>
      <c r="L23" s="6">
        <f t="shared" si="9"/>
        <v>0</v>
      </c>
      <c r="N23" s="40"/>
      <c r="O23" s="34"/>
      <c r="P23" s="34"/>
      <c r="Q23" s="34"/>
      <c r="R23" s="34"/>
      <c r="S23" s="34"/>
      <c r="T23" s="34"/>
    </row>
    <row r="24" spans="1:20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4"/>
      <c r="L24" s="3"/>
      <c r="N24" s="40"/>
      <c r="O24" s="34"/>
      <c r="P24" s="34"/>
      <c r="Q24" s="34"/>
      <c r="R24" s="34"/>
      <c r="S24" s="34"/>
      <c r="T24" s="34"/>
    </row>
    <row r="25" spans="1:20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4"/>
      <c r="L25" s="3"/>
      <c r="N25" s="40"/>
      <c r="O25" s="34"/>
      <c r="P25" s="34"/>
      <c r="Q25" s="34"/>
      <c r="R25" s="34"/>
      <c r="S25" s="34"/>
      <c r="T25" s="34"/>
    </row>
    <row r="26" spans="1:20" ht="17.25" customHeight="1" thickBot="1" x14ac:dyDescent="0.3">
      <c r="A26" s="81" t="s">
        <v>8</v>
      </c>
      <c r="B26" s="82"/>
      <c r="C26" s="82"/>
      <c r="D26" s="83"/>
      <c r="E26" s="3"/>
      <c r="F26" s="84" t="s">
        <v>24</v>
      </c>
      <c r="G26" s="85"/>
      <c r="H26" s="85"/>
      <c r="I26" s="85"/>
      <c r="J26" s="85"/>
      <c r="K26" s="85"/>
      <c r="L26" s="85"/>
    </row>
    <row r="27" spans="1:20" ht="15.75" thickBot="1" x14ac:dyDescent="0.3">
      <c r="A27" s="73" t="s">
        <v>9</v>
      </c>
      <c r="B27" s="74"/>
      <c r="C27" s="75"/>
      <c r="D27" s="22">
        <f>+G23</f>
        <v>0</v>
      </c>
      <c r="E27" s="11"/>
      <c r="F27" s="31" t="s">
        <v>34</v>
      </c>
      <c r="G27" s="29" t="s">
        <v>13</v>
      </c>
      <c r="H27" s="30" t="s">
        <v>14</v>
      </c>
      <c r="I27" s="30" t="s">
        <v>25</v>
      </c>
      <c r="J27" s="30" t="s">
        <v>26</v>
      </c>
      <c r="K27" s="30" t="s">
        <v>27</v>
      </c>
      <c r="L27" s="30" t="s">
        <v>23</v>
      </c>
    </row>
    <row r="28" spans="1:20" ht="15.75" thickBot="1" x14ac:dyDescent="0.3">
      <c r="A28" s="69" t="s">
        <v>10</v>
      </c>
      <c r="B28" s="70"/>
      <c r="C28" s="71"/>
      <c r="D28" s="23">
        <f>L23</f>
        <v>0</v>
      </c>
      <c r="E28" s="11"/>
      <c r="F28" s="31" t="s">
        <v>28</v>
      </c>
      <c r="G28" s="32">
        <v>5.5E-2</v>
      </c>
      <c r="H28" s="32">
        <v>3.5000000000000003E-2</v>
      </c>
      <c r="I28" s="32">
        <v>0.12740000000000001</v>
      </c>
      <c r="J28" s="32">
        <v>2.76E-2</v>
      </c>
      <c r="K28" s="32">
        <v>0.41499999999999998</v>
      </c>
      <c r="L28" s="32">
        <v>0.34</v>
      </c>
    </row>
    <row r="29" spans="1:20" ht="15.75" thickBot="1" x14ac:dyDescent="0.3">
      <c r="A29" s="69" t="s">
        <v>23</v>
      </c>
      <c r="B29" s="70"/>
      <c r="C29" s="71"/>
      <c r="D29" s="24">
        <f>D27*18%</f>
        <v>0</v>
      </c>
      <c r="E29" s="11"/>
      <c r="F29" s="31" t="s">
        <v>29</v>
      </c>
      <c r="G29" s="32">
        <v>5.5E-2</v>
      </c>
      <c r="H29" s="32">
        <v>3.5000000000000003E-2</v>
      </c>
      <c r="I29" s="32">
        <v>0.12740000000000001</v>
      </c>
      <c r="J29" s="32">
        <v>2.76E-2</v>
      </c>
      <c r="K29" s="32">
        <v>0.41499999999999998</v>
      </c>
      <c r="L29" s="32">
        <v>0.34</v>
      </c>
    </row>
    <row r="30" spans="1:20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5.5E-2</v>
      </c>
      <c r="H30" s="32">
        <v>3.5000000000000003E-2</v>
      </c>
      <c r="I30" s="32">
        <v>0.12740000000000001</v>
      </c>
      <c r="J30" s="32">
        <v>2.76E-2</v>
      </c>
      <c r="K30" s="32">
        <v>0.42</v>
      </c>
      <c r="L30" s="32">
        <v>0.33500000000000002</v>
      </c>
    </row>
    <row r="31" spans="1:20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5.5E-2</v>
      </c>
      <c r="H31" s="32">
        <v>3.5000000000000003E-2</v>
      </c>
      <c r="I31" s="32">
        <v>0.12740000000000001</v>
      </c>
      <c r="J31" s="32">
        <v>2.76E-2</v>
      </c>
      <c r="K31" s="32">
        <v>0.42</v>
      </c>
      <c r="L31" s="32">
        <v>0.33500000000000002</v>
      </c>
    </row>
    <row r="32" spans="1:20" ht="15.75" thickBot="1" x14ac:dyDescent="0.3">
      <c r="A32" s="69" t="s">
        <v>13</v>
      </c>
      <c r="B32" s="70"/>
      <c r="C32" s="71"/>
      <c r="D32" s="24">
        <f>((D27*8%)*15%)</f>
        <v>0</v>
      </c>
      <c r="E32" s="11"/>
      <c r="F32" s="31" t="s">
        <v>32</v>
      </c>
      <c r="G32" s="32">
        <v>5.5E-2</v>
      </c>
      <c r="H32" s="32">
        <v>3.5000000000000003E-2</v>
      </c>
      <c r="I32" s="32">
        <v>0.12740000000000001</v>
      </c>
      <c r="J32" s="32">
        <v>2.76E-2</v>
      </c>
      <c r="K32" s="32">
        <v>0.42</v>
      </c>
      <c r="L32" s="32">
        <v>0.33500000000000002</v>
      </c>
    </row>
    <row r="33" spans="1:12" ht="15.75" thickBot="1" x14ac:dyDescent="0.3">
      <c r="A33" s="69" t="s">
        <v>14</v>
      </c>
      <c r="B33" s="70"/>
      <c r="C33" s="71"/>
      <c r="D33" s="23">
        <f>((D27*12%)*9%)</f>
        <v>0</v>
      </c>
      <c r="E33" s="11"/>
      <c r="F33" s="31" t="s">
        <v>33</v>
      </c>
      <c r="G33" s="32">
        <v>0.13500000000000001</v>
      </c>
      <c r="H33" s="32">
        <v>0.1</v>
      </c>
      <c r="I33" s="32">
        <v>0.28270000000000001</v>
      </c>
      <c r="J33" s="32">
        <v>6.13E-2</v>
      </c>
      <c r="K33" s="32">
        <v>0.42099999999999999</v>
      </c>
      <c r="L33" s="32">
        <v>0</v>
      </c>
    </row>
    <row r="34" spans="1:12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"/>
      <c r="H34" s="1"/>
      <c r="I34" s="1"/>
    </row>
    <row r="35" spans="1:12" x14ac:dyDescent="0.25">
      <c r="A35" s="8"/>
      <c r="B35" s="8"/>
      <c r="C35" s="8"/>
      <c r="D35" s="9"/>
      <c r="E35" s="9"/>
      <c r="F35" s="9"/>
      <c r="G35" s="1"/>
      <c r="H35" s="1"/>
      <c r="I35" s="1"/>
    </row>
    <row r="36" spans="1:12" x14ac:dyDescent="0.25">
      <c r="A36" s="8"/>
      <c r="B36" s="8"/>
      <c r="C36" s="8"/>
      <c r="D36" s="9"/>
      <c r="E36" s="9"/>
      <c r="F36" s="9"/>
      <c r="G36" s="9"/>
      <c r="H36" s="9"/>
      <c r="I36" s="9"/>
    </row>
    <row r="37" spans="1:12" x14ac:dyDescent="0.25">
      <c r="A37" s="17"/>
      <c r="B37" s="8"/>
      <c r="C37" s="8"/>
      <c r="D37" s="9"/>
      <c r="E37" s="9"/>
      <c r="F37" s="9"/>
      <c r="G37" s="9"/>
      <c r="H37" s="9"/>
      <c r="I37" s="9"/>
    </row>
    <row r="38" spans="1:12" x14ac:dyDescent="0.25">
      <c r="A38" s="17"/>
      <c r="B38" s="8"/>
      <c r="C38" s="8"/>
      <c r="D38" s="9"/>
      <c r="E38" s="9"/>
      <c r="F38" s="9"/>
      <c r="G38" s="9"/>
      <c r="H38" s="9"/>
      <c r="I38" s="9"/>
    </row>
    <row r="39" spans="1:12" x14ac:dyDescent="0.25">
      <c r="A39" s="17"/>
      <c r="B39" s="8"/>
      <c r="C39" s="8"/>
      <c r="D39" s="9"/>
      <c r="E39" s="9"/>
      <c r="F39" s="9"/>
      <c r="G39" s="9"/>
      <c r="H39" s="9"/>
      <c r="I39" s="9"/>
    </row>
  </sheetData>
  <mergeCells count="14">
    <mergeCell ref="A6:J6"/>
    <mergeCell ref="A8:J8"/>
    <mergeCell ref="N18:T18"/>
    <mergeCell ref="A23:B23"/>
    <mergeCell ref="A26:D26"/>
    <mergeCell ref="F26:L26"/>
    <mergeCell ref="A33:C33"/>
    <mergeCell ref="A34:C34"/>
    <mergeCell ref="A27:C27"/>
    <mergeCell ref="A28:C28"/>
    <mergeCell ref="A29:C29"/>
    <mergeCell ref="A30:C30"/>
    <mergeCell ref="A31:C31"/>
    <mergeCell ref="A32:C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9"/>
  <sheetViews>
    <sheetView workbookViewId="0">
      <selection activeCell="C11" sqref="C1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15.28515625" customWidth="1"/>
    <col min="8" max="8" width="18.5703125" customWidth="1"/>
    <col min="9" max="9" width="18.85546875" customWidth="1"/>
    <col min="10" max="10" width="16.5703125" customWidth="1"/>
    <col min="11" max="11" width="14.5703125" customWidth="1"/>
    <col min="12" max="12" width="14.85546875" customWidth="1"/>
    <col min="14" max="14" width="29.140625" customWidth="1"/>
    <col min="15" max="15" width="9.28515625" bestFit="1" customWidth="1"/>
    <col min="16" max="16" width="11.85546875" customWidth="1"/>
    <col min="17" max="17" width="17.28515625" bestFit="1" customWidth="1"/>
  </cols>
  <sheetData>
    <row r="1" spans="1:17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</row>
    <row r="2" spans="1:17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</row>
    <row r="3" spans="1:17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</row>
    <row r="5" spans="1:17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</row>
    <row r="6" spans="1:17" ht="18" x14ac:dyDescent="0.25">
      <c r="A6" s="76" t="s">
        <v>73</v>
      </c>
      <c r="B6" s="76"/>
      <c r="C6" s="76"/>
      <c r="D6" s="76"/>
      <c r="E6" s="76"/>
      <c r="F6" s="76"/>
      <c r="G6" s="76"/>
      <c r="H6" s="76"/>
      <c r="I6" s="76"/>
      <c r="J6" s="76"/>
      <c r="K6" s="12"/>
      <c r="L6" s="12"/>
    </row>
    <row r="7" spans="1:17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7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15"/>
      <c r="L8" s="15"/>
    </row>
    <row r="9" spans="1:17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5"/>
      <c r="L9" s="5"/>
    </row>
    <row r="10" spans="1:17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40</v>
      </c>
      <c r="F10" s="14" t="s">
        <v>41</v>
      </c>
      <c r="G10" s="14" t="s">
        <v>5</v>
      </c>
      <c r="H10" s="14" t="s">
        <v>36</v>
      </c>
      <c r="I10" s="14" t="s">
        <v>82</v>
      </c>
      <c r="J10" s="14" t="s">
        <v>80</v>
      </c>
      <c r="K10" s="14" t="s">
        <v>81</v>
      </c>
      <c r="L10" s="14" t="s">
        <v>6</v>
      </c>
      <c r="N10" s="14" t="s">
        <v>18</v>
      </c>
      <c r="O10" s="14" t="s">
        <v>19</v>
      </c>
      <c r="P10" s="14" t="s">
        <v>35</v>
      </c>
      <c r="Q10" s="14" t="s">
        <v>20</v>
      </c>
    </row>
    <row r="11" spans="1:17" x14ac:dyDescent="0.25">
      <c r="A11" s="21">
        <v>1</v>
      </c>
      <c r="B11" s="20">
        <v>42370</v>
      </c>
      <c r="C11" s="10">
        <v>180</v>
      </c>
      <c r="D11" s="20">
        <v>42736</v>
      </c>
      <c r="E11" s="7">
        <v>0</v>
      </c>
      <c r="F11" s="7">
        <v>0</v>
      </c>
      <c r="G11" s="10">
        <f t="shared" ref="G11:G22" si="0">E11+F11</f>
        <v>0</v>
      </c>
      <c r="H11" s="36">
        <f>IF(C11=0,0,IF(C11&lt;=N$11,O$11,IF(C11&lt;=N$12,((C11*O$12-Q$12)/C11),IF(C11&lt;=N$13,((C11*O$13-Q$13)/C11),IF(C11&lt;=N$14,((C11*O$14-Q$14)/C11),IF(C11&lt;=N$15,((C11*O$15-Q$15)/C11),IF(C11&lt;=N$16,((C11*O$16-Q$16)/C11),0)))))))</f>
        <v>4.4999999999999998E-2</v>
      </c>
      <c r="I11" s="36">
        <f>IF(C11=0,0,IF(C11&lt;=N$11,O$11*P$11,IF(C11&lt;=N$12,((C11*O$12-Q$12)/C11*(P$12)),IF(C11&lt;=N$13,((C11*O$13-Q$13)/C11*(P$13)),IF(C11&lt;=N$14,((C11*O$14-Q$14)/C11*(P$14)),IF(C11&lt;=N$15,((C11*O$15-Q$15)/C11*(P$15)),IF(C11&lt;=N$16,((C11*O$16-Q$16)/C11*(P$16)),0)))))))</f>
        <v>3.0599999999999995E-2</v>
      </c>
      <c r="J11" s="10">
        <f t="shared" ref="J11:J21" si="1">IF(C11&lt;=N$11,E11*O$11,IF(C11&lt;=N$12,((C11*O$12-Q$12)/C11)*E11,IF(C11&lt;=N$13,((C11*O$13-Q$13)/C11)*E11,IF(C11&lt;=N$14,((C11*O$14-Q$14)/C11)*E11,IF(C11&lt;=N$15,((C11*O$15-Q$15)/C11)*E11,IF(C11&lt;=N$16,((C11*O$16-Q$16)/C11)*E11,0))))))</f>
        <v>0</v>
      </c>
      <c r="K11" s="10">
        <f>IF(C11&lt;=N$11,(F11*O$11)*P$11,
IF(C11&lt;=N$12,(((C11*O$12-Q$12)/C11)*F11*P$11)*P$12,
IF(C11&lt;=N$13,(((C11*O$13-Q$13)/C11)*F11)*P$13,
IF(C11&lt;=N$14,(((C11*O$14-Q$14)/C11)*F11)*P$14,
IF(C11&lt;=N$15,(((C11*O$15-Q$15)/C11)*F11)*P$15,
IF(C11&lt;=N$16,(((C11*O$16-Q$16)/C11)*F11)*P$16,0))))))</f>
        <v>0</v>
      </c>
      <c r="L11" s="10">
        <f t="shared" ref="L11:L22" si="2">J11+K11</f>
        <v>0</v>
      </c>
      <c r="N11" s="26">
        <v>180000</v>
      </c>
      <c r="O11" s="28">
        <v>4.4999999999999998E-2</v>
      </c>
      <c r="P11" s="27">
        <f>SUM(G28:L28)</f>
        <v>0.67999999999999994</v>
      </c>
      <c r="Q11" s="26">
        <v>0</v>
      </c>
    </row>
    <row r="12" spans="1:17" x14ac:dyDescent="0.25">
      <c r="A12" s="21">
        <v>2</v>
      </c>
      <c r="B12" s="20">
        <f>B11+31</f>
        <v>42401</v>
      </c>
      <c r="C12" s="10">
        <v>0</v>
      </c>
      <c r="D12" s="20">
        <f>D11+31</f>
        <v>42767</v>
      </c>
      <c r="E12" s="7"/>
      <c r="F12" s="7">
        <v>0</v>
      </c>
      <c r="G12" s="10">
        <f t="shared" si="0"/>
        <v>0</v>
      </c>
      <c r="H12" s="36">
        <f t="shared" ref="H12:H22" si="3">IF(C12=0,0,IF(C12&lt;=N$11,O$11,IF(C12&lt;=N$12,((C12*O$12-Q$12)/C12),IF(C12&lt;=N$13,((C12*O$13-Q$13)/C12),IF(C12&lt;=N$14,((C12*O$14-Q$14)/C12),IF(C12&lt;=N$15,((C12*O$15-Q$15)/C12),IF(C12&lt;=N$16,((C12*O$16-Q$16)/C12),0)))))))</f>
        <v>0</v>
      </c>
      <c r="I12" s="36">
        <f t="shared" ref="I12:I22" si="4">IF(C12=0,0,IF(C12&lt;=N$11,O$11*P$11,IF(C12&lt;=N$12,((C12*O$12-Q$12)/C12*(P$12)),IF(C12&lt;=N$13,((C12*O$13-Q$13)/C12*(P$13)),IF(C12&lt;=N$14,((C12*O$14-Q$14)/C12*(P$14)),IF(C12&lt;=N$15,((C12*O$15-Q$15)/C12*(P$15)),IF(C12&lt;=N$16,((C12*O$16-Q$16)/C12*(P$16)),0)))))))</f>
        <v>0</v>
      </c>
      <c r="J12" s="10">
        <f t="shared" si="1"/>
        <v>0</v>
      </c>
      <c r="K12" s="10">
        <f t="shared" ref="K12:K22" si="5">IF(C12&lt;=N$11,(F12*O$11)*P$11,
IF(C12&lt;=N$12,(((C12*O$12-Q$12)/C12)*F12*P$11)*P$12,
IF(C12&lt;=N$13,(((C12*O$13-Q$13)/C12)*F12)*P$13,
IF(C12&lt;=N$14,(((C12*O$14-Q$14)/C12)*F12)*P$14,
IF(C12&lt;=N$15,(((C12*O$15-Q$15)/C12)*F12)*P$15,
IF(C12&lt;=N$16,(((C12*O$16-Q$16)/C12)*F12)*P$16,0))))))</f>
        <v>0</v>
      </c>
      <c r="L12" s="10">
        <f t="shared" si="2"/>
        <v>0</v>
      </c>
      <c r="N12" s="26">
        <v>360000</v>
      </c>
      <c r="O12" s="28">
        <v>7.8E-2</v>
      </c>
      <c r="P12" s="27">
        <f t="shared" ref="P12:P16" si="6">SUM(G29:L29)</f>
        <v>0.67999999999999994</v>
      </c>
      <c r="Q12" s="26">
        <v>5940</v>
      </c>
    </row>
    <row r="13" spans="1:17" x14ac:dyDescent="0.25">
      <c r="A13" s="21">
        <v>3</v>
      </c>
      <c r="B13" s="20">
        <f t="shared" ref="B13:B22" si="7">B12+31</f>
        <v>42432</v>
      </c>
      <c r="C13" s="10">
        <v>0</v>
      </c>
      <c r="D13" s="20">
        <f t="shared" ref="D13:D22" si="8">D12+31</f>
        <v>42798</v>
      </c>
      <c r="E13" s="7"/>
      <c r="F13" s="7">
        <v>0</v>
      </c>
      <c r="G13" s="10">
        <f t="shared" si="0"/>
        <v>0</v>
      </c>
      <c r="H13" s="36">
        <f t="shared" si="3"/>
        <v>0</v>
      </c>
      <c r="I13" s="36">
        <f t="shared" si="4"/>
        <v>0</v>
      </c>
      <c r="J13" s="10">
        <f t="shared" si="1"/>
        <v>0</v>
      </c>
      <c r="K13" s="10">
        <f t="shared" si="5"/>
        <v>0</v>
      </c>
      <c r="L13" s="10">
        <f t="shared" si="2"/>
        <v>0</v>
      </c>
      <c r="N13" s="26">
        <v>720000</v>
      </c>
      <c r="O13" s="27">
        <v>0.1</v>
      </c>
      <c r="P13" s="27">
        <f t="shared" si="6"/>
        <v>0.67999999999999994</v>
      </c>
      <c r="Q13" s="26">
        <v>13860</v>
      </c>
    </row>
    <row r="14" spans="1:17" x14ac:dyDescent="0.25">
      <c r="A14" s="21">
        <v>4</v>
      </c>
      <c r="B14" s="20">
        <f t="shared" si="7"/>
        <v>42463</v>
      </c>
      <c r="C14" s="10">
        <v>0</v>
      </c>
      <c r="D14" s="20">
        <f t="shared" si="8"/>
        <v>42829</v>
      </c>
      <c r="E14" s="7"/>
      <c r="F14" s="7">
        <v>0</v>
      </c>
      <c r="G14" s="10">
        <f t="shared" si="0"/>
        <v>0</v>
      </c>
      <c r="H14" s="36">
        <f t="shared" si="3"/>
        <v>0</v>
      </c>
      <c r="I14" s="36">
        <f t="shared" si="4"/>
        <v>0</v>
      </c>
      <c r="J14" s="10">
        <f t="shared" si="1"/>
        <v>0</v>
      </c>
      <c r="K14" s="10">
        <f t="shared" si="5"/>
        <v>0</v>
      </c>
      <c r="L14" s="10">
        <f t="shared" si="2"/>
        <v>0</v>
      </c>
      <c r="N14" s="26">
        <v>1800000</v>
      </c>
      <c r="O14" s="28">
        <v>0.112</v>
      </c>
      <c r="P14" s="27">
        <f t="shared" si="6"/>
        <v>0.67999999999999994</v>
      </c>
      <c r="Q14" s="26">
        <v>22500</v>
      </c>
    </row>
    <row r="15" spans="1:17" x14ac:dyDescent="0.25">
      <c r="A15" s="21">
        <v>5</v>
      </c>
      <c r="B15" s="20">
        <f t="shared" si="7"/>
        <v>42494</v>
      </c>
      <c r="C15" s="10">
        <v>0</v>
      </c>
      <c r="D15" s="20">
        <f t="shared" si="8"/>
        <v>42860</v>
      </c>
      <c r="E15" s="7"/>
      <c r="F15" s="7">
        <v>0</v>
      </c>
      <c r="G15" s="10">
        <f t="shared" si="0"/>
        <v>0</v>
      </c>
      <c r="H15" s="36">
        <f t="shared" si="3"/>
        <v>0</v>
      </c>
      <c r="I15" s="36">
        <f t="shared" si="4"/>
        <v>0</v>
      </c>
      <c r="J15" s="10">
        <f t="shared" si="1"/>
        <v>0</v>
      </c>
      <c r="K15" s="10">
        <f t="shared" si="5"/>
        <v>0</v>
      </c>
      <c r="L15" s="10">
        <f t="shared" si="2"/>
        <v>0</v>
      </c>
      <c r="N15" s="26">
        <v>3600000</v>
      </c>
      <c r="O15" s="28">
        <v>0.14699999999999999</v>
      </c>
      <c r="P15" s="27">
        <f t="shared" si="6"/>
        <v>0.67999999999999994</v>
      </c>
      <c r="Q15" s="26">
        <v>85500</v>
      </c>
    </row>
    <row r="16" spans="1:17" x14ac:dyDescent="0.25">
      <c r="A16" s="21">
        <v>6</v>
      </c>
      <c r="B16" s="20">
        <f t="shared" si="7"/>
        <v>42525</v>
      </c>
      <c r="C16" s="10">
        <v>0</v>
      </c>
      <c r="D16" s="20">
        <f t="shared" si="8"/>
        <v>42891</v>
      </c>
      <c r="E16" s="7"/>
      <c r="F16" s="7">
        <v>0</v>
      </c>
      <c r="G16" s="10">
        <f>E16+F16</f>
        <v>0</v>
      </c>
      <c r="H16" s="36">
        <f t="shared" si="3"/>
        <v>0</v>
      </c>
      <c r="I16" s="36">
        <f t="shared" si="4"/>
        <v>0</v>
      </c>
      <c r="J16" s="10">
        <f t="shared" si="1"/>
        <v>0</v>
      </c>
      <c r="K16" s="10">
        <f t="shared" si="5"/>
        <v>0</v>
      </c>
      <c r="L16" s="10">
        <f t="shared" si="2"/>
        <v>0</v>
      </c>
      <c r="N16" s="26">
        <v>4800000</v>
      </c>
      <c r="O16" s="27">
        <v>0.3</v>
      </c>
      <c r="P16" s="27">
        <f t="shared" si="6"/>
        <v>1</v>
      </c>
      <c r="Q16" s="26">
        <v>720000</v>
      </c>
    </row>
    <row r="17" spans="1:20" x14ac:dyDescent="0.25">
      <c r="A17" s="21">
        <v>7</v>
      </c>
      <c r="B17" s="20">
        <f t="shared" si="7"/>
        <v>42556</v>
      </c>
      <c r="C17" s="10">
        <v>0</v>
      </c>
      <c r="D17" s="20">
        <f t="shared" si="8"/>
        <v>42922</v>
      </c>
      <c r="E17" s="7"/>
      <c r="F17" s="7">
        <v>0</v>
      </c>
      <c r="G17" s="10">
        <f>E17+F17</f>
        <v>0</v>
      </c>
      <c r="H17" s="36">
        <f t="shared" si="3"/>
        <v>0</v>
      </c>
      <c r="I17" s="36">
        <f t="shared" si="4"/>
        <v>0</v>
      </c>
      <c r="J17" s="10">
        <f t="shared" si="1"/>
        <v>0</v>
      </c>
      <c r="K17" s="10">
        <f t="shared" si="5"/>
        <v>0</v>
      </c>
      <c r="L17" s="10">
        <f t="shared" si="2"/>
        <v>0</v>
      </c>
    </row>
    <row r="18" spans="1:20" x14ac:dyDescent="0.25">
      <c r="A18" s="21">
        <v>8</v>
      </c>
      <c r="B18" s="20">
        <f t="shared" si="7"/>
        <v>42587</v>
      </c>
      <c r="C18" s="10">
        <v>0</v>
      </c>
      <c r="D18" s="20">
        <f t="shared" si="8"/>
        <v>42953</v>
      </c>
      <c r="E18" s="7"/>
      <c r="F18" s="7">
        <v>0</v>
      </c>
      <c r="G18" s="10">
        <f t="shared" si="0"/>
        <v>0</v>
      </c>
      <c r="H18" s="36">
        <f t="shared" si="3"/>
        <v>0</v>
      </c>
      <c r="I18" s="36">
        <f t="shared" si="4"/>
        <v>0</v>
      </c>
      <c r="J18" s="10">
        <f t="shared" si="1"/>
        <v>0</v>
      </c>
      <c r="K18" s="10">
        <f t="shared" si="5"/>
        <v>0</v>
      </c>
      <c r="L18" s="10">
        <f t="shared" si="2"/>
        <v>0</v>
      </c>
      <c r="N18" s="78"/>
      <c r="O18" s="78"/>
      <c r="P18" s="78"/>
      <c r="Q18" s="78"/>
      <c r="R18" s="78"/>
      <c r="S18" s="78"/>
      <c r="T18" s="78"/>
    </row>
    <row r="19" spans="1:20" x14ac:dyDescent="0.25">
      <c r="A19" s="21">
        <v>9</v>
      </c>
      <c r="B19" s="20">
        <f t="shared" si="7"/>
        <v>42618</v>
      </c>
      <c r="C19" s="10">
        <v>0</v>
      </c>
      <c r="D19" s="20">
        <f t="shared" si="8"/>
        <v>42984</v>
      </c>
      <c r="E19" s="7"/>
      <c r="F19" s="7">
        <v>0</v>
      </c>
      <c r="G19" s="10">
        <f t="shared" si="0"/>
        <v>0</v>
      </c>
      <c r="H19" s="36">
        <f t="shared" si="3"/>
        <v>0</v>
      </c>
      <c r="I19" s="36">
        <f t="shared" si="4"/>
        <v>0</v>
      </c>
      <c r="J19" s="10">
        <f t="shared" si="1"/>
        <v>0</v>
      </c>
      <c r="K19" s="10">
        <f t="shared" si="5"/>
        <v>0</v>
      </c>
      <c r="L19" s="10">
        <f t="shared" si="2"/>
        <v>0</v>
      </c>
      <c r="N19" s="33"/>
      <c r="O19" s="35"/>
      <c r="P19" s="35"/>
      <c r="Q19" s="35"/>
      <c r="R19" s="35"/>
      <c r="S19" s="35"/>
      <c r="T19" s="35"/>
    </row>
    <row r="20" spans="1:20" x14ac:dyDescent="0.25">
      <c r="A20" s="21">
        <v>10</v>
      </c>
      <c r="B20" s="20">
        <f t="shared" si="7"/>
        <v>42649</v>
      </c>
      <c r="C20" s="10">
        <v>0</v>
      </c>
      <c r="D20" s="20">
        <f t="shared" si="8"/>
        <v>43015</v>
      </c>
      <c r="E20" s="7"/>
      <c r="F20" s="7">
        <v>0</v>
      </c>
      <c r="G20" s="10">
        <f t="shared" si="0"/>
        <v>0</v>
      </c>
      <c r="H20" s="36">
        <f t="shared" si="3"/>
        <v>0</v>
      </c>
      <c r="I20" s="36">
        <f t="shared" si="4"/>
        <v>0</v>
      </c>
      <c r="J20" s="10">
        <f t="shared" si="1"/>
        <v>0</v>
      </c>
      <c r="K20" s="10">
        <f t="shared" si="5"/>
        <v>0</v>
      </c>
      <c r="L20" s="10">
        <f t="shared" si="2"/>
        <v>0</v>
      </c>
      <c r="N20" s="35"/>
      <c r="O20" s="34"/>
      <c r="P20" s="34"/>
      <c r="Q20" s="34"/>
      <c r="R20" s="34"/>
      <c r="S20" s="34"/>
      <c r="T20" s="34"/>
    </row>
    <row r="21" spans="1:20" x14ac:dyDescent="0.25">
      <c r="A21" s="21">
        <v>11</v>
      </c>
      <c r="B21" s="20">
        <f t="shared" si="7"/>
        <v>42680</v>
      </c>
      <c r="C21" s="10">
        <v>0</v>
      </c>
      <c r="D21" s="20">
        <f t="shared" si="8"/>
        <v>43046</v>
      </c>
      <c r="E21" s="7"/>
      <c r="F21" s="7">
        <v>0</v>
      </c>
      <c r="G21" s="10">
        <f t="shared" si="0"/>
        <v>0</v>
      </c>
      <c r="H21" s="36">
        <f t="shared" si="3"/>
        <v>0</v>
      </c>
      <c r="I21" s="36">
        <f t="shared" si="4"/>
        <v>0</v>
      </c>
      <c r="J21" s="10">
        <f t="shared" si="1"/>
        <v>0</v>
      </c>
      <c r="K21" s="10">
        <f t="shared" si="5"/>
        <v>0</v>
      </c>
      <c r="L21" s="10">
        <f t="shared" si="2"/>
        <v>0</v>
      </c>
      <c r="N21" s="35"/>
      <c r="O21" s="34"/>
      <c r="P21" s="34"/>
      <c r="Q21" s="34"/>
      <c r="R21" s="34"/>
      <c r="S21" s="34"/>
      <c r="T21" s="34"/>
    </row>
    <row r="22" spans="1:20" x14ac:dyDescent="0.25">
      <c r="A22" s="21">
        <v>12</v>
      </c>
      <c r="B22" s="20">
        <f t="shared" si="7"/>
        <v>42711</v>
      </c>
      <c r="C22" s="10">
        <v>0</v>
      </c>
      <c r="D22" s="20">
        <f t="shared" si="8"/>
        <v>43077</v>
      </c>
      <c r="E22" s="7"/>
      <c r="F22" s="7">
        <v>0</v>
      </c>
      <c r="G22" s="10">
        <f t="shared" si="0"/>
        <v>0</v>
      </c>
      <c r="H22" s="36">
        <f t="shared" si="3"/>
        <v>0</v>
      </c>
      <c r="I22" s="36">
        <f t="shared" si="4"/>
        <v>0</v>
      </c>
      <c r="J22" s="10">
        <f>IF(C22&lt;=N$11,E22*O$11,IF(C22&lt;=N$12,((C22*O$12-Q$12)/C22)*G22,IF(C22&lt;=N$13,((C22*O$13-Q$13)/C22)*G22,IF(C22&lt;=N$14,((C22*O$14-Q$14)/C22)*G22,IF(C22&lt;=N$15,((C22*O$15-Q$15)/C22)*G22,IF(C22&lt;=N$16,((C22*O$16-Q$16)/C22)*G22,0))))))</f>
        <v>0</v>
      </c>
      <c r="K22" s="10">
        <f t="shared" si="5"/>
        <v>0</v>
      </c>
      <c r="L22" s="10">
        <f t="shared" si="2"/>
        <v>0</v>
      </c>
      <c r="N22" s="35"/>
      <c r="O22" s="34"/>
      <c r="P22" s="34"/>
      <c r="Q22" s="34"/>
      <c r="R22" s="34"/>
      <c r="S22" s="34"/>
      <c r="T22" s="34"/>
    </row>
    <row r="23" spans="1:20" ht="15.75" x14ac:dyDescent="0.25">
      <c r="A23" s="86" t="s">
        <v>7</v>
      </c>
      <c r="B23" s="86"/>
      <c r="C23" s="6">
        <f>SUM(C11:C22)</f>
        <v>180</v>
      </c>
      <c r="D23" s="16"/>
      <c r="E23" s="6">
        <f t="shared" ref="E23:L23" si="9">SUM(E11:E22)</f>
        <v>0</v>
      </c>
      <c r="F23" s="6">
        <f t="shared" si="9"/>
        <v>0</v>
      </c>
      <c r="G23" s="6">
        <f t="shared" si="9"/>
        <v>0</v>
      </c>
      <c r="H23" s="6"/>
      <c r="I23" s="6"/>
      <c r="J23" s="6">
        <f t="shared" si="9"/>
        <v>0</v>
      </c>
      <c r="K23" s="6">
        <f t="shared" si="9"/>
        <v>0</v>
      </c>
      <c r="L23" s="6">
        <f t="shared" si="9"/>
        <v>0</v>
      </c>
      <c r="N23" s="35"/>
      <c r="O23" s="34"/>
      <c r="P23" s="34"/>
      <c r="Q23" s="34"/>
      <c r="R23" s="34"/>
      <c r="S23" s="34"/>
      <c r="T23" s="34"/>
    </row>
    <row r="24" spans="1:20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4"/>
      <c r="L24" s="3"/>
      <c r="N24" s="35"/>
      <c r="O24" s="34"/>
      <c r="P24" s="34"/>
      <c r="Q24" s="34"/>
      <c r="R24" s="34"/>
      <c r="S24" s="34"/>
      <c r="T24" s="34"/>
    </row>
    <row r="25" spans="1:20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4"/>
      <c r="L25" s="3"/>
      <c r="N25" s="35"/>
      <c r="O25" s="34"/>
      <c r="P25" s="34"/>
      <c r="Q25" s="34"/>
      <c r="R25" s="34"/>
      <c r="S25" s="34"/>
      <c r="T25" s="34"/>
    </row>
    <row r="26" spans="1:20" ht="17.25" customHeight="1" thickBot="1" x14ac:dyDescent="0.3">
      <c r="A26" s="81" t="s">
        <v>8</v>
      </c>
      <c r="B26" s="82"/>
      <c r="C26" s="82"/>
      <c r="D26" s="83"/>
      <c r="E26" s="3"/>
      <c r="F26" s="84" t="s">
        <v>24</v>
      </c>
      <c r="G26" s="85"/>
      <c r="H26" s="85"/>
      <c r="I26" s="85"/>
      <c r="J26" s="85"/>
      <c r="K26" s="85"/>
      <c r="L26" s="85"/>
      <c r="M26" s="85"/>
      <c r="N26" s="85"/>
    </row>
    <row r="27" spans="1:20" ht="15.75" thickBot="1" x14ac:dyDescent="0.3">
      <c r="A27" s="73" t="s">
        <v>9</v>
      </c>
      <c r="B27" s="74"/>
      <c r="C27" s="75"/>
      <c r="D27" s="22">
        <f>+G23</f>
        <v>0</v>
      </c>
      <c r="E27" s="11"/>
      <c r="F27" s="31" t="s">
        <v>34</v>
      </c>
      <c r="G27" s="29" t="s">
        <v>13</v>
      </c>
      <c r="H27" s="30" t="s">
        <v>14</v>
      </c>
      <c r="I27" s="30" t="s">
        <v>25</v>
      </c>
      <c r="J27" s="30" t="s">
        <v>26</v>
      </c>
      <c r="K27" s="30" t="s">
        <v>27</v>
      </c>
      <c r="L27" s="30" t="s">
        <v>39</v>
      </c>
      <c r="M27" s="30" t="s">
        <v>23</v>
      </c>
      <c r="N27" s="30"/>
    </row>
    <row r="28" spans="1:20" ht="15.75" thickBot="1" x14ac:dyDescent="0.3">
      <c r="A28" s="69" t="s">
        <v>10</v>
      </c>
      <c r="B28" s="70"/>
      <c r="C28" s="71"/>
      <c r="D28" s="23">
        <f>J23</f>
        <v>0</v>
      </c>
      <c r="E28" s="11"/>
      <c r="F28" s="31" t="s">
        <v>28</v>
      </c>
      <c r="G28" s="32">
        <v>5.5E-2</v>
      </c>
      <c r="H28" s="32">
        <v>3.5000000000000003E-2</v>
      </c>
      <c r="I28" s="32">
        <v>0.11509999999999999</v>
      </c>
      <c r="J28" s="32">
        <v>2.4899999999999999E-2</v>
      </c>
      <c r="K28" s="32">
        <v>0.375</v>
      </c>
      <c r="L28" s="32">
        <v>7.4999999999999997E-2</v>
      </c>
      <c r="M28" s="32">
        <v>0.32</v>
      </c>
      <c r="N28" s="32"/>
    </row>
    <row r="29" spans="1:20" ht="15.75" thickBot="1" x14ac:dyDescent="0.3">
      <c r="A29" s="69" t="s">
        <v>23</v>
      </c>
      <c r="B29" s="70"/>
      <c r="C29" s="71"/>
      <c r="D29" s="24">
        <f>D27*18%</f>
        <v>0</v>
      </c>
      <c r="E29" s="11"/>
      <c r="F29" s="31" t="s">
        <v>29</v>
      </c>
      <c r="G29" s="32">
        <v>5.5E-2</v>
      </c>
      <c r="H29" s="32">
        <v>3.5000000000000003E-2</v>
      </c>
      <c r="I29" s="32">
        <v>0.11509999999999999</v>
      </c>
      <c r="J29" s="32">
        <v>2.4899999999999999E-2</v>
      </c>
      <c r="K29" s="32">
        <v>0.375</v>
      </c>
      <c r="L29" s="32">
        <v>7.4999999999999997E-2</v>
      </c>
      <c r="M29" s="32">
        <v>0.32</v>
      </c>
      <c r="N29" s="32"/>
    </row>
    <row r="30" spans="1:20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5.5E-2</v>
      </c>
      <c r="H30" s="32">
        <v>3.5000000000000003E-2</v>
      </c>
      <c r="I30" s="32">
        <v>0.11509999999999999</v>
      </c>
      <c r="J30" s="32">
        <v>2.4899999999999999E-2</v>
      </c>
      <c r="K30" s="32">
        <v>0.375</v>
      </c>
      <c r="L30" s="32">
        <v>7.4999999999999997E-2</v>
      </c>
      <c r="M30" s="32">
        <v>0.32</v>
      </c>
      <c r="N30" s="32"/>
    </row>
    <row r="31" spans="1:20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5.5E-2</v>
      </c>
      <c r="H31" s="32">
        <v>3.5000000000000003E-2</v>
      </c>
      <c r="I31" s="32">
        <v>0.11509999999999999</v>
      </c>
      <c r="J31" s="32">
        <v>2.4899999999999999E-2</v>
      </c>
      <c r="K31" s="32">
        <v>0.375</v>
      </c>
      <c r="L31" s="32">
        <v>7.4999999999999997E-2</v>
      </c>
      <c r="M31" s="32">
        <v>0.32</v>
      </c>
      <c r="N31" s="32"/>
    </row>
    <row r="32" spans="1:20" ht="15.75" thickBot="1" x14ac:dyDescent="0.3">
      <c r="A32" s="69" t="s">
        <v>13</v>
      </c>
      <c r="B32" s="70"/>
      <c r="C32" s="71"/>
      <c r="D32" s="24">
        <f>((D27*8%)*15%)</f>
        <v>0</v>
      </c>
      <c r="E32" s="11"/>
      <c r="F32" s="31" t="s">
        <v>32</v>
      </c>
      <c r="G32" s="32">
        <v>5.5E-2</v>
      </c>
      <c r="H32" s="32">
        <v>3.5000000000000003E-2</v>
      </c>
      <c r="I32" s="32">
        <v>0.11509999999999999</v>
      </c>
      <c r="J32" s="32">
        <v>2.4899999999999999E-2</v>
      </c>
      <c r="K32" s="32">
        <v>0.375</v>
      </c>
      <c r="L32" s="32">
        <v>7.4999999999999997E-2</v>
      </c>
      <c r="M32" s="32">
        <v>0.32</v>
      </c>
      <c r="N32" s="32"/>
    </row>
    <row r="33" spans="1:14" ht="15.75" thickBot="1" x14ac:dyDescent="0.3">
      <c r="A33" s="69" t="s">
        <v>14</v>
      </c>
      <c r="B33" s="70"/>
      <c r="C33" s="71"/>
      <c r="D33" s="23">
        <f>((D27*12%)*9%)</f>
        <v>0</v>
      </c>
      <c r="E33" s="11"/>
      <c r="F33" s="31" t="s">
        <v>33</v>
      </c>
      <c r="G33" s="32">
        <v>8.5000000000000006E-2</v>
      </c>
      <c r="H33" s="32">
        <v>7.4999999999999997E-2</v>
      </c>
      <c r="I33" s="32">
        <v>0.20960000000000001</v>
      </c>
      <c r="J33" s="32">
        <v>4.5400000000000003E-2</v>
      </c>
      <c r="K33" s="32">
        <v>0.23499999999999999</v>
      </c>
      <c r="L33" s="32">
        <v>0.35</v>
      </c>
      <c r="M33" s="32">
        <v>0</v>
      </c>
      <c r="N33" s="32"/>
    </row>
    <row r="34" spans="1:14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"/>
      <c r="H34" s="1"/>
      <c r="I34" s="1"/>
    </row>
    <row r="35" spans="1:14" x14ac:dyDescent="0.25">
      <c r="A35" s="8"/>
      <c r="B35" s="8"/>
      <c r="C35" s="8"/>
      <c r="D35" s="9"/>
      <c r="E35" s="9"/>
      <c r="F35" s="9"/>
      <c r="G35" s="1"/>
      <c r="H35" s="1"/>
      <c r="I35" s="1"/>
    </row>
    <row r="36" spans="1:14" x14ac:dyDescent="0.25">
      <c r="A36" s="8"/>
      <c r="B36" s="8"/>
      <c r="C36" s="8"/>
      <c r="D36" s="9"/>
      <c r="E36" s="9"/>
      <c r="F36" s="9"/>
      <c r="G36" s="9"/>
      <c r="H36" s="9"/>
      <c r="I36" s="9"/>
    </row>
    <row r="37" spans="1:14" x14ac:dyDescent="0.25">
      <c r="A37" s="17"/>
      <c r="B37" s="8"/>
      <c r="C37" s="8"/>
      <c r="D37" s="9"/>
      <c r="E37" s="9"/>
      <c r="F37" s="9"/>
      <c r="G37" s="9"/>
      <c r="H37" s="9"/>
      <c r="I37" s="9"/>
    </row>
    <row r="38" spans="1:14" x14ac:dyDescent="0.25">
      <c r="A38" s="17"/>
      <c r="B38" s="8"/>
      <c r="C38" s="8"/>
      <c r="D38" s="9"/>
      <c r="E38" s="9"/>
      <c r="F38" s="9"/>
      <c r="G38" s="9"/>
      <c r="H38" s="9"/>
      <c r="I38" s="9"/>
    </row>
    <row r="39" spans="1:14" x14ac:dyDescent="0.25">
      <c r="A39" s="17"/>
      <c r="B39" s="8"/>
      <c r="C39" s="8"/>
      <c r="D39" s="9"/>
      <c r="E39" s="9"/>
      <c r="F39" s="9"/>
      <c r="G39" s="9"/>
      <c r="H39" s="9"/>
      <c r="I39" s="9"/>
    </row>
  </sheetData>
  <mergeCells count="14">
    <mergeCell ref="A6:J6"/>
    <mergeCell ref="A8:J8"/>
    <mergeCell ref="N18:T18"/>
    <mergeCell ref="A23:B23"/>
    <mergeCell ref="A26:D26"/>
    <mergeCell ref="F26:N26"/>
    <mergeCell ref="A33:C33"/>
    <mergeCell ref="A34:C34"/>
    <mergeCell ref="A27:C27"/>
    <mergeCell ref="A28:C28"/>
    <mergeCell ref="A29:C29"/>
    <mergeCell ref="A30:C30"/>
    <mergeCell ref="A31:C31"/>
    <mergeCell ref="A32:C32"/>
  </mergeCells>
  <pageMargins left="0.51181102362204722" right="0.51181102362204722" top="0.78740157480314965" bottom="0.78740157480314965" header="0.31496062992125984" footer="0.31496062992125984"/>
  <pageSetup paperSize="9" scale="34" orientation="landscape" r:id="rId1"/>
  <ignoredErrors>
    <ignoredError sqref="P11:P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9"/>
  <sheetViews>
    <sheetView workbookViewId="0">
      <selection activeCell="K11" sqref="K1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15.28515625" customWidth="1"/>
    <col min="8" max="8" width="18.5703125" customWidth="1"/>
    <col min="9" max="9" width="18.85546875" customWidth="1"/>
    <col min="10" max="10" width="16.5703125" customWidth="1"/>
    <col min="11" max="11" width="14.5703125" customWidth="1"/>
    <col min="12" max="12" width="14.85546875" customWidth="1"/>
    <col min="14" max="14" width="29.140625" customWidth="1"/>
    <col min="15" max="15" width="9.28515625" bestFit="1" customWidth="1"/>
    <col min="16" max="16" width="11.85546875" customWidth="1"/>
    <col min="17" max="17" width="17.28515625" bestFit="1" customWidth="1"/>
  </cols>
  <sheetData>
    <row r="1" spans="1:17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</row>
    <row r="2" spans="1:17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</row>
    <row r="3" spans="1:17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</row>
    <row r="5" spans="1:17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</row>
    <row r="6" spans="1:17" ht="18" x14ac:dyDescent="0.25">
      <c r="A6" s="76" t="s">
        <v>49</v>
      </c>
      <c r="B6" s="76"/>
      <c r="C6" s="76"/>
      <c r="D6" s="76"/>
      <c r="E6" s="76"/>
      <c r="F6" s="76"/>
      <c r="G6" s="76"/>
      <c r="H6" s="76"/>
      <c r="I6" s="76"/>
      <c r="J6" s="76"/>
      <c r="K6" s="12"/>
      <c r="L6" s="12"/>
    </row>
    <row r="7" spans="1:17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7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15"/>
      <c r="L8" s="15"/>
    </row>
    <row r="9" spans="1:17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5"/>
      <c r="L9" s="5"/>
    </row>
    <row r="10" spans="1:17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44</v>
      </c>
      <c r="F10" s="14" t="s">
        <v>45</v>
      </c>
      <c r="G10" s="14" t="s">
        <v>5</v>
      </c>
      <c r="H10" s="14" t="s">
        <v>36</v>
      </c>
      <c r="I10" s="14" t="s">
        <v>37</v>
      </c>
      <c r="J10" s="14" t="s">
        <v>50</v>
      </c>
      <c r="K10" s="14" t="s">
        <v>51</v>
      </c>
      <c r="L10" s="14" t="s">
        <v>6</v>
      </c>
      <c r="N10" s="14" t="s">
        <v>18</v>
      </c>
      <c r="O10" s="14" t="s">
        <v>19</v>
      </c>
      <c r="P10" s="14" t="s">
        <v>43</v>
      </c>
      <c r="Q10" s="14" t="s">
        <v>20</v>
      </c>
    </row>
    <row r="11" spans="1:17" x14ac:dyDescent="0.25">
      <c r="A11" s="21">
        <v>1</v>
      </c>
      <c r="B11" s="20">
        <v>42736</v>
      </c>
      <c r="C11" s="10">
        <v>0</v>
      </c>
      <c r="D11" s="20">
        <v>43101</v>
      </c>
      <c r="E11" s="7">
        <v>0</v>
      </c>
      <c r="F11" s="7">
        <v>0</v>
      </c>
      <c r="G11" s="10">
        <f t="shared" ref="G11:G22" si="0">E11+F11</f>
        <v>0</v>
      </c>
      <c r="H11" s="36">
        <f>IF(C11=0,0,IF(C11&lt;=N$11,O$11,IF(C11&lt;=N$12,((C11*O$12-Q$12)/C11),IF(C11&lt;=N$13,((C11*O$13-Q$13)/C11),IF(C11&lt;=N$14,((C11*O$14-Q$14)/C11),IF(C11&lt;=N$15,((C11*O$15-Q$15)/C11),IF(C11&lt;=N$16,((C11*O$16-Q$16)/C11),0)))))))</f>
        <v>0</v>
      </c>
      <c r="I11" s="36">
        <f>IF(C11=0,0,IF(C11&lt;=N$11,O$11*P$11,IF(C11&lt;=N$12,((C11*O$12-Q$12)/C11*(P$12)),IF(C11&lt;=N$13,((C11*O$13-Q$13)/C11*(P$13)),IF(C11&lt;=N$14,((C11*O$14-Q$14)/C11*(P$14)),IF(C11&lt;=N$15,((C11*O$15-Q$15)/C11*(P$15)),IF(C11&lt;=N$16,((C11*O$16-Q$16)/C11*(P$16)),0)))))))</f>
        <v>0</v>
      </c>
      <c r="J11" s="10">
        <f t="shared" ref="J11:J21" si="1">IF(C11&lt;=N$11,E11*O$11,IF(C11&lt;=N$12,((C11*O$12-Q$12)/C11)*E11,IF(C11&lt;=N$13,((C11*O$13-Q$13)/C11)*E11,IF(C11&lt;=N$14,((C11*O$14-Q$14)/C11)*E11,IF(C11&lt;=N$15,((C11*O$15-Q$15)/C11)*E11,IF(C11&lt;=N$16,((C11*O$16-Q$16)/C11)*E11,0))))))</f>
        <v>0</v>
      </c>
      <c r="K11" s="10">
        <f>IF(C11&lt;=N$11,(F11*O$11)*P$11,
IF(C11&lt;=N$12,(((C11*O$12-Q$12)/C11)*F11)*P$12,
IF(C11&lt;=N$13,(((C11*O$13-Q$13)/C11)*F11)*P$13,
IF(C11&lt;=N$14,(((C11*O$14-Q$14)/C11)*F11)*P$14,
IF(C11&lt;=N$15,(((C11*O$15-Q$15)/C11)*F11)*P$15,
IF(C11&lt;=N$16,(((C11*O$16-Q$16)/C11)*F11)*P$16,0))))))</f>
        <v>0</v>
      </c>
      <c r="L11" s="10">
        <f t="shared" ref="L11:L22" si="2">J11+K11</f>
        <v>0</v>
      </c>
      <c r="N11" s="26">
        <v>180000</v>
      </c>
      <c r="O11" s="27">
        <v>0.06</v>
      </c>
      <c r="P11" s="27">
        <f>SUM(G28:K28)</f>
        <v>0.66500000000000004</v>
      </c>
      <c r="Q11" s="26">
        <v>0</v>
      </c>
    </row>
    <row r="12" spans="1:17" x14ac:dyDescent="0.25">
      <c r="A12" s="21">
        <v>2</v>
      </c>
      <c r="B12" s="20">
        <f>B11+31</f>
        <v>42767</v>
      </c>
      <c r="C12" s="10">
        <v>0</v>
      </c>
      <c r="D12" s="20">
        <f>D11+31</f>
        <v>43132</v>
      </c>
      <c r="E12" s="7">
        <v>0</v>
      </c>
      <c r="F12" s="7">
        <v>0</v>
      </c>
      <c r="G12" s="10">
        <f t="shared" si="0"/>
        <v>0</v>
      </c>
      <c r="H12" s="36">
        <f t="shared" ref="H12:H22" si="3">IF(C12=0,0,IF(C12&lt;=N$11,O$11,IF(C12&lt;=N$12,((C12*O$12-Q$12)/C12),IF(C12&lt;=N$13,((C12*O$13-Q$13)/C12),IF(C12&lt;=N$14,((C12*O$14-Q$14)/C12),IF(C12&lt;=N$15,((C12*O$15-Q$15)/C12),IF(C12&lt;=N$16,((C12*O$16-Q$16)/C12),0)))))))</f>
        <v>0</v>
      </c>
      <c r="I12" s="36">
        <f t="shared" ref="I12:I22" si="4">IF(C12=0,0,IF(C12&lt;=N$11,O$11*P$11,IF(C12&lt;=N$12,((C12*O$12-Q$12)/C12*(P$12)),IF(C12&lt;=N$13,((C12*O$13-Q$13)/C12*(P$13)),IF(C12&lt;=N$14,((C12*O$14-Q$14)/C12*(P$14)),IF(C12&lt;=N$15,((C12*O$15-Q$15)/C12*(P$15)),IF(C12&lt;=N$16,((C12*O$16-Q$16)/C12*(P$16)),0)))))))</f>
        <v>0</v>
      </c>
      <c r="J12" s="10">
        <f t="shared" si="1"/>
        <v>0</v>
      </c>
      <c r="K12" s="10">
        <f t="shared" ref="K12:K21" si="5">IF(C12&lt;=N$11,(F12*O$11)*P$11,IF(C12&lt;=N$12,(((C12*O$12-Q$12)/C12)*F12)*P$12,IF(C12&lt;=N$13,(((C12*O$13-Q$13)/C12)*F$11)*P$13,IF(C12&lt;=N$14,(((C12*O$14-Q$14)/C12)*F12)*P$14,IF(C12&lt;=N$15,(((C12*O$15-Q$15)/C12)*F12)*P$15,IF(C12&lt;=N$16,(((C12*O$16-Q$16)/C12)*F12)*P$16,0))))))</f>
        <v>0</v>
      </c>
      <c r="L12" s="10">
        <f t="shared" si="2"/>
        <v>0</v>
      </c>
      <c r="N12" s="26">
        <v>360000</v>
      </c>
      <c r="O12" s="28">
        <v>0.112</v>
      </c>
      <c r="P12" s="27">
        <f t="shared" ref="P12:P16" si="6">SUM(G29:K29)</f>
        <v>0.68</v>
      </c>
      <c r="Q12" s="26">
        <v>9360</v>
      </c>
    </row>
    <row r="13" spans="1:17" x14ac:dyDescent="0.25">
      <c r="A13" s="21">
        <v>3</v>
      </c>
      <c r="B13" s="20">
        <f t="shared" ref="B13:B22" si="7">B12+31</f>
        <v>42798</v>
      </c>
      <c r="C13" s="10">
        <v>0</v>
      </c>
      <c r="D13" s="20">
        <f t="shared" ref="D13:D22" si="8">D12+31</f>
        <v>43163</v>
      </c>
      <c r="E13" s="7">
        <v>0</v>
      </c>
      <c r="F13" s="7">
        <v>0</v>
      </c>
      <c r="G13" s="10">
        <f t="shared" si="0"/>
        <v>0</v>
      </c>
      <c r="H13" s="36">
        <f t="shared" si="3"/>
        <v>0</v>
      </c>
      <c r="I13" s="36">
        <f t="shared" si="4"/>
        <v>0</v>
      </c>
      <c r="J13" s="10">
        <f t="shared" si="1"/>
        <v>0</v>
      </c>
      <c r="K13" s="10">
        <f t="shared" si="5"/>
        <v>0</v>
      </c>
      <c r="L13" s="10">
        <f t="shared" si="2"/>
        <v>0</v>
      </c>
      <c r="N13" s="26">
        <v>720000</v>
      </c>
      <c r="O13" s="28">
        <v>0.13500000000000001</v>
      </c>
      <c r="P13" s="28">
        <f t="shared" si="6"/>
        <v>0.67500000000000004</v>
      </c>
      <c r="Q13" s="26">
        <v>17640</v>
      </c>
    </row>
    <row r="14" spans="1:17" x14ac:dyDescent="0.25">
      <c r="A14" s="21">
        <v>4</v>
      </c>
      <c r="B14" s="20">
        <f t="shared" si="7"/>
        <v>42829</v>
      </c>
      <c r="C14" s="10">
        <v>0</v>
      </c>
      <c r="D14" s="20">
        <f t="shared" si="8"/>
        <v>43194</v>
      </c>
      <c r="E14" s="7">
        <v>0</v>
      </c>
      <c r="F14" s="7">
        <v>0</v>
      </c>
      <c r="G14" s="10">
        <f t="shared" si="0"/>
        <v>0</v>
      </c>
      <c r="H14" s="36">
        <f t="shared" si="3"/>
        <v>0</v>
      </c>
      <c r="I14" s="36">
        <f t="shared" si="4"/>
        <v>0</v>
      </c>
      <c r="J14" s="10">
        <f t="shared" si="1"/>
        <v>0</v>
      </c>
      <c r="K14" s="10">
        <f t="shared" si="5"/>
        <v>0</v>
      </c>
      <c r="L14" s="10">
        <f t="shared" si="2"/>
        <v>0</v>
      </c>
      <c r="N14" s="26">
        <v>1800000</v>
      </c>
      <c r="O14" s="27">
        <v>0.16</v>
      </c>
      <c r="P14" s="28">
        <f t="shared" si="6"/>
        <v>0.67500000000000004</v>
      </c>
      <c r="Q14" s="26">
        <v>35640</v>
      </c>
    </row>
    <row r="15" spans="1:17" x14ac:dyDescent="0.25">
      <c r="A15" s="21">
        <v>5</v>
      </c>
      <c r="B15" s="20">
        <f t="shared" si="7"/>
        <v>42860</v>
      </c>
      <c r="C15" s="10">
        <v>0</v>
      </c>
      <c r="D15" s="20">
        <f t="shared" si="8"/>
        <v>43225</v>
      </c>
      <c r="E15" s="7">
        <v>0</v>
      </c>
      <c r="F15" s="7">
        <v>0</v>
      </c>
      <c r="G15" s="10">
        <f t="shared" si="0"/>
        <v>0</v>
      </c>
      <c r="H15" s="36">
        <f t="shared" si="3"/>
        <v>0</v>
      </c>
      <c r="I15" s="36">
        <f t="shared" si="4"/>
        <v>0</v>
      </c>
      <c r="J15" s="10">
        <f t="shared" si="1"/>
        <v>0</v>
      </c>
      <c r="K15" s="10">
        <f t="shared" si="5"/>
        <v>0</v>
      </c>
      <c r="L15" s="10">
        <f t="shared" si="2"/>
        <v>0</v>
      </c>
      <c r="N15" s="26">
        <v>3600000</v>
      </c>
      <c r="O15" s="27">
        <v>0.21</v>
      </c>
      <c r="P15" s="28">
        <f t="shared" si="6"/>
        <v>0.66500000000000004</v>
      </c>
      <c r="Q15" s="26">
        <v>125640</v>
      </c>
    </row>
    <row r="16" spans="1:17" x14ac:dyDescent="0.25">
      <c r="A16" s="21">
        <v>6</v>
      </c>
      <c r="B16" s="20">
        <f t="shared" si="7"/>
        <v>42891</v>
      </c>
      <c r="C16" s="10">
        <v>0</v>
      </c>
      <c r="D16" s="20">
        <f t="shared" si="8"/>
        <v>43256</v>
      </c>
      <c r="E16" s="7">
        <v>0</v>
      </c>
      <c r="F16" s="7">
        <v>0</v>
      </c>
      <c r="G16" s="10">
        <f>E16+F16</f>
        <v>0</v>
      </c>
      <c r="H16" s="36">
        <f t="shared" si="3"/>
        <v>0</v>
      </c>
      <c r="I16" s="36">
        <f t="shared" si="4"/>
        <v>0</v>
      </c>
      <c r="J16" s="10">
        <f t="shared" si="1"/>
        <v>0</v>
      </c>
      <c r="K16" s="10">
        <f t="shared" si="5"/>
        <v>0</v>
      </c>
      <c r="L16" s="10">
        <f t="shared" si="2"/>
        <v>0</v>
      </c>
      <c r="N16" s="26">
        <v>4800000</v>
      </c>
      <c r="O16" s="27">
        <v>0.33</v>
      </c>
      <c r="P16" s="27">
        <f t="shared" si="6"/>
        <v>1</v>
      </c>
      <c r="Q16" s="26">
        <v>648000</v>
      </c>
    </row>
    <row r="17" spans="1:20" x14ac:dyDescent="0.25">
      <c r="A17" s="21">
        <v>7</v>
      </c>
      <c r="B17" s="20">
        <f t="shared" si="7"/>
        <v>42922</v>
      </c>
      <c r="C17" s="10">
        <v>0</v>
      </c>
      <c r="D17" s="20">
        <f t="shared" si="8"/>
        <v>43287</v>
      </c>
      <c r="E17" s="7">
        <v>0</v>
      </c>
      <c r="F17" s="7">
        <v>0</v>
      </c>
      <c r="G17" s="10">
        <f>E17+F17</f>
        <v>0</v>
      </c>
      <c r="H17" s="36">
        <f t="shared" si="3"/>
        <v>0</v>
      </c>
      <c r="I17" s="36">
        <f t="shared" si="4"/>
        <v>0</v>
      </c>
      <c r="J17" s="10">
        <f t="shared" si="1"/>
        <v>0</v>
      </c>
      <c r="K17" s="10">
        <f t="shared" si="5"/>
        <v>0</v>
      </c>
      <c r="L17" s="10">
        <f t="shared" si="2"/>
        <v>0</v>
      </c>
    </row>
    <row r="18" spans="1:20" x14ac:dyDescent="0.25">
      <c r="A18" s="21">
        <v>8</v>
      </c>
      <c r="B18" s="20">
        <f t="shared" si="7"/>
        <v>42953</v>
      </c>
      <c r="C18" s="10">
        <v>0</v>
      </c>
      <c r="D18" s="20">
        <f t="shared" si="8"/>
        <v>43318</v>
      </c>
      <c r="E18" s="7">
        <v>0</v>
      </c>
      <c r="F18" s="7">
        <v>0</v>
      </c>
      <c r="G18" s="10">
        <f t="shared" si="0"/>
        <v>0</v>
      </c>
      <c r="H18" s="36">
        <f t="shared" si="3"/>
        <v>0</v>
      </c>
      <c r="I18" s="36">
        <f t="shared" si="4"/>
        <v>0</v>
      </c>
      <c r="J18" s="10">
        <f t="shared" si="1"/>
        <v>0</v>
      </c>
      <c r="K18" s="10">
        <f t="shared" si="5"/>
        <v>0</v>
      </c>
      <c r="L18" s="10">
        <f t="shared" si="2"/>
        <v>0</v>
      </c>
      <c r="N18" s="78"/>
      <c r="O18" s="78"/>
      <c r="P18" s="78"/>
      <c r="Q18" s="78"/>
      <c r="R18" s="78"/>
      <c r="S18" s="78"/>
      <c r="T18" s="78"/>
    </row>
    <row r="19" spans="1:20" x14ac:dyDescent="0.25">
      <c r="A19" s="21">
        <v>9</v>
      </c>
      <c r="B19" s="20">
        <f t="shared" si="7"/>
        <v>42984</v>
      </c>
      <c r="C19" s="10">
        <v>0</v>
      </c>
      <c r="D19" s="20">
        <f t="shared" si="8"/>
        <v>43349</v>
      </c>
      <c r="E19" s="7">
        <v>0</v>
      </c>
      <c r="F19" s="7">
        <v>0</v>
      </c>
      <c r="G19" s="10">
        <f t="shared" si="0"/>
        <v>0</v>
      </c>
      <c r="H19" s="36">
        <f t="shared" si="3"/>
        <v>0</v>
      </c>
      <c r="I19" s="36">
        <f t="shared" si="4"/>
        <v>0</v>
      </c>
      <c r="J19" s="10">
        <f t="shared" si="1"/>
        <v>0</v>
      </c>
      <c r="K19" s="10">
        <f t="shared" si="5"/>
        <v>0</v>
      </c>
      <c r="L19" s="10">
        <f t="shared" si="2"/>
        <v>0</v>
      </c>
      <c r="N19" s="33"/>
      <c r="O19" s="35"/>
      <c r="P19" s="34"/>
      <c r="Q19" s="35"/>
      <c r="R19" s="35"/>
      <c r="S19" s="35"/>
      <c r="T19" s="35"/>
    </row>
    <row r="20" spans="1:20" x14ac:dyDescent="0.25">
      <c r="A20" s="21">
        <v>10</v>
      </c>
      <c r="B20" s="20">
        <f t="shared" si="7"/>
        <v>43015</v>
      </c>
      <c r="C20" s="10">
        <v>0</v>
      </c>
      <c r="D20" s="20">
        <f t="shared" si="8"/>
        <v>43380</v>
      </c>
      <c r="E20" s="7">
        <v>0</v>
      </c>
      <c r="F20" s="7">
        <v>0</v>
      </c>
      <c r="G20" s="10">
        <f t="shared" si="0"/>
        <v>0</v>
      </c>
      <c r="H20" s="36">
        <f t="shared" si="3"/>
        <v>0</v>
      </c>
      <c r="I20" s="36">
        <f t="shared" si="4"/>
        <v>0</v>
      </c>
      <c r="J20" s="10">
        <f t="shared" si="1"/>
        <v>0</v>
      </c>
      <c r="K20" s="10">
        <f t="shared" si="5"/>
        <v>0</v>
      </c>
      <c r="L20" s="10">
        <f t="shared" si="2"/>
        <v>0</v>
      </c>
      <c r="N20" s="35"/>
      <c r="O20" s="34"/>
      <c r="P20" s="34"/>
      <c r="Q20" s="34"/>
      <c r="R20" s="34"/>
      <c r="S20" s="34"/>
      <c r="T20" s="34"/>
    </row>
    <row r="21" spans="1:20" x14ac:dyDescent="0.25">
      <c r="A21" s="21">
        <v>11</v>
      </c>
      <c r="B21" s="20">
        <f t="shared" si="7"/>
        <v>43046</v>
      </c>
      <c r="C21" s="10">
        <v>0</v>
      </c>
      <c r="D21" s="20">
        <f t="shared" si="8"/>
        <v>43411</v>
      </c>
      <c r="E21" s="7">
        <v>0</v>
      </c>
      <c r="F21" s="7">
        <v>0</v>
      </c>
      <c r="G21" s="10">
        <f t="shared" si="0"/>
        <v>0</v>
      </c>
      <c r="H21" s="36">
        <f t="shared" si="3"/>
        <v>0</v>
      </c>
      <c r="I21" s="36">
        <f t="shared" si="4"/>
        <v>0</v>
      </c>
      <c r="J21" s="10">
        <f t="shared" si="1"/>
        <v>0</v>
      </c>
      <c r="K21" s="10">
        <f t="shared" si="5"/>
        <v>0</v>
      </c>
      <c r="L21" s="10">
        <f t="shared" si="2"/>
        <v>0</v>
      </c>
      <c r="N21" s="35"/>
      <c r="O21" s="34"/>
      <c r="P21" s="34"/>
      <c r="Q21" s="34"/>
      <c r="R21" s="34"/>
      <c r="S21" s="34"/>
      <c r="T21" s="34"/>
    </row>
    <row r="22" spans="1:20" x14ac:dyDescent="0.25">
      <c r="A22" s="21">
        <v>12</v>
      </c>
      <c r="B22" s="20">
        <f t="shared" si="7"/>
        <v>43077</v>
      </c>
      <c r="C22" s="10">
        <v>0</v>
      </c>
      <c r="D22" s="20">
        <f t="shared" si="8"/>
        <v>43442</v>
      </c>
      <c r="E22" s="7">
        <v>0</v>
      </c>
      <c r="F22" s="7">
        <v>0</v>
      </c>
      <c r="G22" s="10">
        <f t="shared" si="0"/>
        <v>0</v>
      </c>
      <c r="H22" s="36">
        <f t="shared" si="3"/>
        <v>0</v>
      </c>
      <c r="I22" s="36">
        <f t="shared" si="4"/>
        <v>0</v>
      </c>
      <c r="J22" s="10">
        <f>IF(C22&lt;=N$11,E22*O$11,IF(C22&lt;=N$12,((C22*O$12-Q$12)/C22)*G22,IF(C22&lt;=N$13,((C22*O$13-Q$13)/C22)*G22,IF(C22&lt;=N$14,((C22*O$14-Q$14)/C22)*G22,IF(C22&lt;=N$15,((C22*O$15-Q$15)/C22)*G22,IF(C22&lt;=N$16,((C22*O$16-Q$16)/C22)*G22,0))))))</f>
        <v>0</v>
      </c>
      <c r="K22" s="10">
        <f>IF(C22&lt;=N$11,F22*O$11,IF(C22&lt;=N$12,((C22*O$12-Q$12)/C22)*F22,IF(C22&lt;=N$13,((C22*O$13-Q$13)/C22)*F22,IF(C22&lt;=N$14,((C22*O$14-Q$14)/C22)*F22,IF(C22&lt;=N$15,((C22*O$15-Q$15)/C22)*F22,IF(C22&lt;=N$16,((C22*O$16-Q$16)/C22)*F22,0))))))</f>
        <v>0</v>
      </c>
      <c r="L22" s="10">
        <f t="shared" si="2"/>
        <v>0</v>
      </c>
      <c r="N22" s="35"/>
      <c r="O22" s="34"/>
      <c r="P22" s="34"/>
      <c r="Q22" s="34"/>
      <c r="R22" s="34"/>
      <c r="S22" s="34"/>
      <c r="T22" s="34"/>
    </row>
    <row r="23" spans="1:20" ht="15.75" x14ac:dyDescent="0.25">
      <c r="A23" s="86" t="s">
        <v>7</v>
      </c>
      <c r="B23" s="86"/>
      <c r="C23" s="6">
        <f>SUM(C11:C22)</f>
        <v>0</v>
      </c>
      <c r="D23" s="16"/>
      <c r="E23" s="6">
        <f t="shared" ref="E23:L23" si="9">SUM(E11:E22)</f>
        <v>0</v>
      </c>
      <c r="F23" s="6">
        <f t="shared" si="9"/>
        <v>0</v>
      </c>
      <c r="G23" s="6">
        <f t="shared" si="9"/>
        <v>0</v>
      </c>
      <c r="H23" s="6"/>
      <c r="I23" s="6"/>
      <c r="J23" s="6">
        <f t="shared" si="9"/>
        <v>0</v>
      </c>
      <c r="K23" s="6">
        <f t="shared" si="9"/>
        <v>0</v>
      </c>
      <c r="L23" s="6">
        <f t="shared" si="9"/>
        <v>0</v>
      </c>
      <c r="N23" s="35"/>
      <c r="O23" s="34"/>
      <c r="P23" s="34"/>
      <c r="Q23" s="34"/>
      <c r="R23" s="34"/>
      <c r="S23" s="34"/>
      <c r="T23" s="34"/>
    </row>
    <row r="24" spans="1:20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4"/>
      <c r="L24" s="3"/>
      <c r="N24" s="35"/>
      <c r="O24" s="34"/>
      <c r="P24" s="34"/>
      <c r="Q24" s="34"/>
      <c r="R24" s="34"/>
      <c r="S24" s="34"/>
      <c r="T24" s="34"/>
    </row>
    <row r="25" spans="1:20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4"/>
      <c r="L25" s="3"/>
      <c r="N25" s="35"/>
      <c r="O25" s="34"/>
      <c r="P25" s="34"/>
      <c r="Q25" s="34"/>
      <c r="R25" s="34"/>
      <c r="S25" s="34"/>
      <c r="T25" s="34"/>
    </row>
    <row r="26" spans="1:20" ht="17.25" customHeight="1" thickBot="1" x14ac:dyDescent="0.3">
      <c r="A26" s="81" t="s">
        <v>8</v>
      </c>
      <c r="B26" s="82"/>
      <c r="C26" s="82"/>
      <c r="D26" s="83"/>
      <c r="E26" s="3"/>
      <c r="F26" s="84" t="s">
        <v>24</v>
      </c>
      <c r="G26" s="85"/>
      <c r="H26" s="85"/>
      <c r="I26" s="85"/>
      <c r="J26" s="85"/>
      <c r="K26" s="85"/>
      <c r="L26" s="85"/>
    </row>
    <row r="27" spans="1:20" ht="15.75" thickBot="1" x14ac:dyDescent="0.3">
      <c r="A27" s="73" t="s">
        <v>9</v>
      </c>
      <c r="B27" s="74"/>
      <c r="C27" s="75"/>
      <c r="D27" s="22">
        <f>+G23</f>
        <v>0</v>
      </c>
      <c r="E27" s="11"/>
      <c r="F27" s="31" t="s">
        <v>34</v>
      </c>
      <c r="G27" s="29" t="s">
        <v>13</v>
      </c>
      <c r="H27" s="30" t="s">
        <v>14</v>
      </c>
      <c r="I27" s="30" t="s">
        <v>25</v>
      </c>
      <c r="J27" s="30" t="s">
        <v>26</v>
      </c>
      <c r="K27" s="30" t="s">
        <v>27</v>
      </c>
      <c r="L27" s="30" t="s">
        <v>42</v>
      </c>
    </row>
    <row r="28" spans="1:20" ht="15.75" thickBot="1" x14ac:dyDescent="0.3">
      <c r="A28" s="69" t="s">
        <v>10</v>
      </c>
      <c r="B28" s="70"/>
      <c r="C28" s="71"/>
      <c r="D28" s="23">
        <f>J23</f>
        <v>0</v>
      </c>
      <c r="E28" s="11"/>
      <c r="F28" s="31" t="s">
        <v>28</v>
      </c>
      <c r="G28" s="32">
        <v>0.04</v>
      </c>
      <c r="H28" s="32">
        <v>3.5000000000000003E-2</v>
      </c>
      <c r="I28" s="32">
        <v>0.12820000000000001</v>
      </c>
      <c r="J28" s="32">
        <v>2.7799999999999998E-2</v>
      </c>
      <c r="K28" s="32">
        <v>0.434</v>
      </c>
      <c r="L28" s="32">
        <v>0.33500000000000002</v>
      </c>
    </row>
    <row r="29" spans="1:20" ht="15.75" thickBot="1" x14ac:dyDescent="0.3">
      <c r="A29" s="69" t="s">
        <v>42</v>
      </c>
      <c r="B29" s="70"/>
      <c r="C29" s="71"/>
      <c r="D29" s="24">
        <f>D27*5%</f>
        <v>0</v>
      </c>
      <c r="E29" s="11"/>
      <c r="F29" s="31" t="s">
        <v>29</v>
      </c>
      <c r="G29" s="32">
        <v>0.04</v>
      </c>
      <c r="H29" s="32">
        <v>3.5000000000000003E-2</v>
      </c>
      <c r="I29" s="32">
        <v>0.14050000000000001</v>
      </c>
      <c r="J29" s="32">
        <v>3.0499999999999999E-2</v>
      </c>
      <c r="K29" s="32">
        <v>0.434</v>
      </c>
      <c r="L29" s="32">
        <v>0.32</v>
      </c>
    </row>
    <row r="30" spans="1:20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0.04</v>
      </c>
      <c r="H30" s="32">
        <v>3.5000000000000003E-2</v>
      </c>
      <c r="I30" s="32">
        <v>0.13639999999999999</v>
      </c>
      <c r="J30" s="32">
        <v>2.9600000000000001E-2</v>
      </c>
      <c r="K30" s="32">
        <v>0.434</v>
      </c>
      <c r="L30" s="32">
        <v>0.32500000000000001</v>
      </c>
    </row>
    <row r="31" spans="1:20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0.04</v>
      </c>
      <c r="H31" s="32">
        <v>3.5000000000000003E-2</v>
      </c>
      <c r="I31" s="32">
        <v>0.13639999999999999</v>
      </c>
      <c r="J31" s="32">
        <v>2.9600000000000001E-2</v>
      </c>
      <c r="K31" s="32">
        <v>0.434</v>
      </c>
      <c r="L31" s="32">
        <v>0.32500000000000001</v>
      </c>
    </row>
    <row r="32" spans="1:20" ht="15.75" thickBot="1" x14ac:dyDescent="0.3">
      <c r="A32" s="69" t="s">
        <v>13</v>
      </c>
      <c r="B32" s="70"/>
      <c r="C32" s="71"/>
      <c r="D32" s="24">
        <f>((D27*32%)*15%)</f>
        <v>0</v>
      </c>
      <c r="E32" s="11"/>
      <c r="F32" s="31" t="s">
        <v>32</v>
      </c>
      <c r="G32" s="32">
        <v>0.04</v>
      </c>
      <c r="H32" s="32">
        <v>3.5000000000000003E-2</v>
      </c>
      <c r="I32" s="32">
        <v>0.12820000000000001</v>
      </c>
      <c r="J32" s="32">
        <v>2.7799999999999998E-2</v>
      </c>
      <c r="K32" s="32">
        <v>0.434</v>
      </c>
      <c r="L32" s="32">
        <v>0.33500000000000002</v>
      </c>
    </row>
    <row r="33" spans="1:12" ht="15.75" thickBot="1" x14ac:dyDescent="0.3">
      <c r="A33" s="69" t="s">
        <v>14</v>
      </c>
      <c r="B33" s="70"/>
      <c r="C33" s="71"/>
      <c r="D33" s="23">
        <f>((D27*32%)*9%)</f>
        <v>0</v>
      </c>
      <c r="E33" s="11"/>
      <c r="F33" s="31" t="s">
        <v>33</v>
      </c>
      <c r="G33" s="32">
        <v>0.35</v>
      </c>
      <c r="H33" s="32">
        <v>0.15</v>
      </c>
      <c r="I33" s="32">
        <v>0.1603</v>
      </c>
      <c r="J33" s="32">
        <v>3.4700000000000002E-2</v>
      </c>
      <c r="K33" s="32">
        <v>0.30499999999999999</v>
      </c>
      <c r="L33" s="32">
        <v>0</v>
      </c>
    </row>
    <row r="34" spans="1:12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"/>
      <c r="H34" s="1"/>
      <c r="I34" s="1"/>
    </row>
    <row r="35" spans="1:12" x14ac:dyDescent="0.25">
      <c r="A35" s="8"/>
      <c r="B35" s="8"/>
      <c r="C35" s="8"/>
      <c r="D35" s="9"/>
      <c r="E35" s="9"/>
      <c r="F35" s="9"/>
      <c r="G35" s="1"/>
      <c r="H35" s="1"/>
      <c r="I35" s="1"/>
    </row>
    <row r="36" spans="1:12" x14ac:dyDescent="0.25">
      <c r="A36" s="8"/>
      <c r="B36" s="8"/>
      <c r="C36" s="8"/>
      <c r="D36" s="9"/>
      <c r="E36" s="9"/>
      <c r="F36" s="9"/>
      <c r="G36" s="9"/>
      <c r="H36" s="9"/>
      <c r="I36" s="9"/>
    </row>
    <row r="37" spans="1:12" x14ac:dyDescent="0.25">
      <c r="A37" s="17"/>
      <c r="B37" s="8"/>
      <c r="C37" s="8"/>
      <c r="D37" s="9"/>
      <c r="E37" s="9"/>
      <c r="F37" s="9"/>
      <c r="G37" s="9"/>
      <c r="H37" s="9"/>
      <c r="I37" s="9"/>
    </row>
    <row r="38" spans="1:12" x14ac:dyDescent="0.25">
      <c r="A38" s="17"/>
      <c r="B38" s="8"/>
      <c r="C38" s="8"/>
      <c r="D38" s="9"/>
      <c r="E38" s="9"/>
      <c r="F38" s="9"/>
      <c r="G38" s="9"/>
      <c r="H38" s="9"/>
      <c r="I38" s="9"/>
    </row>
    <row r="39" spans="1:12" x14ac:dyDescent="0.25">
      <c r="A39" s="17"/>
      <c r="B39" s="8"/>
      <c r="C39" s="8"/>
      <c r="D39" s="9"/>
      <c r="E39" s="9"/>
      <c r="F39" s="9"/>
      <c r="G39" s="9"/>
      <c r="H39" s="9"/>
      <c r="I39" s="9"/>
    </row>
  </sheetData>
  <mergeCells count="14">
    <mergeCell ref="A6:J6"/>
    <mergeCell ref="A8:J8"/>
    <mergeCell ref="N18:T18"/>
    <mergeCell ref="A23:B23"/>
    <mergeCell ref="A26:D26"/>
    <mergeCell ref="F26:L26"/>
    <mergeCell ref="A33:C33"/>
    <mergeCell ref="A34:C34"/>
    <mergeCell ref="A27:C27"/>
    <mergeCell ref="A28:C28"/>
    <mergeCell ref="A29:C29"/>
    <mergeCell ref="A30:C30"/>
    <mergeCell ref="A31:C31"/>
    <mergeCell ref="A32:C32"/>
  </mergeCells>
  <pageMargins left="0.51181102362204722" right="0.51181102362204722" top="0.78740157480314965" bottom="0.78740157480314965" header="0.31496062992125984" footer="0.31496062992125984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9"/>
  <sheetViews>
    <sheetView workbookViewId="0">
      <selection activeCell="K11" sqref="K1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21.28515625" bestFit="1" customWidth="1"/>
    <col min="8" max="8" width="18.5703125" customWidth="1"/>
    <col min="9" max="9" width="18.85546875" customWidth="1"/>
    <col min="10" max="10" width="16.5703125" customWidth="1"/>
    <col min="11" max="11" width="14.5703125" customWidth="1"/>
    <col min="12" max="12" width="14.85546875" customWidth="1"/>
    <col min="14" max="14" width="29.140625" customWidth="1"/>
    <col min="15" max="15" width="9.28515625" bestFit="1" customWidth="1"/>
    <col min="16" max="16" width="11.85546875" customWidth="1"/>
    <col min="17" max="17" width="17.28515625" bestFit="1" customWidth="1"/>
  </cols>
  <sheetData>
    <row r="1" spans="1:17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</row>
    <row r="2" spans="1:17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</row>
    <row r="3" spans="1:17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</row>
    <row r="5" spans="1:17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</row>
    <row r="6" spans="1:17" ht="18" x14ac:dyDescent="0.25">
      <c r="A6" s="76" t="s">
        <v>46</v>
      </c>
      <c r="B6" s="76"/>
      <c r="C6" s="76"/>
      <c r="D6" s="76"/>
      <c r="E6" s="76"/>
      <c r="F6" s="76"/>
      <c r="G6" s="76"/>
      <c r="H6" s="76"/>
      <c r="I6" s="76"/>
      <c r="J6" s="76"/>
      <c r="K6" s="12"/>
      <c r="L6" s="12"/>
    </row>
    <row r="7" spans="1:17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7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15"/>
      <c r="L8" s="15"/>
    </row>
    <row r="9" spans="1:17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5"/>
      <c r="L9" s="5"/>
    </row>
    <row r="10" spans="1:17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44</v>
      </c>
      <c r="F10" s="14" t="s">
        <v>45</v>
      </c>
      <c r="G10" s="14" t="s">
        <v>5</v>
      </c>
      <c r="H10" s="14" t="s">
        <v>36</v>
      </c>
      <c r="I10" s="14" t="s">
        <v>37</v>
      </c>
      <c r="J10" s="14" t="s">
        <v>83</v>
      </c>
      <c r="K10" s="14" t="s">
        <v>84</v>
      </c>
      <c r="L10" s="14" t="s">
        <v>6</v>
      </c>
      <c r="N10" s="14" t="s">
        <v>18</v>
      </c>
      <c r="O10" s="14" t="s">
        <v>19</v>
      </c>
      <c r="P10" s="14" t="s">
        <v>43</v>
      </c>
      <c r="Q10" s="14" t="s">
        <v>20</v>
      </c>
    </row>
    <row r="11" spans="1:17" x14ac:dyDescent="0.25">
      <c r="A11" s="21">
        <v>1</v>
      </c>
      <c r="B11" s="20">
        <v>42370</v>
      </c>
      <c r="C11" s="10">
        <v>0</v>
      </c>
      <c r="D11" s="20">
        <v>42736</v>
      </c>
      <c r="E11" s="7">
        <v>0</v>
      </c>
      <c r="F11" s="7">
        <v>0</v>
      </c>
      <c r="G11" s="10">
        <f t="shared" ref="G11:G22" si="0">E11+F11</f>
        <v>0</v>
      </c>
      <c r="H11" s="36">
        <f>IF(C11=0,0,IF(C11&lt;=N$11,O$11,IF(C11&lt;=N$12,((C11*O$12-Q$12)/C11),IF(C11&lt;=N$13,((C11*O$13-Q$13)/C11),IF(C11&lt;=N$14,((C11*O$14-Q$14)/C11),IF(C11&lt;=N$15,((C11*O$15-Q$15)/C11),IF(C11&lt;=N$16,((C11*O$16-Q$16)/C11),0)))))))</f>
        <v>0</v>
      </c>
      <c r="I11" s="36">
        <f>IF(C11=0,0,IF(C11&lt;=N$11,O$11*P$11,IF(C11&lt;=N$12,((C11*O$12-Q$12)/C11*(P$12)),IF(C11&lt;=N$13,((C11*O$13-Q$13)/C11*(P$13)),IF(C11&lt;=N$14,((C11*O$14-Q$14)/C11*(P$14)),IF(C11&lt;=N$15,((C11*O$15-Q$15)/C11*(P$15)),IF(C11&lt;=N$16,((C11*O$16-Q$16)/C11*(P$16)),0)))))))</f>
        <v>0</v>
      </c>
      <c r="J11" s="10">
        <f t="shared" ref="J11:J21" si="1">IF(C11&lt;=N$11,E11*O$11,IF(C11&lt;=N$12,((C11*O$12-Q$12)/C11)*E11,IF(C11&lt;=N$13,((C11*O$13-Q$13)/C11)*E11,IF(C11&lt;=N$14,((C11*O$14-Q$14)/C11)*E11,IF(C11&lt;=N$15,((C11*O$15-Q$15)/C11)*E11,IF(C11&lt;=N$16,((C11*O$16-Q$16)/C11)*E11,0))))))</f>
        <v>0</v>
      </c>
      <c r="K11" s="10">
        <f>IF(C11&lt;=N$11,(F11*O$11)*P$11,IF(C11&lt;=N$12,(((C11*O$12-Q$12)/C11)*F11*P$11)*P$12,IF(C11&lt;=N$13,(((C11*O$13-Q$13)/C11)*P$11)*F$11,IF(C11&lt;=N$14,(((C11*O$14-Q$14)/C11)*F11)*P$14,IF(C11&lt;=N$15,(((C11*O$15-Q$15)/C11)*F11)*P$15,IF(C11&lt;=N$16,(((C11*O$16-Q$16)/C11)*F11)*P$16,0))))))</f>
        <v>0</v>
      </c>
      <c r="L11" s="10">
        <f t="shared" ref="L11:L22" si="2">J11+K11</f>
        <v>0</v>
      </c>
      <c r="N11" s="26">
        <v>180000</v>
      </c>
      <c r="O11" s="28">
        <v>4.4999999999999998E-2</v>
      </c>
      <c r="P11" s="37">
        <f>SUM(G28:J28)</f>
        <v>0.55499999999999994</v>
      </c>
      <c r="Q11" s="26">
        <v>0</v>
      </c>
    </row>
    <row r="12" spans="1:17" x14ac:dyDescent="0.25">
      <c r="A12" s="21">
        <v>2</v>
      </c>
      <c r="B12" s="20">
        <f>B11+31</f>
        <v>42401</v>
      </c>
      <c r="C12" s="10">
        <v>0</v>
      </c>
      <c r="D12" s="20">
        <f>D11+31</f>
        <v>42767</v>
      </c>
      <c r="E12" s="7">
        <v>0</v>
      </c>
      <c r="F12" s="7">
        <v>0</v>
      </c>
      <c r="G12" s="10">
        <f t="shared" si="0"/>
        <v>0</v>
      </c>
      <c r="H12" s="36">
        <f t="shared" ref="H12:H22" si="3">IF(C12=0,0,IF(C12&lt;=N$11,O$11,IF(C12&lt;=N$12,((C12*O$12-Q$12)/C12),IF(C12&lt;=N$13,((C12*O$13-Q$13)/C12),IF(C12&lt;=N$14,((C12*O$14-Q$14)/C12),IF(C12&lt;=N$15,((C12*O$15-Q$15)/C12),IF(C12&lt;=N$16,((C12*O$16-Q$16)/C12),0)))))))</f>
        <v>0</v>
      </c>
      <c r="I12" s="36">
        <f t="shared" ref="I12:I22" si="4">IF(C12=0,0,IF(C12&lt;=N$11,O$11*P$11,IF(C12&lt;=N$12,((C12*O$12-Q$12)/C12*(P$12)),IF(C12&lt;=N$13,((C12*O$13-Q$13)/C12*(P$13)),IF(C12&lt;=N$14,((C12*O$14-Q$14)/C12*(P$14)),IF(C12&lt;=N$15,((C12*O$15-Q$15)/C12*(P$15)),IF(C12&lt;=N$16,((C12*O$16-Q$16)/C12*(P$16)),0)))))))</f>
        <v>0</v>
      </c>
      <c r="J12" s="10">
        <f t="shared" si="1"/>
        <v>0</v>
      </c>
      <c r="K12" s="10">
        <f t="shared" ref="K12:K21" si="5">IF(C12&lt;=N$11,(F12*O$11)*P$11,IF(C12&lt;=N$12,(((C12*O$12-Q$12)/C12)*F12)*P$12,IF(C12&lt;=N$13,(((C12*O$13-Q$13)/C12)*F$11)*P$13,IF(C12&lt;=N$14,(((C12*O$14-Q$14)/C12)*F12)*P$14,IF(C12&lt;=N$15,(((C12*O$15-Q$15)/C12)*F12)*P$15,IF(C12&lt;=N$16,(((C12*O$16-Q$16)/C12)*F12)*P$16,0))))))</f>
        <v>0</v>
      </c>
      <c r="L12" s="10">
        <f t="shared" si="2"/>
        <v>0</v>
      </c>
      <c r="N12" s="26">
        <v>360000</v>
      </c>
      <c r="O12" s="27">
        <v>0.09</v>
      </c>
      <c r="P12" s="37">
        <f t="shared" ref="P12:P16" si="6">SUM(G29:J29)</f>
        <v>0.6</v>
      </c>
      <c r="Q12" s="26">
        <v>8100</v>
      </c>
    </row>
    <row r="13" spans="1:17" x14ac:dyDescent="0.25">
      <c r="A13" s="21">
        <v>3</v>
      </c>
      <c r="B13" s="20">
        <f t="shared" ref="B13:B22" si="7">B12+31</f>
        <v>42432</v>
      </c>
      <c r="C13" s="10">
        <v>0</v>
      </c>
      <c r="D13" s="20">
        <f t="shared" ref="D13:D22" si="8">D12+31</f>
        <v>42798</v>
      </c>
      <c r="E13" s="7">
        <v>0</v>
      </c>
      <c r="F13" s="7">
        <v>0</v>
      </c>
      <c r="G13" s="10">
        <f t="shared" si="0"/>
        <v>0</v>
      </c>
      <c r="H13" s="36">
        <f t="shared" si="3"/>
        <v>0</v>
      </c>
      <c r="I13" s="36">
        <f t="shared" si="4"/>
        <v>0</v>
      </c>
      <c r="J13" s="10">
        <f t="shared" si="1"/>
        <v>0</v>
      </c>
      <c r="K13" s="10">
        <f t="shared" si="5"/>
        <v>0</v>
      </c>
      <c r="L13" s="10">
        <f t="shared" si="2"/>
        <v>0</v>
      </c>
      <c r="N13" s="26">
        <v>720000</v>
      </c>
      <c r="O13" s="28">
        <v>0.10199999999999999</v>
      </c>
      <c r="P13" s="37">
        <f t="shared" si="6"/>
        <v>0.6</v>
      </c>
      <c r="Q13" s="26">
        <v>12420</v>
      </c>
    </row>
    <row r="14" spans="1:17" x14ac:dyDescent="0.25">
      <c r="A14" s="21">
        <v>4</v>
      </c>
      <c r="B14" s="20">
        <f t="shared" si="7"/>
        <v>42463</v>
      </c>
      <c r="C14" s="10">
        <v>0</v>
      </c>
      <c r="D14" s="20">
        <f t="shared" si="8"/>
        <v>42829</v>
      </c>
      <c r="E14" s="7">
        <v>0</v>
      </c>
      <c r="F14" s="7">
        <v>0</v>
      </c>
      <c r="G14" s="10">
        <f t="shared" si="0"/>
        <v>0</v>
      </c>
      <c r="H14" s="36">
        <f t="shared" si="3"/>
        <v>0</v>
      </c>
      <c r="I14" s="36">
        <f t="shared" si="4"/>
        <v>0</v>
      </c>
      <c r="J14" s="10">
        <f t="shared" si="1"/>
        <v>0</v>
      </c>
      <c r="K14" s="10">
        <f t="shared" si="5"/>
        <v>0</v>
      </c>
      <c r="L14" s="10">
        <f t="shared" si="2"/>
        <v>0</v>
      </c>
      <c r="N14" s="26">
        <v>1800000</v>
      </c>
      <c r="O14" s="27">
        <v>0.14000000000000001</v>
      </c>
      <c r="P14" s="37">
        <f t="shared" si="6"/>
        <v>0.6</v>
      </c>
      <c r="Q14" s="26">
        <v>39780</v>
      </c>
    </row>
    <row r="15" spans="1:17" x14ac:dyDescent="0.25">
      <c r="A15" s="21">
        <v>5</v>
      </c>
      <c r="B15" s="20">
        <f t="shared" si="7"/>
        <v>42494</v>
      </c>
      <c r="C15" s="10">
        <v>0</v>
      </c>
      <c r="D15" s="20">
        <f t="shared" si="8"/>
        <v>42860</v>
      </c>
      <c r="E15" s="7">
        <v>0</v>
      </c>
      <c r="F15" s="7">
        <v>0</v>
      </c>
      <c r="G15" s="10">
        <f t="shared" si="0"/>
        <v>0</v>
      </c>
      <c r="H15" s="36">
        <f t="shared" si="3"/>
        <v>0</v>
      </c>
      <c r="I15" s="36">
        <f t="shared" si="4"/>
        <v>0</v>
      </c>
      <c r="J15" s="10">
        <f t="shared" si="1"/>
        <v>0</v>
      </c>
      <c r="K15" s="10">
        <f t="shared" si="5"/>
        <v>0</v>
      </c>
      <c r="L15" s="10">
        <f t="shared" si="2"/>
        <v>0</v>
      </c>
      <c r="N15" s="26">
        <v>3600000</v>
      </c>
      <c r="O15" s="27">
        <v>0.22</v>
      </c>
      <c r="P15" s="37">
        <f t="shared" si="6"/>
        <v>0.6</v>
      </c>
      <c r="Q15" s="26">
        <v>183780</v>
      </c>
    </row>
    <row r="16" spans="1:17" x14ac:dyDescent="0.25">
      <c r="A16" s="21">
        <v>6</v>
      </c>
      <c r="B16" s="20">
        <f t="shared" si="7"/>
        <v>42525</v>
      </c>
      <c r="C16" s="10">
        <v>0</v>
      </c>
      <c r="D16" s="20">
        <f t="shared" si="8"/>
        <v>42891</v>
      </c>
      <c r="E16" s="7">
        <v>0</v>
      </c>
      <c r="F16" s="7">
        <v>0</v>
      </c>
      <c r="G16" s="10">
        <f>E16+F16</f>
        <v>0</v>
      </c>
      <c r="H16" s="36">
        <f t="shared" si="3"/>
        <v>0</v>
      </c>
      <c r="I16" s="36">
        <f t="shared" si="4"/>
        <v>0</v>
      </c>
      <c r="J16" s="10">
        <f t="shared" si="1"/>
        <v>0</v>
      </c>
      <c r="K16" s="10">
        <f t="shared" si="5"/>
        <v>0</v>
      </c>
      <c r="L16" s="10">
        <f t="shared" si="2"/>
        <v>0</v>
      </c>
      <c r="N16" s="26">
        <v>4800000</v>
      </c>
      <c r="O16" s="27">
        <v>0.33</v>
      </c>
      <c r="P16" s="37">
        <f t="shared" si="6"/>
        <v>1</v>
      </c>
      <c r="Q16" s="26">
        <v>828000</v>
      </c>
    </row>
    <row r="17" spans="1:20" x14ac:dyDescent="0.25">
      <c r="A17" s="21">
        <v>7</v>
      </c>
      <c r="B17" s="20">
        <f t="shared" si="7"/>
        <v>42556</v>
      </c>
      <c r="C17" s="10">
        <v>0</v>
      </c>
      <c r="D17" s="20">
        <f t="shared" si="8"/>
        <v>42922</v>
      </c>
      <c r="E17" s="7">
        <v>0</v>
      </c>
      <c r="F17" s="7">
        <v>0</v>
      </c>
      <c r="G17" s="10">
        <f>E17+F17</f>
        <v>0</v>
      </c>
      <c r="H17" s="36">
        <f t="shared" si="3"/>
        <v>0</v>
      </c>
      <c r="I17" s="36">
        <f t="shared" si="4"/>
        <v>0</v>
      </c>
      <c r="J17" s="10">
        <f t="shared" si="1"/>
        <v>0</v>
      </c>
      <c r="K17" s="10">
        <f t="shared" si="5"/>
        <v>0</v>
      </c>
      <c r="L17" s="10">
        <f t="shared" si="2"/>
        <v>0</v>
      </c>
    </row>
    <row r="18" spans="1:20" x14ac:dyDescent="0.25">
      <c r="A18" s="21">
        <v>8</v>
      </c>
      <c r="B18" s="20">
        <f t="shared" si="7"/>
        <v>42587</v>
      </c>
      <c r="C18" s="10">
        <v>0</v>
      </c>
      <c r="D18" s="20">
        <f t="shared" si="8"/>
        <v>42953</v>
      </c>
      <c r="E18" s="7">
        <v>0</v>
      </c>
      <c r="F18" s="7">
        <v>0</v>
      </c>
      <c r="G18" s="10">
        <f t="shared" si="0"/>
        <v>0</v>
      </c>
      <c r="H18" s="36">
        <f t="shared" si="3"/>
        <v>0</v>
      </c>
      <c r="I18" s="36">
        <f t="shared" si="4"/>
        <v>0</v>
      </c>
      <c r="J18" s="10">
        <f t="shared" si="1"/>
        <v>0</v>
      </c>
      <c r="K18" s="10">
        <f t="shared" si="5"/>
        <v>0</v>
      </c>
      <c r="L18" s="10">
        <f t="shared" si="2"/>
        <v>0</v>
      </c>
      <c r="N18" s="78"/>
      <c r="O18" s="78"/>
      <c r="P18" s="78"/>
      <c r="Q18" s="78"/>
      <c r="R18" s="78"/>
      <c r="S18" s="78"/>
      <c r="T18" s="78"/>
    </row>
    <row r="19" spans="1:20" x14ac:dyDescent="0.25">
      <c r="A19" s="21">
        <v>9</v>
      </c>
      <c r="B19" s="20">
        <f t="shared" si="7"/>
        <v>42618</v>
      </c>
      <c r="C19" s="10">
        <v>0</v>
      </c>
      <c r="D19" s="20">
        <f t="shared" si="8"/>
        <v>42984</v>
      </c>
      <c r="E19" s="7">
        <v>0</v>
      </c>
      <c r="F19" s="7">
        <v>0</v>
      </c>
      <c r="G19" s="10">
        <f t="shared" si="0"/>
        <v>0</v>
      </c>
      <c r="H19" s="36">
        <f t="shared" si="3"/>
        <v>0</v>
      </c>
      <c r="I19" s="36">
        <f t="shared" si="4"/>
        <v>0</v>
      </c>
      <c r="J19" s="10">
        <f t="shared" si="1"/>
        <v>0</v>
      </c>
      <c r="K19" s="10">
        <f t="shared" si="5"/>
        <v>0</v>
      </c>
      <c r="L19" s="10">
        <f t="shared" si="2"/>
        <v>0</v>
      </c>
      <c r="N19" s="33"/>
      <c r="O19" s="35"/>
      <c r="P19" s="35"/>
      <c r="Q19" s="35"/>
      <c r="R19" s="35"/>
      <c r="S19" s="35"/>
      <c r="T19" s="35"/>
    </row>
    <row r="20" spans="1:20" x14ac:dyDescent="0.25">
      <c r="A20" s="21">
        <v>10</v>
      </c>
      <c r="B20" s="20">
        <f t="shared" si="7"/>
        <v>42649</v>
      </c>
      <c r="C20" s="10">
        <v>0</v>
      </c>
      <c r="D20" s="20">
        <f t="shared" si="8"/>
        <v>43015</v>
      </c>
      <c r="E20" s="7">
        <v>0</v>
      </c>
      <c r="F20" s="7">
        <v>0</v>
      </c>
      <c r="G20" s="10">
        <f t="shared" si="0"/>
        <v>0</v>
      </c>
      <c r="H20" s="36">
        <f t="shared" si="3"/>
        <v>0</v>
      </c>
      <c r="I20" s="36">
        <f t="shared" si="4"/>
        <v>0</v>
      </c>
      <c r="J20" s="10">
        <f t="shared" si="1"/>
        <v>0</v>
      </c>
      <c r="K20" s="10">
        <f t="shared" si="5"/>
        <v>0</v>
      </c>
      <c r="L20" s="10">
        <f t="shared" si="2"/>
        <v>0</v>
      </c>
      <c r="N20" s="35"/>
      <c r="O20" s="34"/>
      <c r="P20" s="34"/>
      <c r="Q20" s="34"/>
      <c r="R20" s="34"/>
      <c r="S20" s="34"/>
      <c r="T20" s="34"/>
    </row>
    <row r="21" spans="1:20" x14ac:dyDescent="0.25">
      <c r="A21" s="21">
        <v>11</v>
      </c>
      <c r="B21" s="20">
        <f t="shared" si="7"/>
        <v>42680</v>
      </c>
      <c r="C21" s="10">
        <v>0</v>
      </c>
      <c r="D21" s="20">
        <f t="shared" si="8"/>
        <v>43046</v>
      </c>
      <c r="E21" s="7"/>
      <c r="F21" s="7">
        <v>0</v>
      </c>
      <c r="G21" s="10">
        <f t="shared" si="0"/>
        <v>0</v>
      </c>
      <c r="H21" s="36">
        <f t="shared" si="3"/>
        <v>0</v>
      </c>
      <c r="I21" s="36">
        <f t="shared" si="4"/>
        <v>0</v>
      </c>
      <c r="J21" s="10">
        <f t="shared" si="1"/>
        <v>0</v>
      </c>
      <c r="K21" s="10">
        <f t="shared" si="5"/>
        <v>0</v>
      </c>
      <c r="L21" s="10">
        <f t="shared" si="2"/>
        <v>0</v>
      </c>
      <c r="N21" s="35"/>
      <c r="O21" s="34"/>
      <c r="P21" s="34"/>
      <c r="Q21" s="34"/>
      <c r="R21" s="34"/>
      <c r="S21" s="34"/>
      <c r="T21" s="34"/>
    </row>
    <row r="22" spans="1:20" x14ac:dyDescent="0.25">
      <c r="A22" s="21">
        <v>12</v>
      </c>
      <c r="B22" s="20">
        <f t="shared" si="7"/>
        <v>42711</v>
      </c>
      <c r="C22" s="10">
        <v>0</v>
      </c>
      <c r="D22" s="20">
        <f t="shared" si="8"/>
        <v>43077</v>
      </c>
      <c r="E22" s="7"/>
      <c r="F22" s="7">
        <v>0</v>
      </c>
      <c r="G22" s="10">
        <f t="shared" si="0"/>
        <v>0</v>
      </c>
      <c r="H22" s="36">
        <f t="shared" si="3"/>
        <v>0</v>
      </c>
      <c r="I22" s="36">
        <f t="shared" si="4"/>
        <v>0</v>
      </c>
      <c r="J22" s="10">
        <f>IF(C22&lt;=N$11,E22*O$11,IF(C22&lt;=N$12,((C22*O$12-Q$12)/C22)*G22,IF(C22&lt;=N$13,((C22*O$13-Q$13)/C22)*G22,IF(C22&lt;=N$14,((C22*O$14-Q$14)/C22)*G22,IF(C22&lt;=N$15,((C22*O$15-Q$15)/C22)*G22,IF(C22&lt;=N$16,((C22*O$16-Q$16)/C22)*G22,0))))))</f>
        <v>0</v>
      </c>
      <c r="K22" s="10">
        <f>IF(C22&lt;=N$11,F22*O$11,IF(C22&lt;=N$12,((C22*O$12-Q$12)/C22)*F22,IF(C22&lt;=N$13,((C22*O$13-Q$13)/C22)*F22,IF(C22&lt;=N$14,((C22*O$14-Q$14)/C22)*F22,IF(C22&lt;=N$15,((C22*O$15-Q$15)/C22)*F22,IF(C22&lt;=N$16,((C22*O$16-Q$16)/C22)*F22,0))))))</f>
        <v>0</v>
      </c>
      <c r="L22" s="10">
        <f t="shared" si="2"/>
        <v>0</v>
      </c>
      <c r="N22" s="35"/>
      <c r="O22" s="34"/>
      <c r="P22" s="34"/>
      <c r="Q22" s="34"/>
      <c r="R22" s="34"/>
      <c r="S22" s="34"/>
      <c r="T22" s="34"/>
    </row>
    <row r="23" spans="1:20" ht="15.75" x14ac:dyDescent="0.25">
      <c r="A23" s="86" t="s">
        <v>7</v>
      </c>
      <c r="B23" s="86"/>
      <c r="C23" s="6">
        <f>SUM(C11:C22)</f>
        <v>0</v>
      </c>
      <c r="D23" s="16"/>
      <c r="E23" s="6">
        <f t="shared" ref="E23:L23" si="9">SUM(E11:E22)</f>
        <v>0</v>
      </c>
      <c r="F23" s="6">
        <f t="shared" si="9"/>
        <v>0</v>
      </c>
      <c r="G23" s="6">
        <f t="shared" si="9"/>
        <v>0</v>
      </c>
      <c r="H23" s="6"/>
      <c r="I23" s="6"/>
      <c r="J23" s="6">
        <f t="shared" si="9"/>
        <v>0</v>
      </c>
      <c r="K23" s="6">
        <f t="shared" si="9"/>
        <v>0</v>
      </c>
      <c r="L23" s="6">
        <f t="shared" si="9"/>
        <v>0</v>
      </c>
      <c r="N23" s="35"/>
      <c r="O23" s="34"/>
      <c r="P23" s="34"/>
      <c r="Q23" s="34"/>
      <c r="R23" s="34"/>
      <c r="S23" s="34"/>
      <c r="T23" s="34"/>
    </row>
    <row r="24" spans="1:20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4"/>
      <c r="L24" s="3"/>
      <c r="N24" s="35"/>
      <c r="O24" s="34"/>
      <c r="P24" s="34"/>
      <c r="Q24" s="34"/>
      <c r="R24" s="34"/>
      <c r="S24" s="34"/>
      <c r="T24" s="34"/>
    </row>
    <row r="25" spans="1:20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4"/>
      <c r="L25" s="3"/>
      <c r="N25" s="35"/>
      <c r="O25" s="34"/>
      <c r="P25" s="34"/>
      <c r="Q25" s="34"/>
      <c r="R25" s="34"/>
      <c r="S25" s="34"/>
      <c r="T25" s="34"/>
    </row>
    <row r="26" spans="1:20" ht="17.25" customHeight="1" thickBot="1" x14ac:dyDescent="0.3">
      <c r="A26" s="81" t="s">
        <v>8</v>
      </c>
      <c r="B26" s="82"/>
      <c r="C26" s="82"/>
      <c r="D26" s="83"/>
      <c r="E26" s="3"/>
      <c r="F26" s="84" t="s">
        <v>24</v>
      </c>
      <c r="G26" s="85"/>
      <c r="H26" s="85"/>
      <c r="I26" s="85"/>
      <c r="J26" s="85"/>
      <c r="K26" s="85"/>
      <c r="L26" s="85"/>
      <c r="M26" s="85"/>
      <c r="N26" s="85"/>
    </row>
    <row r="27" spans="1:20" ht="15.75" thickBot="1" x14ac:dyDescent="0.3">
      <c r="A27" s="73" t="s">
        <v>9</v>
      </c>
      <c r="B27" s="74"/>
      <c r="C27" s="75"/>
      <c r="D27" s="22">
        <f>+G23</f>
        <v>0</v>
      </c>
      <c r="E27" s="11"/>
      <c r="F27" s="31" t="s">
        <v>34</v>
      </c>
      <c r="G27" s="29" t="s">
        <v>13</v>
      </c>
      <c r="H27" s="30" t="s">
        <v>14</v>
      </c>
      <c r="I27" s="30" t="s">
        <v>25</v>
      </c>
      <c r="J27" s="30" t="s">
        <v>26</v>
      </c>
      <c r="K27" s="30" t="s">
        <v>42</v>
      </c>
      <c r="L27" s="30"/>
      <c r="M27" s="30"/>
      <c r="N27" s="30"/>
    </row>
    <row r="28" spans="1:20" ht="15.75" thickBot="1" x14ac:dyDescent="0.3">
      <c r="A28" s="69" t="s">
        <v>10</v>
      </c>
      <c r="B28" s="70"/>
      <c r="C28" s="71"/>
      <c r="D28" s="23">
        <f>J23</f>
        <v>0</v>
      </c>
      <c r="E28" s="11"/>
      <c r="F28" s="31" t="s">
        <v>28</v>
      </c>
      <c r="G28" s="32">
        <v>0.188</v>
      </c>
      <c r="H28" s="32">
        <v>0.152</v>
      </c>
      <c r="I28" s="32">
        <v>0.1767</v>
      </c>
      <c r="J28" s="32">
        <v>3.8300000000000001E-2</v>
      </c>
      <c r="K28" s="32">
        <v>0.44500000000000001</v>
      </c>
      <c r="L28" s="32"/>
      <c r="M28" s="32"/>
      <c r="N28" s="32"/>
    </row>
    <row r="29" spans="1:20" ht="15.75" thickBot="1" x14ac:dyDescent="0.3">
      <c r="A29" s="69" t="s">
        <v>42</v>
      </c>
      <c r="B29" s="70"/>
      <c r="C29" s="71"/>
      <c r="D29" s="24">
        <f>D27*5%</f>
        <v>0</v>
      </c>
      <c r="E29" s="11"/>
      <c r="F29" s="31" t="s">
        <v>29</v>
      </c>
      <c r="G29" s="32">
        <v>0.19800000000000001</v>
      </c>
      <c r="H29" s="32">
        <v>0.152</v>
      </c>
      <c r="I29" s="32">
        <v>0.20549999999999999</v>
      </c>
      <c r="J29" s="32">
        <v>4.4499999999999998E-2</v>
      </c>
      <c r="K29" s="32">
        <v>0.4</v>
      </c>
      <c r="L29" s="32"/>
      <c r="M29" s="32"/>
      <c r="N29" s="32"/>
    </row>
    <row r="30" spans="1:20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0.20799999999999999</v>
      </c>
      <c r="H30" s="32">
        <v>0.152</v>
      </c>
      <c r="I30" s="32">
        <v>0.1973</v>
      </c>
      <c r="J30" s="32">
        <v>4.2700000000000002E-2</v>
      </c>
      <c r="K30" s="32">
        <v>0.4</v>
      </c>
      <c r="L30" s="32"/>
      <c r="M30" s="32"/>
      <c r="N30" s="32"/>
    </row>
    <row r="31" spans="1:20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0.17799999999999999</v>
      </c>
      <c r="H31" s="32">
        <v>0.192</v>
      </c>
      <c r="I31" s="32">
        <v>0.189</v>
      </c>
      <c r="J31" s="32">
        <v>4.1000000000000002E-2</v>
      </c>
      <c r="K31" s="32">
        <v>0.4</v>
      </c>
      <c r="L31" s="32"/>
      <c r="M31" s="32"/>
      <c r="N31" s="32"/>
    </row>
    <row r="32" spans="1:20" ht="15.75" thickBot="1" x14ac:dyDescent="0.3">
      <c r="A32" s="69" t="s">
        <v>13</v>
      </c>
      <c r="B32" s="70"/>
      <c r="C32" s="71"/>
      <c r="D32" s="24">
        <f>((D27*32%)*15%)</f>
        <v>0</v>
      </c>
      <c r="E32" s="11"/>
      <c r="F32" s="31" t="s">
        <v>32</v>
      </c>
      <c r="G32" s="32">
        <v>0.188</v>
      </c>
      <c r="H32" s="32">
        <v>0.192</v>
      </c>
      <c r="I32" s="32">
        <v>0.18079999999999999</v>
      </c>
      <c r="J32" s="32">
        <v>3.9199999999999999E-2</v>
      </c>
      <c r="K32" s="32">
        <v>0.4</v>
      </c>
      <c r="L32" s="32"/>
      <c r="M32" s="32"/>
      <c r="N32" s="32"/>
    </row>
    <row r="33" spans="1:14" ht="15.75" thickBot="1" x14ac:dyDescent="0.3">
      <c r="A33" s="69" t="s">
        <v>14</v>
      </c>
      <c r="B33" s="70"/>
      <c r="C33" s="71"/>
      <c r="D33" s="23">
        <f>((D27*32%)*9%)</f>
        <v>0</v>
      </c>
      <c r="E33" s="11"/>
      <c r="F33" s="31" t="s">
        <v>33</v>
      </c>
      <c r="G33" s="32">
        <v>0.53500000000000003</v>
      </c>
      <c r="H33" s="32">
        <v>0.215</v>
      </c>
      <c r="I33" s="32">
        <v>0.20549999999999999</v>
      </c>
      <c r="J33" s="32">
        <v>4.4499999999999998E-2</v>
      </c>
      <c r="K33" s="32">
        <v>0</v>
      </c>
      <c r="L33" s="32"/>
      <c r="M33" s="32"/>
      <c r="N33" s="32"/>
    </row>
    <row r="34" spans="1:14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"/>
      <c r="H34" s="1"/>
      <c r="I34" s="1"/>
    </row>
    <row r="35" spans="1:14" x14ac:dyDescent="0.25">
      <c r="A35" s="8"/>
      <c r="B35" s="8"/>
      <c r="C35" s="8"/>
      <c r="D35" s="9"/>
      <c r="E35" s="9"/>
      <c r="F35" s="9"/>
      <c r="G35" s="1"/>
      <c r="H35" s="1"/>
      <c r="I35" s="1"/>
    </row>
    <row r="36" spans="1:14" x14ac:dyDescent="0.25">
      <c r="A36" s="8"/>
      <c r="B36" s="8"/>
      <c r="C36" s="8"/>
      <c r="D36" s="9"/>
      <c r="E36" s="9"/>
      <c r="F36" s="9"/>
      <c r="G36" s="9"/>
      <c r="H36" s="9"/>
      <c r="I36" s="9"/>
    </row>
    <row r="37" spans="1:14" x14ac:dyDescent="0.25">
      <c r="A37" s="17"/>
      <c r="B37" s="8"/>
      <c r="C37" s="8"/>
      <c r="D37" s="9"/>
      <c r="E37" s="9"/>
      <c r="F37" s="9"/>
      <c r="G37" s="9"/>
      <c r="H37" s="9"/>
      <c r="I37" s="9"/>
    </row>
    <row r="38" spans="1:14" x14ac:dyDescent="0.25">
      <c r="A38" s="17"/>
      <c r="B38" s="8"/>
      <c r="C38" s="8"/>
      <c r="D38" s="9"/>
      <c r="E38" s="9"/>
      <c r="F38" s="9"/>
      <c r="G38" s="9"/>
      <c r="H38" s="9"/>
      <c r="I38" s="9"/>
    </row>
    <row r="39" spans="1:14" x14ac:dyDescent="0.25">
      <c r="A39" s="17"/>
      <c r="B39" s="8"/>
      <c r="C39" s="8"/>
      <c r="D39" s="9"/>
      <c r="E39" s="9"/>
      <c r="F39" s="9"/>
      <c r="G39" s="9"/>
      <c r="H39" s="9"/>
      <c r="I39" s="9"/>
    </row>
  </sheetData>
  <mergeCells count="14">
    <mergeCell ref="A6:J6"/>
    <mergeCell ref="A8:J8"/>
    <mergeCell ref="N18:T18"/>
    <mergeCell ref="A23:B23"/>
    <mergeCell ref="A26:D26"/>
    <mergeCell ref="F26:N26"/>
    <mergeCell ref="A33:C33"/>
    <mergeCell ref="A34:C34"/>
    <mergeCell ref="A27:C27"/>
    <mergeCell ref="A28:C28"/>
    <mergeCell ref="A29:C29"/>
    <mergeCell ref="A30:C30"/>
    <mergeCell ref="A31:C31"/>
    <mergeCell ref="A32:C32"/>
  </mergeCells>
  <pageMargins left="0.11811023622047245" right="0.11811023622047245" top="0.39370078740157483" bottom="0.39370078740157483" header="0.31496062992125984" footer="0.31496062992125984"/>
  <pageSetup paperSize="9" scale="53" orientation="landscape" r:id="rId1"/>
  <ignoredErrors>
    <ignoredError sqref="P11:P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9"/>
  <sheetViews>
    <sheetView workbookViewId="0">
      <selection activeCell="K11" sqref="K1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15.28515625" customWidth="1"/>
    <col min="8" max="8" width="18.5703125" customWidth="1"/>
    <col min="9" max="9" width="18.85546875" customWidth="1"/>
    <col min="10" max="10" width="16.5703125" customWidth="1"/>
    <col min="11" max="11" width="14.5703125" customWidth="1"/>
    <col min="12" max="12" width="14.85546875" customWidth="1"/>
    <col min="14" max="14" width="29.140625" customWidth="1"/>
    <col min="15" max="15" width="9.28515625" bestFit="1" customWidth="1"/>
    <col min="16" max="16" width="11.85546875" customWidth="1"/>
    <col min="17" max="17" width="17.28515625" bestFit="1" customWidth="1"/>
  </cols>
  <sheetData>
    <row r="1" spans="1:17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</row>
    <row r="2" spans="1:17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</row>
    <row r="3" spans="1:17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</row>
    <row r="5" spans="1:17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</row>
    <row r="6" spans="1:17" ht="18" x14ac:dyDescent="0.25">
      <c r="A6" s="76" t="s">
        <v>47</v>
      </c>
      <c r="B6" s="76"/>
      <c r="C6" s="76"/>
      <c r="D6" s="76"/>
      <c r="E6" s="76"/>
      <c r="F6" s="76"/>
      <c r="G6" s="76"/>
      <c r="H6" s="76"/>
      <c r="I6" s="76"/>
      <c r="J6" s="76"/>
      <c r="K6" s="12"/>
      <c r="L6" s="12"/>
    </row>
    <row r="7" spans="1:17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7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15"/>
      <c r="L8" s="15"/>
    </row>
    <row r="9" spans="1:17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5"/>
      <c r="L9" s="5"/>
    </row>
    <row r="10" spans="1:17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44</v>
      </c>
      <c r="F10" s="14" t="s">
        <v>45</v>
      </c>
      <c r="G10" s="14" t="s">
        <v>5</v>
      </c>
      <c r="H10" s="14" t="s">
        <v>36</v>
      </c>
      <c r="I10" s="14" t="s">
        <v>37</v>
      </c>
      <c r="J10" s="14" t="s">
        <v>83</v>
      </c>
      <c r="K10" s="14" t="s">
        <v>84</v>
      </c>
      <c r="L10" s="14" t="s">
        <v>6</v>
      </c>
      <c r="N10" s="14" t="s">
        <v>18</v>
      </c>
      <c r="O10" s="14" t="s">
        <v>19</v>
      </c>
      <c r="P10" s="14" t="s">
        <v>43</v>
      </c>
      <c r="Q10" s="14" t="s">
        <v>20</v>
      </c>
    </row>
    <row r="11" spans="1:17" x14ac:dyDescent="0.25">
      <c r="A11" s="21">
        <v>1</v>
      </c>
      <c r="B11" s="20">
        <v>42370</v>
      </c>
      <c r="C11" s="10">
        <v>0</v>
      </c>
      <c r="D11" s="20">
        <v>42736</v>
      </c>
      <c r="E11" s="7">
        <v>0</v>
      </c>
      <c r="F11" s="7">
        <v>0</v>
      </c>
      <c r="G11" s="10">
        <f t="shared" ref="G11:G22" si="0">E11+F11</f>
        <v>0</v>
      </c>
      <c r="H11" s="36">
        <f>IF(C11=0,0,IF(C11&lt;=N$11,O$11,IF(C11&lt;=N$12,((C11*O$12-Q$12)/C11),IF(C11&lt;=N$13,((C11*O$13-Q$13)/C11),IF(C11&lt;=N$14,((C11*O$14-Q$14)/C11),IF(C11&lt;=N$15,((C11*O$15-Q$15)/C11),IF(C11&lt;=N$16,((C11*O$16-Q$16)/C11),0)))))))</f>
        <v>0</v>
      </c>
      <c r="I11" s="36">
        <f>IF(C11=0,0,IF(C11&lt;=N$11,O$11*P$11,IF(C11&lt;=N$12,((C11*O$12-Q$12)/C11*(P$12)),IF(C11&lt;=N$13,((C11*O$13-Q$13)/C11*(P$13)),IF(C11&lt;=N$14,((C11*O$14-Q$14)/C11*(P$14)),IF(C11&lt;=N$15,((C11*O$15-Q$15)/C11*(P$15)),IF(C11&lt;=N$16,((C11*O$16-Q$16)/C11*(P$16)),0)))))))</f>
        <v>0</v>
      </c>
      <c r="J11" s="10">
        <f t="shared" ref="J11:J21" si="1">IF(C11&lt;=N$11,E11*O$11,IF(C11&lt;=N$12,((C11*O$12-Q$12)/C11)*E11,IF(C11&lt;=N$13,((C11*O$13-Q$13)/C11)*E11,IF(C11&lt;=N$14,((C11*O$14-Q$14)/C11)*E11,IF(C11&lt;=N$15,((C11*O$15-Q$15)/C11)*E11,IF(C11&lt;=N$16,((C11*O$16-Q$16)/C11)*E11,0))))))</f>
        <v>0</v>
      </c>
      <c r="K11" s="10">
        <f>IF(C11&lt;=N$11,(F11*O$11)*P$11,IF(C11&lt;=N$12,(((C11*O$12-Q$12)/C11)*F11*P$11)*P$12,IF(C11&lt;=N$13,(((C11*O$13-Q$13)/C11)*P$11)*F$11,IF(C11&lt;=N$14,(((C11*O$14-Q$14)/C11)*F11)*P$14,IF(C11&lt;=N$15,(((C11*O$15-Q$15)/C11)*F11)*P$15,IF(C11&lt;=N$16,(((C11*O$16-Q$16)/C11)*F11)*P$16,0))))))</f>
        <v>0</v>
      </c>
      <c r="L11" s="10">
        <f t="shared" ref="L11:L22" si="2">J11+K11</f>
        <v>0</v>
      </c>
      <c r="N11" s="26">
        <v>180000</v>
      </c>
      <c r="O11" s="28">
        <v>0.155</v>
      </c>
      <c r="P11" s="37">
        <f>SUM(G28:K28)</f>
        <v>0.86</v>
      </c>
      <c r="Q11" s="26">
        <v>0</v>
      </c>
    </row>
    <row r="12" spans="1:17" x14ac:dyDescent="0.25">
      <c r="A12" s="21">
        <v>2</v>
      </c>
      <c r="B12" s="20">
        <f>B11+31</f>
        <v>42401</v>
      </c>
      <c r="C12" s="10">
        <v>0</v>
      </c>
      <c r="D12" s="20">
        <f>D11+31</f>
        <v>42767</v>
      </c>
      <c r="E12" s="7"/>
      <c r="F12" s="7">
        <v>0</v>
      </c>
      <c r="G12" s="10">
        <f t="shared" si="0"/>
        <v>0</v>
      </c>
      <c r="H12" s="36">
        <f t="shared" ref="H12:H22" si="3">IF(C12=0,0,IF(C12&lt;=N$11,O$11,IF(C12&lt;=N$12,((C12*O$12-Q$12)/C12),IF(C12&lt;=N$13,((C12*O$13-Q$13)/C12),IF(C12&lt;=N$14,((C12*O$14-Q$14)/C12),IF(C12&lt;=N$15,((C12*O$15-Q$15)/C12),IF(C12&lt;=N$16,((C12*O$16-Q$16)/C12),0)))))))</f>
        <v>0</v>
      </c>
      <c r="I12" s="36">
        <f t="shared" ref="I12:I22" si="4">IF(C12=0,0,IF(C12&lt;=N$11,O$11*P$11,IF(C12&lt;=N$12,((C12*O$12-Q$12)/C12*(P$12)),IF(C12&lt;=N$13,((C12*O$13-Q$13)/C12*(P$13)),IF(C12&lt;=N$14,((C12*O$14-Q$14)/C12*(P$14)),IF(C12&lt;=N$15,((C12*O$15-Q$15)/C12*(P$15)),IF(C12&lt;=N$16,((C12*O$16-Q$16)/C12*(P$16)),0)))))))</f>
        <v>0</v>
      </c>
      <c r="J12" s="10">
        <f t="shared" si="1"/>
        <v>0</v>
      </c>
      <c r="K12" s="10">
        <f t="shared" ref="K12:K21" si="5">IF(C12&lt;=N$11,(F12*O$11)*P$11,IF(C12&lt;=N$12,(((C12*O$12-Q$12)/C12)*F12)*P$12,IF(C12&lt;=N$13,(((C12*O$13-Q$13)/C12)*F$11)*P$13,IF(C12&lt;=N$14,(((C12*O$14-Q$14)/C12)*F12)*P$14,IF(C12&lt;=N$15,(((C12*O$15-Q$15)/C12)*F12)*P$15,IF(C12&lt;=N$16,(((C12*O$16-Q$16)/C12)*F12)*P$16,0))))))</f>
        <v>0</v>
      </c>
      <c r="L12" s="10">
        <f t="shared" si="2"/>
        <v>0</v>
      </c>
      <c r="N12" s="26">
        <v>360000</v>
      </c>
      <c r="O12" s="27">
        <v>0.18</v>
      </c>
      <c r="P12" s="37">
        <f t="shared" ref="P12:P16" si="6">SUM(G29:K29)</f>
        <v>0.83000000000000007</v>
      </c>
      <c r="Q12" s="26">
        <v>4500</v>
      </c>
    </row>
    <row r="13" spans="1:17" x14ac:dyDescent="0.25">
      <c r="A13" s="21">
        <v>3</v>
      </c>
      <c r="B13" s="20">
        <f t="shared" ref="B13:B22" si="7">B12+31</f>
        <v>42432</v>
      </c>
      <c r="C13" s="10">
        <v>0</v>
      </c>
      <c r="D13" s="20">
        <f t="shared" ref="D13:D22" si="8">D12+31</f>
        <v>42798</v>
      </c>
      <c r="E13" s="7"/>
      <c r="F13" s="7">
        <v>0</v>
      </c>
      <c r="G13" s="10">
        <f t="shared" si="0"/>
        <v>0</v>
      </c>
      <c r="H13" s="36">
        <f t="shared" si="3"/>
        <v>0</v>
      </c>
      <c r="I13" s="36">
        <f t="shared" si="4"/>
        <v>0</v>
      </c>
      <c r="J13" s="10">
        <f t="shared" si="1"/>
        <v>0</v>
      </c>
      <c r="K13" s="10">
        <f t="shared" si="5"/>
        <v>0</v>
      </c>
      <c r="L13" s="10">
        <f t="shared" si="2"/>
        <v>0</v>
      </c>
      <c r="N13" s="26">
        <v>720000</v>
      </c>
      <c r="O13" s="28">
        <v>0.19500000000000001</v>
      </c>
      <c r="P13" s="37">
        <f t="shared" si="6"/>
        <v>0.81</v>
      </c>
      <c r="Q13" s="26">
        <v>9900</v>
      </c>
    </row>
    <row r="14" spans="1:17" x14ac:dyDescent="0.25">
      <c r="A14" s="21">
        <v>4</v>
      </c>
      <c r="B14" s="20">
        <f t="shared" si="7"/>
        <v>42463</v>
      </c>
      <c r="C14" s="10">
        <v>0</v>
      </c>
      <c r="D14" s="20">
        <f t="shared" si="8"/>
        <v>42829</v>
      </c>
      <c r="E14" s="7"/>
      <c r="F14" s="7">
        <v>0</v>
      </c>
      <c r="G14" s="10">
        <f t="shared" si="0"/>
        <v>0</v>
      </c>
      <c r="H14" s="36">
        <f t="shared" si="3"/>
        <v>0</v>
      </c>
      <c r="I14" s="36">
        <f t="shared" si="4"/>
        <v>0</v>
      </c>
      <c r="J14" s="10">
        <f t="shared" si="1"/>
        <v>0</v>
      </c>
      <c r="K14" s="10">
        <f t="shared" si="5"/>
        <v>0</v>
      </c>
      <c r="L14" s="10">
        <f t="shared" si="2"/>
        <v>0</v>
      </c>
      <c r="N14" s="26">
        <v>1800000</v>
      </c>
      <c r="O14" s="28">
        <v>0.20499999999999999</v>
      </c>
      <c r="P14" s="37">
        <f t="shared" si="6"/>
        <v>0.79</v>
      </c>
      <c r="Q14" s="26">
        <v>17100</v>
      </c>
    </row>
    <row r="15" spans="1:17" x14ac:dyDescent="0.25">
      <c r="A15" s="21">
        <v>5</v>
      </c>
      <c r="B15" s="20">
        <f t="shared" si="7"/>
        <v>42494</v>
      </c>
      <c r="C15" s="10">
        <v>0</v>
      </c>
      <c r="D15" s="20">
        <f t="shared" si="8"/>
        <v>42860</v>
      </c>
      <c r="E15" s="7"/>
      <c r="F15" s="7">
        <v>0</v>
      </c>
      <c r="G15" s="10">
        <f t="shared" si="0"/>
        <v>0</v>
      </c>
      <c r="H15" s="36">
        <f t="shared" si="3"/>
        <v>0</v>
      </c>
      <c r="I15" s="36">
        <f t="shared" si="4"/>
        <v>0</v>
      </c>
      <c r="J15" s="10">
        <f t="shared" si="1"/>
        <v>0</v>
      </c>
      <c r="K15" s="10">
        <f t="shared" si="5"/>
        <v>0</v>
      </c>
      <c r="L15" s="10">
        <f t="shared" si="2"/>
        <v>0</v>
      </c>
      <c r="N15" s="26">
        <v>3600000</v>
      </c>
      <c r="O15" s="28">
        <v>0.23</v>
      </c>
      <c r="P15" s="37">
        <f t="shared" si="6"/>
        <v>0.7649999999999999</v>
      </c>
      <c r="Q15" s="26">
        <v>62100</v>
      </c>
    </row>
    <row r="16" spans="1:17" x14ac:dyDescent="0.25">
      <c r="A16" s="21">
        <v>6</v>
      </c>
      <c r="B16" s="20">
        <f t="shared" si="7"/>
        <v>42525</v>
      </c>
      <c r="C16" s="10">
        <v>0</v>
      </c>
      <c r="D16" s="20">
        <f t="shared" si="8"/>
        <v>42891</v>
      </c>
      <c r="E16" s="7"/>
      <c r="F16" s="7">
        <v>0</v>
      </c>
      <c r="G16" s="10">
        <f>E16+F16</f>
        <v>0</v>
      </c>
      <c r="H16" s="36">
        <f t="shared" si="3"/>
        <v>0</v>
      </c>
      <c r="I16" s="36">
        <f t="shared" si="4"/>
        <v>0</v>
      </c>
      <c r="J16" s="10">
        <f t="shared" si="1"/>
        <v>0</v>
      </c>
      <c r="K16" s="10">
        <f t="shared" si="5"/>
        <v>0</v>
      </c>
      <c r="L16" s="10">
        <f t="shared" si="2"/>
        <v>0</v>
      </c>
      <c r="N16" s="26">
        <v>4800000</v>
      </c>
      <c r="O16" s="28">
        <v>0.30499999999999999</v>
      </c>
      <c r="P16" s="37">
        <f t="shared" si="6"/>
        <v>1</v>
      </c>
      <c r="Q16" s="26">
        <v>540000</v>
      </c>
    </row>
    <row r="17" spans="1:20" x14ac:dyDescent="0.25">
      <c r="A17" s="21">
        <v>7</v>
      </c>
      <c r="B17" s="20">
        <f t="shared" si="7"/>
        <v>42556</v>
      </c>
      <c r="C17" s="10">
        <v>0</v>
      </c>
      <c r="D17" s="20">
        <f t="shared" si="8"/>
        <v>42922</v>
      </c>
      <c r="E17" s="7"/>
      <c r="F17" s="7">
        <v>0</v>
      </c>
      <c r="G17" s="10">
        <f>E17+F17</f>
        <v>0</v>
      </c>
      <c r="H17" s="36">
        <f t="shared" si="3"/>
        <v>0</v>
      </c>
      <c r="I17" s="36">
        <f t="shared" si="4"/>
        <v>0</v>
      </c>
      <c r="J17" s="10">
        <f t="shared" si="1"/>
        <v>0</v>
      </c>
      <c r="K17" s="10">
        <f t="shared" si="5"/>
        <v>0</v>
      </c>
      <c r="L17" s="10">
        <f t="shared" si="2"/>
        <v>0</v>
      </c>
    </row>
    <row r="18" spans="1:20" x14ac:dyDescent="0.25">
      <c r="A18" s="21">
        <v>8</v>
      </c>
      <c r="B18" s="20">
        <f t="shared" si="7"/>
        <v>42587</v>
      </c>
      <c r="C18" s="10">
        <v>0</v>
      </c>
      <c r="D18" s="20">
        <f t="shared" si="8"/>
        <v>42953</v>
      </c>
      <c r="E18" s="7"/>
      <c r="F18" s="7">
        <v>0</v>
      </c>
      <c r="G18" s="10">
        <f t="shared" si="0"/>
        <v>0</v>
      </c>
      <c r="H18" s="36">
        <f t="shared" si="3"/>
        <v>0</v>
      </c>
      <c r="I18" s="36">
        <f t="shared" si="4"/>
        <v>0</v>
      </c>
      <c r="J18" s="10">
        <f t="shared" si="1"/>
        <v>0</v>
      </c>
      <c r="K18" s="10">
        <f t="shared" si="5"/>
        <v>0</v>
      </c>
      <c r="L18" s="10">
        <f t="shared" si="2"/>
        <v>0</v>
      </c>
      <c r="N18" s="78"/>
      <c r="O18" s="78"/>
      <c r="P18" s="78"/>
      <c r="Q18" s="78"/>
      <c r="R18" s="78"/>
      <c r="S18" s="78"/>
      <c r="T18" s="78"/>
    </row>
    <row r="19" spans="1:20" x14ac:dyDescent="0.25">
      <c r="A19" s="21">
        <v>9</v>
      </c>
      <c r="B19" s="20">
        <f t="shared" si="7"/>
        <v>42618</v>
      </c>
      <c r="C19" s="10">
        <v>0</v>
      </c>
      <c r="D19" s="20">
        <f t="shared" si="8"/>
        <v>42984</v>
      </c>
      <c r="E19" s="7"/>
      <c r="F19" s="7">
        <v>0</v>
      </c>
      <c r="G19" s="10">
        <f t="shared" si="0"/>
        <v>0</v>
      </c>
      <c r="H19" s="36">
        <f t="shared" si="3"/>
        <v>0</v>
      </c>
      <c r="I19" s="36">
        <f t="shared" si="4"/>
        <v>0</v>
      </c>
      <c r="J19" s="10">
        <f t="shared" si="1"/>
        <v>0</v>
      </c>
      <c r="K19" s="10">
        <f t="shared" si="5"/>
        <v>0</v>
      </c>
      <c r="L19" s="10">
        <f t="shared" si="2"/>
        <v>0</v>
      </c>
      <c r="N19" s="33"/>
      <c r="O19" s="35"/>
      <c r="P19" s="35"/>
      <c r="Q19" s="35"/>
      <c r="R19" s="35"/>
      <c r="S19" s="35"/>
      <c r="T19" s="35"/>
    </row>
    <row r="20" spans="1:20" x14ac:dyDescent="0.25">
      <c r="A20" s="21">
        <v>10</v>
      </c>
      <c r="B20" s="20">
        <f t="shared" si="7"/>
        <v>42649</v>
      </c>
      <c r="C20" s="10">
        <v>0</v>
      </c>
      <c r="D20" s="20">
        <f t="shared" si="8"/>
        <v>43015</v>
      </c>
      <c r="E20" s="7"/>
      <c r="F20" s="7">
        <v>0</v>
      </c>
      <c r="G20" s="10">
        <f t="shared" si="0"/>
        <v>0</v>
      </c>
      <c r="H20" s="36">
        <f t="shared" si="3"/>
        <v>0</v>
      </c>
      <c r="I20" s="36">
        <f t="shared" si="4"/>
        <v>0</v>
      </c>
      <c r="J20" s="10">
        <f t="shared" si="1"/>
        <v>0</v>
      </c>
      <c r="K20" s="10">
        <f t="shared" si="5"/>
        <v>0</v>
      </c>
      <c r="L20" s="10">
        <f t="shared" si="2"/>
        <v>0</v>
      </c>
      <c r="N20" s="35"/>
      <c r="O20" s="34"/>
      <c r="P20" s="34"/>
      <c r="Q20" s="34"/>
      <c r="R20" s="34"/>
      <c r="S20" s="34"/>
      <c r="T20" s="34"/>
    </row>
    <row r="21" spans="1:20" x14ac:dyDescent="0.25">
      <c r="A21" s="21">
        <v>11</v>
      </c>
      <c r="B21" s="20">
        <f t="shared" si="7"/>
        <v>42680</v>
      </c>
      <c r="C21" s="10">
        <v>0</v>
      </c>
      <c r="D21" s="20">
        <f t="shared" si="8"/>
        <v>43046</v>
      </c>
      <c r="E21" s="7"/>
      <c r="F21" s="7">
        <v>0</v>
      </c>
      <c r="G21" s="10">
        <f t="shared" si="0"/>
        <v>0</v>
      </c>
      <c r="H21" s="36">
        <f t="shared" si="3"/>
        <v>0</v>
      </c>
      <c r="I21" s="36">
        <f t="shared" si="4"/>
        <v>0</v>
      </c>
      <c r="J21" s="10">
        <f t="shared" si="1"/>
        <v>0</v>
      </c>
      <c r="K21" s="10">
        <f t="shared" si="5"/>
        <v>0</v>
      </c>
      <c r="L21" s="10">
        <f t="shared" si="2"/>
        <v>0</v>
      </c>
      <c r="N21" s="35"/>
      <c r="O21" s="34"/>
      <c r="P21" s="34"/>
      <c r="Q21" s="34"/>
      <c r="R21" s="34"/>
      <c r="S21" s="34"/>
      <c r="T21" s="34"/>
    </row>
    <row r="22" spans="1:20" x14ac:dyDescent="0.25">
      <c r="A22" s="21">
        <v>12</v>
      </c>
      <c r="B22" s="20">
        <f t="shared" si="7"/>
        <v>42711</v>
      </c>
      <c r="C22" s="10">
        <v>0</v>
      </c>
      <c r="D22" s="20">
        <f t="shared" si="8"/>
        <v>43077</v>
      </c>
      <c r="E22" s="7"/>
      <c r="F22" s="7">
        <v>0</v>
      </c>
      <c r="G22" s="10">
        <f t="shared" si="0"/>
        <v>0</v>
      </c>
      <c r="H22" s="36">
        <f t="shared" si="3"/>
        <v>0</v>
      </c>
      <c r="I22" s="36">
        <f t="shared" si="4"/>
        <v>0</v>
      </c>
      <c r="J22" s="10">
        <f>IF(C22&lt;=N$11,E22*O$11,IF(C22&lt;=N$12,((C22*O$12-Q$12)/C22)*G22,IF(C22&lt;=N$13,((C22*O$13-Q$13)/C22)*G22,IF(C22&lt;=N$14,((C22*O$14-Q$14)/C22)*G22,IF(C22&lt;=N$15,((C22*O$15-Q$15)/C22)*G22,IF(C22&lt;=N$16,((C22*O$16-Q$16)/C22)*G22,0))))))</f>
        <v>0</v>
      </c>
      <c r="K22" s="10">
        <f>IF(C22&lt;=N$11,F22*O$11,IF(C22&lt;=N$12,((C22*O$12-Q$12)/C22)*F22,IF(C22&lt;=N$13,((C22*O$13-Q$13)/C22)*F22,IF(C22&lt;=N$14,((C22*O$14-Q$14)/C22)*F22,IF(C22&lt;=N$15,((C22*O$15-Q$15)/C22)*F22,IF(C22&lt;=N$16,((C22*O$16-Q$16)/C22)*F22,0))))))</f>
        <v>0</v>
      </c>
      <c r="L22" s="10">
        <f t="shared" si="2"/>
        <v>0</v>
      </c>
      <c r="N22" s="35"/>
      <c r="O22" s="34"/>
      <c r="P22" s="34"/>
      <c r="Q22" s="34"/>
      <c r="R22" s="34"/>
      <c r="S22" s="34"/>
      <c r="T22" s="34"/>
    </row>
    <row r="23" spans="1:20" ht="15.75" x14ac:dyDescent="0.25">
      <c r="A23" s="86" t="s">
        <v>7</v>
      </c>
      <c r="B23" s="86"/>
      <c r="C23" s="6">
        <f>SUM(C11:C22)</f>
        <v>0</v>
      </c>
      <c r="D23" s="16"/>
      <c r="E23" s="6">
        <f t="shared" ref="E23:L23" si="9">SUM(E11:E22)</f>
        <v>0</v>
      </c>
      <c r="F23" s="6">
        <f t="shared" si="9"/>
        <v>0</v>
      </c>
      <c r="G23" s="6">
        <f t="shared" si="9"/>
        <v>0</v>
      </c>
      <c r="H23" s="6"/>
      <c r="I23" s="6"/>
      <c r="J23" s="6">
        <f t="shared" si="9"/>
        <v>0</v>
      </c>
      <c r="K23" s="6">
        <f t="shared" si="9"/>
        <v>0</v>
      </c>
      <c r="L23" s="6">
        <f t="shared" si="9"/>
        <v>0</v>
      </c>
      <c r="N23" s="35"/>
      <c r="O23" s="34"/>
      <c r="P23" s="34"/>
      <c r="Q23" s="34"/>
      <c r="R23" s="34"/>
      <c r="S23" s="34"/>
      <c r="T23" s="34"/>
    </row>
    <row r="24" spans="1:20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4"/>
      <c r="L24" s="3"/>
      <c r="N24" s="35"/>
      <c r="O24" s="34"/>
      <c r="P24" s="34"/>
      <c r="Q24" s="34"/>
      <c r="R24" s="34"/>
      <c r="S24" s="34"/>
      <c r="T24" s="34"/>
    </row>
    <row r="25" spans="1:20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4"/>
      <c r="L25" s="3"/>
      <c r="N25" s="35"/>
      <c r="O25" s="34"/>
      <c r="P25" s="34"/>
      <c r="Q25" s="34"/>
      <c r="R25" s="34"/>
      <c r="S25" s="34"/>
      <c r="T25" s="34"/>
    </row>
    <row r="26" spans="1:20" ht="17.25" customHeight="1" thickBot="1" x14ac:dyDescent="0.3">
      <c r="A26" s="81" t="s">
        <v>8</v>
      </c>
      <c r="B26" s="82"/>
      <c r="C26" s="82"/>
      <c r="D26" s="83"/>
      <c r="E26" s="3"/>
      <c r="F26" s="84" t="s">
        <v>24</v>
      </c>
      <c r="G26" s="85"/>
      <c r="H26" s="85"/>
      <c r="I26" s="85"/>
      <c r="J26" s="85"/>
      <c r="K26" s="85"/>
      <c r="L26" s="85"/>
      <c r="M26" s="85"/>
      <c r="N26" s="85"/>
    </row>
    <row r="27" spans="1:20" ht="15.75" thickBot="1" x14ac:dyDescent="0.3">
      <c r="A27" s="73" t="s">
        <v>9</v>
      </c>
      <c r="B27" s="74"/>
      <c r="C27" s="75"/>
      <c r="D27" s="22">
        <f>+G23</f>
        <v>0</v>
      </c>
      <c r="E27" s="11"/>
      <c r="F27" s="31" t="s">
        <v>34</v>
      </c>
      <c r="G27" s="29" t="s">
        <v>13</v>
      </c>
      <c r="H27" s="30" t="s">
        <v>14</v>
      </c>
      <c r="I27" s="30" t="s">
        <v>25</v>
      </c>
      <c r="J27" s="30" t="s">
        <v>26</v>
      </c>
      <c r="K27" s="30" t="s">
        <v>27</v>
      </c>
      <c r="L27" s="30" t="s">
        <v>42</v>
      </c>
      <c r="M27" s="30"/>
      <c r="N27" s="30"/>
    </row>
    <row r="28" spans="1:20" ht="15.75" thickBot="1" x14ac:dyDescent="0.3">
      <c r="A28" s="69" t="s">
        <v>10</v>
      </c>
      <c r="B28" s="70"/>
      <c r="C28" s="71"/>
      <c r="D28" s="23">
        <f>J23</f>
        <v>0</v>
      </c>
      <c r="E28" s="11"/>
      <c r="F28" s="31" t="s">
        <v>28</v>
      </c>
      <c r="G28" s="32">
        <v>0.25</v>
      </c>
      <c r="H28" s="32">
        <v>0.15</v>
      </c>
      <c r="I28" s="32">
        <v>0.14099999999999999</v>
      </c>
      <c r="J28" s="32">
        <v>3.0499999999999999E-2</v>
      </c>
      <c r="K28" s="32">
        <v>0.28849999999999998</v>
      </c>
      <c r="L28" s="32">
        <v>0.14000000000000001</v>
      </c>
      <c r="M28" s="32"/>
      <c r="N28" s="32"/>
    </row>
    <row r="29" spans="1:20" ht="15.75" thickBot="1" x14ac:dyDescent="0.3">
      <c r="A29" s="69" t="s">
        <v>42</v>
      </c>
      <c r="B29" s="70"/>
      <c r="C29" s="71"/>
      <c r="D29" s="24">
        <f>D27*5%</f>
        <v>0</v>
      </c>
      <c r="E29" s="11"/>
      <c r="F29" s="31" t="s">
        <v>29</v>
      </c>
      <c r="G29" s="32">
        <v>0.23</v>
      </c>
      <c r="H29" s="32">
        <v>0.15</v>
      </c>
      <c r="I29" s="32">
        <v>0.14099999999999999</v>
      </c>
      <c r="J29" s="32">
        <v>3.0499999999999999E-2</v>
      </c>
      <c r="K29" s="32">
        <v>0.27850000000000003</v>
      </c>
      <c r="L29" s="32">
        <v>0.17</v>
      </c>
      <c r="M29" s="32"/>
      <c r="N29" s="32"/>
    </row>
    <row r="30" spans="1:20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0.24</v>
      </c>
      <c r="H30" s="32">
        <v>0.15</v>
      </c>
      <c r="I30" s="32">
        <v>0.1492</v>
      </c>
      <c r="J30" s="32">
        <v>3.2300000000000002E-2</v>
      </c>
      <c r="K30" s="32">
        <v>0.23849999999999999</v>
      </c>
      <c r="L30" s="32">
        <v>0.19</v>
      </c>
      <c r="M30" s="32"/>
      <c r="N30" s="32"/>
    </row>
    <row r="31" spans="1:20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0.21</v>
      </c>
      <c r="H31" s="32">
        <v>0.15</v>
      </c>
      <c r="I31" s="32">
        <v>0.15740000000000001</v>
      </c>
      <c r="J31" s="32">
        <v>3.4099999999999998E-2</v>
      </c>
      <c r="K31" s="32">
        <v>0.23849999999999999</v>
      </c>
      <c r="L31" s="32">
        <v>0.21</v>
      </c>
      <c r="M31" s="32"/>
      <c r="N31" s="32"/>
    </row>
    <row r="32" spans="1:20" ht="15.75" thickBot="1" x14ac:dyDescent="0.3">
      <c r="A32" s="69" t="s">
        <v>13</v>
      </c>
      <c r="B32" s="70"/>
      <c r="C32" s="71"/>
      <c r="D32" s="24">
        <f>((D27*32%)*15%)</f>
        <v>0</v>
      </c>
      <c r="E32" s="11"/>
      <c r="F32" s="31" t="s">
        <v>32</v>
      </c>
      <c r="G32" s="32">
        <v>0.23</v>
      </c>
      <c r="H32" s="32">
        <v>0.125</v>
      </c>
      <c r="I32" s="32">
        <v>0.14099999999999999</v>
      </c>
      <c r="J32" s="32">
        <v>3.0499999999999999E-2</v>
      </c>
      <c r="K32" s="32">
        <v>0.23849999999999999</v>
      </c>
      <c r="L32" s="32">
        <v>0.23499999999999999</v>
      </c>
      <c r="M32" s="32"/>
      <c r="N32" s="32"/>
    </row>
    <row r="33" spans="1:14" ht="15.75" thickBot="1" x14ac:dyDescent="0.3">
      <c r="A33" s="69" t="s">
        <v>14</v>
      </c>
      <c r="B33" s="70"/>
      <c r="C33" s="71"/>
      <c r="D33" s="23">
        <f>((D27*32%)*9%)</f>
        <v>0</v>
      </c>
      <c r="E33" s="11"/>
      <c r="F33" s="31" t="s">
        <v>33</v>
      </c>
      <c r="G33" s="32">
        <v>0.35</v>
      </c>
      <c r="H33" s="32">
        <v>0.155</v>
      </c>
      <c r="I33" s="32">
        <v>0.16439999999999999</v>
      </c>
      <c r="J33" s="32">
        <v>3.56E-2</v>
      </c>
      <c r="K33" s="32">
        <v>0.29499999999999998</v>
      </c>
      <c r="L33" s="32">
        <v>0</v>
      </c>
      <c r="M33" s="32"/>
      <c r="N33" s="32"/>
    </row>
    <row r="34" spans="1:14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"/>
      <c r="H34" s="1"/>
      <c r="I34" s="1"/>
    </row>
    <row r="35" spans="1:14" x14ac:dyDescent="0.25">
      <c r="A35" s="8"/>
      <c r="B35" s="8"/>
      <c r="C35" s="8"/>
      <c r="D35" s="9"/>
      <c r="E35" s="9"/>
      <c r="F35" s="9"/>
      <c r="G35" s="1"/>
      <c r="H35" s="1"/>
      <c r="I35" s="1"/>
    </row>
    <row r="36" spans="1:14" x14ac:dyDescent="0.25">
      <c r="A36" s="8"/>
      <c r="B36" s="8"/>
      <c r="C36" s="8"/>
      <c r="D36" s="9"/>
      <c r="E36" s="9"/>
      <c r="F36" s="9"/>
      <c r="G36" s="9"/>
      <c r="H36" s="9"/>
      <c r="I36" s="9"/>
    </row>
    <row r="37" spans="1:14" x14ac:dyDescent="0.25">
      <c r="A37" s="17"/>
      <c r="B37" s="8"/>
      <c r="C37" s="8"/>
      <c r="D37" s="9"/>
      <c r="E37" s="9"/>
      <c r="F37" s="9"/>
      <c r="G37" s="9"/>
      <c r="H37" s="9"/>
      <c r="I37" s="9"/>
    </row>
    <row r="38" spans="1:14" x14ac:dyDescent="0.25">
      <c r="A38" s="17"/>
      <c r="B38" s="8"/>
      <c r="C38" s="8"/>
      <c r="D38" s="9"/>
      <c r="E38" s="9"/>
      <c r="F38" s="9"/>
      <c r="G38" s="9"/>
      <c r="H38" s="9"/>
      <c r="I38" s="9"/>
    </row>
    <row r="39" spans="1:14" x14ac:dyDescent="0.25">
      <c r="A39" s="17"/>
      <c r="B39" s="8"/>
      <c r="C39" s="8"/>
      <c r="D39" s="9"/>
      <c r="E39" s="9"/>
      <c r="F39" s="9"/>
      <c r="G39" s="9"/>
      <c r="H39" s="9"/>
      <c r="I39" s="9"/>
    </row>
  </sheetData>
  <mergeCells count="14">
    <mergeCell ref="A6:J6"/>
    <mergeCell ref="A8:J8"/>
    <mergeCell ref="N18:T18"/>
    <mergeCell ref="A23:B23"/>
    <mergeCell ref="A26:D26"/>
    <mergeCell ref="F26:N26"/>
    <mergeCell ref="A33:C33"/>
    <mergeCell ref="A34:C34"/>
    <mergeCell ref="A27:C27"/>
    <mergeCell ref="A28:C28"/>
    <mergeCell ref="A29:C29"/>
    <mergeCell ref="A30:C30"/>
    <mergeCell ref="A31:C31"/>
    <mergeCell ref="A32:C32"/>
  </mergeCells>
  <pageMargins left="0.51181102362204722" right="0.51181102362204722" top="0.78740157480314965" bottom="0.78740157480314965" header="0.31496062992125984" footer="0.31496062992125984"/>
  <pageSetup paperSize="9" scale="34" orientation="landscape" r:id="rId1"/>
  <ignoredErrors>
    <ignoredError sqref="P11:P1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9"/>
  <sheetViews>
    <sheetView topLeftCell="A6" workbookViewId="0">
      <selection activeCell="E11" sqref="E11"/>
    </sheetView>
  </sheetViews>
  <sheetFormatPr defaultRowHeight="15" x14ac:dyDescent="0.25"/>
  <cols>
    <col min="1" max="1" width="8.140625" customWidth="1"/>
    <col min="2" max="2" width="14.85546875" customWidth="1"/>
    <col min="3" max="3" width="24" bestFit="1" customWidth="1"/>
    <col min="4" max="4" width="12.85546875" customWidth="1"/>
    <col min="5" max="5" width="19.140625" bestFit="1" customWidth="1"/>
    <col min="6" max="7" width="25.7109375" customWidth="1"/>
    <col min="8" max="8" width="20.7109375" customWidth="1"/>
    <col min="9" max="9" width="18.5703125" customWidth="1"/>
    <col min="10" max="11" width="18.85546875" customWidth="1"/>
    <col min="12" max="13" width="17.140625" bestFit="1" customWidth="1"/>
    <col min="14" max="14" width="17.140625" customWidth="1"/>
    <col min="15" max="15" width="19.140625" customWidth="1"/>
    <col min="17" max="17" width="29.140625" customWidth="1"/>
    <col min="18" max="18" width="9.28515625" bestFit="1" customWidth="1"/>
    <col min="19" max="20" width="11.85546875" customWidth="1"/>
    <col min="21" max="21" width="17.28515625" bestFit="1" customWidth="1"/>
  </cols>
  <sheetData>
    <row r="1" spans="1:21" ht="18" x14ac:dyDescent="0.25">
      <c r="A1" s="12"/>
      <c r="B1" s="12"/>
      <c r="C1" s="12"/>
      <c r="D1" s="12" t="s">
        <v>21</v>
      </c>
      <c r="E1" s="47"/>
      <c r="F1" s="47"/>
      <c r="G1" s="47"/>
      <c r="H1" s="47"/>
      <c r="I1" s="47"/>
      <c r="J1" s="47"/>
      <c r="K1" s="47"/>
      <c r="L1" s="47"/>
      <c r="M1" s="12"/>
      <c r="N1" s="12"/>
      <c r="O1" s="12"/>
    </row>
    <row r="2" spans="1:21" x14ac:dyDescent="0.25">
      <c r="A2" s="1"/>
      <c r="B2" s="1"/>
      <c r="C2" s="1"/>
      <c r="D2" s="13" t="s">
        <v>22</v>
      </c>
      <c r="E2" s="55"/>
      <c r="F2" s="55"/>
      <c r="G2" s="55"/>
      <c r="H2" s="55"/>
      <c r="I2" s="55"/>
      <c r="J2" s="55"/>
      <c r="K2" s="55"/>
      <c r="L2" s="55"/>
      <c r="M2" s="19"/>
      <c r="N2" s="19"/>
      <c r="O2" s="19"/>
    </row>
    <row r="3" spans="1:21" x14ac:dyDescent="0.25">
      <c r="A3" s="1"/>
      <c r="B3" s="13"/>
      <c r="C3" s="13"/>
      <c r="D3" s="13" t="s">
        <v>0</v>
      </c>
      <c r="E3" s="55"/>
      <c r="F3" s="55"/>
      <c r="G3" s="55"/>
      <c r="H3" s="55"/>
      <c r="I3" s="55"/>
      <c r="J3" s="55"/>
      <c r="K3" s="55"/>
      <c r="L3" s="55"/>
      <c r="M3" s="13"/>
      <c r="N3" s="13"/>
      <c r="O3" s="13"/>
    </row>
    <row r="4" spans="1:21" x14ac:dyDescent="0.25">
      <c r="A4" s="1"/>
      <c r="B4" s="1"/>
      <c r="C4" s="1"/>
      <c r="D4" s="13" t="s">
        <v>48</v>
      </c>
      <c r="E4" s="55"/>
      <c r="F4" s="55"/>
      <c r="G4" s="55"/>
      <c r="H4" s="55"/>
      <c r="I4" s="55"/>
      <c r="J4" s="55"/>
      <c r="K4" s="55"/>
      <c r="L4" s="55"/>
      <c r="M4" s="13"/>
      <c r="N4" s="13"/>
      <c r="O4" s="13"/>
    </row>
    <row r="5" spans="1:21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21" ht="18" x14ac:dyDescent="0.25">
      <c r="A6" s="76" t="s">
        <v>74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12"/>
      <c r="N6" s="12"/>
      <c r="O6" s="12"/>
    </row>
    <row r="7" spans="1:21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1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15"/>
      <c r="N8" s="15"/>
      <c r="O8" s="15"/>
    </row>
    <row r="9" spans="1:21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5"/>
      <c r="N9" s="5"/>
      <c r="O9" s="5"/>
    </row>
    <row r="10" spans="1:21" ht="51" x14ac:dyDescent="0.25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67</v>
      </c>
      <c r="F10" s="14" t="s">
        <v>68</v>
      </c>
      <c r="G10" s="14" t="s">
        <v>75</v>
      </c>
      <c r="H10" s="14" t="s">
        <v>5</v>
      </c>
      <c r="I10" s="14" t="s">
        <v>36</v>
      </c>
      <c r="J10" s="14" t="s">
        <v>37</v>
      </c>
      <c r="K10" s="14" t="s">
        <v>76</v>
      </c>
      <c r="L10" s="14" t="s">
        <v>16</v>
      </c>
      <c r="M10" s="14" t="s">
        <v>17</v>
      </c>
      <c r="N10" s="14" t="s">
        <v>77</v>
      </c>
      <c r="O10" s="14" t="s">
        <v>6</v>
      </c>
      <c r="Q10" s="14" t="s">
        <v>18</v>
      </c>
      <c r="R10" s="14" t="s">
        <v>19</v>
      </c>
      <c r="S10" s="14" t="s">
        <v>78</v>
      </c>
      <c r="T10" s="14" t="s">
        <v>79</v>
      </c>
      <c r="U10" s="14" t="s">
        <v>20</v>
      </c>
    </row>
    <row r="11" spans="1:21" ht="15.75" x14ac:dyDescent="0.25">
      <c r="A11" s="56">
        <v>1</v>
      </c>
      <c r="B11" s="57">
        <v>42736</v>
      </c>
      <c r="C11" s="58"/>
      <c r="D11" s="57">
        <v>43101</v>
      </c>
      <c r="E11" s="59"/>
      <c r="F11" s="59">
        <v>0</v>
      </c>
      <c r="G11" s="59">
        <v>0</v>
      </c>
      <c r="H11" s="58">
        <f>E11+F11+G11</f>
        <v>0</v>
      </c>
      <c r="I11" s="60">
        <f t="shared" ref="I11:I22" si="0">IF(C11=0,0,IF(C11&lt;=Q$11,R$11,IF(C11&lt;=Q$12,((C11*R$12-U$12)/C11),IF(C11&lt;=Q$13,((C11*R$13-U$13)/C11),IF(C11&lt;=Q$14,((C11*R$14-U$14)/C11),IF(C11&lt;=Q$15,((C11*R$15-U$15)/C11),IF(C11&lt;=Q$16,((C11*R$16-U$16)/C11),0)))))))</f>
        <v>0</v>
      </c>
      <c r="J11" s="60">
        <f t="shared" ref="J11:J22" si="1">IF(C11=0,0,IF(C11&lt;=Q$11,R$11*S$11,IF(C11&lt;=Q$12,((C11*R$12-U$12)/C11*(S$12)),IF(C11&lt;=Q$13,((C11*R$13-U$13)/C11*(S$13)),IF(C11&lt;=Q$14,((C11*R$14-U$14)/C11*(S$14)),IF(C11&lt;=Q$15,((C11*R$15-U$15)/C11*(S$15)),IF(C11&lt;=Q$16,((C11*R$16-U$16)/C11*(S$16)),0)))))))</f>
        <v>0</v>
      </c>
      <c r="K11" s="60">
        <f t="shared" ref="K11:K22" si="2">IF(C11=0,0,IF(C11&lt;=Q$11,R$11*S$11,
IF(C11&lt;=Q$12,((C11*R$12-U$12)/C11*(T$12)),
IF(C11&lt;=Q$13,((C11*R$13-U$13)/C11*(T$13)),
IF(C11&lt;=Q$14,((C11*R$14-U$14)/C11*(T$14)),
IF(C11&lt;=Q$15,((C11*R$15-U$15)/C11*(T$15)),
IF(C11&lt;=Q$16,((C11*R$16-U$16)/C11*(T$16)),0)))))))</f>
        <v>0</v>
      </c>
      <c r="L11" s="58">
        <f>IF(C11&lt;=Q$11,E11*R$11,IF(C11&lt;=Q$12,((C11*R$12-U$12)/C11)*E11,IF(C11&lt;=Q$13,((C11*R$13-U$13)/C11)*E11,IF(C11&lt;=Q$14,((C11*R$14-U$14)/C11)*E11,IF(C11&lt;=Q$15,((C11*R$15-U$15)/C11)*E11,IF(C11&lt;=Q$16,((C11*R$16-U$16)/C11)*E11,0))))))</f>
        <v>0</v>
      </c>
      <c r="M11" s="58">
        <f>IF(C11&lt;=Q$11,(F11*R$11)*S$11,
IF(C11&lt;=Q$12,(((C11*R$12-U$12)/C11)*F11)*S$12,
IF(C11&lt;=Q$13,(((C11*R$13-U$13)/C11)*F11)*S$13,
IF(C11&lt;=Q$14,(((C11*R$14-U$14)/C11)*F11)*S$14,
IF(C11&lt;=Q$15,(((C11*R$15-U$15)/C11)*F11)*S$15,
IF(C11&lt;=Q$16,(((C11*R$16-U$16)/C11)*F11)*S$16,0))))))</f>
        <v>0</v>
      </c>
      <c r="N11" s="58">
        <f>IF(C11&lt;=Q$11,(G11*R$11)*T$11,
IF(C11&lt;=Q$12,(((C11*R$12-U$12)/C11)*G11)*T$12,
IF(C11&lt;=Q$13,(((C11*R$13-U$13)/C11)*G11)*T$13,
IF(C11&lt;=Q$14,(((C11*R$14-U$14)/C11)*G11)*T$14,
IF(C11&lt;=Q$15,(((C11*R$15-U$15)/C11)*G11)*T$15,
IF(C11&lt;=Q$16,(((C11*R$16-U$16)/C11)*G11)*T$16,0)))))
)</f>
        <v>0</v>
      </c>
      <c r="O11" s="58">
        <f>L11+M11+N11</f>
        <v>0</v>
      </c>
      <c r="Q11" s="26">
        <v>180000</v>
      </c>
      <c r="R11" s="27">
        <v>0.04</v>
      </c>
      <c r="S11" s="28">
        <f>SUM(G28,H28,I28,J28,K28)</f>
        <v>0.65999999999999992</v>
      </c>
      <c r="T11" s="28">
        <f>SUM(G28:H28,K28)</f>
        <v>0.505</v>
      </c>
      <c r="U11" s="26">
        <v>0</v>
      </c>
    </row>
    <row r="12" spans="1:21" ht="15.75" x14ac:dyDescent="0.25">
      <c r="A12" s="56">
        <v>2</v>
      </c>
      <c r="B12" s="57">
        <f>B11+31</f>
        <v>42767</v>
      </c>
      <c r="C12" s="58">
        <v>0</v>
      </c>
      <c r="D12" s="57">
        <f>D11+31</f>
        <v>43132</v>
      </c>
      <c r="E12" s="59">
        <v>0</v>
      </c>
      <c r="F12" s="59">
        <v>0</v>
      </c>
      <c r="G12" s="59">
        <v>0</v>
      </c>
      <c r="H12" s="58">
        <f>E12+F12+G12</f>
        <v>0</v>
      </c>
      <c r="I12" s="60">
        <f t="shared" si="0"/>
        <v>0</v>
      </c>
      <c r="J12" s="60">
        <f t="shared" si="1"/>
        <v>0</v>
      </c>
      <c r="K12" s="60">
        <f t="shared" si="2"/>
        <v>0</v>
      </c>
      <c r="L12" s="58">
        <f t="shared" ref="L12:L22" si="3">IF(C12&lt;=Q$11,E12*R$11,IF(C12&lt;=Q$12,((C12*R$12-U$12)/C12)*E12,IF(C12&lt;=Q$13,((C12*R$13-U$13)/C12)*E12,IF(C12&lt;=Q$14,((C12*R$14-U$14)/C12)*E12,IF(C12&lt;=Q$15,((C12*R$15-U$15)/C12)*E12,IF(C12&lt;=Q$16,((C12*R$16-U$16)/C12)*E12,0))))))</f>
        <v>0</v>
      </c>
      <c r="M12" s="58">
        <f t="shared" ref="M12:M22" si="4">IF(C12&lt;=Q$11,(F12*R$11)*S$11,
IF(C12&lt;=Q$12,(((C12*R$12-U$12)/C12)*F12)*S$12,
IF(C12&lt;=Q$13,(((C12*R$13-U$13)/C12)*F12)*S$13,
IF(C12&lt;=Q$14,(((C12*R$14-U$14)/C12)*F12)*S$14,
IF(C12&lt;=Q$15,(((C12*R$15-U$15)/C12)*F12)*S$15,
IF(C12&lt;=Q$16,(((C12*R$16-U$16)/C12)*F12)*S$16,0))))))</f>
        <v>0</v>
      </c>
      <c r="N12" s="58">
        <f>IF(C12&lt;=Q$11,(G12*R$11)*T$11,
IF(C12&lt;=Q$12,(((C12*R$12-U$12)/C12)*G12)*T$12,
IF(C12&lt;=Q$13,(((C12*R$13-U$13)/C12)*G12)*T$13,
IF(C12&lt;=Q$14,(((C12*R$14-U$14)/C12)*G12)*T$14,
IF(C12&lt;=Q$15,(((C12*R$15-U$15)/C12)*G12)*T$15,
IF(C12&lt;=Q$16,(((C12*R$16-U$16)/C12)*G12)*T$16,0)))))
)</f>
        <v>0</v>
      </c>
      <c r="O12" s="58">
        <f>L12+M12+N12</f>
        <v>0</v>
      </c>
      <c r="Q12" s="26">
        <v>360000</v>
      </c>
      <c r="R12" s="28">
        <v>7.2999999999999995E-2</v>
      </c>
      <c r="S12" s="28">
        <f t="shared" ref="S12:S16" si="5">SUM(G29,H29,I29,J29,K29)</f>
        <v>0.65999999999999992</v>
      </c>
      <c r="T12" s="28">
        <f t="shared" ref="T12:T16" si="6">SUM(G29:H29,K29)</f>
        <v>0.505</v>
      </c>
      <c r="U12" s="26">
        <v>5940</v>
      </c>
    </row>
    <row r="13" spans="1:21" ht="15.75" x14ac:dyDescent="0.25">
      <c r="A13" s="56">
        <v>3</v>
      </c>
      <c r="B13" s="57">
        <f t="shared" ref="B13:B22" si="7">B12+31</f>
        <v>42798</v>
      </c>
      <c r="C13" s="58">
        <v>0</v>
      </c>
      <c r="D13" s="57">
        <f t="shared" ref="D13:D22" si="8">D12+31</f>
        <v>43163</v>
      </c>
      <c r="E13" s="59">
        <v>0</v>
      </c>
      <c r="F13" s="59">
        <v>0</v>
      </c>
      <c r="G13" s="59"/>
      <c r="H13" s="58">
        <f t="shared" ref="H13:H22" si="9">E13+F13+G13</f>
        <v>0</v>
      </c>
      <c r="I13" s="60">
        <f t="shared" si="0"/>
        <v>0</v>
      </c>
      <c r="J13" s="60">
        <f t="shared" si="1"/>
        <v>0</v>
      </c>
      <c r="K13" s="60">
        <f t="shared" si="2"/>
        <v>0</v>
      </c>
      <c r="L13" s="58">
        <f t="shared" si="3"/>
        <v>0</v>
      </c>
      <c r="M13" s="58">
        <f t="shared" si="4"/>
        <v>0</v>
      </c>
      <c r="N13" s="58">
        <f t="shared" ref="N13:N22" si="10">IF(C13&lt;=Q$11,(G13*R$11)*T$11,
IF(C13&lt;=Q$12,(((C13*R$12-U$12)/C13)*G13)*T$12,
IF(C13&lt;=Q$13,(((C13*R$13-U$13)/C13)*G13)*T$13,
IF(C13&lt;=Q$14,(((C13*R$14-U$14)/C13)*G13)*T$14,
IF(C13&lt;=Q$15,(((C13*R$15-U$15)/C13)*G13)*T$15,
IF(C13&lt;=Q$16,(((C13*R$16-U$16)/C13)*G13)*T$16,0)))))
)</f>
        <v>0</v>
      </c>
      <c r="O13" s="58">
        <f t="shared" ref="O13:O22" si="11">L13+M13+N13</f>
        <v>0</v>
      </c>
      <c r="Q13" s="26">
        <v>720000</v>
      </c>
      <c r="R13" s="28">
        <v>9.5000000000000001E-2</v>
      </c>
      <c r="S13" s="28">
        <f t="shared" si="5"/>
        <v>0.66500000000000004</v>
      </c>
      <c r="T13" s="28">
        <f t="shared" si="6"/>
        <v>0.51</v>
      </c>
      <c r="U13" s="26">
        <v>13860</v>
      </c>
    </row>
    <row r="14" spans="1:21" ht="15.75" x14ac:dyDescent="0.25">
      <c r="A14" s="56">
        <v>4</v>
      </c>
      <c r="B14" s="57">
        <f t="shared" si="7"/>
        <v>42829</v>
      </c>
      <c r="C14" s="58">
        <v>0</v>
      </c>
      <c r="D14" s="57">
        <f t="shared" si="8"/>
        <v>43194</v>
      </c>
      <c r="E14" s="59">
        <v>0</v>
      </c>
      <c r="F14" s="59">
        <v>0</v>
      </c>
      <c r="G14" s="59"/>
      <c r="H14" s="58">
        <f t="shared" si="9"/>
        <v>0</v>
      </c>
      <c r="I14" s="60">
        <f t="shared" si="0"/>
        <v>0</v>
      </c>
      <c r="J14" s="60">
        <f t="shared" si="1"/>
        <v>0</v>
      </c>
      <c r="K14" s="60">
        <f t="shared" si="2"/>
        <v>0</v>
      </c>
      <c r="L14" s="58">
        <f t="shared" si="3"/>
        <v>0</v>
      </c>
      <c r="M14" s="58">
        <f t="shared" si="4"/>
        <v>0</v>
      </c>
      <c r="N14" s="58">
        <f t="shared" si="10"/>
        <v>0</v>
      </c>
      <c r="O14" s="58">
        <f t="shared" si="11"/>
        <v>0</v>
      </c>
      <c r="Q14" s="26">
        <v>1800000</v>
      </c>
      <c r="R14" s="28">
        <v>0.107</v>
      </c>
      <c r="S14" s="28">
        <f t="shared" si="5"/>
        <v>0.66500000000000004</v>
      </c>
      <c r="T14" s="28">
        <f t="shared" si="6"/>
        <v>0.51</v>
      </c>
      <c r="U14" s="26">
        <v>22500</v>
      </c>
    </row>
    <row r="15" spans="1:21" ht="15.75" x14ac:dyDescent="0.25">
      <c r="A15" s="56">
        <v>5</v>
      </c>
      <c r="B15" s="57">
        <f t="shared" si="7"/>
        <v>42860</v>
      </c>
      <c r="C15" s="58">
        <v>0</v>
      </c>
      <c r="D15" s="57">
        <f t="shared" si="8"/>
        <v>43225</v>
      </c>
      <c r="E15" s="59">
        <v>0</v>
      </c>
      <c r="F15" s="59">
        <v>0</v>
      </c>
      <c r="G15" s="59"/>
      <c r="H15" s="58">
        <f t="shared" si="9"/>
        <v>0</v>
      </c>
      <c r="I15" s="60">
        <f t="shared" si="0"/>
        <v>0</v>
      </c>
      <c r="J15" s="60">
        <f t="shared" si="1"/>
        <v>0</v>
      </c>
      <c r="K15" s="60">
        <f t="shared" si="2"/>
        <v>0</v>
      </c>
      <c r="L15" s="58">
        <f t="shared" si="3"/>
        <v>0</v>
      </c>
      <c r="M15" s="58">
        <f t="shared" si="4"/>
        <v>0</v>
      </c>
      <c r="N15" s="58">
        <f t="shared" si="10"/>
        <v>0</v>
      </c>
      <c r="O15" s="58">
        <f t="shared" si="11"/>
        <v>0</v>
      </c>
      <c r="Q15" s="26">
        <v>3600000</v>
      </c>
      <c r="R15" s="28">
        <v>0.14299999999999999</v>
      </c>
      <c r="S15" s="28">
        <f t="shared" si="5"/>
        <v>0.66500000000000004</v>
      </c>
      <c r="T15" s="28">
        <f t="shared" si="6"/>
        <v>0.51</v>
      </c>
      <c r="U15" s="26">
        <v>87300</v>
      </c>
    </row>
    <row r="16" spans="1:21" ht="15.75" x14ac:dyDescent="0.25">
      <c r="A16" s="56">
        <v>6</v>
      </c>
      <c r="B16" s="57">
        <f t="shared" si="7"/>
        <v>42891</v>
      </c>
      <c r="C16" s="58">
        <v>0</v>
      </c>
      <c r="D16" s="57">
        <f t="shared" si="8"/>
        <v>43256</v>
      </c>
      <c r="E16" s="59">
        <v>0</v>
      </c>
      <c r="F16" s="59">
        <v>0</v>
      </c>
      <c r="G16" s="59"/>
      <c r="H16" s="58">
        <f t="shared" si="9"/>
        <v>0</v>
      </c>
      <c r="I16" s="60">
        <f t="shared" si="0"/>
        <v>0</v>
      </c>
      <c r="J16" s="60">
        <f t="shared" si="1"/>
        <v>0</v>
      </c>
      <c r="K16" s="60">
        <f t="shared" si="2"/>
        <v>0</v>
      </c>
      <c r="L16" s="58">
        <f t="shared" si="3"/>
        <v>0</v>
      </c>
      <c r="M16" s="58">
        <f t="shared" si="4"/>
        <v>0</v>
      </c>
      <c r="N16" s="58">
        <f t="shared" si="10"/>
        <v>0</v>
      </c>
      <c r="O16" s="58">
        <f t="shared" si="11"/>
        <v>0</v>
      </c>
      <c r="Q16" s="26">
        <v>4800000</v>
      </c>
      <c r="R16" s="27">
        <v>0.19</v>
      </c>
      <c r="S16" s="28">
        <f t="shared" si="5"/>
        <v>1</v>
      </c>
      <c r="T16" s="28">
        <f t="shared" si="6"/>
        <v>0.65600000000000003</v>
      </c>
      <c r="U16" s="26">
        <v>378000</v>
      </c>
    </row>
    <row r="17" spans="1:24" ht="15.75" x14ac:dyDescent="0.25">
      <c r="A17" s="56">
        <v>7</v>
      </c>
      <c r="B17" s="57">
        <f t="shared" si="7"/>
        <v>42922</v>
      </c>
      <c r="C17" s="58">
        <v>0</v>
      </c>
      <c r="D17" s="57">
        <f t="shared" si="8"/>
        <v>43287</v>
      </c>
      <c r="E17" s="59">
        <v>0</v>
      </c>
      <c r="F17" s="59">
        <v>0</v>
      </c>
      <c r="G17" s="59"/>
      <c r="H17" s="58">
        <f t="shared" si="9"/>
        <v>0</v>
      </c>
      <c r="I17" s="60">
        <f t="shared" si="0"/>
        <v>0</v>
      </c>
      <c r="J17" s="60">
        <f t="shared" si="1"/>
        <v>0</v>
      </c>
      <c r="K17" s="60">
        <f t="shared" si="2"/>
        <v>0</v>
      </c>
      <c r="L17" s="58">
        <f t="shared" si="3"/>
        <v>0</v>
      </c>
      <c r="M17" s="58">
        <f t="shared" si="4"/>
        <v>0</v>
      </c>
      <c r="N17" s="58">
        <f t="shared" si="10"/>
        <v>0</v>
      </c>
      <c r="O17" s="58">
        <f t="shared" si="11"/>
        <v>0</v>
      </c>
    </row>
    <row r="18" spans="1:24" ht="15.75" x14ac:dyDescent="0.25">
      <c r="A18" s="56">
        <v>8</v>
      </c>
      <c r="B18" s="57">
        <f t="shared" si="7"/>
        <v>42953</v>
      </c>
      <c r="C18" s="58">
        <v>0</v>
      </c>
      <c r="D18" s="57">
        <f t="shared" si="8"/>
        <v>43318</v>
      </c>
      <c r="E18" s="59">
        <v>0</v>
      </c>
      <c r="F18" s="59">
        <v>0</v>
      </c>
      <c r="G18" s="59"/>
      <c r="H18" s="58">
        <f t="shared" si="9"/>
        <v>0</v>
      </c>
      <c r="I18" s="60">
        <f t="shared" si="0"/>
        <v>0</v>
      </c>
      <c r="J18" s="60">
        <f t="shared" si="1"/>
        <v>0</v>
      </c>
      <c r="K18" s="60">
        <f t="shared" si="2"/>
        <v>0</v>
      </c>
      <c r="L18" s="58">
        <f t="shared" si="3"/>
        <v>0</v>
      </c>
      <c r="M18" s="58">
        <f t="shared" si="4"/>
        <v>0</v>
      </c>
      <c r="N18" s="58">
        <f t="shared" si="10"/>
        <v>0</v>
      </c>
      <c r="O18" s="58">
        <f t="shared" si="11"/>
        <v>0</v>
      </c>
      <c r="Q18" s="78"/>
      <c r="R18" s="78"/>
      <c r="S18" s="78"/>
      <c r="T18" s="78"/>
      <c r="U18" s="78"/>
      <c r="V18" s="78"/>
      <c r="W18" s="78"/>
      <c r="X18" s="78"/>
    </row>
    <row r="19" spans="1:24" ht="15.75" x14ac:dyDescent="0.25">
      <c r="A19" s="56">
        <v>9</v>
      </c>
      <c r="B19" s="57">
        <f t="shared" si="7"/>
        <v>42984</v>
      </c>
      <c r="C19" s="58">
        <v>0</v>
      </c>
      <c r="D19" s="57">
        <f t="shared" si="8"/>
        <v>43349</v>
      </c>
      <c r="E19" s="59">
        <v>0</v>
      </c>
      <c r="F19" s="59">
        <v>0</v>
      </c>
      <c r="G19" s="59"/>
      <c r="H19" s="58">
        <f t="shared" si="9"/>
        <v>0</v>
      </c>
      <c r="I19" s="60">
        <f t="shared" si="0"/>
        <v>0</v>
      </c>
      <c r="J19" s="60">
        <f t="shared" si="1"/>
        <v>0</v>
      </c>
      <c r="K19" s="60">
        <f t="shared" si="2"/>
        <v>0</v>
      </c>
      <c r="L19" s="58">
        <f t="shared" si="3"/>
        <v>0</v>
      </c>
      <c r="M19" s="58">
        <f t="shared" si="4"/>
        <v>0</v>
      </c>
      <c r="N19" s="58">
        <f t="shared" si="10"/>
        <v>0</v>
      </c>
      <c r="O19" s="58">
        <f t="shared" si="11"/>
        <v>0</v>
      </c>
      <c r="Q19" s="33"/>
      <c r="R19" s="51"/>
      <c r="S19" s="51"/>
      <c r="T19" s="51"/>
      <c r="U19" s="51"/>
      <c r="V19" s="51"/>
      <c r="W19" s="51"/>
      <c r="X19" s="51"/>
    </row>
    <row r="20" spans="1:24" ht="15.75" x14ac:dyDescent="0.25">
      <c r="A20" s="56">
        <v>10</v>
      </c>
      <c r="B20" s="57">
        <f t="shared" si="7"/>
        <v>43015</v>
      </c>
      <c r="C20" s="58">
        <v>0</v>
      </c>
      <c r="D20" s="57">
        <f t="shared" si="8"/>
        <v>43380</v>
      </c>
      <c r="E20" s="59">
        <v>0</v>
      </c>
      <c r="F20" s="59">
        <v>0</v>
      </c>
      <c r="G20" s="59"/>
      <c r="H20" s="58">
        <f t="shared" si="9"/>
        <v>0</v>
      </c>
      <c r="I20" s="60">
        <f t="shared" si="0"/>
        <v>0</v>
      </c>
      <c r="J20" s="60">
        <f t="shared" si="1"/>
        <v>0</v>
      </c>
      <c r="K20" s="60">
        <f t="shared" si="2"/>
        <v>0</v>
      </c>
      <c r="L20" s="58">
        <f t="shared" si="3"/>
        <v>0</v>
      </c>
      <c r="M20" s="58">
        <f t="shared" si="4"/>
        <v>0</v>
      </c>
      <c r="N20" s="58">
        <f t="shared" si="10"/>
        <v>0</v>
      </c>
      <c r="O20" s="58">
        <f t="shared" si="11"/>
        <v>0</v>
      </c>
      <c r="Q20" s="51"/>
      <c r="R20" s="34"/>
      <c r="S20" s="34"/>
      <c r="T20" s="34"/>
      <c r="U20" s="34"/>
      <c r="V20" s="34"/>
      <c r="W20" s="34"/>
      <c r="X20" s="34"/>
    </row>
    <row r="21" spans="1:24" ht="15.75" x14ac:dyDescent="0.25">
      <c r="A21" s="56">
        <v>11</v>
      </c>
      <c r="B21" s="57">
        <f t="shared" si="7"/>
        <v>43046</v>
      </c>
      <c r="C21" s="58">
        <v>0</v>
      </c>
      <c r="D21" s="57">
        <f t="shared" si="8"/>
        <v>43411</v>
      </c>
      <c r="E21" s="59">
        <v>0</v>
      </c>
      <c r="F21" s="59">
        <v>0</v>
      </c>
      <c r="G21" s="59"/>
      <c r="H21" s="58">
        <f t="shared" si="9"/>
        <v>0</v>
      </c>
      <c r="I21" s="60">
        <f t="shared" si="0"/>
        <v>0</v>
      </c>
      <c r="J21" s="60">
        <f t="shared" si="1"/>
        <v>0</v>
      </c>
      <c r="K21" s="60">
        <f t="shared" si="2"/>
        <v>0</v>
      </c>
      <c r="L21" s="58">
        <f t="shared" si="3"/>
        <v>0</v>
      </c>
      <c r="M21" s="58">
        <f t="shared" si="4"/>
        <v>0</v>
      </c>
      <c r="N21" s="58">
        <f t="shared" si="10"/>
        <v>0</v>
      </c>
      <c r="O21" s="58">
        <f t="shared" si="11"/>
        <v>0</v>
      </c>
      <c r="Q21" s="51"/>
      <c r="R21" s="34"/>
      <c r="S21" s="34"/>
      <c r="T21" s="34"/>
      <c r="U21" s="34"/>
      <c r="V21" s="34"/>
      <c r="W21" s="34"/>
      <c r="X21" s="34"/>
    </row>
    <row r="22" spans="1:24" ht="15.75" x14ac:dyDescent="0.25">
      <c r="A22" s="56">
        <v>12</v>
      </c>
      <c r="B22" s="57">
        <f t="shared" si="7"/>
        <v>43077</v>
      </c>
      <c r="C22" s="58">
        <v>0</v>
      </c>
      <c r="D22" s="57">
        <f t="shared" si="8"/>
        <v>43442</v>
      </c>
      <c r="E22" s="59">
        <v>0</v>
      </c>
      <c r="F22" s="59">
        <v>0</v>
      </c>
      <c r="G22" s="59"/>
      <c r="H22" s="58">
        <f t="shared" si="9"/>
        <v>0</v>
      </c>
      <c r="I22" s="60">
        <f t="shared" si="0"/>
        <v>0</v>
      </c>
      <c r="J22" s="60">
        <f t="shared" si="1"/>
        <v>0</v>
      </c>
      <c r="K22" s="60">
        <f t="shared" si="2"/>
        <v>0</v>
      </c>
      <c r="L22" s="58">
        <f t="shared" si="3"/>
        <v>0</v>
      </c>
      <c r="M22" s="58">
        <f t="shared" si="4"/>
        <v>0</v>
      </c>
      <c r="N22" s="58">
        <f t="shared" si="10"/>
        <v>0</v>
      </c>
      <c r="O22" s="58">
        <f t="shared" si="11"/>
        <v>0</v>
      </c>
      <c r="Q22" s="51"/>
      <c r="R22" s="34"/>
      <c r="S22" s="34"/>
      <c r="T22" s="34"/>
      <c r="U22" s="34"/>
      <c r="V22" s="34"/>
      <c r="W22" s="34"/>
      <c r="X22" s="34"/>
    </row>
    <row r="23" spans="1:24" ht="15.75" x14ac:dyDescent="0.25">
      <c r="A23" s="86" t="s">
        <v>7</v>
      </c>
      <c r="B23" s="86"/>
      <c r="C23" s="6">
        <f>SUM(C11:C22)</f>
        <v>0</v>
      </c>
      <c r="D23" s="16"/>
      <c r="E23" s="6">
        <f t="shared" ref="E23:O23" si="12">SUM(E11:E22)</f>
        <v>0</v>
      </c>
      <c r="F23" s="6">
        <f t="shared" si="12"/>
        <v>0</v>
      </c>
      <c r="G23" s="6"/>
      <c r="H23" s="6">
        <f t="shared" si="12"/>
        <v>0</v>
      </c>
      <c r="I23" s="6"/>
      <c r="J23" s="6"/>
      <c r="K23" s="6"/>
      <c r="L23" s="6">
        <f t="shared" si="12"/>
        <v>0</v>
      </c>
      <c r="M23" s="6">
        <f t="shared" si="12"/>
        <v>0</v>
      </c>
      <c r="N23" s="6">
        <f t="shared" si="12"/>
        <v>0</v>
      </c>
      <c r="O23" s="6">
        <f t="shared" si="12"/>
        <v>0</v>
      </c>
      <c r="Q23" s="51"/>
      <c r="R23" s="34"/>
      <c r="S23" s="34"/>
      <c r="T23" s="34"/>
      <c r="U23" s="34"/>
      <c r="V23" s="34"/>
      <c r="W23" s="34"/>
      <c r="X23" s="34"/>
    </row>
    <row r="24" spans="1:24" ht="15.75" x14ac:dyDescent="0.25">
      <c r="A24" s="2"/>
      <c r="B24" s="2"/>
      <c r="C24" s="3"/>
      <c r="D24" s="4"/>
      <c r="E24" s="3"/>
      <c r="F24" s="3"/>
      <c r="G24" s="3"/>
      <c r="H24" s="3"/>
      <c r="I24" s="3"/>
      <c r="J24" s="3"/>
      <c r="K24" s="3"/>
      <c r="L24" s="3"/>
      <c r="M24" s="4"/>
      <c r="N24" s="4"/>
      <c r="O24" s="3"/>
      <c r="Q24" s="51"/>
      <c r="R24" s="34"/>
      <c r="S24" s="34"/>
      <c r="T24" s="34"/>
      <c r="U24" s="34"/>
      <c r="V24" s="34"/>
      <c r="W24" s="34"/>
      <c r="X24" s="34"/>
    </row>
    <row r="25" spans="1:24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3"/>
      <c r="L25" s="3"/>
      <c r="M25" s="4"/>
      <c r="N25" s="4"/>
      <c r="O25" s="3"/>
      <c r="Q25" s="51"/>
      <c r="R25" s="34"/>
      <c r="S25" s="34"/>
      <c r="T25" s="34"/>
      <c r="U25" s="34"/>
      <c r="V25" s="34"/>
      <c r="W25" s="34"/>
      <c r="X25" s="34"/>
    </row>
    <row r="26" spans="1:24" ht="17.25" customHeight="1" x14ac:dyDescent="0.25">
      <c r="A26" s="81" t="s">
        <v>8</v>
      </c>
      <c r="B26" s="82"/>
      <c r="C26" s="82"/>
      <c r="D26" s="83"/>
      <c r="E26" s="3"/>
      <c r="F26" s="87" t="s">
        <v>24</v>
      </c>
      <c r="G26" s="87"/>
      <c r="H26" s="87"/>
      <c r="I26" s="87"/>
      <c r="J26" s="87"/>
      <c r="K26" s="87"/>
      <c r="L26" s="87"/>
    </row>
    <row r="27" spans="1:24" ht="15.75" thickBot="1" x14ac:dyDescent="0.3">
      <c r="A27" s="73" t="s">
        <v>9</v>
      </c>
      <c r="B27" s="74"/>
      <c r="C27" s="75"/>
      <c r="D27" s="22">
        <f>+H23</f>
        <v>0</v>
      </c>
      <c r="E27" s="11"/>
      <c r="F27" s="31" t="s">
        <v>34</v>
      </c>
      <c r="G27" s="29" t="s">
        <v>13</v>
      </c>
      <c r="H27" s="29" t="s">
        <v>14</v>
      </c>
      <c r="I27" s="29" t="s">
        <v>25</v>
      </c>
      <c r="J27" s="29" t="s">
        <v>26</v>
      </c>
      <c r="K27" s="29" t="s">
        <v>27</v>
      </c>
      <c r="L27" s="29" t="s">
        <v>23</v>
      </c>
    </row>
    <row r="28" spans="1:24" ht="15.75" thickBot="1" x14ac:dyDescent="0.3">
      <c r="A28" s="69" t="s">
        <v>10</v>
      </c>
      <c r="B28" s="70"/>
      <c r="C28" s="71"/>
      <c r="D28" s="23">
        <f>O23</f>
        <v>0</v>
      </c>
      <c r="E28" s="11"/>
      <c r="F28" s="31" t="s">
        <v>28</v>
      </c>
      <c r="G28" s="32">
        <v>5.5E-2</v>
      </c>
      <c r="H28" s="32">
        <v>3.5000000000000003E-2</v>
      </c>
      <c r="I28" s="32">
        <v>0.12740000000000001</v>
      </c>
      <c r="J28" s="32">
        <v>2.76E-2</v>
      </c>
      <c r="K28" s="32">
        <v>0.41499999999999998</v>
      </c>
      <c r="L28" s="32">
        <v>0.34</v>
      </c>
    </row>
    <row r="29" spans="1:24" ht="15.75" thickBot="1" x14ac:dyDescent="0.3">
      <c r="A29" s="69" t="s">
        <v>23</v>
      </c>
      <c r="B29" s="70"/>
      <c r="C29" s="71"/>
      <c r="D29" s="24">
        <f>D27*18%</f>
        <v>0</v>
      </c>
      <c r="E29" s="11"/>
      <c r="F29" s="31" t="s">
        <v>29</v>
      </c>
      <c r="G29" s="32">
        <v>5.5E-2</v>
      </c>
      <c r="H29" s="32">
        <v>3.5000000000000003E-2</v>
      </c>
      <c r="I29" s="32">
        <v>0.12740000000000001</v>
      </c>
      <c r="J29" s="32">
        <v>2.76E-2</v>
      </c>
      <c r="K29" s="32">
        <v>0.41499999999999998</v>
      </c>
      <c r="L29" s="32">
        <v>0.34</v>
      </c>
    </row>
    <row r="30" spans="1:24" ht="15.75" thickBot="1" x14ac:dyDescent="0.3">
      <c r="A30" s="69" t="s">
        <v>11</v>
      </c>
      <c r="B30" s="70"/>
      <c r="C30" s="71"/>
      <c r="D30" s="23">
        <f>D27*0.65%</f>
        <v>0</v>
      </c>
      <c r="E30" s="11"/>
      <c r="F30" s="31" t="s">
        <v>30</v>
      </c>
      <c r="G30" s="32">
        <v>5.5E-2</v>
      </c>
      <c r="H30" s="32">
        <v>3.5000000000000003E-2</v>
      </c>
      <c r="I30" s="32">
        <v>0.12740000000000001</v>
      </c>
      <c r="J30" s="32">
        <v>2.76E-2</v>
      </c>
      <c r="K30" s="32">
        <v>0.42</v>
      </c>
      <c r="L30" s="32">
        <v>0.33500000000000002</v>
      </c>
    </row>
    <row r="31" spans="1:24" ht="15.75" thickBot="1" x14ac:dyDescent="0.3">
      <c r="A31" s="69" t="s">
        <v>12</v>
      </c>
      <c r="B31" s="70"/>
      <c r="C31" s="71"/>
      <c r="D31" s="23">
        <f>D27*3%</f>
        <v>0</v>
      </c>
      <c r="E31" s="11"/>
      <c r="F31" s="31" t="s">
        <v>31</v>
      </c>
      <c r="G31" s="32">
        <v>5.5E-2</v>
      </c>
      <c r="H31" s="32">
        <v>3.5000000000000003E-2</v>
      </c>
      <c r="I31" s="32">
        <v>0.12740000000000001</v>
      </c>
      <c r="J31" s="32">
        <v>2.76E-2</v>
      </c>
      <c r="K31" s="32">
        <v>0.42</v>
      </c>
      <c r="L31" s="32">
        <v>0.33500000000000002</v>
      </c>
    </row>
    <row r="32" spans="1:24" ht="15.75" thickBot="1" x14ac:dyDescent="0.3">
      <c r="A32" s="69" t="s">
        <v>13</v>
      </c>
      <c r="B32" s="70"/>
      <c r="C32" s="71"/>
      <c r="D32" s="24">
        <f>((D27*8%)*15%)</f>
        <v>0</v>
      </c>
      <c r="E32" s="11"/>
      <c r="F32" s="31" t="s">
        <v>32</v>
      </c>
      <c r="G32" s="32">
        <v>5.5E-2</v>
      </c>
      <c r="H32" s="32">
        <v>3.5000000000000003E-2</v>
      </c>
      <c r="I32" s="32">
        <v>0.12740000000000001</v>
      </c>
      <c r="J32" s="32">
        <v>2.76E-2</v>
      </c>
      <c r="K32" s="32">
        <v>0.42</v>
      </c>
      <c r="L32" s="32">
        <v>0.33500000000000002</v>
      </c>
    </row>
    <row r="33" spans="1:12" ht="15.75" thickBot="1" x14ac:dyDescent="0.3">
      <c r="A33" s="69" t="s">
        <v>14</v>
      </c>
      <c r="B33" s="70"/>
      <c r="C33" s="71"/>
      <c r="D33" s="23">
        <f>((D27*12%)*9%)</f>
        <v>0</v>
      </c>
      <c r="E33" s="11"/>
      <c r="F33" s="31" t="s">
        <v>33</v>
      </c>
      <c r="G33" s="32">
        <v>0.13500000000000001</v>
      </c>
      <c r="H33" s="32">
        <v>0.1</v>
      </c>
      <c r="I33" s="32">
        <v>0.28270000000000001</v>
      </c>
      <c r="J33" s="32">
        <v>6.13E-2</v>
      </c>
      <c r="K33" s="32">
        <v>0.42099999999999999</v>
      </c>
      <c r="L33" s="32">
        <v>0</v>
      </c>
    </row>
    <row r="34" spans="1:12" x14ac:dyDescent="0.25">
      <c r="A34" s="72" t="s">
        <v>15</v>
      </c>
      <c r="B34" s="72"/>
      <c r="C34" s="72"/>
      <c r="D34" s="25">
        <f>(D29+D30+D31+D32+D33)-D28</f>
        <v>0</v>
      </c>
      <c r="E34" s="11"/>
      <c r="F34" s="11"/>
      <c r="G34" s="11"/>
      <c r="H34" s="1"/>
      <c r="I34" s="1"/>
      <c r="J34" s="1"/>
      <c r="K34" s="1"/>
    </row>
    <row r="35" spans="1:12" x14ac:dyDescent="0.25">
      <c r="A35" s="8"/>
      <c r="B35" s="8"/>
      <c r="C35" s="8"/>
      <c r="D35" s="9"/>
      <c r="E35" s="9"/>
      <c r="F35" s="9"/>
      <c r="G35" s="9"/>
      <c r="H35" s="1"/>
      <c r="I35" s="1"/>
      <c r="J35" s="1"/>
      <c r="K35" s="1"/>
    </row>
    <row r="36" spans="1:12" x14ac:dyDescent="0.25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</row>
    <row r="37" spans="1:12" x14ac:dyDescent="0.25">
      <c r="A37" s="17"/>
      <c r="B37" s="8"/>
      <c r="C37" s="8"/>
      <c r="D37" s="9"/>
      <c r="E37" s="9"/>
      <c r="F37" s="9"/>
      <c r="G37" s="9"/>
      <c r="H37" s="9"/>
      <c r="I37" s="9"/>
      <c r="J37" s="9"/>
      <c r="K37" s="9"/>
    </row>
    <row r="38" spans="1:12" x14ac:dyDescent="0.25">
      <c r="A38" s="17"/>
      <c r="B38" s="8"/>
      <c r="C38" s="8"/>
      <c r="D38" s="9"/>
      <c r="E38" s="9"/>
      <c r="F38" s="9"/>
      <c r="G38" s="9"/>
      <c r="H38" s="9"/>
      <c r="I38" s="9"/>
      <c r="J38" s="9"/>
      <c r="K38" s="9"/>
    </row>
    <row r="39" spans="1:12" x14ac:dyDescent="0.25">
      <c r="A39" s="17"/>
      <c r="B39" s="8"/>
      <c r="C39" s="8"/>
      <c r="D39" s="9"/>
      <c r="E39" s="9"/>
      <c r="F39" s="9"/>
      <c r="G39" s="9"/>
      <c r="H39" s="9"/>
      <c r="I39" s="9"/>
      <c r="J39" s="9"/>
      <c r="K39" s="9"/>
    </row>
  </sheetData>
  <mergeCells count="14">
    <mergeCell ref="A33:C33"/>
    <mergeCell ref="A34:C34"/>
    <mergeCell ref="A27:C27"/>
    <mergeCell ref="A28:C28"/>
    <mergeCell ref="A29:C29"/>
    <mergeCell ref="A30:C30"/>
    <mergeCell ref="A31:C31"/>
    <mergeCell ref="A32:C32"/>
    <mergeCell ref="A6:L6"/>
    <mergeCell ref="A8:L8"/>
    <mergeCell ref="Q18:X18"/>
    <mergeCell ref="A23:B23"/>
    <mergeCell ref="A26:D26"/>
    <mergeCell ref="F26:L2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3"/>
  <sheetViews>
    <sheetView topLeftCell="A6" workbookViewId="0">
      <selection activeCell="E12" sqref="E12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8" width="15.140625" customWidth="1"/>
    <col min="9" max="9" width="16.5703125" bestFit="1" customWidth="1"/>
    <col min="10" max="10" width="18.5703125" customWidth="1"/>
    <col min="11" max="13" width="18.85546875" customWidth="1"/>
    <col min="14" max="17" width="16.5703125" customWidth="1"/>
    <col min="18" max="18" width="14.85546875" customWidth="1"/>
    <col min="20" max="20" width="29.140625" customWidth="1"/>
    <col min="21" max="21" width="9.28515625" bestFit="1" customWidth="1"/>
    <col min="22" max="22" width="12.85546875" customWidth="1"/>
    <col min="23" max="23" width="17.28515625" bestFit="1" customWidth="1"/>
  </cols>
  <sheetData>
    <row r="1" spans="1:23" s="48" customFormat="1" ht="18" customHeight="1" x14ac:dyDescent="0.3">
      <c r="A1" s="47"/>
      <c r="B1" s="47"/>
      <c r="C1" s="47"/>
      <c r="D1" s="12" t="s">
        <v>21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23" s="48" customFormat="1" ht="18" customHeight="1" x14ac:dyDescent="0.3">
      <c r="A2" s="49"/>
      <c r="B2" s="49"/>
      <c r="C2" s="49"/>
      <c r="D2" s="13" t="s">
        <v>22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3" s="48" customFormat="1" ht="18" customHeight="1" x14ac:dyDescent="0.3">
      <c r="A3" s="49"/>
      <c r="B3" s="50"/>
      <c r="C3" s="50"/>
      <c r="D3" s="13" t="s">
        <v>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23" s="48" customFormat="1" ht="18" customHeight="1" x14ac:dyDescent="0.3">
      <c r="A4" s="49"/>
      <c r="B4" s="49"/>
      <c r="C4" s="49"/>
      <c r="D4" s="13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23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23" ht="18" x14ac:dyDescent="0.25">
      <c r="A6" s="76" t="s">
        <v>71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45"/>
      <c r="P6" s="45"/>
      <c r="Q6" s="45"/>
      <c r="R6" s="12"/>
    </row>
    <row r="7" spans="1:23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3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46"/>
      <c r="P8" s="46"/>
      <c r="Q8" s="46"/>
      <c r="R8" s="15"/>
    </row>
    <row r="9" spans="1:23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15"/>
    </row>
    <row r="10" spans="1:23" ht="15.75" x14ac:dyDescent="0.25">
      <c r="A10" s="18"/>
      <c r="B10" s="18"/>
      <c r="C10" s="18"/>
      <c r="D10" s="18"/>
      <c r="E10" s="88" t="s">
        <v>66</v>
      </c>
      <c r="F10" s="88"/>
      <c r="G10" s="88"/>
      <c r="H10" s="88"/>
      <c r="I10" s="88"/>
      <c r="J10" s="89" t="s">
        <v>61</v>
      </c>
      <c r="K10" s="89"/>
      <c r="L10" s="90" t="s">
        <v>63</v>
      </c>
      <c r="M10" s="90"/>
      <c r="N10" s="91" t="s">
        <v>60</v>
      </c>
      <c r="O10" s="91"/>
      <c r="P10" s="91"/>
      <c r="Q10" s="91"/>
      <c r="R10" s="5"/>
    </row>
    <row r="11" spans="1:23" ht="38.25" x14ac:dyDescent="0.25">
      <c r="A11" s="14" t="s">
        <v>1</v>
      </c>
      <c r="B11" s="14" t="s">
        <v>2</v>
      </c>
      <c r="C11" s="14" t="s">
        <v>3</v>
      </c>
      <c r="D11" s="14" t="s">
        <v>4</v>
      </c>
      <c r="E11" s="14" t="s">
        <v>54</v>
      </c>
      <c r="F11" s="14" t="s">
        <v>62</v>
      </c>
      <c r="G11" s="14" t="s">
        <v>58</v>
      </c>
      <c r="H11" s="14" t="s">
        <v>59</v>
      </c>
      <c r="I11" s="14" t="s">
        <v>5</v>
      </c>
      <c r="J11" s="14" t="s">
        <v>54</v>
      </c>
      <c r="K11" s="14" t="s">
        <v>62</v>
      </c>
      <c r="L11" s="14" t="s">
        <v>64</v>
      </c>
      <c r="M11" s="14" t="s">
        <v>65</v>
      </c>
      <c r="N11" s="14" t="s">
        <v>54</v>
      </c>
      <c r="O11" s="14" t="s">
        <v>57</v>
      </c>
      <c r="P11" s="14" t="s">
        <v>58</v>
      </c>
      <c r="Q11" s="14" t="s">
        <v>59</v>
      </c>
      <c r="R11" s="14" t="s">
        <v>6</v>
      </c>
      <c r="T11" s="14" t="s">
        <v>18</v>
      </c>
      <c r="U11" s="14" t="s">
        <v>19</v>
      </c>
      <c r="V11" s="14" t="s">
        <v>35</v>
      </c>
      <c r="W11" s="14" t="s">
        <v>20</v>
      </c>
    </row>
    <row r="12" spans="1:23" x14ac:dyDescent="0.25">
      <c r="A12" s="42">
        <v>1</v>
      </c>
      <c r="B12" s="43">
        <v>42736</v>
      </c>
      <c r="C12" s="10"/>
      <c r="D12" s="43">
        <v>43101</v>
      </c>
      <c r="E12" s="44"/>
      <c r="F12" s="44">
        <v>0</v>
      </c>
      <c r="G12" s="44">
        <v>0</v>
      </c>
      <c r="H12" s="44">
        <v>0</v>
      </c>
      <c r="I12" s="10">
        <f t="shared" ref="I12:I23" si="0">SUM(E12:H12)</f>
        <v>0</v>
      </c>
      <c r="J12" s="36">
        <f t="shared" ref="J12:J23" si="1">IF(C12=0,0,IF(C12&lt;=T$12,U$12,IF(C12&lt;=T$13,((C12*U$13-W$13)/C12),IF(C12&lt;=T$14,((C12*U$14-W$14)/C12),IF(C12&lt;=T$15,((C12*U$15-W$15)/C12),IF(C12&lt;=T$16,((C12*U$16-W$16)/C12),IF(C12&lt;=T$17,((C12*U$17-W$17)/C12),0)))))))</f>
        <v>0</v>
      </c>
      <c r="K12" s="36">
        <f t="shared" ref="K12:K23" si="2">IF(C12=0,0,IF(C12&lt;=T$12,U$12*V$12,IF(C12&lt;=T$13,((C12*U$13-W$13)/C12*(V$13)),IF(C12&lt;=T$14,((C12*U$14-W$14)/C12*(V$14)),IF(C12&lt;=T$15,((C12*U$15-W$15)/C12*(V$15)),IF(C12&lt;=T$16,((C12*U$16-W$16)/C12*(V$16)),IF(C12&lt;=T$17,((C12*U$17-W$17)/C12*(V$17)),0)))))))</f>
        <v>0</v>
      </c>
      <c r="L12" s="36">
        <f>IF(C12=0,0,IF(C12&lt;=T$20,U$20,IF(C12&lt;=T$21,((C12*U$21-W$21)/C12),IF(C12&lt;=T$22,((C12*U$22-W$22)/C12),IF(C12&lt;=T$23,((C12*U$23-W$23)/C12),IF(C12&lt;=T$24,((C12*U$24-W$24)/C12),IF(C12&lt;=T$25,((C12*U$25-W$25)/C12),0)))))))</f>
        <v>0</v>
      </c>
      <c r="M12" s="36">
        <f>IF(C12=0,0,IF(C12&lt;=T$20,U$20*V$20,IF(C12&lt;=T$21,((C12*U$21-W$21)/C12*(V$21)),IF(C12&lt;=T$22,((C12*U$22-W$22)/C12*(V$22)),IF(C12&lt;=T$23,((C12*U$23-W$23)/C12*(V$23)),IF(C12&lt;=T$24,((C12*U$24-W$24)/C12*(V$24)),IF(C12&lt;=T$25,((C12*U$25-W$25)/C12*(V$25)),0)))))))</f>
        <v>0</v>
      </c>
      <c r="N12" s="10">
        <f>IF(C12&lt;=T$12,E12*U$12,IF(C12&lt;=T$13,((C12*U$13-W$13)/C12)*E12,IF(C12&lt;=T$14,((C12*U$14-W$14)/C12)*E12,IF(C12&lt;=T$15,((C12*U$15-W$15)/C12)*E12,IF(C12&lt;=T$16,((C12*U$16-W$16)/C12)*E12,IF(C12&lt;=T$17,((C12*U$17-W$17)/C12)*E12,0))))))</f>
        <v>0</v>
      </c>
      <c r="O12" s="10">
        <f t="shared" ref="O12:O23" si="3">IF(C12&lt;=T$12,(F12*U$12)*V$12,IF(C12&lt;=T$13,((C12*U$13-W$13)/C12)*V$13*F12,IF(C12&lt;=T$14,((C12*U$14-W$14)/C12)*V$14*F12,IF(C12&lt;=T$15,((C12*U$15-W$15)/C12)*V$15*F12,IF(C12&lt;=T$16,((C12*U$16-W$16)/C12)*V$16*F12,IF(C12&lt;=T$17,((C12*U$17-W$17)/C12)*V$17*F12,0))))))</f>
        <v>0</v>
      </c>
      <c r="P12" s="10">
        <f t="shared" ref="P12:P23" si="4">IF(C12&lt;=T$20,G12*U$20,IF(C12&lt;=T$21,((C12*U$21-W$21)/C12)*G12,IF(C12&lt;=T$22,((C12*U$22-W$22)/C12)*G12,IF(C12&lt;=T$23,((C12*U$23-W$23)/C12)*G12,IF(C12&lt;=T$24,((C12*U$24-W$24)/C12)*G12,IF(C12&lt;=T$25,((C12*U$25-W$25)/C12)*G12,0))))))</f>
        <v>0</v>
      </c>
      <c r="Q12" s="10">
        <f t="shared" ref="Q12:Q23" si="5">IF(C12&lt;=T$20,H12*V$20*U$20,IF(C12&lt;=T$21,((C12*U$21-W$21)/C12)*V$21*H12,IF(C12&lt;=T$22,((C12*U$22-W$22)/C12)*V$22*H12,IF(C12&lt;=T$23,((C12*U$23-W$23)/C12)*V$23*H12,IF(C12&lt;=T$24,((C12*U$24-W$24)/C12)*V$24*H12,IF(C12&lt;=T$25,((C12*U$25-W$25)/C12)*V$25*H12,0))))))</f>
        <v>0</v>
      </c>
      <c r="R12" s="10">
        <f t="shared" ref="R12:R23" si="6">SUM(N12:Q12)</f>
        <v>0</v>
      </c>
      <c r="T12" s="26">
        <v>180000</v>
      </c>
      <c r="U12" s="27">
        <v>0.04</v>
      </c>
      <c r="V12" s="28">
        <f>SUM(G29:K29)</f>
        <v>0.65999999999999992</v>
      </c>
      <c r="W12" s="26">
        <v>0</v>
      </c>
    </row>
    <row r="13" spans="1:23" x14ac:dyDescent="0.25">
      <c r="A13" s="42">
        <v>2</v>
      </c>
      <c r="B13" s="43">
        <f>B12+31</f>
        <v>42767</v>
      </c>
      <c r="C13" s="10">
        <v>0</v>
      </c>
      <c r="D13" s="43">
        <f>D12+31</f>
        <v>43132</v>
      </c>
      <c r="E13" s="44">
        <v>0</v>
      </c>
      <c r="F13" s="44">
        <v>0</v>
      </c>
      <c r="G13" s="44">
        <v>0</v>
      </c>
      <c r="H13" s="44">
        <v>0</v>
      </c>
      <c r="I13" s="10">
        <f t="shared" si="0"/>
        <v>0</v>
      </c>
      <c r="J13" s="36">
        <f t="shared" si="1"/>
        <v>0</v>
      </c>
      <c r="K13" s="36">
        <f t="shared" si="2"/>
        <v>0</v>
      </c>
      <c r="L13" s="36">
        <f t="shared" ref="L13:L23" si="7">IF(E13=0,0,IF(E13&lt;=V$12,W$12,IF(E13&lt;=V$13,((E13*W$13-Y$13)/E13),IF(E13&lt;=V$14,((E13*W$14-Y$14)/E13),IF(E13&lt;=V$15,((E13*W$15-Y$15)/E13),IF(E13&lt;=V$16,((E13*W$16-Y$16)/E13),IF(E13&lt;=V$17,((E13*W$17-Y$17)/E13),0)))))))</f>
        <v>0</v>
      </c>
      <c r="M13" s="36">
        <f t="shared" ref="M13:M23" si="8">IF(E13=0,0,IF(E13&lt;=V$12,W$12*X$12,IF(E13&lt;=V$13,((E13*W$13-Y$13)/E13*(X$13)),IF(E13&lt;=V$14,((E13*W$14-Y$14)/E13*(X$14)),IF(E13&lt;=V$15,((E13*W$15-Y$15)/E13*(X$15)),IF(E13&lt;=V$16,((E13*W$16-Y$16)/E13*(X$16)),IF(E13&lt;=V$17,((E13*W$17-Y$17)/E13*(X$17)),0)))))))</f>
        <v>0</v>
      </c>
      <c r="N13" s="10">
        <f t="shared" ref="N13:N23" si="9">IF(C13&lt;=T$12,E13*U$12,IF(C13&lt;=T$13,((C13*U$13-W$13)/C13)*E13,IF(C13&lt;=T$14,((C13*U$14-W$14)/C13)*E13,IF(C13&lt;=T$15,((C13*U$15-W$15)/C13)*E13,IF(C13&lt;=T$16,((C13*U$16-W$16)/C13)*E13,IF(C13&lt;=T$17,((C13*U$17-W$17)/C13)*E13,0))))))</f>
        <v>0</v>
      </c>
      <c r="O13" s="10">
        <f t="shared" si="3"/>
        <v>0</v>
      </c>
      <c r="P13" s="10">
        <f t="shared" si="4"/>
        <v>0</v>
      </c>
      <c r="Q13" s="10">
        <f t="shared" si="5"/>
        <v>0</v>
      </c>
      <c r="R13" s="10">
        <f t="shared" si="6"/>
        <v>0</v>
      </c>
      <c r="T13" s="26">
        <v>360000</v>
      </c>
      <c r="U13" s="28">
        <v>7.2999999999999995E-2</v>
      </c>
      <c r="V13" s="28">
        <f t="shared" ref="V13:V17" si="10">SUM(G30:K30)</f>
        <v>0.65999999999999992</v>
      </c>
      <c r="W13" s="26">
        <v>5940</v>
      </c>
    </row>
    <row r="14" spans="1:23" x14ac:dyDescent="0.25">
      <c r="A14" s="42">
        <v>3</v>
      </c>
      <c r="B14" s="43">
        <f t="shared" ref="B14:B23" si="11">B13+31</f>
        <v>42798</v>
      </c>
      <c r="C14" s="10">
        <v>0</v>
      </c>
      <c r="D14" s="43">
        <f t="shared" ref="D14:D23" si="12">D13+31</f>
        <v>43163</v>
      </c>
      <c r="E14" s="44">
        <v>0</v>
      </c>
      <c r="F14" s="44">
        <v>0</v>
      </c>
      <c r="G14" s="44">
        <v>0</v>
      </c>
      <c r="H14" s="44">
        <v>0</v>
      </c>
      <c r="I14" s="10">
        <f t="shared" si="0"/>
        <v>0</v>
      </c>
      <c r="J14" s="36">
        <f t="shared" si="1"/>
        <v>0</v>
      </c>
      <c r="K14" s="36">
        <f t="shared" si="2"/>
        <v>0</v>
      </c>
      <c r="L14" s="36">
        <f t="shared" si="7"/>
        <v>0</v>
      </c>
      <c r="M14" s="36">
        <f t="shared" si="8"/>
        <v>0</v>
      </c>
      <c r="N14" s="10">
        <f t="shared" si="9"/>
        <v>0</v>
      </c>
      <c r="O14" s="10">
        <f t="shared" si="3"/>
        <v>0</v>
      </c>
      <c r="P14" s="10">
        <f t="shared" si="4"/>
        <v>0</v>
      </c>
      <c r="Q14" s="10">
        <f t="shared" si="5"/>
        <v>0</v>
      </c>
      <c r="R14" s="10">
        <f t="shared" si="6"/>
        <v>0</v>
      </c>
      <c r="T14" s="26">
        <v>720000</v>
      </c>
      <c r="U14" s="28">
        <v>9.5000000000000001E-2</v>
      </c>
      <c r="V14" s="28">
        <f t="shared" si="10"/>
        <v>0.66500000000000004</v>
      </c>
      <c r="W14" s="26">
        <v>13860</v>
      </c>
    </row>
    <row r="15" spans="1:23" x14ac:dyDescent="0.25">
      <c r="A15" s="42">
        <v>4</v>
      </c>
      <c r="B15" s="43">
        <f t="shared" si="11"/>
        <v>42829</v>
      </c>
      <c r="C15" s="10">
        <v>0</v>
      </c>
      <c r="D15" s="43">
        <f t="shared" si="12"/>
        <v>43194</v>
      </c>
      <c r="E15" s="44">
        <v>0</v>
      </c>
      <c r="F15" s="44">
        <v>0</v>
      </c>
      <c r="G15" s="44">
        <v>0</v>
      </c>
      <c r="H15" s="44">
        <v>0</v>
      </c>
      <c r="I15" s="10">
        <f t="shared" si="0"/>
        <v>0</v>
      </c>
      <c r="J15" s="36">
        <f t="shared" si="1"/>
        <v>0</v>
      </c>
      <c r="K15" s="36">
        <f t="shared" si="2"/>
        <v>0</v>
      </c>
      <c r="L15" s="36">
        <f t="shared" si="7"/>
        <v>0</v>
      </c>
      <c r="M15" s="36">
        <f t="shared" si="8"/>
        <v>0</v>
      </c>
      <c r="N15" s="10">
        <f t="shared" si="9"/>
        <v>0</v>
      </c>
      <c r="O15" s="10">
        <f t="shared" si="3"/>
        <v>0</v>
      </c>
      <c r="P15" s="10">
        <f t="shared" si="4"/>
        <v>0</v>
      </c>
      <c r="Q15" s="10">
        <f t="shared" si="5"/>
        <v>0</v>
      </c>
      <c r="R15" s="10">
        <f t="shared" si="6"/>
        <v>0</v>
      </c>
      <c r="T15" s="26">
        <v>1800000</v>
      </c>
      <c r="U15" s="28">
        <v>0.107</v>
      </c>
      <c r="V15" s="28">
        <f t="shared" si="10"/>
        <v>0.66500000000000004</v>
      </c>
      <c r="W15" s="26">
        <v>22500</v>
      </c>
    </row>
    <row r="16" spans="1:23" x14ac:dyDescent="0.25">
      <c r="A16" s="42">
        <v>5</v>
      </c>
      <c r="B16" s="43">
        <f t="shared" si="11"/>
        <v>42860</v>
      </c>
      <c r="C16" s="10">
        <v>0</v>
      </c>
      <c r="D16" s="43">
        <f t="shared" si="12"/>
        <v>43225</v>
      </c>
      <c r="E16" s="44">
        <v>0</v>
      </c>
      <c r="F16" s="44">
        <v>0</v>
      </c>
      <c r="G16" s="44">
        <v>0</v>
      </c>
      <c r="H16" s="44">
        <v>0</v>
      </c>
      <c r="I16" s="10">
        <f t="shared" si="0"/>
        <v>0</v>
      </c>
      <c r="J16" s="36">
        <f t="shared" si="1"/>
        <v>0</v>
      </c>
      <c r="K16" s="36">
        <f t="shared" si="2"/>
        <v>0</v>
      </c>
      <c r="L16" s="36">
        <f t="shared" si="7"/>
        <v>0</v>
      </c>
      <c r="M16" s="36">
        <f t="shared" si="8"/>
        <v>0</v>
      </c>
      <c r="N16" s="10">
        <f t="shared" si="9"/>
        <v>0</v>
      </c>
      <c r="O16" s="10">
        <f t="shared" si="3"/>
        <v>0</v>
      </c>
      <c r="P16" s="10">
        <f t="shared" si="4"/>
        <v>0</v>
      </c>
      <c r="Q16" s="10">
        <f t="shared" si="5"/>
        <v>0</v>
      </c>
      <c r="R16" s="10">
        <f t="shared" si="6"/>
        <v>0</v>
      </c>
      <c r="T16" s="26">
        <v>3600000</v>
      </c>
      <c r="U16" s="28">
        <v>0.14299999999999999</v>
      </c>
      <c r="V16" s="28">
        <f t="shared" si="10"/>
        <v>0.66500000000000004</v>
      </c>
      <c r="W16" s="26">
        <v>87300</v>
      </c>
    </row>
    <row r="17" spans="1:23" x14ac:dyDescent="0.25">
      <c r="A17" s="42">
        <v>6</v>
      </c>
      <c r="B17" s="43">
        <f t="shared" si="11"/>
        <v>42891</v>
      </c>
      <c r="C17" s="10">
        <v>0</v>
      </c>
      <c r="D17" s="43">
        <f t="shared" si="12"/>
        <v>43256</v>
      </c>
      <c r="E17" s="44">
        <v>0</v>
      </c>
      <c r="F17" s="44">
        <v>0</v>
      </c>
      <c r="G17" s="44">
        <v>0</v>
      </c>
      <c r="H17" s="44">
        <v>0</v>
      </c>
      <c r="I17" s="10">
        <f t="shared" si="0"/>
        <v>0</v>
      </c>
      <c r="J17" s="36">
        <f t="shared" si="1"/>
        <v>0</v>
      </c>
      <c r="K17" s="36">
        <f t="shared" si="2"/>
        <v>0</v>
      </c>
      <c r="L17" s="36">
        <f t="shared" si="7"/>
        <v>0</v>
      </c>
      <c r="M17" s="36">
        <f t="shared" si="8"/>
        <v>0</v>
      </c>
      <c r="N17" s="10">
        <f t="shared" si="9"/>
        <v>0</v>
      </c>
      <c r="O17" s="10">
        <f t="shared" si="3"/>
        <v>0</v>
      </c>
      <c r="P17" s="10">
        <f t="shared" si="4"/>
        <v>0</v>
      </c>
      <c r="Q17" s="10">
        <f t="shared" si="5"/>
        <v>0</v>
      </c>
      <c r="R17" s="10">
        <f t="shared" si="6"/>
        <v>0</v>
      </c>
      <c r="T17" s="26">
        <v>4800000</v>
      </c>
      <c r="U17" s="27">
        <v>0.19</v>
      </c>
      <c r="V17" s="28">
        <f t="shared" si="10"/>
        <v>1</v>
      </c>
      <c r="W17" s="26">
        <v>378000</v>
      </c>
    </row>
    <row r="18" spans="1:23" x14ac:dyDescent="0.25">
      <c r="A18" s="42">
        <v>7</v>
      </c>
      <c r="B18" s="43">
        <f t="shared" si="11"/>
        <v>42922</v>
      </c>
      <c r="C18" s="10">
        <v>0</v>
      </c>
      <c r="D18" s="43">
        <f t="shared" si="12"/>
        <v>43287</v>
      </c>
      <c r="E18" s="44">
        <v>0</v>
      </c>
      <c r="F18" s="44">
        <v>0</v>
      </c>
      <c r="G18" s="44">
        <v>0</v>
      </c>
      <c r="H18" s="44">
        <v>0</v>
      </c>
      <c r="I18" s="10">
        <f t="shared" si="0"/>
        <v>0</v>
      </c>
      <c r="J18" s="36">
        <f t="shared" si="1"/>
        <v>0</v>
      </c>
      <c r="K18" s="36">
        <f t="shared" si="2"/>
        <v>0</v>
      </c>
      <c r="L18" s="36">
        <f t="shared" si="7"/>
        <v>0</v>
      </c>
      <c r="M18" s="36">
        <f t="shared" si="8"/>
        <v>0</v>
      </c>
      <c r="N18" s="10">
        <f t="shared" si="9"/>
        <v>0</v>
      </c>
      <c r="O18" s="10">
        <f t="shared" si="3"/>
        <v>0</v>
      </c>
      <c r="P18" s="10">
        <f t="shared" si="4"/>
        <v>0</v>
      </c>
      <c r="Q18" s="10">
        <f t="shared" si="5"/>
        <v>0</v>
      </c>
      <c r="R18" s="10">
        <f t="shared" si="6"/>
        <v>0</v>
      </c>
    </row>
    <row r="19" spans="1:23" ht="25.5" x14ac:dyDescent="0.25">
      <c r="A19" s="42">
        <v>8</v>
      </c>
      <c r="B19" s="43">
        <f t="shared" si="11"/>
        <v>42953</v>
      </c>
      <c r="C19" s="10">
        <v>0</v>
      </c>
      <c r="D19" s="43">
        <f t="shared" si="12"/>
        <v>43318</v>
      </c>
      <c r="E19" s="44">
        <v>0</v>
      </c>
      <c r="F19" s="44">
        <v>0</v>
      </c>
      <c r="G19" s="44">
        <v>0</v>
      </c>
      <c r="H19" s="44">
        <v>0</v>
      </c>
      <c r="I19" s="10">
        <f t="shared" si="0"/>
        <v>0</v>
      </c>
      <c r="J19" s="36">
        <f t="shared" si="1"/>
        <v>0</v>
      </c>
      <c r="K19" s="36">
        <f t="shared" si="2"/>
        <v>0</v>
      </c>
      <c r="L19" s="36">
        <f t="shared" si="7"/>
        <v>0</v>
      </c>
      <c r="M19" s="36">
        <f t="shared" si="8"/>
        <v>0</v>
      </c>
      <c r="N19" s="10">
        <f t="shared" si="9"/>
        <v>0</v>
      </c>
      <c r="O19" s="10">
        <f t="shared" si="3"/>
        <v>0</v>
      </c>
      <c r="P19" s="10">
        <f t="shared" si="4"/>
        <v>0</v>
      </c>
      <c r="Q19" s="10">
        <f t="shared" si="5"/>
        <v>0</v>
      </c>
      <c r="R19" s="10">
        <f t="shared" si="6"/>
        <v>0</v>
      </c>
      <c r="T19" s="14" t="s">
        <v>18</v>
      </c>
      <c r="U19" s="14" t="s">
        <v>19</v>
      </c>
      <c r="V19" s="14" t="s">
        <v>43</v>
      </c>
      <c r="W19" s="14" t="s">
        <v>20</v>
      </c>
    </row>
    <row r="20" spans="1:23" x14ac:dyDescent="0.25">
      <c r="A20" s="42">
        <v>9</v>
      </c>
      <c r="B20" s="43">
        <f t="shared" si="11"/>
        <v>42984</v>
      </c>
      <c r="C20" s="10">
        <v>0</v>
      </c>
      <c r="D20" s="43">
        <f t="shared" si="12"/>
        <v>43349</v>
      </c>
      <c r="E20" s="44">
        <v>0</v>
      </c>
      <c r="F20" s="44">
        <v>0</v>
      </c>
      <c r="G20" s="44">
        <v>0</v>
      </c>
      <c r="H20" s="44">
        <v>0</v>
      </c>
      <c r="I20" s="10">
        <f t="shared" si="0"/>
        <v>0</v>
      </c>
      <c r="J20" s="36">
        <f t="shared" si="1"/>
        <v>0</v>
      </c>
      <c r="K20" s="36">
        <f t="shared" si="2"/>
        <v>0</v>
      </c>
      <c r="L20" s="36">
        <f t="shared" si="7"/>
        <v>0</v>
      </c>
      <c r="M20" s="36">
        <f t="shared" si="8"/>
        <v>0</v>
      </c>
      <c r="N20" s="10">
        <f t="shared" si="9"/>
        <v>0</v>
      </c>
      <c r="O20" s="10">
        <f t="shared" si="3"/>
        <v>0</v>
      </c>
      <c r="P20" s="10">
        <f t="shared" si="4"/>
        <v>0</v>
      </c>
      <c r="Q20" s="10">
        <f t="shared" si="5"/>
        <v>0</v>
      </c>
      <c r="R20" s="10">
        <f t="shared" si="6"/>
        <v>0</v>
      </c>
      <c r="T20" s="26">
        <v>180000</v>
      </c>
      <c r="U20" s="27">
        <v>0.06</v>
      </c>
      <c r="V20" s="28">
        <f>SUM(G38:K38)</f>
        <v>0.66500000000000004</v>
      </c>
      <c r="W20" s="26">
        <v>0</v>
      </c>
    </row>
    <row r="21" spans="1:23" x14ac:dyDescent="0.25">
      <c r="A21" s="42">
        <v>10</v>
      </c>
      <c r="B21" s="43">
        <f t="shared" si="11"/>
        <v>43015</v>
      </c>
      <c r="C21" s="10">
        <v>0</v>
      </c>
      <c r="D21" s="43">
        <f t="shared" si="12"/>
        <v>43380</v>
      </c>
      <c r="E21" s="44">
        <v>0</v>
      </c>
      <c r="F21" s="44">
        <v>0</v>
      </c>
      <c r="G21" s="44">
        <v>0</v>
      </c>
      <c r="H21" s="44">
        <v>0</v>
      </c>
      <c r="I21" s="10">
        <f t="shared" si="0"/>
        <v>0</v>
      </c>
      <c r="J21" s="36">
        <f t="shared" si="1"/>
        <v>0</v>
      </c>
      <c r="K21" s="36">
        <f t="shared" si="2"/>
        <v>0</v>
      </c>
      <c r="L21" s="36">
        <f t="shared" si="7"/>
        <v>0</v>
      </c>
      <c r="M21" s="36">
        <f t="shared" si="8"/>
        <v>0</v>
      </c>
      <c r="N21" s="10">
        <f t="shared" si="9"/>
        <v>0</v>
      </c>
      <c r="O21" s="10">
        <f t="shared" si="3"/>
        <v>0</v>
      </c>
      <c r="P21" s="10">
        <f t="shared" si="4"/>
        <v>0</v>
      </c>
      <c r="Q21" s="10">
        <f t="shared" si="5"/>
        <v>0</v>
      </c>
      <c r="R21" s="10">
        <f t="shared" si="6"/>
        <v>0</v>
      </c>
      <c r="T21" s="26">
        <v>360000</v>
      </c>
      <c r="U21" s="28">
        <v>0.112</v>
      </c>
      <c r="V21" s="28">
        <f t="shared" ref="V21:V25" si="13">SUM(G39:K39)</f>
        <v>0.68</v>
      </c>
      <c r="W21" s="26">
        <v>9360</v>
      </c>
    </row>
    <row r="22" spans="1:23" x14ac:dyDescent="0.25">
      <c r="A22" s="42">
        <v>11</v>
      </c>
      <c r="B22" s="43">
        <f t="shared" si="11"/>
        <v>43046</v>
      </c>
      <c r="C22" s="10">
        <v>0</v>
      </c>
      <c r="D22" s="43">
        <f t="shared" si="12"/>
        <v>43411</v>
      </c>
      <c r="E22" s="44">
        <v>0</v>
      </c>
      <c r="F22" s="44">
        <v>0</v>
      </c>
      <c r="G22" s="44">
        <v>0</v>
      </c>
      <c r="H22" s="44">
        <v>0</v>
      </c>
      <c r="I22" s="10">
        <f t="shared" si="0"/>
        <v>0</v>
      </c>
      <c r="J22" s="36">
        <f t="shared" si="1"/>
        <v>0</v>
      </c>
      <c r="K22" s="36">
        <f t="shared" si="2"/>
        <v>0</v>
      </c>
      <c r="L22" s="36">
        <f t="shared" si="7"/>
        <v>0</v>
      </c>
      <c r="M22" s="36">
        <f t="shared" si="8"/>
        <v>0</v>
      </c>
      <c r="N22" s="10">
        <f t="shared" si="9"/>
        <v>0</v>
      </c>
      <c r="O22" s="10">
        <f t="shared" si="3"/>
        <v>0</v>
      </c>
      <c r="P22" s="10">
        <f t="shared" si="4"/>
        <v>0</v>
      </c>
      <c r="Q22" s="10">
        <f t="shared" si="5"/>
        <v>0</v>
      </c>
      <c r="R22" s="10">
        <f t="shared" si="6"/>
        <v>0</v>
      </c>
      <c r="T22" s="26">
        <v>720000</v>
      </c>
      <c r="U22" s="28">
        <v>0.13500000000000001</v>
      </c>
      <c r="V22" s="28">
        <f t="shared" si="13"/>
        <v>0.67500000000000004</v>
      </c>
      <c r="W22" s="26">
        <v>17640</v>
      </c>
    </row>
    <row r="23" spans="1:23" x14ac:dyDescent="0.25">
      <c r="A23" s="42">
        <v>12</v>
      </c>
      <c r="B23" s="43">
        <f t="shared" si="11"/>
        <v>43077</v>
      </c>
      <c r="C23" s="10">
        <v>0</v>
      </c>
      <c r="D23" s="43">
        <f t="shared" si="12"/>
        <v>43442</v>
      </c>
      <c r="E23" s="44">
        <v>0</v>
      </c>
      <c r="F23" s="44">
        <v>0</v>
      </c>
      <c r="G23" s="44">
        <v>0</v>
      </c>
      <c r="H23" s="44">
        <v>0</v>
      </c>
      <c r="I23" s="10">
        <f t="shared" si="0"/>
        <v>0</v>
      </c>
      <c r="J23" s="36">
        <f t="shared" si="1"/>
        <v>0</v>
      </c>
      <c r="K23" s="36">
        <f t="shared" si="2"/>
        <v>0</v>
      </c>
      <c r="L23" s="36">
        <f t="shared" si="7"/>
        <v>0</v>
      </c>
      <c r="M23" s="36">
        <f t="shared" si="8"/>
        <v>0</v>
      </c>
      <c r="N23" s="10">
        <f t="shared" si="9"/>
        <v>0</v>
      </c>
      <c r="O23" s="10">
        <f t="shared" si="3"/>
        <v>0</v>
      </c>
      <c r="P23" s="10">
        <f t="shared" si="4"/>
        <v>0</v>
      </c>
      <c r="Q23" s="10">
        <f t="shared" si="5"/>
        <v>0</v>
      </c>
      <c r="R23" s="10">
        <f t="shared" si="6"/>
        <v>0</v>
      </c>
      <c r="T23" s="26">
        <v>1800000</v>
      </c>
      <c r="U23" s="27">
        <v>0.16</v>
      </c>
      <c r="V23" s="28">
        <f t="shared" si="13"/>
        <v>0.67500000000000004</v>
      </c>
      <c r="W23" s="26">
        <v>35640</v>
      </c>
    </row>
    <row r="24" spans="1:23" ht="15.75" x14ac:dyDescent="0.25">
      <c r="A24" s="86" t="s">
        <v>7</v>
      </c>
      <c r="B24" s="86"/>
      <c r="C24" s="6">
        <f>SUM(C12:C23)</f>
        <v>0</v>
      </c>
      <c r="D24" s="16"/>
      <c r="E24" s="6">
        <f t="shared" ref="E24:Q24" si="14">SUM(E12:E23)</f>
        <v>0</v>
      </c>
      <c r="F24" s="6">
        <f t="shared" si="14"/>
        <v>0</v>
      </c>
      <c r="G24" s="6">
        <f t="shared" si="14"/>
        <v>0</v>
      </c>
      <c r="H24" s="6">
        <f t="shared" si="14"/>
        <v>0</v>
      </c>
      <c r="I24" s="6">
        <f t="shared" si="14"/>
        <v>0</v>
      </c>
      <c r="J24" s="92"/>
      <c r="K24" s="93"/>
      <c r="L24" s="93"/>
      <c r="M24" s="93"/>
      <c r="N24" s="6">
        <f t="shared" si="14"/>
        <v>0</v>
      </c>
      <c r="O24" s="6">
        <f t="shared" si="14"/>
        <v>0</v>
      </c>
      <c r="P24" s="6">
        <f t="shared" si="14"/>
        <v>0</v>
      </c>
      <c r="Q24" s="6">
        <f t="shared" si="14"/>
        <v>0</v>
      </c>
      <c r="R24" s="6">
        <f>SUM(R12:R23)</f>
        <v>0</v>
      </c>
      <c r="T24" s="26">
        <v>3600000</v>
      </c>
      <c r="U24" s="27">
        <v>0.21</v>
      </c>
      <c r="V24" s="28">
        <f t="shared" si="13"/>
        <v>0.66500000000000004</v>
      </c>
      <c r="W24" s="26">
        <v>125640</v>
      </c>
    </row>
    <row r="25" spans="1:23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26">
        <v>4800000</v>
      </c>
      <c r="U25" s="27">
        <v>0.33</v>
      </c>
      <c r="V25" s="28">
        <f t="shared" si="13"/>
        <v>1</v>
      </c>
      <c r="W25" s="26">
        <v>648000</v>
      </c>
    </row>
    <row r="26" spans="1:23" ht="15.75" x14ac:dyDescent="0.25">
      <c r="A26" s="2"/>
      <c r="B26" s="2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3" ht="17.25" customHeight="1" thickBot="1" x14ac:dyDescent="0.3">
      <c r="A27" s="81" t="s">
        <v>8</v>
      </c>
      <c r="B27" s="82"/>
      <c r="C27" s="82"/>
      <c r="D27" s="83"/>
      <c r="E27" s="3"/>
      <c r="F27" s="84" t="s">
        <v>52</v>
      </c>
      <c r="G27" s="85"/>
      <c r="H27" s="85"/>
      <c r="I27" s="85"/>
      <c r="J27" s="85"/>
      <c r="K27" s="85"/>
      <c r="L27" s="85"/>
      <c r="M27" s="3"/>
      <c r="N27" s="3"/>
      <c r="O27" s="3"/>
      <c r="P27" s="3"/>
      <c r="Q27" s="3"/>
    </row>
    <row r="28" spans="1:23" ht="16.5" thickBot="1" x14ac:dyDescent="0.3">
      <c r="A28" s="73" t="s">
        <v>9</v>
      </c>
      <c r="B28" s="74"/>
      <c r="C28" s="75"/>
      <c r="D28" s="22">
        <f>+I24</f>
        <v>0</v>
      </c>
      <c r="E28" s="11"/>
      <c r="F28" s="31" t="s">
        <v>34</v>
      </c>
      <c r="G28" s="29" t="s">
        <v>13</v>
      </c>
      <c r="H28" s="30" t="s">
        <v>14</v>
      </c>
      <c r="I28" s="30" t="s">
        <v>25</v>
      </c>
      <c r="J28" s="30" t="s">
        <v>26</v>
      </c>
      <c r="K28" s="30" t="s">
        <v>27</v>
      </c>
      <c r="L28" s="30" t="s">
        <v>23</v>
      </c>
      <c r="M28" s="3"/>
      <c r="N28" s="3"/>
      <c r="O28" s="3"/>
      <c r="P28" s="3"/>
      <c r="Q28" s="3"/>
      <c r="V28" s="34"/>
    </row>
    <row r="29" spans="1:23" ht="16.5" thickBot="1" x14ac:dyDescent="0.3">
      <c r="A29" s="69" t="s">
        <v>10</v>
      </c>
      <c r="B29" s="70"/>
      <c r="C29" s="71"/>
      <c r="D29" s="23">
        <f>R24</f>
        <v>0</v>
      </c>
      <c r="E29" s="11"/>
      <c r="F29" s="31" t="s">
        <v>28</v>
      </c>
      <c r="G29" s="32">
        <v>5.5E-2</v>
      </c>
      <c r="H29" s="32">
        <v>3.5000000000000003E-2</v>
      </c>
      <c r="I29" s="32">
        <v>0.12740000000000001</v>
      </c>
      <c r="J29" s="32">
        <v>2.76E-2</v>
      </c>
      <c r="K29" s="32">
        <v>0.41499999999999998</v>
      </c>
      <c r="L29" s="32">
        <v>0.34</v>
      </c>
      <c r="M29" s="3"/>
      <c r="N29" s="3"/>
      <c r="O29" s="3"/>
      <c r="P29" s="3"/>
      <c r="Q29" s="3"/>
      <c r="V29" s="34"/>
    </row>
    <row r="30" spans="1:23" ht="16.5" thickBot="1" x14ac:dyDescent="0.3">
      <c r="A30" s="69" t="s">
        <v>23</v>
      </c>
      <c r="B30" s="70"/>
      <c r="C30" s="71"/>
      <c r="D30" s="24">
        <f>E24*18%</f>
        <v>0</v>
      </c>
      <c r="E30" s="11"/>
      <c r="F30" s="31" t="s">
        <v>29</v>
      </c>
      <c r="G30" s="32">
        <v>5.5E-2</v>
      </c>
      <c r="H30" s="32">
        <v>3.5000000000000003E-2</v>
      </c>
      <c r="I30" s="32">
        <v>0.12740000000000001</v>
      </c>
      <c r="J30" s="32">
        <v>2.76E-2</v>
      </c>
      <c r="K30" s="32">
        <v>0.41499999999999998</v>
      </c>
      <c r="L30" s="32">
        <v>0.34</v>
      </c>
      <c r="M30" s="3"/>
      <c r="N30" s="3"/>
      <c r="O30" s="3"/>
      <c r="P30" s="3"/>
      <c r="Q30" s="3"/>
      <c r="V30" s="34"/>
    </row>
    <row r="31" spans="1:23" ht="16.5" thickBot="1" x14ac:dyDescent="0.3">
      <c r="A31" s="69" t="s">
        <v>11</v>
      </c>
      <c r="B31" s="70"/>
      <c r="C31" s="71"/>
      <c r="D31" s="23">
        <f>D28*0.65%</f>
        <v>0</v>
      </c>
      <c r="E31" s="11"/>
      <c r="F31" s="31" t="s">
        <v>30</v>
      </c>
      <c r="G31" s="32">
        <v>5.5E-2</v>
      </c>
      <c r="H31" s="32">
        <v>3.5000000000000003E-2</v>
      </c>
      <c r="I31" s="32">
        <v>0.12740000000000001</v>
      </c>
      <c r="J31" s="32">
        <v>2.76E-2</v>
      </c>
      <c r="K31" s="32">
        <v>0.42</v>
      </c>
      <c r="L31" s="32">
        <v>0.33500000000000002</v>
      </c>
      <c r="M31" s="3"/>
      <c r="N31" s="3"/>
      <c r="O31" s="3"/>
      <c r="P31" s="3"/>
      <c r="Q31" s="3"/>
      <c r="V31" s="34"/>
    </row>
    <row r="32" spans="1:23" ht="16.5" thickBot="1" x14ac:dyDescent="0.3">
      <c r="A32" s="69" t="s">
        <v>12</v>
      </c>
      <c r="B32" s="70"/>
      <c r="C32" s="71"/>
      <c r="D32" s="23">
        <f>D28*3%</f>
        <v>0</v>
      </c>
      <c r="E32" s="11"/>
      <c r="F32" s="31" t="s">
        <v>31</v>
      </c>
      <c r="G32" s="32">
        <v>5.5E-2</v>
      </c>
      <c r="H32" s="32">
        <v>3.5000000000000003E-2</v>
      </c>
      <c r="I32" s="32">
        <v>0.12740000000000001</v>
      </c>
      <c r="J32" s="32">
        <v>2.76E-2</v>
      </c>
      <c r="K32" s="32">
        <v>0.42</v>
      </c>
      <c r="L32" s="32">
        <v>0.33500000000000002</v>
      </c>
      <c r="M32" s="3"/>
      <c r="N32" s="3"/>
      <c r="O32" s="3"/>
      <c r="P32" s="3"/>
      <c r="Q32" s="3"/>
      <c r="V32" s="34"/>
    </row>
    <row r="33" spans="1:22" ht="16.5" thickBot="1" x14ac:dyDescent="0.3">
      <c r="A33" s="69" t="s">
        <v>13</v>
      </c>
      <c r="B33" s="70"/>
      <c r="C33" s="71"/>
      <c r="D33" s="24">
        <f>((E24+F24)*8%+(G24+H24)*32%)*15%</f>
        <v>0</v>
      </c>
      <c r="E33" s="11"/>
      <c r="F33" s="31" t="s">
        <v>32</v>
      </c>
      <c r="G33" s="32">
        <v>5.5E-2</v>
      </c>
      <c r="H33" s="32">
        <v>3.5000000000000003E-2</v>
      </c>
      <c r="I33" s="32">
        <v>0.12740000000000001</v>
      </c>
      <c r="J33" s="32">
        <v>2.76E-2</v>
      </c>
      <c r="K33" s="32">
        <v>0.42</v>
      </c>
      <c r="L33" s="32">
        <v>0.33500000000000002</v>
      </c>
      <c r="M33" s="3"/>
      <c r="N33" s="3"/>
      <c r="O33" s="3"/>
      <c r="P33" s="3"/>
      <c r="Q33" s="3"/>
      <c r="V33" s="34"/>
    </row>
    <row r="34" spans="1:22" ht="16.5" thickBot="1" x14ac:dyDescent="0.3">
      <c r="A34" s="69" t="s">
        <v>14</v>
      </c>
      <c r="B34" s="70"/>
      <c r="C34" s="71"/>
      <c r="D34" s="24">
        <f>((E24+F24)*12%+(G24+H24)*32%)*9%</f>
        <v>0</v>
      </c>
      <c r="E34" s="11"/>
      <c r="F34" s="31" t="s">
        <v>33</v>
      </c>
      <c r="G34" s="32">
        <v>0.13500000000000001</v>
      </c>
      <c r="H34" s="32">
        <v>0.1</v>
      </c>
      <c r="I34" s="32">
        <v>0.28270000000000001</v>
      </c>
      <c r="J34" s="32">
        <v>6.13E-2</v>
      </c>
      <c r="K34" s="32">
        <v>0.42099999999999999</v>
      </c>
      <c r="L34" s="32">
        <v>0</v>
      </c>
      <c r="M34" s="3"/>
      <c r="N34" s="3"/>
      <c r="O34" s="3"/>
      <c r="P34" s="3"/>
      <c r="Q34" s="3"/>
    </row>
    <row r="35" spans="1:22" ht="15.75" x14ac:dyDescent="0.25">
      <c r="A35" s="72" t="s">
        <v>15</v>
      </c>
      <c r="B35" s="72"/>
      <c r="C35" s="72"/>
      <c r="D35" s="25">
        <f>(D30+D31+D32+D33+D34)-D29</f>
        <v>0</v>
      </c>
      <c r="E35" s="11"/>
      <c r="F35" s="11"/>
      <c r="G35" s="11"/>
      <c r="H35" s="11"/>
      <c r="I35" s="11"/>
      <c r="J35" s="1"/>
      <c r="K35" s="1"/>
      <c r="L35" s="1"/>
      <c r="M35" s="3"/>
      <c r="N35" s="3"/>
      <c r="O35" s="3"/>
      <c r="P35" s="3"/>
      <c r="Q35" s="3"/>
    </row>
    <row r="36" spans="1:22" ht="16.5" thickBot="1" x14ac:dyDescent="0.3">
      <c r="A36" s="8"/>
      <c r="B36" s="8"/>
      <c r="C36" s="8"/>
      <c r="D36" s="9"/>
      <c r="E36" s="9"/>
      <c r="F36" s="84" t="s">
        <v>53</v>
      </c>
      <c r="G36" s="85"/>
      <c r="H36" s="85"/>
      <c r="I36" s="85"/>
      <c r="J36" s="85"/>
      <c r="K36" s="85"/>
      <c r="L36" s="85"/>
      <c r="M36" s="3"/>
      <c r="N36" s="3"/>
      <c r="O36" s="3"/>
      <c r="P36" s="3"/>
      <c r="Q36" s="3"/>
    </row>
    <row r="37" spans="1:22" ht="16.5" thickBot="1" x14ac:dyDescent="0.3">
      <c r="A37" s="8"/>
      <c r="B37" s="8"/>
      <c r="C37" s="8"/>
      <c r="D37" s="9"/>
      <c r="E37" s="9"/>
      <c r="F37" s="31" t="s">
        <v>34</v>
      </c>
      <c r="G37" s="29" t="s">
        <v>13</v>
      </c>
      <c r="H37" s="30" t="s">
        <v>14</v>
      </c>
      <c r="I37" s="30" t="s">
        <v>25</v>
      </c>
      <c r="J37" s="30" t="s">
        <v>26</v>
      </c>
      <c r="K37" s="30" t="s">
        <v>27</v>
      </c>
      <c r="L37" s="30" t="s">
        <v>42</v>
      </c>
      <c r="M37" s="3"/>
      <c r="N37" s="3"/>
      <c r="O37" s="3"/>
      <c r="P37" s="3"/>
      <c r="Q37" s="3"/>
    </row>
    <row r="38" spans="1:22" ht="16.5" thickBot="1" x14ac:dyDescent="0.3">
      <c r="A38" s="17"/>
      <c r="B38" s="8"/>
      <c r="C38" s="8"/>
      <c r="D38" s="9"/>
      <c r="E38" s="9"/>
      <c r="F38" s="31" t="s">
        <v>28</v>
      </c>
      <c r="G38" s="32">
        <v>0.04</v>
      </c>
      <c r="H38" s="32">
        <v>3.5000000000000003E-2</v>
      </c>
      <c r="I38" s="32">
        <v>0.12820000000000001</v>
      </c>
      <c r="J38" s="32">
        <v>2.7799999999999998E-2</v>
      </c>
      <c r="K38" s="32">
        <v>0.434</v>
      </c>
      <c r="L38" s="32">
        <v>0.33500000000000002</v>
      </c>
      <c r="M38" s="3"/>
      <c r="N38" s="3"/>
      <c r="O38" s="3"/>
      <c r="P38" s="3"/>
      <c r="Q38" s="3"/>
    </row>
    <row r="39" spans="1:22" ht="16.5" thickBot="1" x14ac:dyDescent="0.3">
      <c r="A39" s="17"/>
      <c r="B39" s="8"/>
      <c r="C39" s="8"/>
      <c r="D39" s="9"/>
      <c r="E39" s="9"/>
      <c r="F39" s="31" t="s">
        <v>29</v>
      </c>
      <c r="G39" s="32">
        <v>0.04</v>
      </c>
      <c r="H39" s="32">
        <v>3.5000000000000003E-2</v>
      </c>
      <c r="I39" s="32">
        <v>0.14050000000000001</v>
      </c>
      <c r="J39" s="32">
        <v>3.0499999999999999E-2</v>
      </c>
      <c r="K39" s="32">
        <v>0.434</v>
      </c>
      <c r="L39" s="32">
        <v>0.32</v>
      </c>
      <c r="M39" s="3"/>
      <c r="N39" s="3"/>
      <c r="O39" s="3"/>
      <c r="P39" s="3"/>
      <c r="Q39" s="3"/>
    </row>
    <row r="40" spans="1:22" ht="16.5" thickBot="1" x14ac:dyDescent="0.3">
      <c r="A40" s="17"/>
      <c r="B40" s="8"/>
      <c r="C40" s="8"/>
      <c r="D40" s="9"/>
      <c r="E40" s="9"/>
      <c r="F40" s="31" t="s">
        <v>30</v>
      </c>
      <c r="G40" s="32">
        <v>0.04</v>
      </c>
      <c r="H40" s="32">
        <v>3.5000000000000003E-2</v>
      </c>
      <c r="I40" s="32">
        <v>0.13639999999999999</v>
      </c>
      <c r="J40" s="32">
        <v>2.9600000000000001E-2</v>
      </c>
      <c r="K40" s="32">
        <v>0.434</v>
      </c>
      <c r="L40" s="32">
        <v>0.32500000000000001</v>
      </c>
      <c r="M40" s="3"/>
      <c r="N40" s="3"/>
      <c r="O40" s="3"/>
      <c r="P40" s="3"/>
      <c r="Q40" s="3"/>
    </row>
    <row r="41" spans="1:22" ht="16.5" thickBot="1" x14ac:dyDescent="0.3">
      <c r="F41" s="31" t="s">
        <v>31</v>
      </c>
      <c r="G41" s="32">
        <v>0.04</v>
      </c>
      <c r="H41" s="32">
        <v>3.5000000000000003E-2</v>
      </c>
      <c r="I41" s="32">
        <v>0.13639999999999999</v>
      </c>
      <c r="J41" s="32">
        <v>2.9600000000000001E-2</v>
      </c>
      <c r="K41" s="32">
        <v>0.434</v>
      </c>
      <c r="L41" s="32">
        <v>0.32500000000000001</v>
      </c>
      <c r="M41" s="3"/>
      <c r="N41" s="3"/>
      <c r="O41" s="3"/>
      <c r="P41" s="3"/>
      <c r="Q41" s="3"/>
    </row>
    <row r="42" spans="1:22" ht="16.5" thickBot="1" x14ac:dyDescent="0.3">
      <c r="F42" s="31" t="s">
        <v>32</v>
      </c>
      <c r="G42" s="32">
        <v>0.04</v>
      </c>
      <c r="H42" s="32">
        <v>3.5000000000000003E-2</v>
      </c>
      <c r="I42" s="32">
        <v>0.12820000000000001</v>
      </c>
      <c r="J42" s="32">
        <v>2.7799999999999998E-2</v>
      </c>
      <c r="K42" s="32">
        <v>0.434</v>
      </c>
      <c r="L42" s="32">
        <v>0.33500000000000002</v>
      </c>
      <c r="M42" s="3"/>
      <c r="N42" s="3"/>
      <c r="O42" s="3"/>
      <c r="P42" s="3"/>
      <c r="Q42" s="3"/>
    </row>
    <row r="43" spans="1:22" ht="16.5" thickBot="1" x14ac:dyDescent="0.3">
      <c r="F43" s="31" t="s">
        <v>33</v>
      </c>
      <c r="G43" s="32">
        <v>0.35</v>
      </c>
      <c r="H43" s="32">
        <v>0.15</v>
      </c>
      <c r="I43" s="32">
        <v>0.1603</v>
      </c>
      <c r="J43" s="32">
        <v>3.4700000000000002E-2</v>
      </c>
      <c r="K43" s="32">
        <v>0.30499999999999999</v>
      </c>
      <c r="L43" s="32">
        <v>0</v>
      </c>
      <c r="M43" s="3"/>
      <c r="N43" s="3"/>
      <c r="O43" s="3"/>
      <c r="P43" s="3"/>
      <c r="Q43" s="3"/>
    </row>
  </sheetData>
  <mergeCells count="19">
    <mergeCell ref="F36:L36"/>
    <mergeCell ref="A30:C30"/>
    <mergeCell ref="A31:C31"/>
    <mergeCell ref="A32:C32"/>
    <mergeCell ref="A33:C33"/>
    <mergeCell ref="A34:C34"/>
    <mergeCell ref="A35:C35"/>
    <mergeCell ref="A29:C29"/>
    <mergeCell ref="A6:N6"/>
    <mergeCell ref="A8:N8"/>
    <mergeCell ref="E10:I10"/>
    <mergeCell ref="J10:K10"/>
    <mergeCell ref="L10:M10"/>
    <mergeCell ref="N10:Q10"/>
    <mergeCell ref="A24:B24"/>
    <mergeCell ref="J24:M24"/>
    <mergeCell ref="A27:D27"/>
    <mergeCell ref="F27:L27"/>
    <mergeCell ref="A28:C2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52"/>
  <sheetViews>
    <sheetView workbookViewId="0">
      <selection activeCell="T23" sqref="T23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6" width="15.140625" customWidth="1"/>
    <col min="7" max="7" width="17" customWidth="1"/>
    <col min="8" max="10" width="15.140625" customWidth="1"/>
    <col min="11" max="11" width="16.5703125" bestFit="1" customWidth="1"/>
    <col min="12" max="12" width="18.5703125" customWidth="1"/>
    <col min="13" max="17" width="18.85546875" customWidth="1"/>
    <col min="18" max="23" width="16.5703125" customWidth="1"/>
    <col min="24" max="24" width="14.85546875" customWidth="1"/>
    <col min="26" max="26" width="29.140625" customWidth="1"/>
    <col min="27" max="27" width="9.28515625" bestFit="1" customWidth="1"/>
    <col min="28" max="28" width="12.85546875" customWidth="1"/>
    <col min="29" max="29" width="17.28515625" bestFit="1" customWidth="1"/>
  </cols>
  <sheetData>
    <row r="1" spans="1:29" s="48" customFormat="1" ht="18" customHeight="1" x14ac:dyDescent="0.3">
      <c r="A1" s="47"/>
      <c r="B1" s="47"/>
      <c r="C1" s="47"/>
      <c r="D1" s="12" t="s">
        <v>21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9" s="48" customFormat="1" ht="18" customHeight="1" x14ac:dyDescent="0.3">
      <c r="A2" s="49"/>
      <c r="B2" s="49"/>
      <c r="C2" s="49"/>
      <c r="D2" s="13" t="s">
        <v>22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9" s="48" customFormat="1" ht="18" customHeight="1" x14ac:dyDescent="0.3">
      <c r="A3" s="49"/>
      <c r="B3" s="50"/>
      <c r="C3" s="50"/>
      <c r="D3" s="13" t="s">
        <v>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spans="1:29" s="48" customFormat="1" ht="18" customHeight="1" x14ac:dyDescent="0.3">
      <c r="A4" s="49"/>
      <c r="B4" s="49"/>
      <c r="C4" s="49"/>
      <c r="D4" s="13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9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9" ht="18" x14ac:dyDescent="0.25">
      <c r="A6" s="76" t="s">
        <v>85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52"/>
      <c r="T6" s="52"/>
      <c r="U6" s="52"/>
      <c r="V6" s="52"/>
      <c r="W6" s="52"/>
      <c r="X6" s="12"/>
    </row>
    <row r="7" spans="1:29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9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53"/>
      <c r="T8" s="53"/>
      <c r="U8" s="53"/>
      <c r="V8" s="53"/>
      <c r="W8" s="53"/>
      <c r="X8" s="15"/>
    </row>
    <row r="9" spans="1:29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15"/>
    </row>
    <row r="10" spans="1:29" ht="15.75" x14ac:dyDescent="0.25">
      <c r="A10" s="18"/>
      <c r="B10" s="18"/>
      <c r="C10" s="18"/>
      <c r="D10" s="18"/>
      <c r="E10" s="88" t="s">
        <v>66</v>
      </c>
      <c r="F10" s="88"/>
      <c r="G10" s="88"/>
      <c r="H10" s="88"/>
      <c r="I10" s="88"/>
      <c r="J10" s="88"/>
      <c r="K10" s="88"/>
      <c r="L10" s="89" t="s">
        <v>86</v>
      </c>
      <c r="M10" s="89"/>
      <c r="N10" s="90" t="s">
        <v>87</v>
      </c>
      <c r="O10" s="90"/>
      <c r="P10" s="90" t="s">
        <v>88</v>
      </c>
      <c r="Q10" s="90"/>
      <c r="R10" s="95" t="s">
        <v>60</v>
      </c>
      <c r="S10" s="96"/>
      <c r="T10" s="96"/>
      <c r="U10" s="96"/>
      <c r="V10" s="96"/>
      <c r="W10" s="97"/>
      <c r="X10" s="5"/>
      <c r="Z10" s="94" t="s">
        <v>89</v>
      </c>
      <c r="AA10" s="94"/>
      <c r="AB10" s="94"/>
      <c r="AC10" s="94"/>
    </row>
    <row r="11" spans="1:29" ht="38.25" x14ac:dyDescent="0.25">
      <c r="A11" s="61" t="s">
        <v>1</v>
      </c>
      <c r="B11" s="61" t="s">
        <v>2</v>
      </c>
      <c r="C11" s="61" t="s">
        <v>3</v>
      </c>
      <c r="D11" s="61" t="s">
        <v>4</v>
      </c>
      <c r="E11" s="61" t="s">
        <v>54</v>
      </c>
      <c r="F11" s="61" t="s">
        <v>62</v>
      </c>
      <c r="G11" s="61" t="s">
        <v>90</v>
      </c>
      <c r="H11" s="61" t="s">
        <v>91</v>
      </c>
      <c r="I11" s="61" t="s">
        <v>92</v>
      </c>
      <c r="J11" s="61" t="s">
        <v>93</v>
      </c>
      <c r="K11" s="61" t="s">
        <v>5</v>
      </c>
      <c r="L11" s="61" t="s">
        <v>54</v>
      </c>
      <c r="M11" s="61" t="s">
        <v>62</v>
      </c>
      <c r="N11" s="61" t="s">
        <v>64</v>
      </c>
      <c r="O11" s="61" t="s">
        <v>65</v>
      </c>
      <c r="P11" s="61" t="s">
        <v>64</v>
      </c>
      <c r="Q11" s="61" t="s">
        <v>65</v>
      </c>
      <c r="R11" s="61" t="s">
        <v>54</v>
      </c>
      <c r="S11" s="61" t="s">
        <v>57</v>
      </c>
      <c r="T11" s="61" t="s">
        <v>90</v>
      </c>
      <c r="U11" s="61" t="s">
        <v>91</v>
      </c>
      <c r="V11" s="61" t="s">
        <v>92</v>
      </c>
      <c r="W11" s="61" t="s">
        <v>94</v>
      </c>
      <c r="X11" s="61" t="s">
        <v>6</v>
      </c>
      <c r="Z11" s="61" t="s">
        <v>18</v>
      </c>
      <c r="AA11" s="61" t="s">
        <v>19</v>
      </c>
      <c r="AB11" s="61" t="s">
        <v>35</v>
      </c>
      <c r="AC11" s="61" t="s">
        <v>20</v>
      </c>
    </row>
    <row r="12" spans="1:29" ht="30" customHeight="1" x14ac:dyDescent="0.25">
      <c r="A12" s="56">
        <v>1</v>
      </c>
      <c r="B12" s="57">
        <v>42736</v>
      </c>
      <c r="C12" s="58">
        <v>180000</v>
      </c>
      <c r="D12" s="57">
        <v>43101</v>
      </c>
      <c r="E12" s="59">
        <v>10000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8">
        <f>SUM(E12:J12)</f>
        <v>10000</v>
      </c>
      <c r="L12" s="62">
        <f t="shared" ref="L12:L23" si="0">IF(C12=0,0,IF(C12&lt;=Z$12,AA$12,IF(C12&lt;=Z$13,((C12*AA$13-AC$13)/C12),IF(C12&lt;=Z$14,((C12*AA$14-AC$14)/C12),IF(C12&lt;=Z$15,((C12*AA$15-AC$15)/C12),IF(C12&lt;=Z$16,((C12*AA$16-AC$16)/C12),IF(C12&lt;=Z$17,((C12*AA$17-AC$17)/C12),0)))))))</f>
        <v>0.04</v>
      </c>
      <c r="M12" s="62">
        <f t="shared" ref="M12:M23" si="1">IF(C12=0,0,IF(C12&lt;=Z$12,AA$12*AB$12,IF(C12&lt;=Z$13,((C12*AA$13-AC$13)/C12*(AB$13)),IF(C12&lt;=Z$14,((C12*AA$14-AC$14)/C12*(AB$14)),IF(C12&lt;=Z$15,((C12*AA$15-AC$15)/C12*(AB$15)),IF(C12&lt;=Z$16,((C12*AA$16-AC$16)/C12*(AB$16)),IF(C12&lt;=Z$17,((C12*AA$17-AC$17)/C12*(AB$17)),0)))))))</f>
        <v>2.6399999999999996E-2</v>
      </c>
      <c r="N12" s="62">
        <f>IF(C12=0,0,IF(C12&lt;=Z$20,AA$20,IF(C12&lt;=Z$21,((C12*AA$21-AC$21)/C12),IF(C12&lt;=Z$22,((C12*AA$22-AC$22)/C12),IF(C12&lt;=Z$23,((C12*AA$23-AC$23)/C12),IF(C12&lt;=Z$24,((C12*AA$24-AC$24)/C12),IF(C12&lt;=Z$25,((C12*AA$25-AC$25)/C12),0)))))))</f>
        <v>0.06</v>
      </c>
      <c r="O12" s="62">
        <f>IF(C12=0,0,IF(C12&lt;=Z$20,AA$20*AB$20,IF(C12&lt;=Z$21,((C12*AA$21-AC$21)/C12*(AB$21)),IF(C12&lt;=Z$22,((C12*AA$22-AC$22)/C12*(AB$22)),IF(C12&lt;=Z$23,((C12*AA$23-AC$23)/C12*(AB$23)),IF(C12&lt;=Z$24,((C12*AA$24-AC$24)/C12*(AB$24)),IF(C12&lt;=Z$25,((C12*AA$25-AC$25)/C12*(AB$25)),0)))))))</f>
        <v>3.9899999999999998E-2</v>
      </c>
      <c r="P12" s="62">
        <f>IF(C12=0,0,IF(C12&lt;=Z$28,AA$28,
IF(C12&lt;=Z$29,((C12*AA$29-AC$29)/C12),
IF(C12&lt;=Z$30,((C12*AA$30-AC$30)/C12),
IF(C12&lt;=Z$31,((C12*AA$31-AC$31)/C12),
IF(C12&lt;=Z$32,((C12*AA$32-AC$32)/C12),
IF(C12&lt;=Z$33,((C12*AA$33-AC$33)/C12),0)))))))</f>
        <v>4.4999999999999998E-2</v>
      </c>
      <c r="Q12" s="62">
        <f>IF(C12=0,0,IF(C12&lt;=Z$28,AA$28*AB$28,
IF(C12&lt;=Z$29,((C12*AA$29-AC$29)/C12*(AB$29)),
IF(C12&lt;=Z$30,((C12*AA$30-AC$30)/C12*(AB$30)),
IF(C12&lt;=Z$31,((C12*AA$31-AC$31)/C12*(AB$31)),
IF(C12&lt;=Z$32,((C12*AA$32-AC$32)/C12*(AB$32)),
IF(C12&lt;=Z$33,((C12*AA$33-AC$33)/C12*(AB$33)),0)))))))</f>
        <v>2.4974999999999997E-2</v>
      </c>
      <c r="R12" s="58">
        <f>IF(C12&lt;=Z$12,E12*AA$12,IF(C12&lt;=Z$13,((C12*AA$13-AC$13)/C12)*E12,IF(C12&lt;=Z$14,((C12*AA$14-AC$14)/C12)*E12,IF(C12&lt;=Z$15,((C12*AA$15-AC$15)/C12)*E12,IF(C12&lt;=Z$16,((C12*AA$16-AC$16)/C12)*E12,IF(C12&lt;=Z$17,((C12*AA$17-AC$17)/C12)*E12,0))))))</f>
        <v>400</v>
      </c>
      <c r="S12" s="58">
        <f t="shared" ref="S12:S23" si="2">IF(C12&lt;=Z$12,(F12*AA$12)*AB$12,IF(C12&lt;=Z$13,((C12*AA$13-AC$13)/C12)*AB$13*F12,IF(C12&lt;=Z$14,((C12*AA$14-AC$14)/C12)*AB$14*F12,IF(C12&lt;=Z$15,((C12*AA$15-AC$15)/C12)*AB$15*F12,IF(C12&lt;=Z$16,((C12*AA$16-AC$16)/C12)*AB$16*F12,IF(C12&lt;=Z$17,((C12*AA$17-AC$17)/C12)*AB$17*F12,0))))))</f>
        <v>0</v>
      </c>
      <c r="T12" s="58">
        <f t="shared" ref="T12:T23" si="3">IF(C12&lt;=Z$20,G12*AA$20,IF(C12&lt;=Z$21,((C12*AA$21-AC$21)/C12)*G12,IF(C12&lt;=Z$22,((C12*AA$22-AC$22)/C12)*G12,IF(C12&lt;=Z$23,((C12*AA$23-AC$23)/C12)*G12,IF(C12&lt;=Z$24,((C12*AA$24-AC$24)/C12)*G12,IF(C12&lt;=Z$25,((C12*AA$25-AC$25)/C12)*G12,0))))))</f>
        <v>0</v>
      </c>
      <c r="U12" s="58">
        <f t="shared" ref="U12:U23" si="4">IF(C12&lt;=Z$20,H12*AB$20*AA$20,IF(C12&lt;=Z$21,((C12*AA$21-AC$21)/C12)*AB$21*H12,IF(C12&lt;=Z$22,((C12*AA$22-AC$22)/C12)*AB$22*H12,IF(C12&lt;=Z$23,((C12*AA$23-AC$23)/C12)*AB$23*H12,IF(C12&lt;=Z$24,((C12*AA$24-AC$24)/C12)*AB$24*H12,IF(C12&lt;=Z$25,((C12*AA$25-AC$25)/C12)*AB$25*H12,0))))))</f>
        <v>0</v>
      </c>
      <c r="V12" s="58">
        <f>IF(C12&lt;=Z$28,I12*AA$28,
IF(C12&lt;=Z$29,((C12*AA$29-AC$29)/C12)*I12,
IF(C12&lt;=Z$30,((C12*AA$30-AC$30)/C12)*I12,
IF(C12&lt;=Z$31,((C12*AA$31-AC$31)/C12)*I12,
IF(C12&lt;=Z$32,((C12*AA$32-AC$32)/C12)*I12,
IF(C12&lt;=Z$33,((C12*AA$33-AC$33)/C12)*I12,0))))))</f>
        <v>0</v>
      </c>
      <c r="W12" s="58">
        <f>IF(C12&lt;=Z$28,J12*AB$28*AA$28,
IF(C12&lt;=Z$29,((C12*AA$29-AC$29)/C12)*AB$29*J12,
IF(C12&lt;=Z$30,((C12*AA$30-AC$30)/C12)*AB$30*J12,
IF(C12&lt;=Z$31,((C12*AA$31-AC$31)/C12)*AB$31*J12,
IF(C12&lt;=Z$32,((C12*AA$32-AC$32)/C12)*AB$32*J12,
IF(C12&lt;=Z$33,((C12*AA$33-AC$33)/C12)*AB$33*J12,0))))))</f>
        <v>0</v>
      </c>
      <c r="X12" s="58">
        <f>SUM(R12:W12)</f>
        <v>400</v>
      </c>
      <c r="Z12" s="26">
        <v>180000</v>
      </c>
      <c r="AA12" s="27">
        <v>0.04</v>
      </c>
      <c r="AB12" s="28">
        <f>SUM(G29:M29)</f>
        <v>0.65999999999999992</v>
      </c>
      <c r="AC12" s="26">
        <v>0</v>
      </c>
    </row>
    <row r="13" spans="1:29" ht="30" customHeight="1" x14ac:dyDescent="0.25">
      <c r="A13" s="56">
        <v>2</v>
      </c>
      <c r="B13" s="57">
        <f>B12+31</f>
        <v>42767</v>
      </c>
      <c r="C13" s="58">
        <v>0</v>
      </c>
      <c r="D13" s="57">
        <f>D12+31</f>
        <v>43132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8">
        <f t="shared" ref="K13:K23" si="5">SUM(E13:J13)</f>
        <v>0</v>
      </c>
      <c r="L13" s="62">
        <f t="shared" si="0"/>
        <v>0</v>
      </c>
      <c r="M13" s="62">
        <f t="shared" si="1"/>
        <v>0</v>
      </c>
      <c r="N13" s="62">
        <f t="shared" ref="N13:N23" si="6">IF(E13=0,0,IF(E13&lt;=AB$12,AC$12,IF(E13&lt;=AB$13,((E13*AC$13-AE$13)/E13),IF(E13&lt;=AB$14,((E13*AC$14-AE$14)/E13),IF(E13&lt;=AB$15,((E13*AC$15-AE$15)/E13),IF(E13&lt;=AB$16,((E13*AC$16-AE$16)/E13),IF(E13&lt;=AB$17,((E13*AC$17-AE$17)/E13),0)))))))</f>
        <v>0</v>
      </c>
      <c r="O13" s="62">
        <f t="shared" ref="O13:O23" si="7">IF(E13=0,0,IF(E13&lt;=AB$12,AC$12*AD$12,IF(E13&lt;=AB$13,((E13*AC$13-AE$13)/E13*(AD$13)),IF(E13&lt;=AB$14,((E13*AC$14-AE$14)/E13*(AD$14)),IF(E13&lt;=AB$15,((E13*AC$15-AE$15)/E13*(AD$15)),IF(E13&lt;=AB$16,((E13*AC$16-AE$16)/E13*(AD$16)),IF(E13&lt;=AB$17,((E13*AC$17-AE$17)/E13*(AD$17)),0)))))))</f>
        <v>0</v>
      </c>
      <c r="P13" s="62">
        <f t="shared" ref="P13:P23" si="8">IF(E13=0,0,IF(E13&lt;=AB$28,AC$28,IF(E13&lt;=AB$29,((E13*AC$29-AE$29)/E13),IF(E13&lt;=AB$30,((E13*AC$30-AE$30)/E13),IF(E13&lt;=AB$31,((E13*AC$31-AE$31)/E13),IF(E13&lt;=AB$32,((E13*AC$32-AE$32)/E13),IF(E13&lt;=AB$33,((E13*AC$33-AE$33)/E13),0)))))))</f>
        <v>0</v>
      </c>
      <c r="Q13" s="62">
        <f t="shared" ref="Q13:Q23" si="9">IF(E13=0,0,IF(E13&lt;=AB$20,AC$20*AD$20,IF(E13&lt;=AB$21,((E13*AC$21-AE$21)/E13*(AD$21)),IF(E13&lt;=AB$22,((E13*AC$22-AE$22)/E13*(AD$22)),IF(E13&lt;=AB$23,((E13*AC$23-AE$23)/E13*(AD$23)),IF(E13&lt;=AB$24,((E13*AC$24-AE$24)/E13*(AD$24)),IF(E13&lt;=AB$25,((E13*AC$25-AE$25)/E13*(AD$25)),0)))))))</f>
        <v>0</v>
      </c>
      <c r="R13" s="58">
        <f t="shared" ref="R13:R23" si="10">IF(C13&lt;=Z$12,E13*AA$12,IF(C13&lt;=Z$13,((C13*AA$13-AC$13)/C13)*E13,IF(C13&lt;=Z$14,((C13*AA$14-AC$14)/C13)*E13,IF(C13&lt;=Z$15,((C13*AA$15-AC$15)/C13)*E13,IF(C13&lt;=Z$16,((C13*AA$16-AC$16)/C13)*E13,IF(C13&lt;=Z$17,((C13*AA$17-AC$17)/C13)*E13,0))))))</f>
        <v>0</v>
      </c>
      <c r="S13" s="58">
        <f t="shared" si="2"/>
        <v>0</v>
      </c>
      <c r="T13" s="58">
        <f t="shared" si="3"/>
        <v>0</v>
      </c>
      <c r="U13" s="58">
        <f t="shared" si="4"/>
        <v>0</v>
      </c>
      <c r="V13" s="58"/>
      <c r="W13" s="58">
        <f t="shared" ref="W13:W23" si="11">IF(C13&lt;=Z$28,J13*AB$28*AA$28,
IF(C13&lt;=Z$29,((C13*AA$29-AC$29)/C13)*AB$29*J13,
IF(C13&lt;=Z$30,((C13*AA$30-AC$30)/C13)*AB$30*J13,
IF(C13&lt;=Z$31,((C13*AA$31-AC$31)/C13)*AB$31*J13,
IF(C13&lt;=Z$32,((C13*AA$32-AC$32)/C13)*AB$32*J13,
IF(C13&lt;=Z$33,((C13*AA$33-AC$33)/C13)*AB$33*J13,0))))))</f>
        <v>0</v>
      </c>
      <c r="X13" s="58">
        <f t="shared" ref="X13:X23" si="12">SUM(R13:W13)</f>
        <v>0</v>
      </c>
      <c r="Z13" s="26">
        <v>360000</v>
      </c>
      <c r="AA13" s="28">
        <v>7.2999999999999995E-2</v>
      </c>
      <c r="AB13" s="28">
        <f t="shared" ref="AB13:AB17" si="13">SUM(G30:M30)</f>
        <v>0.65999999999999992</v>
      </c>
      <c r="AC13" s="26">
        <v>5940</v>
      </c>
    </row>
    <row r="14" spans="1:29" ht="30" customHeight="1" x14ac:dyDescent="0.25">
      <c r="A14" s="56">
        <v>3</v>
      </c>
      <c r="B14" s="57">
        <f t="shared" ref="B14:B23" si="14">B13+31</f>
        <v>42798</v>
      </c>
      <c r="C14" s="58">
        <v>0</v>
      </c>
      <c r="D14" s="57">
        <f t="shared" ref="D14:D23" si="15">D13+31</f>
        <v>43163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8">
        <f t="shared" si="5"/>
        <v>0</v>
      </c>
      <c r="L14" s="62">
        <f t="shared" si="0"/>
        <v>0</v>
      </c>
      <c r="M14" s="62">
        <f t="shared" si="1"/>
        <v>0</v>
      </c>
      <c r="N14" s="62">
        <f t="shared" si="6"/>
        <v>0</v>
      </c>
      <c r="O14" s="62">
        <f t="shared" si="7"/>
        <v>0</v>
      </c>
      <c r="P14" s="62">
        <f t="shared" si="8"/>
        <v>0</v>
      </c>
      <c r="Q14" s="62">
        <f t="shared" si="9"/>
        <v>0</v>
      </c>
      <c r="R14" s="58">
        <f t="shared" si="10"/>
        <v>0</v>
      </c>
      <c r="S14" s="58">
        <f t="shared" si="2"/>
        <v>0</v>
      </c>
      <c r="T14" s="58">
        <f t="shared" si="3"/>
        <v>0</v>
      </c>
      <c r="U14" s="58">
        <f t="shared" si="4"/>
        <v>0</v>
      </c>
      <c r="V14" s="58"/>
      <c r="W14" s="58">
        <f t="shared" si="11"/>
        <v>0</v>
      </c>
      <c r="X14" s="58">
        <f t="shared" si="12"/>
        <v>0</v>
      </c>
      <c r="Z14" s="26">
        <v>720000</v>
      </c>
      <c r="AA14" s="28">
        <v>9.5000000000000001E-2</v>
      </c>
      <c r="AB14" s="28">
        <f t="shared" si="13"/>
        <v>0.66500000000000004</v>
      </c>
      <c r="AC14" s="26">
        <v>13860</v>
      </c>
    </row>
    <row r="15" spans="1:29" ht="30" customHeight="1" x14ac:dyDescent="0.25">
      <c r="A15" s="56">
        <v>4</v>
      </c>
      <c r="B15" s="57">
        <f t="shared" si="14"/>
        <v>42829</v>
      </c>
      <c r="C15" s="58">
        <v>0</v>
      </c>
      <c r="D15" s="57">
        <f t="shared" si="15"/>
        <v>43194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8">
        <f t="shared" si="5"/>
        <v>0</v>
      </c>
      <c r="L15" s="62">
        <f t="shared" si="0"/>
        <v>0</v>
      </c>
      <c r="M15" s="62">
        <f t="shared" si="1"/>
        <v>0</v>
      </c>
      <c r="N15" s="62">
        <f t="shared" si="6"/>
        <v>0</v>
      </c>
      <c r="O15" s="62">
        <f t="shared" si="7"/>
        <v>0</v>
      </c>
      <c r="P15" s="62">
        <f t="shared" si="8"/>
        <v>0</v>
      </c>
      <c r="Q15" s="62">
        <f t="shared" si="9"/>
        <v>0</v>
      </c>
      <c r="R15" s="58">
        <f t="shared" si="10"/>
        <v>0</v>
      </c>
      <c r="S15" s="58">
        <f t="shared" si="2"/>
        <v>0</v>
      </c>
      <c r="T15" s="58">
        <f t="shared" si="3"/>
        <v>0</v>
      </c>
      <c r="U15" s="58">
        <f t="shared" si="4"/>
        <v>0</v>
      </c>
      <c r="V15" s="58"/>
      <c r="W15" s="58">
        <f t="shared" si="11"/>
        <v>0</v>
      </c>
      <c r="X15" s="58">
        <f t="shared" si="12"/>
        <v>0</v>
      </c>
      <c r="Z15" s="26">
        <v>1800000</v>
      </c>
      <c r="AA15" s="28">
        <v>0.107</v>
      </c>
      <c r="AB15" s="28">
        <f t="shared" si="13"/>
        <v>0.66500000000000004</v>
      </c>
      <c r="AC15" s="26">
        <v>22500</v>
      </c>
    </row>
    <row r="16" spans="1:29" ht="30" customHeight="1" x14ac:dyDescent="0.25">
      <c r="A16" s="56">
        <v>5</v>
      </c>
      <c r="B16" s="57">
        <f t="shared" si="14"/>
        <v>42860</v>
      </c>
      <c r="C16" s="58">
        <v>0</v>
      </c>
      <c r="D16" s="57">
        <f t="shared" si="15"/>
        <v>43225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8">
        <f t="shared" si="5"/>
        <v>0</v>
      </c>
      <c r="L16" s="62">
        <f t="shared" si="0"/>
        <v>0</v>
      </c>
      <c r="M16" s="62">
        <f t="shared" si="1"/>
        <v>0</v>
      </c>
      <c r="N16" s="62">
        <f t="shared" si="6"/>
        <v>0</v>
      </c>
      <c r="O16" s="62">
        <f t="shared" si="7"/>
        <v>0</v>
      </c>
      <c r="P16" s="62">
        <f t="shared" si="8"/>
        <v>0</v>
      </c>
      <c r="Q16" s="62">
        <f t="shared" si="9"/>
        <v>0</v>
      </c>
      <c r="R16" s="58">
        <f t="shared" si="10"/>
        <v>0</v>
      </c>
      <c r="S16" s="58">
        <f t="shared" si="2"/>
        <v>0</v>
      </c>
      <c r="T16" s="58">
        <f t="shared" si="3"/>
        <v>0</v>
      </c>
      <c r="U16" s="58">
        <f t="shared" si="4"/>
        <v>0</v>
      </c>
      <c r="V16" s="58"/>
      <c r="W16" s="58">
        <f t="shared" si="11"/>
        <v>0</v>
      </c>
      <c r="X16" s="58">
        <f t="shared" si="12"/>
        <v>0</v>
      </c>
      <c r="Z16" s="26">
        <v>3600000</v>
      </c>
      <c r="AA16" s="28">
        <v>0.14299999999999999</v>
      </c>
      <c r="AB16" s="28">
        <f t="shared" si="13"/>
        <v>0.66500000000000004</v>
      </c>
      <c r="AC16" s="26">
        <v>87300</v>
      </c>
    </row>
    <row r="17" spans="1:29" ht="30" customHeight="1" x14ac:dyDescent="0.25">
      <c r="A17" s="56">
        <v>6</v>
      </c>
      <c r="B17" s="57">
        <f t="shared" si="14"/>
        <v>42891</v>
      </c>
      <c r="C17" s="58">
        <v>0</v>
      </c>
      <c r="D17" s="57">
        <f t="shared" si="15"/>
        <v>43256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8">
        <f t="shared" si="5"/>
        <v>0</v>
      </c>
      <c r="L17" s="62">
        <f t="shared" si="0"/>
        <v>0</v>
      </c>
      <c r="M17" s="62">
        <f t="shared" si="1"/>
        <v>0</v>
      </c>
      <c r="N17" s="62">
        <f t="shared" si="6"/>
        <v>0</v>
      </c>
      <c r="O17" s="62">
        <f t="shared" si="7"/>
        <v>0</v>
      </c>
      <c r="P17" s="62">
        <f t="shared" si="8"/>
        <v>0</v>
      </c>
      <c r="Q17" s="62">
        <f t="shared" si="9"/>
        <v>0</v>
      </c>
      <c r="R17" s="58">
        <f t="shared" si="10"/>
        <v>0</v>
      </c>
      <c r="S17" s="58">
        <f t="shared" si="2"/>
        <v>0</v>
      </c>
      <c r="T17" s="58">
        <f t="shared" si="3"/>
        <v>0</v>
      </c>
      <c r="U17" s="58">
        <f t="shared" si="4"/>
        <v>0</v>
      </c>
      <c r="V17" s="58"/>
      <c r="W17" s="58">
        <f t="shared" si="11"/>
        <v>0</v>
      </c>
      <c r="X17" s="58">
        <f t="shared" si="12"/>
        <v>0</v>
      </c>
      <c r="Z17" s="26">
        <v>4800000</v>
      </c>
      <c r="AA17" s="27">
        <v>0.19</v>
      </c>
      <c r="AB17" s="28">
        <f t="shared" si="13"/>
        <v>1</v>
      </c>
      <c r="AC17" s="26">
        <v>378000</v>
      </c>
    </row>
    <row r="18" spans="1:29" ht="30" customHeight="1" x14ac:dyDescent="0.25">
      <c r="A18" s="56">
        <v>7</v>
      </c>
      <c r="B18" s="57">
        <f t="shared" si="14"/>
        <v>42922</v>
      </c>
      <c r="C18" s="58">
        <v>0</v>
      </c>
      <c r="D18" s="57">
        <f t="shared" si="15"/>
        <v>43287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8">
        <f t="shared" si="5"/>
        <v>0</v>
      </c>
      <c r="L18" s="62">
        <f t="shared" si="0"/>
        <v>0</v>
      </c>
      <c r="M18" s="62">
        <f t="shared" si="1"/>
        <v>0</v>
      </c>
      <c r="N18" s="62">
        <f t="shared" si="6"/>
        <v>0</v>
      </c>
      <c r="O18" s="62">
        <f t="shared" si="7"/>
        <v>0</v>
      </c>
      <c r="P18" s="62">
        <f t="shared" si="8"/>
        <v>0</v>
      </c>
      <c r="Q18" s="62">
        <f t="shared" si="9"/>
        <v>0</v>
      </c>
      <c r="R18" s="58">
        <f t="shared" si="10"/>
        <v>0</v>
      </c>
      <c r="S18" s="58">
        <f t="shared" si="2"/>
        <v>0</v>
      </c>
      <c r="T18" s="58">
        <f t="shared" si="3"/>
        <v>0</v>
      </c>
      <c r="U18" s="58">
        <f t="shared" si="4"/>
        <v>0</v>
      </c>
      <c r="V18" s="58"/>
      <c r="W18" s="58">
        <f t="shared" si="11"/>
        <v>0</v>
      </c>
      <c r="X18" s="58">
        <f t="shared" si="12"/>
        <v>0</v>
      </c>
      <c r="Z18" s="94" t="s">
        <v>95</v>
      </c>
      <c r="AA18" s="94"/>
      <c r="AB18" s="94"/>
      <c r="AC18" s="94"/>
    </row>
    <row r="19" spans="1:29" ht="30" customHeight="1" x14ac:dyDescent="0.25">
      <c r="A19" s="56">
        <v>8</v>
      </c>
      <c r="B19" s="57">
        <f t="shared" si="14"/>
        <v>42953</v>
      </c>
      <c r="C19" s="58">
        <v>0</v>
      </c>
      <c r="D19" s="57">
        <f t="shared" si="15"/>
        <v>43318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8">
        <f t="shared" si="5"/>
        <v>0</v>
      </c>
      <c r="L19" s="62">
        <f t="shared" si="0"/>
        <v>0</v>
      </c>
      <c r="M19" s="62">
        <f t="shared" si="1"/>
        <v>0</v>
      </c>
      <c r="N19" s="62">
        <f t="shared" si="6"/>
        <v>0</v>
      </c>
      <c r="O19" s="62">
        <f t="shared" si="7"/>
        <v>0</v>
      </c>
      <c r="P19" s="62">
        <f t="shared" si="8"/>
        <v>0</v>
      </c>
      <c r="Q19" s="62">
        <f t="shared" si="9"/>
        <v>0</v>
      </c>
      <c r="R19" s="58">
        <f t="shared" si="10"/>
        <v>0</v>
      </c>
      <c r="S19" s="58">
        <f t="shared" si="2"/>
        <v>0</v>
      </c>
      <c r="T19" s="58">
        <f t="shared" si="3"/>
        <v>0</v>
      </c>
      <c r="U19" s="58">
        <f t="shared" si="4"/>
        <v>0</v>
      </c>
      <c r="V19" s="58"/>
      <c r="W19" s="58">
        <f t="shared" si="11"/>
        <v>0</v>
      </c>
      <c r="X19" s="58">
        <f t="shared" si="12"/>
        <v>0</v>
      </c>
      <c r="Z19" s="61" t="s">
        <v>18</v>
      </c>
      <c r="AA19" s="61" t="s">
        <v>19</v>
      </c>
      <c r="AB19" s="61" t="s">
        <v>43</v>
      </c>
      <c r="AC19" s="61" t="s">
        <v>20</v>
      </c>
    </row>
    <row r="20" spans="1:29" ht="30" customHeight="1" x14ac:dyDescent="0.25">
      <c r="A20" s="56">
        <v>9</v>
      </c>
      <c r="B20" s="57">
        <f t="shared" si="14"/>
        <v>42984</v>
      </c>
      <c r="C20" s="58">
        <v>0</v>
      </c>
      <c r="D20" s="57">
        <f t="shared" si="15"/>
        <v>43349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8">
        <f t="shared" si="5"/>
        <v>0</v>
      </c>
      <c r="L20" s="62">
        <f t="shared" si="0"/>
        <v>0</v>
      </c>
      <c r="M20" s="62">
        <f t="shared" si="1"/>
        <v>0</v>
      </c>
      <c r="N20" s="62">
        <f t="shared" si="6"/>
        <v>0</v>
      </c>
      <c r="O20" s="62">
        <f t="shared" si="7"/>
        <v>0</v>
      </c>
      <c r="P20" s="62">
        <f t="shared" si="8"/>
        <v>0</v>
      </c>
      <c r="Q20" s="62">
        <f t="shared" si="9"/>
        <v>0</v>
      </c>
      <c r="R20" s="58">
        <f t="shared" si="10"/>
        <v>0</v>
      </c>
      <c r="S20" s="58">
        <f t="shared" si="2"/>
        <v>0</v>
      </c>
      <c r="T20" s="58">
        <f t="shared" si="3"/>
        <v>0</v>
      </c>
      <c r="U20" s="58">
        <f t="shared" si="4"/>
        <v>0</v>
      </c>
      <c r="V20" s="58"/>
      <c r="W20" s="58">
        <f t="shared" si="11"/>
        <v>0</v>
      </c>
      <c r="X20" s="58">
        <f t="shared" si="12"/>
        <v>0</v>
      </c>
      <c r="Z20" s="26">
        <v>180000</v>
      </c>
      <c r="AA20" s="27">
        <v>0.06</v>
      </c>
      <c r="AB20" s="28">
        <f>SUM(G38:M38)</f>
        <v>0.66500000000000004</v>
      </c>
      <c r="AC20" s="26">
        <v>0</v>
      </c>
    </row>
    <row r="21" spans="1:29" ht="30" customHeight="1" x14ac:dyDescent="0.25">
      <c r="A21" s="56">
        <v>10</v>
      </c>
      <c r="B21" s="57">
        <f t="shared" si="14"/>
        <v>43015</v>
      </c>
      <c r="C21" s="58">
        <v>0</v>
      </c>
      <c r="D21" s="57">
        <f t="shared" si="15"/>
        <v>43380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8">
        <f t="shared" si="5"/>
        <v>0</v>
      </c>
      <c r="L21" s="62">
        <f t="shared" si="0"/>
        <v>0</v>
      </c>
      <c r="M21" s="62">
        <f t="shared" si="1"/>
        <v>0</v>
      </c>
      <c r="N21" s="62">
        <f t="shared" si="6"/>
        <v>0</v>
      </c>
      <c r="O21" s="62">
        <f t="shared" si="7"/>
        <v>0</v>
      </c>
      <c r="P21" s="62">
        <f t="shared" si="8"/>
        <v>0</v>
      </c>
      <c r="Q21" s="62">
        <f t="shared" si="9"/>
        <v>0</v>
      </c>
      <c r="R21" s="58">
        <f t="shared" si="10"/>
        <v>0</v>
      </c>
      <c r="S21" s="58">
        <f t="shared" si="2"/>
        <v>0</v>
      </c>
      <c r="T21" s="58">
        <f t="shared" si="3"/>
        <v>0</v>
      </c>
      <c r="U21" s="58">
        <f t="shared" si="4"/>
        <v>0</v>
      </c>
      <c r="V21" s="58"/>
      <c r="W21" s="58">
        <f t="shared" si="11"/>
        <v>0</v>
      </c>
      <c r="X21" s="58">
        <f t="shared" si="12"/>
        <v>0</v>
      </c>
      <c r="Z21" s="26">
        <v>360000</v>
      </c>
      <c r="AA21" s="28">
        <v>0.112</v>
      </c>
      <c r="AB21" s="28">
        <f t="shared" ref="AB21:AB25" si="16">SUM(G39:M39)</f>
        <v>0.68</v>
      </c>
      <c r="AC21" s="26">
        <v>9360</v>
      </c>
    </row>
    <row r="22" spans="1:29" ht="30" customHeight="1" x14ac:dyDescent="0.25">
      <c r="A22" s="56">
        <v>11</v>
      </c>
      <c r="B22" s="57">
        <f t="shared" si="14"/>
        <v>43046</v>
      </c>
      <c r="C22" s="58">
        <v>0</v>
      </c>
      <c r="D22" s="57">
        <f t="shared" si="15"/>
        <v>43411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8">
        <f t="shared" si="5"/>
        <v>0</v>
      </c>
      <c r="L22" s="62">
        <f t="shared" si="0"/>
        <v>0</v>
      </c>
      <c r="M22" s="62">
        <f t="shared" si="1"/>
        <v>0</v>
      </c>
      <c r="N22" s="62">
        <f t="shared" si="6"/>
        <v>0</v>
      </c>
      <c r="O22" s="62">
        <f t="shared" si="7"/>
        <v>0</v>
      </c>
      <c r="P22" s="62">
        <f t="shared" si="8"/>
        <v>0</v>
      </c>
      <c r="Q22" s="62">
        <f t="shared" si="9"/>
        <v>0</v>
      </c>
      <c r="R22" s="58">
        <f t="shared" si="10"/>
        <v>0</v>
      </c>
      <c r="S22" s="58">
        <f t="shared" si="2"/>
        <v>0</v>
      </c>
      <c r="T22" s="58">
        <f t="shared" si="3"/>
        <v>0</v>
      </c>
      <c r="U22" s="58">
        <f t="shared" si="4"/>
        <v>0</v>
      </c>
      <c r="V22" s="58"/>
      <c r="W22" s="58">
        <f t="shared" si="11"/>
        <v>0</v>
      </c>
      <c r="X22" s="58">
        <f t="shared" si="12"/>
        <v>0</v>
      </c>
      <c r="Z22" s="26">
        <v>720000</v>
      </c>
      <c r="AA22" s="28">
        <v>0.13500000000000001</v>
      </c>
      <c r="AB22" s="28">
        <f t="shared" si="16"/>
        <v>0.67500000000000004</v>
      </c>
      <c r="AC22" s="26">
        <v>17640</v>
      </c>
    </row>
    <row r="23" spans="1:29" ht="30" customHeight="1" x14ac:dyDescent="0.25">
      <c r="A23" s="56">
        <v>12</v>
      </c>
      <c r="B23" s="57">
        <f t="shared" si="14"/>
        <v>43077</v>
      </c>
      <c r="C23" s="58">
        <v>0</v>
      </c>
      <c r="D23" s="57">
        <f t="shared" si="15"/>
        <v>43442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8">
        <f t="shared" si="5"/>
        <v>0</v>
      </c>
      <c r="L23" s="62">
        <f t="shared" si="0"/>
        <v>0</v>
      </c>
      <c r="M23" s="62">
        <f t="shared" si="1"/>
        <v>0</v>
      </c>
      <c r="N23" s="62">
        <f t="shared" si="6"/>
        <v>0</v>
      </c>
      <c r="O23" s="62">
        <f t="shared" si="7"/>
        <v>0</v>
      </c>
      <c r="P23" s="62">
        <f t="shared" si="8"/>
        <v>0</v>
      </c>
      <c r="Q23" s="62">
        <f t="shared" si="9"/>
        <v>0</v>
      </c>
      <c r="R23" s="58">
        <f t="shared" si="10"/>
        <v>0</v>
      </c>
      <c r="S23" s="58">
        <f t="shared" si="2"/>
        <v>0</v>
      </c>
      <c r="T23" s="58">
        <f t="shared" si="3"/>
        <v>0</v>
      </c>
      <c r="U23" s="58">
        <f t="shared" si="4"/>
        <v>0</v>
      </c>
      <c r="V23" s="58"/>
      <c r="W23" s="58">
        <f t="shared" si="11"/>
        <v>0</v>
      </c>
      <c r="X23" s="58">
        <f t="shared" si="12"/>
        <v>0</v>
      </c>
      <c r="Z23" s="26">
        <v>1800000</v>
      </c>
      <c r="AA23" s="27">
        <v>0.16</v>
      </c>
      <c r="AB23" s="28">
        <f t="shared" si="16"/>
        <v>0.67500000000000004</v>
      </c>
      <c r="AC23" s="26">
        <v>35640</v>
      </c>
    </row>
    <row r="24" spans="1:29" ht="30" customHeight="1" x14ac:dyDescent="0.25">
      <c r="A24" s="86" t="s">
        <v>7</v>
      </c>
      <c r="B24" s="86"/>
      <c r="C24" s="6">
        <f>SUM(C12:C23)</f>
        <v>180000</v>
      </c>
      <c r="D24" s="16"/>
      <c r="E24" s="6">
        <f t="shared" ref="E24:W24" si="17">SUM(E12:E23)</f>
        <v>10000</v>
      </c>
      <c r="F24" s="6">
        <f t="shared" si="17"/>
        <v>0</v>
      </c>
      <c r="G24" s="6">
        <f t="shared" si="17"/>
        <v>0</v>
      </c>
      <c r="H24" s="6">
        <f t="shared" si="17"/>
        <v>0</v>
      </c>
      <c r="I24" s="6">
        <f t="shared" si="17"/>
        <v>0</v>
      </c>
      <c r="J24" s="6">
        <f t="shared" si="17"/>
        <v>0</v>
      </c>
      <c r="K24" s="6">
        <f t="shared" si="17"/>
        <v>10000</v>
      </c>
      <c r="L24" s="92"/>
      <c r="M24" s="93"/>
      <c r="N24" s="93"/>
      <c r="O24" s="93"/>
      <c r="P24" s="54"/>
      <c r="Q24" s="54"/>
      <c r="R24" s="6">
        <f t="shared" si="17"/>
        <v>400</v>
      </c>
      <c r="S24" s="6">
        <f t="shared" si="17"/>
        <v>0</v>
      </c>
      <c r="T24" s="6">
        <f t="shared" si="17"/>
        <v>0</v>
      </c>
      <c r="U24" s="6">
        <f t="shared" si="17"/>
        <v>0</v>
      </c>
      <c r="V24" s="6">
        <f t="shared" si="17"/>
        <v>0</v>
      </c>
      <c r="W24" s="6">
        <f t="shared" si="17"/>
        <v>0</v>
      </c>
      <c r="X24" s="6">
        <f>SUM(X12:X23)</f>
        <v>400</v>
      </c>
      <c r="Z24" s="26">
        <v>3600000</v>
      </c>
      <c r="AA24" s="27">
        <v>0.21</v>
      </c>
      <c r="AB24" s="28">
        <f t="shared" si="16"/>
        <v>0.66500000000000004</v>
      </c>
      <c r="AC24" s="26">
        <v>125640</v>
      </c>
    </row>
    <row r="25" spans="1:29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Z25" s="26">
        <v>4800000</v>
      </c>
      <c r="AA25" s="27">
        <v>0.33</v>
      </c>
      <c r="AB25" s="28">
        <f t="shared" si="16"/>
        <v>1</v>
      </c>
      <c r="AC25" s="26">
        <v>648000</v>
      </c>
    </row>
    <row r="26" spans="1:29" ht="15.75" x14ac:dyDescent="0.25">
      <c r="A26" s="2"/>
      <c r="B26" s="2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Z26" s="94" t="s">
        <v>96</v>
      </c>
      <c r="AA26" s="94"/>
      <c r="AB26" s="94"/>
      <c r="AC26" s="94"/>
    </row>
    <row r="27" spans="1:29" ht="17.25" customHeight="1" thickBot="1" x14ac:dyDescent="0.3">
      <c r="A27" s="81" t="s">
        <v>8</v>
      </c>
      <c r="B27" s="82"/>
      <c r="C27" s="82"/>
      <c r="D27" s="83"/>
      <c r="E27" s="3"/>
      <c r="F27" s="84" t="s">
        <v>52</v>
      </c>
      <c r="G27" s="85"/>
      <c r="H27" s="85"/>
      <c r="I27" s="85"/>
      <c r="J27" s="85"/>
      <c r="K27" s="85"/>
      <c r="L27" s="85"/>
      <c r="M27" s="85"/>
      <c r="N27" s="85"/>
      <c r="O27" s="3"/>
      <c r="P27" s="3"/>
      <c r="Q27" s="3"/>
      <c r="R27" s="3"/>
      <c r="S27" s="3"/>
      <c r="T27" s="3"/>
      <c r="U27" s="3"/>
      <c r="V27" s="3"/>
      <c r="W27" s="3"/>
      <c r="Z27" s="61" t="s">
        <v>18</v>
      </c>
      <c r="AA27" s="61" t="s">
        <v>19</v>
      </c>
      <c r="AB27" s="61" t="s">
        <v>43</v>
      </c>
      <c r="AC27" s="61" t="s">
        <v>20</v>
      </c>
    </row>
    <row r="28" spans="1:29" ht="16.5" thickBot="1" x14ac:dyDescent="0.3">
      <c r="A28" s="73" t="s">
        <v>9</v>
      </c>
      <c r="B28" s="74"/>
      <c r="C28" s="75"/>
      <c r="D28" s="22">
        <f>+K24</f>
        <v>10000</v>
      </c>
      <c r="E28" s="11"/>
      <c r="F28" s="31" t="s">
        <v>34</v>
      </c>
      <c r="G28" s="29" t="s">
        <v>13</v>
      </c>
      <c r="H28" s="30" t="s">
        <v>14</v>
      </c>
      <c r="I28" s="63"/>
      <c r="J28" s="63"/>
      <c r="K28" s="30" t="s">
        <v>25</v>
      </c>
      <c r="L28" s="30" t="s">
        <v>26</v>
      </c>
      <c r="M28" s="30" t="s">
        <v>27</v>
      </c>
      <c r="N28" s="30" t="s">
        <v>23</v>
      </c>
      <c r="O28" s="3"/>
      <c r="P28" s="3"/>
      <c r="Q28" s="3"/>
      <c r="R28" s="3"/>
      <c r="S28" s="3"/>
      <c r="T28" s="3"/>
      <c r="U28" s="3"/>
      <c r="V28" s="3"/>
      <c r="W28" s="3"/>
      <c r="Z28" s="26">
        <v>180000</v>
      </c>
      <c r="AA28" s="28">
        <v>4.4999999999999998E-2</v>
      </c>
      <c r="AB28" s="37">
        <f>SUM(G47:M47)</f>
        <v>0.55499999999999994</v>
      </c>
      <c r="AC28" s="26">
        <v>0</v>
      </c>
    </row>
    <row r="29" spans="1:29" ht="16.5" thickBot="1" x14ac:dyDescent="0.3">
      <c r="A29" s="69" t="s">
        <v>10</v>
      </c>
      <c r="B29" s="70"/>
      <c r="C29" s="71"/>
      <c r="D29" s="23">
        <f>X24</f>
        <v>400</v>
      </c>
      <c r="E29" s="11"/>
      <c r="F29" s="31" t="s">
        <v>28</v>
      </c>
      <c r="G29" s="32">
        <v>5.5E-2</v>
      </c>
      <c r="H29" s="32">
        <v>3.5000000000000003E-2</v>
      </c>
      <c r="I29" s="64"/>
      <c r="J29" s="64"/>
      <c r="K29" s="32">
        <v>0.12740000000000001</v>
      </c>
      <c r="L29" s="32">
        <v>2.76E-2</v>
      </c>
      <c r="M29" s="32">
        <v>0.41499999999999998</v>
      </c>
      <c r="N29" s="32">
        <v>0.34</v>
      </c>
      <c r="O29" s="3"/>
      <c r="P29" s="3"/>
      <c r="Q29" s="3"/>
      <c r="R29" s="3"/>
      <c r="S29" s="3"/>
      <c r="T29" s="3"/>
      <c r="U29" s="3"/>
      <c r="V29" s="3"/>
      <c r="W29" s="3"/>
      <c r="Z29" s="26">
        <v>360000</v>
      </c>
      <c r="AA29" s="27">
        <v>0.09</v>
      </c>
      <c r="AB29" s="37">
        <f t="shared" ref="AB29:AB33" si="18">SUM(G48:M48)</f>
        <v>0.6</v>
      </c>
      <c r="AC29" s="26">
        <v>8100</v>
      </c>
    </row>
    <row r="30" spans="1:29" ht="16.5" thickBot="1" x14ac:dyDescent="0.3">
      <c r="A30" s="69" t="s">
        <v>23</v>
      </c>
      <c r="B30" s="70"/>
      <c r="C30" s="71"/>
      <c r="D30" s="24">
        <f>E24*18%</f>
        <v>1800</v>
      </c>
      <c r="E30" s="11"/>
      <c r="F30" s="31" t="s">
        <v>29</v>
      </c>
      <c r="G30" s="32">
        <v>5.5E-2</v>
      </c>
      <c r="H30" s="32">
        <v>3.5000000000000003E-2</v>
      </c>
      <c r="I30" s="64"/>
      <c r="J30" s="64"/>
      <c r="K30" s="32">
        <v>0.12740000000000001</v>
      </c>
      <c r="L30" s="32">
        <v>2.76E-2</v>
      </c>
      <c r="M30" s="32">
        <v>0.41499999999999998</v>
      </c>
      <c r="N30" s="32">
        <v>0.34</v>
      </c>
      <c r="O30" s="3"/>
      <c r="P30" s="3"/>
      <c r="Q30" s="3"/>
      <c r="R30" s="3"/>
      <c r="S30" s="3"/>
      <c r="T30" s="3"/>
      <c r="U30" s="3"/>
      <c r="V30" s="3"/>
      <c r="W30" s="3"/>
      <c r="Z30" s="26">
        <v>720000</v>
      </c>
      <c r="AA30" s="28">
        <v>0.10199999999999999</v>
      </c>
      <c r="AB30" s="37">
        <f t="shared" si="18"/>
        <v>0.6</v>
      </c>
      <c r="AC30" s="26">
        <v>12420</v>
      </c>
    </row>
    <row r="31" spans="1:29" ht="16.5" thickBot="1" x14ac:dyDescent="0.3">
      <c r="A31" s="69" t="s">
        <v>11</v>
      </c>
      <c r="B31" s="70"/>
      <c r="C31" s="71"/>
      <c r="D31" s="23">
        <f>D28*0.65%</f>
        <v>65</v>
      </c>
      <c r="E31" s="11"/>
      <c r="F31" s="31" t="s">
        <v>30</v>
      </c>
      <c r="G31" s="32">
        <v>5.5E-2</v>
      </c>
      <c r="H31" s="32">
        <v>3.5000000000000003E-2</v>
      </c>
      <c r="I31" s="64"/>
      <c r="J31" s="64"/>
      <c r="K31" s="32">
        <v>0.12740000000000001</v>
      </c>
      <c r="L31" s="32">
        <v>2.76E-2</v>
      </c>
      <c r="M31" s="32">
        <v>0.42</v>
      </c>
      <c r="N31" s="32">
        <v>0.33500000000000002</v>
      </c>
      <c r="O31" s="3"/>
      <c r="P31" s="3"/>
      <c r="Q31" s="3"/>
      <c r="R31" s="3"/>
      <c r="S31" s="3"/>
      <c r="T31" s="3"/>
      <c r="U31" s="3"/>
      <c r="V31" s="3"/>
      <c r="W31" s="3"/>
      <c r="Z31" s="26">
        <v>1800000</v>
      </c>
      <c r="AA31" s="27">
        <v>0.14000000000000001</v>
      </c>
      <c r="AB31" s="37">
        <f t="shared" si="18"/>
        <v>0.6</v>
      </c>
      <c r="AC31" s="26">
        <v>39780</v>
      </c>
    </row>
    <row r="32" spans="1:29" ht="16.5" thickBot="1" x14ac:dyDescent="0.3">
      <c r="A32" s="69" t="s">
        <v>12</v>
      </c>
      <c r="B32" s="70"/>
      <c r="C32" s="71"/>
      <c r="D32" s="23">
        <f>D28*3%</f>
        <v>300</v>
      </c>
      <c r="E32" s="11"/>
      <c r="F32" s="31" t="s">
        <v>31</v>
      </c>
      <c r="G32" s="32">
        <v>5.5E-2</v>
      </c>
      <c r="H32" s="32">
        <v>3.5000000000000003E-2</v>
      </c>
      <c r="I32" s="64"/>
      <c r="J32" s="64"/>
      <c r="K32" s="32">
        <v>0.12740000000000001</v>
      </c>
      <c r="L32" s="32">
        <v>2.76E-2</v>
      </c>
      <c r="M32" s="32">
        <v>0.42</v>
      </c>
      <c r="N32" s="32">
        <v>0.33500000000000002</v>
      </c>
      <c r="O32" s="3"/>
      <c r="P32" s="3"/>
      <c r="Q32" s="3"/>
      <c r="R32" s="3"/>
      <c r="S32" s="3"/>
      <c r="T32" s="3"/>
      <c r="U32" s="3"/>
      <c r="V32" s="3"/>
      <c r="W32" s="3"/>
      <c r="Z32" s="26">
        <v>3600000</v>
      </c>
      <c r="AA32" s="27">
        <v>0.22</v>
      </c>
      <c r="AB32" s="37">
        <f t="shared" si="18"/>
        <v>0.6</v>
      </c>
      <c r="AC32" s="26">
        <v>183780</v>
      </c>
    </row>
    <row r="33" spans="1:29" ht="16.5" thickBot="1" x14ac:dyDescent="0.3">
      <c r="A33" s="69" t="s">
        <v>13</v>
      </c>
      <c r="B33" s="70"/>
      <c r="C33" s="71"/>
      <c r="D33" s="24">
        <f>((E24+F24)*8%+(G24+H24)*32%)*15%</f>
        <v>120</v>
      </c>
      <c r="E33" s="11"/>
      <c r="F33" s="31" t="s">
        <v>32</v>
      </c>
      <c r="G33" s="32">
        <v>5.5E-2</v>
      </c>
      <c r="H33" s="32">
        <v>3.5000000000000003E-2</v>
      </c>
      <c r="I33" s="64"/>
      <c r="J33" s="64"/>
      <c r="K33" s="32">
        <v>0.12740000000000001</v>
      </c>
      <c r="L33" s="32">
        <v>2.76E-2</v>
      </c>
      <c r="M33" s="32">
        <v>0.42</v>
      </c>
      <c r="N33" s="32">
        <v>0.33500000000000002</v>
      </c>
      <c r="O33" s="3"/>
      <c r="P33" s="3"/>
      <c r="Q33" s="3"/>
      <c r="R33" s="3"/>
      <c r="S33" s="3"/>
      <c r="T33" s="3"/>
      <c r="U33" s="3"/>
      <c r="V33" s="3"/>
      <c r="W33" s="3"/>
      <c r="Z33" s="26">
        <v>4800000</v>
      </c>
      <c r="AA33" s="27">
        <v>0.33</v>
      </c>
      <c r="AB33" s="37">
        <f t="shared" si="18"/>
        <v>1</v>
      </c>
      <c r="AC33" s="26">
        <v>828000</v>
      </c>
    </row>
    <row r="34" spans="1:29" ht="16.5" thickBot="1" x14ac:dyDescent="0.3">
      <c r="A34" s="69" t="s">
        <v>14</v>
      </c>
      <c r="B34" s="70"/>
      <c r="C34" s="71"/>
      <c r="D34" s="24">
        <f>((E24+F24)*12%+(G24+H24)*32%)*9%</f>
        <v>108</v>
      </c>
      <c r="E34" s="11"/>
      <c r="F34" s="31" t="s">
        <v>33</v>
      </c>
      <c r="G34" s="32">
        <v>0.13500000000000001</v>
      </c>
      <c r="H34" s="32">
        <v>0.1</v>
      </c>
      <c r="I34" s="64"/>
      <c r="J34" s="64"/>
      <c r="K34" s="32">
        <v>0.28270000000000001</v>
      </c>
      <c r="L34" s="32">
        <v>6.13E-2</v>
      </c>
      <c r="M34" s="32">
        <v>0.42099999999999999</v>
      </c>
      <c r="N34" s="32">
        <v>0</v>
      </c>
      <c r="O34" s="3"/>
      <c r="P34" s="3"/>
      <c r="Q34" s="3"/>
      <c r="R34" s="3"/>
      <c r="S34" s="3"/>
      <c r="T34" s="3"/>
      <c r="U34" s="3"/>
      <c r="V34" s="3"/>
      <c r="W34" s="3"/>
    </row>
    <row r="35" spans="1:29" ht="15.75" x14ac:dyDescent="0.25">
      <c r="A35" s="72" t="s">
        <v>15</v>
      </c>
      <c r="B35" s="72"/>
      <c r="C35" s="72"/>
      <c r="D35" s="25">
        <f>(D30+D31+D32+D33+D34)-D29</f>
        <v>1993</v>
      </c>
      <c r="E35" s="11"/>
      <c r="F35" s="11"/>
      <c r="G35" s="11"/>
      <c r="H35" s="11"/>
      <c r="I35" s="11"/>
      <c r="J35" s="11"/>
      <c r="K35" s="11"/>
      <c r="L35" s="1"/>
      <c r="M35" s="1"/>
      <c r="N35" s="1"/>
      <c r="O35" s="3"/>
      <c r="P35" s="3"/>
      <c r="Q35" s="3"/>
      <c r="R35" s="3"/>
      <c r="S35" s="3"/>
      <c r="T35" s="3"/>
      <c r="U35" s="3"/>
      <c r="V35" s="3"/>
      <c r="W35" s="3"/>
    </row>
    <row r="36" spans="1:29" ht="16.5" thickBot="1" x14ac:dyDescent="0.3">
      <c r="A36" s="8"/>
      <c r="B36" s="8"/>
      <c r="C36" s="8"/>
      <c r="D36" s="9"/>
      <c r="E36" s="9"/>
      <c r="F36" s="84" t="s">
        <v>53</v>
      </c>
      <c r="G36" s="85"/>
      <c r="H36" s="85"/>
      <c r="I36" s="85"/>
      <c r="J36" s="85"/>
      <c r="K36" s="85"/>
      <c r="L36" s="85"/>
      <c r="M36" s="85"/>
      <c r="N36" s="85"/>
      <c r="O36" s="3"/>
      <c r="P36" s="3"/>
      <c r="Q36" s="3"/>
      <c r="R36" s="3"/>
      <c r="S36" s="3"/>
      <c r="T36" s="3"/>
      <c r="U36" s="3"/>
      <c r="V36" s="3"/>
      <c r="W36" s="3"/>
    </row>
    <row r="37" spans="1:29" ht="16.5" thickBot="1" x14ac:dyDescent="0.3">
      <c r="A37" s="8"/>
      <c r="B37" s="8"/>
      <c r="C37" s="8"/>
      <c r="D37" s="9"/>
      <c r="E37" s="9"/>
      <c r="F37" s="31" t="s">
        <v>34</v>
      </c>
      <c r="G37" s="29" t="s">
        <v>13</v>
      </c>
      <c r="H37" s="30" t="s">
        <v>14</v>
      </c>
      <c r="I37" s="63"/>
      <c r="J37" s="63"/>
      <c r="K37" s="30" t="s">
        <v>25</v>
      </c>
      <c r="L37" s="30" t="s">
        <v>26</v>
      </c>
      <c r="M37" s="30" t="s">
        <v>27</v>
      </c>
      <c r="N37" s="30" t="s">
        <v>42</v>
      </c>
      <c r="O37" s="3"/>
      <c r="P37" s="3"/>
      <c r="Q37" s="3"/>
      <c r="R37" s="3"/>
      <c r="S37" s="3"/>
      <c r="T37" s="3"/>
      <c r="U37" s="3"/>
      <c r="V37" s="3"/>
      <c r="W37" s="3"/>
    </row>
    <row r="38" spans="1:29" ht="16.5" thickBot="1" x14ac:dyDescent="0.3">
      <c r="A38" s="17"/>
      <c r="B38" s="8"/>
      <c r="C38" s="8"/>
      <c r="D38" s="9"/>
      <c r="E38" s="9"/>
      <c r="F38" s="31" t="s">
        <v>28</v>
      </c>
      <c r="G38" s="32">
        <v>0.04</v>
      </c>
      <c r="H38" s="32">
        <v>3.5000000000000003E-2</v>
      </c>
      <c r="I38" s="64"/>
      <c r="J38" s="64"/>
      <c r="K38" s="32">
        <v>0.12820000000000001</v>
      </c>
      <c r="L38" s="32">
        <v>2.7799999999999998E-2</v>
      </c>
      <c r="M38" s="32">
        <v>0.434</v>
      </c>
      <c r="N38" s="32">
        <v>0.33500000000000002</v>
      </c>
      <c r="O38" s="3"/>
      <c r="P38" s="3"/>
      <c r="Q38" s="3"/>
      <c r="R38" s="3"/>
      <c r="S38" s="3"/>
      <c r="T38" s="3"/>
      <c r="U38" s="3"/>
      <c r="V38" s="3"/>
      <c r="W38" s="3"/>
    </row>
    <row r="39" spans="1:29" ht="16.5" thickBot="1" x14ac:dyDescent="0.3">
      <c r="A39" s="17"/>
      <c r="B39" s="8"/>
      <c r="C39" s="8"/>
      <c r="D39" s="9"/>
      <c r="E39" s="9"/>
      <c r="F39" s="31" t="s">
        <v>29</v>
      </c>
      <c r="G39" s="32">
        <v>0.04</v>
      </c>
      <c r="H39" s="32">
        <v>3.5000000000000003E-2</v>
      </c>
      <c r="I39" s="64"/>
      <c r="J39" s="64"/>
      <c r="K39" s="32">
        <v>0.14050000000000001</v>
      </c>
      <c r="L39" s="32">
        <v>3.0499999999999999E-2</v>
      </c>
      <c r="M39" s="32">
        <v>0.434</v>
      </c>
      <c r="N39" s="32">
        <v>0.32</v>
      </c>
      <c r="O39" s="3"/>
      <c r="P39" s="3"/>
      <c r="Q39" s="3"/>
      <c r="R39" s="3"/>
      <c r="S39" s="3"/>
      <c r="T39" s="3"/>
      <c r="U39" s="3"/>
      <c r="V39" s="3"/>
      <c r="W39" s="3"/>
    </row>
    <row r="40" spans="1:29" ht="16.5" thickBot="1" x14ac:dyDescent="0.3">
      <c r="A40" s="17"/>
      <c r="B40" s="8"/>
      <c r="C40" s="8"/>
      <c r="D40" s="9"/>
      <c r="E40" s="9"/>
      <c r="F40" s="31" t="s">
        <v>30</v>
      </c>
      <c r="G40" s="32">
        <v>0.04</v>
      </c>
      <c r="H40" s="32">
        <v>3.5000000000000003E-2</v>
      </c>
      <c r="I40" s="64"/>
      <c r="J40" s="64"/>
      <c r="K40" s="32">
        <v>0.13639999999999999</v>
      </c>
      <c r="L40" s="32">
        <v>2.9600000000000001E-2</v>
      </c>
      <c r="M40" s="32">
        <v>0.434</v>
      </c>
      <c r="N40" s="32">
        <v>0.32500000000000001</v>
      </c>
      <c r="O40" s="3"/>
      <c r="P40" s="3"/>
      <c r="Q40" s="3"/>
      <c r="R40" s="3"/>
      <c r="S40" s="3"/>
      <c r="T40" s="3"/>
      <c r="U40" s="3"/>
      <c r="V40" s="3"/>
      <c r="W40" s="3"/>
    </row>
    <row r="41" spans="1:29" ht="16.5" thickBot="1" x14ac:dyDescent="0.3">
      <c r="F41" s="31" t="s">
        <v>31</v>
      </c>
      <c r="G41" s="32">
        <v>0.04</v>
      </c>
      <c r="H41" s="32">
        <v>3.5000000000000003E-2</v>
      </c>
      <c r="I41" s="64"/>
      <c r="J41" s="64"/>
      <c r="K41" s="32">
        <v>0.13639999999999999</v>
      </c>
      <c r="L41" s="32">
        <v>2.9600000000000001E-2</v>
      </c>
      <c r="M41" s="32">
        <v>0.434</v>
      </c>
      <c r="N41" s="32">
        <v>0.32500000000000001</v>
      </c>
      <c r="O41" s="3"/>
      <c r="P41" s="3"/>
      <c r="Q41" s="3"/>
      <c r="R41" s="3"/>
      <c r="S41" s="3"/>
      <c r="T41" s="3"/>
      <c r="U41" s="3"/>
      <c r="V41" s="3"/>
      <c r="W41" s="3"/>
    </row>
    <row r="42" spans="1:29" ht="16.5" thickBot="1" x14ac:dyDescent="0.3">
      <c r="F42" s="31" t="s">
        <v>32</v>
      </c>
      <c r="G42" s="32">
        <v>0.04</v>
      </c>
      <c r="H42" s="32">
        <v>3.5000000000000003E-2</v>
      </c>
      <c r="I42" s="64"/>
      <c r="J42" s="64"/>
      <c r="K42" s="32">
        <v>0.12820000000000001</v>
      </c>
      <c r="L42" s="32">
        <v>2.7799999999999998E-2</v>
      </c>
      <c r="M42" s="32">
        <v>0.434</v>
      </c>
      <c r="N42" s="32">
        <v>0.33500000000000002</v>
      </c>
      <c r="O42" s="3"/>
      <c r="P42" s="3"/>
      <c r="Q42" s="3"/>
      <c r="R42" s="3"/>
      <c r="S42" s="3"/>
      <c r="T42" s="3"/>
      <c r="U42" s="3"/>
      <c r="V42" s="3"/>
      <c r="W42" s="3"/>
    </row>
    <row r="43" spans="1:29" ht="16.5" thickBot="1" x14ac:dyDescent="0.3">
      <c r="F43" s="31" t="s">
        <v>33</v>
      </c>
      <c r="G43" s="32">
        <v>0.35</v>
      </c>
      <c r="H43" s="32">
        <v>0.15</v>
      </c>
      <c r="I43" s="64"/>
      <c r="J43" s="64"/>
      <c r="K43" s="32">
        <v>0.1603</v>
      </c>
      <c r="L43" s="32">
        <v>3.4700000000000002E-2</v>
      </c>
      <c r="M43" s="32">
        <v>0.30499999999999999</v>
      </c>
      <c r="N43" s="32">
        <v>0</v>
      </c>
      <c r="O43" s="3"/>
      <c r="P43" s="3"/>
      <c r="Q43" s="3"/>
      <c r="R43" s="3"/>
      <c r="S43" s="3"/>
      <c r="T43" s="3"/>
      <c r="U43" s="3"/>
      <c r="V43" s="3"/>
      <c r="W43" s="3"/>
    </row>
    <row r="45" spans="1:29" ht="15.75" thickBot="1" x14ac:dyDescent="0.3">
      <c r="F45" s="84" t="s">
        <v>24</v>
      </c>
      <c r="G45" s="85"/>
      <c r="H45" s="85"/>
      <c r="I45" s="85"/>
      <c r="J45" s="85"/>
      <c r="K45" s="85"/>
      <c r="L45" s="85"/>
      <c r="M45" s="85"/>
      <c r="N45" s="85"/>
    </row>
    <row r="46" spans="1:29" ht="15.75" thickBot="1" x14ac:dyDescent="0.3">
      <c r="F46" s="31" t="s">
        <v>34</v>
      </c>
      <c r="G46" s="29" t="s">
        <v>13</v>
      </c>
      <c r="H46" s="30" t="s">
        <v>14</v>
      </c>
      <c r="I46" s="63"/>
      <c r="J46" s="63"/>
      <c r="K46" s="30" t="s">
        <v>25</v>
      </c>
      <c r="L46" s="30" t="s">
        <v>26</v>
      </c>
      <c r="M46" s="30" t="s">
        <v>27</v>
      </c>
      <c r="N46" s="30" t="s">
        <v>42</v>
      </c>
    </row>
    <row r="47" spans="1:29" ht="15.75" thickBot="1" x14ac:dyDescent="0.3">
      <c r="F47" s="31" t="s">
        <v>28</v>
      </c>
      <c r="G47" s="32">
        <v>0.188</v>
      </c>
      <c r="H47" s="32">
        <v>0.152</v>
      </c>
      <c r="I47" s="64"/>
      <c r="J47" s="64"/>
      <c r="K47" s="32">
        <v>0.1767</v>
      </c>
      <c r="L47" s="32">
        <v>3.8300000000000001E-2</v>
      </c>
      <c r="M47" s="32">
        <v>0</v>
      </c>
      <c r="N47" s="32">
        <v>0.44500000000000001</v>
      </c>
    </row>
    <row r="48" spans="1:29" ht="15.75" thickBot="1" x14ac:dyDescent="0.3">
      <c r="F48" s="31" t="s">
        <v>29</v>
      </c>
      <c r="G48" s="32">
        <v>0.19800000000000001</v>
      </c>
      <c r="H48" s="32">
        <v>0.152</v>
      </c>
      <c r="I48" s="64"/>
      <c r="J48" s="64"/>
      <c r="K48" s="32">
        <v>0.20549999999999999</v>
      </c>
      <c r="L48" s="32">
        <v>4.4499999999999998E-2</v>
      </c>
      <c r="M48" s="32">
        <v>0</v>
      </c>
      <c r="N48" s="32">
        <v>0.4</v>
      </c>
    </row>
    <row r="49" spans="6:14" ht="15.75" thickBot="1" x14ac:dyDescent="0.3">
      <c r="F49" s="31" t="s">
        <v>30</v>
      </c>
      <c r="G49" s="32">
        <v>0.20799999999999999</v>
      </c>
      <c r="H49" s="32">
        <v>0.152</v>
      </c>
      <c r="I49" s="64"/>
      <c r="J49" s="64"/>
      <c r="K49" s="32">
        <v>0.1973</v>
      </c>
      <c r="L49" s="32">
        <v>4.2700000000000002E-2</v>
      </c>
      <c r="M49" s="32">
        <v>0</v>
      </c>
      <c r="N49" s="32">
        <v>0.4</v>
      </c>
    </row>
    <row r="50" spans="6:14" ht="15.75" thickBot="1" x14ac:dyDescent="0.3">
      <c r="F50" s="31" t="s">
        <v>31</v>
      </c>
      <c r="G50" s="32">
        <v>0.17799999999999999</v>
      </c>
      <c r="H50" s="32">
        <v>0.192</v>
      </c>
      <c r="I50" s="64"/>
      <c r="J50" s="64"/>
      <c r="K50" s="32">
        <v>0.189</v>
      </c>
      <c r="L50" s="32">
        <v>4.1000000000000002E-2</v>
      </c>
      <c r="M50" s="32">
        <v>0</v>
      </c>
      <c r="N50" s="32">
        <v>0.4</v>
      </c>
    </row>
    <row r="51" spans="6:14" ht="15.75" thickBot="1" x14ac:dyDescent="0.3">
      <c r="F51" s="31" t="s">
        <v>32</v>
      </c>
      <c r="G51" s="32">
        <v>0.188</v>
      </c>
      <c r="H51" s="32">
        <v>0.192</v>
      </c>
      <c r="I51" s="64"/>
      <c r="J51" s="64"/>
      <c r="K51" s="32">
        <v>0.18079999999999999</v>
      </c>
      <c r="L51" s="32">
        <v>3.9199999999999999E-2</v>
      </c>
      <c r="M51" s="32">
        <v>0</v>
      </c>
      <c r="N51" s="32">
        <v>0.4</v>
      </c>
    </row>
    <row r="52" spans="6:14" ht="15.75" thickBot="1" x14ac:dyDescent="0.3">
      <c r="F52" s="31" t="s">
        <v>33</v>
      </c>
      <c r="G52" s="32">
        <v>0.53500000000000003</v>
      </c>
      <c r="H52" s="32">
        <v>0.215</v>
      </c>
      <c r="I52" s="64"/>
      <c r="J52" s="64"/>
      <c r="K52" s="32">
        <v>0.20549999999999999</v>
      </c>
      <c r="L52" s="32">
        <v>4.4499999999999998E-2</v>
      </c>
      <c r="M52" s="32">
        <v>0</v>
      </c>
      <c r="N52" s="32">
        <v>0</v>
      </c>
    </row>
  </sheetData>
  <mergeCells count="24">
    <mergeCell ref="A27:D27"/>
    <mergeCell ref="F27:N27"/>
    <mergeCell ref="A6:R6"/>
    <mergeCell ref="A8:R8"/>
    <mergeCell ref="E10:K10"/>
    <mergeCell ref="L10:M10"/>
    <mergeCell ref="N10:O10"/>
    <mergeCell ref="P10:Q10"/>
    <mergeCell ref="R10:W10"/>
    <mergeCell ref="Z10:AC10"/>
    <mergeCell ref="Z18:AC18"/>
    <mergeCell ref="A24:B24"/>
    <mergeCell ref="L24:O24"/>
    <mergeCell ref="Z26:AC26"/>
    <mergeCell ref="A34:C34"/>
    <mergeCell ref="A35:C35"/>
    <mergeCell ref="F36:N36"/>
    <mergeCell ref="F45:N45"/>
    <mergeCell ref="A28:C28"/>
    <mergeCell ref="A29:C29"/>
    <mergeCell ref="A30:C30"/>
    <mergeCell ref="A31:C31"/>
    <mergeCell ref="A32:C32"/>
    <mergeCell ref="A33:C3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43"/>
  <sheetViews>
    <sheetView topLeftCell="K6" workbookViewId="0">
      <selection activeCell="R21" sqref="R21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5" width="18" customWidth="1"/>
    <col min="6" max="9" width="15.140625" customWidth="1"/>
    <col min="10" max="10" width="16.140625" bestFit="1" customWidth="1"/>
    <col min="11" max="11" width="18.5703125" customWidth="1"/>
    <col min="12" max="15" width="18.85546875" customWidth="1"/>
    <col min="16" max="19" width="16.5703125" customWidth="1"/>
    <col min="20" max="20" width="14.5703125" customWidth="1"/>
    <col min="21" max="21" width="14.85546875" customWidth="1"/>
    <col min="23" max="23" width="29.140625" customWidth="1"/>
    <col min="24" max="24" width="9.28515625" bestFit="1" customWidth="1"/>
    <col min="25" max="25" width="12.85546875" customWidth="1"/>
    <col min="26" max="26" width="17.28515625" bestFit="1" customWidth="1"/>
  </cols>
  <sheetData>
    <row r="1" spans="1:26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6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6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6" x14ac:dyDescent="0.25">
      <c r="A4" s="1"/>
      <c r="B4" s="1"/>
      <c r="C4" s="1"/>
      <c r="D4" s="13" t="s">
        <v>69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6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6" ht="18" x14ac:dyDescent="0.25">
      <c r="A6" s="76" t="s">
        <v>70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39"/>
      <c r="R6" s="39"/>
      <c r="S6" s="39"/>
      <c r="T6" s="12"/>
      <c r="U6" s="12"/>
    </row>
    <row r="7" spans="1:26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6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38"/>
      <c r="R8" s="38"/>
      <c r="S8" s="38"/>
      <c r="T8" s="15"/>
      <c r="U8" s="15"/>
    </row>
    <row r="9" spans="1:26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15"/>
      <c r="U9" s="15"/>
    </row>
    <row r="10" spans="1:26" ht="15.75" x14ac:dyDescent="0.25">
      <c r="A10" s="18"/>
      <c r="B10" s="18"/>
      <c r="C10" s="18"/>
      <c r="D10" s="18"/>
      <c r="E10" s="88" t="s">
        <v>66</v>
      </c>
      <c r="F10" s="88"/>
      <c r="G10" s="88"/>
      <c r="H10" s="88"/>
      <c r="I10" s="88"/>
      <c r="J10" s="88"/>
      <c r="K10" s="89" t="s">
        <v>61</v>
      </c>
      <c r="L10" s="89"/>
      <c r="M10" s="90" t="s">
        <v>63</v>
      </c>
      <c r="N10" s="90"/>
      <c r="O10" s="41" t="s">
        <v>55</v>
      </c>
      <c r="P10" s="91" t="s">
        <v>60</v>
      </c>
      <c r="Q10" s="91"/>
      <c r="R10" s="91"/>
      <c r="S10" s="91"/>
      <c r="T10" s="91"/>
      <c r="U10" s="5"/>
    </row>
    <row r="11" spans="1:26" ht="38.25" x14ac:dyDescent="0.25">
      <c r="A11" s="14" t="s">
        <v>1</v>
      </c>
      <c r="B11" s="14" t="s">
        <v>2</v>
      </c>
      <c r="C11" s="14" t="s">
        <v>3</v>
      </c>
      <c r="D11" s="14" t="s">
        <v>4</v>
      </c>
      <c r="E11" s="14" t="s">
        <v>54</v>
      </c>
      <c r="F11" s="14" t="s">
        <v>62</v>
      </c>
      <c r="G11" s="14" t="s">
        <v>58</v>
      </c>
      <c r="H11" s="14" t="s">
        <v>59</v>
      </c>
      <c r="I11" s="14" t="s">
        <v>55</v>
      </c>
      <c r="J11" s="14" t="s">
        <v>5</v>
      </c>
      <c r="K11" s="14" t="s">
        <v>54</v>
      </c>
      <c r="L11" s="14" t="s">
        <v>62</v>
      </c>
      <c r="M11" s="14" t="s">
        <v>64</v>
      </c>
      <c r="N11" s="14" t="s">
        <v>65</v>
      </c>
      <c r="O11" s="14" t="s">
        <v>56</v>
      </c>
      <c r="P11" s="14" t="s">
        <v>54</v>
      </c>
      <c r="Q11" s="14" t="s">
        <v>57</v>
      </c>
      <c r="R11" s="14" t="s">
        <v>58</v>
      </c>
      <c r="S11" s="14" t="s">
        <v>59</v>
      </c>
      <c r="T11" s="14" t="s">
        <v>55</v>
      </c>
      <c r="U11" s="14" t="s">
        <v>6</v>
      </c>
      <c r="W11" s="14" t="s">
        <v>18</v>
      </c>
      <c r="X11" s="14" t="s">
        <v>19</v>
      </c>
      <c r="Y11" s="14" t="s">
        <v>35</v>
      </c>
      <c r="Z11" s="14" t="s">
        <v>20</v>
      </c>
    </row>
    <row r="12" spans="1:26" x14ac:dyDescent="0.25">
      <c r="A12" s="21">
        <v>1</v>
      </c>
      <c r="B12" s="20">
        <v>42736</v>
      </c>
      <c r="C12" s="10">
        <v>1</v>
      </c>
      <c r="D12" s="20">
        <v>43101</v>
      </c>
      <c r="E12" s="44">
        <v>10000</v>
      </c>
      <c r="F12" s="44">
        <v>0</v>
      </c>
      <c r="G12" s="44">
        <v>0</v>
      </c>
      <c r="H12" s="44">
        <v>0</v>
      </c>
      <c r="I12" s="44">
        <v>0</v>
      </c>
      <c r="J12" s="10">
        <f>SUM(E12:I12)</f>
        <v>10000</v>
      </c>
      <c r="K12" s="36">
        <f t="shared" ref="K12:K23" si="0">IF(C12=0,0,IF(C12&lt;=W$12,X$12,IF(C12&lt;=W$13,((C12*X$13-Z$13)/C12),IF(C12&lt;=W$14,((C12*X$14-Z$14)/C12),IF(C12&lt;=W$15,((C12*X$15-Z$15)/C12),IF(C12&lt;=W$16,((C12*X$16-Z$16)/C12),IF(C12&lt;=W$17,((C12*X$17-Z$17)/C12),0)))))))</f>
        <v>0.04</v>
      </c>
      <c r="L12" s="36">
        <f t="shared" ref="L12:L23" si="1">IF(C12=0,0,IF(C12&lt;=W$12,X$12*Y$12,IF(C12&lt;=W$13,((C12*X$13-Z$13)/C12*(Y$13)),IF(C12&lt;=W$14,((C12*X$14-Z$14)/C12*(Y$14)),IF(C12&lt;=W$15,((C12*X$15-Z$15)/C12*(Y$15)),IF(C12&lt;=W$16,((C12*X$16-Z$16)/C12*(Y$16)),IF(C12&lt;=W$17,((C12*X$17-Z$17)/C12*(Y$17)),0)))))))</f>
        <v>2.6399999999999996E-2</v>
      </c>
      <c r="M12" s="36">
        <f>IF(C12=0,0,IF(C12&lt;=W$20,X$20,IF(C12&lt;=W$21,((C12*X$21-Z$21)/C12),IF(C12&lt;=W$22,((C12*X$22-Z$22)/C12),IF(C12&lt;=W$23,((C12*X$23-Z$23)/C12),IF(C12&lt;=W$24,((C12*X$24-Z$24)/C12),IF(C12&lt;=W$25,((C12*X$25-Z$25)/C12),0)))))))</f>
        <v>0.06</v>
      </c>
      <c r="N12" s="36">
        <f>IF(C12=0,0,IF(C12&lt;=W$20,X$20*Y$20,IF(C12&lt;=W$21,((C12*X$21-Z$21)/C12*(Y$21)),IF(C12&lt;=W$22,((C12*X$22-Z$22)/C12*(Y$22)),IF(C12&lt;=W$23,((C12*X$23-Z$23)/C12*(Y$23)),IF(C12&lt;=W$24,((C12*X$24-Z$24)/C12*(Y$24)),IF(C12&lt;=W$25,((C12*X$25-Z$25)/C12*(Y$25)),0)))))))</f>
        <v>3.9899999999999998E-2</v>
      </c>
      <c r="O12" s="36">
        <f>IF(C12=0,0,IF(C12&lt;=W$20,X$20*Y$20,IF(C12&lt;=W$21,((C12*X$21-Z$21)/C12*(Y$21)),IF(C12&lt;=W$22,((C12*X$22-Z$22)/C12*(Y$22)),IF(C12&lt;=W$23,((C12*X$23-Z$23)/C12*(Y$23)),IF(C12&lt;=W$24,((C12*X$24-Z$24)/C12*(Y$24)),IF(C12&lt;=W$25,((C12*X$25-Z$25)/C12*(Y$25)),0)))))))</f>
        <v>3.9899999999999998E-2</v>
      </c>
      <c r="P12" s="10">
        <f>IF(C12&lt;=W$12,E12*X$12,IF(C12&lt;=W$13,((C12*X$13-Z$13)/C12)*E12,IF(C12&lt;=W$14,((C12*X$14-Z$14)/C12)*E12,IF(C12&lt;=W$15,((C12*X$15-Z$15)/C12)*E12,IF(C12&lt;=W$16,((C12*X$16-Z$16)/C12)*E12,IF(C12&lt;=W$17,((C12*X$17-Z$17)/C12)*E12,0))))))</f>
        <v>400</v>
      </c>
      <c r="Q12" s="10">
        <f>IF(C12&lt;=W$12,(F12*X$12)*Y$12,IF(C12&lt;=W$13,((C12*X$13-Z$13)/C12)*Y$13*F12,IF(C12&lt;=W$14,((C12*X$14-Z$14)/C12)*Y$14*F12,IF(C12&lt;=W$15,((C12*X$15-Z$15)/C12)*Y$15*F12,IF(C12&lt;=W$16,((C12*X$16-Z$16)/C12)*Y$16*F12,IF(C12&lt;=W$17,((C12*X$17-Z$17)/C12)*Y$17*F12,0))))))</f>
        <v>0</v>
      </c>
      <c r="R12" s="10">
        <f>IF(C12&lt;=W$20,G12*X$20,IF(C12&lt;=W$21,((C12*X$21-Z$21)/C12)*G12,IF(C12&lt;=W$22,((C12*X$22-Z$22)/C12)*G12,IF(C12&lt;=W$23,((C12*X$23-Z$23)/C12)*G12,IF(C12&lt;=W$24,((C12*X$24-Z$24)/C12)*G12,IF(C12&lt;=W$25,((C12*X$25-Z$25)/C12)*G12,0))))))</f>
        <v>0</v>
      </c>
      <c r="S12" s="10">
        <f>IF(C12&lt;=W$20,H12*Y$20*X$20,IF(C12&lt;=W$21,((C12*X$21-Z$21)/C12)*Y$21*H12,IF(C12&lt;=W$22,((C12*X$22-Z$22)/C12)*Y$22*H12,IF(C12&lt;=W$23,((C12*X$23-Z$23)/C12)*Y$23*H12,IF(C12&lt;=W$24,((C12*X$24-Z$24)/C12)*Y$24*H12,IF(C12&lt;=W$25,((C12*X$25-Z$25)/C12)*Y$25*H12,0))))))</f>
        <v>0</v>
      </c>
      <c r="T12" s="10">
        <f>IF(C12&lt;=W$20,I12*Y$20*X$20,IF(C12&lt;=W$21,((C12*X$21-Z$21)/C12)*Y$21*I12,IF(C12&lt;=W$22,((C12*X$22-Z$22)/C12)*Y$22*I12,IF(C12&lt;=W$23,((C12*X$23-Z$23)/C12)*Y$23*I12,IF(C12&lt;=W$24,((C12*X$24-Z$24)/C12)*Y$24*I12,IF(C12&lt;=W$25,((C12*X$25-Z$25)/C12)*Y$25*I12,0))))))</f>
        <v>0</v>
      </c>
      <c r="U12" s="10">
        <f>SUM(P12:T12)</f>
        <v>400</v>
      </c>
      <c r="W12" s="26">
        <v>180000</v>
      </c>
      <c r="X12" s="27">
        <v>0.04</v>
      </c>
      <c r="Y12" s="28">
        <f>SUM(G29:K29)</f>
        <v>0.65999999999999992</v>
      </c>
      <c r="Z12" s="26">
        <v>0</v>
      </c>
    </row>
    <row r="13" spans="1:26" x14ac:dyDescent="0.25">
      <c r="A13" s="21">
        <v>2</v>
      </c>
      <c r="B13" s="20">
        <f>B12+31</f>
        <v>42767</v>
      </c>
      <c r="C13" s="10">
        <v>0</v>
      </c>
      <c r="D13" s="20">
        <f>D12+31</f>
        <v>43132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10">
        <f>SUM(E13:I13)</f>
        <v>0</v>
      </c>
      <c r="K13" s="36">
        <f t="shared" si="0"/>
        <v>0</v>
      </c>
      <c r="L13" s="36">
        <f t="shared" si="1"/>
        <v>0</v>
      </c>
      <c r="M13" s="36">
        <f t="shared" ref="M13:M23" si="2">IF(E13=0,0,IF(E13&lt;=Y$12,Z$12,IF(E13&lt;=Y$13,((E13*Z$13-AB$13)/E13),IF(E13&lt;=Y$14,((E13*Z$14-AB$14)/E13),IF(E13&lt;=Y$15,((E13*Z$15-AB$15)/E13),IF(E13&lt;=Y$16,((E13*Z$16-AB$16)/E13),IF(E13&lt;=Y$17,((E13*Z$17-AB$17)/E13),0)))))))</f>
        <v>0</v>
      </c>
      <c r="N13" s="36">
        <f t="shared" ref="N13:N23" si="3">IF(E13=0,0,IF(E13&lt;=Y$12,Z$12*AA$12,IF(E13&lt;=Y$13,((E13*Z$13-AB$13)/E13*(AA$13)),IF(E13&lt;=Y$14,((E13*Z$14-AB$14)/E13*(AA$14)),IF(E13&lt;=Y$15,((E13*Z$15-AB$15)/E13*(AA$15)),IF(E13&lt;=Y$16,((E13*Z$16-AB$16)/E13*(AA$16)),IF(E13&lt;=Y$17,((E13*Z$17-AB$17)/E13*(AA$17)),0)))))))</f>
        <v>0</v>
      </c>
      <c r="O13" s="36">
        <f t="shared" ref="O13:O23" si="4">IF(C13=0,0,IF(C13&lt;=W$20,X$20*Y$20,IF(C13&lt;=W$21,((C13*X$21-Z$21)/C13*(Y$21)),IF(C13&lt;=W$22,((C13*X$22-Z$22)/C13*(Y$22)),IF(C13&lt;=W$23,((C13*X$23-Z$23)/C13*(Y$23)),IF(C13&lt;=W$24,((C13*X$24-Z$24)/C13*(Y$24)),IF(C13&lt;=W$25,((C13*X$25-Z$25)/C13*(Y$25)),0)))))))</f>
        <v>0</v>
      </c>
      <c r="P13" s="10">
        <f t="shared" ref="P13:P23" si="5">IF(C13&lt;=W$12,E13*X$12,IF(C13&lt;=W$13,((C13*X$13-Z$13)/C13)*E13,IF(C13&lt;=W$14,((C13*X$14-Z$14)/C13)*E13,IF(C13&lt;=W$15,((C13*X$15-Z$15)/C13)*E13,IF(C13&lt;=W$16,((C13*X$16-Z$16)/C13)*E13,IF(C13&lt;=W$17,((C13*X$17-Z$17)/C13)*E13,0))))))</f>
        <v>0</v>
      </c>
      <c r="Q13" s="10">
        <f t="shared" ref="Q13:Q23" si="6">IF(C13&lt;=W$12,(F13*X$12)*Y$12,IF(C13&lt;=W$13,((C13*X$13-Z$13)/C13)*Y$13*F13,IF(C13&lt;=W$14,((C13*X$14-Z$14)/C13)*Y$14*F13,IF(C13&lt;=W$15,((C13*X$15-Z$15)/C13)*Y$15*F13,IF(C13&lt;=W$16,((C13*X$16-Z$16)/C13)*Y$16*F13,IF(C13&lt;=W$17,((C13*X$17-Z$17)/C13)*Y$17*F13,0))))))</f>
        <v>0</v>
      </c>
      <c r="R13" s="10">
        <f t="shared" ref="R13:R23" si="7">IF(C13&lt;=W$20,G13*X$20,IF(C13&lt;=W$21,((C13*X$21-Z$21)/C13)*G13,IF(C13&lt;=W$22,((C13*X$22-Z$22)/C13)*G13,IF(C13&lt;=W$23,((C13*X$23-Z$23)/C13)*G13,IF(C13&lt;=W$24,((C13*X$24-Z$24)/C13)*G13,IF(C13&lt;=W$25,((C13*X$25-Z$25)/C13)*G13,0))))))</f>
        <v>0</v>
      </c>
      <c r="S13" s="10">
        <f t="shared" ref="S13:S23" si="8">IF(C13&lt;=W$20,H13*Y$20*X$20,IF(C13&lt;=W$21,((C13*X$21-Z$21)/C13)*Y$21*H13,IF(C13&lt;=W$22,((C13*X$22-Z$22)/C13)*Y$22*H13,IF(C13&lt;=W$23,((C13*X$23-Z$23)/C13)*Y$23*H13,IF(C13&lt;=W$24,((C13*X$24-Z$24)/C13)*Y$24*H13,IF(C13&lt;=W$25,((C13*X$25-Z$25)/C13)*Y$25*H13,0))))))</f>
        <v>0</v>
      </c>
      <c r="T13" s="10">
        <f t="shared" ref="T13:T23" si="9">IF(C13&lt;=W$20,I13*Y$20*X$20,IF(C13&lt;=W$21,((C13*X$21-Z$21)/C13)*Y$21*I13,IF(C13&lt;=W$22,((C13*X$22-Z$22)/C13)*Y$22*I13,IF(C13&lt;=W$23,((C13*X$23-Z$23)/C13)*Y$23*I13,IF(C13&lt;=W$24,((C13*X$24-Z$24)/C13)*Y$24*I13,IF(C13&lt;=W$25,((C13*X$25-Z$25)/C13)*Y$25*I13,0))))))</f>
        <v>0</v>
      </c>
      <c r="U13" s="10">
        <f t="shared" ref="U13:U23" si="10">SUM(P13:T13)</f>
        <v>0</v>
      </c>
      <c r="W13" s="26">
        <v>360000</v>
      </c>
      <c r="X13" s="28">
        <v>7.2999999999999995E-2</v>
      </c>
      <c r="Y13" s="28">
        <f t="shared" ref="Y13:Y17" si="11">SUM(G30:K30)</f>
        <v>0.65999999999999992</v>
      </c>
      <c r="Z13" s="26">
        <v>5940</v>
      </c>
    </row>
    <row r="14" spans="1:26" x14ac:dyDescent="0.25">
      <c r="A14" s="21">
        <v>3</v>
      </c>
      <c r="B14" s="20">
        <f t="shared" ref="B14:B23" si="12">B13+31</f>
        <v>42798</v>
      </c>
      <c r="C14" s="10">
        <v>0</v>
      </c>
      <c r="D14" s="20">
        <f t="shared" ref="D14:D23" si="13">D13+31</f>
        <v>43163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10">
        <f t="shared" ref="J14:J23" si="14">SUM(E14:I14)</f>
        <v>0</v>
      </c>
      <c r="K14" s="36">
        <f t="shared" si="0"/>
        <v>0</v>
      </c>
      <c r="L14" s="36">
        <f t="shared" si="1"/>
        <v>0</v>
      </c>
      <c r="M14" s="36">
        <f t="shared" si="2"/>
        <v>0</v>
      </c>
      <c r="N14" s="36">
        <f t="shared" si="3"/>
        <v>0</v>
      </c>
      <c r="O14" s="36">
        <f t="shared" si="4"/>
        <v>0</v>
      </c>
      <c r="P14" s="10">
        <f t="shared" si="5"/>
        <v>0</v>
      </c>
      <c r="Q14" s="10">
        <f t="shared" si="6"/>
        <v>0</v>
      </c>
      <c r="R14" s="10">
        <f t="shared" si="7"/>
        <v>0</v>
      </c>
      <c r="S14" s="10">
        <f t="shared" si="8"/>
        <v>0</v>
      </c>
      <c r="T14" s="10">
        <f t="shared" si="9"/>
        <v>0</v>
      </c>
      <c r="U14" s="10">
        <f t="shared" si="10"/>
        <v>0</v>
      </c>
      <c r="W14" s="26">
        <v>720000</v>
      </c>
      <c r="X14" s="28">
        <v>9.5000000000000001E-2</v>
      </c>
      <c r="Y14" s="28">
        <f t="shared" si="11"/>
        <v>0.66500000000000004</v>
      </c>
      <c r="Z14" s="26">
        <v>13860</v>
      </c>
    </row>
    <row r="15" spans="1:26" x14ac:dyDescent="0.25">
      <c r="A15" s="21">
        <v>4</v>
      </c>
      <c r="B15" s="20">
        <f t="shared" si="12"/>
        <v>42829</v>
      </c>
      <c r="C15" s="10">
        <v>0</v>
      </c>
      <c r="D15" s="20">
        <f t="shared" si="13"/>
        <v>43194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10">
        <f t="shared" si="14"/>
        <v>0</v>
      </c>
      <c r="K15" s="36">
        <f t="shared" si="0"/>
        <v>0</v>
      </c>
      <c r="L15" s="36">
        <f t="shared" si="1"/>
        <v>0</v>
      </c>
      <c r="M15" s="36">
        <f t="shared" si="2"/>
        <v>0</v>
      </c>
      <c r="N15" s="36">
        <f t="shared" si="3"/>
        <v>0</v>
      </c>
      <c r="O15" s="36">
        <f t="shared" si="4"/>
        <v>0</v>
      </c>
      <c r="P15" s="10">
        <f t="shared" si="5"/>
        <v>0</v>
      </c>
      <c r="Q15" s="10">
        <f t="shared" si="6"/>
        <v>0</v>
      </c>
      <c r="R15" s="10">
        <f t="shared" si="7"/>
        <v>0</v>
      </c>
      <c r="S15" s="10">
        <f t="shared" si="8"/>
        <v>0</v>
      </c>
      <c r="T15" s="10">
        <f t="shared" si="9"/>
        <v>0</v>
      </c>
      <c r="U15" s="10">
        <f t="shared" si="10"/>
        <v>0</v>
      </c>
      <c r="W15" s="26">
        <v>1800000</v>
      </c>
      <c r="X15" s="28">
        <v>0.107</v>
      </c>
      <c r="Y15" s="28">
        <f t="shared" si="11"/>
        <v>0.66500000000000004</v>
      </c>
      <c r="Z15" s="26">
        <v>22500</v>
      </c>
    </row>
    <row r="16" spans="1:26" x14ac:dyDescent="0.25">
      <c r="A16" s="21">
        <v>5</v>
      </c>
      <c r="B16" s="20">
        <f t="shared" si="12"/>
        <v>42860</v>
      </c>
      <c r="C16" s="10">
        <v>0</v>
      </c>
      <c r="D16" s="20">
        <f t="shared" si="13"/>
        <v>43225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10">
        <f t="shared" si="14"/>
        <v>0</v>
      </c>
      <c r="K16" s="36">
        <f t="shared" si="0"/>
        <v>0</v>
      </c>
      <c r="L16" s="36">
        <f t="shared" si="1"/>
        <v>0</v>
      </c>
      <c r="M16" s="36">
        <f t="shared" si="2"/>
        <v>0</v>
      </c>
      <c r="N16" s="36">
        <f t="shared" si="3"/>
        <v>0</v>
      </c>
      <c r="O16" s="36">
        <f t="shared" si="4"/>
        <v>0</v>
      </c>
      <c r="P16" s="10">
        <f t="shared" si="5"/>
        <v>0</v>
      </c>
      <c r="Q16" s="10">
        <f t="shared" si="6"/>
        <v>0</v>
      </c>
      <c r="R16" s="10">
        <f t="shared" si="7"/>
        <v>0</v>
      </c>
      <c r="S16" s="10">
        <f t="shared" si="8"/>
        <v>0</v>
      </c>
      <c r="T16" s="10">
        <f t="shared" si="9"/>
        <v>0</v>
      </c>
      <c r="U16" s="10">
        <f t="shared" si="10"/>
        <v>0</v>
      </c>
      <c r="W16" s="26">
        <v>3600000</v>
      </c>
      <c r="X16" s="28">
        <v>0.14299999999999999</v>
      </c>
      <c r="Y16" s="28">
        <f t="shared" si="11"/>
        <v>0.66500000000000004</v>
      </c>
      <c r="Z16" s="26">
        <v>87300</v>
      </c>
    </row>
    <row r="17" spans="1:26" x14ac:dyDescent="0.25">
      <c r="A17" s="21">
        <v>6</v>
      </c>
      <c r="B17" s="20">
        <f t="shared" si="12"/>
        <v>42891</v>
      </c>
      <c r="C17" s="10">
        <v>0</v>
      </c>
      <c r="D17" s="20">
        <f t="shared" si="13"/>
        <v>43256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10">
        <f t="shared" si="14"/>
        <v>0</v>
      </c>
      <c r="K17" s="36">
        <f t="shared" si="0"/>
        <v>0</v>
      </c>
      <c r="L17" s="36">
        <f t="shared" si="1"/>
        <v>0</v>
      </c>
      <c r="M17" s="36">
        <f t="shared" si="2"/>
        <v>0</v>
      </c>
      <c r="N17" s="36">
        <f t="shared" si="3"/>
        <v>0</v>
      </c>
      <c r="O17" s="36">
        <f t="shared" si="4"/>
        <v>0</v>
      </c>
      <c r="P17" s="10">
        <f t="shared" si="5"/>
        <v>0</v>
      </c>
      <c r="Q17" s="10">
        <f t="shared" si="6"/>
        <v>0</v>
      </c>
      <c r="R17" s="10">
        <f t="shared" si="7"/>
        <v>0</v>
      </c>
      <c r="S17" s="10">
        <f t="shared" si="8"/>
        <v>0</v>
      </c>
      <c r="T17" s="10">
        <f t="shared" si="9"/>
        <v>0</v>
      </c>
      <c r="U17" s="10">
        <f t="shared" si="10"/>
        <v>0</v>
      </c>
      <c r="W17" s="26">
        <v>4800000</v>
      </c>
      <c r="X17" s="27">
        <v>0.19</v>
      </c>
      <c r="Y17" s="28">
        <f t="shared" si="11"/>
        <v>1</v>
      </c>
      <c r="Z17" s="26">
        <v>378000</v>
      </c>
    </row>
    <row r="18" spans="1:26" x14ac:dyDescent="0.25">
      <c r="A18" s="21">
        <v>7</v>
      </c>
      <c r="B18" s="20">
        <f t="shared" si="12"/>
        <v>42922</v>
      </c>
      <c r="C18" s="10">
        <v>0</v>
      </c>
      <c r="D18" s="20">
        <f t="shared" si="13"/>
        <v>43287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10">
        <f t="shared" si="14"/>
        <v>0</v>
      </c>
      <c r="K18" s="36">
        <f t="shared" si="0"/>
        <v>0</v>
      </c>
      <c r="L18" s="36">
        <f t="shared" si="1"/>
        <v>0</v>
      </c>
      <c r="M18" s="36">
        <f t="shared" si="2"/>
        <v>0</v>
      </c>
      <c r="N18" s="36">
        <f t="shared" si="3"/>
        <v>0</v>
      </c>
      <c r="O18" s="36">
        <f t="shared" si="4"/>
        <v>0</v>
      </c>
      <c r="P18" s="10">
        <f t="shared" si="5"/>
        <v>0</v>
      </c>
      <c r="Q18" s="10">
        <f t="shared" si="6"/>
        <v>0</v>
      </c>
      <c r="R18" s="10">
        <f t="shared" si="7"/>
        <v>0</v>
      </c>
      <c r="S18" s="10">
        <f t="shared" si="8"/>
        <v>0</v>
      </c>
      <c r="T18" s="10">
        <f t="shared" si="9"/>
        <v>0</v>
      </c>
      <c r="U18" s="10">
        <f t="shared" si="10"/>
        <v>0</v>
      </c>
    </row>
    <row r="19" spans="1:26" ht="25.5" x14ac:dyDescent="0.25">
      <c r="A19" s="21">
        <v>8</v>
      </c>
      <c r="B19" s="20">
        <f t="shared" si="12"/>
        <v>42953</v>
      </c>
      <c r="C19" s="10">
        <v>0</v>
      </c>
      <c r="D19" s="20">
        <f t="shared" si="13"/>
        <v>43318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10">
        <f t="shared" si="14"/>
        <v>0</v>
      </c>
      <c r="K19" s="36">
        <f t="shared" si="0"/>
        <v>0</v>
      </c>
      <c r="L19" s="36">
        <f t="shared" si="1"/>
        <v>0</v>
      </c>
      <c r="M19" s="36">
        <f t="shared" si="2"/>
        <v>0</v>
      </c>
      <c r="N19" s="36">
        <f t="shared" si="3"/>
        <v>0</v>
      </c>
      <c r="O19" s="36">
        <f t="shared" si="4"/>
        <v>0</v>
      </c>
      <c r="P19" s="10">
        <f t="shared" si="5"/>
        <v>0</v>
      </c>
      <c r="Q19" s="10">
        <f t="shared" si="6"/>
        <v>0</v>
      </c>
      <c r="R19" s="10">
        <f t="shared" si="7"/>
        <v>0</v>
      </c>
      <c r="S19" s="10">
        <f t="shared" si="8"/>
        <v>0</v>
      </c>
      <c r="T19" s="10">
        <f t="shared" si="9"/>
        <v>0</v>
      </c>
      <c r="U19" s="10">
        <f t="shared" si="10"/>
        <v>0</v>
      </c>
      <c r="W19" s="14" t="s">
        <v>18</v>
      </c>
      <c r="X19" s="14" t="s">
        <v>19</v>
      </c>
      <c r="Y19" s="14" t="s">
        <v>43</v>
      </c>
      <c r="Z19" s="14" t="s">
        <v>20</v>
      </c>
    </row>
    <row r="20" spans="1:26" x14ac:dyDescent="0.25">
      <c r="A20" s="21">
        <v>9</v>
      </c>
      <c r="B20" s="20">
        <f t="shared" si="12"/>
        <v>42984</v>
      </c>
      <c r="C20" s="10">
        <v>0</v>
      </c>
      <c r="D20" s="20">
        <f t="shared" si="13"/>
        <v>43349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10">
        <f t="shared" si="14"/>
        <v>0</v>
      </c>
      <c r="K20" s="36">
        <f t="shared" si="0"/>
        <v>0</v>
      </c>
      <c r="L20" s="36">
        <f t="shared" si="1"/>
        <v>0</v>
      </c>
      <c r="M20" s="36">
        <f t="shared" si="2"/>
        <v>0</v>
      </c>
      <c r="N20" s="36">
        <f t="shared" si="3"/>
        <v>0</v>
      </c>
      <c r="O20" s="36">
        <f t="shared" si="4"/>
        <v>0</v>
      </c>
      <c r="P20" s="10">
        <f t="shared" si="5"/>
        <v>0</v>
      </c>
      <c r="Q20" s="10">
        <f t="shared" si="6"/>
        <v>0</v>
      </c>
      <c r="R20" s="10">
        <f t="shared" si="7"/>
        <v>0</v>
      </c>
      <c r="S20" s="10">
        <f t="shared" si="8"/>
        <v>0</v>
      </c>
      <c r="T20" s="10">
        <f t="shared" si="9"/>
        <v>0</v>
      </c>
      <c r="U20" s="10">
        <f t="shared" si="10"/>
        <v>0</v>
      </c>
      <c r="W20" s="26">
        <v>180000</v>
      </c>
      <c r="X20" s="27">
        <v>0.06</v>
      </c>
      <c r="Y20" s="28">
        <f>SUM(G38:K38)</f>
        <v>0.66500000000000004</v>
      </c>
      <c r="Z20" s="26">
        <v>0</v>
      </c>
    </row>
    <row r="21" spans="1:26" x14ac:dyDescent="0.25">
      <c r="A21" s="21">
        <v>10</v>
      </c>
      <c r="B21" s="20">
        <f t="shared" si="12"/>
        <v>43015</v>
      </c>
      <c r="C21" s="10">
        <v>0</v>
      </c>
      <c r="D21" s="20">
        <f t="shared" si="13"/>
        <v>43380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10">
        <f t="shared" si="14"/>
        <v>0</v>
      </c>
      <c r="K21" s="36">
        <f t="shared" si="0"/>
        <v>0</v>
      </c>
      <c r="L21" s="36">
        <f t="shared" si="1"/>
        <v>0</v>
      </c>
      <c r="M21" s="36">
        <f t="shared" si="2"/>
        <v>0</v>
      </c>
      <c r="N21" s="36">
        <f t="shared" si="3"/>
        <v>0</v>
      </c>
      <c r="O21" s="36">
        <f t="shared" si="4"/>
        <v>0</v>
      </c>
      <c r="P21" s="10">
        <f t="shared" si="5"/>
        <v>0</v>
      </c>
      <c r="Q21" s="10">
        <f t="shared" si="6"/>
        <v>0</v>
      </c>
      <c r="R21" s="10">
        <f t="shared" si="7"/>
        <v>0</v>
      </c>
      <c r="S21" s="10">
        <f t="shared" si="8"/>
        <v>0</v>
      </c>
      <c r="T21" s="10">
        <f t="shared" si="9"/>
        <v>0</v>
      </c>
      <c r="U21" s="10">
        <f t="shared" si="10"/>
        <v>0</v>
      </c>
      <c r="W21" s="26">
        <v>360000</v>
      </c>
      <c r="X21" s="28">
        <v>0.112</v>
      </c>
      <c r="Y21" s="28">
        <f t="shared" ref="Y21:Y25" si="15">SUM(G39:K39)</f>
        <v>0.68</v>
      </c>
      <c r="Z21" s="26">
        <v>9360</v>
      </c>
    </row>
    <row r="22" spans="1:26" x14ac:dyDescent="0.25">
      <c r="A22" s="21">
        <v>11</v>
      </c>
      <c r="B22" s="20">
        <f t="shared" si="12"/>
        <v>43046</v>
      </c>
      <c r="C22" s="10">
        <v>0</v>
      </c>
      <c r="D22" s="20">
        <f t="shared" si="13"/>
        <v>43411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10">
        <f t="shared" si="14"/>
        <v>0</v>
      </c>
      <c r="K22" s="36">
        <f t="shared" si="0"/>
        <v>0</v>
      </c>
      <c r="L22" s="36">
        <f t="shared" si="1"/>
        <v>0</v>
      </c>
      <c r="M22" s="36">
        <f t="shared" si="2"/>
        <v>0</v>
      </c>
      <c r="N22" s="36">
        <f t="shared" si="3"/>
        <v>0</v>
      </c>
      <c r="O22" s="36">
        <f t="shared" si="4"/>
        <v>0</v>
      </c>
      <c r="P22" s="10">
        <f t="shared" si="5"/>
        <v>0</v>
      </c>
      <c r="Q22" s="10">
        <f t="shared" si="6"/>
        <v>0</v>
      </c>
      <c r="R22" s="10">
        <f t="shared" si="7"/>
        <v>0</v>
      </c>
      <c r="S22" s="10">
        <f t="shared" si="8"/>
        <v>0</v>
      </c>
      <c r="T22" s="10">
        <f t="shared" si="9"/>
        <v>0</v>
      </c>
      <c r="U22" s="10">
        <f t="shared" si="10"/>
        <v>0</v>
      </c>
      <c r="W22" s="26">
        <v>720000</v>
      </c>
      <c r="X22" s="28">
        <v>0.13500000000000001</v>
      </c>
      <c r="Y22" s="28">
        <f t="shared" si="15"/>
        <v>0.67500000000000004</v>
      </c>
      <c r="Z22" s="26">
        <v>17640</v>
      </c>
    </row>
    <row r="23" spans="1:26" x14ac:dyDescent="0.25">
      <c r="A23" s="21">
        <v>12</v>
      </c>
      <c r="B23" s="20">
        <f t="shared" si="12"/>
        <v>43077</v>
      </c>
      <c r="C23" s="10">
        <v>0</v>
      </c>
      <c r="D23" s="20">
        <f t="shared" si="13"/>
        <v>43442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10">
        <f t="shared" si="14"/>
        <v>0</v>
      </c>
      <c r="K23" s="36">
        <f t="shared" si="0"/>
        <v>0</v>
      </c>
      <c r="L23" s="36">
        <f t="shared" si="1"/>
        <v>0</v>
      </c>
      <c r="M23" s="36">
        <f t="shared" si="2"/>
        <v>0</v>
      </c>
      <c r="N23" s="36">
        <f t="shared" si="3"/>
        <v>0</v>
      </c>
      <c r="O23" s="36">
        <f t="shared" si="4"/>
        <v>0</v>
      </c>
      <c r="P23" s="10">
        <f t="shared" si="5"/>
        <v>0</v>
      </c>
      <c r="Q23" s="10">
        <f t="shared" si="6"/>
        <v>0</v>
      </c>
      <c r="R23" s="10">
        <f t="shared" si="7"/>
        <v>0</v>
      </c>
      <c r="S23" s="10">
        <f t="shared" si="8"/>
        <v>0</v>
      </c>
      <c r="T23" s="10">
        <f t="shared" si="9"/>
        <v>0</v>
      </c>
      <c r="U23" s="10">
        <f t="shared" si="10"/>
        <v>0</v>
      </c>
      <c r="W23" s="26">
        <v>1800000</v>
      </c>
      <c r="X23" s="27">
        <v>0.16</v>
      </c>
      <c r="Y23" s="28">
        <f t="shared" si="15"/>
        <v>0.67500000000000004</v>
      </c>
      <c r="Z23" s="26">
        <v>35640</v>
      </c>
    </row>
    <row r="24" spans="1:26" ht="15.75" x14ac:dyDescent="0.25">
      <c r="A24" s="86" t="s">
        <v>7</v>
      </c>
      <c r="B24" s="86"/>
      <c r="C24" s="6">
        <f>SUM(C12:C23)</f>
        <v>1</v>
      </c>
      <c r="D24" s="16"/>
      <c r="E24" s="6">
        <f t="shared" ref="E24:T24" si="16">SUM(E12:E23)</f>
        <v>10000</v>
      </c>
      <c r="F24" s="6">
        <f t="shared" si="16"/>
        <v>0</v>
      </c>
      <c r="G24" s="6">
        <f t="shared" si="16"/>
        <v>0</v>
      </c>
      <c r="H24" s="6">
        <f t="shared" si="16"/>
        <v>0</v>
      </c>
      <c r="I24" s="6">
        <f t="shared" si="16"/>
        <v>0</v>
      </c>
      <c r="J24" s="6">
        <f t="shared" si="16"/>
        <v>10000</v>
      </c>
      <c r="K24" s="92"/>
      <c r="L24" s="93"/>
      <c r="M24" s="93"/>
      <c r="N24" s="93"/>
      <c r="O24" s="98"/>
      <c r="P24" s="6">
        <f t="shared" si="16"/>
        <v>400</v>
      </c>
      <c r="Q24" s="6">
        <f t="shared" si="16"/>
        <v>0</v>
      </c>
      <c r="R24" s="6">
        <f t="shared" si="16"/>
        <v>0</v>
      </c>
      <c r="S24" s="6">
        <f t="shared" si="16"/>
        <v>0</v>
      </c>
      <c r="T24" s="6">
        <f t="shared" si="16"/>
        <v>0</v>
      </c>
      <c r="U24" s="6">
        <f>SUM(U12:U23)</f>
        <v>400</v>
      </c>
      <c r="W24" s="26">
        <v>3600000</v>
      </c>
      <c r="X24" s="27">
        <v>0.21</v>
      </c>
      <c r="Y24" s="28">
        <f t="shared" si="15"/>
        <v>0.66500000000000004</v>
      </c>
      <c r="Z24" s="26">
        <v>125640</v>
      </c>
    </row>
    <row r="25" spans="1:26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/>
      <c r="U25" s="3"/>
      <c r="W25" s="26">
        <v>4800000</v>
      </c>
      <c r="X25" s="27">
        <v>0.33</v>
      </c>
      <c r="Y25" s="28">
        <f t="shared" si="15"/>
        <v>1</v>
      </c>
      <c r="Z25" s="26">
        <v>648000</v>
      </c>
    </row>
    <row r="26" spans="1:26" ht="15.75" x14ac:dyDescent="0.25">
      <c r="A26" s="2"/>
      <c r="B26" s="2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3"/>
    </row>
    <row r="27" spans="1:26" ht="17.25" customHeight="1" thickBot="1" x14ac:dyDescent="0.3">
      <c r="A27" s="81" t="s">
        <v>8</v>
      </c>
      <c r="B27" s="82"/>
      <c r="C27" s="82"/>
      <c r="D27" s="83"/>
      <c r="E27" s="3"/>
      <c r="F27" s="84" t="s">
        <v>52</v>
      </c>
      <c r="G27" s="85"/>
      <c r="H27" s="85"/>
      <c r="I27" s="85"/>
      <c r="J27" s="85"/>
      <c r="K27" s="85"/>
      <c r="L27" s="85"/>
    </row>
    <row r="28" spans="1:26" ht="15.75" thickBot="1" x14ac:dyDescent="0.3">
      <c r="A28" s="73" t="s">
        <v>9</v>
      </c>
      <c r="B28" s="74"/>
      <c r="C28" s="75"/>
      <c r="D28" s="22">
        <f>+J24</f>
        <v>10000</v>
      </c>
      <c r="E28" s="11"/>
      <c r="F28" s="31" t="s">
        <v>34</v>
      </c>
      <c r="G28" s="29" t="s">
        <v>13</v>
      </c>
      <c r="H28" s="30" t="s">
        <v>14</v>
      </c>
      <c r="I28" s="30" t="s">
        <v>25</v>
      </c>
      <c r="J28" s="30" t="s">
        <v>26</v>
      </c>
      <c r="K28" s="30" t="s">
        <v>27</v>
      </c>
      <c r="L28" s="30" t="s">
        <v>23</v>
      </c>
      <c r="Y28" s="34"/>
    </row>
    <row r="29" spans="1:26" ht="15.75" thickBot="1" x14ac:dyDescent="0.3">
      <c r="A29" s="69" t="s">
        <v>10</v>
      </c>
      <c r="B29" s="70"/>
      <c r="C29" s="71"/>
      <c r="D29" s="23">
        <f>U24</f>
        <v>400</v>
      </c>
      <c r="E29" s="11"/>
      <c r="F29" s="31" t="s">
        <v>28</v>
      </c>
      <c r="G29" s="32">
        <v>5.5E-2</v>
      </c>
      <c r="H29" s="32">
        <v>3.5000000000000003E-2</v>
      </c>
      <c r="I29" s="32">
        <v>0.12740000000000001</v>
      </c>
      <c r="J29" s="32">
        <v>2.76E-2</v>
      </c>
      <c r="K29" s="32">
        <v>0.41499999999999998</v>
      </c>
      <c r="L29" s="32">
        <v>0.34</v>
      </c>
      <c r="Y29" s="34"/>
    </row>
    <row r="30" spans="1:26" ht="15.75" thickBot="1" x14ac:dyDescent="0.3">
      <c r="A30" s="69" t="s">
        <v>23</v>
      </c>
      <c r="B30" s="70"/>
      <c r="C30" s="71"/>
      <c r="D30" s="24">
        <f>E24*18%</f>
        <v>1800</v>
      </c>
      <c r="E30" s="11"/>
      <c r="F30" s="31" t="s">
        <v>29</v>
      </c>
      <c r="G30" s="32">
        <v>5.5E-2</v>
      </c>
      <c r="H30" s="32">
        <v>3.5000000000000003E-2</v>
      </c>
      <c r="I30" s="32">
        <v>0.12740000000000001</v>
      </c>
      <c r="J30" s="32">
        <v>2.76E-2</v>
      </c>
      <c r="K30" s="32">
        <v>0.41499999999999998</v>
      </c>
      <c r="L30" s="32">
        <v>0.34</v>
      </c>
      <c r="Y30" s="34"/>
    </row>
    <row r="31" spans="1:26" ht="15.75" thickBot="1" x14ac:dyDescent="0.3">
      <c r="A31" s="69" t="s">
        <v>11</v>
      </c>
      <c r="B31" s="70"/>
      <c r="C31" s="71"/>
      <c r="D31" s="23">
        <f>D28*0.65%</f>
        <v>65</v>
      </c>
      <c r="E31" s="11"/>
      <c r="F31" s="31" t="s">
        <v>30</v>
      </c>
      <c r="G31" s="32">
        <v>5.5E-2</v>
      </c>
      <c r="H31" s="32">
        <v>3.5000000000000003E-2</v>
      </c>
      <c r="I31" s="32">
        <v>0.12740000000000001</v>
      </c>
      <c r="J31" s="32">
        <v>2.76E-2</v>
      </c>
      <c r="K31" s="32">
        <v>0.42</v>
      </c>
      <c r="L31" s="32">
        <v>0.33500000000000002</v>
      </c>
      <c r="Y31" s="34"/>
    </row>
    <row r="32" spans="1:26" ht="15.75" thickBot="1" x14ac:dyDescent="0.3">
      <c r="A32" s="69" t="s">
        <v>12</v>
      </c>
      <c r="B32" s="70"/>
      <c r="C32" s="71"/>
      <c r="D32" s="23">
        <f>D28*3%</f>
        <v>300</v>
      </c>
      <c r="E32" s="11"/>
      <c r="F32" s="31" t="s">
        <v>31</v>
      </c>
      <c r="G32" s="32">
        <v>5.5E-2</v>
      </c>
      <c r="H32" s="32">
        <v>3.5000000000000003E-2</v>
      </c>
      <c r="I32" s="32">
        <v>0.12740000000000001</v>
      </c>
      <c r="J32" s="32">
        <v>2.76E-2</v>
      </c>
      <c r="K32" s="32">
        <v>0.42</v>
      </c>
      <c r="L32" s="32">
        <v>0.33500000000000002</v>
      </c>
      <c r="Y32" s="34"/>
    </row>
    <row r="33" spans="1:25" ht="15.75" thickBot="1" x14ac:dyDescent="0.3">
      <c r="A33" s="69" t="s">
        <v>13</v>
      </c>
      <c r="B33" s="70"/>
      <c r="C33" s="71"/>
      <c r="D33" s="24">
        <f>((E24+F24)*8%+(G24+H24+I24)*32%)*15%</f>
        <v>120</v>
      </c>
      <c r="E33" s="11"/>
      <c r="F33" s="31" t="s">
        <v>32</v>
      </c>
      <c r="G33" s="32">
        <v>5.5E-2</v>
      </c>
      <c r="H33" s="32">
        <v>3.5000000000000003E-2</v>
      </c>
      <c r="I33" s="32">
        <v>0.12740000000000001</v>
      </c>
      <c r="J33" s="32">
        <v>2.76E-2</v>
      </c>
      <c r="K33" s="32">
        <v>0.42</v>
      </c>
      <c r="L33" s="32">
        <v>0.33500000000000002</v>
      </c>
      <c r="Y33" s="34"/>
    </row>
    <row r="34" spans="1:25" ht="15.75" thickBot="1" x14ac:dyDescent="0.3">
      <c r="A34" s="69" t="s">
        <v>14</v>
      </c>
      <c r="B34" s="70"/>
      <c r="C34" s="71"/>
      <c r="D34" s="24">
        <f>((E24+F24)*12%+(G24+H24+I24)*32%)*9%</f>
        <v>108</v>
      </c>
      <c r="E34" s="11"/>
      <c r="F34" s="31" t="s">
        <v>33</v>
      </c>
      <c r="G34" s="32">
        <v>0.13500000000000001</v>
      </c>
      <c r="H34" s="32">
        <v>0.1</v>
      </c>
      <c r="I34" s="32">
        <v>0.28270000000000001</v>
      </c>
      <c r="J34" s="32">
        <v>6.13E-2</v>
      </c>
      <c r="K34" s="32">
        <v>0.42099999999999999</v>
      </c>
      <c r="L34" s="32">
        <v>0</v>
      </c>
    </row>
    <row r="35" spans="1:25" x14ac:dyDescent="0.25">
      <c r="A35" s="72" t="s">
        <v>15</v>
      </c>
      <c r="B35" s="72"/>
      <c r="C35" s="72"/>
      <c r="D35" s="25">
        <f>(D30+D31+D32+D33+D34)-D29</f>
        <v>1993</v>
      </c>
      <c r="E35" s="11"/>
      <c r="F35" s="11"/>
      <c r="G35" s="11"/>
      <c r="H35" s="11"/>
      <c r="I35" s="11"/>
      <c r="J35" s="1"/>
      <c r="K35" s="1"/>
      <c r="L35" s="1"/>
      <c r="M35" s="1"/>
      <c r="N35" s="1"/>
      <c r="O35" s="1"/>
    </row>
    <row r="36" spans="1:25" ht="15.75" customHeight="1" thickBot="1" x14ac:dyDescent="0.3">
      <c r="A36" s="8"/>
      <c r="B36" s="8"/>
      <c r="C36" s="8"/>
      <c r="D36" s="9"/>
      <c r="E36" s="9"/>
      <c r="F36" s="84" t="s">
        <v>53</v>
      </c>
      <c r="G36" s="85"/>
      <c r="H36" s="85"/>
      <c r="I36" s="85"/>
      <c r="J36" s="85"/>
      <c r="K36" s="85"/>
      <c r="L36" s="85"/>
      <c r="M36" s="1"/>
    </row>
    <row r="37" spans="1:25" ht="15.75" thickBot="1" x14ac:dyDescent="0.3">
      <c r="A37" s="8"/>
      <c r="B37" s="8"/>
      <c r="C37" s="8"/>
      <c r="D37" s="9"/>
      <c r="E37" s="9"/>
      <c r="F37" s="31" t="s">
        <v>34</v>
      </c>
      <c r="G37" s="29" t="s">
        <v>13</v>
      </c>
      <c r="H37" s="30" t="s">
        <v>14</v>
      </c>
      <c r="I37" s="30" t="s">
        <v>25</v>
      </c>
      <c r="J37" s="30" t="s">
        <v>26</v>
      </c>
      <c r="K37" s="30" t="s">
        <v>27</v>
      </c>
      <c r="L37" s="30" t="s">
        <v>42</v>
      </c>
      <c r="M37" s="1"/>
    </row>
    <row r="38" spans="1:25" ht="15.75" thickBot="1" x14ac:dyDescent="0.3">
      <c r="A38" s="17"/>
      <c r="B38" s="8"/>
      <c r="C38" s="8"/>
      <c r="D38" s="9"/>
      <c r="E38" s="9"/>
      <c r="F38" s="31" t="s">
        <v>28</v>
      </c>
      <c r="G38" s="32">
        <v>0.04</v>
      </c>
      <c r="H38" s="32">
        <v>3.5000000000000003E-2</v>
      </c>
      <c r="I38" s="32">
        <v>0.12820000000000001</v>
      </c>
      <c r="J38" s="32">
        <v>2.7799999999999998E-2</v>
      </c>
      <c r="K38" s="32">
        <v>0.434</v>
      </c>
      <c r="L38" s="32">
        <v>0.33500000000000002</v>
      </c>
      <c r="M38" s="1"/>
    </row>
    <row r="39" spans="1:25" ht="15.75" thickBot="1" x14ac:dyDescent="0.3">
      <c r="A39" s="17"/>
      <c r="B39" s="8"/>
      <c r="C39" s="8"/>
      <c r="D39" s="9"/>
      <c r="E39" s="9"/>
      <c r="F39" s="31" t="s">
        <v>29</v>
      </c>
      <c r="G39" s="32">
        <v>0.04</v>
      </c>
      <c r="H39" s="32">
        <v>3.5000000000000003E-2</v>
      </c>
      <c r="I39" s="32">
        <v>0.14050000000000001</v>
      </c>
      <c r="J39" s="32">
        <v>3.0499999999999999E-2</v>
      </c>
      <c r="K39" s="32">
        <v>0.434</v>
      </c>
      <c r="L39" s="32">
        <v>0.32</v>
      </c>
      <c r="M39" s="1"/>
    </row>
    <row r="40" spans="1:25" ht="15.75" thickBot="1" x14ac:dyDescent="0.3">
      <c r="A40" s="17"/>
      <c r="B40" s="8"/>
      <c r="C40" s="8"/>
      <c r="D40" s="9"/>
      <c r="E40" s="9"/>
      <c r="F40" s="31" t="s">
        <v>30</v>
      </c>
      <c r="G40" s="32">
        <v>0.04</v>
      </c>
      <c r="H40" s="32">
        <v>3.5000000000000003E-2</v>
      </c>
      <c r="I40" s="32">
        <v>0.13639999999999999</v>
      </c>
      <c r="J40" s="32">
        <v>2.9600000000000001E-2</v>
      </c>
      <c r="K40" s="32">
        <v>0.434</v>
      </c>
      <c r="L40" s="32">
        <v>0.32500000000000001</v>
      </c>
      <c r="M40" s="1"/>
    </row>
    <row r="41" spans="1:25" ht="15.75" thickBot="1" x14ac:dyDescent="0.3">
      <c r="F41" s="31" t="s">
        <v>31</v>
      </c>
      <c r="G41" s="32">
        <v>0.04</v>
      </c>
      <c r="H41" s="32">
        <v>3.5000000000000003E-2</v>
      </c>
      <c r="I41" s="32">
        <v>0.13639999999999999</v>
      </c>
      <c r="J41" s="32">
        <v>2.9600000000000001E-2</v>
      </c>
      <c r="K41" s="32">
        <v>0.434</v>
      </c>
      <c r="L41" s="32">
        <v>0.32500000000000001</v>
      </c>
      <c r="M41" s="1"/>
    </row>
    <row r="42" spans="1:25" ht="15.75" thickBot="1" x14ac:dyDescent="0.3">
      <c r="F42" s="31" t="s">
        <v>32</v>
      </c>
      <c r="G42" s="32">
        <v>0.04</v>
      </c>
      <c r="H42" s="32">
        <v>3.5000000000000003E-2</v>
      </c>
      <c r="I42" s="32">
        <v>0.12820000000000001</v>
      </c>
      <c r="J42" s="32">
        <v>2.7799999999999998E-2</v>
      </c>
      <c r="K42" s="32">
        <v>0.434</v>
      </c>
      <c r="L42" s="32">
        <v>0.33500000000000002</v>
      </c>
      <c r="M42" s="1"/>
    </row>
    <row r="43" spans="1:25" ht="15.75" thickBot="1" x14ac:dyDescent="0.3">
      <c r="F43" s="31" t="s">
        <v>33</v>
      </c>
      <c r="G43" s="32">
        <v>0.35</v>
      </c>
      <c r="H43" s="32">
        <v>0.15</v>
      </c>
      <c r="I43" s="32">
        <v>0.1603</v>
      </c>
      <c r="J43" s="32">
        <v>3.4700000000000002E-2</v>
      </c>
      <c r="K43" s="32">
        <v>0.30499999999999999</v>
      </c>
      <c r="L43" s="32">
        <v>0</v>
      </c>
      <c r="M43" s="1"/>
    </row>
  </sheetData>
  <sheetProtection formatCells="0" formatColumns="0" formatRows="0" insertColumns="0" insertRows="0" deleteColumns="0" deleteRows="0"/>
  <mergeCells count="19">
    <mergeCell ref="A6:P6"/>
    <mergeCell ref="A34:C34"/>
    <mergeCell ref="A28:C28"/>
    <mergeCell ref="A29:C29"/>
    <mergeCell ref="A31:C31"/>
    <mergeCell ref="A33:C33"/>
    <mergeCell ref="A32:C32"/>
    <mergeCell ref="M10:N10"/>
    <mergeCell ref="K10:L10"/>
    <mergeCell ref="F27:L27"/>
    <mergeCell ref="A24:B24"/>
    <mergeCell ref="A27:D27"/>
    <mergeCell ref="A8:P8"/>
    <mergeCell ref="A30:C30"/>
    <mergeCell ref="F36:L36"/>
    <mergeCell ref="P10:T10"/>
    <mergeCell ref="E10:J10"/>
    <mergeCell ref="K24:O24"/>
    <mergeCell ref="A35:C35"/>
  </mergeCells>
  <pageMargins left="0.51181102362204722" right="0.51181102362204722" top="0.78740157480314965" bottom="0.78740157480314965" header="0.31496062992125984" footer="0.31496062992125984"/>
  <pageSetup paperSize="9" scale="38" orientation="landscape" r:id="rId1"/>
  <ignoredErrors>
    <ignoredError sqref="Y20 Y21:Y25 Y12:Y17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42"/>
  <sheetViews>
    <sheetView zoomScaleSheetLayoutView="70" workbookViewId="0">
      <selection activeCell="A20" sqref="A20"/>
    </sheetView>
  </sheetViews>
  <sheetFormatPr defaultRowHeight="15" x14ac:dyDescent="0.25"/>
  <cols>
    <col min="1" max="1" width="8.140625" customWidth="1"/>
    <col min="2" max="2" width="14.85546875" customWidth="1"/>
    <col min="3" max="3" width="19.28515625" customWidth="1"/>
    <col min="4" max="4" width="12.85546875" customWidth="1"/>
    <col min="5" max="6" width="18" customWidth="1"/>
    <col min="7" max="7" width="16.140625" customWidth="1"/>
    <col min="8" max="8" width="15.42578125" customWidth="1"/>
    <col min="9" max="9" width="15.28515625" customWidth="1"/>
    <col min="10" max="11" width="18.5703125" customWidth="1"/>
    <col min="12" max="13" width="18.85546875" customWidth="1"/>
    <col min="14" max="15" width="16.5703125" customWidth="1"/>
    <col min="16" max="17" width="14.5703125" customWidth="1"/>
    <col min="18" max="18" width="14.85546875" customWidth="1"/>
    <col min="20" max="20" width="29.140625" customWidth="1"/>
    <col min="21" max="21" width="9.28515625" bestFit="1" customWidth="1"/>
    <col min="22" max="22" width="11.85546875" customWidth="1"/>
    <col min="23" max="23" width="17.28515625" bestFit="1" customWidth="1"/>
  </cols>
  <sheetData>
    <row r="1" spans="1:23" ht="18" x14ac:dyDescent="0.25">
      <c r="A1" s="12"/>
      <c r="B1" s="12"/>
      <c r="C1" s="12"/>
      <c r="D1" s="12" t="s">
        <v>21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3" x14ac:dyDescent="0.25">
      <c r="A2" s="1"/>
      <c r="B2" s="1"/>
      <c r="C2" s="1"/>
      <c r="D2" s="13" t="s">
        <v>22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23" x14ac:dyDescent="0.25">
      <c r="A3" s="1"/>
      <c r="B3" s="13"/>
      <c r="C3" s="13"/>
      <c r="D3" s="13" t="s">
        <v>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23" x14ac:dyDescent="0.25">
      <c r="A4" s="1"/>
      <c r="B4" s="1"/>
      <c r="C4" s="1"/>
      <c r="D4" s="13" t="s">
        <v>48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23" x14ac:dyDescent="0.2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23" ht="18" x14ac:dyDescent="0.25">
      <c r="A6" s="76" t="s">
        <v>103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23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3" x14ac:dyDescent="0.25">
      <c r="A8" s="77" t="s">
        <v>38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65"/>
      <c r="P8" s="15"/>
      <c r="Q8" s="15"/>
      <c r="R8" s="15"/>
    </row>
    <row r="9" spans="1:23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2"/>
      <c r="P9" s="5"/>
      <c r="Q9" s="5"/>
      <c r="R9" s="5"/>
    </row>
    <row r="10" spans="1:23" ht="76.5" x14ac:dyDescent="0.25">
      <c r="A10" s="67" t="s">
        <v>1</v>
      </c>
      <c r="B10" s="67" t="s">
        <v>2</v>
      </c>
      <c r="C10" s="67" t="s">
        <v>3</v>
      </c>
      <c r="D10" s="67" t="s">
        <v>4</v>
      </c>
      <c r="E10" s="67" t="s">
        <v>97</v>
      </c>
      <c r="F10" s="67" t="s">
        <v>104</v>
      </c>
      <c r="G10" s="67" t="s">
        <v>98</v>
      </c>
      <c r="H10" s="67" t="s">
        <v>105</v>
      </c>
      <c r="I10" s="67" t="s">
        <v>5</v>
      </c>
      <c r="J10" s="67" t="s">
        <v>99</v>
      </c>
      <c r="K10" s="67" t="s">
        <v>109</v>
      </c>
      <c r="L10" s="67" t="s">
        <v>100</v>
      </c>
      <c r="M10" s="67" t="s">
        <v>106</v>
      </c>
      <c r="N10" s="67" t="s">
        <v>101</v>
      </c>
      <c r="O10" s="67" t="s">
        <v>107</v>
      </c>
      <c r="P10" s="67" t="s">
        <v>102</v>
      </c>
      <c r="Q10" s="67" t="s">
        <v>108</v>
      </c>
      <c r="R10" s="67" t="s">
        <v>6</v>
      </c>
      <c r="T10" s="67" t="s">
        <v>18</v>
      </c>
      <c r="U10" s="67" t="s">
        <v>19</v>
      </c>
      <c r="V10" s="67" t="s">
        <v>43</v>
      </c>
      <c r="W10" s="67" t="s">
        <v>20</v>
      </c>
    </row>
    <row r="11" spans="1:23" x14ac:dyDescent="0.25">
      <c r="A11" s="21">
        <v>1</v>
      </c>
      <c r="B11" s="20">
        <v>42736</v>
      </c>
      <c r="C11" s="7">
        <v>0</v>
      </c>
      <c r="D11" s="20">
        <v>43101</v>
      </c>
      <c r="E11" s="7">
        <v>50000</v>
      </c>
      <c r="F11" s="7">
        <v>0</v>
      </c>
      <c r="G11" s="7">
        <v>0</v>
      </c>
      <c r="H11" s="7">
        <v>0</v>
      </c>
      <c r="I11" s="10">
        <f>SUM(E11:H11)</f>
        <v>50000</v>
      </c>
      <c r="J11" s="36">
        <f>IF(C11=0,0,IF(C11&lt;=T$11,U$11,IF(C11&lt;=T$12,((C11*U$12-W$12)/C11),IF(C11&lt;=T$13,((C11*U$13-W$13)/C11),IF(C11&lt;=T$14,((C11*U$14-W$14)/C11),IF(C11&lt;=T$15,((C11*U$15-W$15)/C11),IF(C11&lt;=T$16,((C11*U$16-W$16)/C11),0)))))))</f>
        <v>0</v>
      </c>
      <c r="K11" s="36">
        <f>IF(C11=0,0,
IF(C11&lt;=T$11,U$11*V$11,
IF(C11&lt;=T$12,((C11*U$12-W$12)/C11*(V$12)),
IF(C11&lt;=T$13,((C11*U$13-W$13)/C11*(V$13)),
IF(C11&lt;=T$14,((C11*U$14-W$14)/C11*(V$14)),
IF(C11&lt;=T$15,((C11*U$15-W$15)/C11*(V$15)),
IF(C11&lt;=T$16,((C11*U$16-W$16)/C11*(V$16)),0)))))))</f>
        <v>0</v>
      </c>
      <c r="L11" s="36">
        <f>IF(C11=0,0,
IF(C11&lt;=T$11,U$11*V$11,
IF(C11&lt;=T$12,((C11*U$12-W$12)/C11*(V$12))+(((C11*U$20)-W$20)/C11*R$38),
IF(C11&lt;=T$13,((C11*U$13-W$13)/C11*(V$13))+(((C11*U$21)-W$21)/C11*R$39),
IF(C11&lt;=T$14,((C11*U$14-W$14)/C11*(V$14))+(((C11*U$22)-W$22)/C11*R$40),
IF(C11&lt;=T$15,((C11*U$15-W$15)/C11*(V$15))+(((C11*U$23)-W$23)/C11*R$41),
IF(C11&lt;=T$16,((C11*U$16-W$16)/C11*(V$16))+(((C11*U$24)-W$24)/C11*R$42),0)))))))</f>
        <v>0</v>
      </c>
      <c r="M11" s="36">
        <f>IF(C11=0,0,
IF(C11&lt;=T$11,U$11*V$11,
IF(C11&lt;=T$12,((C11*U$12-W$12)/C11*(V$12)),
IF(C11&lt;=T$13,((C11*U$13-W$13)/C11*(V$13)),
IF(C11&lt;=T$14,((C11*U$14-W$14)/C11*(V$14)),
IF(C11&lt;=T$15,((C11*U$15-W$15)/C11*(V$15)),
IF(C11&lt;=T$16,((C11*U$16-W$16)/C11*(V$16)),0)))))))</f>
        <v>0</v>
      </c>
      <c r="N11" s="10">
        <f t="shared" ref="N11:N22" si="0">IF(C11&lt;=T$11,E11*U$11,IF(C11&lt;=T$12,((C11*U$12-W$12)/C11)*E11,IF(C11&lt;=T$13,((C11*U$13-W$13)/C11)*E11,IF(C11&lt;=T$14,((C11*U$14-W$14)/C11)*E11,IF(C11&lt;=T$15,((C11*U$15-W$15)/C11)*E11,IF(C11&lt;=T$16,((C11*U$16-W$16)/C11)*E11,0))))))</f>
        <v>3000</v>
      </c>
      <c r="O11" s="10">
        <f>IF(C11&lt;=T$11,(F11*U$11)*V$11,
IF(C11&lt;=T$12,(((C11*U$12-W$12)/C11)*F11)*V$12,
IF(C11&lt;=T$13,(((C11*U$13-W$13)/C11)*F11)*V$13,
IF(C11&lt;=T$14,(((C11*U$14-W$14)/C11)*F11)*V$14,
IF(C11&lt;=T$15,(((C11*U$15-W$15)/C11)*F11)*V$15,
IF(C11&lt;=T$16,(((C11*U$16-W$16)/C11)*F11)*V$16,0))))))</f>
        <v>0</v>
      </c>
      <c r="P11" s="10">
        <f>IF(C11&lt;=T$11,(G11*U$11)*V$11,
IF(C11&lt;=T$12,(((C11*U$12-W$12)/C11)*V$12+((C11*U$20)-W$20)/C11*R$38)*G11,
IF(C11&lt;=T$13,(((C11*U$13-W$13)/C11)*V$13+((C11*U$21)-W$21)/C11*R$39)*G11,
IF(C11&lt;=T$14,(((C11*U$14-W$14)/C11)*V$14+((C11*U$22)-W$22)/C11*R$40)*G11,
IF(C11&lt;=T$15,(((C11*U$15-W$15)/C11)*V$15+((C11*U$23)-W$23)/C11*R$41)*G11,
IF(C11&lt;=T$16,(((C11*U$16-W$16)/C11)*V$16+((C11*U$24)-W$24)/C11*R$42)*G11,0))))))</f>
        <v>0</v>
      </c>
      <c r="Q11" s="10">
        <f>IF(C11&lt;=T$11,(F11*U$11)*V$11,
IF(C11&lt;=T$12,(((C11*U$12-W$12)/C11)*H11)*V$12,
IF(C11&lt;=T$13,(((C11*U$13-W$13)/C11)*H11)*V$13,
IF(C11&lt;=T$14,(((C11*U$14-W$14)/C11)*H11)*V$14,
IF(C11&lt;=T$15,(((C11*U$15-W$15)/C11)*H11)*V$15,
IF(C11&lt;=T$16,(((C11*U$16-W$16)/C11)*H11)*V$16,0))))))</f>
        <v>0</v>
      </c>
      <c r="R11" s="10">
        <f>SUM(N11:Q11)</f>
        <v>3000</v>
      </c>
      <c r="T11" s="26">
        <v>180000</v>
      </c>
      <c r="U11" s="27">
        <v>0.06</v>
      </c>
      <c r="V11" s="27">
        <f>SUM(I28:P28)</f>
        <v>0.66500000000000004</v>
      </c>
      <c r="W11" s="26">
        <v>0</v>
      </c>
    </row>
    <row r="12" spans="1:23" x14ac:dyDescent="0.25">
      <c r="A12" s="21">
        <v>2</v>
      </c>
      <c r="B12" s="20">
        <f>B11+31</f>
        <v>42767</v>
      </c>
      <c r="C12" s="7">
        <v>0</v>
      </c>
      <c r="D12" s="20">
        <f>D11+31</f>
        <v>43132</v>
      </c>
      <c r="E12" s="7">
        <v>0</v>
      </c>
      <c r="F12" s="7">
        <v>0</v>
      </c>
      <c r="G12" s="7">
        <v>0</v>
      </c>
      <c r="H12" s="7">
        <v>0</v>
      </c>
      <c r="I12" s="10">
        <f t="shared" ref="I12:I22" si="1">SUM(E12:H12)</f>
        <v>0</v>
      </c>
      <c r="J12" s="36">
        <f t="shared" ref="J12:J22" si="2">IF(C12=0,0,IF(C12&lt;=T$11,U$11,IF(C12&lt;=T$12,((C12*U$12-W$12)/C12),IF(C12&lt;=T$13,((C12*U$13-W$13)/C12),IF(C12&lt;=T$14,((C12*U$14-W$14)/C12),IF(C12&lt;=T$15,((C12*U$15-W$15)/C12),IF(C12&lt;=T$16,((C12*U$16-W$16)/C12),0)))))))</f>
        <v>0</v>
      </c>
      <c r="K12" s="36">
        <f t="shared" ref="K12:K22" si="3">IF(C12=0,0,
IF(C12&lt;=T$11,U$11*V$11,
IF(C12&lt;=T$12,((C12*U$12-W$12)/C12*(V$12)),
IF(C12&lt;=T$13,((C12*U$13-W$13)/C12*(V$13)),
IF(C12&lt;=T$14,((C12*U$14-W$14)/C12*(V$14)),
IF(C12&lt;=T$15,((C12*U$15-W$15)/C12*(V$15)),
IF(C12&lt;=T$16,((C12*U$16-W$16)/C12*(V$16)),0)))))))</f>
        <v>0</v>
      </c>
      <c r="L12" s="36">
        <f t="shared" ref="L12:L21" si="4">IF(C12=0,0,
IF(C12&lt;=T$11,U$11*V$11,
IF(C12&lt;=T$12,((C12*U$12-W$12)/C12*(V$12))+(((C12*U$20)-W$20)/C12*R$38),
IF(C12&lt;=T$13,((C12*U$13-W$13)/C12*(V$13))+(((C12*U$21)-W$21)/C12*R$39),
IF(C12&lt;=T$14,((C12*U$14-W$14)/C12*(V$14))+(((C12*U$22)-W$22)/C12*R$40),
IF(C12&lt;=T$15,((C12*U$15-W$15)/C12*(V$15))+(((C12*U$23)-W$23)/C12*R$41),
IF(C12&lt;=T$16,((C12*U$16-W$16)/C12*(V$16))+(((C12*U$24)-W$24)/C12*R$42),0)))))))</f>
        <v>0</v>
      </c>
      <c r="M12" s="36">
        <f t="shared" ref="M12:M22" si="5">IF(C12=0,0,
IF(C12&lt;=T$11,U$11*V$11,
IF(C12&lt;=T$12,((C12*U$12-W$12)/C12*(V$12)),
IF(C12&lt;=T$13,((C12*U$13-W$13)/C12*(V$13)),
IF(C12&lt;=T$14,((C12*U$14-W$14)/C12*(V$14)),
IF(C12&lt;=T$15,((C12*U$15-W$15)/C12*(V$15)),
IF(C12&lt;=T$16,((C12*U$16-W$16)/C12*(V$16)),0)))))))</f>
        <v>0</v>
      </c>
      <c r="N12" s="10">
        <f t="shared" si="0"/>
        <v>0</v>
      </c>
      <c r="O12" s="10">
        <f t="shared" ref="O12:O22" si="6">IF(C12&lt;=T$11,(F12*U$11)*V$11,
IF(C12&lt;=T$12,(((C12*U$12-W$12)/C12)*F12)*V$12,
IF(C12&lt;=T$13,(((C12*U$13-W$13)/C12)*F12)*V$13,
IF(C12&lt;=T$14,(((C12*U$14-W$14)/C12)*F12)*V$14,
IF(C12&lt;=T$15,(((C12*U$15-W$15)/C12)*F12)*V$15,
IF(C12&lt;=T$16,(((C12*U$16-W$16)/C12)*F12)*V$16,0))))))</f>
        <v>0</v>
      </c>
      <c r="P12" s="10">
        <f t="shared" ref="P12:P22" si="7">IF(C12&lt;=T$11,(G12*U$11)*V$11,
IF(C12&lt;=T$12,(((C12*U$12-W$12)/C12)*V$12+((C12*U$20)-W$20)/C12*R$38)*G12,
IF(C12&lt;=T$13,(((C12*U$13-W$13)/C12)*V$13+((C12*U$21)-W$21)/C12*R$39)*G12,
IF(C12&lt;=T$14,(((C12*U$14-W$14)/C12)*V$14+((C12*U$22)-W$22)/C12*R$40)*G12,
IF(C12&lt;=T$15,(((C12*U$15-W$15)/C12)*V$15+((C12*U$23)-W$23)/C12*R$41)*G12,
IF(C12&lt;=T$16,(((C12*U$16-W$16)/C12)*V$16+((C12*U$24)-W$24)/C12*R$42)*G12,0))))))</f>
        <v>0</v>
      </c>
      <c r="Q12" s="10">
        <f t="shared" ref="Q12:Q22" si="8">IF(C12&lt;=T$11,(F12*U$11)*V$11,
IF(C12&lt;=T$12,(((C12*U$12-W$12)/C12)*H12)*V$12,
IF(C12&lt;=T$13,(((C12*U$13-W$13)/C12)*H12)*V$13,
IF(C12&lt;=T$14,(((C12*U$14-W$14)/C12)*H12)*V$14,
IF(C12&lt;=T$15,(((C12*U$15-W$15)/C12)*H12)*V$15,
IF(C12&lt;=T$16,(((C12*U$16-W$16)/C12)*H12)*V$16,0))))))</f>
        <v>0</v>
      </c>
      <c r="R12" s="10">
        <f t="shared" ref="R12:R22" si="9">SUM(N12:Q12)</f>
        <v>0</v>
      </c>
      <c r="T12" s="26">
        <v>360000</v>
      </c>
      <c r="U12" s="28">
        <v>0.112</v>
      </c>
      <c r="V12" s="27">
        <f t="shared" ref="V12:V16" si="10">SUM(I29:P29)</f>
        <v>0.68</v>
      </c>
      <c r="W12" s="26">
        <v>9360</v>
      </c>
    </row>
    <row r="13" spans="1:23" x14ac:dyDescent="0.25">
      <c r="A13" s="21">
        <v>3</v>
      </c>
      <c r="B13" s="20">
        <f t="shared" ref="B13:B22" si="11">B12+31</f>
        <v>42798</v>
      </c>
      <c r="C13" s="7">
        <v>0</v>
      </c>
      <c r="D13" s="20">
        <f t="shared" ref="D13:D22" si="12">D12+31</f>
        <v>43163</v>
      </c>
      <c r="E13" s="7">
        <v>0</v>
      </c>
      <c r="F13" s="7">
        <v>0</v>
      </c>
      <c r="G13" s="7">
        <v>0</v>
      </c>
      <c r="H13" s="7">
        <v>0</v>
      </c>
      <c r="I13" s="10">
        <f t="shared" si="1"/>
        <v>0</v>
      </c>
      <c r="J13" s="36">
        <f t="shared" si="2"/>
        <v>0</v>
      </c>
      <c r="K13" s="36">
        <f t="shared" si="3"/>
        <v>0</v>
      </c>
      <c r="L13" s="36">
        <f t="shared" si="4"/>
        <v>0</v>
      </c>
      <c r="M13" s="36">
        <f t="shared" si="5"/>
        <v>0</v>
      </c>
      <c r="N13" s="10">
        <f t="shared" si="0"/>
        <v>0</v>
      </c>
      <c r="O13" s="10">
        <f t="shared" si="6"/>
        <v>0</v>
      </c>
      <c r="P13" s="10">
        <f t="shared" si="7"/>
        <v>0</v>
      </c>
      <c r="Q13" s="10">
        <f t="shared" si="8"/>
        <v>0</v>
      </c>
      <c r="R13" s="10">
        <f t="shared" si="9"/>
        <v>0</v>
      </c>
      <c r="T13" s="26">
        <v>720000</v>
      </c>
      <c r="U13" s="28">
        <v>0.13500000000000001</v>
      </c>
      <c r="V13" s="28">
        <f t="shared" si="10"/>
        <v>0.67500000000000004</v>
      </c>
      <c r="W13" s="26">
        <v>17640</v>
      </c>
    </row>
    <row r="14" spans="1:23" x14ac:dyDescent="0.25">
      <c r="A14" s="21">
        <v>4</v>
      </c>
      <c r="B14" s="20">
        <f t="shared" si="11"/>
        <v>42829</v>
      </c>
      <c r="C14" s="7">
        <v>0</v>
      </c>
      <c r="D14" s="20">
        <f t="shared" si="12"/>
        <v>43194</v>
      </c>
      <c r="E14" s="7">
        <v>0</v>
      </c>
      <c r="F14" s="7">
        <v>0</v>
      </c>
      <c r="G14" s="7">
        <v>0</v>
      </c>
      <c r="H14" s="7">
        <v>0</v>
      </c>
      <c r="I14" s="10">
        <f t="shared" si="1"/>
        <v>0</v>
      </c>
      <c r="J14" s="36">
        <f t="shared" si="2"/>
        <v>0</v>
      </c>
      <c r="K14" s="36">
        <f t="shared" si="3"/>
        <v>0</v>
      </c>
      <c r="L14" s="36">
        <f t="shared" si="4"/>
        <v>0</v>
      </c>
      <c r="M14" s="36">
        <f t="shared" si="5"/>
        <v>0</v>
      </c>
      <c r="N14" s="10">
        <f t="shared" si="0"/>
        <v>0</v>
      </c>
      <c r="O14" s="10">
        <f t="shared" si="6"/>
        <v>0</v>
      </c>
      <c r="P14" s="10">
        <f t="shared" si="7"/>
        <v>0</v>
      </c>
      <c r="Q14" s="10">
        <f t="shared" si="8"/>
        <v>0</v>
      </c>
      <c r="R14" s="10">
        <f t="shared" si="9"/>
        <v>0</v>
      </c>
      <c r="T14" s="26">
        <v>1800000</v>
      </c>
      <c r="U14" s="27">
        <v>0.16</v>
      </c>
      <c r="V14" s="28">
        <f t="shared" si="10"/>
        <v>0.67500000000000004</v>
      </c>
      <c r="W14" s="26">
        <v>35640</v>
      </c>
    </row>
    <row r="15" spans="1:23" x14ac:dyDescent="0.25">
      <c r="A15" s="21">
        <v>5</v>
      </c>
      <c r="B15" s="20">
        <f t="shared" si="11"/>
        <v>42860</v>
      </c>
      <c r="C15" s="7">
        <v>0</v>
      </c>
      <c r="D15" s="20">
        <f t="shared" si="12"/>
        <v>43225</v>
      </c>
      <c r="E15" s="7">
        <v>0</v>
      </c>
      <c r="F15" s="7">
        <v>0</v>
      </c>
      <c r="G15" s="7">
        <v>0</v>
      </c>
      <c r="H15" s="7">
        <v>0</v>
      </c>
      <c r="I15" s="10">
        <f t="shared" si="1"/>
        <v>0</v>
      </c>
      <c r="J15" s="36">
        <f t="shared" si="2"/>
        <v>0</v>
      </c>
      <c r="K15" s="36">
        <f t="shared" si="3"/>
        <v>0</v>
      </c>
      <c r="L15" s="36">
        <f t="shared" si="4"/>
        <v>0</v>
      </c>
      <c r="M15" s="36">
        <f t="shared" si="5"/>
        <v>0</v>
      </c>
      <c r="N15" s="10">
        <f t="shared" si="0"/>
        <v>0</v>
      </c>
      <c r="O15" s="10">
        <f t="shared" si="6"/>
        <v>0</v>
      </c>
      <c r="P15" s="10">
        <f t="shared" si="7"/>
        <v>0</v>
      </c>
      <c r="Q15" s="10">
        <f t="shared" si="8"/>
        <v>0</v>
      </c>
      <c r="R15" s="10">
        <f t="shared" si="9"/>
        <v>0</v>
      </c>
      <c r="T15" s="26">
        <v>3600000</v>
      </c>
      <c r="U15" s="27">
        <v>0.21</v>
      </c>
      <c r="V15" s="28">
        <f t="shared" si="10"/>
        <v>0.66500000000000004</v>
      </c>
      <c r="W15" s="26">
        <v>125640</v>
      </c>
    </row>
    <row r="16" spans="1:23" x14ac:dyDescent="0.25">
      <c r="A16" s="21">
        <v>6</v>
      </c>
      <c r="B16" s="20">
        <f t="shared" si="11"/>
        <v>42891</v>
      </c>
      <c r="C16" s="7">
        <v>0</v>
      </c>
      <c r="D16" s="20">
        <f t="shared" si="12"/>
        <v>43256</v>
      </c>
      <c r="E16" s="7">
        <v>0</v>
      </c>
      <c r="F16" s="7">
        <v>0</v>
      </c>
      <c r="G16" s="7">
        <v>0</v>
      </c>
      <c r="H16" s="7">
        <v>0</v>
      </c>
      <c r="I16" s="10">
        <f t="shared" si="1"/>
        <v>0</v>
      </c>
      <c r="J16" s="36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10">
        <f t="shared" si="0"/>
        <v>0</v>
      </c>
      <c r="O16" s="10">
        <f t="shared" si="6"/>
        <v>0</v>
      </c>
      <c r="P16" s="10">
        <f t="shared" si="7"/>
        <v>0</v>
      </c>
      <c r="Q16" s="10">
        <f t="shared" si="8"/>
        <v>0</v>
      </c>
      <c r="R16" s="10">
        <f t="shared" si="9"/>
        <v>0</v>
      </c>
      <c r="T16" s="26">
        <v>4800000</v>
      </c>
      <c r="U16" s="27">
        <v>0.33</v>
      </c>
      <c r="V16" s="27">
        <f t="shared" si="10"/>
        <v>1</v>
      </c>
      <c r="W16" s="26">
        <v>648000</v>
      </c>
    </row>
    <row r="17" spans="1:26" x14ac:dyDescent="0.25">
      <c r="A17" s="21">
        <v>7</v>
      </c>
      <c r="B17" s="20">
        <f t="shared" si="11"/>
        <v>42922</v>
      </c>
      <c r="C17" s="7">
        <v>0</v>
      </c>
      <c r="D17" s="20">
        <f t="shared" si="12"/>
        <v>43287</v>
      </c>
      <c r="E17" s="7">
        <v>0</v>
      </c>
      <c r="F17" s="7">
        <v>0</v>
      </c>
      <c r="G17" s="7">
        <v>0</v>
      </c>
      <c r="H17" s="7">
        <v>0</v>
      </c>
      <c r="I17" s="10">
        <f t="shared" si="1"/>
        <v>0</v>
      </c>
      <c r="J17" s="36">
        <f t="shared" si="2"/>
        <v>0</v>
      </c>
      <c r="K17" s="36">
        <f t="shared" si="3"/>
        <v>0</v>
      </c>
      <c r="L17" s="36">
        <f t="shared" si="4"/>
        <v>0</v>
      </c>
      <c r="M17" s="36">
        <f t="shared" si="5"/>
        <v>0</v>
      </c>
      <c r="N17" s="10">
        <f t="shared" si="0"/>
        <v>0</v>
      </c>
      <c r="O17" s="10">
        <f t="shared" si="6"/>
        <v>0</v>
      </c>
      <c r="P17" s="10">
        <f t="shared" si="7"/>
        <v>0</v>
      </c>
      <c r="Q17" s="10">
        <f t="shared" si="8"/>
        <v>0</v>
      </c>
      <c r="R17" s="10">
        <f t="shared" si="9"/>
        <v>0</v>
      </c>
    </row>
    <row r="18" spans="1:26" ht="25.5" x14ac:dyDescent="0.25">
      <c r="A18" s="21">
        <v>8</v>
      </c>
      <c r="B18" s="20">
        <f t="shared" si="11"/>
        <v>42953</v>
      </c>
      <c r="C18" s="7">
        <v>156153.76999999999</v>
      </c>
      <c r="D18" s="20">
        <f t="shared" si="12"/>
        <v>43318</v>
      </c>
      <c r="E18" s="7">
        <v>0</v>
      </c>
      <c r="F18" s="7">
        <v>0</v>
      </c>
      <c r="G18" s="7">
        <v>700</v>
      </c>
      <c r="H18" s="7">
        <v>0</v>
      </c>
      <c r="I18" s="10">
        <f t="shared" si="1"/>
        <v>700</v>
      </c>
      <c r="J18" s="36">
        <f t="shared" si="2"/>
        <v>0.06</v>
      </c>
      <c r="K18" s="36">
        <f t="shared" si="3"/>
        <v>3.9899999999999998E-2</v>
      </c>
      <c r="L18" s="36">
        <f t="shared" si="4"/>
        <v>3.9899999999999998E-2</v>
      </c>
      <c r="M18" s="36">
        <f t="shared" si="5"/>
        <v>3.9899999999999998E-2</v>
      </c>
      <c r="N18" s="10">
        <f t="shared" si="0"/>
        <v>0</v>
      </c>
      <c r="O18" s="10">
        <f t="shared" si="6"/>
        <v>0</v>
      </c>
      <c r="P18" s="10">
        <f t="shared" si="7"/>
        <v>27.93</v>
      </c>
      <c r="Q18" s="10">
        <f t="shared" si="8"/>
        <v>0</v>
      </c>
      <c r="R18" s="10">
        <f t="shared" si="9"/>
        <v>27.93</v>
      </c>
      <c r="T18" s="67" t="s">
        <v>18</v>
      </c>
      <c r="U18" s="67" t="s">
        <v>19</v>
      </c>
      <c r="V18" s="67" t="s">
        <v>35</v>
      </c>
      <c r="W18" s="67" t="s">
        <v>20</v>
      </c>
      <c r="X18" s="33"/>
      <c r="Y18" s="33"/>
      <c r="Z18" s="33"/>
    </row>
    <row r="19" spans="1:26" x14ac:dyDescent="0.25">
      <c r="A19" s="21">
        <v>9</v>
      </c>
      <c r="B19" s="20">
        <f t="shared" si="11"/>
        <v>42984</v>
      </c>
      <c r="C19" s="7">
        <v>141378.4</v>
      </c>
      <c r="D19" s="20">
        <f t="shared" si="12"/>
        <v>43349</v>
      </c>
      <c r="E19" s="7">
        <v>0</v>
      </c>
      <c r="F19" s="7">
        <v>0</v>
      </c>
      <c r="G19" s="7">
        <v>22308.83</v>
      </c>
      <c r="H19" s="7">
        <v>0</v>
      </c>
      <c r="I19" s="10">
        <f t="shared" si="1"/>
        <v>22308.83</v>
      </c>
      <c r="J19" s="36">
        <f t="shared" si="2"/>
        <v>0.06</v>
      </c>
      <c r="K19" s="36">
        <f t="shared" si="3"/>
        <v>3.9899999999999998E-2</v>
      </c>
      <c r="L19" s="36">
        <f t="shared" si="4"/>
        <v>3.9899999999999998E-2</v>
      </c>
      <c r="M19" s="36">
        <f t="shared" si="5"/>
        <v>3.9899999999999998E-2</v>
      </c>
      <c r="N19" s="10">
        <f t="shared" si="0"/>
        <v>0</v>
      </c>
      <c r="O19" s="10">
        <f t="shared" si="6"/>
        <v>0</v>
      </c>
      <c r="P19" s="10">
        <f t="shared" si="7"/>
        <v>890.12231700000007</v>
      </c>
      <c r="Q19" s="10">
        <f t="shared" si="8"/>
        <v>0</v>
      </c>
      <c r="R19" s="10">
        <f t="shared" si="9"/>
        <v>890.12231700000007</v>
      </c>
      <c r="T19" s="26">
        <v>180000</v>
      </c>
      <c r="U19" s="27">
        <v>0.04</v>
      </c>
      <c r="V19" s="28">
        <f>SUM(I36:P36)</f>
        <v>0</v>
      </c>
      <c r="W19" s="26">
        <v>0</v>
      </c>
      <c r="X19" s="66"/>
      <c r="Y19" s="66"/>
      <c r="Z19" s="66"/>
    </row>
    <row r="20" spans="1:26" x14ac:dyDescent="0.25">
      <c r="A20" s="21">
        <v>10</v>
      </c>
      <c r="B20" s="20">
        <f t="shared" si="11"/>
        <v>43015</v>
      </c>
      <c r="C20" s="7">
        <v>152862.72</v>
      </c>
      <c r="D20" s="20">
        <f t="shared" si="12"/>
        <v>43380</v>
      </c>
      <c r="E20" s="7">
        <v>0</v>
      </c>
      <c r="F20" s="7">
        <v>0</v>
      </c>
      <c r="G20" s="7">
        <v>2590</v>
      </c>
      <c r="H20" s="7">
        <v>0</v>
      </c>
      <c r="I20" s="10">
        <f t="shared" si="1"/>
        <v>2590</v>
      </c>
      <c r="J20" s="36">
        <f t="shared" si="2"/>
        <v>0.06</v>
      </c>
      <c r="K20" s="36">
        <f t="shared" si="3"/>
        <v>3.9899999999999998E-2</v>
      </c>
      <c r="L20" s="36">
        <f t="shared" si="4"/>
        <v>3.9899999999999998E-2</v>
      </c>
      <c r="M20" s="36">
        <f t="shared" si="5"/>
        <v>3.9899999999999998E-2</v>
      </c>
      <c r="N20" s="10">
        <f t="shared" si="0"/>
        <v>0</v>
      </c>
      <c r="O20" s="10">
        <f t="shared" si="6"/>
        <v>0</v>
      </c>
      <c r="P20" s="10">
        <f t="shared" si="7"/>
        <v>103.34100000000001</v>
      </c>
      <c r="Q20" s="10">
        <f t="shared" si="8"/>
        <v>0</v>
      </c>
      <c r="R20" s="10">
        <f t="shared" si="9"/>
        <v>103.34100000000001</v>
      </c>
      <c r="T20" s="26">
        <v>360000</v>
      </c>
      <c r="U20" s="28">
        <v>7.2999999999999995E-2</v>
      </c>
      <c r="V20" s="28">
        <f t="shared" ref="V20:V24" si="13">SUM(I37:P37)</f>
        <v>0.65999999999999992</v>
      </c>
      <c r="W20" s="26">
        <v>5940</v>
      </c>
      <c r="X20" s="34"/>
      <c r="Y20" s="34"/>
      <c r="Z20" s="34"/>
    </row>
    <row r="21" spans="1:26" x14ac:dyDescent="0.25">
      <c r="A21" s="21">
        <v>11</v>
      </c>
      <c r="B21" s="20">
        <f t="shared" si="11"/>
        <v>43046</v>
      </c>
      <c r="C21" s="7">
        <v>142714.16</v>
      </c>
      <c r="D21" s="20">
        <f t="shared" si="12"/>
        <v>43411</v>
      </c>
      <c r="E21" s="7">
        <v>0</v>
      </c>
      <c r="F21" s="7">
        <v>0</v>
      </c>
      <c r="G21" s="7">
        <v>4900</v>
      </c>
      <c r="H21" s="7">
        <v>0</v>
      </c>
      <c r="I21" s="10">
        <f t="shared" si="1"/>
        <v>4900</v>
      </c>
      <c r="J21" s="36">
        <f t="shared" si="2"/>
        <v>0.06</v>
      </c>
      <c r="K21" s="36">
        <f t="shared" si="3"/>
        <v>3.9899999999999998E-2</v>
      </c>
      <c r="L21" s="36">
        <f t="shared" si="4"/>
        <v>3.9899999999999998E-2</v>
      </c>
      <c r="M21" s="36">
        <f t="shared" si="5"/>
        <v>3.9899999999999998E-2</v>
      </c>
      <c r="N21" s="10">
        <f t="shared" si="0"/>
        <v>0</v>
      </c>
      <c r="O21" s="10">
        <f t="shared" si="6"/>
        <v>0</v>
      </c>
      <c r="P21" s="10">
        <f t="shared" si="7"/>
        <v>195.51000000000002</v>
      </c>
      <c r="Q21" s="10">
        <f t="shared" si="8"/>
        <v>0</v>
      </c>
      <c r="R21" s="10">
        <f t="shared" si="9"/>
        <v>195.51000000000002</v>
      </c>
      <c r="T21" s="26">
        <v>720000</v>
      </c>
      <c r="U21" s="28">
        <v>9.5000000000000001E-2</v>
      </c>
      <c r="V21" s="28">
        <f t="shared" si="13"/>
        <v>0.65999999999999992</v>
      </c>
      <c r="W21" s="26">
        <v>13860</v>
      </c>
      <c r="X21" s="34"/>
      <c r="Y21" s="34"/>
      <c r="Z21" s="34"/>
    </row>
    <row r="22" spans="1:26" x14ac:dyDescent="0.25">
      <c r="A22" s="21">
        <v>12</v>
      </c>
      <c r="B22" s="20">
        <f t="shared" si="11"/>
        <v>43077</v>
      </c>
      <c r="C22" s="7">
        <v>0</v>
      </c>
      <c r="D22" s="20">
        <f t="shared" si="12"/>
        <v>43442</v>
      </c>
      <c r="E22" s="7">
        <v>0</v>
      </c>
      <c r="F22" s="7">
        <v>0</v>
      </c>
      <c r="G22" s="7">
        <v>0</v>
      </c>
      <c r="H22" s="7">
        <v>0</v>
      </c>
      <c r="I22" s="10">
        <f t="shared" si="1"/>
        <v>0</v>
      </c>
      <c r="J22" s="36">
        <f t="shared" si="2"/>
        <v>0</v>
      </c>
      <c r="K22" s="36">
        <f t="shared" si="3"/>
        <v>0</v>
      </c>
      <c r="L22" s="36">
        <f>IF(C22=0,0,
IF(C22&lt;=T$11,U$11*V$11,
IF(C22&lt;=T$12,((C22*U$12-W$12)/C22*(V$12))+(((C22*U$20)-W$20)/C22*R$38),
IF(C22&lt;=T$13,((C22*U$13-W$13)/C22*(V$13))+(((C22*U$21)-W$21)/C22*R$39),
IF(C22&lt;=T$14,((C22*U$14-W$14)/C22*(V$14))+(((C22*U$22)-W$22)/C22*R$40),
IF(C22&lt;=T$15,((C22*U$15-W$15)/C22*(V$15))+(((C22*U$23)-W$23)/C22*R$41),
IF(C22&lt;=T$16,((C22*U$16-W$16)/C22*(V$16))+(((C22*U$24)-W$24)/C22*R$42),0)))))))</f>
        <v>0</v>
      </c>
      <c r="M22" s="36">
        <f t="shared" si="5"/>
        <v>0</v>
      </c>
      <c r="N22" s="10">
        <f t="shared" si="0"/>
        <v>0</v>
      </c>
      <c r="O22" s="10">
        <f t="shared" si="6"/>
        <v>0</v>
      </c>
      <c r="P22" s="10">
        <f t="shared" si="7"/>
        <v>0</v>
      </c>
      <c r="Q22" s="10">
        <f t="shared" si="8"/>
        <v>0</v>
      </c>
      <c r="R22" s="10">
        <f t="shared" si="9"/>
        <v>0</v>
      </c>
      <c r="T22" s="26">
        <v>1800000</v>
      </c>
      <c r="U22" s="28">
        <v>0.107</v>
      </c>
      <c r="V22" s="28">
        <f t="shared" si="13"/>
        <v>0.66500000000000004</v>
      </c>
      <c r="W22" s="26">
        <v>22500</v>
      </c>
      <c r="X22" s="34"/>
      <c r="Y22" s="34"/>
      <c r="Z22" s="34"/>
    </row>
    <row r="23" spans="1:26" ht="15.75" x14ac:dyDescent="0.25">
      <c r="A23" s="86" t="s">
        <v>7</v>
      </c>
      <c r="B23" s="86"/>
      <c r="C23" s="6">
        <f>SUM(C11:C22)</f>
        <v>593109.05000000005</v>
      </c>
      <c r="D23" s="16"/>
      <c r="E23" s="6">
        <f t="shared" ref="E23:R23" si="14">SUM(E11:E22)</f>
        <v>50000</v>
      </c>
      <c r="F23" s="6">
        <f t="shared" si="14"/>
        <v>0</v>
      </c>
      <c r="G23" s="6">
        <f t="shared" si="14"/>
        <v>30498.83</v>
      </c>
      <c r="H23" s="6">
        <f t="shared" si="14"/>
        <v>0</v>
      </c>
      <c r="I23" s="6">
        <f t="shared" si="14"/>
        <v>80498.83</v>
      </c>
      <c r="J23" s="68"/>
      <c r="K23" s="68"/>
      <c r="L23" s="68"/>
      <c r="M23" s="68"/>
      <c r="N23" s="6">
        <f t="shared" si="14"/>
        <v>3000</v>
      </c>
      <c r="O23" s="6">
        <f t="shared" si="14"/>
        <v>0</v>
      </c>
      <c r="P23" s="6">
        <f t="shared" si="14"/>
        <v>1216.903317</v>
      </c>
      <c r="Q23" s="6">
        <f t="shared" si="14"/>
        <v>0</v>
      </c>
      <c r="R23" s="6">
        <f t="shared" si="14"/>
        <v>4216.9033169999993</v>
      </c>
      <c r="T23" s="26">
        <v>3600000</v>
      </c>
      <c r="U23" s="28">
        <v>0.14299999999999999</v>
      </c>
      <c r="V23" s="28">
        <f t="shared" si="13"/>
        <v>0.66500000000000004</v>
      </c>
      <c r="W23" s="26">
        <v>87300</v>
      </c>
      <c r="X23" s="34"/>
      <c r="Y23" s="34"/>
      <c r="Z23" s="34"/>
    </row>
    <row r="24" spans="1:26" ht="15.75" x14ac:dyDescent="0.25">
      <c r="A24" s="2"/>
      <c r="B24" s="2"/>
      <c r="C24" s="99" t="s">
        <v>110</v>
      </c>
      <c r="D24" s="99"/>
      <c r="E24" s="99"/>
      <c r="F24" s="99"/>
      <c r="G24" s="99"/>
      <c r="H24" s="99"/>
      <c r="I24" s="99"/>
      <c r="J24" s="99"/>
      <c r="K24" s="99"/>
      <c r="L24" s="99"/>
      <c r="M24" s="3"/>
      <c r="N24" s="3"/>
      <c r="O24" s="3"/>
      <c r="P24" s="4"/>
      <c r="Q24" s="4"/>
      <c r="R24" s="3"/>
      <c r="T24" s="26">
        <v>4800000</v>
      </c>
      <c r="U24" s="27">
        <v>0.19</v>
      </c>
      <c r="V24" s="28">
        <f t="shared" si="13"/>
        <v>0.66500000000000004</v>
      </c>
      <c r="W24" s="26">
        <v>378000</v>
      </c>
      <c r="X24" s="34"/>
      <c r="Y24" s="34"/>
      <c r="Z24" s="34"/>
    </row>
    <row r="25" spans="1:26" ht="15.75" x14ac:dyDescent="0.25">
      <c r="A25" s="2"/>
      <c r="B25" s="2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4"/>
      <c r="R25" s="3"/>
      <c r="T25" s="66"/>
      <c r="U25" s="34"/>
      <c r="V25" s="34"/>
      <c r="W25" s="34"/>
      <c r="X25" s="34"/>
      <c r="Y25" s="34"/>
      <c r="Z25" s="34"/>
    </row>
    <row r="26" spans="1:26" ht="17.25" customHeight="1" thickBot="1" x14ac:dyDescent="0.3">
      <c r="A26" s="81" t="s">
        <v>8</v>
      </c>
      <c r="B26" s="82"/>
      <c r="C26" s="82"/>
      <c r="D26" s="83"/>
      <c r="E26" s="3"/>
      <c r="F26" s="3"/>
      <c r="G26" s="84" t="s">
        <v>24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1:26" ht="15.75" thickBot="1" x14ac:dyDescent="0.3">
      <c r="A27" s="73" t="s">
        <v>9</v>
      </c>
      <c r="B27" s="74"/>
      <c r="C27" s="75"/>
      <c r="D27" s="22">
        <f>+I23</f>
        <v>80498.83</v>
      </c>
      <c r="E27" s="11"/>
      <c r="F27" s="11"/>
      <c r="G27" s="31" t="s">
        <v>34</v>
      </c>
      <c r="H27" s="29"/>
      <c r="I27" s="29" t="s">
        <v>13</v>
      </c>
      <c r="J27" s="30" t="s">
        <v>14</v>
      </c>
      <c r="K27" s="30"/>
      <c r="L27" s="30" t="s">
        <v>25</v>
      </c>
      <c r="M27" s="30"/>
      <c r="N27" s="30" t="s">
        <v>26</v>
      </c>
      <c r="O27" s="30"/>
      <c r="P27" s="30" t="s">
        <v>27</v>
      </c>
      <c r="Q27" s="30"/>
      <c r="R27" s="30" t="s">
        <v>42</v>
      </c>
    </row>
    <row r="28" spans="1:26" ht="15.75" thickBot="1" x14ac:dyDescent="0.3">
      <c r="A28" s="69" t="s">
        <v>10</v>
      </c>
      <c r="B28" s="70"/>
      <c r="C28" s="71"/>
      <c r="D28" s="23">
        <f>R23</f>
        <v>4216.9033169999993</v>
      </c>
      <c r="E28" s="11"/>
      <c r="F28" s="11"/>
      <c r="G28" s="31" t="s">
        <v>28</v>
      </c>
      <c r="H28" s="29"/>
      <c r="I28" s="32">
        <v>0.04</v>
      </c>
      <c r="J28" s="32">
        <v>3.5000000000000003E-2</v>
      </c>
      <c r="K28" s="32"/>
      <c r="L28" s="32">
        <v>0.12820000000000001</v>
      </c>
      <c r="M28" s="32"/>
      <c r="N28" s="32">
        <v>2.7799999999999998E-2</v>
      </c>
      <c r="O28" s="32"/>
      <c r="P28" s="32">
        <v>0.434</v>
      </c>
      <c r="Q28" s="32"/>
      <c r="R28" s="32">
        <v>0.33500000000000002</v>
      </c>
    </row>
    <row r="29" spans="1:26" ht="15.75" thickBot="1" x14ac:dyDescent="0.3">
      <c r="A29" s="69" t="s">
        <v>42</v>
      </c>
      <c r="B29" s="70"/>
      <c r="C29" s="71"/>
      <c r="D29" s="24">
        <f>D27*5%</f>
        <v>4024.9415000000004</v>
      </c>
      <c r="E29" s="11"/>
      <c r="F29" s="11"/>
      <c r="G29" s="31" t="s">
        <v>29</v>
      </c>
      <c r="H29" s="29"/>
      <c r="I29" s="32">
        <v>0.04</v>
      </c>
      <c r="J29" s="32">
        <v>3.5000000000000003E-2</v>
      </c>
      <c r="K29" s="32"/>
      <c r="L29" s="32">
        <v>0.14050000000000001</v>
      </c>
      <c r="M29" s="32"/>
      <c r="N29" s="32">
        <v>3.0499999999999999E-2</v>
      </c>
      <c r="O29" s="32"/>
      <c r="P29" s="32">
        <v>0.434</v>
      </c>
      <c r="Q29" s="32"/>
      <c r="R29" s="32">
        <v>0.32</v>
      </c>
    </row>
    <row r="30" spans="1:26" ht="15.75" thickBot="1" x14ac:dyDescent="0.3">
      <c r="A30" s="69" t="s">
        <v>11</v>
      </c>
      <c r="B30" s="70"/>
      <c r="C30" s="71"/>
      <c r="D30" s="23">
        <f>D27*0.65%</f>
        <v>523.2423950000001</v>
      </c>
      <c r="E30" s="11"/>
      <c r="F30" s="11"/>
      <c r="G30" s="31" t="s">
        <v>30</v>
      </c>
      <c r="H30" s="29"/>
      <c r="I30" s="32">
        <v>0.04</v>
      </c>
      <c r="J30" s="32">
        <v>3.5000000000000003E-2</v>
      </c>
      <c r="K30" s="32"/>
      <c r="L30" s="32">
        <v>0.13639999999999999</v>
      </c>
      <c r="M30" s="32"/>
      <c r="N30" s="32">
        <v>2.9600000000000001E-2</v>
      </c>
      <c r="O30" s="32"/>
      <c r="P30" s="32">
        <v>0.434</v>
      </c>
      <c r="Q30" s="32"/>
      <c r="R30" s="32">
        <v>0.32500000000000001</v>
      </c>
    </row>
    <row r="31" spans="1:26" ht="15.75" thickBot="1" x14ac:dyDescent="0.3">
      <c r="A31" s="69" t="s">
        <v>12</v>
      </c>
      <c r="B31" s="70"/>
      <c r="C31" s="71"/>
      <c r="D31" s="23">
        <f>D27*3%</f>
        <v>2414.9648999999999</v>
      </c>
      <c r="E31" s="11"/>
      <c r="F31" s="11"/>
      <c r="G31" s="31" t="s">
        <v>31</v>
      </c>
      <c r="H31" s="29"/>
      <c r="I31" s="32">
        <v>0.04</v>
      </c>
      <c r="J31" s="32">
        <v>3.5000000000000003E-2</v>
      </c>
      <c r="K31" s="32"/>
      <c r="L31" s="32">
        <v>0.13639999999999999</v>
      </c>
      <c r="M31" s="32"/>
      <c r="N31" s="32">
        <v>2.9600000000000001E-2</v>
      </c>
      <c r="O31" s="32"/>
      <c r="P31" s="32">
        <v>0.434</v>
      </c>
      <c r="Q31" s="32"/>
      <c r="R31" s="32">
        <v>0.32500000000000001</v>
      </c>
    </row>
    <row r="32" spans="1:26" ht="15.75" thickBot="1" x14ac:dyDescent="0.3">
      <c r="A32" s="69" t="s">
        <v>13</v>
      </c>
      <c r="B32" s="70"/>
      <c r="C32" s="71"/>
      <c r="D32" s="24">
        <f>((D27*32%)*15%)</f>
        <v>3863.9438399999999</v>
      </c>
      <c r="E32" s="11"/>
      <c r="F32" s="11"/>
      <c r="G32" s="31" t="s">
        <v>32</v>
      </c>
      <c r="H32" s="29"/>
      <c r="I32" s="32">
        <v>0.04</v>
      </c>
      <c r="J32" s="32">
        <v>3.5000000000000003E-2</v>
      </c>
      <c r="K32" s="32"/>
      <c r="L32" s="32">
        <v>0.12820000000000001</v>
      </c>
      <c r="M32" s="32"/>
      <c r="N32" s="32">
        <v>2.7799999999999998E-2</v>
      </c>
      <c r="O32" s="32"/>
      <c r="P32" s="32">
        <v>0.434</v>
      </c>
      <c r="Q32" s="32"/>
      <c r="R32" s="32">
        <v>0.33500000000000002</v>
      </c>
    </row>
    <row r="33" spans="1:18" ht="15.75" thickBot="1" x14ac:dyDescent="0.3">
      <c r="A33" s="69" t="s">
        <v>14</v>
      </c>
      <c r="B33" s="70"/>
      <c r="C33" s="71"/>
      <c r="D33" s="23">
        <f>((D27*32%)*9%)</f>
        <v>2318.3663039999997</v>
      </c>
      <c r="E33" s="11"/>
      <c r="F33" s="11"/>
      <c r="G33" s="31" t="s">
        <v>33</v>
      </c>
      <c r="H33" s="29"/>
      <c r="I33" s="32">
        <v>0.35</v>
      </c>
      <c r="J33" s="32">
        <v>0.15</v>
      </c>
      <c r="K33" s="32"/>
      <c r="L33" s="32">
        <v>0.1603</v>
      </c>
      <c r="M33" s="32"/>
      <c r="N33" s="32">
        <v>3.4700000000000002E-2</v>
      </c>
      <c r="O33" s="32"/>
      <c r="P33" s="32">
        <v>0.30499999999999999</v>
      </c>
      <c r="Q33" s="32"/>
      <c r="R33" s="32">
        <v>0</v>
      </c>
    </row>
    <row r="34" spans="1:18" x14ac:dyDescent="0.25">
      <c r="A34" s="72" t="s">
        <v>15</v>
      </c>
      <c r="B34" s="72"/>
      <c r="C34" s="72"/>
      <c r="D34" s="25">
        <f>(D29+D30+D31+D32+D33)-D28</f>
        <v>8928.5556219999999</v>
      </c>
      <c r="E34" s="11"/>
      <c r="F34" s="11"/>
      <c r="G34" s="11"/>
      <c r="H34" s="11"/>
      <c r="I34" s="1"/>
      <c r="J34" s="1"/>
      <c r="K34" s="1"/>
      <c r="L34" s="1"/>
      <c r="M34" s="1"/>
    </row>
    <row r="35" spans="1:18" ht="15.75" thickBot="1" x14ac:dyDescent="0.3">
      <c r="A35" s="8"/>
      <c r="B35" s="8"/>
      <c r="C35" s="8"/>
      <c r="D35" s="9"/>
      <c r="E35" s="9"/>
      <c r="F35" s="9"/>
      <c r="G35" s="84" t="s">
        <v>24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</row>
    <row r="36" spans="1:18" ht="15.75" thickBot="1" x14ac:dyDescent="0.3">
      <c r="A36" s="8"/>
      <c r="B36" s="8"/>
      <c r="C36" s="8"/>
      <c r="D36" s="9"/>
      <c r="E36" s="9"/>
      <c r="F36" s="9"/>
      <c r="G36" s="31" t="s">
        <v>34</v>
      </c>
      <c r="H36" s="29"/>
      <c r="I36" s="29" t="s">
        <v>13</v>
      </c>
      <c r="J36" s="30" t="s">
        <v>14</v>
      </c>
      <c r="K36" s="30"/>
      <c r="L36" s="30" t="s">
        <v>25</v>
      </c>
      <c r="M36" s="30"/>
      <c r="N36" s="30" t="s">
        <v>26</v>
      </c>
      <c r="O36" s="30"/>
      <c r="P36" s="30" t="s">
        <v>27</v>
      </c>
      <c r="Q36" s="30"/>
      <c r="R36" s="30" t="s">
        <v>23</v>
      </c>
    </row>
    <row r="37" spans="1:18" ht="15.75" thickBot="1" x14ac:dyDescent="0.3">
      <c r="A37" s="17"/>
      <c r="B37" s="8"/>
      <c r="C37" s="8"/>
      <c r="D37" s="9"/>
      <c r="E37" s="9"/>
      <c r="F37" s="9"/>
      <c r="G37" s="31" t="s">
        <v>28</v>
      </c>
      <c r="H37" s="29"/>
      <c r="I37" s="32">
        <v>5.5E-2</v>
      </c>
      <c r="J37" s="32">
        <v>3.5000000000000003E-2</v>
      </c>
      <c r="K37" s="32"/>
      <c r="L37" s="32">
        <v>0.12740000000000001</v>
      </c>
      <c r="M37" s="32"/>
      <c r="N37" s="32">
        <v>2.76E-2</v>
      </c>
      <c r="O37" s="32"/>
      <c r="P37" s="32">
        <v>0.41499999999999998</v>
      </c>
      <c r="Q37" s="32"/>
      <c r="R37" s="32">
        <v>0.34</v>
      </c>
    </row>
    <row r="38" spans="1:18" ht="15.75" thickBot="1" x14ac:dyDescent="0.3">
      <c r="A38" s="17"/>
      <c r="B38" s="8"/>
      <c r="C38" s="8"/>
      <c r="D38" s="9"/>
      <c r="E38" s="9"/>
      <c r="F38" s="9"/>
      <c r="G38" s="31" t="s">
        <v>29</v>
      </c>
      <c r="H38" s="29"/>
      <c r="I38" s="32">
        <v>5.5E-2</v>
      </c>
      <c r="J38" s="32">
        <v>3.5000000000000003E-2</v>
      </c>
      <c r="K38" s="32"/>
      <c r="L38" s="32">
        <v>0.12740000000000001</v>
      </c>
      <c r="M38" s="32"/>
      <c r="N38" s="32">
        <v>2.76E-2</v>
      </c>
      <c r="O38" s="32"/>
      <c r="P38" s="32">
        <v>0.41499999999999998</v>
      </c>
      <c r="Q38" s="32"/>
      <c r="R38" s="32">
        <v>0.34</v>
      </c>
    </row>
    <row r="39" spans="1:18" ht="15.75" thickBot="1" x14ac:dyDescent="0.3">
      <c r="A39" s="17"/>
      <c r="B39" s="8"/>
      <c r="C39" s="8"/>
      <c r="D39" s="9"/>
      <c r="E39" s="9"/>
      <c r="F39" s="9"/>
      <c r="G39" s="31" t="s">
        <v>30</v>
      </c>
      <c r="H39" s="29"/>
      <c r="I39" s="32">
        <v>5.5E-2</v>
      </c>
      <c r="J39" s="32">
        <v>3.5000000000000003E-2</v>
      </c>
      <c r="K39" s="32"/>
      <c r="L39" s="32">
        <v>0.12740000000000001</v>
      </c>
      <c r="M39" s="32"/>
      <c r="N39" s="32">
        <v>2.76E-2</v>
      </c>
      <c r="O39" s="32"/>
      <c r="P39" s="32">
        <v>0.42</v>
      </c>
      <c r="Q39" s="32"/>
      <c r="R39" s="32">
        <v>0.33500000000000002</v>
      </c>
    </row>
    <row r="40" spans="1:18" ht="15.75" thickBot="1" x14ac:dyDescent="0.3">
      <c r="G40" s="31" t="s">
        <v>31</v>
      </c>
      <c r="H40" s="29"/>
      <c r="I40" s="32">
        <v>5.5E-2</v>
      </c>
      <c r="J40" s="32">
        <v>3.5000000000000003E-2</v>
      </c>
      <c r="K40" s="32"/>
      <c r="L40" s="32">
        <v>0.12740000000000001</v>
      </c>
      <c r="M40" s="32"/>
      <c r="N40" s="32">
        <v>2.76E-2</v>
      </c>
      <c r="O40" s="32"/>
      <c r="P40" s="32">
        <v>0.42</v>
      </c>
      <c r="Q40" s="32"/>
      <c r="R40" s="32">
        <v>0.33500000000000002</v>
      </c>
    </row>
    <row r="41" spans="1:18" ht="15.75" thickBot="1" x14ac:dyDescent="0.3">
      <c r="G41" s="31" t="s">
        <v>32</v>
      </c>
      <c r="H41" s="29"/>
      <c r="I41" s="32">
        <v>5.5E-2</v>
      </c>
      <c r="J41" s="32">
        <v>3.5000000000000003E-2</v>
      </c>
      <c r="K41" s="32"/>
      <c r="L41" s="32">
        <v>0.12740000000000001</v>
      </c>
      <c r="M41" s="32"/>
      <c r="N41" s="32">
        <v>2.76E-2</v>
      </c>
      <c r="O41" s="32"/>
      <c r="P41" s="32">
        <v>0.42</v>
      </c>
      <c r="Q41" s="32"/>
      <c r="R41" s="32">
        <v>0.33500000000000002</v>
      </c>
    </row>
    <row r="42" spans="1:18" ht="15.75" thickBot="1" x14ac:dyDescent="0.3">
      <c r="G42" s="31" t="s">
        <v>33</v>
      </c>
      <c r="H42" s="29"/>
      <c r="I42" s="32">
        <v>0.13500000000000001</v>
      </c>
      <c r="J42" s="32">
        <v>0.1</v>
      </c>
      <c r="K42" s="32"/>
      <c r="L42" s="32">
        <v>0.28270000000000001</v>
      </c>
      <c r="M42" s="32"/>
      <c r="N42" s="32">
        <v>6.13E-2</v>
      </c>
      <c r="O42" s="32"/>
      <c r="P42" s="32">
        <v>0.42099999999999999</v>
      </c>
      <c r="Q42" s="32"/>
      <c r="R42" s="32">
        <v>0</v>
      </c>
    </row>
  </sheetData>
  <mergeCells count="15">
    <mergeCell ref="A33:C33"/>
    <mergeCell ref="A34:C34"/>
    <mergeCell ref="G35:R35"/>
    <mergeCell ref="A6:R6"/>
    <mergeCell ref="C24:L24"/>
    <mergeCell ref="A27:C27"/>
    <mergeCell ref="A28:C28"/>
    <mergeCell ref="A29:C29"/>
    <mergeCell ref="A30:C30"/>
    <mergeCell ref="A31:C31"/>
    <mergeCell ref="A32:C32"/>
    <mergeCell ref="A8:N8"/>
    <mergeCell ref="A23:B23"/>
    <mergeCell ref="A26:D26"/>
    <mergeCell ref="G26:R26"/>
  </mergeCells>
  <pageMargins left="0.51181102362204722" right="0.51181102362204722" top="0.78740157480314965" bottom="0.78740157480314965" header="0.31496062992125984" footer="0.31496062992125984"/>
  <pageSetup paperSize="9" scale="47" orientation="landscape" r:id="rId1"/>
  <ignoredErrors>
    <ignoredError sqref="I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6</vt:i4>
      </vt:variant>
    </vt:vector>
  </HeadingPairs>
  <TitlesOfParts>
    <vt:vector size="16" baseType="lpstr">
      <vt:lpstr>Comércio - Anexo I</vt:lpstr>
      <vt:lpstr>Industria - Anexo II</vt:lpstr>
      <vt:lpstr>Serviços - Anexo III</vt:lpstr>
      <vt:lpstr>Serviços - Anexo IV</vt:lpstr>
      <vt:lpstr>Serviços - Anexo V</vt:lpstr>
      <vt:lpstr>Anexo I - Trib. Subst. Monof.</vt:lpstr>
      <vt:lpstr>Com. e Serviço - Anexo I e III</vt:lpstr>
      <vt:lpstr>Anexo I, III e IV</vt:lpstr>
      <vt:lpstr>I, III e Locação</vt:lpstr>
      <vt:lpstr>Serviço de Transporte</vt:lpstr>
      <vt:lpstr>'I, III e Locação'!Area_de_impressao</vt:lpstr>
      <vt:lpstr>'Industria - Anexo II'!Area_de_impressao</vt:lpstr>
      <vt:lpstr>'Serviço de Transporte'!Area_de_impressao</vt:lpstr>
      <vt:lpstr>'Serviços - Anexo III'!Area_de_impressao</vt:lpstr>
      <vt:lpstr>'Serviços - Anexo IV'!Area_de_impressao</vt:lpstr>
      <vt:lpstr>'Serviços - Anexo V'!Area_de_impressao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Orcal</dc:creator>
  <cp:lastModifiedBy>ZS Contabilidade</cp:lastModifiedBy>
  <cp:lastPrinted>2018-10-30T14:48:29Z</cp:lastPrinted>
  <dcterms:created xsi:type="dcterms:W3CDTF">2013-09-11T20:05:31Z</dcterms:created>
  <dcterms:modified xsi:type="dcterms:W3CDTF">2019-06-12T18:44:12Z</dcterms:modified>
</cp:coreProperties>
</file>