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d91\AC\Temp\"/>
    </mc:Choice>
  </mc:AlternateContent>
  <xr:revisionPtr revIDLastSave="0" documentId="8_{B6129551-618A-F04B-8E3B-45C13C8464DD}" xr6:coauthVersionLast="32" xr6:coauthVersionMax="32" xr10:uidLastSave="{00000000-0000-0000-0000-000000000000}"/>
  <bookViews>
    <workbookView xWindow="120" yWindow="30" windowWidth="12240" windowHeight="8640" xr2:uid="{00000000-000D-0000-FFFF-FFFF00000000}"/>
  </bookViews>
  <sheets>
    <sheet name="Modelo Movimento Diário Caixa" sheetId="1" r:id="rId1"/>
  </sheets>
  <definedNames>
    <definedName name="_xlnm._FilterDatabase" localSheetId="0" hidden="1">'Modelo Movimento Diário Caixa'!$A$2:$G$42</definedName>
  </definedNames>
  <calcPr calcId="179016"/>
</workbook>
</file>

<file path=xl/calcChain.xml><?xml version="1.0" encoding="utf-8"?>
<calcChain xmlns="http://schemas.openxmlformats.org/spreadsheetml/2006/main">
  <c r="C47" i="1" l="1"/>
  <c r="C48" i="1"/>
  <c r="C51" i="1"/>
  <c r="C50" i="1"/>
  <c r="C49" i="1"/>
  <c r="C46" i="1"/>
  <c r="G45" i="1"/>
  <c r="C4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5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MEUS DOCUMENTOS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Inserir o mês que ocorreu o movimento de entrada (recebimento) ou de saída (pagamento).</t>
        </r>
      </text>
    </comment>
    <comment ref="A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Neste campo você deve inserir a data em que está recebendo ou pagando.</t>
        </r>
      </text>
    </comment>
    <comment ref="B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Neste campo você deve indicar onde aconteceu o movimento:
* Caixa da Empresa (Caixa Interno);
* Qual Banco (caso trabalhe com mais de um);</t>
        </r>
      </text>
    </comment>
    <comment ref="C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Neste campo você deve informar qual foi a forma de recebimento que teve:
* Dinheiro;
* Cheque;
* Carnê;
* Cartão de Débito;
* Cartão de Crédito;
</t>
        </r>
      </text>
    </comment>
    <comment ref="D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Neste campo você deve descrever qual foi o recebimento ou o pagamento que ocorreu, de forma a conseguir identificar no futuro o lançamento.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Neste campo você deve lançar o valor de recebimento que ocorreu.
OBS: caso esteja recebendo com multa e juros, efetuar dois lançamentos, ou seja, recebimento "normal" e depois fazer mais um lançamento com multa e juros.
</t>
        </r>
      </text>
    </comment>
    <comment ref="F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Neste campo você deve lançar o valor de pagamento que realizou.
OBS: caso esteja pagando com multa e juros, efetuar dois lançamentos, ou seja, pagamento "normal" e depois fazer mais um lançamento com multa e juros.
</t>
        </r>
      </text>
    </comment>
    <comment ref="G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Neste campo você deve efetuar o cálculo do saldo diário do caixa. Ou seja, a medida que forem acontecendo recebimentos e pagamentos, você deve efetuar o cálculo para saber qual é o saldo que ficou no final do dia.
Caso utilize o modelo Movimento Diário Caixa, já existem fórmulas que efetuarão o cálculo automaticamente.</t>
        </r>
      </text>
    </comment>
    <comment ref="B4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Nestes campos você deve lançar as somas dos tipos de recebimentos que teve durante o dia, ou seja, o total dos recebimentos em dinheiro, em cheque, de carnê, de cartão de débito e de cartão de crédito. Caso utilize o Modelo Movimento Diário de Caixa (ao lado), esta soma é automática, desde que preencha o campo "Tipo".
</t>
        </r>
      </text>
    </comment>
    <comment ref="E4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Estes campos se referem aos saldos para auxiliar você a administrar melhor entradas e saídas.
* O Total de Entradas se refere ao total de recebimentos ocorridos no dia;
* O Total de Saídas se refere ao total de pagamentos efetuados no dia;
* O Saldo do Dia é a diferença entre o total de Entradas e o total de Saídas;
* No Saldo do Dia Anterior, você deve lançar o Saldo Final do Dia anterior;
* Saldo Final é a soma do Saldo do Dia com o Saldo do Dia Anterior;</t>
        </r>
      </text>
    </comment>
  </commentList>
</comments>
</file>

<file path=xl/sharedStrings.xml><?xml version="1.0" encoding="utf-8"?>
<sst xmlns="http://schemas.openxmlformats.org/spreadsheetml/2006/main" count="69" uniqueCount="59">
  <si>
    <t>Entrada</t>
  </si>
  <si>
    <t>Saída</t>
  </si>
  <si>
    <t>Descrição / Historico</t>
  </si>
  <si>
    <t>Saldo do Dia</t>
  </si>
  <si>
    <t>Movimento Diário de Caixa</t>
  </si>
  <si>
    <t>Dinheiro</t>
  </si>
  <si>
    <t>Cheques</t>
  </si>
  <si>
    <t>Cartão de Débito</t>
  </si>
  <si>
    <t>Cartão de Crédito</t>
  </si>
  <si>
    <t>Total Entradas</t>
  </si>
  <si>
    <t>Total Saídas</t>
  </si>
  <si>
    <t>Data</t>
  </si>
  <si>
    <t>dinheiro</t>
  </si>
  <si>
    <t xml:space="preserve"> </t>
  </si>
  <si>
    <t>cartão de débito</t>
  </si>
  <si>
    <t>cartão de crédito</t>
  </si>
  <si>
    <t>cheques</t>
  </si>
  <si>
    <t>pagamento a lanchonete</t>
  </si>
  <si>
    <t>Sr. Paulo</t>
  </si>
  <si>
    <t>farmácia</t>
  </si>
  <si>
    <t>Dna. Ana Carla</t>
  </si>
  <si>
    <t>restaurante</t>
  </si>
  <si>
    <t>venda nota 123</t>
  </si>
  <si>
    <t>embalagens</t>
  </si>
  <si>
    <t>venda nota 124</t>
  </si>
  <si>
    <t>mototaxi</t>
  </si>
  <si>
    <t>Canal</t>
  </si>
  <si>
    <t>caixa</t>
  </si>
  <si>
    <t>Não preencher os espaços em branco.</t>
  </si>
  <si>
    <t>Saldo do período Anterior</t>
  </si>
  <si>
    <t>Fevereiro</t>
  </si>
  <si>
    <t>Mês:</t>
  </si>
  <si>
    <t xml:space="preserve">Saldo do Período  </t>
  </si>
  <si>
    <t>*para ser usado para bater o caixa.</t>
  </si>
  <si>
    <t>Saldo Atual Disponível</t>
  </si>
  <si>
    <t xml:space="preserve">            * esses valores serão creditados futuramente.</t>
  </si>
  <si>
    <t>fat.com serv. A</t>
  </si>
  <si>
    <t>Tipo do recebimento</t>
  </si>
  <si>
    <t>Cheques pré</t>
  </si>
  <si>
    <t>caia</t>
  </si>
  <si>
    <t>cheques pré</t>
  </si>
  <si>
    <t>fat. Com corte b</t>
  </si>
  <si>
    <t xml:space="preserve">   * esses valores serão creditados futuramente.</t>
  </si>
  <si>
    <t>* saldo do início do mês</t>
  </si>
  <si>
    <r>
      <rPr>
        <b/>
        <u/>
        <sz val="14"/>
        <rFont val="Arial"/>
        <family val="2"/>
      </rPr>
      <t>Obs:</t>
    </r>
    <r>
      <rPr>
        <b/>
        <sz val="14"/>
        <rFont val="Arial"/>
        <family val="2"/>
      </rPr>
      <t xml:space="preserve"> preencher apenas os campos amarelos.</t>
    </r>
  </si>
  <si>
    <t>TIPOS DE RECEBIMENTOS</t>
  </si>
  <si>
    <t>*UTILIZAR SEMPRE UM DOS TIPOS DE RECEBIMENTOS</t>
  </si>
  <si>
    <t>DESCRITOS ENTRE AS OPÇÕES:</t>
  </si>
  <si>
    <t>DINHEIRO</t>
  </si>
  <si>
    <t>CHEQUES DO DIA</t>
  </si>
  <si>
    <t>CHEQUES PRÉ</t>
  </si>
  <si>
    <t>OUTRO TIPO</t>
  </si>
  <si>
    <t>CARTÃO DE CRÉDITO</t>
  </si>
  <si>
    <t>Outro tipo</t>
  </si>
  <si>
    <t>outro tipo</t>
  </si>
  <si>
    <t>*valor disponível para uso na última data.</t>
  </si>
  <si>
    <t>CARTÃO DE DÉBITO</t>
  </si>
  <si>
    <t>* CASO HAJA A NECESSIDADE PODE SER INSERIDO</t>
  </si>
  <si>
    <t xml:space="preserve">DEPOIS MAIS LINHAS, MAS CONFERIR AS FÓRMULAS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</si>
</sst>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R$ &quot;* #,##0.00_);_(&quot;R$ &quot;* \(#,##0.00\);_(&quot;R$ &quot;* &quot;-&quot;??_);_(@_)"/>
  </numFmts>
  <fonts count="12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2" fillId="0" borderId="0" xfId="0" applyFont="1" applyBorder="1" applyAlignment="1">
      <alignment horizontal="right"/>
    </xf>
    <xf numFmtId="164" fontId="2" fillId="0" borderId="0" xfId="2" applyFont="1" applyBorder="1"/>
    <xf numFmtId="164" fontId="2" fillId="0" borderId="0" xfId="2" applyFont="1" applyBorder="1" applyAlignment="1">
      <alignment vertical="center"/>
    </xf>
    <xf numFmtId="0" fontId="2" fillId="0" borderId="0" xfId="0" applyFont="1" applyBorder="1" applyAlignment="1"/>
    <xf numFmtId="39" fontId="3" fillId="0" borderId="0" xfId="1" applyNumberFormat="1" applyFont="1" applyBorder="1"/>
    <xf numFmtId="2" fontId="3" fillId="0" borderId="0" xfId="1" applyNumberFormat="1" applyFont="1" applyBorder="1" applyAlignment="1">
      <alignment vertical="center"/>
    </xf>
    <xf numFmtId="164" fontId="3" fillId="0" borderId="0" xfId="2" applyFont="1" applyBorder="1"/>
    <xf numFmtId="164" fontId="2" fillId="0" borderId="4" xfId="2" applyFont="1" applyBorder="1" applyAlignment="1"/>
    <xf numFmtId="164" fontId="2" fillId="0" borderId="5" xfId="2" applyFont="1" applyBorder="1" applyAlignment="1"/>
    <xf numFmtId="164" fontId="2" fillId="0" borderId="6" xfId="2" applyFont="1" applyBorder="1" applyAlignment="1"/>
    <xf numFmtId="164" fontId="2" fillId="0" borderId="7" xfId="2" applyFont="1" applyBorder="1" applyAlignment="1"/>
    <xf numFmtId="164" fontId="2" fillId="2" borderId="4" xfId="2" applyFont="1" applyFill="1" applyBorder="1" applyAlignment="1"/>
    <xf numFmtId="16" fontId="2" fillId="2" borderId="8" xfId="0" applyNumberFormat="1" applyFont="1" applyFill="1" applyBorder="1" applyAlignment="1">
      <alignment vertical="center"/>
    </xf>
    <xf numFmtId="0" fontId="3" fillId="0" borderId="0" xfId="0" applyFont="1" applyBorder="1" applyAlignment="1"/>
    <xf numFmtId="164" fontId="3" fillId="2" borderId="9" xfId="2" applyFont="1" applyFill="1" applyBorder="1"/>
    <xf numFmtId="164" fontId="3" fillId="2" borderId="8" xfId="2" applyFont="1" applyFill="1" applyBorder="1"/>
    <xf numFmtId="164" fontId="3" fillId="2" borderId="8" xfId="2" applyFont="1" applyFill="1" applyBorder="1" applyAlignment="1">
      <alignment vertical="center"/>
    </xf>
    <xf numFmtId="164" fontId="3" fillId="2" borderId="10" xfId="2" applyFont="1" applyFill="1" applyBorder="1"/>
    <xf numFmtId="16" fontId="3" fillId="2" borderId="11" xfId="0" applyNumberFormat="1" applyFont="1" applyFill="1" applyBorder="1"/>
    <xf numFmtId="0" fontId="3" fillId="2" borderId="9" xfId="0" applyFont="1" applyFill="1" applyBorder="1"/>
    <xf numFmtId="16" fontId="3" fillId="2" borderId="12" xfId="0" applyNumberFormat="1" applyFont="1" applyFill="1" applyBorder="1"/>
    <xf numFmtId="0" fontId="3" fillId="2" borderId="8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0" xfId="0" applyFont="1" applyFill="1" applyBorder="1"/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0" xfId="0" applyFont="1" applyFill="1" applyBorder="1"/>
    <xf numFmtId="164" fontId="3" fillId="0" borderId="0" xfId="2" applyFont="1" applyFill="1" applyBorder="1"/>
    <xf numFmtId="164" fontId="2" fillId="0" borderId="0" xfId="2" applyFont="1" applyFill="1" applyBorder="1"/>
    <xf numFmtId="0" fontId="2" fillId="0" borderId="16" xfId="0" applyFont="1" applyBorder="1" applyAlignment="1"/>
    <xf numFmtId="0" fontId="2" fillId="0" borderId="17" xfId="0" applyFont="1" applyBorder="1" applyAlignment="1"/>
    <xf numFmtId="164" fontId="2" fillId="0" borderId="17" xfId="2" applyFont="1" applyBorder="1" applyAlignment="1"/>
    <xf numFmtId="0" fontId="9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9" fillId="0" borderId="16" xfId="0" applyFont="1" applyBorder="1"/>
    <xf numFmtId="0" fontId="3" fillId="0" borderId="21" xfId="0" applyFont="1" applyBorder="1"/>
    <xf numFmtId="0" fontId="3" fillId="0" borderId="22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6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0" xfId="0" applyFont="1" applyBorder="1"/>
    <xf numFmtId="0" fontId="2" fillId="0" borderId="24" xfId="0" applyFont="1" applyBorder="1"/>
    <xf numFmtId="164" fontId="2" fillId="0" borderId="8" xfId="2" applyFont="1" applyFill="1" applyBorder="1"/>
    <xf numFmtId="0" fontId="4" fillId="0" borderId="2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6" xfId="0" applyFont="1" applyBorder="1" applyAlignment="1"/>
    <xf numFmtId="0" fontId="2" fillId="0" borderId="6" xfId="0" applyFont="1" applyBorder="1" applyAlignment="1"/>
    <xf numFmtId="0" fontId="2" fillId="0" borderId="25" xfId="0" applyFont="1" applyBorder="1" applyAlignment="1"/>
    <xf numFmtId="0" fontId="2" fillId="0" borderId="27" xfId="0" applyFont="1" applyBorder="1" applyAlignment="1"/>
    <xf numFmtId="0" fontId="0" fillId="0" borderId="6" xfId="0" applyBorder="1" applyAlignment="1"/>
    <xf numFmtId="0" fontId="2" fillId="0" borderId="2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/>
    <xf numFmtId="0" fontId="0" fillId="0" borderId="7" xfId="0" applyBorder="1" applyAlignment="1"/>
    <xf numFmtId="0" fontId="2" fillId="0" borderId="29" xfId="0" applyFont="1" applyBorder="1" applyAlignment="1"/>
    <xf numFmtId="0" fontId="2" fillId="0" borderId="5" xfId="0" applyFont="1" applyBorder="1" applyAlignment="1"/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49</xdr:row>
      <xdr:rowOff>38100</xdr:rowOff>
    </xdr:from>
    <xdr:to>
      <xdr:col>3</xdr:col>
      <xdr:colOff>438150</xdr:colOff>
      <xdr:row>50</xdr:row>
      <xdr:rowOff>161925</xdr:rowOff>
    </xdr:to>
    <xdr:sp macro="" textlink="">
      <xdr:nvSpPr>
        <xdr:cNvPr id="3" name="Chave direita 2">
          <a:extLst>
            <a:ext uri="{FF2B5EF4-FFF2-40B4-BE49-F238E27FC236}">
              <a16:creationId xmlns:a16="http://schemas.microsoft.com/office/drawing/2014/main" id="{93EAF964-BD7B-4B48-A4F5-8BD74AED7081}"/>
            </a:ext>
          </a:extLst>
        </xdr:cNvPr>
        <xdr:cNvSpPr/>
      </xdr:nvSpPr>
      <xdr:spPr>
        <a:xfrm>
          <a:off x="2705100" y="8763000"/>
          <a:ext cx="333375" cy="333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showGridLines="0" showZeros="0" tabSelected="1" workbookViewId="0" xr3:uid="{AEA406A1-0E4B-5B11-9CD5-51D6E497D94C}">
      <selection activeCell="I12" sqref="I12"/>
    </sheetView>
  </sheetViews>
  <sheetFormatPr defaultColWidth="9.16796875" defaultRowHeight="14.25" outlineLevelCol="1" x14ac:dyDescent="0.15"/>
  <cols>
    <col min="1" max="1" width="8.76171875" style="1" customWidth="1"/>
    <col min="2" max="2" width="12.67578125" style="1" customWidth="1"/>
    <col min="3" max="3" width="17.52734375" style="1" customWidth="1"/>
    <col min="4" max="4" width="35.734375" style="1" customWidth="1"/>
    <col min="5" max="6" width="14.6953125" style="1" customWidth="1" outlineLevel="1"/>
    <col min="7" max="7" width="14.6953125" style="1" customWidth="1"/>
    <col min="8" max="16384" width="9.16796875" style="1"/>
  </cols>
  <sheetData>
    <row r="1" spans="1:15" ht="25.5" customHeight="1" thickBot="1" x14ac:dyDescent="0.2">
      <c r="A1" s="54" t="s">
        <v>4</v>
      </c>
      <c r="B1" s="55"/>
      <c r="C1" s="55"/>
      <c r="D1" s="55"/>
      <c r="E1" s="55"/>
      <c r="F1" s="4" t="s">
        <v>31</v>
      </c>
      <c r="G1" s="17" t="s">
        <v>30</v>
      </c>
    </row>
    <row r="2" spans="1:15" ht="30" thickBot="1" x14ac:dyDescent="0.25">
      <c r="A2" s="2" t="s">
        <v>11</v>
      </c>
      <c r="B2" s="3" t="s">
        <v>26</v>
      </c>
      <c r="C2" s="3" t="s">
        <v>37</v>
      </c>
      <c r="D2" s="3" t="s">
        <v>2</v>
      </c>
      <c r="E2" s="3" t="s">
        <v>0</v>
      </c>
      <c r="F2" s="30" t="s">
        <v>1</v>
      </c>
      <c r="G2" s="31" t="s">
        <v>3</v>
      </c>
      <c r="I2" s="38" t="s">
        <v>44</v>
      </c>
      <c r="J2" s="39"/>
      <c r="K2" s="39"/>
      <c r="L2" s="39"/>
      <c r="M2" s="39"/>
      <c r="N2" s="39"/>
      <c r="O2" s="40"/>
    </row>
    <row r="3" spans="1:15" ht="14.25" customHeight="1" thickBot="1" x14ac:dyDescent="0.25">
      <c r="A3" s="23">
        <v>41306</v>
      </c>
      <c r="B3" s="24" t="s">
        <v>27</v>
      </c>
      <c r="C3" s="24" t="s">
        <v>12</v>
      </c>
      <c r="D3" s="24" t="s">
        <v>36</v>
      </c>
      <c r="E3" s="19">
        <v>55</v>
      </c>
      <c r="F3" s="20"/>
      <c r="G3" s="53">
        <f>E3-F3</f>
        <v>55</v>
      </c>
      <c r="I3" s="41" t="s">
        <v>28</v>
      </c>
      <c r="J3" s="42"/>
      <c r="K3" s="42"/>
      <c r="L3" s="42"/>
      <c r="M3" s="42"/>
      <c r="N3" s="42"/>
      <c r="O3" s="43"/>
    </row>
    <row r="4" spans="1:15" ht="14.25" customHeight="1" x14ac:dyDescent="0.15">
      <c r="A4" s="25">
        <v>41306</v>
      </c>
      <c r="B4" s="26" t="s">
        <v>27</v>
      </c>
      <c r="C4" s="26" t="s">
        <v>13</v>
      </c>
      <c r="D4" s="26" t="s">
        <v>17</v>
      </c>
      <c r="E4" s="20"/>
      <c r="F4" s="20">
        <v>66</v>
      </c>
      <c r="G4" s="53">
        <f>G3+E4-F4</f>
        <v>-11</v>
      </c>
    </row>
    <row r="5" spans="1:15" ht="14.25" customHeight="1" thickBot="1" x14ac:dyDescent="0.2">
      <c r="A5" s="25">
        <v>41307</v>
      </c>
      <c r="B5" s="26" t="s">
        <v>27</v>
      </c>
      <c r="C5" s="26" t="s">
        <v>16</v>
      </c>
      <c r="D5" s="26" t="s">
        <v>18</v>
      </c>
      <c r="E5" s="20">
        <v>77</v>
      </c>
      <c r="F5" s="20"/>
      <c r="G5" s="53">
        <f t="shared" ref="G5:G41" si="0">G4+E5-F5</f>
        <v>66</v>
      </c>
    </row>
    <row r="6" spans="1:15" ht="14.25" customHeight="1" x14ac:dyDescent="0.15">
      <c r="A6" s="25">
        <v>41307</v>
      </c>
      <c r="B6" s="26" t="s">
        <v>27</v>
      </c>
      <c r="C6" s="26"/>
      <c r="D6" s="26" t="s">
        <v>19</v>
      </c>
      <c r="E6" s="20"/>
      <c r="F6" s="20">
        <v>88</v>
      </c>
      <c r="G6" s="53">
        <f t="shared" si="0"/>
        <v>-22</v>
      </c>
      <c r="I6" s="44" t="s">
        <v>57</v>
      </c>
      <c r="J6" s="45"/>
      <c r="K6" s="45"/>
      <c r="L6" s="45"/>
      <c r="M6" s="45"/>
      <c r="N6" s="45"/>
      <c r="O6" s="46"/>
    </row>
    <row r="7" spans="1:15" ht="14.25" customHeight="1" thickBot="1" x14ac:dyDescent="0.2">
      <c r="A7" s="25">
        <v>41308</v>
      </c>
      <c r="B7" s="26" t="s">
        <v>27</v>
      </c>
      <c r="C7" s="26" t="s">
        <v>54</v>
      </c>
      <c r="D7" s="26" t="s">
        <v>20</v>
      </c>
      <c r="E7" s="20">
        <v>99</v>
      </c>
      <c r="F7" s="20"/>
      <c r="G7" s="53">
        <f t="shared" si="0"/>
        <v>77</v>
      </c>
      <c r="I7" s="47" t="s">
        <v>58</v>
      </c>
      <c r="J7" s="48"/>
      <c r="K7" s="48"/>
      <c r="L7" s="48"/>
      <c r="M7" s="48"/>
      <c r="N7" s="48"/>
      <c r="O7" s="49"/>
    </row>
    <row r="8" spans="1:15" ht="14.25" customHeight="1" thickBot="1" x14ac:dyDescent="0.2">
      <c r="A8" s="25">
        <v>41308</v>
      </c>
      <c r="B8" s="26" t="s">
        <v>27</v>
      </c>
      <c r="C8" s="26"/>
      <c r="D8" s="26" t="s">
        <v>21</v>
      </c>
      <c r="E8" s="20"/>
      <c r="F8" s="20">
        <v>44</v>
      </c>
      <c r="G8" s="53">
        <f t="shared" si="0"/>
        <v>33</v>
      </c>
    </row>
    <row r="9" spans="1:15" ht="14.25" customHeight="1" x14ac:dyDescent="0.15">
      <c r="A9" s="25">
        <v>41309</v>
      </c>
      <c r="B9" s="26" t="s">
        <v>27</v>
      </c>
      <c r="C9" s="26" t="s">
        <v>14</v>
      </c>
      <c r="D9" s="26" t="s">
        <v>22</v>
      </c>
      <c r="E9" s="20">
        <v>33</v>
      </c>
      <c r="F9" s="20"/>
      <c r="G9" s="53">
        <f t="shared" si="0"/>
        <v>66</v>
      </c>
      <c r="I9" s="44" t="s">
        <v>46</v>
      </c>
      <c r="J9" s="45"/>
      <c r="K9" s="45"/>
      <c r="L9" s="45"/>
      <c r="M9" s="45"/>
      <c r="N9" s="45"/>
      <c r="O9" s="46"/>
    </row>
    <row r="10" spans="1:15" ht="14.25" customHeight="1" x14ac:dyDescent="0.15">
      <c r="A10" s="25">
        <v>41309</v>
      </c>
      <c r="B10" s="26" t="s">
        <v>27</v>
      </c>
      <c r="C10" s="26"/>
      <c r="D10" s="26" t="s">
        <v>23</v>
      </c>
      <c r="E10" s="20"/>
      <c r="F10" s="20">
        <v>22</v>
      </c>
      <c r="G10" s="53">
        <f t="shared" si="0"/>
        <v>44</v>
      </c>
      <c r="I10" s="50" t="s">
        <v>47</v>
      </c>
      <c r="J10" s="51"/>
      <c r="K10" s="51"/>
      <c r="L10" s="51"/>
      <c r="M10" s="51"/>
      <c r="N10" s="51"/>
      <c r="O10" s="52"/>
    </row>
    <row r="11" spans="1:15" ht="14.25" customHeight="1" x14ac:dyDescent="0.15">
      <c r="A11" s="25">
        <v>41310</v>
      </c>
      <c r="B11" s="26" t="s">
        <v>27</v>
      </c>
      <c r="C11" s="26" t="s">
        <v>15</v>
      </c>
      <c r="D11" s="26" t="s">
        <v>24</v>
      </c>
      <c r="E11" s="20">
        <v>11</v>
      </c>
      <c r="F11" s="20"/>
      <c r="G11" s="53">
        <f t="shared" si="0"/>
        <v>55</v>
      </c>
      <c r="I11" s="50" t="s">
        <v>48</v>
      </c>
      <c r="J11" s="51"/>
      <c r="K11" s="51"/>
      <c r="L11" s="51"/>
      <c r="M11" s="51"/>
      <c r="N11" s="51"/>
      <c r="O11" s="52"/>
    </row>
    <row r="12" spans="1:15" ht="14.25" customHeight="1" x14ac:dyDescent="0.15">
      <c r="A12" s="25">
        <v>41310</v>
      </c>
      <c r="B12" s="26" t="s">
        <v>27</v>
      </c>
      <c r="C12" s="26"/>
      <c r="D12" s="26" t="s">
        <v>25</v>
      </c>
      <c r="E12" s="20"/>
      <c r="F12" s="20">
        <v>7</v>
      </c>
      <c r="G12" s="53">
        <f t="shared" si="0"/>
        <v>48</v>
      </c>
      <c r="I12" s="50" t="s">
        <v>49</v>
      </c>
      <c r="J12" s="51"/>
      <c r="K12" s="51"/>
      <c r="L12" s="51"/>
      <c r="M12" s="51"/>
      <c r="N12" s="51"/>
      <c r="O12" s="52"/>
    </row>
    <row r="13" spans="1:15" ht="14.25" customHeight="1" x14ac:dyDescent="0.15">
      <c r="A13" s="25">
        <v>41311</v>
      </c>
      <c r="B13" s="26" t="s">
        <v>39</v>
      </c>
      <c r="C13" s="26" t="s">
        <v>40</v>
      </c>
      <c r="D13" s="26" t="s">
        <v>41</v>
      </c>
      <c r="E13" s="20">
        <v>45</v>
      </c>
      <c r="F13" s="20"/>
      <c r="G13" s="53">
        <f t="shared" si="0"/>
        <v>93</v>
      </c>
      <c r="I13" s="50" t="s">
        <v>50</v>
      </c>
      <c r="J13" s="51"/>
      <c r="K13" s="51"/>
      <c r="L13" s="51"/>
      <c r="M13" s="51"/>
      <c r="N13" s="51"/>
      <c r="O13" s="52"/>
    </row>
    <row r="14" spans="1:15" ht="14.25" customHeight="1" x14ac:dyDescent="0.15">
      <c r="A14" s="27"/>
      <c r="B14" s="26"/>
      <c r="C14" s="26"/>
      <c r="D14" s="26"/>
      <c r="E14" s="20"/>
      <c r="F14" s="20"/>
      <c r="G14" s="53">
        <f t="shared" si="0"/>
        <v>93</v>
      </c>
      <c r="I14" s="50" t="s">
        <v>51</v>
      </c>
      <c r="J14" s="51"/>
      <c r="K14" s="51"/>
      <c r="L14" s="51"/>
      <c r="M14" s="51"/>
      <c r="N14" s="51"/>
      <c r="O14" s="52"/>
    </row>
    <row r="15" spans="1:15" ht="14.25" customHeight="1" x14ac:dyDescent="0.15">
      <c r="A15" s="27"/>
      <c r="B15" s="26"/>
      <c r="C15" s="26"/>
      <c r="D15" s="26"/>
      <c r="E15" s="20"/>
      <c r="F15" s="20"/>
      <c r="G15" s="53">
        <f t="shared" si="0"/>
        <v>93</v>
      </c>
      <c r="I15" s="50" t="s">
        <v>56</v>
      </c>
      <c r="J15" s="51"/>
      <c r="K15" s="51"/>
      <c r="L15" s="51"/>
      <c r="M15" s="51"/>
      <c r="N15" s="51"/>
      <c r="O15" s="52"/>
    </row>
    <row r="16" spans="1:15" ht="14.25" customHeight="1" thickBot="1" x14ac:dyDescent="0.2">
      <c r="A16" s="27"/>
      <c r="B16" s="26"/>
      <c r="C16" s="26"/>
      <c r="D16" s="26"/>
      <c r="E16" s="20"/>
      <c r="F16" s="20"/>
      <c r="G16" s="53">
        <f t="shared" si="0"/>
        <v>93</v>
      </c>
      <c r="I16" s="47" t="s">
        <v>52</v>
      </c>
      <c r="J16" s="48"/>
      <c r="K16" s="48"/>
      <c r="L16" s="48"/>
      <c r="M16" s="48"/>
      <c r="N16" s="48"/>
      <c r="O16" s="49"/>
    </row>
    <row r="17" spans="1:7" ht="14.25" customHeight="1" x14ac:dyDescent="0.15">
      <c r="A17" s="27"/>
      <c r="B17" s="26"/>
      <c r="C17" s="26"/>
      <c r="D17" s="26"/>
      <c r="E17" s="20"/>
      <c r="F17" s="20"/>
      <c r="G17" s="53">
        <f t="shared" si="0"/>
        <v>93</v>
      </c>
    </row>
    <row r="18" spans="1:7" ht="14.25" customHeight="1" x14ac:dyDescent="0.15">
      <c r="A18" s="27"/>
      <c r="B18" s="26"/>
      <c r="C18" s="26"/>
      <c r="D18" s="26"/>
      <c r="E18" s="20"/>
      <c r="F18" s="20"/>
      <c r="G18" s="53">
        <f t="shared" si="0"/>
        <v>93</v>
      </c>
    </row>
    <row r="19" spans="1:7" ht="14.25" customHeight="1" x14ac:dyDescent="0.15">
      <c r="A19" s="27"/>
      <c r="B19" s="26"/>
      <c r="C19" s="26"/>
      <c r="D19" s="26"/>
      <c r="E19" s="20"/>
      <c r="F19" s="20"/>
      <c r="G19" s="53">
        <f t="shared" si="0"/>
        <v>93</v>
      </c>
    </row>
    <row r="20" spans="1:7" ht="14.25" customHeight="1" x14ac:dyDescent="0.15">
      <c r="A20" s="27"/>
      <c r="B20" s="26"/>
      <c r="C20" s="26"/>
      <c r="D20" s="26"/>
      <c r="E20" s="20"/>
      <c r="F20" s="20"/>
      <c r="G20" s="53">
        <f>G19+E20-F20</f>
        <v>93</v>
      </c>
    </row>
    <row r="21" spans="1:7" ht="14.25" customHeight="1" x14ac:dyDescent="0.15">
      <c r="A21" s="27"/>
      <c r="B21" s="26"/>
      <c r="C21" s="26"/>
      <c r="D21" s="26"/>
      <c r="E21" s="20"/>
      <c r="F21" s="20"/>
      <c r="G21" s="53">
        <f t="shared" si="0"/>
        <v>93</v>
      </c>
    </row>
    <row r="22" spans="1:7" ht="14.25" customHeight="1" x14ac:dyDescent="0.15">
      <c r="A22" s="27"/>
      <c r="B22" s="26"/>
      <c r="C22" s="26"/>
      <c r="D22" s="26"/>
      <c r="E22" s="20"/>
      <c r="F22" s="20"/>
      <c r="G22" s="53">
        <f t="shared" si="0"/>
        <v>93</v>
      </c>
    </row>
    <row r="23" spans="1:7" ht="14.25" customHeight="1" x14ac:dyDescent="0.15">
      <c r="A23" s="27"/>
      <c r="B23" s="26"/>
      <c r="C23" s="26"/>
      <c r="D23" s="26"/>
      <c r="E23" s="20"/>
      <c r="F23" s="20"/>
      <c r="G23" s="53">
        <f t="shared" si="0"/>
        <v>93</v>
      </c>
    </row>
    <row r="24" spans="1:7" ht="14.25" customHeight="1" x14ac:dyDescent="0.15">
      <c r="A24" s="27"/>
      <c r="B24" s="26"/>
      <c r="C24" s="26"/>
      <c r="D24" s="26"/>
      <c r="E24" s="20"/>
      <c r="F24" s="20"/>
      <c r="G24" s="53">
        <f t="shared" si="0"/>
        <v>93</v>
      </c>
    </row>
    <row r="25" spans="1:7" ht="14.25" customHeight="1" x14ac:dyDescent="0.15">
      <c r="A25" s="27"/>
      <c r="B25" s="26"/>
      <c r="C25" s="26"/>
      <c r="D25" s="26"/>
      <c r="E25" s="20"/>
      <c r="F25" s="20"/>
      <c r="G25" s="53">
        <f t="shared" si="0"/>
        <v>93</v>
      </c>
    </row>
    <row r="26" spans="1:7" ht="14.25" customHeight="1" x14ac:dyDescent="0.15">
      <c r="A26" s="27"/>
      <c r="B26" s="26"/>
      <c r="C26" s="26"/>
      <c r="D26" s="26"/>
      <c r="E26" s="20"/>
      <c r="F26" s="20"/>
      <c r="G26" s="53">
        <f t="shared" si="0"/>
        <v>93</v>
      </c>
    </row>
    <row r="27" spans="1:7" ht="14.25" customHeight="1" x14ac:dyDescent="0.15">
      <c r="A27" s="27"/>
      <c r="B27" s="26"/>
      <c r="C27" s="26"/>
      <c r="D27" s="26"/>
      <c r="E27" s="20"/>
      <c r="F27" s="20"/>
      <c r="G27" s="53">
        <f t="shared" si="0"/>
        <v>93</v>
      </c>
    </row>
    <row r="28" spans="1:7" ht="14.25" customHeight="1" x14ac:dyDescent="0.15">
      <c r="A28" s="27"/>
      <c r="B28" s="26"/>
      <c r="C28" s="26"/>
      <c r="D28" s="26"/>
      <c r="E28" s="20"/>
      <c r="F28" s="20"/>
      <c r="G28" s="53">
        <f t="shared" si="0"/>
        <v>93</v>
      </c>
    </row>
    <row r="29" spans="1:7" ht="14.25" customHeight="1" x14ac:dyDescent="0.15">
      <c r="A29" s="27"/>
      <c r="B29" s="26"/>
      <c r="C29" s="26"/>
      <c r="D29" s="26"/>
      <c r="E29" s="20"/>
      <c r="F29" s="20"/>
      <c r="G29" s="53">
        <f t="shared" si="0"/>
        <v>93</v>
      </c>
    </row>
    <row r="30" spans="1:7" ht="14.25" customHeight="1" x14ac:dyDescent="0.15">
      <c r="A30" s="27"/>
      <c r="B30" s="26"/>
      <c r="C30" s="26"/>
      <c r="D30" s="26"/>
      <c r="E30" s="20"/>
      <c r="F30" s="20"/>
      <c r="G30" s="53">
        <f t="shared" si="0"/>
        <v>93</v>
      </c>
    </row>
    <row r="31" spans="1:7" ht="14.25" customHeight="1" x14ac:dyDescent="0.15">
      <c r="A31" s="27"/>
      <c r="B31" s="26"/>
      <c r="C31" s="26"/>
      <c r="D31" s="26"/>
      <c r="E31" s="20"/>
      <c r="F31" s="20"/>
      <c r="G31" s="53">
        <f t="shared" si="0"/>
        <v>93</v>
      </c>
    </row>
    <row r="32" spans="1:7" ht="14.25" customHeight="1" x14ac:dyDescent="0.15">
      <c r="A32" s="27"/>
      <c r="B32" s="26"/>
      <c r="C32" s="26"/>
      <c r="D32" s="26"/>
      <c r="E32" s="20"/>
      <c r="F32" s="20"/>
      <c r="G32" s="53">
        <f t="shared" si="0"/>
        <v>93</v>
      </c>
    </row>
    <row r="33" spans="1:8" ht="14.25" customHeight="1" x14ac:dyDescent="0.15">
      <c r="A33" s="27"/>
      <c r="B33" s="26"/>
      <c r="C33" s="26"/>
      <c r="D33" s="26"/>
      <c r="E33" s="20"/>
      <c r="F33" s="20"/>
      <c r="G33" s="53">
        <f t="shared" si="0"/>
        <v>93</v>
      </c>
    </row>
    <row r="34" spans="1:8" ht="14.25" customHeight="1" x14ac:dyDescent="0.15">
      <c r="A34" s="27"/>
      <c r="B34" s="26"/>
      <c r="C34" s="26"/>
      <c r="D34" s="26"/>
      <c r="E34" s="20"/>
      <c r="F34" s="20"/>
      <c r="G34" s="53">
        <f t="shared" si="0"/>
        <v>93</v>
      </c>
    </row>
    <row r="35" spans="1:8" ht="14.25" customHeight="1" x14ac:dyDescent="0.15">
      <c r="A35" s="27"/>
      <c r="B35" s="26"/>
      <c r="C35" s="26"/>
      <c r="D35" s="26"/>
      <c r="E35" s="20"/>
      <c r="F35" s="20"/>
      <c r="G35" s="53">
        <f t="shared" si="0"/>
        <v>93</v>
      </c>
    </row>
    <row r="36" spans="1:8" ht="14.25" customHeight="1" x14ac:dyDescent="0.15">
      <c r="A36" s="27"/>
      <c r="B36" s="26"/>
      <c r="C36" s="26"/>
      <c r="D36" s="26"/>
      <c r="E36" s="21"/>
      <c r="F36" s="21"/>
      <c r="G36" s="53">
        <f t="shared" si="0"/>
        <v>93</v>
      </c>
    </row>
    <row r="37" spans="1:8" ht="14.25" customHeight="1" x14ac:dyDescent="0.15">
      <c r="A37" s="27"/>
      <c r="B37" s="26"/>
      <c r="C37" s="26"/>
      <c r="D37" s="26"/>
      <c r="E37" s="20"/>
      <c r="F37" s="20"/>
      <c r="G37" s="53">
        <f t="shared" si="0"/>
        <v>93</v>
      </c>
    </row>
    <row r="38" spans="1:8" ht="14.25" customHeight="1" x14ac:dyDescent="0.15">
      <c r="A38" s="27"/>
      <c r="B38" s="26"/>
      <c r="C38" s="26"/>
      <c r="D38" s="26"/>
      <c r="E38" s="20"/>
      <c r="F38" s="20"/>
      <c r="G38" s="53">
        <f t="shared" si="0"/>
        <v>93</v>
      </c>
    </row>
    <row r="39" spans="1:8" ht="14.25" customHeight="1" x14ac:dyDescent="0.15">
      <c r="A39" s="27"/>
      <c r="B39" s="26"/>
      <c r="C39" s="26"/>
      <c r="D39" s="26"/>
      <c r="E39" s="20"/>
      <c r="F39" s="20"/>
      <c r="G39" s="53">
        <f t="shared" si="0"/>
        <v>93</v>
      </c>
    </row>
    <row r="40" spans="1:8" ht="14.25" customHeight="1" x14ac:dyDescent="0.15">
      <c r="A40" s="27"/>
      <c r="B40" s="26"/>
      <c r="C40" s="26"/>
      <c r="D40" s="26"/>
      <c r="E40" s="20"/>
      <c r="F40" s="20"/>
      <c r="G40" s="53">
        <f t="shared" si="0"/>
        <v>93</v>
      </c>
    </row>
    <row r="41" spans="1:8" ht="14.25" customHeight="1" x14ac:dyDescent="0.15">
      <c r="A41" s="27"/>
      <c r="B41" s="26"/>
      <c r="C41" s="26"/>
      <c r="D41" s="26"/>
      <c r="E41" s="20"/>
      <c r="F41" s="20"/>
      <c r="G41" s="53">
        <f t="shared" si="0"/>
        <v>93</v>
      </c>
    </row>
    <row r="42" spans="1:8" ht="14.25" customHeight="1" thickBot="1" x14ac:dyDescent="0.2">
      <c r="A42" s="28"/>
      <c r="B42" s="29"/>
      <c r="C42" s="29"/>
      <c r="D42" s="29"/>
      <c r="E42" s="22"/>
      <c r="F42" s="20"/>
      <c r="G42" s="53">
        <f>G41+E42-F42</f>
        <v>93</v>
      </c>
    </row>
    <row r="43" spans="1:8" ht="14.25" customHeight="1" thickBot="1" x14ac:dyDescent="0.2">
      <c r="A43" s="32"/>
      <c r="B43" s="32"/>
      <c r="C43" s="32"/>
      <c r="D43" s="32"/>
      <c r="E43" s="33"/>
      <c r="F43" s="33"/>
      <c r="G43" s="34"/>
    </row>
    <row r="44" spans="1:8" ht="14.25" customHeight="1" thickBot="1" x14ac:dyDescent="0.2">
      <c r="A44" s="61" t="s">
        <v>45</v>
      </c>
      <c r="B44" s="62"/>
      <c r="C44" s="63"/>
      <c r="D44" s="5"/>
      <c r="E44" s="6"/>
      <c r="F44" s="6"/>
      <c r="G44" s="7"/>
    </row>
    <row r="45" spans="1:8" ht="14.25" customHeight="1" thickBot="1" x14ac:dyDescent="0.2">
      <c r="A45" s="35" t="s">
        <v>9</v>
      </c>
      <c r="B45" s="36"/>
      <c r="C45" s="37">
        <f>SUM(E3:E42)</f>
        <v>320</v>
      </c>
      <c r="D45" s="8"/>
      <c r="E45" s="58" t="s">
        <v>10</v>
      </c>
      <c r="F45" s="59"/>
      <c r="G45" s="12">
        <f>SUM(F3:F42)</f>
        <v>227</v>
      </c>
    </row>
    <row r="46" spans="1:8" ht="14.25" customHeight="1" thickBot="1" x14ac:dyDescent="0.2">
      <c r="A46" s="66" t="s">
        <v>5</v>
      </c>
      <c r="B46" s="67"/>
      <c r="C46" s="13">
        <f t="shared" ref="C46:C51" si="1">SUMIF($C$3:$C$42,A46,$E$3:$E$42)</f>
        <v>55</v>
      </c>
      <c r="D46" s="5"/>
      <c r="E46" s="9"/>
      <c r="F46" s="9"/>
      <c r="G46" s="10"/>
    </row>
    <row r="47" spans="1:8" ht="14.25" customHeight="1" thickBot="1" x14ac:dyDescent="0.2">
      <c r="A47" s="66" t="s">
        <v>38</v>
      </c>
      <c r="B47" s="67"/>
      <c r="C47" s="13">
        <f t="shared" si="1"/>
        <v>45</v>
      </c>
      <c r="D47" s="18" t="s">
        <v>42</v>
      </c>
      <c r="E47" s="9"/>
      <c r="F47" s="9"/>
      <c r="G47" s="10"/>
    </row>
    <row r="48" spans="1:8" ht="14.25" customHeight="1" thickBot="1" x14ac:dyDescent="0.2">
      <c r="A48" s="56" t="s">
        <v>6</v>
      </c>
      <c r="B48" s="60"/>
      <c r="C48" s="13">
        <f t="shared" si="1"/>
        <v>77</v>
      </c>
      <c r="D48" s="5"/>
      <c r="E48" s="58" t="s">
        <v>32</v>
      </c>
      <c r="F48" s="59"/>
      <c r="G48" s="12">
        <f>C45-G45</f>
        <v>93</v>
      </c>
      <c r="H48" s="1" t="s">
        <v>33</v>
      </c>
    </row>
    <row r="49" spans="1:8" ht="15" thickBot="1" x14ac:dyDescent="0.2">
      <c r="A49" s="56" t="s">
        <v>53</v>
      </c>
      <c r="B49" s="57"/>
      <c r="C49" s="14">
        <f t="shared" si="1"/>
        <v>99</v>
      </c>
      <c r="D49" s="5"/>
      <c r="E49" s="58" t="s">
        <v>29</v>
      </c>
      <c r="F49" s="59"/>
      <c r="G49" s="16">
        <v>0</v>
      </c>
      <c r="H49" s="1" t="s">
        <v>43</v>
      </c>
    </row>
    <row r="50" spans="1:8" ht="15" thickBot="1" x14ac:dyDescent="0.2">
      <c r="A50" s="56" t="s">
        <v>7</v>
      </c>
      <c r="B50" s="60"/>
      <c r="C50" s="14">
        <f t="shared" si="1"/>
        <v>33</v>
      </c>
      <c r="D50" s="8"/>
      <c r="E50" s="58" t="s">
        <v>34</v>
      </c>
      <c r="F50" s="59"/>
      <c r="G50" s="12">
        <f>G49+C45-G45-C47-C50-C51</f>
        <v>4</v>
      </c>
      <c r="H50" s="1" t="s">
        <v>55</v>
      </c>
    </row>
    <row r="51" spans="1:8" ht="15" thickBot="1" x14ac:dyDescent="0.2">
      <c r="A51" s="64" t="s">
        <v>8</v>
      </c>
      <c r="B51" s="65"/>
      <c r="C51" s="15">
        <f t="shared" si="1"/>
        <v>11</v>
      </c>
      <c r="D51" s="18" t="s">
        <v>35</v>
      </c>
      <c r="E51" s="8"/>
      <c r="F51" s="5"/>
      <c r="G51" s="11"/>
    </row>
    <row r="52" spans="1:8" x14ac:dyDescent="0.15">
      <c r="D52" s="1" t="s">
        <v>13</v>
      </c>
    </row>
  </sheetData>
  <autoFilter ref="A2:G42" xr:uid="{00000000-0009-0000-0000-000000000000}"/>
  <mergeCells count="12">
    <mergeCell ref="A51:B51"/>
    <mergeCell ref="E45:F45"/>
    <mergeCell ref="A46:B46"/>
    <mergeCell ref="A48:B48"/>
    <mergeCell ref="E48:F48"/>
    <mergeCell ref="A47:B47"/>
    <mergeCell ref="A1:E1"/>
    <mergeCell ref="A49:B49"/>
    <mergeCell ref="E49:F49"/>
    <mergeCell ref="A50:B50"/>
    <mergeCell ref="E50:F50"/>
    <mergeCell ref="A44:C44"/>
  </mergeCells>
  <phoneticPr fontId="11" type="noConversion"/>
  <printOptions horizontalCentered="1"/>
  <pageMargins left="0.39370078740157483" right="0.39370078740157483" top="0.98425196850393704" bottom="0.78740157480314965" header="0.19685039370078741" footer="0.47244094488188981"/>
  <pageSetup scale="86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Movimento Diário Caixa</vt:lpstr>
    </vt:vector>
  </TitlesOfParts>
  <Company>Asystec Informatica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Movimento de Caixa</dc:title>
  <dc:subject>Competência 01 - Controles</dc:subject>
  <dc:creator>Patricia</dc:creator>
  <cp:keywords>Movimento de Caixa</cp:keywords>
  <dc:description>Este arquivo é integrante do banco de estratégias do curso "Gestão Financeira Avançada" - SEBRAE</dc:description>
  <cp:lastModifiedBy>X</cp:lastModifiedBy>
  <cp:lastPrinted>2011-01-27T13:52:28Z</cp:lastPrinted>
  <dcterms:created xsi:type="dcterms:W3CDTF">2008-09-23T00:56:53Z</dcterms:created>
  <dcterms:modified xsi:type="dcterms:W3CDTF">2018-05-11T11:52:10Z</dcterms:modified>
</cp:coreProperties>
</file>