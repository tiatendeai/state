
<file path=[Content_Types].xml><?xml version="1.0" encoding="utf-8"?>
<Types xmlns="http://schemas.openxmlformats.org/package/2006/content-types">
  <Override PartName="/xl/charts/colors39.xml" ContentType="application/vnd.ms-office.chartcolorstyle+xml"/>
  <Override PartName="/xl/charts/style29.xml" ContentType="application/vnd.ms-office.chartstyle+xml"/>
  <Override PartName="/xl/worksheets/sheet13.xml" ContentType="application/vnd.openxmlformats-officedocument.spreadsheetml.worksheet+xml"/>
  <Override PartName="/xl/styles.xml" ContentType="application/vnd.openxmlformats-officedocument.spreadsheetml.styles+xml"/>
  <Override PartName="/xl/drawings/drawing6.xml" ContentType="application/vnd.openxmlformats-officedocument.drawing+xml"/>
  <Override PartName="/xl/charts/chart4.xml" ContentType="application/vnd.openxmlformats-officedocument.drawingml.chart+xml"/>
  <Override PartName="/xl/comments8.xml" ContentType="application/vnd.openxmlformats-officedocument.spreadsheetml.comments+xml"/>
  <Override PartName="/xl/charts/colors28.xml" ContentType="application/vnd.ms-office.chartcolorstyle+xml"/>
  <Override PartName="/xl/charts/colors17.xml" ContentType="application/vnd.ms-office.chartcolorstyle+xml"/>
  <Override PartName="/xl/charts/style18.xml" ContentType="application/vnd.ms-office.chartstyle+xml"/>
  <Override PartName="/xl/charts/style6.xml" ContentType="application/vnd.ms-office.chartstyle+xml"/>
  <Override PartName="/xl/worksheets/sheet7.xml" ContentType="application/vnd.openxmlformats-officedocument.spreadsheetml.worksheet+xml"/>
  <Override PartName="/xl/drawings/drawing17.xml" ContentType="application/vnd.openxmlformats-officedocument.drawing+xml"/>
  <Override PartName="/xl/charts/colors35.xml" ContentType="application/vnd.ms-office.chartcolorstyle+xml"/>
  <Override PartName="/xl/charts/colors24.xml" ContentType="application/vnd.ms-office.chartcolorstyle+xml"/>
  <Override PartName="/xl/charts/style36.xml" ContentType="application/vnd.ms-office.chartstyle+xml"/>
  <Override PartName="/xl/charts/style25.xml" ContentType="application/vnd.ms-office.chartstyle+xml"/>
  <Default Extension="xml" ContentType="application/xml"/>
  <Override PartName="/xl/drawings/drawing2.xml" ContentType="application/vnd.openxmlformats-officedocument.drawing+xml"/>
  <Override PartName="/xl/comments4.xml" ContentType="application/vnd.openxmlformats-officedocument.spreadsheetml.comments+xml"/>
  <Override PartName="/xl/charts/style2.xml" ContentType="application/vnd.ms-office.chartstyle+xml"/>
  <Override PartName="/xl/charts/colors13.xml" ContentType="application/vnd.ms-office.chartcolorstyle+xml"/>
  <Override PartName="/xl/charts/colors9.xml" ContentType="application/vnd.ms-office.chartcolorstyle+xml"/>
  <Override PartName="/xl/charts/style14.xml" ContentType="application/vnd.ms-office.chartstyle+xml"/>
  <Override PartName="/xl/charts/style32.xml" ContentType="application/vnd.ms-office.chartstyle+xml"/>
  <Override PartName="/xl/worksheets/sheet3.xml" ContentType="application/vnd.openxmlformats-officedocument.spreadsheetml.worksheet+xml"/>
  <Override PartName="/xl/drawings/drawing13.xml" ContentType="application/vnd.openxmlformats-officedocument.drawing+xml"/>
  <Override PartName="/xl/charts/chart27.xml" ContentType="application/vnd.openxmlformats-officedocument.drawingml.chart+xml"/>
  <Override PartName="/xl/charts/chart38.xml" ContentType="application/vnd.openxmlformats-officedocument.drawingml.chart+xml"/>
  <Override PartName="/xl/charts/colors31.xml" ContentType="application/vnd.ms-office.chartcolorstyle+xml"/>
  <Override PartName="/xl/charts/colors20.xml" ContentType="application/vnd.ms-office.chartcolorstyle+xml"/>
  <Override PartName="/xl/charts/style21.xml" ContentType="application/vnd.ms-office.chartstyle+xml"/>
  <Override PartName="/xl/charts/chart16.xml" ContentType="application/vnd.openxmlformats-officedocument.drawingml.chart+xml"/>
  <Override PartName="/xl/charts/chart34.xml" ContentType="application/vnd.openxmlformats-officedocument.drawingml.chart+xml"/>
  <Override PartName="/xl/charts/colors5.xml" ContentType="application/vnd.ms-office.chartcolorstyle+xml"/>
  <Override PartName="/xl/charts/style10.xml" ContentType="application/vnd.ms-office.chartstyle+xml"/>
  <Override PartName="/xl/sharedStrings.xml" ContentType="application/vnd.openxmlformats-officedocument.spreadsheetml.sharedStrings+xml"/>
  <Override PartName="/xl/charts/chart23.xml" ContentType="application/vnd.openxmlformats-officedocument.drawingml.chart+xml"/>
  <Override PartName="/xl/worksheets/sheet18.xml" ContentType="application/vnd.openxmlformats-officedocument.spreadsheetml.worksheet+xml"/>
  <Override PartName="/xl/charts/chart9.xml" ContentType="application/vnd.openxmlformats-officedocument.drawingml.chart+xml"/>
  <Override PartName="/xl/charts/chart12.xml" ContentType="application/vnd.openxmlformats-officedocument.drawingml.chart+xml"/>
  <Override PartName="/xl/charts/chart30.xml" ContentType="application/vnd.openxmlformats-officedocument.drawingml.chart+xml"/>
  <Override PartName="/xl/charts/colors1.xml" ContentType="application/vnd.ms-office.chartcolorstyle+xml"/>
  <Default Extension="png" ContentType="image/png"/>
  <Default Extension="bin" ContentType="application/vnd.openxmlformats-officedocument.spreadsheetml.printerSettings"/>
  <Override PartName="/xl/charts/colors29.xml" ContentType="application/vnd.ms-office.chartcolorstyle+xml"/>
  <Override PartName="/xl/worksheets/sheet14.xml" ContentType="application/vnd.openxmlformats-officedocument.spreadsheetml.worksheet+xml"/>
  <Override PartName="/xl/drawings/drawing7.xml" ContentType="application/vnd.openxmlformats-officedocument.drawing+xml"/>
  <Override PartName="/xl/charts/chart5.xml" ContentType="application/vnd.openxmlformats-officedocument.drawingml.chart+xml"/>
  <Override PartName="/xl/comments9.xml" ContentType="application/vnd.openxmlformats-officedocument.spreadsheetml.comments+xml"/>
  <Override PartName="/xl/charts/style7.xml" ContentType="application/vnd.ms-office.chartstyle+xml"/>
  <Override PartName="/xl/charts/colors18.xml" ContentType="application/vnd.ms-office.chartcolorstyle+xml"/>
  <Override PartName="/xl/charts/colors36.xml" ContentType="application/vnd.ms-office.chartcolorstyle+xml"/>
  <Override PartName="/xl/charts/style19.xml" ContentType="application/vnd.ms-office.chartstyle+xml"/>
  <Override PartName="/xl/charts/style37.xml" ContentType="application/vnd.ms-office.chartstyle+xml"/>
  <Override PartName="/xl/worksheets/sheet8.xml" ContentType="application/vnd.openxmlformats-officedocument.spreadsheetml.worksheet+xml"/>
  <Override PartName="/xl/drawings/drawing18.xml" ContentType="application/vnd.openxmlformats-officedocument.drawing+xml"/>
  <Override PartName="/xl/charts/style26.xml" ContentType="application/vnd.ms-office.chartstyle+xml"/>
  <Override PartName="/xl/charts/colors25.xml" ContentType="application/vnd.ms-office.chartcolorstyle+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omments5.xml" ContentType="application/vnd.openxmlformats-officedocument.spreadsheetml.comments+xml"/>
  <Override PartName="/xl/charts/chart39.xml" ContentType="application/vnd.openxmlformats-officedocument.drawingml.chart+xml"/>
  <Override PartName="/xl/charts/style15.xml" ContentType="application/vnd.ms-office.chartstyle+xml"/>
  <Override PartName="/xl/charts/style33.xml" ContentType="application/vnd.ms-office.chartstyle+xml"/>
  <Override PartName="/xl/charts/style3.xml" ContentType="application/vnd.ms-office.chartstyle+xml"/>
  <Override PartName="/xl/charts/colors14.xml" ContentType="application/vnd.ms-office.chartcolorstyle+xml"/>
  <Override PartName="/xl/charts/colors32.xml" ContentType="application/vnd.ms-office.chartcolorstyle+xml"/>
  <Override PartName="/docProps/app.xml" ContentType="application/vnd.openxmlformats-officedocument.extended-properties+xml"/>
  <Override PartName="/xl/drawings/drawing14.xml" ContentType="application/vnd.openxmlformats-officedocument.drawing+xml"/>
  <Override PartName="/xl/charts/chart28.xml" ContentType="application/vnd.openxmlformats-officedocument.drawingml.chart+xml"/>
  <Override PartName="/xl/charts/style22.xml" ContentType="application/vnd.ms-office.chartstyle+xml"/>
  <Override PartName="/xl/charts/style40.xml" ContentType="application/vnd.ms-office.chartstyle+xml"/>
  <Override PartName="/xl/charts/colors21.xml" ContentType="application/vnd.ms-office.chartcolorstyle+xml"/>
  <Override PartName="/xl/charts/colors6.xml" ContentType="application/vnd.ms-office.chartcolorstyle+xml"/>
  <Default Extension="vml" ContentType="application/vnd.openxmlformats-officedocument.vmlDrawing"/>
  <Override PartName="/xl/comments1.xml" ContentType="application/vnd.openxmlformats-officedocument.spreadsheetml.comments+xml"/>
  <Override PartName="/xl/charts/chart17.xml" ContentType="application/vnd.openxmlformats-officedocument.drawingml.chart+xml"/>
  <Override PartName="/xl/charts/chart35.xml" ContentType="application/vnd.openxmlformats-officedocument.drawingml.chart+xml"/>
  <Override PartName="/xl/calcChain.xml" ContentType="application/vnd.openxmlformats-officedocument.spreadsheetml.calcChain+xml"/>
  <Override PartName="/xl/charts/style11.xml" ContentType="application/vnd.ms-office.chartstyle+xml"/>
  <Override PartName="/xl/charts/colors10.xml" ContentType="application/vnd.ms-office.chartcolorstyle+xml"/>
  <Override PartName="/xl/worksheets/sheet19.xml" ContentType="application/vnd.openxmlformats-officedocument.spreadsheetml.worksheet+xml"/>
  <Override PartName="/xl/drawings/drawing10.xml" ContentType="application/vnd.openxmlformats-officedocument.drawing+xml"/>
  <Override PartName="/xl/charts/chart13.xml" ContentType="application/vnd.openxmlformats-officedocument.drawingml.chart+xml"/>
  <Override PartName="/xl/charts/chart15.xml" ContentType="application/vnd.openxmlformats-officedocument.drawingml.chart+xml"/>
  <Override PartName="/xl/charts/chart24.xml" ContentType="application/vnd.openxmlformats-officedocument.drawingml.chart+xml"/>
  <Override PartName="/xl/charts/chart33.xml" ContentType="application/vnd.openxmlformats-officedocument.drawingml.chart+xml"/>
  <Override PartName="/xl/charts/colors2.xml" ContentType="application/vnd.ms-office.chartcolorstyle+xml"/>
  <Override PartName="/xl/worksheets/sheet17.xml" ContentType="application/vnd.openxmlformats-officedocument.spreadsheetml.worksheet+xml"/>
  <Override PartName="/xl/charts/chart8.xml" ContentType="application/vnd.openxmlformats-officedocument.drawingml.chart+xml"/>
  <Override PartName="/xl/charts/chart11.xml" ContentType="application/vnd.openxmlformats-officedocument.drawingml.chart+xml"/>
  <Override PartName="/xl/charts/chart22.xml" ContentType="application/vnd.openxmlformats-officedocument.drawingml.chart+xml"/>
  <Override PartName="/xl/charts/chart31.xml" ContentType="application/vnd.openxmlformats-officedocument.drawingml.chart+xml"/>
  <Override PartName="/xl/charts/chart40.xml" ContentType="application/vnd.openxmlformats-officedocument.drawingml.chart+xml"/>
  <Override PartName="/docProps/core.xml" ContentType="application/vnd.openxmlformats-package.core-properties+xml"/>
  <Override PartName="/xl/worksheets/sheet15.xml" ContentType="application/vnd.openxmlformats-officedocument.spreadsheetml.worksheet+xml"/>
  <Override PartName="/xl/charts/chart6.xml" ContentType="application/vnd.openxmlformats-officedocument.drawingml.chart+xml"/>
  <Override PartName="/xl/charts/chart20.xml" ContentType="application/vnd.openxmlformats-officedocument.drawingml.chart+xml"/>
  <Override PartName="/xl/charts/style8.xml" ContentType="application/vnd.ms-office.chartstyle+xml"/>
  <Override PartName="/xl/charts/colors19.xml" ContentType="application/vnd.ms-office.chartcolorstyle+xml"/>
  <Override PartName="/xl/worksheets/sheet9.xml" ContentType="application/vnd.openxmlformats-officedocument.spreadsheetml.worksheet+xml"/>
  <Override PartName="/xl/theme/theme1.xml" ContentType="application/vnd.openxmlformats-officedocument.theme+xml"/>
  <Override PartName="/xl/drawings/drawing8.xml" ContentType="application/vnd.openxmlformats-officedocument.drawing+xml"/>
  <Override PartName="/xl/drawings/drawing19.xml" ContentType="application/vnd.openxmlformats-officedocument.drawing+xml"/>
  <Override PartName="/xl/charts/style38.xml" ContentType="application/vnd.ms-office.chartstyle+xml"/>
  <Override PartName="/xl/charts/style27.xml" ContentType="application/vnd.ms-office.chartstyle+xml"/>
  <Override PartName="/xl/charts/colors37.xml" ContentType="application/vnd.ms-office.chartcolorstyle+xml"/>
  <Override PartName="/xl/worksheets/sheet11.xml" ContentType="application/vnd.openxmlformats-officedocument.spreadsheetml.worksheet+xml"/>
  <Override PartName="/xl/drawings/drawing4.xml" ContentType="application/vnd.openxmlformats-officedocument.drawing+xml"/>
  <Override PartName="/xl/charts/chart2.xml" ContentType="application/vnd.openxmlformats-officedocument.drawingml.chart+xml"/>
  <Override PartName="/xl/comments6.xml" ContentType="application/vnd.openxmlformats-officedocument.spreadsheetml.comments+xml"/>
  <Override PartName="/xl/charts/style4.xml" ContentType="application/vnd.ms-office.chartstyle+xml"/>
  <Override PartName="/xl/charts/colors26.xml" ContentType="application/vnd.ms-office.chartcolorstyle+xml"/>
  <Override PartName="/xl/charts/colors15.xml" ContentType="application/vnd.ms-office.chartcolorstyle+xml"/>
  <Override PartName="/xl/charts/style16.xml" ContentType="application/vnd.ms-office.chartstyle+xml"/>
  <Default Extension="rels" ContentType="application/vnd.openxmlformats-package.relationships+xml"/>
  <Override PartName="/xl/worksheets/sheet5.xml" ContentType="application/vnd.openxmlformats-officedocument.spreadsheetml.worksheet+xml"/>
  <Override PartName="/xl/drawings/drawing15.xml" ContentType="application/vnd.openxmlformats-officedocument.drawing+xml"/>
  <Override PartName="/xl/charts/chart29.xml" ContentType="application/vnd.openxmlformats-officedocument.drawingml.chart+xml"/>
  <Override PartName="/xl/charts/colors33.xml" ContentType="application/vnd.ms-office.chartcolorstyle+xml"/>
  <Override PartName="/xl/charts/colors22.xml" ContentType="application/vnd.ms-office.chartcolorstyle+xml"/>
  <Override PartName="/xl/charts/style34.xml" ContentType="application/vnd.ms-office.chartstyle+xml"/>
  <Override PartName="/xl/charts/style23.xml" ContentType="application/vnd.ms-office.chartstyle+xml"/>
  <Override PartName="/xl/comments2.xml" ContentType="application/vnd.openxmlformats-officedocument.spreadsheetml.comments+xml"/>
  <Override PartName="/xl/charts/chart18.xml" ContentType="application/vnd.openxmlformats-officedocument.drawingml.chart+xml"/>
  <Override PartName="/xl/charts/chart36.xml" ContentType="application/vnd.openxmlformats-officedocument.drawingml.chart+xml"/>
  <Override PartName="/xl/charts/colors11.xml" ContentType="application/vnd.ms-office.chartcolorstyle+xml"/>
  <Override PartName="/xl/charts/colors40.xml" ContentType="application/vnd.ms-office.chartcolorstyle+xml"/>
  <Override PartName="/xl/charts/colors7.xml" ContentType="application/vnd.ms-office.chartcolorstyle+xml"/>
  <Override PartName="/xl/charts/style12.xml" ContentType="application/vnd.ms-office.chartstyle+xml"/>
  <Override PartName="/xl/charts/style30.xml" ContentType="application/vnd.ms-office.chartstyle+xml"/>
  <Override PartName="/xl/worksheets/sheet1.xml" ContentType="application/vnd.openxmlformats-officedocument.spreadsheetml.worksheet+xml"/>
  <Override PartName="/xl/drawings/drawing11.xml" ContentType="application/vnd.openxmlformats-officedocument.drawing+xml"/>
  <Override PartName="/xl/charts/chart25.xml" ContentType="application/vnd.openxmlformats-officedocument.drawingml.chart+xml"/>
  <Override PartName="/xl/charts/chart14.xml" ContentType="application/vnd.openxmlformats-officedocument.drawingml.chart+xml"/>
  <Override PartName="/xl/charts/chart32.xml" ContentType="application/vnd.openxmlformats-officedocument.drawingml.chart+xml"/>
  <Override PartName="/xl/charts/colors3.xml" ContentType="application/vnd.ms-office.chartcolorstyle+xml"/>
  <Override PartName="/xl/charts/chart21.xml" ContentType="application/vnd.openxmlformats-officedocument.drawingml.chart+xml"/>
  <Override PartName="/xl/worksheets/sheet16.xml" ContentType="application/vnd.openxmlformats-officedocument.spreadsheetml.worksheet+xml"/>
  <Override PartName="/xl/drawings/drawing9.xml" ContentType="application/vnd.openxmlformats-officedocument.drawing+xml"/>
  <Override PartName="/xl/charts/chart7.xml" ContentType="application/vnd.openxmlformats-officedocument.drawingml.chart+xml"/>
  <Override PartName="/xl/charts/chart10.xml" ContentType="application/vnd.openxmlformats-officedocument.drawingml.chart+xml"/>
  <Override PartName="/xl/charts/style39.xml" ContentType="application/vnd.ms-office.chartstyle+xml"/>
  <Override PartName="/xl/charts/style9.xml" ContentType="application/vnd.ms-office.chartstyle+xml"/>
  <Override PartName="/xl/charts/colors38.xml" ContentType="application/vnd.ms-office.chartcolorstyle+xml"/>
  <Override PartName="/xl/charts/style28.xml" ContentType="application/vnd.ms-office.chartstyle+xml"/>
  <Override PartName="/xl/charts/colors27.xml" ContentType="application/vnd.ms-office.chartcolorstyle+xml"/>
  <Override PartName="/xl/worksheets/sheet6.xml" ContentType="application/vnd.openxmlformats-officedocument.spreadsheetml.worksheet+xml"/>
  <Override PartName="/xl/worksheets/sheet12.xml" ContentType="application/vnd.openxmlformats-officedocument.spreadsheetml.worksheet+xml"/>
  <Override PartName="/xl/drawings/drawing5.xml" ContentType="application/vnd.openxmlformats-officedocument.drawing+xml"/>
  <Override PartName="/xl/charts/chart3.xml" ContentType="application/vnd.openxmlformats-officedocument.drawingml.chart+xml"/>
  <Override PartName="/xl/comments7.xml" ContentType="application/vnd.openxmlformats-officedocument.spreadsheetml.comments+xml"/>
  <Default Extension="jpeg" ContentType="image/jpeg"/>
  <Override PartName="/xl/charts/style17.xml" ContentType="application/vnd.ms-office.chartstyle+xml"/>
  <Override PartName="/xl/charts/style35.xml" ContentType="application/vnd.ms-office.chartstyle+xml"/>
  <Override PartName="/xl/charts/style5.xml" ContentType="application/vnd.ms-office.chartstyle+xml"/>
  <Override PartName="/xl/charts/colors16.xml" ContentType="application/vnd.ms-office.chartcolorstyle+xml"/>
  <Override PartName="/xl/charts/colors34.xml" ContentType="application/vnd.ms-office.chartcolorstyle+xml"/>
  <Override PartName="/xl/drawings/drawing16.xml" ContentType="application/vnd.openxmlformats-officedocument.drawing+xml"/>
  <Override PartName="/xl/charts/colors8.xml" ContentType="application/vnd.ms-office.chartcolorstyle+xml"/>
  <Override PartName="/xl/charts/style24.xml" ContentType="application/vnd.ms-office.chartstyle+xml"/>
  <Override PartName="/xl/charts/style1.xml" ContentType="application/vnd.ms-office.chartstyle+xml"/>
  <Override PartName="/xl/charts/colors23.xml" ContentType="application/vnd.ms-office.chartcolorstyle+xml"/>
  <Override PartName="/xl/worksheets/sheet2.xml" ContentType="application/vnd.openxmlformats-officedocument.spreadsheetml.worksheet+xml"/>
  <Override PartName="/xl/drawings/drawing1.xml" ContentType="application/vnd.openxmlformats-officedocument.drawing+xml"/>
  <Override PartName="/xl/comments3.xml" ContentType="application/vnd.openxmlformats-officedocument.spreadsheetml.comments+xml"/>
  <Override PartName="/xl/charts/chart19.xml" ContentType="application/vnd.openxmlformats-officedocument.drawingml.chart+xml"/>
  <Override PartName="/xl/charts/chart37.xml" ContentType="application/vnd.openxmlformats-officedocument.drawingml.chart+xml"/>
  <Override PartName="/xl/charts/style13.xml" ContentType="application/vnd.ms-office.chartstyle+xml"/>
  <Override PartName="/xl/charts/style31.xml" ContentType="application/vnd.ms-office.chartstyle+xml"/>
  <Override PartName="/xl/charts/colors12.xml" ContentType="application/vnd.ms-office.chartcolorstyle+xml"/>
  <Override PartName="/xl/charts/colors30.xml" ContentType="application/vnd.ms-office.chartcolorstyle+xml"/>
  <Override PartName="/xl/drawings/drawing12.xml" ContentType="application/vnd.openxmlformats-officedocument.drawing+xml"/>
  <Override PartName="/xl/charts/chart26.xml" ContentType="application/vnd.openxmlformats-officedocument.drawingml.chart+xml"/>
  <Override PartName="/xl/charts/colors4.xml" ContentType="application/vnd.ms-office.chartcolorstyle+xml"/>
  <Override PartName="/xl/charts/style2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6"/>
  <workbookPr codeName="EstaPasta_de_trabalho"/>
  <bookViews>
    <workbookView xWindow="0" yWindow="465" windowWidth="20730" windowHeight="11760" tabRatio="0" firstSheet="6" activeTab="6"/>
  </bookViews>
  <sheets>
    <sheet name="Ini" sheetId="2" r:id="rId1"/>
    <sheet name="Bal" sheetId="3" r:id="rId2"/>
    <sheet name="Atin" sheetId="12" r:id="rId3"/>
    <sheet name="Pas" sheetId="13" r:id="rId4"/>
    <sheet name="Pasn" sheetId="14" r:id="rId5"/>
    <sheet name="Res Bp" sheetId="22" r:id="rId6"/>
    <sheet name="Dre" sheetId="4" r:id="rId7"/>
    <sheet name="Des" sheetId="19" r:id="rId8"/>
    <sheet name="Res" sheetId="20" r:id="rId9"/>
    <sheet name="Gra" sheetId="6" r:id="rId10"/>
    <sheet name="Ana" sheetId="15" r:id="rId11"/>
    <sheet name="Cpd" sheetId="5" r:id="rId12"/>
    <sheet name="Ato" sheetId="16" r:id="rId13"/>
    <sheet name="Ren" sheetId="17" r:id="rId14"/>
    <sheet name="Gcg" sheetId="18" r:id="rId15"/>
    <sheet name="Rel" sheetId="8" r:id="rId16"/>
    <sheet name="Dúvidas" sheetId="9" r:id="rId17"/>
    <sheet name="Sugestões" sheetId="10" r:id="rId18"/>
    <sheet name="Sobre a LUZ" sheetId="11" r:id="rId19"/>
  </sheets>
  <definedNames>
    <definedName name="_xlnm.Print_Area" localSheetId="15">Rel!$C$5:$J$202</definedName>
  </definedNames>
  <calcPr calcId="152511" concurrentCalc="0"/>
  <extLst>
    <ext xmlns:mx="http://schemas.microsoft.com/office/mac/excel/2008/main" uri="{7523E5D3-25F3-A5E0-1632-64F254C22452}">
      <mx:ArchID Flags="2"/>
    </ext>
  </extLst>
</workbook>
</file>

<file path=xl/calcChain.xml><?xml version="1.0" encoding="utf-8"?>
<calcChain xmlns="http://schemas.openxmlformats.org/spreadsheetml/2006/main">
  <c r="E127" i="14"/>
  <c r="J19"/>
  <c r="J31" i="22"/>
  <c r="E7" i="14"/>
  <c r="J7"/>
  <c r="J19" i="22"/>
  <c r="E17" i="14"/>
  <c r="J8"/>
  <c r="J20" i="22"/>
  <c r="E27" i="14"/>
  <c r="J9"/>
  <c r="J21" i="22"/>
  <c r="E37" i="14"/>
  <c r="J10"/>
  <c r="J22" i="22"/>
  <c r="E47" i="14"/>
  <c r="J11"/>
  <c r="J23" i="22"/>
  <c r="E57" i="14"/>
  <c r="J12"/>
  <c r="J24" i="22"/>
  <c r="E67" i="14"/>
  <c r="J13"/>
  <c r="J25" i="22"/>
  <c r="E77" i="14"/>
  <c r="J14"/>
  <c r="J26" i="22"/>
  <c r="E87" i="14"/>
  <c r="J15"/>
  <c r="J27" i="22"/>
  <c r="E97" i="14"/>
  <c r="J16"/>
  <c r="J28" i="22"/>
  <c r="E107" i="14"/>
  <c r="J17"/>
  <c r="J29" i="22"/>
  <c r="E117" i="14"/>
  <c r="J18"/>
  <c r="J30" i="22"/>
  <c r="E137" i="14"/>
  <c r="J20"/>
  <c r="J32" i="22"/>
  <c r="E147" i="14"/>
  <c r="J21"/>
  <c r="J33" i="22"/>
  <c r="E157" i="14"/>
  <c r="J22"/>
  <c r="J34" i="22"/>
  <c r="E167" i="14"/>
  <c r="J23"/>
  <c r="J35" i="22"/>
  <c r="E177" i="14"/>
  <c r="J24"/>
  <c r="J36" i="22"/>
  <c r="E187" i="14"/>
  <c r="J25"/>
  <c r="J37" i="22"/>
  <c r="E197" i="14"/>
  <c r="J26"/>
  <c r="J38" i="22"/>
  <c r="J39"/>
  <c r="E7" i="13"/>
  <c r="J7"/>
  <c r="J7" i="22"/>
  <c r="E17" i="13"/>
  <c r="J8"/>
  <c r="J8" i="22"/>
  <c r="E27" i="13"/>
  <c r="J9"/>
  <c r="J9" i="22"/>
  <c r="E37" i="13"/>
  <c r="J10"/>
  <c r="J10" i="22"/>
  <c r="E47" i="13"/>
  <c r="J11"/>
  <c r="J11" i="22"/>
  <c r="E57" i="13"/>
  <c r="J12"/>
  <c r="J12" i="22"/>
  <c r="E67" i="13"/>
  <c r="J13"/>
  <c r="J13" i="22"/>
  <c r="E77" i="13"/>
  <c r="J14"/>
  <c r="J14" i="22"/>
  <c r="E87" i="13"/>
  <c r="J15"/>
  <c r="J15" i="22"/>
  <c r="J16"/>
  <c r="E38"/>
  <c r="E147" i="12"/>
  <c r="J21"/>
  <c r="E33" i="22"/>
  <c r="E7" i="12"/>
  <c r="J7"/>
  <c r="E19" i="22"/>
  <c r="E17" i="12"/>
  <c r="J8"/>
  <c r="E20" i="22"/>
  <c r="E27" i="12"/>
  <c r="J9"/>
  <c r="E21" i="22"/>
  <c r="E37" i="12"/>
  <c r="J10"/>
  <c r="E22" i="22"/>
  <c r="E47" i="12"/>
  <c r="J11"/>
  <c r="E23" i="22"/>
  <c r="E57" i="12"/>
  <c r="J12"/>
  <c r="E24" i="22"/>
  <c r="E67" i="12"/>
  <c r="J13"/>
  <c r="E25" i="22"/>
  <c r="E77" i="12"/>
  <c r="J14"/>
  <c r="E26" i="22"/>
  <c r="E87" i="12"/>
  <c r="J15"/>
  <c r="E27" i="22"/>
  <c r="E97" i="12"/>
  <c r="J16"/>
  <c r="E28" i="22"/>
  <c r="E107" i="12"/>
  <c r="J17"/>
  <c r="E29" i="22"/>
  <c r="E117" i="12"/>
  <c r="J18"/>
  <c r="E30" i="22"/>
  <c r="E127" i="12"/>
  <c r="J19"/>
  <c r="E31" i="22"/>
  <c r="E137" i="12"/>
  <c r="J20"/>
  <c r="E32" i="22"/>
  <c r="E34"/>
  <c r="E7" i="3"/>
  <c r="E7" i="22"/>
  <c r="E17" i="3"/>
  <c r="E8" i="22"/>
  <c r="E27" i="3"/>
  <c r="E9" i="22"/>
  <c r="E37" i="3"/>
  <c r="E10" i="22"/>
  <c r="E47" i="3"/>
  <c r="E11" i="22"/>
  <c r="E57" i="3"/>
  <c r="E12" i="22"/>
  <c r="E67" i="3"/>
  <c r="E13" i="22"/>
  <c r="E77" i="3"/>
  <c r="E14" i="22"/>
  <c r="E87" i="3"/>
  <c r="E15" i="22"/>
  <c r="E16"/>
  <c r="E37"/>
  <c r="E63" i="8"/>
  <c r="E39" i="22"/>
  <c r="E64" i="8"/>
  <c r="E62"/>
  <c r="F22" i="18"/>
  <c r="F24"/>
  <c r="F23"/>
  <c r="D24"/>
  <c r="G22"/>
  <c r="F12"/>
  <c r="F14"/>
  <c r="F13"/>
  <c r="D14"/>
  <c r="G12"/>
  <c r="F7"/>
  <c r="F9"/>
  <c r="F8"/>
  <c r="D9"/>
  <c r="G7"/>
  <c r="J47" i="14"/>
  <c r="J46"/>
  <c r="J48"/>
  <c r="J49"/>
  <c r="J50"/>
  <c r="J51"/>
  <c r="J52"/>
  <c r="J53"/>
  <c r="J54"/>
  <c r="J55"/>
  <c r="D40" i="15"/>
  <c r="F40"/>
  <c r="J41" i="12"/>
  <c r="J33"/>
  <c r="J34"/>
  <c r="J35"/>
  <c r="J36"/>
  <c r="J37"/>
  <c r="J38"/>
  <c r="J39"/>
  <c r="J40"/>
  <c r="J42"/>
  <c r="D39" i="15"/>
  <c r="F39"/>
  <c r="D41"/>
  <c r="G39"/>
  <c r="E6" i="13"/>
  <c r="J29" i="14"/>
  <c r="J30"/>
  <c r="J31"/>
  <c r="J32"/>
  <c r="J33"/>
  <c r="J34"/>
  <c r="J35"/>
  <c r="J36"/>
  <c r="J37"/>
  <c r="J38"/>
  <c r="D13" i="15"/>
  <c r="F13"/>
  <c r="D14"/>
  <c r="F14"/>
  <c r="D15"/>
  <c r="F15"/>
  <c r="F16"/>
  <c r="D16"/>
  <c r="G13"/>
  <c r="D7" i="5"/>
  <c r="F7"/>
  <c r="J27" i="13"/>
  <c r="D8" i="5"/>
  <c r="F8"/>
  <c r="D9"/>
  <c r="D12"/>
  <c r="F12"/>
  <c r="D13"/>
  <c r="F13"/>
  <c r="D14"/>
  <c r="D17"/>
  <c r="F17"/>
  <c r="D18"/>
  <c r="F18"/>
  <c r="F20"/>
  <c r="D19"/>
  <c r="F19"/>
  <c r="D20"/>
  <c r="J58" i="14"/>
  <c r="D26" i="5"/>
  <c r="F26"/>
  <c r="D25"/>
  <c r="F25"/>
  <c r="E28"/>
  <c r="D23"/>
  <c r="F23"/>
  <c r="J24" i="12"/>
  <c r="J25"/>
  <c r="J26"/>
  <c r="J27"/>
  <c r="J28"/>
  <c r="J29"/>
  <c r="J30"/>
  <c r="D24" i="5"/>
  <c r="F24"/>
  <c r="D28"/>
  <c r="D27"/>
  <c r="D8" i="17"/>
  <c r="F8"/>
  <c r="E7" i="4"/>
  <c r="J7"/>
  <c r="E7" i="20"/>
  <c r="E17" i="4"/>
  <c r="J8"/>
  <c r="E8" i="20"/>
  <c r="E27" i="4"/>
  <c r="J9"/>
  <c r="E9" i="20"/>
  <c r="E37" i="4"/>
  <c r="J10"/>
  <c r="E10" i="20"/>
  <c r="E47" i="4"/>
  <c r="J11"/>
  <c r="E11" i="20"/>
  <c r="E57" i="4"/>
  <c r="J12"/>
  <c r="E12" i="20"/>
  <c r="E67" i="4"/>
  <c r="J13"/>
  <c r="E13" i="20"/>
  <c r="E77" i="4"/>
  <c r="J14"/>
  <c r="E14" i="20"/>
  <c r="E87" i="4"/>
  <c r="J15"/>
  <c r="E15" i="20"/>
  <c r="E16"/>
  <c r="E19"/>
  <c r="E7" i="19"/>
  <c r="J7"/>
  <c r="J7" i="20"/>
  <c r="E17" i="19"/>
  <c r="J8"/>
  <c r="J8" i="20"/>
  <c r="E27" i="19"/>
  <c r="J9"/>
  <c r="J9" i="20"/>
  <c r="E37" i="19"/>
  <c r="J10"/>
  <c r="J10" i="20"/>
  <c r="E47" i="19"/>
  <c r="J11"/>
  <c r="J11" i="20"/>
  <c r="E57" i="19"/>
  <c r="J12"/>
  <c r="J12" i="20"/>
  <c r="E67" i="19"/>
  <c r="J13"/>
  <c r="J13" i="20"/>
  <c r="E77" i="19"/>
  <c r="J14"/>
  <c r="J14" i="20"/>
  <c r="E87" i="19"/>
  <c r="J15"/>
  <c r="J15" i="20"/>
  <c r="J16"/>
  <c r="E20"/>
  <c r="E21"/>
  <c r="D7" i="17"/>
  <c r="F7"/>
  <c r="F9"/>
  <c r="D9"/>
  <c r="D22"/>
  <c r="F22"/>
  <c r="F24"/>
  <c r="J18" i="4"/>
  <c r="D23" i="17"/>
  <c r="F23"/>
  <c r="D24"/>
  <c r="G22"/>
  <c r="J45" i="12"/>
  <c r="D13" i="17"/>
  <c r="F13"/>
  <c r="D12"/>
  <c r="F12"/>
  <c r="F14"/>
  <c r="D14"/>
  <c r="G12"/>
  <c r="D18"/>
  <c r="F18"/>
  <c r="D17"/>
  <c r="F17"/>
  <c r="D19"/>
  <c r="G17"/>
  <c r="D7" i="16"/>
  <c r="F7"/>
  <c r="F9"/>
  <c r="D8"/>
  <c r="F8"/>
  <c r="D9"/>
  <c r="D22"/>
  <c r="D9" i="15"/>
  <c r="F9"/>
  <c r="D7"/>
  <c r="F7"/>
  <c r="D8"/>
  <c r="F8"/>
  <c r="F10"/>
  <c r="D10"/>
  <c r="D20"/>
  <c r="F20"/>
  <c r="D19"/>
  <c r="F19"/>
  <c r="D21"/>
  <c r="D25"/>
  <c r="F25"/>
  <c r="D24"/>
  <c r="F24"/>
  <c r="D26"/>
  <c r="D35"/>
  <c r="F35"/>
  <c r="D34"/>
  <c r="F34"/>
  <c r="D36"/>
  <c r="E6" i="3"/>
  <c r="D30" i="15"/>
  <c r="F30"/>
  <c r="D29"/>
  <c r="F29"/>
  <c r="D31"/>
  <c r="L7" i="14"/>
  <c r="K8"/>
  <c r="K20" i="22"/>
  <c r="K9" i="14"/>
  <c r="K21" i="22"/>
  <c r="K10" i="14"/>
  <c r="K22" i="22"/>
  <c r="K11" i="14"/>
  <c r="K23" i="22"/>
  <c r="K12" i="14"/>
  <c r="K24" i="22"/>
  <c r="K13" i="14"/>
  <c r="K25" i="22"/>
  <c r="K14" i="14"/>
  <c r="K26" i="22"/>
  <c r="K15" i="14"/>
  <c r="K27" i="22"/>
  <c r="K16" i="14"/>
  <c r="K28" i="22"/>
  <c r="K17" i="14"/>
  <c r="K29" i="22"/>
  <c r="K18" i="14"/>
  <c r="K30" i="22"/>
  <c r="K19" i="14"/>
  <c r="K31" i="22"/>
  <c r="K20" i="14"/>
  <c r="K32" i="22"/>
  <c r="K21" i="14"/>
  <c r="K33" i="22"/>
  <c r="K22" i="14"/>
  <c r="K34" i="22"/>
  <c r="K23" i="14"/>
  <c r="K35" i="22"/>
  <c r="K24" i="14"/>
  <c r="K36" i="22"/>
  <c r="K25" i="14"/>
  <c r="K37" i="22"/>
  <c r="K26" i="14"/>
  <c r="K38" i="22"/>
  <c r="K7" i="14"/>
  <c r="K19" i="22"/>
  <c r="L7" i="13"/>
  <c r="K8"/>
  <c r="K8" i="22"/>
  <c r="K9" i="13"/>
  <c r="K9" i="22"/>
  <c r="K10" i="13"/>
  <c r="K10" i="22"/>
  <c r="K11" i="13"/>
  <c r="K11" i="22"/>
  <c r="K12" i="13"/>
  <c r="K12" i="22"/>
  <c r="K13" i="13"/>
  <c r="K13" i="22"/>
  <c r="K14" i="13"/>
  <c r="K14" i="22"/>
  <c r="K15" i="13"/>
  <c r="K15" i="22"/>
  <c r="K7" i="13"/>
  <c r="K7" i="22"/>
  <c r="L7" i="12"/>
  <c r="K8"/>
  <c r="F20" i="22"/>
  <c r="K9" i="12"/>
  <c r="F21" i="22"/>
  <c r="K10" i="12"/>
  <c r="F22" i="22"/>
  <c r="K11" i="12"/>
  <c r="F23" i="22"/>
  <c r="K12" i="12"/>
  <c r="F24" i="22"/>
  <c r="K13" i="12"/>
  <c r="F25" i="22"/>
  <c r="K14" i="12"/>
  <c r="F26" i="22"/>
  <c r="K15" i="12"/>
  <c r="F27" i="22"/>
  <c r="K16" i="12"/>
  <c r="F28" i="22"/>
  <c r="K17" i="12"/>
  <c r="F29" i="22"/>
  <c r="K18" i="12"/>
  <c r="F30" i="22"/>
  <c r="K19" i="12"/>
  <c r="F31" i="22"/>
  <c r="K20" i="12"/>
  <c r="F32" i="22"/>
  <c r="K21" i="12"/>
  <c r="F33" i="22"/>
  <c r="K7" i="12"/>
  <c r="F19" i="22"/>
  <c r="L7" i="3"/>
  <c r="F8" i="22"/>
  <c r="F9"/>
  <c r="F10"/>
  <c r="F11"/>
  <c r="F12"/>
  <c r="F13"/>
  <c r="F14"/>
  <c r="F15"/>
  <c r="F7"/>
  <c r="L7"/>
  <c r="I57" i="8"/>
  <c r="J49"/>
  <c r="J50"/>
  <c r="J51"/>
  <c r="J52"/>
  <c r="J53"/>
  <c r="J54"/>
  <c r="J55"/>
  <c r="J56"/>
  <c r="J48"/>
  <c r="I49"/>
  <c r="I50"/>
  <c r="I51"/>
  <c r="I52"/>
  <c r="I53"/>
  <c r="I54"/>
  <c r="I55"/>
  <c r="I56"/>
  <c r="I48"/>
  <c r="I36"/>
  <c r="J30"/>
  <c r="J31"/>
  <c r="J32"/>
  <c r="J33"/>
  <c r="J34"/>
  <c r="J35"/>
  <c r="J29"/>
  <c r="I30"/>
  <c r="I31"/>
  <c r="I32"/>
  <c r="I33"/>
  <c r="I34"/>
  <c r="I35"/>
  <c r="I29"/>
  <c r="E86"/>
  <c r="G19" i="20"/>
  <c r="F20"/>
  <c r="F85" i="8"/>
  <c r="F19" i="20"/>
  <c r="F84" i="8"/>
  <c r="E85"/>
  <c r="E84"/>
  <c r="J18" i="19"/>
  <c r="I80" i="8"/>
  <c r="L7" i="19"/>
  <c r="K8"/>
  <c r="F77" i="8"/>
  <c r="K9" i="19"/>
  <c r="F78" i="8"/>
  <c r="K10" i="19"/>
  <c r="F79" i="8"/>
  <c r="K11" i="19"/>
  <c r="F80" i="8"/>
  <c r="K12" i="19"/>
  <c r="J76" i="8"/>
  <c r="K13" i="19"/>
  <c r="J77" i="8"/>
  <c r="K14" i="19"/>
  <c r="J78" i="8"/>
  <c r="K15" i="19"/>
  <c r="J79" i="8"/>
  <c r="K7" i="19"/>
  <c r="F76" i="8"/>
  <c r="E77"/>
  <c r="E78"/>
  <c r="E79"/>
  <c r="E80"/>
  <c r="I76"/>
  <c r="I77"/>
  <c r="I78"/>
  <c r="I79"/>
  <c r="E76"/>
  <c r="E41"/>
  <c r="E32"/>
  <c r="I72"/>
  <c r="L7" i="4"/>
  <c r="K8"/>
  <c r="F69" i="8"/>
  <c r="K9" i="4"/>
  <c r="F70" i="8"/>
  <c r="K10" i="4"/>
  <c r="F71" i="8"/>
  <c r="K11" i="4"/>
  <c r="F72" i="8"/>
  <c r="K12" i="4"/>
  <c r="J68" i="8"/>
  <c r="K13" i="4"/>
  <c r="J69" i="8"/>
  <c r="K14" i="4"/>
  <c r="J70" i="8"/>
  <c r="K15" i="4"/>
  <c r="J71" i="8"/>
  <c r="K7" i="4"/>
  <c r="F68" i="8"/>
  <c r="E69"/>
  <c r="E70"/>
  <c r="E71"/>
  <c r="E72"/>
  <c r="I68"/>
  <c r="I69"/>
  <c r="I70"/>
  <c r="I71"/>
  <c r="E68"/>
  <c r="F49"/>
  <c r="F50"/>
  <c r="F51"/>
  <c r="F52"/>
  <c r="F53"/>
  <c r="F54"/>
  <c r="F55"/>
  <c r="F56"/>
  <c r="F57"/>
  <c r="F58"/>
  <c r="F48"/>
  <c r="E49"/>
  <c r="E50"/>
  <c r="E51"/>
  <c r="E52"/>
  <c r="E53"/>
  <c r="E54"/>
  <c r="E55"/>
  <c r="E56"/>
  <c r="E57"/>
  <c r="E58"/>
  <c r="E48"/>
  <c r="I44"/>
  <c r="F41"/>
  <c r="F42"/>
  <c r="F43"/>
  <c r="F44"/>
  <c r="J40"/>
  <c r="J41"/>
  <c r="J42"/>
  <c r="J43"/>
  <c r="F40"/>
  <c r="E42"/>
  <c r="E43"/>
  <c r="E44"/>
  <c r="I40"/>
  <c r="I41"/>
  <c r="I42"/>
  <c r="I43"/>
  <c r="E40"/>
  <c r="F30"/>
  <c r="F31"/>
  <c r="F32"/>
  <c r="F33"/>
  <c r="F34"/>
  <c r="F35"/>
  <c r="F36"/>
  <c r="F29"/>
  <c r="E30"/>
  <c r="E31"/>
  <c r="E33"/>
  <c r="E34"/>
  <c r="E35"/>
  <c r="E36"/>
  <c r="E29"/>
  <c r="I25"/>
  <c r="F22"/>
  <c r="F23"/>
  <c r="F24"/>
  <c r="F25"/>
  <c r="J21"/>
  <c r="J22"/>
  <c r="J23"/>
  <c r="J24"/>
  <c r="F21"/>
  <c r="E22"/>
  <c r="E23"/>
  <c r="E24"/>
  <c r="E25"/>
  <c r="I21"/>
  <c r="I22"/>
  <c r="I23"/>
  <c r="I24"/>
  <c r="E21"/>
  <c r="D17" i="16"/>
  <c r="F17"/>
  <c r="F19"/>
  <c r="D18"/>
  <c r="F18"/>
  <c r="D19"/>
  <c r="D24"/>
  <c r="D12"/>
  <c r="F12"/>
  <c r="F14"/>
  <c r="D13"/>
  <c r="F13"/>
  <c r="D14"/>
  <c r="D23"/>
  <c r="F42" i="18"/>
  <c r="F43"/>
  <c r="D44"/>
  <c r="G42"/>
  <c r="F37"/>
  <c r="F39"/>
  <c r="F38"/>
  <c r="D39"/>
  <c r="G37"/>
  <c r="F32"/>
  <c r="F34"/>
  <c r="F33"/>
  <c r="D34"/>
  <c r="G32"/>
  <c r="F27"/>
  <c r="F29"/>
  <c r="F28"/>
  <c r="D29"/>
  <c r="G27"/>
  <c r="F17"/>
  <c r="F18"/>
  <c r="F19"/>
  <c r="D19"/>
  <c r="G17"/>
  <c r="G7" i="16"/>
  <c r="F22"/>
  <c r="F23"/>
  <c r="F24"/>
  <c r="D25"/>
  <c r="G22"/>
  <c r="G17"/>
  <c r="G12"/>
  <c r="F21" i="18"/>
  <c r="E23"/>
  <c r="E22"/>
  <c r="G7" i="17"/>
  <c r="G7" i="5"/>
  <c r="G12"/>
  <c r="G17"/>
  <c r="G23"/>
  <c r="F22"/>
  <c r="G34" i="15"/>
  <c r="G29"/>
  <c r="G24"/>
  <c r="G19"/>
  <c r="G7"/>
  <c r="M38" i="6"/>
  <c r="E6" i="12"/>
  <c r="M39" i="6"/>
  <c r="M40"/>
  <c r="E6" i="14"/>
  <c r="M41" i="6"/>
  <c r="M42"/>
  <c r="N41"/>
  <c r="N40"/>
  <c r="N39"/>
  <c r="N38"/>
  <c r="L41"/>
  <c r="L40"/>
  <c r="L39"/>
  <c r="L38"/>
  <c r="F38" i="15"/>
  <c r="E39"/>
  <c r="E40"/>
  <c r="F8" i="20"/>
  <c r="F9"/>
  <c r="F10"/>
  <c r="F11"/>
  <c r="F12"/>
  <c r="F13"/>
  <c r="F14"/>
  <c r="F15"/>
  <c r="F7"/>
  <c r="K8"/>
  <c r="K9"/>
  <c r="K10"/>
  <c r="K11"/>
  <c r="K12"/>
  <c r="K13"/>
  <c r="K14"/>
  <c r="K15"/>
  <c r="K7"/>
  <c r="F96" i="19"/>
  <c r="F84"/>
  <c r="F83"/>
  <c r="F80"/>
  <c r="F79"/>
  <c r="F86"/>
  <c r="F76"/>
  <c r="F64"/>
  <c r="F63"/>
  <c r="F60"/>
  <c r="F59"/>
  <c r="F66"/>
  <c r="F56"/>
  <c r="F44"/>
  <c r="F43"/>
  <c r="F40"/>
  <c r="F39"/>
  <c r="F46"/>
  <c r="F34"/>
  <c r="F23"/>
  <c r="F19"/>
  <c r="F20"/>
  <c r="F11"/>
  <c r="F89" i="4"/>
  <c r="F81"/>
  <c r="F69"/>
  <c r="F66"/>
  <c r="F61"/>
  <c r="F49"/>
  <c r="F41"/>
  <c r="F29"/>
  <c r="F19"/>
  <c r="F9"/>
  <c r="F8" i="19"/>
  <c r="F31"/>
  <c r="F51"/>
  <c r="F75"/>
  <c r="F95"/>
  <c r="F24"/>
  <c r="F36"/>
  <c r="F10"/>
  <c r="F14"/>
  <c r="F18"/>
  <c r="F21"/>
  <c r="F25"/>
  <c r="F29"/>
  <c r="F33"/>
  <c r="F41"/>
  <c r="F45"/>
  <c r="F49"/>
  <c r="F53"/>
  <c r="F61"/>
  <c r="F65"/>
  <c r="F69"/>
  <c r="F73"/>
  <c r="F81"/>
  <c r="F85"/>
  <c r="F89"/>
  <c r="F93"/>
  <c r="F16"/>
  <c r="F35"/>
  <c r="F55"/>
  <c r="F71"/>
  <c r="F91"/>
  <c r="F15"/>
  <c r="F28"/>
  <c r="F32"/>
  <c r="E6"/>
  <c r="F9"/>
  <c r="F13"/>
  <c r="F22"/>
  <c r="F26"/>
  <c r="F30"/>
  <c r="F38"/>
  <c r="F42"/>
  <c r="F50"/>
  <c r="F54"/>
  <c r="F58"/>
  <c r="F62"/>
  <c r="F70"/>
  <c r="F74"/>
  <c r="F78"/>
  <c r="F82"/>
  <c r="F90"/>
  <c r="F94"/>
  <c r="F12"/>
  <c r="F48"/>
  <c r="F52"/>
  <c r="F68"/>
  <c r="F72"/>
  <c r="F88"/>
  <c r="F92"/>
  <c r="F86" i="4"/>
  <c r="E6"/>
  <c r="F20"/>
  <c r="F46"/>
  <c r="F24"/>
  <c r="F42"/>
  <c r="F62"/>
  <c r="F82"/>
  <c r="F50"/>
  <c r="F74"/>
  <c r="F32"/>
  <c r="F44"/>
  <c r="F40"/>
  <c r="F56"/>
  <c r="F52"/>
  <c r="F84"/>
  <c r="F80"/>
  <c r="F96"/>
  <c r="F92"/>
  <c r="F10"/>
  <c r="F30"/>
  <c r="F16"/>
  <c r="F12"/>
  <c r="F36"/>
  <c r="F26"/>
  <c r="F22"/>
  <c r="F64"/>
  <c r="F60"/>
  <c r="F76"/>
  <c r="F72"/>
  <c r="F15"/>
  <c r="F11"/>
  <c r="F18"/>
  <c r="F35"/>
  <c r="F31"/>
  <c r="F25"/>
  <c r="F21"/>
  <c r="F38"/>
  <c r="F43"/>
  <c r="F39"/>
  <c r="F55"/>
  <c r="F51"/>
  <c r="F58"/>
  <c r="F63"/>
  <c r="F59"/>
  <c r="F75"/>
  <c r="F71"/>
  <c r="F78"/>
  <c r="F83"/>
  <c r="F79"/>
  <c r="F95"/>
  <c r="F91"/>
  <c r="F14"/>
  <c r="F34"/>
  <c r="F54"/>
  <c r="F70"/>
  <c r="F94"/>
  <c r="F90"/>
  <c r="F8"/>
  <c r="F13"/>
  <c r="F28"/>
  <c r="F33"/>
  <c r="F23"/>
  <c r="F45"/>
  <c r="F48"/>
  <c r="F53"/>
  <c r="F65"/>
  <c r="F68"/>
  <c r="F73"/>
  <c r="F85"/>
  <c r="F88"/>
  <c r="F93"/>
  <c r="J41" i="14"/>
  <c r="J42"/>
  <c r="J43"/>
  <c r="K42"/>
  <c r="K30"/>
  <c r="J18" i="13"/>
  <c r="J19"/>
  <c r="J20"/>
  <c r="J21"/>
  <c r="J22"/>
  <c r="J23"/>
  <c r="J24"/>
  <c r="K46" i="14"/>
  <c r="K52"/>
  <c r="K41"/>
  <c r="K31"/>
  <c r="K33"/>
  <c r="K35"/>
  <c r="K37"/>
  <c r="K54"/>
  <c r="K53"/>
  <c r="K51"/>
  <c r="F200"/>
  <c r="F190"/>
  <c r="F180"/>
  <c r="F169"/>
  <c r="F160"/>
  <c r="F149"/>
  <c r="F230"/>
  <c r="F232"/>
  <c r="F119"/>
  <c r="F111"/>
  <c r="F99"/>
  <c r="F91"/>
  <c r="F79"/>
  <c r="F71"/>
  <c r="F60"/>
  <c r="F52"/>
  <c r="F40"/>
  <c r="F32"/>
  <c r="F20"/>
  <c r="F89" i="13"/>
  <c r="F90"/>
  <c r="F91"/>
  <c r="F92"/>
  <c r="F93"/>
  <c r="F94"/>
  <c r="F95"/>
  <c r="F96"/>
  <c r="F88"/>
  <c r="F79"/>
  <c r="F80"/>
  <c r="F81"/>
  <c r="F82"/>
  <c r="F83"/>
  <c r="F84"/>
  <c r="F85"/>
  <c r="F86"/>
  <c r="F78"/>
  <c r="F69"/>
  <c r="F70"/>
  <c r="F71"/>
  <c r="F72"/>
  <c r="F73"/>
  <c r="F74"/>
  <c r="F75"/>
  <c r="F76"/>
  <c r="F68"/>
  <c r="F59"/>
  <c r="F60"/>
  <c r="F61"/>
  <c r="F62"/>
  <c r="F63"/>
  <c r="F64"/>
  <c r="F65"/>
  <c r="F66"/>
  <c r="F58"/>
  <c r="F49"/>
  <c r="F50"/>
  <c r="F51"/>
  <c r="F52"/>
  <c r="F53"/>
  <c r="F54"/>
  <c r="F55"/>
  <c r="F56"/>
  <c r="F48"/>
  <c r="F39"/>
  <c r="F40"/>
  <c r="F41"/>
  <c r="F42"/>
  <c r="F43"/>
  <c r="F44"/>
  <c r="F45"/>
  <c r="F46"/>
  <c r="F38"/>
  <c r="F29"/>
  <c r="F30"/>
  <c r="F31"/>
  <c r="F32"/>
  <c r="F33"/>
  <c r="F34"/>
  <c r="F35"/>
  <c r="F36"/>
  <c r="F28"/>
  <c r="F19"/>
  <c r="F20"/>
  <c r="F21"/>
  <c r="F22"/>
  <c r="F23"/>
  <c r="F24"/>
  <c r="F25"/>
  <c r="F26"/>
  <c r="F18"/>
  <c r="F9"/>
  <c r="F10"/>
  <c r="F11"/>
  <c r="F12"/>
  <c r="F13"/>
  <c r="F14"/>
  <c r="F15"/>
  <c r="F16"/>
  <c r="F8"/>
  <c r="F149" i="12"/>
  <c r="F92" i="3"/>
  <c r="F96"/>
  <c r="F89"/>
  <c r="F82"/>
  <c r="F79"/>
  <c r="F69"/>
  <c r="F65"/>
  <c r="F60"/>
  <c r="F51"/>
  <c r="F39"/>
  <c r="F29"/>
  <c r="F20"/>
  <c r="K36" i="14"/>
  <c r="K32"/>
  <c r="K29"/>
  <c r="K34"/>
  <c r="F154" i="12"/>
  <c r="F156"/>
  <c r="F152"/>
  <c r="F150"/>
  <c r="F176" i="14"/>
  <c r="F175"/>
  <c r="F198"/>
  <c r="F172"/>
  <c r="F183"/>
  <c r="F203"/>
  <c r="F171"/>
  <c r="F179"/>
  <c r="F199"/>
  <c r="K50"/>
  <c r="F193"/>
  <c r="F189"/>
  <c r="F128"/>
  <c r="F146"/>
  <c r="F174"/>
  <c r="F170"/>
  <c r="F186"/>
  <c r="F182"/>
  <c r="F196"/>
  <c r="F192"/>
  <c r="F178"/>
  <c r="F206"/>
  <c r="F202"/>
  <c r="F143"/>
  <c r="F168"/>
  <c r="F173"/>
  <c r="F185"/>
  <c r="F181"/>
  <c r="F195"/>
  <c r="F191"/>
  <c r="F188"/>
  <c r="F205"/>
  <c r="F201"/>
  <c r="K49"/>
  <c r="F184"/>
  <c r="F194"/>
  <c r="F204"/>
  <c r="F142"/>
  <c r="F158"/>
  <c r="F138"/>
  <c r="F139"/>
  <c r="F163"/>
  <c r="F159"/>
  <c r="F126"/>
  <c r="F145"/>
  <c r="F141"/>
  <c r="F229"/>
  <c r="F166"/>
  <c r="F162"/>
  <c r="F125"/>
  <c r="K47"/>
  <c r="F144"/>
  <c r="F140"/>
  <c r="F165"/>
  <c r="F161"/>
  <c r="K48"/>
  <c r="F164"/>
  <c r="F155"/>
  <c r="F151"/>
  <c r="F156"/>
  <c r="F152"/>
  <c r="F154"/>
  <c r="F150"/>
  <c r="F148"/>
  <c r="F153"/>
  <c r="F122"/>
  <c r="F133"/>
  <c r="F121"/>
  <c r="F129"/>
  <c r="F124"/>
  <c r="F120"/>
  <c r="F136"/>
  <c r="F132"/>
  <c r="F118"/>
  <c r="F123"/>
  <c r="F135"/>
  <c r="F131"/>
  <c r="F134"/>
  <c r="F130"/>
  <c r="F231"/>
  <c r="F82"/>
  <c r="F26"/>
  <c r="F46"/>
  <c r="F66"/>
  <c r="F78"/>
  <c r="F81"/>
  <c r="F106"/>
  <c r="F22"/>
  <c r="F42"/>
  <c r="F62"/>
  <c r="F85"/>
  <c r="F80"/>
  <c r="F105"/>
  <c r="F113"/>
  <c r="F84"/>
  <c r="F86"/>
  <c r="F101"/>
  <c r="F109"/>
  <c r="F10"/>
  <c r="F34"/>
  <c r="F54"/>
  <c r="F73"/>
  <c r="F93"/>
  <c r="F15"/>
  <c r="F11"/>
  <c r="F18"/>
  <c r="F23"/>
  <c r="F19"/>
  <c r="F35"/>
  <c r="F31"/>
  <c r="F38"/>
  <c r="F43"/>
  <c r="F39"/>
  <c r="F55"/>
  <c r="F51"/>
  <c r="F58"/>
  <c r="F63"/>
  <c r="F59"/>
  <c r="F74"/>
  <c r="F70"/>
  <c r="F76"/>
  <c r="F94"/>
  <c r="F90"/>
  <c r="F98"/>
  <c r="F102"/>
  <c r="F114"/>
  <c r="F110"/>
  <c r="F30"/>
  <c r="F8"/>
  <c r="F13"/>
  <c r="F9"/>
  <c r="F25"/>
  <c r="F21"/>
  <c r="F28"/>
  <c r="F33"/>
  <c r="F29"/>
  <c r="F45"/>
  <c r="F41"/>
  <c r="F48"/>
  <c r="F53"/>
  <c r="F49"/>
  <c r="F65"/>
  <c r="F61"/>
  <c r="F68"/>
  <c r="F72"/>
  <c r="F83"/>
  <c r="F88"/>
  <c r="F92"/>
  <c r="F96"/>
  <c r="F104"/>
  <c r="F100"/>
  <c r="F108"/>
  <c r="F112"/>
  <c r="F116"/>
  <c r="F14"/>
  <c r="F50"/>
  <c r="F69"/>
  <c r="F89"/>
  <c r="F16"/>
  <c r="F12"/>
  <c r="F24"/>
  <c r="F36"/>
  <c r="F44"/>
  <c r="F56"/>
  <c r="F64"/>
  <c r="F75"/>
  <c r="F95"/>
  <c r="F103"/>
  <c r="F115"/>
  <c r="F155" i="12"/>
  <c r="F151"/>
  <c r="F148"/>
  <c r="F153"/>
  <c r="F8"/>
  <c r="F95" i="3"/>
  <c r="F91"/>
  <c r="F94"/>
  <c r="F90"/>
  <c r="F86"/>
  <c r="F88"/>
  <c r="F93"/>
  <c r="F63"/>
  <c r="F85"/>
  <c r="F81"/>
  <c r="F61"/>
  <c r="F84"/>
  <c r="F80"/>
  <c r="F58"/>
  <c r="F59"/>
  <c r="F78"/>
  <c r="F83"/>
  <c r="F76"/>
  <c r="F72"/>
  <c r="F42"/>
  <c r="F66"/>
  <c r="F62"/>
  <c r="F75"/>
  <c r="F71"/>
  <c r="F74"/>
  <c r="F70"/>
  <c r="F64"/>
  <c r="F68"/>
  <c r="F73"/>
  <c r="F50"/>
  <c r="F48"/>
  <c r="F53"/>
  <c r="F49"/>
  <c r="F54"/>
  <c r="F56"/>
  <c r="F52"/>
  <c r="F55"/>
  <c r="F22"/>
  <c r="F46"/>
  <c r="F31"/>
  <c r="F45"/>
  <c r="F41"/>
  <c r="F44"/>
  <c r="F40"/>
  <c r="F26"/>
  <c r="F35"/>
  <c r="F38"/>
  <c r="F43"/>
  <c r="F25"/>
  <c r="F21"/>
  <c r="F18"/>
  <c r="F23"/>
  <c r="F19"/>
  <c r="F36"/>
  <c r="F32"/>
  <c r="F34"/>
  <c r="F30"/>
  <c r="F24"/>
  <c r="F28"/>
  <c r="F33"/>
  <c r="F10"/>
  <c r="F8"/>
  <c r="F13"/>
  <c r="F9"/>
  <c r="F15"/>
  <c r="F11"/>
  <c r="F14"/>
  <c r="F16"/>
  <c r="F12"/>
  <c r="F84" i="12"/>
  <c r="F85"/>
  <c r="F86"/>
  <c r="F11"/>
  <c r="K39"/>
  <c r="F49"/>
  <c r="F99"/>
  <c r="F19"/>
  <c r="F110"/>
  <c r="F59"/>
  <c r="F29"/>
  <c r="F69"/>
  <c r="F119"/>
  <c r="F139"/>
  <c r="F39"/>
  <c r="F79"/>
  <c r="F89"/>
  <c r="F129"/>
  <c r="K21" i="13"/>
  <c r="F108" i="12"/>
  <c r="F141"/>
  <c r="F109"/>
  <c r="F145"/>
  <c r="F125"/>
  <c r="F146"/>
  <c r="F142"/>
  <c r="F144"/>
  <c r="F140"/>
  <c r="F138"/>
  <c r="F143"/>
  <c r="F136"/>
  <c r="F132"/>
  <c r="F115"/>
  <c r="F121"/>
  <c r="F135"/>
  <c r="F131"/>
  <c r="F134"/>
  <c r="F130"/>
  <c r="F128"/>
  <c r="F133"/>
  <c r="F111"/>
  <c r="F126"/>
  <c r="F122"/>
  <c r="F124"/>
  <c r="F120"/>
  <c r="F102"/>
  <c r="F113"/>
  <c r="F118"/>
  <c r="F123"/>
  <c r="F72"/>
  <c r="F106"/>
  <c r="F116"/>
  <c r="F112"/>
  <c r="F58"/>
  <c r="F96"/>
  <c r="F114"/>
  <c r="F92"/>
  <c r="F105"/>
  <c r="F101"/>
  <c r="F104"/>
  <c r="F100"/>
  <c r="F98"/>
  <c r="F103"/>
  <c r="F81"/>
  <c r="F95"/>
  <c r="F91"/>
  <c r="F94"/>
  <c r="F90"/>
  <c r="F88"/>
  <c r="F93"/>
  <c r="F76"/>
  <c r="F82"/>
  <c r="F63"/>
  <c r="F80"/>
  <c r="F78"/>
  <c r="F83"/>
  <c r="F61"/>
  <c r="F75"/>
  <c r="F71"/>
  <c r="F74"/>
  <c r="F70"/>
  <c r="F65"/>
  <c r="F68"/>
  <c r="F73"/>
  <c r="F66"/>
  <c r="F62"/>
  <c r="F64"/>
  <c r="F60"/>
  <c r="F56"/>
  <c r="F52"/>
  <c r="F55"/>
  <c r="F51"/>
  <c r="F54"/>
  <c r="F50"/>
  <c r="F48"/>
  <c r="F53"/>
  <c r="F25"/>
  <c r="F45"/>
  <c r="F46"/>
  <c r="F42"/>
  <c r="F44"/>
  <c r="F40"/>
  <c r="F41"/>
  <c r="F38"/>
  <c r="F43"/>
  <c r="F36"/>
  <c r="F32"/>
  <c r="F21"/>
  <c r="F35"/>
  <c r="F31"/>
  <c r="F34"/>
  <c r="F30"/>
  <c r="F28"/>
  <c r="F33"/>
  <c r="F26"/>
  <c r="F22"/>
  <c r="F24"/>
  <c r="F20"/>
  <c r="F18"/>
  <c r="F23"/>
  <c r="F14"/>
  <c r="F10"/>
  <c r="F13"/>
  <c r="F9"/>
  <c r="F16"/>
  <c r="F12"/>
  <c r="F15"/>
  <c r="K38"/>
  <c r="K34"/>
  <c r="K40"/>
  <c r="K33"/>
  <c r="K36"/>
  <c r="K35"/>
  <c r="K41"/>
  <c r="K37"/>
  <c r="K22" i="13"/>
  <c r="K18"/>
  <c r="K19"/>
  <c r="K20"/>
  <c r="K23"/>
  <c r="F31" i="18"/>
  <c r="F30" i="17"/>
  <c r="F16"/>
  <c r="F6"/>
  <c r="E7"/>
  <c r="F11"/>
  <c r="F16" i="16"/>
  <c r="F11"/>
  <c r="E13"/>
  <c r="V8" i="15"/>
  <c r="V7"/>
  <c r="C61" i="9"/>
  <c r="C62"/>
  <c r="C63"/>
  <c r="C64"/>
  <c r="C65"/>
  <c r="C66"/>
  <c r="C67"/>
  <c r="C68"/>
  <c r="C69"/>
  <c r="C70"/>
  <c r="C71"/>
  <c r="C72"/>
  <c r="C73"/>
  <c r="C74"/>
  <c r="C60"/>
  <c r="C8"/>
  <c r="F41" i="18"/>
  <c r="E43"/>
  <c r="E18" i="17"/>
  <c r="E17"/>
  <c r="E13"/>
  <c r="E12"/>
  <c r="E8"/>
  <c r="F21"/>
  <c r="E22"/>
  <c r="E17" i="16"/>
  <c r="E18"/>
  <c r="F21"/>
  <c r="F6" i="5"/>
  <c r="E7"/>
  <c r="E24"/>
  <c r="E33" i="18"/>
  <c r="E32"/>
  <c r="F11"/>
  <c r="E12"/>
  <c r="F6"/>
  <c r="E7"/>
  <c r="F16"/>
  <c r="E17"/>
  <c r="F26"/>
  <c r="E28"/>
  <c r="F36"/>
  <c r="E38"/>
  <c r="F6" i="16"/>
  <c r="E12"/>
  <c r="F16" i="5"/>
  <c r="F11"/>
  <c r="F6" i="15"/>
  <c r="F23"/>
  <c r="F33"/>
  <c r="E34"/>
  <c r="F12"/>
  <c r="E14"/>
  <c r="V6"/>
  <c r="F28"/>
  <c r="E19"/>
  <c r="E20"/>
  <c r="E29"/>
  <c r="E30"/>
  <c r="E25"/>
  <c r="E24"/>
  <c r="E8"/>
  <c r="E9"/>
  <c r="E7"/>
  <c r="E35"/>
  <c r="E42" i="18"/>
  <c r="E13"/>
  <c r="E26" i="5"/>
  <c r="E18" i="18"/>
  <c r="E8"/>
  <c r="E23" i="17"/>
  <c r="E24" i="16"/>
  <c r="E23"/>
  <c r="E22"/>
  <c r="E7"/>
  <c r="E8"/>
  <c r="E23" i="5"/>
  <c r="E8"/>
  <c r="E25"/>
  <c r="E15" i="15"/>
  <c r="E13"/>
  <c r="E27" i="18"/>
  <c r="E37"/>
  <c r="E13" i="5"/>
  <c r="E12"/>
  <c r="E17"/>
  <c r="E18"/>
  <c r="E19"/>
  <c r="K24" i="12"/>
  <c r="K26"/>
  <c r="K28"/>
  <c r="K25"/>
  <c r="K27"/>
  <c r="K29"/>
</calcChain>
</file>

<file path=xl/comments1.xml><?xml version="1.0" encoding="utf-8"?>
<comments xmlns="http://schemas.openxmlformats.org/spreadsheetml/2006/main">
  <authors>
    <author>Leonardo</author>
  </authors>
  <commentList>
    <comment ref="D6" authorId="0">
      <text>
        <r>
          <rPr>
            <b/>
            <sz val="9"/>
            <color indexed="81"/>
            <rFont val="Segoe UI"/>
            <family val="2"/>
          </rPr>
          <t xml:space="preserve">
O Ativo Circulante agrupa dinheiro e tudo o que será transformado em dinheiro rapidamente. São contas que estão constantemente em giro, movimento, circulação.
Neste grupo são registrados os bens e direitos que a empresa consegue realizar (transformar) em dinheiro até o final do exercício seguinte, ou seja, no curto prazo.
Ex: Uma empresa cujo exercício social encerre em 31 de dezembro, ao realizar o encerramento do exercício de 31 de dezembro de 2006, deverá classificar no curto prazo (ativo circulante) todos os valores realizáveis até 31 de dezembro de 2007.
OBS.: As contas de direitos classificadas nesse grupo se transformarão em dinheiro aumentando o caixa da empresa (ex.: Clientes) ou diminuindo pagamentos pendentes (ex.: Adiantamento a fornecedores).</t>
        </r>
      </text>
    </comment>
  </commentList>
</comments>
</file>

<file path=xl/comments2.xml><?xml version="1.0" encoding="utf-8"?>
<comments xmlns="http://schemas.openxmlformats.org/spreadsheetml/2006/main">
  <authors>
    <author>Leonardo</author>
  </authors>
  <commentList>
    <comment ref="D6" authorId="0">
      <text>
        <r>
          <rPr>
            <b/>
            <sz val="9"/>
            <color indexed="81"/>
            <rFont val="Segoe UI"/>
            <family val="2"/>
          </rPr>
          <t xml:space="preserve">
São registrados os direitos que serão realizados (transformados em dinheiro) após o final do exercício seguinte (longo prazo), assim como os bens de uso (veículos, máquinas, etc.) e de renda  da empresa (aluguéis, imóveis para vendas, etc.).
Ou seja, no Não Circulante são incluídos todos os bens de natureza duradoura destinados ao funcionamento normal da sociedade e do seu empreendimento, assim como os direitos exercidos com essa finalidade.
OBS.: As contas que aparecem em um Balanço Patrimonial apurado dia 31/12/12, no grupo Ativo Não Circulante, poderão ser transformadas em dinheiro somente após o dia 31/12/13, pois encontram-se no longo prazo.</t>
        </r>
      </text>
    </comment>
  </commentList>
</comments>
</file>

<file path=xl/comments3.xml><?xml version="1.0" encoding="utf-8"?>
<comments xmlns="http://schemas.openxmlformats.org/spreadsheetml/2006/main">
  <authors>
    <author>Leonardo</author>
  </authors>
  <commentList>
    <comment ref="D6" authorId="0">
      <text>
        <r>
          <rPr>
            <b/>
            <sz val="9"/>
            <color indexed="81"/>
            <rFont val="Segoe UI"/>
            <family val="2"/>
          </rPr>
          <t xml:space="preserve">
São registrados os direitos que serão realizados (transformados em dinheiro) após o final do exercício seguinte (longo prazo), assim como os bens de uso (veículos, máquinas, etc.) e de renda  da empresa (aluguéis, imóveis para vendas, etc.).
Ou seja, no Não Circulante são incluídos todos os bens de natureza duradoura destinados ao funcionamento normal da sociedade e do seu empreendimento, assim como os direitos exercidos com essa finalidade.
OBS.: As contas que aparecem em um Balanço Patrimonial apurado dia 31/12/12, no grupo Ativo Não Circulante, poderão ser transformadas em dinheiro somente após o dia 31/12/13, pois encontram-se no longo prazo.
O Ativo Não Circulante está dividido em 4 grupos: Realizável a longo prazo, Investimentos, Imobilizado e Intangível.</t>
        </r>
      </text>
    </comment>
  </commentList>
</comments>
</file>

<file path=xl/comments4.xml><?xml version="1.0" encoding="utf-8"?>
<comments xmlns="http://schemas.openxmlformats.org/spreadsheetml/2006/main">
  <authors>
    <author>Leonardo</author>
  </authors>
  <commentList>
    <comment ref="D6" authorId="0">
      <text>
        <r>
          <rPr>
            <b/>
            <sz val="9"/>
            <color indexed="81"/>
            <rFont val="Segoe UI"/>
            <family val="2"/>
          </rPr>
          <t xml:space="preserve">
São registrados os direitos que serão realizados (transformados em dinheiro) após o final do exercício seguinte (longo prazo), assim como os bens de uso (veículos, máquinas, etc.) e de renda  da empresa (aluguéis, imóveis para vendas, etc.).
Ou seja, no Não Circulante são incluídos todos os bens de natureza duradoura destinados ao funcionamento normal da sociedade e do seu empreendimento, assim como os direitos exercidos com essa finalidade.
OBS.: As contas que aparecem em um Balanço Patrimonial apurado dia 31/12/12, no grupo Ativo Não Circulante, poderão ser transformadas em dinheiro somente após o dia 31/12/13, pois encontram-se no longo prazo.
O Ativo Não Circulante está dividido em 4 grupos: Realizável a longo prazo, Investimentos, Imobilizado e Intangível.</t>
        </r>
      </text>
    </comment>
  </commentList>
</comments>
</file>

<file path=xl/comments5.xml><?xml version="1.0" encoding="utf-8"?>
<comments xmlns="http://schemas.openxmlformats.org/spreadsheetml/2006/main">
  <authors>
    <author>Leonardo</author>
  </authors>
  <commentList>
    <comment ref="C6" authorId="0">
      <text>
        <r>
          <rPr>
            <b/>
            <sz val="9"/>
            <color indexed="81"/>
            <rFont val="Segoe UI"/>
            <family val="2"/>
          </rPr>
          <t xml:space="preserve">
Este índice reflete parte dos recursos próprios constantes do PATRIMÔNIO LÍQUIDO, que seria utilizado para pagamento dos recursos de terceiros representados pelo PASSIVO CIRCULANTE somado ao EXIGÍVEL DE LONGO PRAZO.
Formula = PASSIVO CIRCULANTE + EXIGÍVEL DE LONGO PRAZO / PATRIMÔNIO LÍQUIDO</t>
        </r>
      </text>
    </comment>
    <comment ref="C12" authorId="0">
      <text>
        <r>
          <rPr>
            <b/>
            <sz val="9"/>
            <color indexed="81"/>
            <rFont val="Segoe UI"/>
            <family val="2"/>
          </rPr>
          <t xml:space="preserve">
Este índice refletirá o endividamento através do sistema financeiro em relação ao Passivo, representado pelo PASSIVO CIRCULANTE somado ao EXIGÍVEL DE LONGO PRAZO, que é igual ao endividamento total.
Formula = Obrigações Financeiras / (PASSIVO CIRCULANTE + EXIGÍVEL DE LONGO PRAZO).
</t>
        </r>
      </text>
    </comment>
    <comment ref="C18" authorId="0">
      <text>
        <r>
          <rPr>
            <b/>
            <sz val="9"/>
            <color indexed="81"/>
            <rFont val="Segoe UI"/>
            <family val="2"/>
          </rPr>
          <t xml:space="preserve">
O resultado da formula a seguir refletira o índice de endividamento, com o prazo para pagamento de até um ano, em relação ao capital próprio investido, constante do PATRIMÔNIO LÍQUIDO.
Formula = PASSIVO CIRCULANTE / PATRIMÔNIO LÍQUIDO</t>
        </r>
      </text>
    </comment>
    <comment ref="C23" authorId="0">
      <text>
        <r>
          <rPr>
            <b/>
            <sz val="9"/>
            <color indexed="81"/>
            <rFont val="Segoe UI"/>
            <family val="2"/>
          </rPr>
          <t xml:space="preserve">
Esta índice refletira o percentual (se multiplicado por 100) de endividamento em relação ao PATRIMÔNIO LÍQUIDO.
Formula = Obrigações Financeiras / PATRIMÔNIO LÍQUIDO
</t>
        </r>
      </text>
    </comment>
    <comment ref="C28" authorId="0">
      <text>
        <r>
          <rPr>
            <b/>
            <sz val="9"/>
            <color indexed="81"/>
            <rFont val="Segoe UI"/>
            <family val="2"/>
          </rPr>
          <t xml:space="preserve">
Este índice refletira qual o percentual (se multiplico por 100) do Ativo Circulante está sendo financiado por recursos onerosos de curto prazo, que são as Obrigações Financeiras de Curto Prazo, constantes do Passivo Circulante.
Formula = Obrigações Financeiras (PASSIVO CIRCULANTE) / ATIVO CIRCULANTE
</t>
        </r>
      </text>
    </comment>
    <comment ref="C33" authorId="0">
      <text>
        <r>
          <rPr>
            <b/>
            <sz val="9"/>
            <color indexed="81"/>
            <rFont val="Segoe UI"/>
            <family val="2"/>
          </rPr>
          <t xml:space="preserve">
Este índice refletira o percentual (se multiplicado por 100) do valor das duplicatas a receber de clientes que foram utilizar para obter empréstimos bancários na modalidade de Descontadas de Duplicatas. 
Formula = Duplicatas Descontadas / Duplicatas a Receber
</t>
        </r>
      </text>
    </comment>
    <comment ref="C38" authorId="0">
      <text>
        <r>
          <rPr>
            <b/>
            <sz val="9"/>
            <color indexed="81"/>
            <rFont val="Segoe UI"/>
            <family val="2"/>
          </rPr>
          <t xml:space="preserve">
O Índice mostra o percentual (se multiplicado por 100) do Patrimônio Líquido que se encontra aplicado no Ativo Permanente. 
Formula = ATIVO PERMANENTE / PATRIMÔNIO LÍQUIDO 
</t>
        </r>
      </text>
    </comment>
  </commentList>
</comments>
</file>

<file path=xl/comments6.xml><?xml version="1.0" encoding="utf-8"?>
<comments xmlns="http://schemas.openxmlformats.org/spreadsheetml/2006/main">
  <authors>
    <author>Leonardo</author>
  </authors>
  <commentList>
    <comment ref="C6" authorId="0">
      <text>
        <r>
          <rPr>
            <b/>
            <sz val="9"/>
            <color indexed="81"/>
            <rFont val="Segoe UI"/>
            <family val="2"/>
          </rPr>
          <t xml:space="preserve">
Este índice reflete a capacidade de pagamento de dívidas da empresa no curto prazo. Indica quanto a empresa possui de ativos realizáveis no curto prazo de cada unidade monetária da dívida com terceiros também no curto prazo.
Formula = ATIVO CIRCULANTE / PASSIVO CIRCULANTE 
</t>
        </r>
      </text>
    </comment>
    <comment ref="C11" authorId="0">
      <text>
        <r>
          <rPr>
            <b/>
            <sz val="9"/>
            <color indexed="81"/>
            <rFont val="Segoe UI"/>
            <family val="2"/>
          </rPr>
          <t xml:space="preserve">
Este índice tem q finalidade de refletir a capacidade de pagamento de dívidas no curto prazo, considerando a hipótese de que todo o Passivo Circulante da empresa vence no primeiro dia útil seguinte à data de encerramento do balanço.
Formula = DISPONÍVEL (Caixa + Bancos Conta Movimento + Aplicações Financeiras (aplicações em ouro, títulos de liquidação imediata e moedas estrangeiras) / PASSIVO CIRCULANTE
</t>
        </r>
      </text>
    </comment>
    <comment ref="C16" authorId="0">
      <text>
        <r>
          <rPr>
            <b/>
            <sz val="9"/>
            <color indexed="81"/>
            <rFont val="Segoe UI"/>
            <family val="2"/>
          </rPr>
          <t xml:space="preserve">
Este índice tem a finalidade de refletir a capacidade de pagamento de obrigações passivas de curto prazo, considerando a hipótese da empresa não conseguir vender seus estoques.
Formula = (ATIVO CIRCULANTE – Estoques) / PASSIVO CIRCULANTE 
</t>
        </r>
      </text>
    </comment>
    <comment ref="C22" authorId="0">
      <text>
        <r>
          <rPr>
            <b/>
            <sz val="9"/>
            <color indexed="81"/>
            <rFont val="Segoe UI"/>
            <family val="2"/>
          </rPr>
          <t xml:space="preserve">
Este índice tem a finalidade de refletir a capacidade de pagamento de dívidas da empresa a longo prazo. Indica quanto a empresa possui de ativos realizáveis no curto e longo prazos para cada unidade monetária da dívida assumida com terceiros também de curto e longo prazos.
Formula = (ATIVO CIRCULANTE + REALIZAVEL A LONGO PRAZO) / (PASSIVO CIRCULANTE + ELEGÍVEL DE LONGO PRAZO)
</t>
        </r>
      </text>
    </comment>
  </commentList>
</comments>
</file>

<file path=xl/comments7.xml><?xml version="1.0" encoding="utf-8"?>
<comments xmlns="http://schemas.openxmlformats.org/spreadsheetml/2006/main">
  <authors>
    <author>Leonardo</author>
  </authors>
  <commentList>
    <comment ref="C6" authorId="0">
      <text>
        <r>
          <rPr>
            <b/>
            <sz val="9"/>
            <color indexed="81"/>
            <rFont val="Segoe UI"/>
            <family val="2"/>
          </rPr>
          <t xml:space="preserve">
PMRV – Prazo Médio de Recebimento de Vendas
Este índice tem a finalidade de apresentar o prazo médio de recebimento do valor das vendas praticadas ao longo do ano.
Formula = Duplicatas a Receber X 365 / Receitas de Vendas (durante um ano)
</t>
        </r>
      </text>
    </comment>
    <comment ref="C11" authorId="0">
      <text>
        <r>
          <rPr>
            <b/>
            <sz val="9"/>
            <color indexed="81"/>
            <rFont val="Segoe UI"/>
            <family val="2"/>
          </rPr>
          <t xml:space="preserve">
Este índice tem a finalidade de apresentar o prazo médio que os produtos ficam no estoque ao longo do ano desde sua aquisição até serem vendidos, considerando-se o período desde a entrada da matéria-prima até a saída do produto acabado. Este também pode ser chamado de Índice de Rotatividade de Estoque. 
Formula = Estoques x 365 / Custo dos Produtos Vendidos 
</t>
        </r>
      </text>
    </comment>
    <comment ref="C16" authorId="0">
      <text>
        <r>
          <rPr>
            <b/>
            <sz val="9"/>
            <color indexed="81"/>
            <rFont val="Segoe UI"/>
            <family val="2"/>
          </rPr>
          <t xml:space="preserve">
Este índice tem a finalidade de apresentar o prazo médio de pagamento das compras efetuadas junto a fornecedores durante o ano.
Formula = Fornecedores x 365 / Compras (CMV)
</t>
        </r>
      </text>
    </comment>
    <comment ref="C21" authorId="0">
      <text>
        <r>
          <rPr>
            <b/>
            <sz val="9"/>
            <color indexed="81"/>
            <rFont val="Segoe UI"/>
            <family val="2"/>
          </rPr>
          <t xml:space="preserve">
Este índice tem a finalidade de apresentar a quantidade de dias de faturamento estável quem uma empresa necessita para atender seus compromissos operacionais.
Formula = Prazo Médio de Recebimento de Vendas + Prazo Médio de Renovação dos Estoques 
- Prazo Médio de Pagamento de Compras 
</t>
        </r>
      </text>
    </comment>
  </commentList>
</comments>
</file>

<file path=xl/comments8.xml><?xml version="1.0" encoding="utf-8"?>
<comments xmlns="http://schemas.openxmlformats.org/spreadsheetml/2006/main">
  <authors>
    <author>Leonardo</author>
  </authors>
  <commentList>
    <comment ref="C6" authorId="0">
      <text>
        <r>
          <rPr>
            <b/>
            <sz val="9"/>
            <color indexed="81"/>
            <rFont val="Segoe UI"/>
            <family val="2"/>
          </rPr>
          <t xml:space="preserve">
Mostra o retorno do capital próprio investido
Formula = Resultado Líquido do Exercício x 100 / 
Patrimônio Liquido  
</t>
        </r>
      </text>
    </comment>
    <comment ref="C11" authorId="0">
      <text>
        <r>
          <rPr>
            <b/>
            <sz val="9"/>
            <color indexed="81"/>
            <rFont val="Segoe UI"/>
            <family val="2"/>
          </rPr>
          <t xml:space="preserve">
Mostra a rentabilidade do total do recurso administrados pela empresa.
Formula = Resultado Líquido do Exercício x 100 / Ativo Total 
</t>
        </r>
      </text>
    </comment>
    <comment ref="C16" authorId="0">
      <text>
        <r>
          <rPr>
            <b/>
            <sz val="9"/>
            <color indexed="81"/>
            <rFont val="Segoe UI"/>
            <family val="2"/>
          </rPr>
          <t xml:space="preserve">
Mostra quanto cada R$ 1,00 de ativos produziu de receita. O termo “Giro” indica também quantas vezes o ativo se renovou ao longo do ano.
Formula = Receita Liquida de Vendas / Ativo Total
</t>
        </r>
      </text>
    </comment>
    <comment ref="C21" authorId="0">
      <text>
        <r>
          <rPr>
            <b/>
            <sz val="9"/>
            <color indexed="81"/>
            <rFont val="Segoe UI"/>
            <family val="2"/>
          </rPr>
          <t xml:space="preserve">
Mostra a capacidade da empresa em gerar lucro comparativamente à Receita Liquida de Vendas.
Formula = Resultado Líquido do Exercício x 100 / Receita Liquida de Vendas 
</t>
        </r>
      </text>
    </comment>
  </commentList>
</comments>
</file>

<file path=xl/comments9.xml><?xml version="1.0" encoding="utf-8"?>
<comments xmlns="http://schemas.openxmlformats.org/spreadsheetml/2006/main">
  <authors>
    <author>Leonardo</author>
  </authors>
  <commentList>
    <comment ref="C6" authorId="0">
      <text>
        <r>
          <rPr>
            <b/>
            <sz val="9"/>
            <color indexed="81"/>
            <rFont val="Segoe UI"/>
            <family val="2"/>
          </rPr>
          <t xml:space="preserve">
Mostra a capacidade da empresa em gerar caixa comparativamente à Receita Líquida de Vendas.
Obs.: Gestão do Capital de Giro é o Resultado Líquido do Exercício adicionando as despesas e deduzindo as receitas que não afetam o caixa. 
Formula = Geração Interna de Recurso x 100 / Receita Líquida de Vendas
Quanto mais recursos a empresa gerar com sua atividade, menos dependerá dos recursos de terceiros, reduzinho seu nível de individamento e melhorando sua capacidade de pagamento de dívidas.</t>
        </r>
      </text>
    </comment>
    <comment ref="C11" authorId="0">
      <text>
        <r>
          <rPr>
            <b/>
            <sz val="9"/>
            <color indexed="81"/>
            <rFont val="Segoe UI"/>
            <family val="2"/>
          </rPr>
          <t xml:space="preserve">
Mostra a capacidade da empresa em gerar resultados comparativamente à Receita Líquida de Vendas.
Obs.: O “EBTIDA” – “Earning Before Interest, Taxes, Depreciation and Amortization”, tem como principal finalidade mostrar se a empresa teve lucro com o desenvolvimento de sua atividade antes de consideradas as despesas financeiras, os impostos, as depreciações e as amortizações.
Formula = EBTIDA x 100 / Receita Líquida de Vendas
</t>
        </r>
      </text>
    </comment>
    <comment ref="C16" authorId="0">
      <text>
        <r>
          <rPr>
            <b/>
            <sz val="9"/>
            <color indexed="81"/>
            <rFont val="Segoe UI"/>
            <family val="2"/>
          </rPr>
          <t xml:space="preserve">
Mostra a capacidade da empresa em pagar suas dívidas totais com a geração de lucro da atividade. Ou seja, quantos meses do EBTIDA do exercício seria necessário para honrar todas as dívidas da empresa.
Formula = Capital de Terceiros / (EBTIDA / 12)
</t>
        </r>
      </text>
    </comment>
    <comment ref="C21" authorId="0">
      <text>
        <r>
          <rPr>
            <b/>
            <sz val="9"/>
            <color indexed="81"/>
            <rFont val="Segoe UI"/>
            <family val="2"/>
          </rPr>
          <t xml:space="preserve">
Mostra quanto as despesas financeiras absorvem do EBTIDA.
Formula = Despesas Financeiras x 100 / EBTIDA
</t>
        </r>
      </text>
    </comment>
    <comment ref="C26" authorId="0">
      <text>
        <r>
          <rPr>
            <b/>
            <sz val="9"/>
            <color indexed="81"/>
            <rFont val="Segoe UI"/>
            <family val="2"/>
          </rPr>
          <t xml:space="preserve">
Mostra quantos dias de faturamento são necessários para amortizar os recursos onerosos de curto prazo.
Formula = Recursos Oneroso (do Passivo Circulante) x 365 / Receita Líquida de Vendas
</t>
        </r>
      </text>
    </comment>
    <comment ref="C31" authorId="0">
      <text>
        <r>
          <rPr>
            <b/>
            <sz val="9"/>
            <color indexed="81"/>
            <rFont val="Segoe UI"/>
            <family val="2"/>
          </rPr>
          <t xml:space="preserve">
Mostra o prazo médio que os ativos operacionais demoram para serem transformados em caixa.
Obs.: Entre os Ativos Operacionais estão as Duplicatas a Receber, os Estoques, os Impostos a Recuperar (Créditos Fiscais ou Tributários), os Adiantamentos a Fornecedores e outros eventuais ativos existente que estejam diretamente ligados à atividade operacional da empresa.
Formula = Ativos Operacionais x 365 / Receita Líquida de Vendas 
</t>
        </r>
      </text>
    </comment>
    <comment ref="C36" authorId="0">
      <text>
        <r>
          <rPr>
            <b/>
            <sz val="9"/>
            <color indexed="81"/>
            <rFont val="Segoe UI"/>
            <family val="2"/>
          </rPr>
          <t xml:space="preserve">
Mostra o prazo médio de vencimento dos Passivos Operacionais.
Obs.: Entre os Passivos Operacionais estão as Duplicatas a Pagar (Fornecedores), as Obrigações Sociais, as Obrigações Fiscais (incluindo as Trabalhistas e Previdenciárias), os Adiantamentos a Cliente e outros eventuais passivos existentes que estejam diretamente ligados à atividade operacional da empresa. 
Formulas = Passivos Operacionais x 365 / Receita Líquida de Vendas  
</t>
        </r>
      </text>
    </comment>
    <comment ref="C41" authorId="0">
      <text>
        <r>
          <rPr>
            <b/>
            <sz val="9"/>
            <color indexed="81"/>
            <rFont val="Segoe UI"/>
            <family val="2"/>
          </rPr>
          <t xml:space="preserve">
Mostra a quantidade de dias que a empresa tem necessidade financiamento de capital de giro.
Formula = Prazo Médio de Recebimento - Prazo Médio de Pagamentos
</t>
        </r>
      </text>
    </comment>
  </commentList>
</comments>
</file>

<file path=xl/sharedStrings.xml><?xml version="1.0" encoding="utf-8"?>
<sst xmlns="http://schemas.openxmlformats.org/spreadsheetml/2006/main" count="1091" uniqueCount="599">
  <si>
    <t>Apresentação de Resultados Financeiros</t>
  </si>
  <si>
    <t>Posso adicionar mais linhas e colunas na planilha?</t>
  </si>
  <si>
    <t xml:space="preserve">Nós recomendamos fortemente que você utilize a estrutura pronta apresentada, pois existem diversas fórmulas que podem ser afetadas pela adição de linhas e colunas. Além disso, para facilitar o preenchimento mantemos a planilha desbloqueada apenas nos locais para preenchimento. </t>
  </si>
  <si>
    <t>Posso remover linhas?</t>
  </si>
  <si>
    <t>Eles são avisos sobre como a sua projeção está. A partir deles, você pode refinar suas projeções e pensar em medidas mais agressivas para tornar seu projeto mais agressivo.</t>
  </si>
  <si>
    <t>Para que servem os alertas?</t>
  </si>
  <si>
    <t>Como desbloquear a planilha?</t>
  </si>
  <si>
    <t>Basta entrar no menu superior "Revisão" e escolher o item desproteger planilha no grupo Alterações. As planilhas não possuem senhas, apenas estão bloqueadas para melhorar a usabilidade delas.</t>
  </si>
  <si>
    <t>Essa planilha pode ser apresentada para instituições financeiras?</t>
  </si>
  <si>
    <t>Sim. Porém esses dados não garantem aprovações ou reprovações por parte dessas instituições. Sendo usados como dados complementares.</t>
  </si>
  <si>
    <t>Como redimensiono uma coluna ou linha da planilha?</t>
  </si>
  <si>
    <t>Com a planilha desbloqueada(ver pergunta 5), clique sobre o número da linha com o botão diretiro e escolha a opção altura da linha no caso das linhas ou na letra da coluna com o botão direito e escolha a opção largura da coluna no caso de colunas.</t>
  </si>
  <si>
    <t>Como faço para imprimir uma planilha?</t>
  </si>
  <si>
    <t>Como mudo a moeda da planilha?</t>
  </si>
  <si>
    <t>Escolha Opção Arquivo e vá ao item imprimir no seu menu superior.</t>
  </si>
  <si>
    <t>Selecione os campos que deseja mudar a moeda. Clique com o botão direito escolha a opção formatar células. Altere o símbolo para o formato que desejar na guia Número.</t>
  </si>
  <si>
    <t>Balanço Patrimônial</t>
  </si>
  <si>
    <t>DRE</t>
  </si>
  <si>
    <t>1. BALANÇO PATRIMÔNIAL</t>
  </si>
  <si>
    <t>2. DRE</t>
  </si>
  <si>
    <t>4. GRÁFICOS</t>
  </si>
  <si>
    <t>DÚVIDAS FREQUENTES</t>
  </si>
  <si>
    <t>SUGESTÕES PARA VOCÊ</t>
  </si>
  <si>
    <t>http://luz.vc/ferramentas/planilhas-integradas/planilha-de-fluxo-de-caixa-com-controle-orcamentario/?utm_source=referral&amp;utm_medium=produtos&amp;utm_campaign=eve3</t>
  </si>
  <si>
    <t>Clique abaixo para selecionar sua dúvida:</t>
  </si>
  <si>
    <t>Veja a resposta abaixo:</t>
  </si>
  <si>
    <t>Disponibilidades</t>
  </si>
  <si>
    <t>Caixa</t>
  </si>
  <si>
    <t>Duplicatas a Receber</t>
  </si>
  <si>
    <t>Adiantamento a Fornecedores</t>
  </si>
  <si>
    <t>Estoque</t>
  </si>
  <si>
    <t>Despesas Antecipadas</t>
  </si>
  <si>
    <t>Ativo Não Circulante (Bens e Direitos)</t>
  </si>
  <si>
    <t>Depósitos Judiciais</t>
  </si>
  <si>
    <t>Resultado</t>
  </si>
  <si>
    <t>Passivo Circulante</t>
  </si>
  <si>
    <t>Passivo Não Circulante (Deveres e Obrigações)</t>
  </si>
  <si>
    <t>Passivo Não Circulante</t>
  </si>
  <si>
    <t>Outras Receitas Operacionais</t>
  </si>
  <si>
    <t>Despesas Operacionais</t>
  </si>
  <si>
    <t>Despesas Não Operacionais</t>
  </si>
  <si>
    <t>Endividamento Geral ou Nível de Alavancagem</t>
  </si>
  <si>
    <t>Endividamento de Curto Prazo</t>
  </si>
  <si>
    <t>Exigível a Longo Prazo</t>
  </si>
  <si>
    <t xml:space="preserve">Patrimônio Líquido </t>
  </si>
  <si>
    <t>Patrimônio Liquido</t>
  </si>
  <si>
    <t>Endividamento Financeiro Versus Capital Próprio</t>
  </si>
  <si>
    <t>Endividamento Financeiro Versus Total</t>
  </si>
  <si>
    <t>Obrigações Financeiras</t>
  </si>
  <si>
    <t>Nível de Desconto de Duplicatas</t>
  </si>
  <si>
    <t>Duplicatas Descontadas</t>
  </si>
  <si>
    <t>Endividamento Financeiro de Curto Prazo Versus Ativo Circulante</t>
  </si>
  <si>
    <t>Obrigações Financeiras (Passivo Circulante)</t>
  </si>
  <si>
    <t>Ativo Circulante</t>
  </si>
  <si>
    <t>Ativo Permanente</t>
  </si>
  <si>
    <t>Imobilização do Patrimônio Líquido</t>
  </si>
  <si>
    <t>Imobilizado de Uso</t>
  </si>
  <si>
    <t>Liquidez Corrente</t>
  </si>
  <si>
    <t>Liquidez Imediata</t>
  </si>
  <si>
    <t xml:space="preserve">Disponibilidades </t>
  </si>
  <si>
    <t>Total de Liquidez Corrente</t>
  </si>
  <si>
    <t>Total de Liquidez Imediata</t>
  </si>
  <si>
    <t>Liquidez Seca</t>
  </si>
  <si>
    <t>Liquidez Geral</t>
  </si>
  <si>
    <t>Ativo Realizável a Longo Prazo</t>
  </si>
  <si>
    <t>Total de Liquidez Seca</t>
  </si>
  <si>
    <t>Prazo Médio de Recebimento de Vendas</t>
  </si>
  <si>
    <t xml:space="preserve">Prazo Médio de Renovação dos Estoques </t>
  </si>
  <si>
    <t>Estoques</t>
  </si>
  <si>
    <t>Custo de Produtos Vendidos</t>
  </si>
  <si>
    <t xml:space="preserve">Prazo Médio de Pagamento de Compras </t>
  </si>
  <si>
    <t>Ciclo Financeiro</t>
  </si>
  <si>
    <t>Fornecedores</t>
  </si>
  <si>
    <t>Compras (CMV)</t>
  </si>
  <si>
    <t>Prazo Médio Renovação dos Estoques</t>
  </si>
  <si>
    <t>Prazo Médio de Pagamento de Compras</t>
  </si>
  <si>
    <t>Receitas de Vendas</t>
  </si>
  <si>
    <t xml:space="preserve">Rentabilidade Patrimonial </t>
  </si>
  <si>
    <t>Rentabilidade do Ativo</t>
  </si>
  <si>
    <t xml:space="preserve">Resultado Líquido do Exercício </t>
  </si>
  <si>
    <t>Resultado Líquido do Exercício</t>
  </si>
  <si>
    <t>Patrimônio Líquido</t>
  </si>
  <si>
    <t>Ativo Total</t>
  </si>
  <si>
    <t>Giro do Ativo</t>
  </si>
  <si>
    <t xml:space="preserve">Margem Líquida </t>
  </si>
  <si>
    <t>Receita Líquida de Vendas</t>
  </si>
  <si>
    <t>Receita Líquida</t>
  </si>
  <si>
    <t xml:space="preserve">GIR - Geração Interna de Recursos / Faturamento Líquido </t>
  </si>
  <si>
    <t>Margem “EBTDA”</t>
  </si>
  <si>
    <t xml:space="preserve">Geração Interna de Recurso </t>
  </si>
  <si>
    <t>EBTIDA</t>
  </si>
  <si>
    <t>Cobertura de Dívidas (em meses)</t>
  </si>
  <si>
    <t>Despesas Financeiras / EBTIDA</t>
  </si>
  <si>
    <t>Capital de Terceiros</t>
  </si>
  <si>
    <t>Despesas Financeiras</t>
  </si>
  <si>
    <t xml:space="preserve">Dívida Bancária em dias de Faturamento </t>
  </si>
  <si>
    <t>PMR - Prazo Médio de Recebimento</t>
  </si>
  <si>
    <t>Recursos Onerosos (do Passivo Circulante)</t>
  </si>
  <si>
    <t>Ativos Operacionais</t>
  </si>
  <si>
    <t>PMP - Prazo Médio de Pagamentos</t>
  </si>
  <si>
    <t>CF - Ciclo Financeiro</t>
  </si>
  <si>
    <t>Passivos Operacionais</t>
  </si>
  <si>
    <t>Prazo Médio de Recebimento</t>
  </si>
  <si>
    <t>Prazo Médio de Pagamento</t>
  </si>
  <si>
    <t>Recurso de Caixa Pequena</t>
  </si>
  <si>
    <t>Bancos - Conta movimento no País</t>
  </si>
  <si>
    <t>Bancos no Exterior</t>
  </si>
  <si>
    <t>Bancos Contas Vinculadas</t>
  </si>
  <si>
    <t>Depósitos em Garantias e Cauções em Dinheiro</t>
  </si>
  <si>
    <t>Disponibilidades em Moedas Estrangeiras</t>
  </si>
  <si>
    <t>Aplicações em Ouro</t>
  </si>
  <si>
    <t>Outras Disponibilidades - Valores Mobiliários</t>
  </si>
  <si>
    <t>Aplicações em Instrumentos Financeiros</t>
  </si>
  <si>
    <t>Aplicações Compromissadas por Revenda</t>
  </si>
  <si>
    <t>Aplicações de Renda Fixa</t>
  </si>
  <si>
    <t>Aplicações de Renda Variável</t>
  </si>
  <si>
    <t>Títulos e Aplicações Vinculados</t>
  </si>
  <si>
    <t>Devedores por Empréstimos de Títulos e Valores Mobiliários</t>
  </si>
  <si>
    <t>Box de Aplicação</t>
  </si>
  <si>
    <t>Valores Mobiliários em Moedas Estrangeiras</t>
  </si>
  <si>
    <t>Valores Mobiliários Sujeitas a Restrições</t>
  </si>
  <si>
    <t>Outros Títulos e Valores Mobiliários a Receber</t>
  </si>
  <si>
    <t>Estoque de Produção em Elaboração</t>
  </si>
  <si>
    <t>Estoque de Produtos Acabados</t>
  </si>
  <si>
    <t>Estoque de Mercadorias para Revenda</t>
  </si>
  <si>
    <t>Mercadoria de Reposição na Prestação de Serviços</t>
  </si>
  <si>
    <t>Devedores por Estoques Remetidos para a Industrialização</t>
  </si>
  <si>
    <t>Devedores por Mercadorias Remetidas em Consignação ou Comodato</t>
  </si>
  <si>
    <t>Estoque de Matéria Prima (insumos)</t>
  </si>
  <si>
    <t>Mercadorias Recebidas em Consignação ou Comodato</t>
  </si>
  <si>
    <t xml:space="preserve">Outros Estoques </t>
  </si>
  <si>
    <t>Créditos Tributários</t>
  </si>
  <si>
    <t>IRPJ - Imposto de Renda de Pessoa Jurídica</t>
  </si>
  <si>
    <t>CSLL - Contribuição Social sobre o Lucro Líquido</t>
  </si>
  <si>
    <t>ICMS - Imposto sobre Circulação de Mercadorias e Serviços e Outros Tributos Estaduais</t>
  </si>
  <si>
    <t>IPI - Imposto sobre Produtos Industrializados</t>
  </si>
  <si>
    <t>ISS - Imposto sobre Serviços e outros Tributos Municipais a Recuperar</t>
  </si>
  <si>
    <t>Contribuições Sociais - PIS e COFINS  a Recuperar</t>
  </si>
  <si>
    <t>Crédito Fiscal do ICMS sobre o Imobilizado de Uso</t>
  </si>
  <si>
    <t>Crédito Fiscal do ICMS sobre Arrendamento Mercantil - Leasing</t>
  </si>
  <si>
    <t>Outros Impostos e Contribuições a Recuperar</t>
  </si>
  <si>
    <t>Clientes  - Créditos a Receber</t>
  </si>
  <si>
    <t>Notas Promissórias a Receber</t>
  </si>
  <si>
    <t>Carnês a Receber</t>
  </si>
  <si>
    <t>Cheques e Ordens a Receber</t>
  </si>
  <si>
    <t>Cartões de Créditos a Receber</t>
  </si>
  <si>
    <t>Outros Créditos com Clientes a Receber</t>
  </si>
  <si>
    <t>Clientes Vencidos a Liquidar</t>
  </si>
  <si>
    <t>Duplicatas a Vencidas Receber</t>
  </si>
  <si>
    <t>Notas Promissórias Vencidas a Receber</t>
  </si>
  <si>
    <t>Carnês Vencidos a Receber</t>
  </si>
  <si>
    <t>Cheques e Ordens Vencidos a Receber</t>
  </si>
  <si>
    <t>Cartões de Créditos Vencidos a Receber</t>
  </si>
  <si>
    <t>Créditos em Empresas em Regima Especial</t>
  </si>
  <si>
    <t>Créditos em Instituições Financeiras em Regime Especial</t>
  </si>
  <si>
    <t>Outros Créditos Vencidos a Receber</t>
  </si>
  <si>
    <t>Outros Créditos</t>
  </si>
  <si>
    <t>Comissões e Corretagem a Receber</t>
  </si>
  <si>
    <t>Dividendos / Bonificações em Dinheiro a Receber</t>
  </si>
  <si>
    <t>Rendas a Receber de Títulos e Valores Mobiliários</t>
  </si>
  <si>
    <t>Outras Rendas a Receber</t>
  </si>
  <si>
    <t>Devedores por Intermediação Financeira</t>
  </si>
  <si>
    <t>Outras Contas a Receber</t>
  </si>
  <si>
    <t>Outros Valores e Bens</t>
  </si>
  <si>
    <t>Adiantamento e Antecipações Salariais</t>
  </si>
  <si>
    <t>Adiantamento de Férias</t>
  </si>
  <si>
    <t>Adiantamento para Pagamento de Nossa Conta</t>
  </si>
  <si>
    <t>Importações em Andamento</t>
  </si>
  <si>
    <t>Devedores Diversos - País</t>
  </si>
  <si>
    <t>Devedores Diversos - Exterior</t>
  </si>
  <si>
    <t>Outros Ativos Circulantes</t>
  </si>
  <si>
    <t>Estoque de Materiais de Escritório</t>
  </si>
  <si>
    <t>Seguros a Apropriar</t>
  </si>
  <si>
    <t>Juros Pagos Antecipadamente</t>
  </si>
  <si>
    <t>Adiantamento para Despesas</t>
  </si>
  <si>
    <t>Antecipação do 13º  Salário</t>
  </si>
  <si>
    <t>Adiantamento do 13º  Salário</t>
  </si>
  <si>
    <t>Estoques de Sucatas</t>
  </si>
  <si>
    <t>Estoques de Produtos de Limpeza e Conservação</t>
  </si>
  <si>
    <t>Estoques de Peças de Reposição do Imobilizado</t>
  </si>
  <si>
    <t>Outros Despesas Antecipadas</t>
  </si>
  <si>
    <t>Direitos Realizáveis a Curto Prazo</t>
  </si>
  <si>
    <t>Clientes Créditos a Receber</t>
  </si>
  <si>
    <t>Ativo Circulante (Bens e Direitos)</t>
  </si>
  <si>
    <t>Contas do Ativo Circulante - Resultado</t>
  </si>
  <si>
    <t>Valor Total do Ativo Circulante</t>
  </si>
  <si>
    <t>Valores a Receber pela Venda de Bens</t>
  </si>
  <si>
    <t>Valores e Bens</t>
  </si>
  <si>
    <t>Adiantamentos por Conta de Imobilizações</t>
  </si>
  <si>
    <t>Clientes - Devedores de Longo Prazo</t>
  </si>
  <si>
    <t>Imóveis em Construção</t>
  </si>
  <si>
    <t>Estoque de Reposição Permanente</t>
  </si>
  <si>
    <t>Antecipação de Valores Residuais de Arrendamento Mercantil</t>
  </si>
  <si>
    <t>Créditos Fiscais e Tributários de Longo Prazo</t>
  </si>
  <si>
    <t>Outros Valores e Bens a Longo Prazo</t>
  </si>
  <si>
    <t>Garantias e Cauções</t>
  </si>
  <si>
    <t>Garantias e Cauções em Títulos</t>
  </si>
  <si>
    <t>Garantias e Cauções em Bens Móveis</t>
  </si>
  <si>
    <t>Garantias e Cauções em Imóveis</t>
  </si>
  <si>
    <t>Garantias e Cauções em Dinheiro</t>
  </si>
  <si>
    <t>Outras Garantias e Cauções</t>
  </si>
  <si>
    <t>Aplicações em Instrumentos Financeiros a Longo Prazo</t>
  </si>
  <si>
    <t>TVM de Sociedades em Regime Especial</t>
  </si>
  <si>
    <t>Participações em Sociedades em Regime Especial</t>
  </si>
  <si>
    <t>Opções por Incentivos Fiscais</t>
  </si>
  <si>
    <t>Outros Títulos e Valores Mobiliários de Longo Prazo</t>
  </si>
  <si>
    <t>Depósitos Judiciais - Trabalhistas</t>
  </si>
  <si>
    <t>Depósitos Judiciais - Fiscais e Tributários</t>
  </si>
  <si>
    <t>Outros Depósitos Judiciais</t>
  </si>
  <si>
    <t>Imóveis para Locação ou Venda</t>
  </si>
  <si>
    <t>Imóveis para Locação ou Venda - Terrenos</t>
  </si>
  <si>
    <t>Imóveis para Locação ou Venda - Escritórios</t>
  </si>
  <si>
    <t>Imóveis para Locação ou Venda - Galpões</t>
  </si>
  <si>
    <t>Imóveis para Locação ou Venda - Salas</t>
  </si>
  <si>
    <t>Imóveis para Locação ou Venda - Lojas</t>
  </si>
  <si>
    <t>Outros Imóveis para Locação ou Venda</t>
  </si>
  <si>
    <t>Outras Contas do Realizável</t>
  </si>
  <si>
    <t>Créditos com Pessoas Ligadas</t>
  </si>
  <si>
    <t>Créditos com Empresas Ligadas</t>
  </si>
  <si>
    <t>Créditos em Sociedade em Regime Especial</t>
  </si>
  <si>
    <t>Emprestimos e Depósitos Compulsórios</t>
  </si>
  <si>
    <t>Outras Contas do Realizável a Longo Prazo</t>
  </si>
  <si>
    <t>Contas do Ativo Não Circulante - Resultado</t>
  </si>
  <si>
    <t>Investimentos</t>
  </si>
  <si>
    <t>Investimentos em Controladas</t>
  </si>
  <si>
    <t>Investimentos em Coligadas</t>
  </si>
  <si>
    <t>Investimentos por Incentivos Fiscais</t>
  </si>
  <si>
    <t>Títulos Patrimôniais</t>
  </si>
  <si>
    <t>Participações em Outras Empresas</t>
  </si>
  <si>
    <t>Obras de Arte e Antiguidades</t>
  </si>
  <si>
    <t>Outros Investimentos</t>
  </si>
  <si>
    <t>Terrenos</t>
  </si>
  <si>
    <t>Edifícios e Construções</t>
  </si>
  <si>
    <t>Equipamentos, Máquinas e Instalações Industriais</t>
  </si>
  <si>
    <t>Móveis, Utensílios e Instalações Não Industriais</t>
  </si>
  <si>
    <t>Bens Oriundos de Arrendamento Mercantil</t>
  </si>
  <si>
    <t>Recursos Minerais, Recursos Florestais e Direitos de Exploração</t>
  </si>
  <si>
    <t>Veículos</t>
  </si>
  <si>
    <t>Sistemas de Comunicação e de Processamento de Dados</t>
  </si>
  <si>
    <t>Outras Imobilizações</t>
  </si>
  <si>
    <t>Ativo Diferido</t>
  </si>
  <si>
    <t>Despesas Pré-Operacionais</t>
  </si>
  <si>
    <t>Despesas com Produções Científicas e Tecnológicas</t>
  </si>
  <si>
    <t>Demais Aplicações em Despesas Amortizáveis</t>
  </si>
  <si>
    <t>Benfeitorias em Imóveis de Teceiros</t>
  </si>
  <si>
    <t xml:space="preserve">Ágio em Participações Societárias </t>
  </si>
  <si>
    <t>Exploração de Recursos Florestais</t>
  </si>
  <si>
    <t>Prospecção e Lavra de Recursos Minerais</t>
  </si>
  <si>
    <t>Outras Contas do Diferido</t>
  </si>
  <si>
    <t>Intangível</t>
  </si>
  <si>
    <t>Fundo de Comércio Adquirido</t>
  </si>
  <si>
    <t>Franquias Adquiridas e Desenvolvidas</t>
  </si>
  <si>
    <t>Direitos Autorais Adquiridos e Desenvolvidos</t>
  </si>
  <si>
    <t>Macas e Patentes Adquiridas e Desenvolvidas</t>
  </si>
  <si>
    <t xml:space="preserve">Investimentos em Projetos Científicos e Tecnológicos </t>
  </si>
  <si>
    <t>Fundo de Comércio Estimado</t>
  </si>
  <si>
    <t>Outros Intangíveis</t>
  </si>
  <si>
    <t>Imobilizado de Arrendamento (Leaseback)</t>
  </si>
  <si>
    <t xml:space="preserve">Prédios - Escritórios - Lojas - Galpões </t>
  </si>
  <si>
    <t>Aeronaves</t>
  </si>
  <si>
    <t xml:space="preserve">Embarcações </t>
  </si>
  <si>
    <t xml:space="preserve">Ônibus - Caminhões </t>
  </si>
  <si>
    <t>Veículos Especiais</t>
  </si>
  <si>
    <t>Outros Imobilzados de Arrendamento</t>
  </si>
  <si>
    <t>Imobilizado Para Locação</t>
  </si>
  <si>
    <t>Imóveis</t>
  </si>
  <si>
    <t>Móveis e Utensílios</t>
  </si>
  <si>
    <t>Equipamentos</t>
  </si>
  <si>
    <t>Outros Bens para Locação</t>
  </si>
  <si>
    <t>Ativo Biológico e Produto Agrícola</t>
  </si>
  <si>
    <t>Imobilzado Recebido em Comodato</t>
  </si>
  <si>
    <t>Outros</t>
  </si>
  <si>
    <t>Fornecedores de Mercadorias para Revenda</t>
  </si>
  <si>
    <t>Fornecedores de Bens para o Permanente</t>
  </si>
  <si>
    <t>Fornecedores de Matérias Primas para a Industrialização</t>
  </si>
  <si>
    <t>Fornecedores de Peças de Reposição</t>
  </si>
  <si>
    <t>Fornecedores de Bens em Consignação ou Comodato</t>
  </si>
  <si>
    <t>Forncedores de Material de Expediente</t>
  </si>
  <si>
    <t>Fornecedores no Exterior</t>
  </si>
  <si>
    <t>Outros Fornecedores</t>
  </si>
  <si>
    <t>Passivo Circulante (Deveres e Obrigações)</t>
  </si>
  <si>
    <t>Obrigações Financeiras de Curto Prazo</t>
  </si>
  <si>
    <t>Bancos Oficiais Federais</t>
  </si>
  <si>
    <t>Bancos Oficiais Estaduais</t>
  </si>
  <si>
    <t>Bancos Privados no Brasil</t>
  </si>
  <si>
    <t>Bancos Oficiais no Exterior</t>
  </si>
  <si>
    <t>Outros Bancos no Exterior</t>
  </si>
  <si>
    <t>Empresas de Factoring / Forfaiting</t>
  </si>
  <si>
    <t>Box de Captação</t>
  </si>
  <si>
    <t>Outros Financiamentos de Curto Prazo</t>
  </si>
  <si>
    <t>Obrigações Fiscais e Tributárias</t>
  </si>
  <si>
    <t>Imposto de Renda Retido na Fonte</t>
  </si>
  <si>
    <t>Imposto de Renda e Contribuição Social a Pagar</t>
  </si>
  <si>
    <t>Outros Impostos Federais</t>
  </si>
  <si>
    <t>Impostos Municipais</t>
  </si>
  <si>
    <t>Impostos Estaduais</t>
  </si>
  <si>
    <t>Outras Obrigações Fiscais e Tributárias</t>
  </si>
  <si>
    <t>Obrigações Trabalhistas e Previdenciárias</t>
  </si>
  <si>
    <t>Ordenados e Salários a Pagar</t>
  </si>
  <si>
    <t>Autonômos - Pessoas Físicas</t>
  </si>
  <si>
    <t>Terceirizados - Pessoas Jurídicas</t>
  </si>
  <si>
    <t>Contribuição ao INSS</t>
  </si>
  <si>
    <t>FGTS</t>
  </si>
  <si>
    <t>Contribuição Sindical</t>
  </si>
  <si>
    <t>Indenizações Trabalhistas a Pagar</t>
  </si>
  <si>
    <t>Débitos Previdenciários a Pagar</t>
  </si>
  <si>
    <t>Outras Obrigações Trabalhistas e Previdenciárias</t>
  </si>
  <si>
    <t>Obrigações Sociais e Estatutárias</t>
  </si>
  <si>
    <t>Antecipação de Lucros e Dividendos a Pagar</t>
  </si>
  <si>
    <t>Lucros e Divendendos a Distribuir</t>
  </si>
  <si>
    <t>Participação nos Lucros a Pagar</t>
  </si>
  <si>
    <t>Juros sobre Capital a Pagar</t>
  </si>
  <si>
    <t>Juros de Debêntures a Pagar</t>
  </si>
  <si>
    <t>Debêntures a Resgatar</t>
  </si>
  <si>
    <t>Ações Preferenciais Resgatáveis a Liquidar</t>
  </si>
  <si>
    <t>Outros Valores Mobiliários a Pagar</t>
  </si>
  <si>
    <t>Outros Divedendos e Lucros a Pagar</t>
  </si>
  <si>
    <t>Obrigações Administrativas e Operacionais</t>
  </si>
  <si>
    <t>Provisão para Pagamento a Efetuar (Agua, Luz, Gás, Telefone)</t>
  </si>
  <si>
    <t>IPVA, Multas de Trânsito e Despesas Correspondentes</t>
  </si>
  <si>
    <t>Alugueis e Condomínios a Pagar</t>
  </si>
  <si>
    <t>Outras Obrigações Administrativas e Operacionais</t>
  </si>
  <si>
    <t>Arrendamento Mercantil a Pagar</t>
  </si>
  <si>
    <t>Provisões para Contingências</t>
  </si>
  <si>
    <t>Provisão para Pagamento de Contingências Trabalhistas</t>
  </si>
  <si>
    <t>Provisão para Pagamento de Contingências Tributárias</t>
  </si>
  <si>
    <t>Provisão para Pagamento de Contingências Previdenciárias</t>
  </si>
  <si>
    <t>Provisão para Pagamento de Contingências Civis e Comerciais</t>
  </si>
  <si>
    <t>Provisão para Pagamento de Contingências Societárias</t>
  </si>
  <si>
    <t>Outras Provisão para Pagamento de Contingências e Calculáveis</t>
  </si>
  <si>
    <t>Relações Interfinanceiras</t>
  </si>
  <si>
    <t>Relações entre Matriz e Filiais</t>
  </si>
  <si>
    <t>Relações entre Controladora e Controladas</t>
  </si>
  <si>
    <t>Relações com Coligadas</t>
  </si>
  <si>
    <t>Relações com Representantes</t>
  </si>
  <si>
    <t xml:space="preserve">Relações com Sócios ou Acionistas </t>
  </si>
  <si>
    <t>Relações com Correspondentes</t>
  </si>
  <si>
    <t>Outras Relações Interfinanceiras</t>
  </si>
  <si>
    <t>Outras Obrigações</t>
  </si>
  <si>
    <t>Credores por Intermediação Financeira</t>
  </si>
  <si>
    <t>Diversos Outros Credores por Obrigações a Pagar</t>
  </si>
  <si>
    <t>Contas do Passivo Circulante - Resultado</t>
  </si>
  <si>
    <t>Obrigações Financeiras a Curto Prazo</t>
  </si>
  <si>
    <t xml:space="preserve">Provisões para Contingências </t>
  </si>
  <si>
    <t>Obrigações Realizáveis a Curto Prazo</t>
  </si>
  <si>
    <t>Valor Total do Passivo Circulante</t>
  </si>
  <si>
    <t>Fornecedores de Bens do Ativo Permanente</t>
  </si>
  <si>
    <t>Outros Fornecedores do Longo Prazo</t>
  </si>
  <si>
    <t>Obrigações Financeiras de Longo Prazo</t>
  </si>
  <si>
    <t>Bancos Privados no Exterior</t>
  </si>
  <si>
    <t>Box de Captção</t>
  </si>
  <si>
    <t>Outros Financiamentos de Longo Prazo</t>
  </si>
  <si>
    <t>Imposto de Renda Diferido</t>
  </si>
  <si>
    <t>Parcelamentos de Débitos Tributários e Federais</t>
  </si>
  <si>
    <t>Parcelamentos de Débitos Tributários e Estaduais</t>
  </si>
  <si>
    <t>Parcelamentos de Débitos Tributários e Municipais</t>
  </si>
  <si>
    <t>Contribuição Social Diferida</t>
  </si>
  <si>
    <t>Outras Provisões para Impostos Diferidos</t>
  </si>
  <si>
    <t xml:space="preserve">Ações Judiciais Trabalhistas </t>
  </si>
  <si>
    <t>Ações Judiciais Previdenciárias</t>
  </si>
  <si>
    <t>Parcelamento de Débitos Trabalhistas</t>
  </si>
  <si>
    <t>Parcelamento de Débitos Previdenciários</t>
  </si>
  <si>
    <t>Obrigações Sociais e Estatutárias de Longo Prazo</t>
  </si>
  <si>
    <t>Antecipações de Dividendos a Pagar de Longo Prazo</t>
  </si>
  <si>
    <t>Dividendos a Distribuir a Longo Prazo</t>
  </si>
  <si>
    <t>Participação nos Lucros a Pagar de Longo Prazo</t>
  </si>
  <si>
    <t>Juros sobre Capital a Pagar de Longo Prazo</t>
  </si>
  <si>
    <t>Outras Obrigações Sociais e Estatutárias de Longo Prazo</t>
  </si>
  <si>
    <t>Empresas Controladas</t>
  </si>
  <si>
    <t>Empresas Coligadas</t>
  </si>
  <si>
    <t>Administradores</t>
  </si>
  <si>
    <t>Controladores</t>
  </si>
  <si>
    <t>Acionistas Minoritários</t>
  </si>
  <si>
    <t>Outros Créditos com Ligadas</t>
  </si>
  <si>
    <t>Provisões para Contingências de Longo Prazo</t>
  </si>
  <si>
    <t>Provisões para Contingências Trabalhistas de Longo Prazo</t>
  </si>
  <si>
    <t>Provisões para Contingências Tributárias de Longo Prazo</t>
  </si>
  <si>
    <t>Provisões para Contingências Previdenciárias de Longo Prazo</t>
  </si>
  <si>
    <t>Provisões para Contingências Civis e Comerciais de Longo Prazo</t>
  </si>
  <si>
    <t>Provisões para Contingências Societárias de Longo Prazo</t>
  </si>
  <si>
    <t>Outras Provisões para Contingências de Longo Prazo</t>
  </si>
  <si>
    <t>Receitas Diferidas</t>
  </si>
  <si>
    <t>Custos e Despesas Corresnpondentes às Receitas Diferidas</t>
  </si>
  <si>
    <t>Outras Obrigações a Longo Prazo</t>
  </si>
  <si>
    <t>Diversas Outras Contas do Exigível</t>
  </si>
  <si>
    <t>Obrigações Financeiras a Longo Prazo</t>
  </si>
  <si>
    <t>Créditos de Coligadas e Controladas</t>
  </si>
  <si>
    <t>Obrigações Realizáveis a Longo Prazo</t>
  </si>
  <si>
    <t>Receitas do Exercício Seguinte</t>
  </si>
  <si>
    <t>Receitas dos Demais Exercícios Futuros</t>
  </si>
  <si>
    <t>Deságios na Aquisição de Participações Societárias</t>
  </si>
  <si>
    <t>Deságios na Incorporação, Fusão e Cisão</t>
  </si>
  <si>
    <t>Deságios na Aquisição de Emprezas Privatizadas</t>
  </si>
  <si>
    <t>Outras Receitas de Exercícios Futuros</t>
  </si>
  <si>
    <t>Custos e Despesas de Exercícios Futuros</t>
  </si>
  <si>
    <t>Custos de Exercícios Futuros</t>
  </si>
  <si>
    <t>Despesas de Exercícios Futuros</t>
  </si>
  <si>
    <t>Outros e Custos e Despesas de Exercícios Futuros</t>
  </si>
  <si>
    <t>Resultado de Exercícios Futuros</t>
  </si>
  <si>
    <t>Direitos Realizáveis a Longo Prazo</t>
  </si>
  <si>
    <t>Resultados de Exercícios Futuros - Receitas Diferidas</t>
  </si>
  <si>
    <t>Capital / Capital Social / Patrimônio Social</t>
  </si>
  <si>
    <t>Capital de Domiciliados no País - Pessoas Jurídicas</t>
  </si>
  <si>
    <t>Capital de Domiciliados no País - Pessoas Físicas</t>
  </si>
  <si>
    <t>Capital de Domiciliados no Exterior - Pessoas Físicas</t>
  </si>
  <si>
    <t>Capital de Domiciliados no Exterior - Pessoas Jurídicas</t>
  </si>
  <si>
    <t>Capital Social (Cooperativas)</t>
  </si>
  <si>
    <t>Patrimônio Social (Entidades Sem Fins Lucrativos)</t>
  </si>
  <si>
    <t>Capital a Reduzir</t>
  </si>
  <si>
    <t>Capital Subscrito a Integralizar</t>
  </si>
  <si>
    <t>Capital Não Subscrito a Realizar</t>
  </si>
  <si>
    <t>Reserva de Capital</t>
  </si>
  <si>
    <t>Reserva de Atualização ou Correção Monetária</t>
  </si>
  <si>
    <t>Produto de Venda de Ações em Tesouraria</t>
  </si>
  <si>
    <t xml:space="preserve">Ágio Pago pelos Subscritores de Ações </t>
  </si>
  <si>
    <t>Reserva para Aumento de Capital</t>
  </si>
  <si>
    <t>Produto da Alienação de Partes Beneficiárias</t>
  </si>
  <si>
    <t>Produto da Alienação de Bônus de Subscrição</t>
  </si>
  <si>
    <t>Ágio da Conversão de Debêntures em Ações</t>
  </si>
  <si>
    <t>Ágio na Conversão de Partes Beneficiárias em Ações</t>
  </si>
  <si>
    <t>Outras Reservas de Capital</t>
  </si>
  <si>
    <t>Ações em Tesouraria</t>
  </si>
  <si>
    <t>Ações Preferenciais</t>
  </si>
  <si>
    <t>Ações Ordinárias</t>
  </si>
  <si>
    <t>Debêntures Conversíveis</t>
  </si>
  <si>
    <t>Debêntures inconversíveis</t>
  </si>
  <si>
    <t>Ações Preferenciais Cumulativas</t>
  </si>
  <si>
    <t>Ações Preferenciais Resgatáveis</t>
  </si>
  <si>
    <t>Debêntures Subordinadas</t>
  </si>
  <si>
    <t>Outros Títulos de Sociedades de Capital de Giro</t>
  </si>
  <si>
    <t>Debêntures Securitizadas</t>
  </si>
  <si>
    <t>Ajustes de Avaliação Patrimônial</t>
  </si>
  <si>
    <t>Avaliação de Ativos ao Valor Justo</t>
  </si>
  <si>
    <t>(-) Provisões para Oscilações Negativas do Valor Justo</t>
  </si>
  <si>
    <t>Reavaliação de Realizáveis a Longo Prazo</t>
  </si>
  <si>
    <t>Reavaliação de Bens do Permanente</t>
  </si>
  <si>
    <t>(-) Provisões para Contingências</t>
  </si>
  <si>
    <t xml:space="preserve">Outras Reservas de Reavaliação </t>
  </si>
  <si>
    <t>Mais Valia da Avaliação ao Valor de Mercado</t>
  </si>
  <si>
    <t>(-) Provisões para Oscilações Negativas do Valor de Mercado</t>
  </si>
  <si>
    <t>Reservas de Lucros</t>
  </si>
  <si>
    <t>Lucros Acumulados</t>
  </si>
  <si>
    <t xml:space="preserve">Reservas de Legais e Estatutárias </t>
  </si>
  <si>
    <t>Reservas de Lucros Realizados</t>
  </si>
  <si>
    <t>Reservas de Lucros a Realizar</t>
  </si>
  <si>
    <t>Reservas para Contingências</t>
  </si>
  <si>
    <t>Reservas de Incentivos Fiscais</t>
  </si>
  <si>
    <t>Retenção de Lucros</t>
  </si>
  <si>
    <t>Reservas de Reavaliação</t>
  </si>
  <si>
    <t>Reserva de Reavaliação de Exercícios Anteriores</t>
  </si>
  <si>
    <t>Outras Reservas</t>
  </si>
  <si>
    <t>Lucros Acumulados / Sobras / Superávits</t>
  </si>
  <si>
    <t>Sobras Acumuladas</t>
  </si>
  <si>
    <t>Superávit Acumulado</t>
  </si>
  <si>
    <t>ARE - Apuração do Resultado de Exercício</t>
  </si>
  <si>
    <t>Prejuízos Acumulados / Perdas Acumuladas (Cooperativas) / Déficits Acumulados</t>
  </si>
  <si>
    <t>Prejuízos Operacionais Não Compensáveis</t>
  </si>
  <si>
    <t xml:space="preserve">Prejuízos Fiscais Não Operacionais Compensáveis </t>
  </si>
  <si>
    <t>Perdas Acumuladas</t>
  </si>
  <si>
    <t>Déficit Acumulado</t>
  </si>
  <si>
    <t>Ajuste de Exercícios Anteriores</t>
  </si>
  <si>
    <t>Prejuízos Não Operacioanais e Não Compensáveis</t>
  </si>
  <si>
    <t xml:space="preserve">Prejuízos Fiscais Operacionais Compensáveis </t>
  </si>
  <si>
    <t>Prejuízos, Perdas e  Déficits Acumulados</t>
  </si>
  <si>
    <t>Receitas de Exportação</t>
  </si>
  <si>
    <t>Receita Bruta de Exportação</t>
  </si>
  <si>
    <t>Deduções da Receita Bruta</t>
  </si>
  <si>
    <t>Receitas Não Operacionais</t>
  </si>
  <si>
    <t>Receita da Venda de Produtos</t>
  </si>
  <si>
    <t>Receita Bruta da Venda de Produtos</t>
  </si>
  <si>
    <t>Receitas da Revenda de Mercadorias</t>
  </si>
  <si>
    <t>Receita Bruta da Venda de Mercadorias</t>
  </si>
  <si>
    <t>Receitas da Prestação de Serviços</t>
  </si>
  <si>
    <t>Receita Bruta de Serviços Prestados</t>
  </si>
  <si>
    <t>Receitas da Atividade Rural</t>
  </si>
  <si>
    <t>Receita Bruta da Atividade Rural</t>
  </si>
  <si>
    <t>Outras Receitas da Atividade Rural</t>
  </si>
  <si>
    <t>Receitas das Atividades de Educação e Saúde</t>
  </si>
  <si>
    <t>Receita da Prestação de Serviços de Educação</t>
  </si>
  <si>
    <t>Receita de Prestação de Serviços de Saúde</t>
  </si>
  <si>
    <t>Receita da Prestação de Serviços de Assistência Social</t>
  </si>
  <si>
    <t>Receita de Outras Atividades</t>
  </si>
  <si>
    <t>Receitas de Atividades de Assistência Social</t>
  </si>
  <si>
    <t>Receitas das Atividades Imobiliárias</t>
  </si>
  <si>
    <t>Receita de Unidades Imobiliárias</t>
  </si>
  <si>
    <t>Receitas das Atividades em Geral</t>
  </si>
  <si>
    <t>Receita Bruta das Atividades em Geral</t>
  </si>
  <si>
    <t>Receitas das Atividades de Assistência Social</t>
  </si>
  <si>
    <t>Contas de Resultado Credora (Receitas)</t>
  </si>
  <si>
    <t>Contas de Resultado Credora (Receitas) - Resultado</t>
  </si>
  <si>
    <t>Valor Total das Contas de Resultado Credora (Receitas)</t>
  </si>
  <si>
    <t>Contas de Resultado Devedoras  (Custos e Despesas)</t>
  </si>
  <si>
    <t>Custos</t>
  </si>
  <si>
    <t>Custo de Mercadorias Revendidades</t>
  </si>
  <si>
    <t>Custo dos Serviços Prestados</t>
  </si>
  <si>
    <t>Custa da Atividade Rural</t>
  </si>
  <si>
    <t>Custo dos Bens e Serviços para Educação e Saúde</t>
  </si>
  <si>
    <t>Custo dos Bens e Serviços para Assisntência Social</t>
  </si>
  <si>
    <t>Custo das Unidades Imobiliárias Vendidas</t>
  </si>
  <si>
    <t>Custo dos Bens e Serviços para Demais Atividades</t>
  </si>
  <si>
    <t>Custo</t>
  </si>
  <si>
    <t>Custos dos Produtos de Fabricação Própria (Produzidos e Vendidos)</t>
  </si>
  <si>
    <t>Despesa da Venda de Produtos</t>
  </si>
  <si>
    <t>Outras Despesas Operacionais</t>
  </si>
  <si>
    <t>Participações de Empregados</t>
  </si>
  <si>
    <t xml:space="preserve">Outras Participações </t>
  </si>
  <si>
    <t>Provisão para CSLL e IRPJ</t>
  </si>
  <si>
    <t>Despesas da Revenda de Mercadorias</t>
  </si>
  <si>
    <t>Despesas da Prestação de Serviços</t>
  </si>
  <si>
    <t>Despesas da Atividade Rural</t>
  </si>
  <si>
    <t>Despesas das Atividades Ligadas à Educação e Saúde</t>
  </si>
  <si>
    <t>Despesas de Atividades de Assistência Social</t>
  </si>
  <si>
    <t>Despesas das Atividades Imobiliárias</t>
  </si>
  <si>
    <t>Despesas das Atividades em Geral</t>
  </si>
  <si>
    <t>Contas de Resultado Devedoras  (Custos e Despesas) - Resultado</t>
  </si>
  <si>
    <t>Demonstração do Resultado do Exercício (DRE)</t>
  </si>
  <si>
    <t>Contas do Passivo Não Circulante - Resultado</t>
  </si>
  <si>
    <t>2 - RECEITAS - DRE</t>
  </si>
  <si>
    <t>2.1 - DESPESAS (DRE)</t>
  </si>
  <si>
    <t>2.2 - DEMONSTRAÇÃO DE RESULTADO DE EXERCÍCIO (DRE)</t>
  </si>
  <si>
    <t>1.4 - BALANÇO PATRIMÔNIAL</t>
  </si>
  <si>
    <t>1.3 - PASSIVO NÃO CIRCULANTE</t>
  </si>
  <si>
    <t>1.2 - PASSIVO CIRCULANTE</t>
  </si>
  <si>
    <t>1.1 - ATIVO NÃO CIRCULANTE</t>
  </si>
  <si>
    <t>1 - ATIVO CIRCULANTE</t>
  </si>
  <si>
    <t>Interpretação do índice</t>
  </si>
  <si>
    <t>5. RELATÓRIOS DE IMPRESSÃO</t>
  </si>
  <si>
    <t>4. ALERTAS E DICAS</t>
  </si>
  <si>
    <t xml:space="preserve">PLANILHA DE </t>
  </si>
  <si>
    <t>Seja bem-vindo(a). Com esta planilha você terá o controle das finanças da empresa e poderá tomar decisões importantes com base em números</t>
  </si>
  <si>
    <t>Instruções sobre como você deve começar</t>
  </si>
  <si>
    <t>Veja os resultados através de gráficos</t>
  </si>
  <si>
    <t>Imprima um relatório financeiro completo</t>
  </si>
  <si>
    <t>Já separamos uma aba exclusiva com suas principais informações financeiras prontas para impressão. Basta entrar no relatório e imprimir!</t>
  </si>
  <si>
    <t xml:space="preserve"> Balanço Patrimonial </t>
  </si>
  <si>
    <t>Os valores devem ser registrados aqui. Você irá relacionar isso de acordo com  e a uma categoria das contas do Ativo (circulante e não circulante) e do Passivo (circulante, não circulante e Patrimôni Líquido.</t>
  </si>
  <si>
    <t>Demonstração de Resultado de Exercício (DRE)</t>
  </si>
  <si>
    <t>A Demonstração do Resultado do Exercício tem como objetivo principal apresentarr esumida o resultado apurado em relação ao conjunto de operações realizadas num determinado período, normalmente, de doze meses.</t>
  </si>
  <si>
    <t>Aqui você verá os gráficos a partir de todos os dados que você cadastrou em “Balanço Patromônial” e “DRE” . É uma forma rápida e agradável para visualizar seus resultados de forma prática.</t>
  </si>
  <si>
    <t xml:space="preserve">Faça uma Análise de Balanço </t>
  </si>
  <si>
    <t>Identifique os fatores positivos ou negativos sobre a saúde financeira e administrativa das empresas nos números divulgados em seus balanços patrimoniais</t>
  </si>
  <si>
    <t>Valor Total do Passivo Não Circulante</t>
  </si>
  <si>
    <t xml:space="preserve">RELATÓRIO DE IMPRESSÃO: </t>
  </si>
  <si>
    <r>
      <rPr>
        <b/>
        <sz val="28"/>
        <color theme="1"/>
        <rFont val="Calibri"/>
        <family val="2"/>
        <scheme val="minor"/>
      </rPr>
      <t xml:space="preserve">1 - </t>
    </r>
    <r>
      <rPr>
        <sz val="28"/>
        <color theme="1"/>
        <rFont val="Calibri"/>
        <family val="2"/>
        <scheme val="minor"/>
      </rPr>
      <t>Ativo Circulante</t>
    </r>
  </si>
  <si>
    <r>
      <t xml:space="preserve">1.1 - </t>
    </r>
    <r>
      <rPr>
        <sz val="28"/>
        <color theme="1"/>
        <rFont val="Calibri"/>
        <family val="2"/>
        <scheme val="minor"/>
      </rPr>
      <t>Ativo Não Circulante</t>
    </r>
  </si>
  <si>
    <r>
      <t xml:space="preserve">1.2 - </t>
    </r>
    <r>
      <rPr>
        <sz val="28"/>
        <color theme="1"/>
        <rFont val="Calibri"/>
        <family val="2"/>
        <scheme val="minor"/>
      </rPr>
      <t>Passivo Circulante</t>
    </r>
  </si>
  <si>
    <r>
      <t xml:space="preserve">1.3 - </t>
    </r>
    <r>
      <rPr>
        <sz val="28"/>
        <color theme="1"/>
        <rFont val="Calibri"/>
        <family val="2"/>
        <scheme val="minor"/>
      </rPr>
      <t>Passivo Não Circulante</t>
    </r>
  </si>
  <si>
    <r>
      <t xml:space="preserve">1.4 - </t>
    </r>
    <r>
      <rPr>
        <sz val="28"/>
        <color theme="1"/>
        <rFont val="Calibri"/>
        <family val="2"/>
        <scheme val="minor"/>
      </rPr>
      <t>Balanço Patromônial</t>
    </r>
  </si>
  <si>
    <r>
      <t xml:space="preserve">2 - </t>
    </r>
    <r>
      <rPr>
        <sz val="28"/>
        <color theme="1"/>
        <rFont val="Calibri"/>
        <family val="2"/>
        <scheme val="minor"/>
      </rPr>
      <t>Receitas</t>
    </r>
  </si>
  <si>
    <r>
      <t xml:space="preserve">2.1 - </t>
    </r>
    <r>
      <rPr>
        <sz val="28"/>
        <color theme="1"/>
        <rFont val="Calibri"/>
        <family val="2"/>
        <scheme val="minor"/>
      </rPr>
      <t>Despesas</t>
    </r>
  </si>
  <si>
    <r>
      <t xml:space="preserve">2.2 - </t>
    </r>
    <r>
      <rPr>
        <sz val="28"/>
        <color theme="1"/>
        <rFont val="Calibri"/>
        <family val="2"/>
        <scheme val="minor"/>
      </rPr>
      <t>DRE</t>
    </r>
  </si>
  <si>
    <t xml:space="preserve">BALANÇO PATRIMÔNIAL E ANÁLISE DE BALANÇO </t>
  </si>
  <si>
    <t>3 - GRÁFICOS</t>
  </si>
  <si>
    <t>Ativo Não Circulante</t>
  </si>
  <si>
    <t>Passivo Cirulante</t>
  </si>
  <si>
    <t>Receita</t>
  </si>
  <si>
    <t>Despesas</t>
  </si>
  <si>
    <r>
      <t xml:space="preserve">3 - </t>
    </r>
    <r>
      <rPr>
        <sz val="28"/>
        <color theme="1"/>
        <rFont val="Calibri"/>
        <family val="2"/>
        <scheme val="minor"/>
      </rPr>
      <t>Gráficos</t>
    </r>
  </si>
  <si>
    <t>O que é Balanço Patrmônial?</t>
  </si>
  <si>
    <t>Balanço Patrimonial é a demonstração contábil destinada a evidenciar, qualitativa e quantitativamente, numa determinada data, a posição patrimonial e financeira da Entidade.</t>
  </si>
  <si>
    <t>O denominado "Ativo Circulante" constitui-se no grupo de contas contábil que registra as disponibilidades (caixa, bancos conta movimento e aplicações financeiras), os título negociáveis (como duplicatas a receber), os estoques e outros créditos de realização a curto prazo, como adiantamento a fornecedores e empregados.</t>
  </si>
  <si>
    <t>O que é Ativo Circulante?</t>
  </si>
  <si>
    <t>O que é Ativo Não Circulante?</t>
  </si>
  <si>
    <t>No grupo de contas contábeis denominado Ativo Não Circulante são registrados todos os bens de permanência duradoura, destinados ao funcionamento normal da entidade e do seu empreendimento, assim como os direitos exercidos com essa finalidade.</t>
  </si>
  <si>
    <t>O que é Passivo Circulante?</t>
  </si>
  <si>
    <t>O que é Passivo Não Circulante?</t>
  </si>
  <si>
    <t>No grupo denominado "Passivo Circulante" são escrituradas as obrigações da entidade, inclusive financiamentos para aquisição de direitos do ativo não-circulante, quando se vencerem no exercício seguinte (prazo de 12 meses seguintes ao do balanço).</t>
  </si>
  <si>
    <t>No grupo denominado "Passivo Não Circulante" são escrituradas as obrigações da entidade, inclusive financiamentos para aquisição de direitos do ativo não-circulante, quando se vencerem após o exercício seguinte. Normalmente tais obrigações correspondem a valores exigíveis a partir do 13º mês seguinte ao do exercício social.</t>
  </si>
  <si>
    <t>O que é DRE?</t>
  </si>
  <si>
    <t>A Demonstração do Resultado do Exercício tem como objetivo principal apresentar de forma vertical resumida o resultado apurado em relação ao conjunto de operações realizadas num determinado período, normalmente, de doze meses.</t>
  </si>
  <si>
    <t>O que é Análise de Balanço?</t>
  </si>
  <si>
    <t>Denomina-se análise de balanço a atividade que busca identificar fatores positivos ou negativos sobre a saúde financeira e administrativa das empresas nos números divulgados em seus balanços patrimoniais.</t>
  </si>
  <si>
    <t>Pacote de Planilhas de Finanças Empresariais</t>
  </si>
  <si>
    <t>Você encontrará as ferramentas certas para controlar as entradas e saídas de suas contas, acompanhar o fluxo de caixa mensal durante a sua operação, calcular a lucratividade e mais outras funções.</t>
  </si>
  <si>
    <t>Pacote de Planilhas com Apostila: Controle Financeiro</t>
  </si>
  <si>
    <t>Nesse pacote você encontrará o passo a passo para não se perder ao longo do processo e ter a certeza de que está montando a melhor estrutura financeira possível para sua empresa</t>
  </si>
  <si>
    <t>Planilha de Formação de Preços para Serviços</t>
  </si>
  <si>
    <t>Com ela é possível descobrir qual é o preço ideal que você deve praticar no seu mercado levando em consideração todos os fatores importantes para a sua empresa</t>
  </si>
  <si>
    <t>Planilha de Estudo de Viabilidade Econômica 3.0</t>
  </si>
  <si>
    <t>Descubra a viabilidade do seu investimento com apenas uma planilha</t>
  </si>
  <si>
    <t>Planilha de Folha de Pagamento</t>
  </si>
  <si>
    <t>Ganhe tempo controlando com uma só ferramenta a sua folha de pagamento</t>
  </si>
  <si>
    <t>Pacote de Planilhas para Departamento Pessoal</t>
  </si>
  <si>
    <t>Adquira 7 planilhas de Departamento Pessoal que te ajudarão a administrar a sua empresa</t>
  </si>
  <si>
    <t>Economize tempo na hora de apresentar os Resultados Financeiros da sua empresa abordando pontos cruciais de maneira eficiente e um design elegante</t>
  </si>
  <si>
    <t>Veja as 7 ferramentas mais indicadas para você</t>
  </si>
  <si>
    <t>Ativo</t>
  </si>
  <si>
    <t>Passivo</t>
  </si>
  <si>
    <t>Resultado Total</t>
  </si>
  <si>
    <t>(-) Devolução de Vendas</t>
  </si>
  <si>
    <t>(-) Abatimentos</t>
  </si>
  <si>
    <t xml:space="preserve">Administrativas </t>
  </si>
  <si>
    <t>Financeiras</t>
  </si>
  <si>
    <t>Resultado do Exercício</t>
  </si>
  <si>
    <t>(-) Depreciação Acumulada de Móveis</t>
  </si>
  <si>
    <t xml:space="preserve">PLANILHA DE AVALIAÇÃO ECONÔMICO-FINANCEIRA DE EMPRESA </t>
  </si>
  <si>
    <t>BALANÇO</t>
  </si>
  <si>
    <t>SOBRE A VALOR</t>
  </si>
  <si>
    <t>1. Posso adicionar mais linhas e colunas na planilha?</t>
  </si>
</sst>
</file>

<file path=xl/styles.xml><?xml version="1.0" encoding="utf-8"?>
<styleSheet xmlns="http://schemas.openxmlformats.org/spreadsheetml/2006/main">
  <numFmts count="5">
    <numFmt numFmtId="7" formatCode="&quot;R$&quot;\ #,##0.00;\-&quot;R$&quot;\ #,##0.00"/>
    <numFmt numFmtId="44" formatCode="_-&quot;R$&quot;\ * #,##0.00_-;\-&quot;R$&quot;\ * #,##0.00_-;_-&quot;R$&quot;\ * &quot;-&quot;??_-;_-@_-"/>
    <numFmt numFmtId="164" formatCode="&quot;R$&quot;#,##0.00"/>
    <numFmt numFmtId="165" formatCode="&quot;R$&quot;\ #,##0.00"/>
    <numFmt numFmtId="166" formatCode="&quot;R$&quot;\ #,##0.000"/>
  </numFmts>
  <fonts count="35">
    <font>
      <sz val="11"/>
      <color theme="1"/>
      <name val="Calibri"/>
      <family val="2"/>
      <scheme val="minor"/>
    </font>
    <font>
      <u/>
      <sz val="11"/>
      <color theme="10"/>
      <name val="Calibri"/>
      <family val="2"/>
      <scheme val="minor"/>
    </font>
    <font>
      <sz val="11"/>
      <color theme="0"/>
      <name val="Calibri"/>
      <family val="2"/>
      <scheme val="minor"/>
    </font>
    <font>
      <sz val="11"/>
      <color theme="1"/>
      <name val="Calibri"/>
      <family val="2"/>
      <scheme val="minor"/>
    </font>
    <font>
      <sz val="18"/>
      <color rgb="FF333333"/>
      <name val="Calibri"/>
      <family val="2"/>
      <scheme val="minor"/>
    </font>
    <font>
      <sz val="14"/>
      <color rgb="FF0563C1"/>
      <name val="Calibri"/>
      <family val="2"/>
      <scheme val="minor"/>
    </font>
    <font>
      <b/>
      <sz val="14"/>
      <color theme="1"/>
      <name val="Calibri"/>
      <family val="2"/>
      <scheme val="minor"/>
    </font>
    <font>
      <sz val="14"/>
      <color rgb="FF595959"/>
      <name val="Calibri"/>
      <family val="2"/>
      <scheme val="minor"/>
    </font>
    <font>
      <sz val="12"/>
      <color theme="1"/>
      <name val="Calibri"/>
      <family val="2"/>
      <scheme val="minor"/>
    </font>
    <font>
      <b/>
      <sz val="14"/>
      <color rgb="FF00B050"/>
      <name val="Calibri"/>
      <family val="2"/>
      <scheme val="minor"/>
    </font>
    <font>
      <b/>
      <sz val="9"/>
      <color indexed="81"/>
      <name val="Segoe UI"/>
      <family val="2"/>
    </font>
    <font>
      <sz val="11"/>
      <color rgb="FF999999"/>
      <name val="Calibri"/>
      <family val="2"/>
      <scheme val="minor"/>
    </font>
    <font>
      <b/>
      <sz val="16"/>
      <color theme="1"/>
      <name val="Calibri"/>
      <family val="2"/>
      <scheme val="minor"/>
    </font>
    <font>
      <b/>
      <sz val="11"/>
      <color theme="1"/>
      <name val="Calibri"/>
      <family val="2"/>
      <scheme val="minor"/>
    </font>
    <font>
      <sz val="28"/>
      <color theme="0" tint="-0.499984740745262"/>
      <name val="Calibri"/>
      <family val="2"/>
      <scheme val="minor"/>
    </font>
    <font>
      <b/>
      <sz val="28"/>
      <color theme="1"/>
      <name val="Calibri"/>
      <family val="2"/>
      <scheme val="minor"/>
    </font>
    <font>
      <sz val="10.5"/>
      <color rgb="FF595959"/>
      <name val="Calibri"/>
      <family val="2"/>
      <scheme val="minor"/>
    </font>
    <font>
      <b/>
      <sz val="14"/>
      <color rgb="FF595959"/>
      <name val="Calibri"/>
      <family val="2"/>
      <scheme val="minor"/>
    </font>
    <font>
      <b/>
      <sz val="16"/>
      <color theme="0"/>
      <name val="Calibri"/>
      <family val="2"/>
      <scheme val="minor"/>
    </font>
    <font>
      <sz val="11"/>
      <color theme="0" tint="-0.34998626667073579"/>
      <name val="Calibri"/>
      <family val="2"/>
      <scheme val="minor"/>
    </font>
    <font>
      <sz val="36"/>
      <color theme="0" tint="-0.499984740745262"/>
      <name val="Calibri"/>
      <family val="2"/>
      <scheme val="minor"/>
    </font>
    <font>
      <b/>
      <sz val="48"/>
      <color theme="1"/>
      <name val="Calibri"/>
      <family val="2"/>
      <scheme val="minor"/>
    </font>
    <font>
      <sz val="36"/>
      <color theme="1"/>
      <name val="Calibri"/>
      <family val="2"/>
      <scheme val="minor"/>
    </font>
    <font>
      <b/>
      <sz val="26"/>
      <color theme="1"/>
      <name val="Calibri"/>
      <family val="2"/>
      <scheme val="minor"/>
    </font>
    <font>
      <sz val="28"/>
      <color theme="1"/>
      <name val="Calibri"/>
      <family val="2"/>
      <scheme val="minor"/>
    </font>
    <font>
      <sz val="14"/>
      <color theme="1"/>
      <name val="Calibri"/>
      <family val="2"/>
      <scheme val="minor"/>
    </font>
    <font>
      <b/>
      <sz val="16"/>
      <color rgb="FF595959"/>
      <name val="Calibri"/>
      <family val="2"/>
      <scheme val="minor"/>
    </font>
    <font>
      <sz val="16"/>
      <color rgb="FF3366CC"/>
      <name val="Calibri"/>
      <family val="2"/>
      <scheme val="minor"/>
    </font>
    <font>
      <sz val="16"/>
      <color theme="4"/>
      <name val="Calibri"/>
      <family val="2"/>
      <scheme val="minor"/>
    </font>
    <font>
      <sz val="10"/>
      <color rgb="FF595959"/>
      <name val="Calibri"/>
      <family val="2"/>
      <scheme val="minor"/>
    </font>
    <font>
      <sz val="11"/>
      <color theme="4"/>
      <name val="Calibri"/>
      <family val="2"/>
      <scheme val="minor"/>
    </font>
    <font>
      <b/>
      <sz val="72"/>
      <color rgb="FFFFC000"/>
      <name val="Calibri"/>
      <family val="2"/>
      <scheme val="minor"/>
    </font>
    <font>
      <b/>
      <sz val="48"/>
      <color rgb="FFFFC000"/>
      <name val="Calibri"/>
      <family val="2"/>
      <scheme val="minor"/>
    </font>
    <font>
      <b/>
      <sz val="16"/>
      <color theme="3" tint="0.39997558519241921"/>
      <name val="Calibri"/>
      <family val="2"/>
      <scheme val="minor"/>
    </font>
    <font>
      <b/>
      <sz val="18"/>
      <color theme="3" tint="0.39997558519241921"/>
      <name val="Calibri"/>
      <family val="2"/>
      <scheme val="minor"/>
    </font>
  </fonts>
  <fills count="12">
    <fill>
      <patternFill patternType="none"/>
    </fill>
    <fill>
      <patternFill patternType="gray125"/>
    </fill>
    <fill>
      <patternFill patternType="solid">
        <fgColor rgb="FF333333"/>
        <bgColor indexed="64"/>
      </patternFill>
    </fill>
    <fill>
      <patternFill patternType="solid">
        <fgColor theme="0" tint="-4.9989318521683403E-2"/>
        <bgColor indexed="64"/>
      </patternFill>
    </fill>
    <fill>
      <patternFill patternType="solid">
        <fgColor rgb="FFF2F2F2"/>
        <bgColor indexed="64"/>
      </patternFill>
    </fill>
    <fill>
      <patternFill patternType="solid">
        <fgColor rgb="FF6699CC"/>
        <bgColor indexed="64"/>
      </patternFill>
    </fill>
    <fill>
      <patternFill patternType="solid">
        <fgColor theme="0"/>
        <bgColor indexed="64"/>
      </patternFill>
    </fill>
    <fill>
      <patternFill patternType="solid">
        <fgColor theme="8" tint="-0.249977111117893"/>
        <bgColor indexed="64"/>
      </patternFill>
    </fill>
    <fill>
      <patternFill patternType="solid">
        <fgColor rgb="FFECF0F1"/>
        <bgColor indexed="64"/>
      </patternFill>
    </fill>
    <fill>
      <patternFill patternType="solid">
        <fgColor rgb="FF31869B"/>
        <bgColor indexed="64"/>
      </patternFill>
    </fill>
    <fill>
      <patternFill patternType="solid">
        <fgColor rgb="FF5B98CF"/>
        <bgColor indexed="64"/>
      </patternFill>
    </fill>
    <fill>
      <patternFill patternType="solid">
        <fgColor theme="3" tint="0.39997558519241921"/>
        <bgColor indexed="64"/>
      </patternFill>
    </fill>
  </fills>
  <borders count="18">
    <border>
      <left/>
      <right/>
      <top/>
      <bottom/>
      <diagonal/>
    </border>
    <border>
      <left/>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style="thick">
        <color theme="0"/>
      </left>
      <right style="thick">
        <color theme="0"/>
      </right>
      <top style="thick">
        <color theme="0"/>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ck">
        <color theme="0"/>
      </left>
      <right/>
      <top/>
      <bottom/>
      <diagonal/>
    </border>
    <border>
      <left/>
      <right style="thin">
        <color theme="0" tint="-0.14999847407452621"/>
      </right>
      <top/>
      <bottom style="thin">
        <color theme="0" tint="-0.14999847407452621"/>
      </bottom>
      <diagonal/>
    </border>
    <border>
      <left style="thick">
        <color theme="0"/>
      </left>
      <right/>
      <top/>
      <bottom style="thick">
        <color theme="0"/>
      </bottom>
      <diagonal/>
    </border>
    <border>
      <left/>
      <right/>
      <top/>
      <bottom style="thick">
        <color theme="0"/>
      </bottom>
      <diagonal/>
    </border>
  </borders>
  <cellStyleXfs count="3">
    <xf numFmtId="0" fontId="0" fillId="0" borderId="0"/>
    <xf numFmtId="0" fontId="1" fillId="0" borderId="0" applyNumberFormat="0" applyFill="0" applyBorder="0" applyAlignment="0" applyProtection="0"/>
    <xf numFmtId="44" fontId="3" fillId="0" borderId="0" applyFont="0" applyFill="0" applyBorder="0" applyAlignment="0" applyProtection="0"/>
  </cellStyleXfs>
  <cellXfs count="198">
    <xf numFmtId="0" fontId="0" fillId="0" borderId="0" xfId="0"/>
    <xf numFmtId="0" fontId="0" fillId="2" borderId="0" xfId="0" applyFill="1"/>
    <xf numFmtId="0" fontId="2" fillId="0" borderId="0" xfId="0" applyFont="1"/>
    <xf numFmtId="0" fontId="0" fillId="4" borderId="0" xfId="0" applyFill="1"/>
    <xf numFmtId="0" fontId="4" fillId="4" borderId="0" xfId="0" applyFont="1" applyFill="1"/>
    <xf numFmtId="44" fontId="0" fillId="0" borderId="0" xfId="2" applyFont="1"/>
    <xf numFmtId="165" fontId="0" fillId="6" borderId="11" xfId="0" applyNumberFormat="1" applyFill="1" applyBorder="1" applyAlignment="1" applyProtection="1">
      <alignment horizontal="center" vertical="center"/>
      <protection locked="0"/>
    </xf>
    <xf numFmtId="165" fontId="0" fillId="6" borderId="12" xfId="0" applyNumberFormat="1" applyFill="1" applyBorder="1" applyAlignment="1" applyProtection="1">
      <alignment horizontal="center" vertical="center"/>
      <protection locked="0"/>
    </xf>
    <xf numFmtId="0" fontId="0" fillId="6" borderId="11" xfId="0" applyFill="1" applyBorder="1" applyAlignment="1" applyProtection="1">
      <alignment horizontal="left" vertical="center" wrapText="1"/>
      <protection locked="0"/>
    </xf>
    <xf numFmtId="0" fontId="0" fillId="6" borderId="12" xfId="0" applyFill="1" applyBorder="1" applyAlignment="1" applyProtection="1">
      <alignment horizontal="left" vertical="center" wrapText="1"/>
      <protection locked="0"/>
    </xf>
    <xf numFmtId="3" fontId="2" fillId="5" borderId="8" xfId="0" applyNumberFormat="1" applyFont="1" applyFill="1" applyBorder="1" applyAlignment="1" applyProtection="1">
      <alignment horizontal="center" vertical="center" wrapText="1"/>
    </xf>
    <xf numFmtId="3" fontId="11" fillId="8" borderId="6" xfId="0" applyNumberFormat="1" applyFont="1" applyFill="1" applyBorder="1" applyAlignment="1" applyProtection="1">
      <alignment horizontal="center" vertical="center"/>
    </xf>
    <xf numFmtId="10" fontId="11" fillId="8" borderId="6" xfId="0" applyNumberFormat="1" applyFont="1" applyFill="1" applyBorder="1" applyAlignment="1" applyProtection="1">
      <alignment horizontal="center" vertical="center"/>
    </xf>
    <xf numFmtId="10" fontId="11" fillId="8" borderId="7" xfId="0" applyNumberFormat="1" applyFont="1" applyFill="1" applyBorder="1" applyAlignment="1" applyProtection="1">
      <alignment horizontal="center" vertical="center"/>
    </xf>
    <xf numFmtId="165" fontId="2" fillId="0" borderId="0" xfId="0" applyNumberFormat="1" applyFont="1"/>
    <xf numFmtId="3" fontId="11" fillId="8" borderId="14" xfId="0" applyNumberFormat="1" applyFont="1" applyFill="1" applyBorder="1" applyAlignment="1" applyProtection="1">
      <alignment horizontal="center" vertical="center"/>
    </xf>
    <xf numFmtId="0" fontId="2" fillId="5" borderId="8" xfId="0" applyFont="1" applyFill="1" applyBorder="1" applyAlignment="1">
      <alignment horizontal="left" vertical="center" wrapText="1" indent="1"/>
    </xf>
    <xf numFmtId="0" fontId="2" fillId="5" borderId="8" xfId="0" applyFont="1" applyFill="1" applyBorder="1" applyAlignment="1">
      <alignment horizontal="left" vertical="center" indent="1"/>
    </xf>
    <xf numFmtId="0" fontId="2" fillId="5" borderId="6" xfId="0" applyFont="1" applyFill="1" applyBorder="1" applyAlignment="1" applyProtection="1">
      <alignment horizontal="left" vertical="center" wrapText="1" indent="1"/>
    </xf>
    <xf numFmtId="0" fontId="0" fillId="0" borderId="0" xfId="0" applyBorder="1"/>
    <xf numFmtId="0" fontId="0" fillId="0" borderId="0" xfId="0" applyAlignment="1"/>
    <xf numFmtId="0" fontId="12" fillId="0" borderId="0" xfId="0" applyFont="1" applyAlignment="1">
      <alignment vertical="center"/>
    </xf>
    <xf numFmtId="0" fontId="0" fillId="6" borderId="0" xfId="0" applyFill="1"/>
    <xf numFmtId="0" fontId="12" fillId="0" borderId="0" xfId="0" applyFont="1" applyBorder="1" applyAlignment="1">
      <alignment vertical="center"/>
    </xf>
    <xf numFmtId="10" fontId="2" fillId="0" borderId="0" xfId="0" applyNumberFormat="1" applyFont="1"/>
    <xf numFmtId="0" fontId="0" fillId="4" borderId="0" xfId="0" applyFill="1" applyBorder="1"/>
    <xf numFmtId="0" fontId="0" fillId="0" borderId="0" xfId="0" applyFill="1" applyProtection="1"/>
    <xf numFmtId="0" fontId="22" fillId="0" borderId="0" xfId="0" applyFont="1" applyBorder="1" applyAlignment="1">
      <alignment vertical="center"/>
    </xf>
    <xf numFmtId="0" fontId="23" fillId="0" borderId="0" xfId="0" applyFont="1" applyAlignment="1">
      <alignment vertical="center"/>
    </xf>
    <xf numFmtId="0" fontId="15" fillId="0" borderId="0" xfId="0" applyFont="1" applyBorder="1" applyAlignment="1">
      <alignment vertical="center"/>
    </xf>
    <xf numFmtId="0" fontId="23" fillId="0" borderId="0" xfId="0" applyFont="1" applyBorder="1" applyAlignment="1">
      <alignment vertical="center"/>
    </xf>
    <xf numFmtId="0" fontId="20" fillId="0" borderId="0" xfId="0" applyFont="1" applyAlignment="1">
      <alignment vertical="top"/>
    </xf>
    <xf numFmtId="0" fontId="14" fillId="0" borderId="0" xfId="0" applyFont="1" applyAlignment="1">
      <alignment vertical="top"/>
    </xf>
    <xf numFmtId="0" fontId="24" fillId="0" borderId="0" xfId="0" applyFont="1" applyBorder="1" applyAlignment="1">
      <alignment vertical="center"/>
    </xf>
    <xf numFmtId="0" fontId="15" fillId="0" borderId="0" xfId="0" applyFont="1" applyAlignment="1">
      <alignment vertical="center" wrapText="1"/>
    </xf>
    <xf numFmtId="0" fontId="0" fillId="0" borderId="0" xfId="0" applyAlignment="1">
      <alignment horizontal="left"/>
    </xf>
    <xf numFmtId="0" fontId="21" fillId="0" borderId="0" xfId="0" applyFont="1" applyAlignment="1">
      <alignment horizontal="left" vertical="center" wrapText="1"/>
    </xf>
    <xf numFmtId="10" fontId="11" fillId="8" borderId="8" xfId="0" applyNumberFormat="1" applyFont="1" applyFill="1" applyBorder="1" applyAlignment="1" applyProtection="1">
      <alignment horizontal="center" vertical="center"/>
    </xf>
    <xf numFmtId="0" fontId="20" fillId="0" borderId="0" xfId="0" applyFont="1" applyBorder="1" applyAlignment="1">
      <alignment vertical="top"/>
    </xf>
    <xf numFmtId="0" fontId="0" fillId="0" borderId="0" xfId="0" applyAlignment="1">
      <alignment wrapText="1"/>
    </xf>
    <xf numFmtId="0" fontId="25" fillId="0" borderId="0" xfId="0" applyFont="1"/>
    <xf numFmtId="0" fontId="0" fillId="0" borderId="0" xfId="0" applyProtection="1"/>
    <xf numFmtId="0" fontId="16" fillId="0" borderId="0" xfId="0" applyFont="1" applyAlignment="1" applyProtection="1">
      <alignment vertical="center"/>
    </xf>
    <xf numFmtId="0" fontId="30" fillId="0" borderId="0" xfId="0" applyFont="1" applyAlignment="1" applyProtection="1">
      <alignment vertical="center"/>
    </xf>
    <xf numFmtId="0" fontId="16" fillId="0" borderId="0" xfId="0" applyFont="1" applyAlignment="1" applyProtection="1">
      <alignment vertical="center" wrapText="1"/>
    </xf>
    <xf numFmtId="3" fontId="2" fillId="9" borderId="8" xfId="0" applyNumberFormat="1" applyFont="1" applyFill="1" applyBorder="1" applyAlignment="1" applyProtection="1">
      <alignment horizontal="center" vertical="center" wrapText="1"/>
    </xf>
    <xf numFmtId="165" fontId="11" fillId="8" borderId="8" xfId="0" applyNumberFormat="1" applyFont="1" applyFill="1" applyBorder="1" applyAlignment="1" applyProtection="1">
      <alignment horizontal="center" vertical="center"/>
    </xf>
    <xf numFmtId="3" fontId="2" fillId="5" borderId="6" xfId="0" applyNumberFormat="1" applyFont="1" applyFill="1" applyBorder="1" applyAlignment="1" applyProtection="1">
      <alignment horizontal="center" vertical="center" wrapText="1"/>
    </xf>
    <xf numFmtId="165" fontId="11" fillId="8" borderId="6" xfId="0" applyNumberFormat="1" applyFont="1" applyFill="1" applyBorder="1" applyAlignment="1" applyProtection="1">
      <alignment horizontal="center" vertical="center"/>
    </xf>
    <xf numFmtId="3" fontId="2" fillId="9" borderId="6" xfId="0" applyNumberFormat="1" applyFont="1" applyFill="1" applyBorder="1" applyAlignment="1" applyProtection="1">
      <alignment horizontal="center" vertical="center" wrapText="1"/>
    </xf>
    <xf numFmtId="0" fontId="2" fillId="5" borderId="6" xfId="0" applyFont="1" applyFill="1" applyBorder="1" applyAlignment="1" applyProtection="1">
      <alignment horizontal="center" vertical="center" wrapText="1"/>
    </xf>
    <xf numFmtId="0" fontId="2" fillId="5" borderId="8" xfId="0" applyFont="1" applyFill="1" applyBorder="1" applyAlignment="1" applyProtection="1">
      <alignment horizontal="left" vertical="center" wrapText="1" indent="1"/>
    </xf>
    <xf numFmtId="0" fontId="2" fillId="5" borderId="8" xfId="0" applyFont="1" applyFill="1" applyBorder="1" applyAlignment="1" applyProtection="1">
      <alignment horizontal="center" vertical="center" wrapText="1"/>
    </xf>
    <xf numFmtId="0" fontId="16" fillId="0" borderId="0" xfId="0" applyFont="1" applyAlignment="1" applyProtection="1">
      <alignment horizontal="left" vertical="center" wrapText="1"/>
    </xf>
    <xf numFmtId="0" fontId="29" fillId="0" borderId="0" xfId="0" applyFont="1" applyAlignment="1" applyProtection="1">
      <alignment horizontal="left" vertical="center" wrapText="1"/>
    </xf>
    <xf numFmtId="0" fontId="0" fillId="2" borderId="0" xfId="0" applyFill="1" applyProtection="1"/>
    <xf numFmtId="0" fontId="15" fillId="0" borderId="0" xfId="0" applyFont="1" applyAlignment="1" applyProtection="1">
      <alignment vertical="center" wrapText="1"/>
    </xf>
    <xf numFmtId="0" fontId="18" fillId="0" borderId="0" xfId="0" applyFont="1" applyProtection="1"/>
    <xf numFmtId="0" fontId="0" fillId="4" borderId="0" xfId="0" applyFill="1" applyProtection="1"/>
    <xf numFmtId="0" fontId="4" fillId="4" borderId="0" xfId="0" applyFont="1" applyFill="1" applyProtection="1"/>
    <xf numFmtId="0" fontId="2" fillId="7" borderId="8" xfId="0" applyFont="1" applyFill="1" applyBorder="1" applyAlignment="1" applyProtection="1">
      <alignment horizontal="center" vertical="center"/>
    </xf>
    <xf numFmtId="0" fontId="2" fillId="5" borderId="8" xfId="0" applyFont="1" applyFill="1" applyBorder="1" applyAlignment="1" applyProtection="1">
      <alignment horizontal="center" vertical="center"/>
    </xf>
    <xf numFmtId="165" fontId="2" fillId="0" borderId="0" xfId="0" applyNumberFormat="1" applyFont="1" applyProtection="1"/>
    <xf numFmtId="0" fontId="0" fillId="6" borderId="12" xfId="0" applyFill="1" applyBorder="1" applyAlignment="1" applyProtection="1">
      <alignment horizontal="left" vertical="center" wrapText="1"/>
    </xf>
    <xf numFmtId="165" fontId="0" fillId="6" borderId="12" xfId="0" applyNumberFormat="1" applyFill="1" applyBorder="1" applyAlignment="1" applyProtection="1">
      <alignment horizontal="center" vertical="center"/>
    </xf>
    <xf numFmtId="0" fontId="2" fillId="5" borderId="8" xfId="0" applyFont="1" applyFill="1" applyBorder="1" applyAlignment="1" applyProtection="1">
      <alignment horizontal="left" vertical="center" indent="1"/>
    </xf>
    <xf numFmtId="7" fontId="0" fillId="6" borderId="12" xfId="0" applyNumberFormat="1" applyFill="1" applyBorder="1" applyAlignment="1" applyProtection="1">
      <alignment horizontal="center" vertical="center"/>
    </xf>
    <xf numFmtId="0" fontId="0" fillId="0" borderId="10" xfId="0" applyBorder="1" applyAlignment="1" applyProtection="1">
      <alignment horizontal="center"/>
    </xf>
    <xf numFmtId="0" fontId="2" fillId="7" borderId="6" xfId="0" applyFont="1" applyFill="1" applyBorder="1" applyAlignment="1" applyProtection="1">
      <alignment horizontal="center" vertical="center"/>
    </xf>
    <xf numFmtId="0" fontId="0" fillId="6" borderId="11" xfId="0" applyFill="1" applyBorder="1" applyAlignment="1" applyProtection="1">
      <alignment horizontal="left" vertical="center" wrapText="1"/>
    </xf>
    <xf numFmtId="165" fontId="0" fillId="6" borderId="11" xfId="0" applyNumberFormat="1" applyFill="1" applyBorder="1" applyAlignment="1" applyProtection="1">
      <alignment horizontal="center" vertical="center"/>
    </xf>
    <xf numFmtId="165" fontId="0" fillId="6" borderId="13" xfId="0" applyNumberFormat="1" applyFill="1" applyBorder="1" applyAlignment="1" applyProtection="1">
      <alignment horizontal="center" vertical="center"/>
    </xf>
    <xf numFmtId="0" fontId="2" fillId="5" borderId="6" xfId="0" applyFont="1" applyFill="1" applyBorder="1" applyAlignment="1" applyProtection="1">
      <alignment horizontal="center" vertical="center"/>
    </xf>
    <xf numFmtId="0" fontId="0" fillId="6" borderId="13" xfId="0" applyFill="1" applyBorder="1" applyAlignment="1" applyProtection="1">
      <alignment horizontal="left" vertical="center" wrapText="1"/>
    </xf>
    <xf numFmtId="0" fontId="2" fillId="4" borderId="0" xfId="0" applyFont="1" applyFill="1" applyProtection="1"/>
    <xf numFmtId="0" fontId="2" fillId="0" borderId="0" xfId="0" applyFont="1" applyProtection="1"/>
    <xf numFmtId="44" fontId="2" fillId="0" borderId="0" xfId="2" applyFont="1" applyProtection="1"/>
    <xf numFmtId="164" fontId="2" fillId="0" borderId="0" xfId="0" applyNumberFormat="1" applyFont="1" applyProtection="1"/>
    <xf numFmtId="0" fontId="2" fillId="5" borderId="6" xfId="0" applyFont="1" applyFill="1" applyBorder="1" applyAlignment="1" applyProtection="1">
      <alignment horizontal="left" vertical="center" indent="1"/>
    </xf>
    <xf numFmtId="165" fontId="0" fillId="6" borderId="15" xfId="0" applyNumberFormat="1" applyFill="1" applyBorder="1" applyAlignment="1" applyProtection="1">
      <alignment horizontal="center" vertical="center"/>
    </xf>
    <xf numFmtId="0" fontId="0" fillId="0" borderId="0" xfId="0" applyFont="1" applyProtection="1"/>
    <xf numFmtId="0" fontId="2" fillId="5" borderId="6" xfId="0" applyFont="1" applyFill="1" applyBorder="1" applyAlignment="1" applyProtection="1">
      <alignment horizontal="left" vertical="center" indent="2"/>
    </xf>
    <xf numFmtId="44" fontId="0" fillId="4" borderId="0" xfId="2" applyFont="1" applyFill="1" applyProtection="1"/>
    <xf numFmtId="44" fontId="0" fillId="0" borderId="0" xfId="2" applyFont="1" applyProtection="1"/>
    <xf numFmtId="0" fontId="0" fillId="6" borderId="15" xfId="0" applyNumberFormat="1" applyFill="1" applyBorder="1" applyAlignment="1" applyProtection="1">
      <alignment horizontal="center" vertical="center"/>
    </xf>
    <xf numFmtId="164" fontId="2" fillId="0" borderId="0" xfId="2" applyNumberFormat="1" applyFont="1" applyProtection="1"/>
    <xf numFmtId="165" fontId="2" fillId="0" borderId="0" xfId="0" applyNumberFormat="1" applyFont="1" applyAlignment="1" applyProtection="1">
      <alignment horizontal="right"/>
    </xf>
    <xf numFmtId="0" fontId="5" fillId="4" borderId="0" xfId="0" applyFont="1" applyFill="1" applyAlignment="1" applyProtection="1">
      <alignment vertical="top"/>
    </xf>
    <xf numFmtId="0" fontId="28" fillId="0" borderId="0" xfId="1" applyFont="1" applyAlignment="1" applyProtection="1">
      <alignment vertical="center"/>
    </xf>
    <xf numFmtId="0" fontId="28" fillId="0" borderId="0" xfId="1" applyFont="1" applyAlignment="1" applyProtection="1">
      <alignment horizontal="left" vertical="center"/>
    </xf>
    <xf numFmtId="0" fontId="1" fillId="0" borderId="0" xfId="1" applyBorder="1" applyAlignment="1" applyProtection="1">
      <alignment horizontal="center" vertical="center"/>
    </xf>
    <xf numFmtId="0" fontId="1" fillId="0" borderId="0" xfId="1" applyBorder="1" applyAlignment="1" applyProtection="1">
      <alignment horizontal="left" vertical="center"/>
    </xf>
    <xf numFmtId="0" fontId="27" fillId="0" borderId="0" xfId="0" applyFont="1" applyAlignment="1" applyProtection="1">
      <alignment horizontal="left" vertical="center"/>
    </xf>
    <xf numFmtId="0" fontId="0" fillId="0" borderId="0" xfId="0" applyProtection="1">
      <protection locked="0"/>
    </xf>
    <xf numFmtId="3" fontId="2" fillId="9" borderId="8" xfId="0" applyNumberFormat="1" applyFont="1" applyFill="1" applyBorder="1" applyAlignment="1" applyProtection="1">
      <alignment horizontal="center" vertical="center" wrapText="1"/>
    </xf>
    <xf numFmtId="165" fontId="11" fillId="8" borderId="6" xfId="0" applyNumberFormat="1" applyFont="1" applyFill="1" applyBorder="1" applyAlignment="1" applyProtection="1">
      <alignment horizontal="center" vertical="center"/>
    </xf>
    <xf numFmtId="0" fontId="2" fillId="5" borderId="8" xfId="0" applyFont="1" applyFill="1" applyBorder="1" applyAlignment="1" applyProtection="1">
      <alignment horizontal="left" vertical="center" wrapText="1" indent="1"/>
    </xf>
    <xf numFmtId="0" fontId="16" fillId="0" borderId="0" xfId="0" applyFont="1" applyAlignment="1" applyProtection="1">
      <alignment horizontal="left" vertical="center" wrapText="1"/>
    </xf>
    <xf numFmtId="0" fontId="1" fillId="0" borderId="0" xfId="1" applyBorder="1" applyAlignment="1" applyProtection="1">
      <alignment horizontal="left" vertical="center"/>
      <protection locked="0"/>
    </xf>
    <xf numFmtId="0" fontId="1" fillId="0" borderId="0" xfId="1" applyBorder="1" applyAlignment="1" applyProtection="1">
      <alignment horizontal="left" vertical="center"/>
    </xf>
    <xf numFmtId="0" fontId="29" fillId="0" borderId="0" xfId="0" applyFont="1" applyAlignment="1" applyProtection="1">
      <alignment horizontal="left" vertical="center" wrapText="1"/>
    </xf>
    <xf numFmtId="0" fontId="28" fillId="0" borderId="0" xfId="1" applyFont="1" applyAlignment="1" applyProtection="1">
      <alignment horizontal="left" vertical="center"/>
      <protection locked="0"/>
    </xf>
    <xf numFmtId="0" fontId="25" fillId="0" borderId="0" xfId="0" applyFont="1" applyFill="1" applyAlignment="1" applyProtection="1">
      <alignment horizontal="left" vertical="center" wrapText="1"/>
    </xf>
    <xf numFmtId="0" fontId="0" fillId="11" borderId="0" xfId="0" applyFill="1" applyProtection="1"/>
    <xf numFmtId="0" fontId="0" fillId="11" borderId="0" xfId="0" applyFill="1"/>
    <xf numFmtId="0" fontId="0" fillId="5" borderId="0" xfId="0" applyFill="1" applyProtection="1"/>
    <xf numFmtId="0" fontId="0" fillId="0" borderId="0" xfId="0" applyFill="1"/>
    <xf numFmtId="0" fontId="0" fillId="11" borderId="0" xfId="0" applyFill="1" applyBorder="1"/>
    <xf numFmtId="0" fontId="0" fillId="5" borderId="0" xfId="0" applyFill="1"/>
    <xf numFmtId="0" fontId="0" fillId="11" borderId="0" xfId="0" applyFill="1" applyAlignment="1">
      <alignment horizontal="left"/>
    </xf>
    <xf numFmtId="0" fontId="2" fillId="5" borderId="0" xfId="0" applyFont="1" applyFill="1"/>
    <xf numFmtId="0" fontId="2" fillId="5" borderId="0" xfId="0" applyFont="1" applyFill="1" applyProtection="1"/>
    <xf numFmtId="0" fontId="33" fillId="0" borderId="0" xfId="1" applyFont="1" applyFill="1" applyAlignment="1" applyProtection="1">
      <alignment horizontal="left" vertical="center"/>
      <protection locked="0"/>
    </xf>
    <xf numFmtId="0" fontId="34" fillId="0" borderId="0" xfId="1" applyFont="1" applyAlignment="1" applyProtection="1">
      <alignment horizontal="left" vertical="center"/>
      <protection locked="0"/>
    </xf>
    <xf numFmtId="0" fontId="33" fillId="0" borderId="0" xfId="1" applyFont="1" applyAlignment="1" applyProtection="1">
      <alignment horizontal="left" vertical="center"/>
      <protection locked="0"/>
    </xf>
    <xf numFmtId="0" fontId="14" fillId="0" borderId="0" xfId="0" applyFont="1" applyAlignment="1" applyProtection="1">
      <alignment horizontal="left" vertical="top"/>
    </xf>
    <xf numFmtId="0" fontId="16" fillId="0" borderId="0" xfId="0" applyFont="1" applyAlignment="1" applyProtection="1">
      <alignment horizontal="left" vertical="center" wrapText="1"/>
    </xf>
    <xf numFmtId="0" fontId="17" fillId="0" borderId="0" xfId="0" applyFont="1" applyAlignment="1" applyProtection="1">
      <alignment horizontal="left" vertical="center"/>
    </xf>
    <xf numFmtId="0" fontId="18" fillId="10" borderId="0" xfId="1" applyFont="1" applyFill="1" applyAlignment="1" applyProtection="1">
      <alignment horizontal="center" vertical="center"/>
      <protection locked="0"/>
    </xf>
    <xf numFmtId="0" fontId="13" fillId="0" borderId="0" xfId="0" applyFont="1" applyAlignment="1" applyProtection="1">
      <alignment vertical="center"/>
    </xf>
    <xf numFmtId="0" fontId="15" fillId="0" borderId="0" xfId="0" applyFont="1" applyAlignment="1" applyProtection="1">
      <alignment horizontal="left" vertical="center" wrapText="1"/>
    </xf>
    <xf numFmtId="0" fontId="31" fillId="0" borderId="0" xfId="0" applyFont="1" applyAlignment="1" applyProtection="1">
      <alignment horizontal="left" vertical="center" wrapText="1"/>
    </xf>
    <xf numFmtId="0" fontId="32" fillId="0" borderId="0" xfId="0" applyFont="1" applyAlignment="1" applyProtection="1">
      <alignment horizontal="left" vertical="center" wrapText="1"/>
    </xf>
    <xf numFmtId="0" fontId="13" fillId="0" borderId="0" xfId="0" applyFont="1" applyAlignment="1" applyProtection="1">
      <alignment horizontal="left" vertical="center"/>
    </xf>
    <xf numFmtId="0" fontId="2" fillId="5" borderId="8" xfId="0" applyFont="1" applyFill="1" applyBorder="1" applyAlignment="1" applyProtection="1">
      <alignment horizontal="center" vertical="center" wrapText="1"/>
    </xf>
    <xf numFmtId="0" fontId="2" fillId="5" borderId="5" xfId="0" applyFont="1" applyFill="1" applyBorder="1" applyAlignment="1" applyProtection="1">
      <alignment horizontal="center" vertical="center" wrapText="1"/>
    </xf>
    <xf numFmtId="165" fontId="2" fillId="5" borderId="8" xfId="0" applyNumberFormat="1" applyFont="1" applyFill="1" applyBorder="1" applyAlignment="1" applyProtection="1">
      <alignment horizontal="center" vertical="center"/>
    </xf>
    <xf numFmtId="165" fontId="2" fillId="5" borderId="5" xfId="0" applyNumberFormat="1" applyFont="1" applyFill="1" applyBorder="1" applyAlignment="1" applyProtection="1">
      <alignment horizontal="center" vertical="center"/>
    </xf>
    <xf numFmtId="0" fontId="2" fillId="7" borderId="8" xfId="0" applyFont="1" applyFill="1" applyBorder="1" applyAlignment="1" applyProtection="1">
      <alignment horizontal="center" vertical="center"/>
    </xf>
    <xf numFmtId="0" fontId="2" fillId="7" borderId="9" xfId="0" applyFont="1" applyFill="1" applyBorder="1" applyAlignment="1" applyProtection="1">
      <alignment horizontal="center" vertical="center"/>
    </xf>
    <xf numFmtId="0" fontId="2" fillId="7" borderId="5" xfId="0" applyFont="1" applyFill="1" applyBorder="1" applyAlignment="1" applyProtection="1">
      <alignment horizontal="center" vertical="center"/>
    </xf>
    <xf numFmtId="165" fontId="2" fillId="5" borderId="6" xfId="0" applyNumberFormat="1" applyFont="1" applyFill="1" applyBorder="1" applyAlignment="1" applyProtection="1">
      <alignment horizontal="center" vertical="center" wrapText="1"/>
    </xf>
    <xf numFmtId="3" fontId="2" fillId="9" borderId="8" xfId="0" applyNumberFormat="1" applyFont="1" applyFill="1" applyBorder="1" applyAlignment="1" applyProtection="1">
      <alignment horizontal="center" vertical="center" wrapText="1"/>
    </xf>
    <xf numFmtId="3" fontId="2" fillId="9" borderId="9" xfId="0" applyNumberFormat="1" applyFont="1" applyFill="1" applyBorder="1" applyAlignment="1" applyProtection="1">
      <alignment horizontal="center" vertical="center" wrapText="1"/>
    </xf>
    <xf numFmtId="3" fontId="2" fillId="9" borderId="5" xfId="0" applyNumberFormat="1" applyFont="1" applyFill="1" applyBorder="1" applyAlignment="1" applyProtection="1">
      <alignment horizontal="center" vertical="center" wrapText="1"/>
    </xf>
    <xf numFmtId="165" fontId="2" fillId="7" borderId="8" xfId="0" applyNumberFormat="1" applyFont="1" applyFill="1" applyBorder="1" applyAlignment="1" applyProtection="1">
      <alignment horizontal="center" vertical="center"/>
    </xf>
    <xf numFmtId="165" fontId="2" fillId="7" borderId="5" xfId="0" applyNumberFormat="1" applyFont="1" applyFill="1" applyBorder="1" applyAlignment="1" applyProtection="1">
      <alignment horizontal="center" vertical="center"/>
    </xf>
    <xf numFmtId="165" fontId="11" fillId="8" borderId="8" xfId="0" applyNumberFormat="1" applyFont="1" applyFill="1" applyBorder="1" applyAlignment="1" applyProtection="1">
      <alignment horizontal="center" vertical="center"/>
    </xf>
    <xf numFmtId="165" fontId="11" fillId="8" borderId="5" xfId="0" applyNumberFormat="1" applyFont="1" applyFill="1" applyBorder="1" applyAlignment="1" applyProtection="1">
      <alignment horizontal="center" vertical="center"/>
    </xf>
    <xf numFmtId="165" fontId="2" fillId="5" borderId="6" xfId="0" applyNumberFormat="1" applyFont="1" applyFill="1" applyBorder="1" applyAlignment="1" applyProtection="1">
      <alignment horizontal="center" vertical="center"/>
    </xf>
    <xf numFmtId="165" fontId="2" fillId="7" borderId="6" xfId="0" applyNumberFormat="1" applyFont="1" applyFill="1" applyBorder="1" applyAlignment="1" applyProtection="1">
      <alignment horizontal="center" vertical="center"/>
    </xf>
    <xf numFmtId="0" fontId="2" fillId="7" borderId="6" xfId="0" applyFont="1" applyFill="1" applyBorder="1" applyAlignment="1" applyProtection="1">
      <alignment horizontal="center" vertical="center"/>
    </xf>
    <xf numFmtId="3" fontId="2" fillId="9" borderId="0" xfId="0" applyNumberFormat="1" applyFont="1" applyFill="1" applyBorder="1" applyAlignment="1" applyProtection="1">
      <alignment horizontal="center" vertical="center" wrapText="1"/>
    </xf>
    <xf numFmtId="0" fontId="2" fillId="5" borderId="6" xfId="0" applyFont="1" applyFill="1" applyBorder="1" applyAlignment="1" applyProtection="1">
      <alignment horizontal="center" vertical="center" wrapText="1"/>
    </xf>
    <xf numFmtId="0" fontId="2" fillId="5" borderId="6" xfId="0" applyFont="1" applyFill="1" applyBorder="1" applyAlignment="1" applyProtection="1">
      <alignment horizontal="center" vertical="center"/>
    </xf>
    <xf numFmtId="3" fontId="2" fillId="5" borderId="6" xfId="0" applyNumberFormat="1" applyFont="1" applyFill="1" applyBorder="1" applyAlignment="1" applyProtection="1">
      <alignment horizontal="center" vertical="center" wrapText="1"/>
    </xf>
    <xf numFmtId="165" fontId="11" fillId="8" borderId="6" xfId="0" applyNumberFormat="1" applyFont="1" applyFill="1" applyBorder="1" applyAlignment="1" applyProtection="1">
      <alignment horizontal="center" vertical="center"/>
    </xf>
    <xf numFmtId="3" fontId="2" fillId="9" borderId="6" xfId="0" applyNumberFormat="1" applyFont="1" applyFill="1" applyBorder="1" applyAlignment="1" applyProtection="1">
      <alignment horizontal="center" vertical="center" wrapText="1"/>
    </xf>
    <xf numFmtId="0" fontId="2" fillId="5" borderId="6" xfId="0" applyFont="1" applyFill="1" applyBorder="1" applyAlignment="1">
      <alignment horizontal="center" vertical="center" wrapText="1"/>
    </xf>
    <xf numFmtId="0" fontId="2" fillId="7" borderId="6" xfId="0" applyFont="1" applyFill="1" applyBorder="1" applyAlignment="1">
      <alignment horizontal="center" vertical="center"/>
    </xf>
    <xf numFmtId="0" fontId="2" fillId="5" borderId="5" xfId="0" applyFont="1" applyFill="1" applyBorder="1" applyAlignment="1" applyProtection="1">
      <alignment horizontal="center" vertical="center"/>
    </xf>
    <xf numFmtId="165" fontId="2" fillId="9" borderId="6" xfId="0" applyNumberFormat="1" applyFont="1" applyFill="1" applyBorder="1" applyAlignment="1" applyProtection="1">
      <alignment horizontal="center" vertical="center" wrapText="1"/>
    </xf>
    <xf numFmtId="0" fontId="2" fillId="5" borderId="8" xfId="0" applyFont="1" applyFill="1" applyBorder="1" applyAlignment="1" applyProtection="1">
      <alignment horizontal="left" vertical="center" wrapText="1" indent="1"/>
    </xf>
    <xf numFmtId="0" fontId="2" fillId="5" borderId="5" xfId="0" applyFont="1" applyFill="1" applyBorder="1" applyAlignment="1" applyProtection="1">
      <alignment horizontal="left" vertical="center" wrapText="1" indent="1"/>
    </xf>
    <xf numFmtId="3" fontId="2" fillId="9" borderId="8" xfId="0" applyNumberFormat="1" applyFont="1" applyFill="1" applyBorder="1" applyAlignment="1" applyProtection="1">
      <alignment horizontal="left" vertical="center" wrapText="1" indent="1"/>
    </xf>
    <xf numFmtId="3" fontId="2" fillId="9" borderId="5" xfId="0" applyNumberFormat="1" applyFont="1" applyFill="1" applyBorder="1" applyAlignment="1" applyProtection="1">
      <alignment horizontal="left" vertical="center" wrapText="1" indent="1"/>
    </xf>
    <xf numFmtId="0" fontId="2" fillId="7" borderId="8" xfId="0" applyFont="1" applyFill="1" applyBorder="1" applyAlignment="1">
      <alignment horizontal="center" vertical="center"/>
    </xf>
    <xf numFmtId="0" fontId="2" fillId="7" borderId="9" xfId="0" applyFont="1" applyFill="1" applyBorder="1" applyAlignment="1">
      <alignment horizontal="center" vertical="center"/>
    </xf>
    <xf numFmtId="0" fontId="2" fillId="7" borderId="5" xfId="0" applyFont="1" applyFill="1" applyBorder="1" applyAlignment="1">
      <alignment horizontal="center" vertical="center"/>
    </xf>
    <xf numFmtId="3" fontId="2" fillId="9" borderId="6" xfId="0" applyNumberFormat="1" applyFont="1" applyFill="1" applyBorder="1" applyAlignment="1" applyProtection="1">
      <alignment horizontal="left" vertical="center" wrapText="1" indent="1"/>
    </xf>
    <xf numFmtId="2" fontId="19" fillId="3" borderId="9" xfId="0" applyNumberFormat="1" applyFont="1" applyFill="1" applyBorder="1" applyAlignment="1" applyProtection="1">
      <alignment horizontal="center" vertical="center"/>
    </xf>
    <xf numFmtId="2" fontId="19" fillId="3" borderId="5" xfId="0" applyNumberFormat="1" applyFont="1" applyFill="1" applyBorder="1" applyAlignment="1" applyProtection="1">
      <alignment horizontal="center" vertical="center"/>
    </xf>
    <xf numFmtId="0" fontId="19" fillId="3" borderId="8" xfId="0" applyNumberFormat="1" applyFont="1" applyFill="1" applyBorder="1" applyAlignment="1" applyProtection="1">
      <alignment horizontal="center" vertical="center"/>
    </xf>
    <xf numFmtId="0" fontId="19" fillId="3" borderId="5" xfId="0" applyNumberFormat="1" applyFont="1" applyFill="1" applyBorder="1" applyAlignment="1" applyProtection="1">
      <alignment horizontal="center" vertical="center"/>
    </xf>
    <xf numFmtId="0" fontId="2" fillId="8" borderId="8" xfId="0" applyNumberFormat="1" applyFont="1" applyFill="1" applyBorder="1" applyAlignment="1" applyProtection="1">
      <alignment horizontal="center" vertical="center"/>
    </xf>
    <xf numFmtId="0" fontId="2" fillId="8" borderId="5" xfId="0" applyNumberFormat="1" applyFont="1" applyFill="1" applyBorder="1" applyAlignment="1" applyProtection="1">
      <alignment horizontal="center" vertical="center"/>
    </xf>
    <xf numFmtId="165" fontId="2" fillId="8" borderId="6" xfId="0" applyNumberFormat="1" applyFont="1" applyFill="1" applyBorder="1" applyAlignment="1" applyProtection="1">
      <alignment horizontal="center" vertical="center" wrapText="1"/>
    </xf>
    <xf numFmtId="165" fontId="2" fillId="8" borderId="8" xfId="0" applyNumberFormat="1" applyFont="1" applyFill="1" applyBorder="1" applyAlignment="1" applyProtection="1">
      <alignment horizontal="center" vertical="center"/>
    </xf>
    <xf numFmtId="165" fontId="2" fillId="8" borderId="5" xfId="0" applyNumberFormat="1" applyFont="1" applyFill="1" applyBorder="1" applyAlignment="1" applyProtection="1">
      <alignment horizontal="center" vertical="center"/>
    </xf>
    <xf numFmtId="10" fontId="19" fillId="3" borderId="6" xfId="0" applyNumberFormat="1" applyFont="1" applyFill="1" applyBorder="1" applyAlignment="1" applyProtection="1">
      <alignment horizontal="center" vertical="center" wrapText="1"/>
    </xf>
    <xf numFmtId="0" fontId="19" fillId="3" borderId="6" xfId="0" applyFont="1" applyFill="1" applyBorder="1" applyAlignment="1" applyProtection="1">
      <alignment horizontal="center" vertical="center" wrapText="1"/>
    </xf>
    <xf numFmtId="165" fontId="19" fillId="3" borderId="6" xfId="0" applyNumberFormat="1" applyFont="1" applyFill="1" applyBorder="1" applyAlignment="1" applyProtection="1">
      <alignment horizontal="center" vertical="center" wrapText="1"/>
    </xf>
    <xf numFmtId="0" fontId="11" fillId="8" borderId="8" xfId="0" applyNumberFormat="1" applyFont="1" applyFill="1" applyBorder="1" applyAlignment="1" applyProtection="1">
      <alignment horizontal="center" vertical="center"/>
    </xf>
    <xf numFmtId="0" fontId="11" fillId="8" borderId="5" xfId="0" applyNumberFormat="1" applyFont="1" applyFill="1" applyBorder="1" applyAlignment="1" applyProtection="1">
      <alignment horizontal="center" vertical="center"/>
    </xf>
    <xf numFmtId="165" fontId="19" fillId="3" borderId="6" xfId="2" applyNumberFormat="1" applyFont="1" applyFill="1" applyBorder="1" applyAlignment="1" applyProtection="1">
      <alignment horizontal="center" vertical="center" wrapText="1"/>
    </xf>
    <xf numFmtId="166" fontId="19" fillId="3" borderId="6" xfId="2" applyNumberFormat="1" applyFont="1" applyFill="1" applyBorder="1" applyAlignment="1" applyProtection="1">
      <alignment horizontal="center" vertical="center" wrapText="1"/>
    </xf>
    <xf numFmtId="2" fontId="11" fillId="8" borderId="8" xfId="0" applyNumberFormat="1" applyFont="1" applyFill="1" applyBorder="1" applyAlignment="1" applyProtection="1">
      <alignment horizontal="center" vertical="center"/>
    </xf>
    <xf numFmtId="2" fontId="11" fillId="8" borderId="5" xfId="0" applyNumberFormat="1" applyFont="1" applyFill="1" applyBorder="1" applyAlignment="1" applyProtection="1">
      <alignment horizontal="center" vertical="center"/>
    </xf>
    <xf numFmtId="0" fontId="2" fillId="5" borderId="8"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15" fillId="0" borderId="0" xfId="0" applyFont="1" applyAlignment="1">
      <alignment horizontal="left" vertical="center" wrapText="1"/>
    </xf>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2" fillId="7" borderId="16" xfId="0" applyFont="1" applyFill="1" applyBorder="1" applyAlignment="1">
      <alignment horizontal="center" vertical="center" wrapText="1"/>
    </xf>
    <xf numFmtId="0" fontId="2" fillId="7" borderId="17" xfId="0" applyFont="1" applyFill="1" applyBorder="1" applyAlignment="1">
      <alignment horizontal="center" vertical="center" wrapText="1"/>
    </xf>
    <xf numFmtId="0" fontId="7" fillId="0" borderId="2" xfId="0" applyFont="1" applyBorder="1" applyAlignment="1" applyProtection="1">
      <alignment horizontal="left" vertical="center" indent="1"/>
      <protection locked="0"/>
    </xf>
    <xf numFmtId="0" fontId="7" fillId="0" borderId="3" xfId="0" applyFont="1" applyBorder="1" applyAlignment="1" applyProtection="1">
      <alignment horizontal="left" vertical="center" indent="1"/>
      <protection locked="0"/>
    </xf>
    <xf numFmtId="0" fontId="7" fillId="0" borderId="4" xfId="0" applyFont="1" applyBorder="1" applyAlignment="1" applyProtection="1">
      <alignment horizontal="left" vertical="center" indent="1"/>
      <protection locked="0"/>
    </xf>
    <xf numFmtId="0" fontId="8" fillId="0" borderId="0" xfId="0" applyFont="1" applyAlignment="1">
      <alignment horizontal="left" vertical="top" wrapText="1" indent="1"/>
    </xf>
    <xf numFmtId="0" fontId="6" fillId="0" borderId="0" xfId="0" applyFont="1" applyAlignment="1">
      <alignment horizontal="center" vertical="center"/>
    </xf>
    <xf numFmtId="0" fontId="9" fillId="0" borderId="1" xfId="0" applyFont="1" applyBorder="1" applyAlignment="1">
      <alignment horizontal="center" vertical="center"/>
    </xf>
    <xf numFmtId="0" fontId="26" fillId="0" borderId="0" xfId="0" applyFont="1" applyAlignment="1" applyProtection="1">
      <alignment horizontal="left" vertical="center"/>
    </xf>
    <xf numFmtId="0" fontId="1" fillId="0" borderId="0" xfId="1" applyBorder="1" applyAlignment="1" applyProtection="1">
      <alignment horizontal="left" vertical="center"/>
      <protection locked="0"/>
    </xf>
    <xf numFmtId="0" fontId="1" fillId="0" borderId="0" xfId="1" applyBorder="1" applyAlignment="1" applyProtection="1">
      <alignment horizontal="left" vertical="center"/>
    </xf>
    <xf numFmtId="0" fontId="18" fillId="10" borderId="0" xfId="0" applyFont="1" applyFill="1" applyAlignment="1" applyProtection="1">
      <alignment horizontal="center" vertical="center"/>
      <protection locked="0"/>
    </xf>
    <xf numFmtId="0" fontId="1" fillId="0" borderId="0" xfId="1" applyBorder="1" applyAlignment="1" applyProtection="1">
      <alignment horizontal="center" vertical="center"/>
    </xf>
    <xf numFmtId="0" fontId="29" fillId="0" borderId="0" xfId="0" applyFont="1" applyAlignment="1" applyProtection="1">
      <alignment horizontal="left" vertical="center" wrapText="1"/>
    </xf>
    <xf numFmtId="0" fontId="34" fillId="0" borderId="0" xfId="1" applyFont="1" applyAlignment="1" applyProtection="1">
      <alignment horizontal="left" vertical="center"/>
      <protection locked="0"/>
    </xf>
  </cellXfs>
  <cellStyles count="3">
    <cellStyle name="Hyperlink" xfId="1" builtinId="8"/>
    <cellStyle name="Moeda" xfId="2" builtinId="4"/>
    <cellStyle name="Normal" xfId="0" builtinId="0"/>
  </cellStyles>
  <dxfs count="36">
    <dxf>
      <fill>
        <patternFill>
          <bgColor rgb="FF99CC99"/>
        </patternFill>
      </fill>
    </dxf>
    <dxf>
      <fill>
        <patternFill>
          <bgColor rgb="FFFD6666"/>
        </patternFill>
      </fill>
    </dxf>
    <dxf>
      <fill>
        <patternFill>
          <bgColor rgb="FF99CC99"/>
        </patternFill>
      </fill>
    </dxf>
    <dxf>
      <fill>
        <patternFill>
          <bgColor rgb="FFFD6666"/>
        </patternFill>
      </fill>
    </dxf>
    <dxf>
      <fill>
        <patternFill>
          <bgColor rgb="FF99CC99"/>
        </patternFill>
      </fill>
    </dxf>
    <dxf>
      <fill>
        <patternFill>
          <bgColor rgb="FFFD6666"/>
        </patternFill>
      </fill>
    </dxf>
    <dxf>
      <fill>
        <patternFill>
          <bgColor rgb="FF99CC99"/>
        </patternFill>
      </fill>
    </dxf>
    <dxf>
      <fill>
        <patternFill>
          <bgColor rgb="FFFD6666"/>
        </patternFill>
      </fill>
    </dxf>
    <dxf>
      <fill>
        <patternFill>
          <bgColor rgb="FF99CC99"/>
        </patternFill>
      </fill>
    </dxf>
    <dxf>
      <fill>
        <patternFill>
          <bgColor rgb="FFFD6666"/>
        </patternFill>
      </fill>
    </dxf>
    <dxf>
      <fill>
        <patternFill>
          <bgColor rgb="FF99CC99"/>
        </patternFill>
      </fill>
    </dxf>
    <dxf>
      <fill>
        <patternFill>
          <bgColor rgb="FFFD6666"/>
        </patternFill>
      </fill>
    </dxf>
    <dxf>
      <fill>
        <patternFill>
          <bgColor rgb="FF99CC99"/>
        </patternFill>
      </fill>
    </dxf>
    <dxf>
      <fill>
        <patternFill>
          <bgColor rgb="FFFD6666"/>
        </patternFill>
      </fill>
    </dxf>
    <dxf>
      <fill>
        <patternFill>
          <bgColor rgb="FF99CC99"/>
        </patternFill>
      </fill>
    </dxf>
    <dxf>
      <fill>
        <patternFill>
          <bgColor rgb="FFFD6666"/>
        </patternFill>
      </fill>
    </dxf>
    <dxf>
      <fill>
        <patternFill>
          <bgColor rgb="FF99CC99"/>
        </patternFill>
      </fill>
    </dxf>
    <dxf>
      <fill>
        <patternFill>
          <bgColor rgb="FFFD6666"/>
        </patternFill>
      </fill>
    </dxf>
    <dxf>
      <fill>
        <patternFill>
          <bgColor rgb="FF99CC99"/>
        </patternFill>
      </fill>
    </dxf>
    <dxf>
      <fill>
        <patternFill>
          <bgColor rgb="FFFD6666"/>
        </patternFill>
      </fill>
    </dxf>
    <dxf>
      <fill>
        <patternFill>
          <bgColor rgb="FF99CC99"/>
        </patternFill>
      </fill>
    </dxf>
    <dxf>
      <fill>
        <patternFill>
          <bgColor rgb="FFFD6666"/>
        </patternFill>
      </fill>
    </dxf>
    <dxf>
      <fill>
        <patternFill>
          <bgColor rgb="FF99CC99"/>
        </patternFill>
      </fill>
    </dxf>
    <dxf>
      <fill>
        <patternFill>
          <bgColor rgb="FFFD6666"/>
        </patternFill>
      </fill>
    </dxf>
    <dxf>
      <fill>
        <patternFill>
          <bgColor rgb="FF99CC99"/>
        </patternFill>
      </fill>
    </dxf>
    <dxf>
      <fill>
        <patternFill>
          <bgColor rgb="FFFD6666"/>
        </patternFill>
      </fill>
    </dxf>
    <dxf>
      <fill>
        <patternFill>
          <bgColor rgb="FF99CC99"/>
        </patternFill>
      </fill>
    </dxf>
    <dxf>
      <fill>
        <patternFill>
          <bgColor rgb="FFFD6666"/>
        </patternFill>
      </fill>
    </dxf>
    <dxf>
      <fill>
        <patternFill>
          <bgColor rgb="FF99CC99"/>
        </patternFill>
      </fill>
    </dxf>
    <dxf>
      <fill>
        <patternFill>
          <bgColor rgb="FFFD6666"/>
        </patternFill>
      </fill>
    </dxf>
    <dxf>
      <fill>
        <patternFill>
          <bgColor rgb="FF99CC99"/>
        </patternFill>
      </fill>
    </dxf>
    <dxf>
      <fill>
        <patternFill>
          <bgColor rgb="FFFD6666"/>
        </patternFill>
      </fill>
    </dxf>
    <dxf>
      <fill>
        <patternFill>
          <bgColor rgb="FF99CC99"/>
        </patternFill>
      </fill>
    </dxf>
    <dxf>
      <fill>
        <patternFill>
          <bgColor rgb="FFFD6666"/>
        </patternFill>
      </fill>
    </dxf>
    <dxf>
      <fill>
        <patternFill>
          <bgColor rgb="FF99CC99"/>
        </patternFill>
      </fill>
    </dxf>
    <dxf>
      <fill>
        <patternFill>
          <bgColor rgb="FFFD6666"/>
        </patternFill>
      </fill>
    </dxf>
  </dxfs>
  <tableStyles count="0" defaultTableStyle="TableStyleMedium2" defaultPivotStyle="PivotStyleLight16"/>
  <colors>
    <mruColors>
      <color rgb="FF6699CC"/>
      <color rgb="FF99CC99"/>
      <color rgb="FFC6EFCE"/>
      <color rgb="FFFD6666"/>
      <color rgb="FF31869B"/>
      <color rgb="FF333333"/>
      <color rgb="FF595959"/>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barChart>
        <c:barDir val="col"/>
        <c:grouping val="clustered"/>
        <c:ser>
          <c:idx val="1"/>
          <c:order val="0"/>
          <c:tx>
            <c:strRef>
              <c:f>Atin!$I$6</c:f>
              <c:strCache>
                <c:ptCount val="1"/>
                <c:pt idx="0">
                  <c:v>Contas do Ativo Não Circulante - Resultado</c:v>
                </c:pt>
              </c:strCache>
            </c:strRef>
          </c:tx>
          <c:spPr>
            <a:solidFill>
              <a:schemeClr val="accent1"/>
            </a:solidFill>
            <a:ln>
              <a:noFill/>
            </a:ln>
            <a:effectLst/>
          </c:spPr>
          <c:dLbls>
            <c:dLbl>
              <c:idx val="14"/>
              <c:layout>
                <c:manualLayout>
                  <c:x val="-1.6102283322351113E-16"/>
                  <c:y val="0.26111177700068006"/>
                </c:manualLayout>
              </c:layout>
              <c:dLblPos val="outEnd"/>
              <c:showVal val="1"/>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Atin!$I$7:$I$21</c:f>
              <c:strCache>
                <c:ptCount val="15"/>
                <c:pt idx="0">
                  <c:v>Valores e Bens</c:v>
                </c:pt>
                <c:pt idx="1">
                  <c:v>Garantias e Cauções</c:v>
                </c:pt>
                <c:pt idx="2">
                  <c:v>Aplicações em Instrumentos Financeiros a Longo Prazo</c:v>
                </c:pt>
                <c:pt idx="3">
                  <c:v>Depósitos Judiciais</c:v>
                </c:pt>
                <c:pt idx="4">
                  <c:v>Imóveis para Locação ou Venda</c:v>
                </c:pt>
                <c:pt idx="5">
                  <c:v>Outras Contas do Realizável</c:v>
                </c:pt>
                <c:pt idx="6">
                  <c:v>Investimentos</c:v>
                </c:pt>
                <c:pt idx="7">
                  <c:v>Imobilizado de Uso</c:v>
                </c:pt>
                <c:pt idx="8">
                  <c:v>Ativo Diferido</c:v>
                </c:pt>
                <c:pt idx="9">
                  <c:v>Intangível</c:v>
                </c:pt>
                <c:pt idx="10">
                  <c:v>Imobilizado de Arrendamento (Leaseback)</c:v>
                </c:pt>
                <c:pt idx="11">
                  <c:v>Imobilizado Para Locação</c:v>
                </c:pt>
                <c:pt idx="12">
                  <c:v>Ativo Biológico e Produto Agrícola</c:v>
                </c:pt>
                <c:pt idx="13">
                  <c:v>Imobilzado Recebido em Comodato</c:v>
                </c:pt>
                <c:pt idx="14">
                  <c:v>Outros</c:v>
                </c:pt>
              </c:strCache>
            </c:strRef>
          </c:cat>
          <c:val>
            <c:numRef>
              <c:f>Atin!$J$7:$J$21</c:f>
              <c:numCache>
                <c:formatCode>"R$"\ #,##0.00</c:formatCode>
                <c:ptCount val="15"/>
                <c:pt idx="0">
                  <c:v>65000</c:v>
                </c:pt>
                <c:pt idx="1">
                  <c:v>0</c:v>
                </c:pt>
                <c:pt idx="2">
                  <c:v>0</c:v>
                </c:pt>
                <c:pt idx="3">
                  <c:v>0</c:v>
                </c:pt>
                <c:pt idx="4">
                  <c:v>0</c:v>
                </c:pt>
                <c:pt idx="5">
                  <c:v>0</c:v>
                </c:pt>
                <c:pt idx="6">
                  <c:v>0</c:v>
                </c:pt>
                <c:pt idx="7">
                  <c:v>50000</c:v>
                </c:pt>
                <c:pt idx="8">
                  <c:v>18500</c:v>
                </c:pt>
                <c:pt idx="9">
                  <c:v>20000</c:v>
                </c:pt>
                <c:pt idx="10">
                  <c:v>0</c:v>
                </c:pt>
                <c:pt idx="11">
                  <c:v>0</c:v>
                </c:pt>
                <c:pt idx="12">
                  <c:v>0</c:v>
                </c:pt>
                <c:pt idx="13">
                  <c:v>0</c:v>
                </c:pt>
                <c:pt idx="14">
                  <c:v>-12000</c:v>
                </c:pt>
              </c:numCache>
            </c:numRef>
          </c:val>
        </c:ser>
        <c:dLbls>
          <c:showVal val="1"/>
        </c:dLbls>
        <c:gapWidth val="219"/>
        <c:overlap val="-27"/>
        <c:axId val="91446272"/>
        <c:axId val="91468544"/>
      </c:barChart>
      <c:catAx>
        <c:axId val="91446272"/>
        <c:scaling>
          <c:orientation val="minMax"/>
        </c:scaling>
        <c:axPos val="b"/>
        <c:numFmt formatCode="General" sourceLinked="1"/>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1468544"/>
        <c:crosses val="autoZero"/>
        <c:auto val="1"/>
        <c:lblAlgn val="ctr"/>
        <c:lblOffset val="100"/>
      </c:catAx>
      <c:valAx>
        <c:axId val="91468544"/>
        <c:scaling>
          <c:orientation val="minMax"/>
        </c:scaling>
        <c:delete val="1"/>
        <c:axPos val="l"/>
        <c:numFmt formatCode="&quot;R$&quot;\ #,##0.00" sourceLinked="1"/>
        <c:tickLblPos val="none"/>
        <c:crossAx val="91446272"/>
        <c:crosses val="autoZero"/>
        <c:crossBetween val="between"/>
      </c:valAx>
      <c:spPr>
        <a:noFill/>
        <a:ln>
          <a:noFill/>
        </a:ln>
        <a:effectLst/>
      </c:spPr>
    </c:plotArea>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barChart>
        <c:barDir val="col"/>
        <c:grouping val="clustered"/>
        <c:ser>
          <c:idx val="1"/>
          <c:order val="0"/>
          <c:tx>
            <c:strRef>
              <c:f>Bal!$I$6</c:f>
              <c:strCache>
                <c:ptCount val="1"/>
                <c:pt idx="0">
                  <c:v>Contas do Ativo Circulante - Resultado</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Bal!$I$7:$I$15</c:f>
              <c:strCache>
                <c:ptCount val="9"/>
                <c:pt idx="0">
                  <c:v>Disponibilidades</c:v>
                </c:pt>
                <c:pt idx="1">
                  <c:v>Aplicações em Instrumentos Financeiros</c:v>
                </c:pt>
                <c:pt idx="2">
                  <c:v>Estoque</c:v>
                </c:pt>
                <c:pt idx="3">
                  <c:v>Créditos Tributários</c:v>
                </c:pt>
                <c:pt idx="4">
                  <c:v>Clientes Créditos a Receber</c:v>
                </c:pt>
                <c:pt idx="5">
                  <c:v>Clientes Vencidos a Liquidar</c:v>
                </c:pt>
                <c:pt idx="6">
                  <c:v>Outros Créditos</c:v>
                </c:pt>
                <c:pt idx="7">
                  <c:v>Outros Valores e Bens</c:v>
                </c:pt>
                <c:pt idx="8">
                  <c:v>Despesas Antecipadas</c:v>
                </c:pt>
              </c:strCache>
            </c:strRef>
          </c:cat>
          <c:val>
            <c:numRef>
              <c:f>Bal!$J$7:$J$15</c:f>
              <c:numCache>
                <c:formatCode>"R$"\ #,##0.00</c:formatCode>
                <c:ptCount val="9"/>
                <c:pt idx="0">
                  <c:v>57560</c:v>
                </c:pt>
                <c:pt idx="1">
                  <c:v>0</c:v>
                </c:pt>
                <c:pt idx="2">
                  <c:v>46320</c:v>
                </c:pt>
                <c:pt idx="3">
                  <c:v>0</c:v>
                </c:pt>
                <c:pt idx="4">
                  <c:v>49400</c:v>
                </c:pt>
                <c:pt idx="5">
                  <c:v>0</c:v>
                </c:pt>
                <c:pt idx="6">
                  <c:v>0</c:v>
                </c:pt>
                <c:pt idx="7">
                  <c:v>0</c:v>
                </c:pt>
                <c:pt idx="8">
                  <c:v>0</c:v>
                </c:pt>
              </c:numCache>
            </c:numRef>
          </c:val>
        </c:ser>
        <c:dLbls>
          <c:showVal val="1"/>
        </c:dLbls>
        <c:gapWidth val="219"/>
        <c:overlap val="-27"/>
        <c:axId val="91767168"/>
        <c:axId val="91768704"/>
      </c:barChart>
      <c:catAx>
        <c:axId val="91767168"/>
        <c:scaling>
          <c:orientation val="minMax"/>
        </c:scaling>
        <c:axPos val="b"/>
        <c:numFmt formatCode="General" sourceLinked="1"/>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1768704"/>
        <c:crosses val="autoZero"/>
        <c:auto val="1"/>
        <c:lblAlgn val="ctr"/>
        <c:lblOffset val="100"/>
      </c:catAx>
      <c:valAx>
        <c:axId val="91768704"/>
        <c:scaling>
          <c:orientation val="minMax"/>
        </c:scaling>
        <c:delete val="1"/>
        <c:axPos val="l"/>
        <c:numFmt formatCode="&quot;R$&quot;\ #,##0.00" sourceLinked="1"/>
        <c:tickLblPos val="none"/>
        <c:crossAx val="91767168"/>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barChart>
        <c:barDir val="col"/>
        <c:grouping val="clustered"/>
        <c:ser>
          <c:idx val="1"/>
          <c:order val="0"/>
          <c:tx>
            <c:strRef>
              <c:f>Pas!$I$6</c:f>
              <c:strCache>
                <c:ptCount val="1"/>
                <c:pt idx="0">
                  <c:v>Contas do Passivo Circulante - Resultado</c:v>
                </c:pt>
              </c:strCache>
            </c:strRef>
          </c:tx>
          <c:spPr>
            <a:solidFill>
              <a:schemeClr val="accent2"/>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Pas!$I$7:$I$15</c:f>
              <c:strCache>
                <c:ptCount val="9"/>
                <c:pt idx="0">
                  <c:v>Fornecedores</c:v>
                </c:pt>
                <c:pt idx="1">
                  <c:v>Obrigações Financeiras a Curto Prazo</c:v>
                </c:pt>
                <c:pt idx="2">
                  <c:v>Obrigações Fiscais e Tributárias</c:v>
                </c:pt>
                <c:pt idx="3">
                  <c:v>Obrigações Trabalhistas e Previdenciárias</c:v>
                </c:pt>
                <c:pt idx="4">
                  <c:v>Obrigações Sociais e Estatutárias</c:v>
                </c:pt>
                <c:pt idx="5">
                  <c:v>Obrigações Administrativas e Operacionais</c:v>
                </c:pt>
                <c:pt idx="6">
                  <c:v>Provisões para Contingências </c:v>
                </c:pt>
                <c:pt idx="7">
                  <c:v>Relações Interfinanceiras</c:v>
                </c:pt>
                <c:pt idx="8">
                  <c:v>Outras Obrigações</c:v>
                </c:pt>
              </c:strCache>
            </c:strRef>
          </c:cat>
          <c:val>
            <c:numRef>
              <c:f>Pas!$J$7:$J$15</c:f>
              <c:numCache>
                <c:formatCode>"R$"\ #,##0.00</c:formatCode>
                <c:ptCount val="9"/>
                <c:pt idx="0">
                  <c:v>31840</c:v>
                </c:pt>
                <c:pt idx="1">
                  <c:v>0</c:v>
                </c:pt>
                <c:pt idx="2">
                  <c:v>0</c:v>
                </c:pt>
                <c:pt idx="3">
                  <c:v>12750</c:v>
                </c:pt>
                <c:pt idx="4">
                  <c:v>8874</c:v>
                </c:pt>
                <c:pt idx="5">
                  <c:v>5494</c:v>
                </c:pt>
                <c:pt idx="6">
                  <c:v>0</c:v>
                </c:pt>
                <c:pt idx="7">
                  <c:v>0</c:v>
                </c:pt>
                <c:pt idx="8">
                  <c:v>0</c:v>
                </c:pt>
              </c:numCache>
            </c:numRef>
          </c:val>
        </c:ser>
        <c:dLbls>
          <c:showVal val="1"/>
        </c:dLbls>
        <c:gapWidth val="219"/>
        <c:overlap val="-27"/>
        <c:axId val="91805184"/>
        <c:axId val="91806720"/>
      </c:barChart>
      <c:catAx>
        <c:axId val="91805184"/>
        <c:scaling>
          <c:orientation val="minMax"/>
        </c:scaling>
        <c:axPos val="b"/>
        <c:numFmt formatCode="General" sourceLinked="1"/>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1806720"/>
        <c:crosses val="autoZero"/>
        <c:auto val="1"/>
        <c:lblAlgn val="ctr"/>
        <c:lblOffset val="100"/>
      </c:catAx>
      <c:valAx>
        <c:axId val="91806720"/>
        <c:scaling>
          <c:orientation val="minMax"/>
        </c:scaling>
        <c:delete val="1"/>
        <c:axPos val="l"/>
        <c:numFmt formatCode="&quot;R$&quot;\ #,##0.00" sourceLinked="1"/>
        <c:tickLblPos val="none"/>
        <c:crossAx val="91805184"/>
        <c:crosses val="autoZero"/>
        <c:crossBetween val="between"/>
      </c:valAx>
      <c:spPr>
        <a:solidFill>
          <a:schemeClr val="bg1"/>
        </a:solidFill>
        <a:ln>
          <a:noFill/>
        </a:ln>
        <a:effectLst/>
      </c:spPr>
    </c:plotArea>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barChart>
        <c:barDir val="col"/>
        <c:grouping val="clustered"/>
        <c:ser>
          <c:idx val="1"/>
          <c:order val="0"/>
          <c:tx>
            <c:strRef>
              <c:f>Pasn!$I$6</c:f>
              <c:strCache>
                <c:ptCount val="1"/>
                <c:pt idx="0">
                  <c:v>Contas do Passivo Não Circulante - Resultado</c:v>
                </c:pt>
              </c:strCache>
            </c:strRef>
          </c:tx>
          <c:spPr>
            <a:solidFill>
              <a:schemeClr val="accent2"/>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Pasn!$I$7:$I$26</c:f>
              <c:strCache>
                <c:ptCount val="20"/>
                <c:pt idx="0">
                  <c:v>Fornecedores</c:v>
                </c:pt>
                <c:pt idx="1">
                  <c:v>Obrigações Financeiras a Longo Prazo</c:v>
                </c:pt>
                <c:pt idx="2">
                  <c:v>Obrigações Fiscais e Tributárias</c:v>
                </c:pt>
                <c:pt idx="3">
                  <c:v>Obrigações Trabalhistas e Previdenciárias</c:v>
                </c:pt>
                <c:pt idx="4">
                  <c:v>Obrigações Sociais e Estatutárias</c:v>
                </c:pt>
                <c:pt idx="5">
                  <c:v>Créditos de Coligadas e Controladas</c:v>
                </c:pt>
                <c:pt idx="6">
                  <c:v>Provisões para Contingências </c:v>
                </c:pt>
                <c:pt idx="7">
                  <c:v>Receitas Diferidas</c:v>
                </c:pt>
                <c:pt idx="8">
                  <c:v>Outras Obrigações</c:v>
                </c:pt>
                <c:pt idx="9">
                  <c:v>Resultados de Exercícios Futuros - Receitas Diferidas</c:v>
                </c:pt>
                <c:pt idx="10">
                  <c:v>Custos e Despesas de Exercícios Futuros</c:v>
                </c:pt>
                <c:pt idx="11">
                  <c:v>Capital / Capital Social / Patrimônio Social</c:v>
                </c:pt>
                <c:pt idx="12">
                  <c:v>Reserva de Capital</c:v>
                </c:pt>
                <c:pt idx="13">
                  <c:v>Ações em Tesouraria</c:v>
                </c:pt>
                <c:pt idx="14">
                  <c:v>Ajustes de Avaliação Patrimônial</c:v>
                </c:pt>
                <c:pt idx="15">
                  <c:v>Reservas de Lucros</c:v>
                </c:pt>
                <c:pt idx="16">
                  <c:v>Reservas de Reavaliação</c:v>
                </c:pt>
                <c:pt idx="17">
                  <c:v>Outras Reservas</c:v>
                </c:pt>
                <c:pt idx="18">
                  <c:v>Lucros Acumulados / Sobras / Superávits</c:v>
                </c:pt>
                <c:pt idx="19">
                  <c:v>Prejuízos, Perdas e  Déficits Acumulados</c:v>
                </c:pt>
              </c:strCache>
            </c:strRef>
          </c:cat>
          <c:val>
            <c:numRef>
              <c:f>Pasn!$J$7:$J$26</c:f>
              <c:numCache>
                <c:formatCode>"R$"\ #,##0.00</c:formatCode>
                <c:ptCount val="20"/>
                <c:pt idx="0">
                  <c:v>50000</c:v>
                </c:pt>
                <c:pt idx="1">
                  <c:v>0</c:v>
                </c:pt>
                <c:pt idx="2">
                  <c:v>0</c:v>
                </c:pt>
                <c:pt idx="3">
                  <c:v>0</c:v>
                </c:pt>
                <c:pt idx="4">
                  <c:v>0</c:v>
                </c:pt>
                <c:pt idx="5">
                  <c:v>0</c:v>
                </c:pt>
                <c:pt idx="6">
                  <c:v>0</c:v>
                </c:pt>
                <c:pt idx="7">
                  <c:v>0</c:v>
                </c:pt>
                <c:pt idx="8">
                  <c:v>0</c:v>
                </c:pt>
                <c:pt idx="9">
                  <c:v>0</c:v>
                </c:pt>
                <c:pt idx="10">
                  <c:v>0</c:v>
                </c:pt>
                <c:pt idx="11">
                  <c:v>120000</c:v>
                </c:pt>
                <c:pt idx="12">
                  <c:v>1556</c:v>
                </c:pt>
                <c:pt idx="13">
                  <c:v>0</c:v>
                </c:pt>
                <c:pt idx="14">
                  <c:v>0</c:v>
                </c:pt>
                <c:pt idx="15">
                  <c:v>64266</c:v>
                </c:pt>
                <c:pt idx="16">
                  <c:v>0</c:v>
                </c:pt>
                <c:pt idx="17">
                  <c:v>0</c:v>
                </c:pt>
                <c:pt idx="18">
                  <c:v>0</c:v>
                </c:pt>
                <c:pt idx="19">
                  <c:v>0</c:v>
                </c:pt>
              </c:numCache>
            </c:numRef>
          </c:val>
        </c:ser>
        <c:dLbls>
          <c:showVal val="1"/>
        </c:dLbls>
        <c:gapWidth val="219"/>
        <c:overlap val="-27"/>
        <c:axId val="90729088"/>
        <c:axId val="90751360"/>
      </c:barChart>
      <c:catAx>
        <c:axId val="90729088"/>
        <c:scaling>
          <c:orientation val="minMax"/>
        </c:scaling>
        <c:axPos val="b"/>
        <c:numFmt formatCode="General" sourceLinked="1"/>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0751360"/>
        <c:crosses val="autoZero"/>
        <c:auto val="1"/>
        <c:lblAlgn val="ctr"/>
        <c:lblOffset val="100"/>
      </c:catAx>
      <c:valAx>
        <c:axId val="90751360"/>
        <c:scaling>
          <c:orientation val="minMax"/>
        </c:scaling>
        <c:delete val="1"/>
        <c:axPos val="l"/>
        <c:numFmt formatCode="&quot;R$&quot;\ #,##0.00" sourceLinked="1"/>
        <c:tickLblPos val="none"/>
        <c:crossAx val="90729088"/>
        <c:crosses val="autoZero"/>
        <c:crossBetween val="between"/>
      </c:valAx>
      <c:spPr>
        <a:solidFill>
          <a:schemeClr val="bg1"/>
        </a:solidFill>
        <a:ln>
          <a:noFill/>
        </a:ln>
        <a:effectLst/>
      </c:spPr>
    </c:plotArea>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barChart>
        <c:barDir val="col"/>
        <c:grouping val="clustered"/>
        <c:ser>
          <c:idx val="0"/>
          <c:order val="0"/>
          <c:tx>
            <c:strRef>
              <c:f>Gra!$L$37</c:f>
              <c:strCache>
                <c:ptCount val="1"/>
                <c:pt idx="0">
                  <c:v>Balanço Patrimônial</c:v>
                </c:pt>
              </c:strCache>
            </c:strRef>
          </c:tx>
          <c:spPr>
            <a:solidFill>
              <a:schemeClr val="accent3"/>
            </a:solidFill>
            <a:ln>
              <a:noFill/>
            </a:ln>
            <a:effectLst/>
          </c:spPr>
          <c:dPt>
            <c:idx val="0"/>
            <c:spPr>
              <a:solidFill>
                <a:schemeClr val="accent1"/>
              </a:solidFill>
              <a:ln>
                <a:noFill/>
              </a:ln>
              <a:effectLst/>
            </c:spPr>
          </c:dPt>
          <c:dPt>
            <c:idx val="1"/>
            <c:spPr>
              <a:solidFill>
                <a:schemeClr val="accent2"/>
              </a:solidFill>
              <a:ln>
                <a:noFill/>
              </a:ln>
              <a:effectLst/>
            </c:spPr>
          </c:dPt>
          <c:dPt>
            <c:idx val="3"/>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Gra!$L$38:$L$41</c:f>
              <c:strCache>
                <c:ptCount val="4"/>
                <c:pt idx="0">
                  <c:v>Ativo Circulante (Bens e Direitos)</c:v>
                </c:pt>
                <c:pt idx="1">
                  <c:v>Ativo Não Circulante (Bens e Direitos)</c:v>
                </c:pt>
                <c:pt idx="2">
                  <c:v>Passivo Circulante (Deveres e Obrigações)</c:v>
                </c:pt>
                <c:pt idx="3">
                  <c:v>Passivo Não Circulante (Deveres e Obrigações)</c:v>
                </c:pt>
              </c:strCache>
            </c:strRef>
          </c:cat>
          <c:val>
            <c:numRef>
              <c:f>Gra!$M$38:$M$41</c:f>
              <c:numCache>
                <c:formatCode>"R$"\ #,##0.00</c:formatCode>
                <c:ptCount val="4"/>
                <c:pt idx="0">
                  <c:v>153280</c:v>
                </c:pt>
                <c:pt idx="1">
                  <c:v>141500</c:v>
                </c:pt>
                <c:pt idx="2">
                  <c:v>58958</c:v>
                </c:pt>
                <c:pt idx="3">
                  <c:v>235822</c:v>
                </c:pt>
              </c:numCache>
            </c:numRef>
          </c:val>
        </c:ser>
        <c:dLbls>
          <c:showVal val="1"/>
        </c:dLbls>
        <c:gapWidth val="219"/>
        <c:overlap val="-27"/>
        <c:axId val="92886144"/>
        <c:axId val="92887680"/>
      </c:barChart>
      <c:catAx>
        <c:axId val="92886144"/>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2887680"/>
        <c:crosses val="autoZero"/>
        <c:auto val="1"/>
        <c:lblAlgn val="ctr"/>
        <c:lblOffset val="100"/>
      </c:catAx>
      <c:valAx>
        <c:axId val="92887680"/>
        <c:scaling>
          <c:orientation val="minMax"/>
        </c:scaling>
        <c:delete val="1"/>
        <c:axPos val="l"/>
        <c:numFmt formatCode="&quot;R$&quot;\ #,##0.00" sourceLinked="1"/>
        <c:majorTickMark val="none"/>
        <c:tickLblPos val="none"/>
        <c:crossAx val="92886144"/>
        <c:crosses val="autoZero"/>
        <c:crossBetween val="between"/>
      </c:valAx>
      <c:spPr>
        <a:solidFill>
          <a:schemeClr val="bg1"/>
        </a:solidFill>
        <a:ln>
          <a:noFill/>
        </a:ln>
        <a:effectLst/>
      </c:spPr>
    </c:plotArea>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pieChart>
        <c:varyColors val="1"/>
        <c:ser>
          <c:idx val="0"/>
          <c:order val="0"/>
          <c:tx>
            <c:strRef>
              <c:f>Gra!$L$37</c:f>
              <c:strCache>
                <c:ptCount val="1"/>
                <c:pt idx="0">
                  <c:v>Balanço Patrimônial</c:v>
                </c:pt>
              </c:strCache>
            </c:strRef>
          </c:tx>
          <c:dPt>
            <c:idx val="0"/>
            <c:spPr>
              <a:solidFill>
                <a:schemeClr val="accent1"/>
              </a:solidFill>
              <a:ln>
                <a:noFill/>
              </a:ln>
              <a:effectLst/>
            </c:spPr>
          </c:dPt>
          <c:dPt>
            <c:idx val="1"/>
            <c:spPr>
              <a:solidFill>
                <a:schemeClr val="accent2"/>
              </a:solidFill>
              <a:ln>
                <a:noFill/>
              </a:ln>
              <a:effectLst/>
            </c:spPr>
          </c:dPt>
          <c:dPt>
            <c:idx val="2"/>
            <c:spPr>
              <a:solidFill>
                <a:schemeClr val="accent3"/>
              </a:solidFill>
              <a:ln>
                <a:noFill/>
              </a:ln>
              <a:effectLst/>
            </c:spPr>
          </c:dPt>
          <c:dPt>
            <c:idx val="3"/>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Gra!$L$38:$L$41</c:f>
              <c:strCache>
                <c:ptCount val="4"/>
                <c:pt idx="0">
                  <c:v>Ativo Circulante (Bens e Direitos)</c:v>
                </c:pt>
                <c:pt idx="1">
                  <c:v>Ativo Não Circulante (Bens e Direitos)</c:v>
                </c:pt>
                <c:pt idx="2">
                  <c:v>Passivo Circulante (Deveres e Obrigações)</c:v>
                </c:pt>
                <c:pt idx="3">
                  <c:v>Passivo Não Circulante (Deveres e Obrigações)</c:v>
                </c:pt>
              </c:strCache>
            </c:strRef>
          </c:cat>
          <c:val>
            <c:numRef>
              <c:f>Gra!$M$38:$M$41</c:f>
              <c:numCache>
                <c:formatCode>"R$"\ #,##0.00</c:formatCode>
                <c:ptCount val="4"/>
                <c:pt idx="0">
                  <c:v>153280</c:v>
                </c:pt>
                <c:pt idx="1">
                  <c:v>141500</c:v>
                </c:pt>
                <c:pt idx="2">
                  <c:v>58958</c:v>
                </c:pt>
                <c:pt idx="3">
                  <c:v>235822</c:v>
                </c:pt>
              </c:numCache>
            </c:numRef>
          </c:val>
        </c:ser>
        <c:dLbls/>
        <c:firstSliceAng val="0"/>
      </c:pieChart>
      <c:spPr>
        <a:noFill/>
        <a:ln>
          <a:noFill/>
        </a:ln>
        <a:effectLst/>
      </c:spPr>
    </c:plotArea>
    <c:legend>
      <c:legendPos val="r"/>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zero"/>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barChart>
        <c:barDir val="col"/>
        <c:grouping val="clustered"/>
        <c:ser>
          <c:idx val="1"/>
          <c:order val="0"/>
          <c:tx>
            <c:strRef>
              <c:f>Dre!$I$6</c:f>
              <c:strCache>
                <c:ptCount val="1"/>
                <c:pt idx="0">
                  <c:v>Contas de Resultado Credora (Receitas) - Resultado</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Dre!$I$7:$I$15</c:f>
              <c:strCache>
                <c:ptCount val="9"/>
                <c:pt idx="0">
                  <c:v>Receitas de Exportação</c:v>
                </c:pt>
                <c:pt idx="1">
                  <c:v>Receita da Venda de Produtos</c:v>
                </c:pt>
                <c:pt idx="2">
                  <c:v>Receitas da Revenda de Mercadorias</c:v>
                </c:pt>
                <c:pt idx="3">
                  <c:v>Receitas da Prestação de Serviços</c:v>
                </c:pt>
                <c:pt idx="4">
                  <c:v>Receitas da Atividade Rural</c:v>
                </c:pt>
                <c:pt idx="5">
                  <c:v>Receitas das Atividades de Educação e Saúde</c:v>
                </c:pt>
                <c:pt idx="6">
                  <c:v>Receitas das Atividades de Assistência Social</c:v>
                </c:pt>
                <c:pt idx="7">
                  <c:v>Receitas das Atividades Imobiliárias</c:v>
                </c:pt>
                <c:pt idx="8">
                  <c:v>Receitas das Atividades em Geral</c:v>
                </c:pt>
              </c:strCache>
            </c:strRef>
          </c:cat>
          <c:val>
            <c:numRef>
              <c:f>Dre!$J$7:$J$15</c:f>
              <c:numCache>
                <c:formatCode>"R$"\ #,##0.00</c:formatCode>
                <c:ptCount val="9"/>
                <c:pt idx="0">
                  <c:v>0</c:v>
                </c:pt>
                <c:pt idx="1">
                  <c:v>408670</c:v>
                </c:pt>
                <c:pt idx="2">
                  <c:v>0</c:v>
                </c:pt>
                <c:pt idx="3">
                  <c:v>0</c:v>
                </c:pt>
                <c:pt idx="4">
                  <c:v>0</c:v>
                </c:pt>
                <c:pt idx="5">
                  <c:v>0</c:v>
                </c:pt>
                <c:pt idx="6">
                  <c:v>0</c:v>
                </c:pt>
                <c:pt idx="7">
                  <c:v>0</c:v>
                </c:pt>
                <c:pt idx="8">
                  <c:v>0</c:v>
                </c:pt>
              </c:numCache>
            </c:numRef>
          </c:val>
        </c:ser>
        <c:dLbls>
          <c:showVal val="1"/>
        </c:dLbls>
        <c:gapWidth val="219"/>
        <c:overlap val="-27"/>
        <c:axId val="91371776"/>
        <c:axId val="91398144"/>
      </c:barChart>
      <c:catAx>
        <c:axId val="91371776"/>
        <c:scaling>
          <c:orientation val="minMax"/>
        </c:scaling>
        <c:axPos val="b"/>
        <c:numFmt formatCode="General" sourceLinked="1"/>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1398144"/>
        <c:crosses val="autoZero"/>
        <c:auto val="1"/>
        <c:lblAlgn val="ctr"/>
        <c:lblOffset val="100"/>
      </c:catAx>
      <c:valAx>
        <c:axId val="91398144"/>
        <c:scaling>
          <c:orientation val="minMax"/>
        </c:scaling>
        <c:delete val="1"/>
        <c:axPos val="l"/>
        <c:numFmt formatCode="&quot;R$&quot;\ #,##0.00" sourceLinked="1"/>
        <c:tickLblPos val="none"/>
        <c:crossAx val="91371776"/>
        <c:crosses val="autoZero"/>
        <c:crossBetween val="between"/>
      </c:valAx>
      <c:spPr>
        <a:solidFill>
          <a:schemeClr val="bg1"/>
        </a:solidFill>
        <a:ln>
          <a:noFill/>
        </a:ln>
        <a:effectLst/>
      </c:spPr>
    </c:plotArea>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barChart>
        <c:barDir val="col"/>
        <c:grouping val="clustered"/>
        <c:ser>
          <c:idx val="1"/>
          <c:order val="0"/>
          <c:tx>
            <c:strRef>
              <c:f>Des!$I$6</c:f>
              <c:strCache>
                <c:ptCount val="1"/>
                <c:pt idx="0">
                  <c:v>Contas de Resultado Devedoras  (Custos e Despesas) - Resultado</c:v>
                </c:pt>
              </c:strCache>
            </c:strRef>
          </c:tx>
          <c:spPr>
            <a:solidFill>
              <a:schemeClr val="accent2"/>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Des!$I$7:$I$15</c:f>
              <c:strCache>
                <c:ptCount val="9"/>
                <c:pt idx="0">
                  <c:v>Custo</c:v>
                </c:pt>
                <c:pt idx="1">
                  <c:v>Despesa da Venda de Produtos</c:v>
                </c:pt>
                <c:pt idx="2">
                  <c:v>Despesas da Revenda de Mercadorias</c:v>
                </c:pt>
                <c:pt idx="3">
                  <c:v>Despesas da Prestação de Serviços</c:v>
                </c:pt>
                <c:pt idx="4">
                  <c:v>Despesas da Atividade Rural</c:v>
                </c:pt>
                <c:pt idx="5">
                  <c:v>Despesas das Atividades Ligadas à Educação e Saúde</c:v>
                </c:pt>
                <c:pt idx="6">
                  <c:v>Despesas de Atividades de Assistência Social</c:v>
                </c:pt>
                <c:pt idx="7">
                  <c:v>Despesas das Atividades Imobiliárias</c:v>
                </c:pt>
                <c:pt idx="8">
                  <c:v>Despesas das Atividades em Geral</c:v>
                </c:pt>
              </c:strCache>
            </c:strRef>
          </c:cat>
          <c:val>
            <c:numRef>
              <c:f>Des!$J$7:$J$15</c:f>
              <c:numCache>
                <c:formatCode>"R$"\ #,##0.00</c:formatCode>
                <c:ptCount val="9"/>
                <c:pt idx="0">
                  <c:v>350640</c:v>
                </c:pt>
                <c:pt idx="1">
                  <c:v>10500</c:v>
                </c:pt>
                <c:pt idx="2">
                  <c:v>0</c:v>
                </c:pt>
                <c:pt idx="3">
                  <c:v>0</c:v>
                </c:pt>
                <c:pt idx="4">
                  <c:v>0</c:v>
                </c:pt>
                <c:pt idx="5">
                  <c:v>0</c:v>
                </c:pt>
                <c:pt idx="6">
                  <c:v>0</c:v>
                </c:pt>
                <c:pt idx="7">
                  <c:v>0</c:v>
                </c:pt>
                <c:pt idx="8">
                  <c:v>16394</c:v>
                </c:pt>
              </c:numCache>
            </c:numRef>
          </c:val>
        </c:ser>
        <c:dLbls>
          <c:showVal val="1"/>
        </c:dLbls>
        <c:gapWidth val="219"/>
        <c:overlap val="-27"/>
        <c:axId val="92999040"/>
        <c:axId val="93004928"/>
      </c:barChart>
      <c:catAx>
        <c:axId val="92999040"/>
        <c:scaling>
          <c:orientation val="minMax"/>
        </c:scaling>
        <c:axPos val="b"/>
        <c:numFmt formatCode="General" sourceLinked="1"/>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3004928"/>
        <c:crosses val="autoZero"/>
        <c:auto val="1"/>
        <c:lblAlgn val="ctr"/>
        <c:lblOffset val="100"/>
      </c:catAx>
      <c:valAx>
        <c:axId val="93004928"/>
        <c:scaling>
          <c:orientation val="minMax"/>
        </c:scaling>
        <c:delete val="1"/>
        <c:axPos val="l"/>
        <c:numFmt formatCode="&quot;R$&quot;\ #,##0.00" sourceLinked="1"/>
        <c:tickLblPos val="none"/>
        <c:crossAx val="92999040"/>
        <c:crosses val="autoZero"/>
        <c:crossBetween val="between"/>
      </c:valAx>
      <c:spPr>
        <a:solidFill>
          <a:schemeClr val="bg1"/>
        </a:solidFill>
        <a:ln>
          <a:noFill/>
        </a:ln>
        <a:effectLst/>
      </c:spPr>
    </c:plotArea>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barChart>
        <c:barDir val="col"/>
        <c:grouping val="clustered"/>
        <c:ser>
          <c:idx val="0"/>
          <c:order val="0"/>
          <c:tx>
            <c:strRef>
              <c:f>Res!$C$18</c:f>
              <c:strCache>
                <c:ptCount val="1"/>
                <c:pt idx="0">
                  <c:v>Demonstração do Resultado do Exercício (DRE)</c:v>
                </c:pt>
              </c:strCache>
            </c:strRef>
          </c:tx>
          <c:spPr>
            <a:solidFill>
              <a:schemeClr val="accent3"/>
            </a:solidFill>
            <a:ln>
              <a:noFill/>
            </a:ln>
            <a:effectLst/>
          </c:spPr>
          <c:dPt>
            <c:idx val="0"/>
            <c:spPr>
              <a:solidFill>
                <a:schemeClr val="accent1"/>
              </a:solidFill>
              <a:ln>
                <a:noFill/>
              </a:ln>
              <a:effectLst/>
            </c:spPr>
          </c:dPt>
          <c:dPt>
            <c:idx val="1"/>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Res!$C$19:$D$20</c:f>
              <c:strCache>
                <c:ptCount val="2"/>
                <c:pt idx="0">
                  <c:v>Contas de Resultado Credora (Receitas)</c:v>
                </c:pt>
                <c:pt idx="1">
                  <c:v>Contas de Resultado Devedoras  (Custos e Despesas)</c:v>
                </c:pt>
              </c:strCache>
            </c:strRef>
          </c:cat>
          <c:val>
            <c:numRef>
              <c:f>Res!$E$19:$E$20</c:f>
              <c:numCache>
                <c:formatCode>"R$"\ #,##0.00</c:formatCode>
                <c:ptCount val="2"/>
                <c:pt idx="0">
                  <c:v>408670</c:v>
                </c:pt>
                <c:pt idx="1">
                  <c:v>377534</c:v>
                </c:pt>
              </c:numCache>
            </c:numRef>
          </c:val>
        </c:ser>
        <c:dLbls>
          <c:showVal val="1"/>
        </c:dLbls>
        <c:gapWidth val="219"/>
        <c:overlap val="-27"/>
        <c:axId val="93046272"/>
        <c:axId val="93047808"/>
      </c:barChart>
      <c:catAx>
        <c:axId val="93046272"/>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3047808"/>
        <c:crosses val="autoZero"/>
        <c:auto val="1"/>
        <c:lblAlgn val="ctr"/>
        <c:lblOffset val="100"/>
      </c:catAx>
      <c:valAx>
        <c:axId val="93047808"/>
        <c:scaling>
          <c:orientation val="minMax"/>
        </c:scaling>
        <c:delete val="1"/>
        <c:axPos val="l"/>
        <c:numFmt formatCode="&quot;R$&quot;\ #,##0.00" sourceLinked="1"/>
        <c:majorTickMark val="none"/>
        <c:tickLblPos val="none"/>
        <c:crossAx val="93046272"/>
        <c:crosses val="autoZero"/>
        <c:crossBetween val="between"/>
      </c:valAx>
      <c:spPr>
        <a:solidFill>
          <a:schemeClr val="bg1"/>
        </a:solidFill>
        <a:ln>
          <a:noFill/>
        </a:ln>
        <a:effectLst/>
      </c:spPr>
    </c:plotArea>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pieChart>
        <c:varyColors val="1"/>
        <c:ser>
          <c:idx val="0"/>
          <c:order val="0"/>
          <c:tx>
            <c:strRef>
              <c:f>Res!$C$18</c:f>
              <c:strCache>
                <c:ptCount val="1"/>
                <c:pt idx="0">
                  <c:v>Demonstração do Resultado do Exercício (DRE)</c:v>
                </c:pt>
              </c:strCache>
            </c:strRef>
          </c:tx>
          <c:dPt>
            <c:idx val="0"/>
            <c:spPr>
              <a:solidFill>
                <a:schemeClr val="accent1"/>
              </a:solidFill>
              <a:ln>
                <a:noFill/>
              </a:ln>
              <a:effectLst/>
            </c:spPr>
          </c:dPt>
          <c:dPt>
            <c:idx val="1"/>
            <c:spPr>
              <a:solidFill>
                <a:schemeClr val="accent2"/>
              </a:solidFill>
              <a:ln>
                <a:noFill/>
              </a:ln>
              <a:effectLst/>
            </c:spPr>
          </c:dPt>
          <c:dPt>
            <c:idx val="2"/>
            <c:spPr>
              <a:solidFill>
                <a:schemeClr val="accent3"/>
              </a:solidFill>
              <a:ln>
                <a:noFill/>
              </a:ln>
              <a:effectLst/>
            </c:spPr>
          </c:dPt>
          <c:dPt>
            <c:idx val="3"/>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Res!$C$19:$D$20</c:f>
              <c:strCache>
                <c:ptCount val="2"/>
                <c:pt idx="0">
                  <c:v>Contas de Resultado Credora (Receitas)</c:v>
                </c:pt>
                <c:pt idx="1">
                  <c:v>Contas de Resultado Devedoras  (Custos e Despesas)</c:v>
                </c:pt>
              </c:strCache>
            </c:strRef>
          </c:cat>
          <c:val>
            <c:numRef>
              <c:f>Res!$E$19:$E$20</c:f>
              <c:numCache>
                <c:formatCode>"R$"\ #,##0.00</c:formatCode>
                <c:ptCount val="2"/>
                <c:pt idx="0">
                  <c:v>408670</c:v>
                </c:pt>
                <c:pt idx="1">
                  <c:v>377534</c:v>
                </c:pt>
              </c:numCache>
            </c:numRef>
          </c:val>
        </c:ser>
        <c:dLbls/>
        <c:firstSliceAng val="0"/>
      </c:pieChart>
      <c:spPr>
        <a:noFill/>
        <a:ln>
          <a:noFill/>
        </a:ln>
        <a:effectLst/>
      </c:spPr>
    </c:plotArea>
    <c:legend>
      <c:legendPos val="r"/>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zero"/>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pt-BR"/>
  <c:chart>
    <c:autoTitleDeleted val="1"/>
    <c:plotArea>
      <c:layout/>
      <c:lineChart>
        <c:grouping val="standard"/>
        <c:ser>
          <c:idx val="0"/>
          <c:order val="0"/>
          <c:tx>
            <c:strRef>
              <c:f>Bal!$I$6</c:f>
              <c:strCache>
                <c:ptCount val="1"/>
                <c:pt idx="0">
                  <c:v>Contas do Ativo Circulante - Resultado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Val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Bal!$K$7:$K$15</c:f>
              <c:numCache>
                <c:formatCode>0.00%</c:formatCode>
                <c:ptCount val="9"/>
                <c:pt idx="0">
                  <c:v>0.37552192066805845</c:v>
                </c:pt>
                <c:pt idx="1">
                  <c:v>0</c:v>
                </c:pt>
                <c:pt idx="2">
                  <c:v>0.30219206680584554</c:v>
                </c:pt>
                <c:pt idx="3">
                  <c:v>0</c:v>
                </c:pt>
                <c:pt idx="4">
                  <c:v>0.32228601252609601</c:v>
                </c:pt>
                <c:pt idx="5">
                  <c:v>0</c:v>
                </c:pt>
                <c:pt idx="6">
                  <c:v>0</c:v>
                </c:pt>
                <c:pt idx="7">
                  <c:v>0</c:v>
                </c:pt>
                <c:pt idx="8">
                  <c:v>0</c:v>
                </c:pt>
              </c:numCache>
            </c:numRef>
          </c:val>
        </c:ser>
        <c:dLbls>
          <c:showVal val="1"/>
        </c:dLbls>
        <c:marker val="1"/>
        <c:axId val="93125248"/>
        <c:axId val="93204864"/>
      </c:lineChart>
      <c:catAx>
        <c:axId val="93125248"/>
        <c:scaling>
          <c:orientation val="minMax"/>
        </c:scaling>
        <c:delete val="1"/>
        <c:axPos val="b"/>
        <c:majorTickMark val="none"/>
        <c:tickLblPos val="none"/>
        <c:crossAx val="93204864"/>
        <c:crosses val="autoZero"/>
        <c:auto val="1"/>
        <c:lblAlgn val="ctr"/>
        <c:lblOffset val="100"/>
      </c:catAx>
      <c:valAx>
        <c:axId val="93204864"/>
        <c:scaling>
          <c:orientation val="minMax"/>
        </c:scaling>
        <c:delete val="1"/>
        <c:axPos val="l"/>
        <c:numFmt formatCode="0.00%" sourceLinked="1"/>
        <c:majorTickMark val="none"/>
        <c:tickLblPos val="none"/>
        <c:crossAx val="93125248"/>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pt-BR"/>
  <c:chart>
    <c:autoTitleDeleted val="1"/>
    <c:plotArea>
      <c:layout/>
      <c:lineChart>
        <c:grouping val="standard"/>
        <c:ser>
          <c:idx val="0"/>
          <c:order val="0"/>
          <c:tx>
            <c:strRef>
              <c:f>Atin!$I$6</c:f>
              <c:strCache>
                <c:ptCount val="1"/>
                <c:pt idx="0">
                  <c:v>Contas do Ativo Não Circulante - Resultado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Val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Atin!$K$7:$K$21</c:f>
              <c:numCache>
                <c:formatCode>0.00%</c:formatCode>
                <c:ptCount val="15"/>
                <c:pt idx="0">
                  <c:v>0.45936395759717313</c:v>
                </c:pt>
                <c:pt idx="1">
                  <c:v>0</c:v>
                </c:pt>
                <c:pt idx="2">
                  <c:v>0</c:v>
                </c:pt>
                <c:pt idx="3">
                  <c:v>0</c:v>
                </c:pt>
                <c:pt idx="4">
                  <c:v>0</c:v>
                </c:pt>
                <c:pt idx="5">
                  <c:v>0</c:v>
                </c:pt>
                <c:pt idx="6">
                  <c:v>0</c:v>
                </c:pt>
                <c:pt idx="7">
                  <c:v>0.35335689045936397</c:v>
                </c:pt>
                <c:pt idx="8">
                  <c:v>0.13074204946996468</c:v>
                </c:pt>
                <c:pt idx="9">
                  <c:v>0.14134275618374559</c:v>
                </c:pt>
                <c:pt idx="10">
                  <c:v>0</c:v>
                </c:pt>
                <c:pt idx="11">
                  <c:v>0</c:v>
                </c:pt>
                <c:pt idx="12">
                  <c:v>0</c:v>
                </c:pt>
                <c:pt idx="13">
                  <c:v>0</c:v>
                </c:pt>
                <c:pt idx="14">
                  <c:v>-8.4805653710247356E-2</c:v>
                </c:pt>
              </c:numCache>
            </c:numRef>
          </c:val>
        </c:ser>
        <c:dLbls>
          <c:showVal val="1"/>
        </c:dLbls>
        <c:marker val="1"/>
        <c:axId val="93232512"/>
        <c:axId val="93242496"/>
      </c:lineChart>
      <c:catAx>
        <c:axId val="93232512"/>
        <c:scaling>
          <c:orientation val="minMax"/>
        </c:scaling>
        <c:delete val="1"/>
        <c:axPos val="b"/>
        <c:majorTickMark val="none"/>
        <c:tickLblPos val="none"/>
        <c:crossAx val="93242496"/>
        <c:crosses val="autoZero"/>
        <c:auto val="1"/>
        <c:lblAlgn val="ctr"/>
        <c:lblOffset val="100"/>
      </c:catAx>
      <c:valAx>
        <c:axId val="93242496"/>
        <c:scaling>
          <c:orientation val="minMax"/>
        </c:scaling>
        <c:delete val="1"/>
        <c:axPos val="l"/>
        <c:numFmt formatCode="0.00%" sourceLinked="1"/>
        <c:majorTickMark val="none"/>
        <c:tickLblPos val="none"/>
        <c:crossAx val="93232512"/>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pt-BR"/>
  <c:chart>
    <c:autoTitleDeleted val="1"/>
    <c:plotArea>
      <c:layout/>
      <c:lineChart>
        <c:grouping val="standard"/>
        <c:ser>
          <c:idx val="0"/>
          <c:order val="0"/>
          <c:tx>
            <c:strRef>
              <c:f>Pas!$I$6</c:f>
              <c:strCache>
                <c:ptCount val="1"/>
                <c:pt idx="0">
                  <c:v>Contas do Passivo Circulante - Resultado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Pas!$K$7:$K$15</c:f>
              <c:numCache>
                <c:formatCode>0.00%</c:formatCode>
                <c:ptCount val="9"/>
                <c:pt idx="0">
                  <c:v>0.54004545608738419</c:v>
                </c:pt>
                <c:pt idx="1">
                  <c:v>0</c:v>
                </c:pt>
                <c:pt idx="2">
                  <c:v>0</c:v>
                </c:pt>
                <c:pt idx="3">
                  <c:v>0.21625563960785643</c:v>
                </c:pt>
                <c:pt idx="4">
                  <c:v>0.15051392516706807</c:v>
                </c:pt>
                <c:pt idx="5">
                  <c:v>9.3184979137691235E-2</c:v>
                </c:pt>
                <c:pt idx="6">
                  <c:v>0</c:v>
                </c:pt>
                <c:pt idx="7">
                  <c:v>0</c:v>
                </c:pt>
                <c:pt idx="8">
                  <c:v>0</c:v>
                </c:pt>
              </c:numCache>
            </c:numRef>
          </c:val>
        </c:ser>
        <c:dLbls>
          <c:showVal val="1"/>
        </c:dLbls>
        <c:marker val="1"/>
        <c:axId val="93159808"/>
        <c:axId val="93161344"/>
      </c:lineChart>
      <c:catAx>
        <c:axId val="93159808"/>
        <c:scaling>
          <c:orientation val="minMax"/>
        </c:scaling>
        <c:delete val="1"/>
        <c:axPos val="b"/>
        <c:majorTickMark val="none"/>
        <c:tickLblPos val="none"/>
        <c:crossAx val="93161344"/>
        <c:crosses val="autoZero"/>
        <c:auto val="1"/>
        <c:lblAlgn val="ctr"/>
        <c:lblOffset val="100"/>
      </c:catAx>
      <c:valAx>
        <c:axId val="93161344"/>
        <c:scaling>
          <c:orientation val="minMax"/>
        </c:scaling>
        <c:delete val="1"/>
        <c:axPos val="l"/>
        <c:numFmt formatCode="0.00%" sourceLinked="1"/>
        <c:majorTickMark val="none"/>
        <c:tickLblPos val="none"/>
        <c:crossAx val="93159808"/>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pt-BR"/>
  <c:chart>
    <c:autoTitleDeleted val="1"/>
    <c:plotArea>
      <c:layout/>
      <c:lineChart>
        <c:grouping val="standard"/>
        <c:ser>
          <c:idx val="0"/>
          <c:order val="0"/>
          <c:tx>
            <c:strRef>
              <c:f>Pasn!$I$6</c:f>
              <c:strCache>
                <c:ptCount val="1"/>
                <c:pt idx="0">
                  <c:v>Contas do Passivo Não Circulante - Resultado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Pasn!$K$7:$K$26</c:f>
              <c:numCache>
                <c:formatCode>0.00%</c:formatCode>
                <c:ptCount val="20"/>
                <c:pt idx="0">
                  <c:v>0.21202432343038394</c:v>
                </c:pt>
                <c:pt idx="1">
                  <c:v>0</c:v>
                </c:pt>
                <c:pt idx="2">
                  <c:v>0</c:v>
                </c:pt>
                <c:pt idx="3">
                  <c:v>0</c:v>
                </c:pt>
                <c:pt idx="4">
                  <c:v>0</c:v>
                </c:pt>
                <c:pt idx="5">
                  <c:v>0</c:v>
                </c:pt>
                <c:pt idx="6">
                  <c:v>0</c:v>
                </c:pt>
                <c:pt idx="7">
                  <c:v>0</c:v>
                </c:pt>
                <c:pt idx="8">
                  <c:v>0</c:v>
                </c:pt>
                <c:pt idx="9">
                  <c:v>0</c:v>
                </c:pt>
                <c:pt idx="10">
                  <c:v>0</c:v>
                </c:pt>
                <c:pt idx="11">
                  <c:v>0.50885837623292141</c:v>
                </c:pt>
                <c:pt idx="12">
                  <c:v>6.5981969451535481E-3</c:v>
                </c:pt>
                <c:pt idx="13">
                  <c:v>0</c:v>
                </c:pt>
                <c:pt idx="14">
                  <c:v>0</c:v>
                </c:pt>
                <c:pt idx="15">
                  <c:v>0.27251910339154106</c:v>
                </c:pt>
                <c:pt idx="16">
                  <c:v>0</c:v>
                </c:pt>
                <c:pt idx="17">
                  <c:v>0</c:v>
                </c:pt>
                <c:pt idx="18">
                  <c:v>0</c:v>
                </c:pt>
                <c:pt idx="19">
                  <c:v>0</c:v>
                </c:pt>
              </c:numCache>
            </c:numRef>
          </c:val>
        </c:ser>
        <c:dLbls>
          <c:showVal val="1"/>
        </c:dLbls>
        <c:marker val="1"/>
        <c:axId val="93176960"/>
        <c:axId val="93178496"/>
      </c:lineChart>
      <c:catAx>
        <c:axId val="93176960"/>
        <c:scaling>
          <c:orientation val="minMax"/>
        </c:scaling>
        <c:delete val="1"/>
        <c:axPos val="b"/>
        <c:majorTickMark val="none"/>
        <c:tickLblPos val="none"/>
        <c:crossAx val="93178496"/>
        <c:crosses val="autoZero"/>
        <c:auto val="1"/>
        <c:lblAlgn val="ctr"/>
        <c:lblOffset val="100"/>
      </c:catAx>
      <c:valAx>
        <c:axId val="93178496"/>
        <c:scaling>
          <c:orientation val="minMax"/>
        </c:scaling>
        <c:delete val="1"/>
        <c:axPos val="l"/>
        <c:numFmt formatCode="0.00%" sourceLinked="1"/>
        <c:majorTickMark val="none"/>
        <c:tickLblPos val="none"/>
        <c:crossAx val="93176960"/>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pt-BR"/>
  <c:chart>
    <c:autoTitleDeleted val="1"/>
    <c:plotArea>
      <c:layout/>
      <c:lineChart>
        <c:grouping val="standard"/>
        <c:ser>
          <c:idx val="0"/>
          <c:order val="0"/>
          <c:tx>
            <c:strRef>
              <c:f>Gra!$L$37</c:f>
              <c:strCache>
                <c:ptCount val="1"/>
                <c:pt idx="0">
                  <c:v>Balanço Patrimônial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trendline>
          <c:val>
            <c:numRef>
              <c:f>Gra!$N$38:$N$41</c:f>
              <c:numCache>
                <c:formatCode>0.00%</c:formatCode>
                <c:ptCount val="4"/>
                <c:pt idx="0">
                  <c:v>0.25999050139086777</c:v>
                </c:pt>
                <c:pt idx="1">
                  <c:v>0.24000949860913223</c:v>
                </c:pt>
                <c:pt idx="2">
                  <c:v>0.10000339236040437</c:v>
                </c:pt>
                <c:pt idx="3">
                  <c:v>0.39999660763959566</c:v>
                </c:pt>
              </c:numCache>
            </c:numRef>
          </c:val>
        </c:ser>
        <c:dLbls>
          <c:showVal val="1"/>
        </c:dLbls>
        <c:marker val="1"/>
        <c:axId val="93358720"/>
        <c:axId val="93364608"/>
      </c:lineChart>
      <c:catAx>
        <c:axId val="93358720"/>
        <c:scaling>
          <c:orientation val="minMax"/>
        </c:scaling>
        <c:delete val="1"/>
        <c:axPos val="b"/>
        <c:majorTickMark val="none"/>
        <c:tickLblPos val="none"/>
        <c:crossAx val="93364608"/>
        <c:crosses val="autoZero"/>
        <c:auto val="1"/>
        <c:lblAlgn val="ctr"/>
        <c:lblOffset val="100"/>
      </c:catAx>
      <c:valAx>
        <c:axId val="93364608"/>
        <c:scaling>
          <c:orientation val="minMax"/>
        </c:scaling>
        <c:delete val="1"/>
        <c:axPos val="l"/>
        <c:numFmt formatCode="0.00%" sourceLinked="1"/>
        <c:majorTickMark val="none"/>
        <c:tickLblPos val="none"/>
        <c:crossAx val="93358720"/>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pt-BR"/>
  <c:chart>
    <c:autoTitleDeleted val="1"/>
    <c:plotArea>
      <c:layout/>
      <c:barChart>
        <c:barDir val="col"/>
        <c:grouping val="clustered"/>
        <c:ser>
          <c:idx val="0"/>
          <c:order val="0"/>
          <c:tx>
            <c:strRef>
              <c:f>Gra!$L$37</c:f>
              <c:strCache>
                <c:ptCount val="1"/>
                <c:pt idx="0">
                  <c:v>Balanço Patrimônial</c:v>
                </c:pt>
              </c:strCache>
            </c:strRef>
          </c:tx>
          <c:spPr>
            <a:solidFill>
              <a:schemeClr val="accent1"/>
            </a:solidFill>
            <a:ln>
              <a:noFill/>
            </a:ln>
            <a:effectLst/>
          </c:spPr>
          <c:dPt>
            <c:idx val="1"/>
            <c:spPr>
              <a:solidFill>
                <a:schemeClr val="accent2"/>
              </a:solidFill>
              <a:ln>
                <a:noFill/>
              </a:ln>
              <a:effectLst/>
            </c:spPr>
          </c:dPt>
          <c:dPt>
            <c:idx val="2"/>
            <c:spPr>
              <a:solidFill>
                <a:schemeClr val="accent3"/>
              </a:solidFill>
              <a:ln>
                <a:noFill/>
              </a:ln>
              <a:effectLst/>
            </c:spPr>
          </c:dPt>
          <c:dPt>
            <c:idx val="3"/>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trendline>
          <c:val>
            <c:numRef>
              <c:f>Gra!$N$38:$N$41</c:f>
              <c:numCache>
                <c:formatCode>0.00%</c:formatCode>
                <c:ptCount val="4"/>
                <c:pt idx="0">
                  <c:v>0.25999050139086777</c:v>
                </c:pt>
                <c:pt idx="1">
                  <c:v>0.24000949860913223</c:v>
                </c:pt>
                <c:pt idx="2">
                  <c:v>0.10000339236040437</c:v>
                </c:pt>
                <c:pt idx="3">
                  <c:v>0.39999660763959566</c:v>
                </c:pt>
              </c:numCache>
            </c:numRef>
          </c:val>
        </c:ser>
        <c:dLbls>
          <c:showVal val="1"/>
        </c:dLbls>
        <c:axId val="93414912"/>
        <c:axId val="93416448"/>
      </c:barChart>
      <c:catAx>
        <c:axId val="93414912"/>
        <c:scaling>
          <c:orientation val="minMax"/>
        </c:scaling>
        <c:delete val="1"/>
        <c:axPos val="b"/>
        <c:majorTickMark val="none"/>
        <c:tickLblPos val="none"/>
        <c:crossAx val="93416448"/>
        <c:crosses val="autoZero"/>
        <c:auto val="1"/>
        <c:lblAlgn val="ctr"/>
        <c:lblOffset val="100"/>
      </c:catAx>
      <c:valAx>
        <c:axId val="93416448"/>
        <c:scaling>
          <c:orientation val="minMax"/>
        </c:scaling>
        <c:delete val="1"/>
        <c:axPos val="l"/>
        <c:numFmt formatCode="0.00%" sourceLinked="1"/>
        <c:majorTickMark val="none"/>
        <c:tickLblPos val="none"/>
        <c:crossAx val="93414912"/>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lang val="pt-BR"/>
  <c:chart>
    <c:autoTitleDeleted val="1"/>
    <c:plotArea>
      <c:layout/>
      <c:lineChart>
        <c:grouping val="standard"/>
        <c:ser>
          <c:idx val="0"/>
          <c:order val="0"/>
          <c:tx>
            <c:strRef>
              <c:f>Dre!$I$6</c:f>
              <c:strCache>
                <c:ptCount val="1"/>
                <c:pt idx="0">
                  <c:v>Contas de Resultado Credora (Receitas) - Resultado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Dre!$K$7:$K$15</c:f>
              <c:numCache>
                <c:formatCode>0.00%</c:formatCode>
                <c:ptCount val="9"/>
                <c:pt idx="0">
                  <c:v>0</c:v>
                </c:pt>
                <c:pt idx="1">
                  <c:v>1</c:v>
                </c:pt>
                <c:pt idx="2">
                  <c:v>0</c:v>
                </c:pt>
                <c:pt idx="3">
                  <c:v>0</c:v>
                </c:pt>
                <c:pt idx="4">
                  <c:v>0</c:v>
                </c:pt>
                <c:pt idx="5">
                  <c:v>0</c:v>
                </c:pt>
                <c:pt idx="6">
                  <c:v>0</c:v>
                </c:pt>
                <c:pt idx="7">
                  <c:v>0</c:v>
                </c:pt>
                <c:pt idx="8">
                  <c:v>0</c:v>
                </c:pt>
              </c:numCache>
            </c:numRef>
          </c:val>
        </c:ser>
        <c:dLbls>
          <c:showVal val="1"/>
        </c:dLbls>
        <c:marker val="1"/>
        <c:axId val="93432064"/>
        <c:axId val="93446144"/>
      </c:lineChart>
      <c:catAx>
        <c:axId val="93432064"/>
        <c:scaling>
          <c:orientation val="minMax"/>
        </c:scaling>
        <c:delete val="1"/>
        <c:axPos val="b"/>
        <c:majorTickMark val="none"/>
        <c:tickLblPos val="none"/>
        <c:crossAx val="93446144"/>
        <c:crosses val="autoZero"/>
        <c:auto val="1"/>
        <c:lblAlgn val="ctr"/>
        <c:lblOffset val="100"/>
      </c:catAx>
      <c:valAx>
        <c:axId val="93446144"/>
        <c:scaling>
          <c:orientation val="minMax"/>
        </c:scaling>
        <c:delete val="1"/>
        <c:axPos val="l"/>
        <c:numFmt formatCode="0.00%" sourceLinked="1"/>
        <c:majorTickMark val="none"/>
        <c:tickLblPos val="none"/>
        <c:crossAx val="93432064"/>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lang val="pt-BR"/>
  <c:chart>
    <c:autoTitleDeleted val="1"/>
    <c:plotArea>
      <c:layout/>
      <c:lineChart>
        <c:grouping val="standard"/>
        <c:ser>
          <c:idx val="0"/>
          <c:order val="0"/>
          <c:tx>
            <c:strRef>
              <c:f>Des!$I$6</c:f>
              <c:strCache>
                <c:ptCount val="1"/>
                <c:pt idx="0">
                  <c:v>Contas de Resultado Devedoras  (Custos e Despesas) - Resultado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Des!$K$7:$K$15</c:f>
              <c:numCache>
                <c:formatCode>0.00%</c:formatCode>
                <c:ptCount val="9"/>
                <c:pt idx="0">
                  <c:v>0.92876403184878709</c:v>
                </c:pt>
                <c:pt idx="1">
                  <c:v>2.7812064608750471E-2</c:v>
                </c:pt>
                <c:pt idx="2">
                  <c:v>0</c:v>
                </c:pt>
                <c:pt idx="3">
                  <c:v>0</c:v>
                </c:pt>
                <c:pt idx="4">
                  <c:v>0</c:v>
                </c:pt>
                <c:pt idx="5">
                  <c:v>0</c:v>
                </c:pt>
                <c:pt idx="6">
                  <c:v>0</c:v>
                </c:pt>
                <c:pt idx="7">
                  <c:v>0</c:v>
                </c:pt>
                <c:pt idx="8">
                  <c:v>4.3423903542462401E-2</c:v>
                </c:pt>
              </c:numCache>
            </c:numRef>
          </c:val>
        </c:ser>
        <c:dLbls>
          <c:showVal val="1"/>
        </c:dLbls>
        <c:marker val="1"/>
        <c:axId val="93260800"/>
        <c:axId val="93283072"/>
      </c:lineChart>
      <c:catAx>
        <c:axId val="93260800"/>
        <c:scaling>
          <c:orientation val="minMax"/>
        </c:scaling>
        <c:delete val="1"/>
        <c:axPos val="b"/>
        <c:majorTickMark val="none"/>
        <c:tickLblPos val="none"/>
        <c:crossAx val="93283072"/>
        <c:crosses val="autoZero"/>
        <c:auto val="1"/>
        <c:lblAlgn val="ctr"/>
        <c:lblOffset val="100"/>
      </c:catAx>
      <c:valAx>
        <c:axId val="93283072"/>
        <c:scaling>
          <c:orientation val="minMax"/>
        </c:scaling>
        <c:delete val="1"/>
        <c:axPos val="l"/>
        <c:numFmt formatCode="0.00%" sourceLinked="1"/>
        <c:majorTickMark val="none"/>
        <c:tickLblPos val="none"/>
        <c:crossAx val="93260800"/>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lang val="pt-BR"/>
  <c:chart>
    <c:autoTitleDeleted val="1"/>
    <c:plotArea>
      <c:layout/>
      <c:lineChart>
        <c:grouping val="standard"/>
        <c:ser>
          <c:idx val="0"/>
          <c:order val="0"/>
          <c:tx>
            <c:strRef>
              <c:f>Res!$C$18</c:f>
              <c:strCache>
                <c:ptCount val="1"/>
                <c:pt idx="0">
                  <c:v>Demonstração do Resultado do Exercício (DRE)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Res!$F$19:$F$20</c:f>
              <c:numCache>
                <c:formatCode>0.00%</c:formatCode>
                <c:ptCount val="2"/>
                <c:pt idx="0">
                  <c:v>0.51980147646157993</c:v>
                </c:pt>
                <c:pt idx="1">
                  <c:v>0.51980147646157993</c:v>
                </c:pt>
              </c:numCache>
            </c:numRef>
          </c:val>
        </c:ser>
        <c:dLbls>
          <c:showVal val="1"/>
        </c:dLbls>
        <c:marker val="1"/>
        <c:axId val="93310976"/>
        <c:axId val="93312512"/>
      </c:lineChart>
      <c:catAx>
        <c:axId val="93310976"/>
        <c:scaling>
          <c:orientation val="minMax"/>
        </c:scaling>
        <c:delete val="1"/>
        <c:axPos val="b"/>
        <c:majorTickMark val="none"/>
        <c:tickLblPos val="none"/>
        <c:crossAx val="93312512"/>
        <c:crosses val="autoZero"/>
        <c:auto val="1"/>
        <c:lblAlgn val="ctr"/>
        <c:lblOffset val="100"/>
      </c:catAx>
      <c:valAx>
        <c:axId val="93312512"/>
        <c:scaling>
          <c:orientation val="minMax"/>
        </c:scaling>
        <c:delete val="1"/>
        <c:axPos val="l"/>
        <c:numFmt formatCode="0.00%" sourceLinked="1"/>
        <c:majorTickMark val="none"/>
        <c:tickLblPos val="none"/>
        <c:crossAx val="93310976"/>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lang val="pt-BR"/>
  <c:chart>
    <c:autoTitleDeleted val="1"/>
    <c:plotArea>
      <c:layout/>
      <c:barChart>
        <c:barDir val="col"/>
        <c:grouping val="clustered"/>
        <c:ser>
          <c:idx val="0"/>
          <c:order val="0"/>
          <c:tx>
            <c:strRef>
              <c:f>Res!$C$18</c:f>
              <c:strCache>
                <c:ptCount val="1"/>
                <c:pt idx="0">
                  <c:v>Demonstração do Resultado do Exercício (DRE)</c:v>
                </c:pt>
              </c:strCache>
            </c:strRef>
          </c:tx>
          <c:spPr>
            <a:solidFill>
              <a:schemeClr val="accent1"/>
            </a:solidFill>
            <a:ln>
              <a:noFill/>
            </a:ln>
            <a:effectLst/>
          </c:spPr>
          <c:dPt>
            <c:idx val="1"/>
            <c:spPr>
              <a:solidFill>
                <a:schemeClr val="accent2"/>
              </a:solidFill>
              <a:ln>
                <a:noFill/>
              </a:ln>
              <a:effectLst/>
            </c:spPr>
          </c:dPt>
          <c:dPt>
            <c:idx val="2"/>
            <c:spPr>
              <a:solidFill>
                <a:schemeClr val="accent3"/>
              </a:solidFill>
              <a:ln>
                <a:noFill/>
              </a:ln>
              <a:effectLst/>
            </c:spPr>
          </c:dPt>
          <c:dPt>
            <c:idx val="3"/>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trendline>
          <c:val>
            <c:numRef>
              <c:f>Res!$F$19:$F$20</c:f>
              <c:numCache>
                <c:formatCode>0.00%</c:formatCode>
                <c:ptCount val="2"/>
                <c:pt idx="0">
                  <c:v>0.51980147646157993</c:v>
                </c:pt>
                <c:pt idx="1">
                  <c:v>0.51980147646157993</c:v>
                </c:pt>
              </c:numCache>
            </c:numRef>
          </c:val>
        </c:ser>
        <c:dLbls>
          <c:showVal val="1"/>
        </c:dLbls>
        <c:axId val="93477504"/>
        <c:axId val="93491584"/>
      </c:barChart>
      <c:catAx>
        <c:axId val="93477504"/>
        <c:scaling>
          <c:orientation val="minMax"/>
        </c:scaling>
        <c:delete val="1"/>
        <c:axPos val="b"/>
        <c:majorTickMark val="none"/>
        <c:tickLblPos val="none"/>
        <c:crossAx val="93491584"/>
        <c:crosses val="autoZero"/>
        <c:auto val="1"/>
        <c:lblAlgn val="ctr"/>
        <c:lblOffset val="100"/>
      </c:catAx>
      <c:valAx>
        <c:axId val="93491584"/>
        <c:scaling>
          <c:orientation val="minMax"/>
        </c:scaling>
        <c:delete val="1"/>
        <c:axPos val="l"/>
        <c:numFmt formatCode="0.00%" sourceLinked="1"/>
        <c:majorTickMark val="none"/>
        <c:tickLblPos val="none"/>
        <c:crossAx val="93477504"/>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barChart>
        <c:barDir val="col"/>
        <c:grouping val="clustered"/>
        <c:ser>
          <c:idx val="0"/>
          <c:order val="0"/>
          <c:tx>
            <c:strRef>
              <c:f>Res!$C$18</c:f>
              <c:strCache>
                <c:ptCount val="1"/>
                <c:pt idx="0">
                  <c:v>Demonstração do Resultado do Exercício (DRE)</c:v>
                </c:pt>
              </c:strCache>
            </c:strRef>
          </c:tx>
          <c:spPr>
            <a:solidFill>
              <a:schemeClr val="accent3"/>
            </a:solidFill>
            <a:ln>
              <a:noFill/>
            </a:ln>
            <a:effectLst/>
          </c:spPr>
          <c:dPt>
            <c:idx val="0"/>
            <c:spPr>
              <a:solidFill>
                <a:schemeClr val="accent1"/>
              </a:solidFill>
              <a:ln>
                <a:noFill/>
              </a:ln>
              <a:effectLst/>
            </c:spPr>
          </c:dPt>
          <c:dPt>
            <c:idx val="1"/>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Res!$C$19:$D$20</c:f>
              <c:strCache>
                <c:ptCount val="2"/>
                <c:pt idx="0">
                  <c:v>Contas de Resultado Credora (Receitas)</c:v>
                </c:pt>
                <c:pt idx="1">
                  <c:v>Contas de Resultado Devedoras  (Custos e Despesas)</c:v>
                </c:pt>
              </c:strCache>
            </c:strRef>
          </c:cat>
          <c:val>
            <c:numRef>
              <c:f>Res!$E$19:$E$20</c:f>
              <c:numCache>
                <c:formatCode>"R$"\ #,##0.00</c:formatCode>
                <c:ptCount val="2"/>
                <c:pt idx="0">
                  <c:v>408670</c:v>
                </c:pt>
                <c:pt idx="1">
                  <c:v>377534</c:v>
                </c:pt>
              </c:numCache>
            </c:numRef>
          </c:val>
        </c:ser>
        <c:dLbls>
          <c:showVal val="1"/>
        </c:dLbls>
        <c:gapWidth val="219"/>
        <c:overlap val="-27"/>
        <c:axId val="102136064"/>
        <c:axId val="102141952"/>
      </c:barChart>
      <c:catAx>
        <c:axId val="102136064"/>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2141952"/>
        <c:crosses val="autoZero"/>
        <c:auto val="1"/>
        <c:lblAlgn val="ctr"/>
        <c:lblOffset val="100"/>
      </c:catAx>
      <c:valAx>
        <c:axId val="102141952"/>
        <c:scaling>
          <c:orientation val="minMax"/>
        </c:scaling>
        <c:delete val="1"/>
        <c:axPos val="l"/>
        <c:numFmt formatCode="&quot;R$&quot;\ #,##0.00" sourceLinked="1"/>
        <c:majorTickMark val="none"/>
        <c:tickLblPos val="none"/>
        <c:crossAx val="102136064"/>
        <c:crosses val="autoZero"/>
        <c:crossBetween val="between"/>
      </c:valAx>
      <c:spPr>
        <a:solidFill>
          <a:schemeClr val="bg1"/>
        </a:solidFill>
        <a:ln>
          <a:noFill/>
        </a:ln>
        <a:effectLst/>
      </c:spPr>
    </c:plotArea>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lang val="pt-BR"/>
  <c:chart>
    <c:autoTitleDeleted val="1"/>
    <c:plotArea>
      <c:layout/>
      <c:lineChart>
        <c:grouping val="standard"/>
        <c:ser>
          <c:idx val="0"/>
          <c:order val="0"/>
          <c:tx>
            <c:strRef>
              <c:f>Res!$C$18</c:f>
              <c:strCache>
                <c:ptCount val="1"/>
                <c:pt idx="0">
                  <c:v>Demonstração do Resultado do Exercício (DRE)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Res!$F$19:$F$20</c:f>
              <c:numCache>
                <c:formatCode>0.00%</c:formatCode>
                <c:ptCount val="2"/>
                <c:pt idx="0">
                  <c:v>0.51980147646157993</c:v>
                </c:pt>
                <c:pt idx="1">
                  <c:v>0.51980147646157993</c:v>
                </c:pt>
              </c:numCache>
            </c:numRef>
          </c:val>
        </c:ser>
        <c:dLbls>
          <c:showVal val="1"/>
        </c:dLbls>
        <c:marker val="1"/>
        <c:axId val="102153600"/>
        <c:axId val="102175872"/>
      </c:lineChart>
      <c:catAx>
        <c:axId val="102153600"/>
        <c:scaling>
          <c:orientation val="minMax"/>
        </c:scaling>
        <c:delete val="1"/>
        <c:axPos val="b"/>
        <c:majorTickMark val="none"/>
        <c:tickLblPos val="none"/>
        <c:crossAx val="102175872"/>
        <c:crosses val="autoZero"/>
        <c:auto val="1"/>
        <c:lblAlgn val="ctr"/>
        <c:lblOffset val="100"/>
      </c:catAx>
      <c:valAx>
        <c:axId val="102175872"/>
        <c:scaling>
          <c:orientation val="minMax"/>
        </c:scaling>
        <c:delete val="1"/>
        <c:axPos val="l"/>
        <c:numFmt formatCode="0.00%" sourceLinked="1"/>
        <c:majorTickMark val="none"/>
        <c:tickLblPos val="none"/>
        <c:crossAx val="102153600"/>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pieChart>
        <c:varyColors val="1"/>
        <c:ser>
          <c:idx val="0"/>
          <c:order val="0"/>
          <c:tx>
            <c:strRef>
              <c:f>Res!$C$18</c:f>
              <c:strCache>
                <c:ptCount val="1"/>
                <c:pt idx="0">
                  <c:v>Demonstração do Resultado do Exercício (DRE)</c:v>
                </c:pt>
              </c:strCache>
            </c:strRef>
          </c:tx>
          <c:dPt>
            <c:idx val="0"/>
            <c:spPr>
              <a:solidFill>
                <a:schemeClr val="accent1"/>
              </a:solidFill>
              <a:ln>
                <a:noFill/>
              </a:ln>
              <a:effectLst/>
            </c:spPr>
          </c:dPt>
          <c:dPt>
            <c:idx val="1"/>
            <c:spPr>
              <a:solidFill>
                <a:schemeClr val="accent2"/>
              </a:solidFill>
              <a:ln>
                <a:noFill/>
              </a:ln>
              <a:effectLst/>
            </c:spPr>
          </c:dPt>
          <c:dPt>
            <c:idx val="2"/>
            <c:spPr>
              <a:solidFill>
                <a:schemeClr val="accent3"/>
              </a:solidFill>
              <a:ln>
                <a:noFill/>
              </a:ln>
              <a:effectLst/>
            </c:spPr>
          </c:dPt>
          <c:dPt>
            <c:idx val="3"/>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Res!$C$19:$D$20</c:f>
              <c:strCache>
                <c:ptCount val="2"/>
                <c:pt idx="0">
                  <c:v>Contas de Resultado Credora (Receitas)</c:v>
                </c:pt>
                <c:pt idx="1">
                  <c:v>Contas de Resultado Devedoras  (Custos e Despesas)</c:v>
                </c:pt>
              </c:strCache>
            </c:strRef>
          </c:cat>
          <c:val>
            <c:numRef>
              <c:f>Res!$E$19:$E$20</c:f>
              <c:numCache>
                <c:formatCode>"R$"\ #,##0.00</c:formatCode>
                <c:ptCount val="2"/>
                <c:pt idx="0">
                  <c:v>408670</c:v>
                </c:pt>
                <c:pt idx="1">
                  <c:v>377534</c:v>
                </c:pt>
              </c:numCache>
            </c:numRef>
          </c:val>
        </c:ser>
        <c:dLbls/>
        <c:firstSliceAng val="0"/>
      </c:pieChart>
      <c:spPr>
        <a:noFill/>
        <a:ln>
          <a:noFill/>
        </a:ln>
        <a:effectLst/>
      </c:spPr>
    </c:plotArea>
    <c:legend>
      <c:legendPos val="r"/>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zero"/>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lang val="pt-BR"/>
  <c:chart>
    <c:autoTitleDeleted val="1"/>
    <c:plotArea>
      <c:layout/>
      <c:barChart>
        <c:barDir val="col"/>
        <c:grouping val="clustered"/>
        <c:ser>
          <c:idx val="0"/>
          <c:order val="0"/>
          <c:tx>
            <c:strRef>
              <c:f>Res!$C$18</c:f>
              <c:strCache>
                <c:ptCount val="1"/>
                <c:pt idx="0">
                  <c:v>Demonstração do Resultado do Exercício (DRE)</c:v>
                </c:pt>
              </c:strCache>
            </c:strRef>
          </c:tx>
          <c:spPr>
            <a:solidFill>
              <a:schemeClr val="accent1"/>
            </a:solidFill>
            <a:ln>
              <a:noFill/>
            </a:ln>
            <a:effectLst/>
          </c:spPr>
          <c:dPt>
            <c:idx val="1"/>
            <c:spPr>
              <a:solidFill>
                <a:schemeClr val="accent2"/>
              </a:solidFill>
              <a:ln>
                <a:noFill/>
              </a:ln>
              <a:effectLst/>
            </c:spPr>
          </c:dPt>
          <c:dPt>
            <c:idx val="2"/>
            <c:spPr>
              <a:solidFill>
                <a:schemeClr val="accent3"/>
              </a:solidFill>
              <a:ln>
                <a:noFill/>
              </a:ln>
              <a:effectLst/>
            </c:spPr>
          </c:dPt>
          <c:dPt>
            <c:idx val="3"/>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trendline>
          <c:val>
            <c:numRef>
              <c:f>Res!$F$19:$F$20</c:f>
              <c:numCache>
                <c:formatCode>0.00%</c:formatCode>
                <c:ptCount val="2"/>
                <c:pt idx="0">
                  <c:v>0.51980147646157993</c:v>
                </c:pt>
                <c:pt idx="1">
                  <c:v>0.51980147646157993</c:v>
                </c:pt>
              </c:numCache>
            </c:numRef>
          </c:val>
        </c:ser>
        <c:dLbls>
          <c:showVal val="1"/>
        </c:dLbls>
        <c:axId val="102254848"/>
        <c:axId val="102264832"/>
      </c:barChart>
      <c:catAx>
        <c:axId val="102254848"/>
        <c:scaling>
          <c:orientation val="minMax"/>
        </c:scaling>
        <c:delete val="1"/>
        <c:axPos val="b"/>
        <c:majorTickMark val="none"/>
        <c:tickLblPos val="none"/>
        <c:crossAx val="102264832"/>
        <c:crosses val="autoZero"/>
        <c:auto val="1"/>
        <c:lblAlgn val="ctr"/>
        <c:lblOffset val="100"/>
      </c:catAx>
      <c:valAx>
        <c:axId val="102264832"/>
        <c:scaling>
          <c:orientation val="minMax"/>
        </c:scaling>
        <c:delete val="1"/>
        <c:axPos val="l"/>
        <c:numFmt formatCode="0.00%" sourceLinked="1"/>
        <c:majorTickMark val="none"/>
        <c:tickLblPos val="none"/>
        <c:crossAx val="102254848"/>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barChart>
        <c:barDir val="col"/>
        <c:grouping val="clustered"/>
        <c:ser>
          <c:idx val="1"/>
          <c:order val="0"/>
          <c:tx>
            <c:strRef>
              <c:f>Bal!$I$6</c:f>
              <c:strCache>
                <c:ptCount val="1"/>
                <c:pt idx="0">
                  <c:v>Contas do Ativo Circulante - Resultado</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Bal!$I$7:$I$15</c:f>
              <c:strCache>
                <c:ptCount val="9"/>
                <c:pt idx="0">
                  <c:v>Disponibilidades</c:v>
                </c:pt>
                <c:pt idx="1">
                  <c:v>Aplicações em Instrumentos Financeiros</c:v>
                </c:pt>
                <c:pt idx="2">
                  <c:v>Estoque</c:v>
                </c:pt>
                <c:pt idx="3">
                  <c:v>Créditos Tributários</c:v>
                </c:pt>
                <c:pt idx="4">
                  <c:v>Clientes Créditos a Receber</c:v>
                </c:pt>
                <c:pt idx="5">
                  <c:v>Clientes Vencidos a Liquidar</c:v>
                </c:pt>
                <c:pt idx="6">
                  <c:v>Outros Créditos</c:v>
                </c:pt>
                <c:pt idx="7">
                  <c:v>Outros Valores e Bens</c:v>
                </c:pt>
                <c:pt idx="8">
                  <c:v>Despesas Antecipadas</c:v>
                </c:pt>
              </c:strCache>
            </c:strRef>
          </c:cat>
          <c:val>
            <c:numRef>
              <c:f>Bal!$J$7:$J$15</c:f>
              <c:numCache>
                <c:formatCode>"R$"\ #,##0.00</c:formatCode>
                <c:ptCount val="9"/>
                <c:pt idx="0">
                  <c:v>57560</c:v>
                </c:pt>
                <c:pt idx="1">
                  <c:v>0</c:v>
                </c:pt>
                <c:pt idx="2">
                  <c:v>46320</c:v>
                </c:pt>
                <c:pt idx="3">
                  <c:v>0</c:v>
                </c:pt>
                <c:pt idx="4">
                  <c:v>49400</c:v>
                </c:pt>
                <c:pt idx="5">
                  <c:v>0</c:v>
                </c:pt>
                <c:pt idx="6">
                  <c:v>0</c:v>
                </c:pt>
                <c:pt idx="7">
                  <c:v>0</c:v>
                </c:pt>
                <c:pt idx="8">
                  <c:v>0</c:v>
                </c:pt>
              </c:numCache>
            </c:numRef>
          </c:val>
        </c:ser>
        <c:dLbls>
          <c:showVal val="1"/>
        </c:dLbls>
        <c:gapWidth val="219"/>
        <c:overlap val="-27"/>
        <c:axId val="102284288"/>
        <c:axId val="102294272"/>
      </c:barChart>
      <c:catAx>
        <c:axId val="102284288"/>
        <c:scaling>
          <c:orientation val="minMax"/>
        </c:scaling>
        <c:axPos val="b"/>
        <c:numFmt formatCode="General" sourceLinked="1"/>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2294272"/>
        <c:crosses val="autoZero"/>
        <c:auto val="1"/>
        <c:lblAlgn val="ctr"/>
        <c:lblOffset val="100"/>
      </c:catAx>
      <c:valAx>
        <c:axId val="102294272"/>
        <c:scaling>
          <c:orientation val="minMax"/>
        </c:scaling>
        <c:delete val="1"/>
        <c:axPos val="l"/>
        <c:numFmt formatCode="&quot;R$&quot;\ #,##0.00" sourceLinked="1"/>
        <c:tickLblPos val="none"/>
        <c:crossAx val="102284288"/>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lang val="pt-BR"/>
  <c:chart>
    <c:autoTitleDeleted val="1"/>
    <c:plotArea>
      <c:layout/>
      <c:lineChart>
        <c:grouping val="standard"/>
        <c:ser>
          <c:idx val="0"/>
          <c:order val="0"/>
          <c:tx>
            <c:strRef>
              <c:f>Bal!$I$6</c:f>
              <c:strCache>
                <c:ptCount val="1"/>
                <c:pt idx="0">
                  <c:v>Contas do Ativo Circulante - Resultado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Bal!$K$7:$K$15</c:f>
              <c:numCache>
                <c:formatCode>0.00%</c:formatCode>
                <c:ptCount val="9"/>
                <c:pt idx="0">
                  <c:v>0.37552192066805845</c:v>
                </c:pt>
                <c:pt idx="1">
                  <c:v>0</c:v>
                </c:pt>
                <c:pt idx="2">
                  <c:v>0.30219206680584554</c:v>
                </c:pt>
                <c:pt idx="3">
                  <c:v>0</c:v>
                </c:pt>
                <c:pt idx="4">
                  <c:v>0.32228601252609601</c:v>
                </c:pt>
                <c:pt idx="5">
                  <c:v>0</c:v>
                </c:pt>
                <c:pt idx="6">
                  <c:v>0</c:v>
                </c:pt>
                <c:pt idx="7">
                  <c:v>0</c:v>
                </c:pt>
                <c:pt idx="8">
                  <c:v>0</c:v>
                </c:pt>
              </c:numCache>
            </c:numRef>
          </c:val>
        </c:ser>
        <c:dLbls>
          <c:showVal val="1"/>
        </c:dLbls>
        <c:marker val="1"/>
        <c:axId val="102326656"/>
        <c:axId val="102328192"/>
      </c:lineChart>
      <c:catAx>
        <c:axId val="102326656"/>
        <c:scaling>
          <c:orientation val="minMax"/>
        </c:scaling>
        <c:delete val="1"/>
        <c:axPos val="b"/>
        <c:majorTickMark val="none"/>
        <c:tickLblPos val="none"/>
        <c:crossAx val="102328192"/>
        <c:crosses val="autoZero"/>
        <c:auto val="1"/>
        <c:lblAlgn val="ctr"/>
        <c:lblOffset val="100"/>
      </c:catAx>
      <c:valAx>
        <c:axId val="102328192"/>
        <c:scaling>
          <c:orientation val="minMax"/>
        </c:scaling>
        <c:delete val="1"/>
        <c:axPos val="l"/>
        <c:numFmt formatCode="0.00%" sourceLinked="1"/>
        <c:majorTickMark val="none"/>
        <c:tickLblPos val="none"/>
        <c:crossAx val="102326656"/>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barChart>
        <c:barDir val="col"/>
        <c:grouping val="clustered"/>
        <c:ser>
          <c:idx val="1"/>
          <c:order val="0"/>
          <c:tx>
            <c:strRef>
              <c:f>Atin!$I$6</c:f>
              <c:strCache>
                <c:ptCount val="1"/>
                <c:pt idx="0">
                  <c:v>Contas do Ativo Não Circulante - Resultado</c:v>
                </c:pt>
              </c:strCache>
            </c:strRef>
          </c:tx>
          <c:spPr>
            <a:solidFill>
              <a:schemeClr val="accent1"/>
            </a:solidFill>
            <a:ln>
              <a:noFill/>
            </a:ln>
            <a:effectLst/>
          </c:spPr>
          <c:dLbls>
            <c:dLbl>
              <c:idx val="0"/>
              <c:layout>
                <c:manualLayout>
                  <c:x val="0"/>
                  <c:y val="0.16666676387679399"/>
                </c:manualLayout>
              </c:layout>
              <c:dLblPos val="outEnd"/>
              <c:showVal val="1"/>
              <c:extLst>
                <c:ext xmlns:c15="http://schemas.microsoft.com/office/drawing/2012/chart" uri="{CE6537A1-D6FC-4f65-9D91-7224C49458BB}"/>
              </c:extLst>
            </c:dLbl>
            <c:dLbl>
              <c:idx val="2"/>
              <c:layout>
                <c:manualLayout>
                  <c:x val="0"/>
                  <c:y val="5.5555587958931514E-2"/>
                </c:manualLayout>
              </c:layout>
              <c:dLblPos val="outEnd"/>
              <c:showVal val="1"/>
              <c:extLst>
                <c:ext xmlns:c15="http://schemas.microsoft.com/office/drawing/2012/chart" uri="{CE6537A1-D6FC-4f65-9D91-7224C49458BB}"/>
              </c:extLst>
            </c:dLbl>
            <c:dLbl>
              <c:idx val="5"/>
              <c:layout>
                <c:manualLayout>
                  <c:x val="0"/>
                  <c:y val="0.17777788146858101"/>
                </c:manualLayout>
              </c:layout>
              <c:dLblPos val="outEnd"/>
              <c:showVal val="1"/>
              <c:extLst>
                <c:ext xmlns:c15="http://schemas.microsoft.com/office/drawing/2012/chart" uri="{CE6537A1-D6FC-4f65-9D91-7224C49458BB}"/>
              </c:extLst>
            </c:dLbl>
            <c:dLbl>
              <c:idx val="7"/>
              <c:layout>
                <c:manualLayout>
                  <c:x val="0"/>
                  <c:y val="0.19629641078822402"/>
                </c:manualLayout>
              </c:layout>
              <c:dLblPos val="outEnd"/>
              <c:showVal val="1"/>
              <c:extLst>
                <c:ext xmlns:c15="http://schemas.microsoft.com/office/drawing/2012/chart" uri="{CE6537A1-D6FC-4f65-9D91-7224C49458BB}"/>
              </c:extLst>
            </c:dLbl>
            <c:dLbl>
              <c:idx val="9"/>
              <c:layout>
                <c:manualLayout>
                  <c:x val="-1.0958779662036711E-16"/>
                  <c:y val="0.18888899906036702"/>
                </c:manualLayout>
              </c:layout>
              <c:dLblPos val="outEnd"/>
              <c:showVal val="1"/>
              <c:extLst>
                <c:ext xmlns:c15="http://schemas.microsoft.com/office/drawing/2012/chart" uri="{CE6537A1-D6FC-4f65-9D91-7224C49458BB}"/>
              </c:extLst>
            </c:dLbl>
            <c:dLbl>
              <c:idx val="11"/>
              <c:layout>
                <c:manualLayout>
                  <c:x val="0"/>
                  <c:y val="0.18518529319643806"/>
                </c:manualLayout>
              </c:layout>
              <c:dLblPos val="outEnd"/>
              <c:showVal val="1"/>
              <c:extLst>
                <c:ext xmlns:c15="http://schemas.microsoft.com/office/drawing/2012/chart" uri="{CE6537A1-D6FC-4f65-9D91-7224C49458BB}"/>
              </c:extLst>
            </c:dLbl>
            <c:dLbl>
              <c:idx val="13"/>
              <c:layout>
                <c:manualLayout>
                  <c:x val="-1.0958779662036711E-16"/>
                  <c:y val="0.23333346942751201"/>
                </c:manualLayout>
              </c:layout>
              <c:dLblPos val="outEnd"/>
              <c:showVal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Atin!$I$7:$I$21</c:f>
              <c:strCache>
                <c:ptCount val="15"/>
                <c:pt idx="0">
                  <c:v>Valores e Bens</c:v>
                </c:pt>
                <c:pt idx="1">
                  <c:v>Garantias e Cauções</c:v>
                </c:pt>
                <c:pt idx="2">
                  <c:v>Aplicações em Instrumentos Financeiros a Longo Prazo</c:v>
                </c:pt>
                <c:pt idx="3">
                  <c:v>Depósitos Judiciais</c:v>
                </c:pt>
                <c:pt idx="4">
                  <c:v>Imóveis para Locação ou Venda</c:v>
                </c:pt>
                <c:pt idx="5">
                  <c:v>Outras Contas do Realizável</c:v>
                </c:pt>
                <c:pt idx="6">
                  <c:v>Investimentos</c:v>
                </c:pt>
                <c:pt idx="7">
                  <c:v>Imobilizado de Uso</c:v>
                </c:pt>
                <c:pt idx="8">
                  <c:v>Ativo Diferido</c:v>
                </c:pt>
                <c:pt idx="9">
                  <c:v>Intangível</c:v>
                </c:pt>
                <c:pt idx="10">
                  <c:v>Imobilizado de Arrendamento (Leaseback)</c:v>
                </c:pt>
                <c:pt idx="11">
                  <c:v>Imobilizado Para Locação</c:v>
                </c:pt>
                <c:pt idx="12">
                  <c:v>Ativo Biológico e Produto Agrícola</c:v>
                </c:pt>
                <c:pt idx="13">
                  <c:v>Imobilzado Recebido em Comodato</c:v>
                </c:pt>
                <c:pt idx="14">
                  <c:v>Outros</c:v>
                </c:pt>
              </c:strCache>
            </c:strRef>
          </c:cat>
          <c:val>
            <c:numRef>
              <c:f>Atin!$J$7:$J$21</c:f>
              <c:numCache>
                <c:formatCode>"R$"\ #,##0.00</c:formatCode>
                <c:ptCount val="15"/>
                <c:pt idx="0">
                  <c:v>65000</c:v>
                </c:pt>
                <c:pt idx="1">
                  <c:v>0</c:v>
                </c:pt>
                <c:pt idx="2">
                  <c:v>0</c:v>
                </c:pt>
                <c:pt idx="3">
                  <c:v>0</c:v>
                </c:pt>
                <c:pt idx="4">
                  <c:v>0</c:v>
                </c:pt>
                <c:pt idx="5">
                  <c:v>0</c:v>
                </c:pt>
                <c:pt idx="6">
                  <c:v>0</c:v>
                </c:pt>
                <c:pt idx="7">
                  <c:v>50000</c:v>
                </c:pt>
                <c:pt idx="8">
                  <c:v>18500</c:v>
                </c:pt>
                <c:pt idx="9">
                  <c:v>20000</c:v>
                </c:pt>
                <c:pt idx="10">
                  <c:v>0</c:v>
                </c:pt>
                <c:pt idx="11">
                  <c:v>0</c:v>
                </c:pt>
                <c:pt idx="12">
                  <c:v>0</c:v>
                </c:pt>
                <c:pt idx="13">
                  <c:v>0</c:v>
                </c:pt>
                <c:pt idx="14">
                  <c:v>-12000</c:v>
                </c:pt>
              </c:numCache>
            </c:numRef>
          </c:val>
        </c:ser>
        <c:dLbls>
          <c:showVal val="1"/>
        </c:dLbls>
        <c:gapWidth val="219"/>
        <c:overlap val="-27"/>
        <c:axId val="102368384"/>
        <c:axId val="102369920"/>
      </c:barChart>
      <c:catAx>
        <c:axId val="102368384"/>
        <c:scaling>
          <c:orientation val="minMax"/>
        </c:scaling>
        <c:axPos val="b"/>
        <c:numFmt formatCode="General" sourceLinked="1"/>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2369920"/>
        <c:crosses val="autoZero"/>
        <c:auto val="1"/>
        <c:lblAlgn val="ctr"/>
        <c:lblOffset val="100"/>
      </c:catAx>
      <c:valAx>
        <c:axId val="102369920"/>
        <c:scaling>
          <c:orientation val="minMax"/>
        </c:scaling>
        <c:delete val="1"/>
        <c:axPos val="l"/>
        <c:numFmt formatCode="&quot;R$&quot;\ #,##0.00" sourceLinked="1"/>
        <c:tickLblPos val="none"/>
        <c:crossAx val="102368384"/>
        <c:crosses val="autoZero"/>
        <c:crossBetween val="between"/>
      </c:valAx>
      <c:spPr>
        <a:noFill/>
        <a:ln>
          <a:noFill/>
        </a:ln>
        <a:effectLst/>
      </c:spPr>
    </c:plotArea>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lang val="pt-BR"/>
  <c:chart>
    <c:autoTitleDeleted val="1"/>
    <c:plotArea>
      <c:layout/>
      <c:lineChart>
        <c:grouping val="standard"/>
        <c:ser>
          <c:idx val="0"/>
          <c:order val="0"/>
          <c:tx>
            <c:strRef>
              <c:f>Atin!$I$6</c:f>
              <c:strCache>
                <c:ptCount val="1"/>
                <c:pt idx="0">
                  <c:v>Contas do Ativo Não Circulante - Resultado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Atin!$K$7:$K$21</c:f>
              <c:numCache>
                <c:formatCode>0.00%</c:formatCode>
                <c:ptCount val="15"/>
                <c:pt idx="0">
                  <c:v>0.45936395759717313</c:v>
                </c:pt>
                <c:pt idx="1">
                  <c:v>0</c:v>
                </c:pt>
                <c:pt idx="2">
                  <c:v>0</c:v>
                </c:pt>
                <c:pt idx="3">
                  <c:v>0</c:v>
                </c:pt>
                <c:pt idx="4">
                  <c:v>0</c:v>
                </c:pt>
                <c:pt idx="5">
                  <c:v>0</c:v>
                </c:pt>
                <c:pt idx="6">
                  <c:v>0</c:v>
                </c:pt>
                <c:pt idx="7">
                  <c:v>0.35335689045936397</c:v>
                </c:pt>
                <c:pt idx="8">
                  <c:v>0.13074204946996468</c:v>
                </c:pt>
                <c:pt idx="9">
                  <c:v>0.14134275618374559</c:v>
                </c:pt>
                <c:pt idx="10">
                  <c:v>0</c:v>
                </c:pt>
                <c:pt idx="11">
                  <c:v>0</c:v>
                </c:pt>
                <c:pt idx="12">
                  <c:v>0</c:v>
                </c:pt>
                <c:pt idx="13">
                  <c:v>0</c:v>
                </c:pt>
                <c:pt idx="14">
                  <c:v>-8.4805653710247356E-2</c:v>
                </c:pt>
              </c:numCache>
            </c:numRef>
          </c:val>
        </c:ser>
        <c:dLbls>
          <c:showVal val="1"/>
        </c:dLbls>
        <c:marker val="1"/>
        <c:axId val="102418688"/>
        <c:axId val="102428672"/>
      </c:lineChart>
      <c:catAx>
        <c:axId val="102418688"/>
        <c:scaling>
          <c:orientation val="minMax"/>
        </c:scaling>
        <c:delete val="1"/>
        <c:axPos val="b"/>
        <c:majorTickMark val="none"/>
        <c:tickLblPos val="none"/>
        <c:crossAx val="102428672"/>
        <c:crosses val="autoZero"/>
        <c:auto val="1"/>
        <c:lblAlgn val="ctr"/>
        <c:lblOffset val="100"/>
      </c:catAx>
      <c:valAx>
        <c:axId val="102428672"/>
        <c:scaling>
          <c:orientation val="minMax"/>
        </c:scaling>
        <c:delete val="1"/>
        <c:axPos val="l"/>
        <c:numFmt formatCode="0.00%" sourceLinked="1"/>
        <c:majorTickMark val="none"/>
        <c:tickLblPos val="none"/>
        <c:crossAx val="102418688"/>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barChart>
        <c:barDir val="col"/>
        <c:grouping val="clustered"/>
        <c:ser>
          <c:idx val="1"/>
          <c:order val="0"/>
          <c:tx>
            <c:strRef>
              <c:f>Pas!$I$6</c:f>
              <c:strCache>
                <c:ptCount val="1"/>
                <c:pt idx="0">
                  <c:v>Contas do Passivo Circulante - Resultado</c:v>
                </c:pt>
              </c:strCache>
            </c:strRef>
          </c:tx>
          <c:spPr>
            <a:solidFill>
              <a:schemeClr val="accent2"/>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Pas!$I$7:$I$15</c:f>
              <c:strCache>
                <c:ptCount val="9"/>
                <c:pt idx="0">
                  <c:v>Fornecedores</c:v>
                </c:pt>
                <c:pt idx="1">
                  <c:v>Obrigações Financeiras a Curto Prazo</c:v>
                </c:pt>
                <c:pt idx="2">
                  <c:v>Obrigações Fiscais e Tributárias</c:v>
                </c:pt>
                <c:pt idx="3">
                  <c:v>Obrigações Trabalhistas e Previdenciárias</c:v>
                </c:pt>
                <c:pt idx="4">
                  <c:v>Obrigações Sociais e Estatutárias</c:v>
                </c:pt>
                <c:pt idx="5">
                  <c:v>Obrigações Administrativas e Operacionais</c:v>
                </c:pt>
                <c:pt idx="6">
                  <c:v>Provisões para Contingências </c:v>
                </c:pt>
                <c:pt idx="7">
                  <c:v>Relações Interfinanceiras</c:v>
                </c:pt>
                <c:pt idx="8">
                  <c:v>Outras Obrigações</c:v>
                </c:pt>
              </c:strCache>
            </c:strRef>
          </c:cat>
          <c:val>
            <c:numRef>
              <c:f>Pas!$J$7:$J$15</c:f>
              <c:numCache>
                <c:formatCode>"R$"\ #,##0.00</c:formatCode>
                <c:ptCount val="9"/>
                <c:pt idx="0">
                  <c:v>31840</c:v>
                </c:pt>
                <c:pt idx="1">
                  <c:v>0</c:v>
                </c:pt>
                <c:pt idx="2">
                  <c:v>0</c:v>
                </c:pt>
                <c:pt idx="3">
                  <c:v>12750</c:v>
                </c:pt>
                <c:pt idx="4">
                  <c:v>8874</c:v>
                </c:pt>
                <c:pt idx="5">
                  <c:v>5494</c:v>
                </c:pt>
                <c:pt idx="6">
                  <c:v>0</c:v>
                </c:pt>
                <c:pt idx="7">
                  <c:v>0</c:v>
                </c:pt>
                <c:pt idx="8">
                  <c:v>0</c:v>
                </c:pt>
              </c:numCache>
            </c:numRef>
          </c:val>
        </c:ser>
        <c:dLbls>
          <c:showVal val="1"/>
        </c:dLbls>
        <c:gapWidth val="219"/>
        <c:overlap val="-27"/>
        <c:axId val="102505472"/>
        <c:axId val="102531840"/>
      </c:barChart>
      <c:catAx>
        <c:axId val="102505472"/>
        <c:scaling>
          <c:orientation val="minMax"/>
        </c:scaling>
        <c:axPos val="b"/>
        <c:numFmt formatCode="General" sourceLinked="1"/>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2531840"/>
        <c:crosses val="autoZero"/>
        <c:auto val="1"/>
        <c:lblAlgn val="ctr"/>
        <c:lblOffset val="100"/>
      </c:catAx>
      <c:valAx>
        <c:axId val="102531840"/>
        <c:scaling>
          <c:orientation val="minMax"/>
        </c:scaling>
        <c:delete val="1"/>
        <c:axPos val="l"/>
        <c:numFmt formatCode="&quot;R$&quot;\ #,##0.00" sourceLinked="1"/>
        <c:tickLblPos val="none"/>
        <c:crossAx val="102505472"/>
        <c:crosses val="autoZero"/>
        <c:crossBetween val="between"/>
      </c:valAx>
      <c:spPr>
        <a:solidFill>
          <a:schemeClr val="bg1"/>
        </a:solidFill>
        <a:ln>
          <a:noFill/>
        </a:ln>
        <a:effectLst/>
      </c:spPr>
    </c:plotArea>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lang val="pt-BR"/>
  <c:chart>
    <c:autoTitleDeleted val="1"/>
    <c:plotArea>
      <c:layout/>
      <c:lineChart>
        <c:grouping val="standard"/>
        <c:ser>
          <c:idx val="0"/>
          <c:order val="0"/>
          <c:tx>
            <c:strRef>
              <c:f>Pas!$I$6</c:f>
              <c:strCache>
                <c:ptCount val="1"/>
                <c:pt idx="0">
                  <c:v>Contas do Passivo Circulante - Resultado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Pas!$K$7:$K$15</c:f>
              <c:numCache>
                <c:formatCode>0.00%</c:formatCode>
                <c:ptCount val="9"/>
                <c:pt idx="0">
                  <c:v>0.54004545608738419</c:v>
                </c:pt>
                <c:pt idx="1">
                  <c:v>0</c:v>
                </c:pt>
                <c:pt idx="2">
                  <c:v>0</c:v>
                </c:pt>
                <c:pt idx="3">
                  <c:v>0.21625563960785643</c:v>
                </c:pt>
                <c:pt idx="4">
                  <c:v>0.15051392516706807</c:v>
                </c:pt>
                <c:pt idx="5">
                  <c:v>9.3184979137691235E-2</c:v>
                </c:pt>
                <c:pt idx="6">
                  <c:v>0</c:v>
                </c:pt>
                <c:pt idx="7">
                  <c:v>0</c:v>
                </c:pt>
                <c:pt idx="8">
                  <c:v>0</c:v>
                </c:pt>
              </c:numCache>
            </c:numRef>
          </c:val>
        </c:ser>
        <c:dLbls>
          <c:showVal val="1"/>
        </c:dLbls>
        <c:marker val="1"/>
        <c:axId val="102556032"/>
        <c:axId val="102557568"/>
      </c:lineChart>
      <c:catAx>
        <c:axId val="102556032"/>
        <c:scaling>
          <c:orientation val="minMax"/>
        </c:scaling>
        <c:delete val="1"/>
        <c:axPos val="b"/>
        <c:majorTickMark val="none"/>
        <c:tickLblPos val="none"/>
        <c:crossAx val="102557568"/>
        <c:crosses val="autoZero"/>
        <c:auto val="1"/>
        <c:lblAlgn val="ctr"/>
        <c:lblOffset val="100"/>
      </c:catAx>
      <c:valAx>
        <c:axId val="102557568"/>
        <c:scaling>
          <c:orientation val="minMax"/>
        </c:scaling>
        <c:delete val="1"/>
        <c:axPos val="l"/>
        <c:numFmt formatCode="0.00%" sourceLinked="1"/>
        <c:majorTickMark val="none"/>
        <c:tickLblPos val="none"/>
        <c:crossAx val="102556032"/>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barChart>
        <c:barDir val="col"/>
        <c:grouping val="clustered"/>
        <c:ser>
          <c:idx val="1"/>
          <c:order val="0"/>
          <c:tx>
            <c:strRef>
              <c:f>Pasn!$I$6</c:f>
              <c:strCache>
                <c:ptCount val="1"/>
                <c:pt idx="0">
                  <c:v>Contas do Passivo Não Circulante - Resultado</c:v>
                </c:pt>
              </c:strCache>
            </c:strRef>
          </c:tx>
          <c:spPr>
            <a:solidFill>
              <a:schemeClr val="accent2"/>
            </a:solidFill>
            <a:ln>
              <a:noFill/>
            </a:ln>
            <a:effectLst/>
          </c:spPr>
          <c:dLbls>
            <c:dLbl>
              <c:idx val="0"/>
              <c:layout>
                <c:manualLayout>
                  <c:x val="0"/>
                  <c:y val="0.21686740657581602"/>
                </c:manualLayout>
              </c:layout>
              <c:dLblPos val="outEnd"/>
              <c:showVal val="1"/>
              <c:extLst>
                <c:ext xmlns:c15="http://schemas.microsoft.com/office/drawing/2012/chart" uri="{CE6537A1-D6FC-4f65-9D91-7224C49458BB}"/>
              </c:extLst>
            </c:dLbl>
            <c:dLbl>
              <c:idx val="2"/>
              <c:layout>
                <c:manualLayout>
                  <c:x val="0"/>
                  <c:y val="0.21686740657581602"/>
                </c:manualLayout>
              </c:layout>
              <c:dLblPos val="outEnd"/>
              <c:showVal val="1"/>
              <c:extLst>
                <c:ext xmlns:c15="http://schemas.microsoft.com/office/drawing/2012/chart" uri="{CE6537A1-D6FC-4f65-9D91-7224C49458BB}"/>
              </c:extLst>
            </c:dLbl>
            <c:dLbl>
              <c:idx val="4"/>
              <c:layout>
                <c:manualLayout>
                  <c:x val="4.488777702297192E-3"/>
                  <c:y val="0.20018529837767601"/>
                </c:manualLayout>
              </c:layout>
              <c:dLblPos val="outEnd"/>
              <c:showVal val="1"/>
              <c:extLst>
                <c:ext xmlns:c15="http://schemas.microsoft.com/office/drawing/2012/chart" uri="{CE6537A1-D6FC-4f65-9D91-7224C49458BB}"/>
              </c:extLst>
            </c:dLbl>
            <c:dLbl>
              <c:idx val="6"/>
              <c:layout>
                <c:manualLayout>
                  <c:x val="-5.4862204810760962E-17"/>
                  <c:y val="0.20574600111038902"/>
                </c:manualLayout>
              </c:layout>
              <c:dLblPos val="outEnd"/>
              <c:showVal val="1"/>
              <c:extLst>
                <c:ext xmlns:c15="http://schemas.microsoft.com/office/drawing/2012/chart" uri="{CE6537A1-D6FC-4f65-9D91-7224C49458BB}"/>
              </c:extLst>
            </c:dLbl>
            <c:dLbl>
              <c:idx val="8"/>
              <c:layout>
                <c:manualLayout>
                  <c:x val="5.4862204810760962E-17"/>
                  <c:y val="0.20018529837767601"/>
                </c:manualLayout>
              </c:layout>
              <c:dLblPos val="outEnd"/>
              <c:showVal val="1"/>
              <c:extLst>
                <c:ext xmlns:c15="http://schemas.microsoft.com/office/drawing/2012/chart" uri="{CE6537A1-D6FC-4f65-9D91-7224C49458BB}"/>
              </c:extLst>
            </c:dLbl>
            <c:dLbl>
              <c:idx val="10"/>
              <c:layout>
                <c:manualLayout>
                  <c:x val="-5.4862204810760962E-17"/>
                  <c:y val="0.20018529837767601"/>
                </c:manualLayout>
              </c:layout>
              <c:dLblPos val="outEnd"/>
              <c:showVal val="1"/>
              <c:extLst>
                <c:ext xmlns:c15="http://schemas.microsoft.com/office/drawing/2012/chart" uri="{CE6537A1-D6FC-4f65-9D91-7224C49458BB}"/>
              </c:extLst>
            </c:dLbl>
            <c:dLbl>
              <c:idx val="12"/>
              <c:layout>
                <c:manualLayout>
                  <c:x val="-1.0972440962152208E-16"/>
                  <c:y val="0.19462459564496298"/>
                </c:manualLayout>
              </c:layout>
              <c:dLblPos val="outEnd"/>
              <c:showVal val="1"/>
              <c:extLst>
                <c:ext xmlns:c15="http://schemas.microsoft.com/office/drawing/2012/chart" uri="{CE6537A1-D6FC-4f65-9D91-7224C49458BB}"/>
              </c:extLst>
            </c:dLbl>
            <c:dLbl>
              <c:idx val="14"/>
              <c:layout>
                <c:manualLayout>
                  <c:x val="1.4962592340990602E-3"/>
                  <c:y val="8.341054099069832E-2"/>
                </c:manualLayout>
              </c:layout>
              <c:dLblPos val="outEnd"/>
              <c:showVal val="1"/>
              <c:extLst>
                <c:ext xmlns:c15="http://schemas.microsoft.com/office/drawing/2012/chart" uri="{CE6537A1-D6FC-4f65-9D91-7224C49458BB}"/>
              </c:extLst>
            </c:dLbl>
            <c:dLbl>
              <c:idx val="16"/>
              <c:layout>
                <c:manualLayout>
                  <c:x val="2.99251846819813E-3"/>
                  <c:y val="0.17794248744682309"/>
                </c:manualLayout>
              </c:layout>
              <c:dLblPos val="outEnd"/>
              <c:showVal val="1"/>
              <c:extLst>
                <c:ext xmlns:c15="http://schemas.microsoft.com/office/drawing/2012/chart" uri="{CE6537A1-D6FC-4f65-9D91-7224C49458BB}"/>
              </c:extLst>
            </c:dLbl>
            <c:dLbl>
              <c:idx val="17"/>
              <c:layout>
                <c:manualLayout>
                  <c:x val="5.98503693639626E-3"/>
                  <c:y val="0"/>
                </c:manualLayout>
              </c:layout>
              <c:dLblPos val="outEnd"/>
              <c:showVal val="1"/>
              <c:extLst>
                <c:ext xmlns:c15="http://schemas.microsoft.com/office/drawing/2012/chart" uri="{CE6537A1-D6FC-4f65-9D91-7224C49458BB}"/>
              </c:extLst>
            </c:dLbl>
            <c:dLbl>
              <c:idx val="18"/>
              <c:layout>
                <c:manualLayout>
                  <c:x val="1.4962592340990602E-3"/>
                  <c:y val="0.18906389291225004"/>
                </c:manualLayout>
              </c:layout>
              <c:dLblPos val="outEnd"/>
              <c:showVal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Pasn!$I$7:$I$26</c:f>
              <c:strCache>
                <c:ptCount val="20"/>
                <c:pt idx="0">
                  <c:v>Fornecedores</c:v>
                </c:pt>
                <c:pt idx="1">
                  <c:v>Obrigações Financeiras a Longo Prazo</c:v>
                </c:pt>
                <c:pt idx="2">
                  <c:v>Obrigações Fiscais e Tributárias</c:v>
                </c:pt>
                <c:pt idx="3">
                  <c:v>Obrigações Trabalhistas e Previdenciárias</c:v>
                </c:pt>
                <c:pt idx="4">
                  <c:v>Obrigações Sociais e Estatutárias</c:v>
                </c:pt>
                <c:pt idx="5">
                  <c:v>Créditos de Coligadas e Controladas</c:v>
                </c:pt>
                <c:pt idx="6">
                  <c:v>Provisões para Contingências </c:v>
                </c:pt>
                <c:pt idx="7">
                  <c:v>Receitas Diferidas</c:v>
                </c:pt>
                <c:pt idx="8">
                  <c:v>Outras Obrigações</c:v>
                </c:pt>
                <c:pt idx="9">
                  <c:v>Resultados de Exercícios Futuros - Receitas Diferidas</c:v>
                </c:pt>
                <c:pt idx="10">
                  <c:v>Custos e Despesas de Exercícios Futuros</c:v>
                </c:pt>
                <c:pt idx="11">
                  <c:v>Capital / Capital Social / Patrimônio Social</c:v>
                </c:pt>
                <c:pt idx="12">
                  <c:v>Reserva de Capital</c:v>
                </c:pt>
                <c:pt idx="13">
                  <c:v>Ações em Tesouraria</c:v>
                </c:pt>
                <c:pt idx="14">
                  <c:v>Ajustes de Avaliação Patrimônial</c:v>
                </c:pt>
                <c:pt idx="15">
                  <c:v>Reservas de Lucros</c:v>
                </c:pt>
                <c:pt idx="16">
                  <c:v>Reservas de Reavaliação</c:v>
                </c:pt>
                <c:pt idx="17">
                  <c:v>Outras Reservas</c:v>
                </c:pt>
                <c:pt idx="18">
                  <c:v>Lucros Acumulados / Sobras / Superávits</c:v>
                </c:pt>
                <c:pt idx="19">
                  <c:v>Prejuízos, Perdas e  Déficits Acumulados</c:v>
                </c:pt>
              </c:strCache>
            </c:strRef>
          </c:cat>
          <c:val>
            <c:numRef>
              <c:f>Pasn!$J$7:$J$26</c:f>
              <c:numCache>
                <c:formatCode>"R$"\ #,##0.00</c:formatCode>
                <c:ptCount val="20"/>
                <c:pt idx="0">
                  <c:v>50000</c:v>
                </c:pt>
                <c:pt idx="1">
                  <c:v>0</c:v>
                </c:pt>
                <c:pt idx="2">
                  <c:v>0</c:v>
                </c:pt>
                <c:pt idx="3">
                  <c:v>0</c:v>
                </c:pt>
                <c:pt idx="4">
                  <c:v>0</c:v>
                </c:pt>
                <c:pt idx="5">
                  <c:v>0</c:v>
                </c:pt>
                <c:pt idx="6">
                  <c:v>0</c:v>
                </c:pt>
                <c:pt idx="7">
                  <c:v>0</c:v>
                </c:pt>
                <c:pt idx="8">
                  <c:v>0</c:v>
                </c:pt>
                <c:pt idx="9">
                  <c:v>0</c:v>
                </c:pt>
                <c:pt idx="10">
                  <c:v>0</c:v>
                </c:pt>
                <c:pt idx="11">
                  <c:v>120000</c:v>
                </c:pt>
                <c:pt idx="12">
                  <c:v>1556</c:v>
                </c:pt>
                <c:pt idx="13">
                  <c:v>0</c:v>
                </c:pt>
                <c:pt idx="14">
                  <c:v>0</c:v>
                </c:pt>
                <c:pt idx="15">
                  <c:v>64266</c:v>
                </c:pt>
                <c:pt idx="16">
                  <c:v>0</c:v>
                </c:pt>
                <c:pt idx="17">
                  <c:v>0</c:v>
                </c:pt>
                <c:pt idx="18">
                  <c:v>0</c:v>
                </c:pt>
                <c:pt idx="19">
                  <c:v>0</c:v>
                </c:pt>
              </c:numCache>
            </c:numRef>
          </c:val>
        </c:ser>
        <c:dLbls>
          <c:showVal val="1"/>
        </c:dLbls>
        <c:gapWidth val="219"/>
        <c:overlap val="-27"/>
        <c:axId val="102618240"/>
        <c:axId val="102619776"/>
      </c:barChart>
      <c:catAx>
        <c:axId val="102618240"/>
        <c:scaling>
          <c:orientation val="minMax"/>
        </c:scaling>
        <c:axPos val="b"/>
        <c:numFmt formatCode="General" sourceLinked="1"/>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2619776"/>
        <c:crosses val="autoZero"/>
        <c:auto val="1"/>
        <c:lblAlgn val="ctr"/>
        <c:lblOffset val="100"/>
      </c:catAx>
      <c:valAx>
        <c:axId val="102619776"/>
        <c:scaling>
          <c:orientation val="minMax"/>
        </c:scaling>
        <c:delete val="1"/>
        <c:axPos val="l"/>
        <c:numFmt formatCode="&quot;R$&quot;\ #,##0.00" sourceLinked="1"/>
        <c:tickLblPos val="none"/>
        <c:crossAx val="102618240"/>
        <c:crosses val="autoZero"/>
        <c:crossBetween val="between"/>
      </c:valAx>
      <c:spPr>
        <a:solidFill>
          <a:schemeClr val="bg1"/>
        </a:solidFill>
        <a:ln>
          <a:noFill/>
        </a:ln>
        <a:effectLst/>
      </c:spPr>
    </c:plotArea>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orientation="landscape"/>
  </c:printSettings>
</c:chartSpace>
</file>

<file path=xl/charts/chart32.xml><?xml version="1.0" encoding="utf-8"?>
<c:chartSpace xmlns:c="http://schemas.openxmlformats.org/drawingml/2006/chart" xmlns:a="http://schemas.openxmlformats.org/drawingml/2006/main" xmlns:r="http://schemas.openxmlformats.org/officeDocument/2006/relationships">
  <c:lang val="pt-BR"/>
  <c:chart>
    <c:autoTitleDeleted val="1"/>
    <c:plotArea>
      <c:layout/>
      <c:lineChart>
        <c:grouping val="standard"/>
        <c:ser>
          <c:idx val="0"/>
          <c:order val="0"/>
          <c:tx>
            <c:strRef>
              <c:f>Pasn!$I$6</c:f>
              <c:strCache>
                <c:ptCount val="1"/>
                <c:pt idx="0">
                  <c:v>Contas do Passivo Não Circulante - Resultado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Pasn!$K$7:$K$26</c:f>
              <c:numCache>
                <c:formatCode>0.00%</c:formatCode>
                <c:ptCount val="20"/>
                <c:pt idx="0">
                  <c:v>0.21202432343038394</c:v>
                </c:pt>
                <c:pt idx="1">
                  <c:v>0</c:v>
                </c:pt>
                <c:pt idx="2">
                  <c:v>0</c:v>
                </c:pt>
                <c:pt idx="3">
                  <c:v>0</c:v>
                </c:pt>
                <c:pt idx="4">
                  <c:v>0</c:v>
                </c:pt>
                <c:pt idx="5">
                  <c:v>0</c:v>
                </c:pt>
                <c:pt idx="6">
                  <c:v>0</c:v>
                </c:pt>
                <c:pt idx="7">
                  <c:v>0</c:v>
                </c:pt>
                <c:pt idx="8">
                  <c:v>0</c:v>
                </c:pt>
                <c:pt idx="9">
                  <c:v>0</c:v>
                </c:pt>
                <c:pt idx="10">
                  <c:v>0</c:v>
                </c:pt>
                <c:pt idx="11">
                  <c:v>0.50885837623292141</c:v>
                </c:pt>
                <c:pt idx="12">
                  <c:v>6.5981969451535481E-3</c:v>
                </c:pt>
                <c:pt idx="13">
                  <c:v>0</c:v>
                </c:pt>
                <c:pt idx="14">
                  <c:v>0</c:v>
                </c:pt>
                <c:pt idx="15">
                  <c:v>0.27251910339154106</c:v>
                </c:pt>
                <c:pt idx="16">
                  <c:v>0</c:v>
                </c:pt>
                <c:pt idx="17">
                  <c:v>0</c:v>
                </c:pt>
                <c:pt idx="18">
                  <c:v>0</c:v>
                </c:pt>
                <c:pt idx="19">
                  <c:v>0</c:v>
                </c:pt>
              </c:numCache>
            </c:numRef>
          </c:val>
        </c:ser>
        <c:dLbls>
          <c:showVal val="1"/>
        </c:dLbls>
        <c:marker val="1"/>
        <c:axId val="102668544"/>
        <c:axId val="102670336"/>
      </c:lineChart>
      <c:catAx>
        <c:axId val="102668544"/>
        <c:scaling>
          <c:orientation val="minMax"/>
        </c:scaling>
        <c:delete val="1"/>
        <c:axPos val="b"/>
        <c:majorTickMark val="none"/>
        <c:tickLblPos val="none"/>
        <c:crossAx val="102670336"/>
        <c:crosses val="autoZero"/>
        <c:auto val="1"/>
        <c:lblAlgn val="ctr"/>
        <c:lblOffset val="100"/>
      </c:catAx>
      <c:valAx>
        <c:axId val="102670336"/>
        <c:scaling>
          <c:orientation val="minMax"/>
        </c:scaling>
        <c:delete val="1"/>
        <c:axPos val="l"/>
        <c:numFmt formatCode="0.00%" sourceLinked="1"/>
        <c:majorTickMark val="none"/>
        <c:tickLblPos val="none"/>
        <c:crossAx val="102668544"/>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barChart>
        <c:barDir val="col"/>
        <c:grouping val="clustered"/>
        <c:ser>
          <c:idx val="0"/>
          <c:order val="0"/>
          <c:tx>
            <c:strRef>
              <c:f>Gra!$L$37</c:f>
              <c:strCache>
                <c:ptCount val="1"/>
                <c:pt idx="0">
                  <c:v>Balanço Patrimônial</c:v>
                </c:pt>
              </c:strCache>
            </c:strRef>
          </c:tx>
          <c:spPr>
            <a:solidFill>
              <a:schemeClr val="accent3"/>
            </a:solidFill>
            <a:ln>
              <a:noFill/>
            </a:ln>
            <a:effectLst/>
          </c:spPr>
          <c:dPt>
            <c:idx val="0"/>
            <c:spPr>
              <a:solidFill>
                <a:schemeClr val="accent1"/>
              </a:solidFill>
              <a:ln>
                <a:noFill/>
              </a:ln>
              <a:effectLst/>
            </c:spPr>
          </c:dPt>
          <c:dPt>
            <c:idx val="1"/>
            <c:spPr>
              <a:solidFill>
                <a:schemeClr val="accent2"/>
              </a:solidFill>
              <a:ln>
                <a:noFill/>
              </a:ln>
              <a:effectLst/>
            </c:spPr>
          </c:dPt>
          <c:dPt>
            <c:idx val="3"/>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Gra!$L$38:$L$41</c:f>
              <c:strCache>
                <c:ptCount val="4"/>
                <c:pt idx="0">
                  <c:v>Ativo Circulante (Bens e Direitos)</c:v>
                </c:pt>
                <c:pt idx="1">
                  <c:v>Ativo Não Circulante (Bens e Direitos)</c:v>
                </c:pt>
                <c:pt idx="2">
                  <c:v>Passivo Circulante (Deveres e Obrigações)</c:v>
                </c:pt>
                <c:pt idx="3">
                  <c:v>Passivo Não Circulante (Deveres e Obrigações)</c:v>
                </c:pt>
              </c:strCache>
            </c:strRef>
          </c:cat>
          <c:val>
            <c:numRef>
              <c:f>Gra!$M$38:$M$41</c:f>
              <c:numCache>
                <c:formatCode>"R$"\ #,##0.00</c:formatCode>
                <c:ptCount val="4"/>
                <c:pt idx="0">
                  <c:v>153280</c:v>
                </c:pt>
                <c:pt idx="1">
                  <c:v>141500</c:v>
                </c:pt>
                <c:pt idx="2">
                  <c:v>58958</c:v>
                </c:pt>
                <c:pt idx="3">
                  <c:v>235822</c:v>
                </c:pt>
              </c:numCache>
            </c:numRef>
          </c:val>
        </c:ser>
        <c:dLbls>
          <c:showVal val="1"/>
        </c:dLbls>
        <c:gapWidth val="219"/>
        <c:overlap val="-27"/>
        <c:axId val="102707584"/>
        <c:axId val="102709120"/>
      </c:barChart>
      <c:catAx>
        <c:axId val="102707584"/>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2709120"/>
        <c:crosses val="autoZero"/>
        <c:auto val="1"/>
        <c:lblAlgn val="ctr"/>
        <c:lblOffset val="100"/>
      </c:catAx>
      <c:valAx>
        <c:axId val="102709120"/>
        <c:scaling>
          <c:orientation val="minMax"/>
        </c:scaling>
        <c:delete val="1"/>
        <c:axPos val="l"/>
        <c:numFmt formatCode="&quot;R$&quot;\ #,##0.00" sourceLinked="1"/>
        <c:majorTickMark val="none"/>
        <c:tickLblPos val="none"/>
        <c:crossAx val="102707584"/>
        <c:crosses val="autoZero"/>
        <c:crossBetween val="between"/>
      </c:valAx>
      <c:spPr>
        <a:solidFill>
          <a:schemeClr val="bg1"/>
        </a:solidFill>
        <a:ln>
          <a:noFill/>
        </a:ln>
        <a:effectLst/>
      </c:spPr>
    </c:plotArea>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lang val="pt-BR"/>
  <c:chart>
    <c:autoTitleDeleted val="1"/>
    <c:plotArea>
      <c:layout/>
      <c:lineChart>
        <c:grouping val="standard"/>
        <c:ser>
          <c:idx val="0"/>
          <c:order val="0"/>
          <c:tx>
            <c:strRef>
              <c:f>Gra!$L$37</c:f>
              <c:strCache>
                <c:ptCount val="1"/>
                <c:pt idx="0">
                  <c:v>Balanço Patrimônial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trendline>
          <c:val>
            <c:numRef>
              <c:f>Gra!$N$38:$N$41</c:f>
              <c:numCache>
                <c:formatCode>0.00%</c:formatCode>
                <c:ptCount val="4"/>
                <c:pt idx="0">
                  <c:v>0.25999050139086777</c:v>
                </c:pt>
                <c:pt idx="1">
                  <c:v>0.24000949860913223</c:v>
                </c:pt>
                <c:pt idx="2">
                  <c:v>0.10000339236040437</c:v>
                </c:pt>
                <c:pt idx="3">
                  <c:v>0.39999660763959566</c:v>
                </c:pt>
              </c:numCache>
            </c:numRef>
          </c:val>
        </c:ser>
        <c:dLbls>
          <c:showVal val="1"/>
        </c:dLbls>
        <c:marker val="1"/>
        <c:axId val="102738176"/>
        <c:axId val="102768640"/>
      </c:lineChart>
      <c:catAx>
        <c:axId val="102738176"/>
        <c:scaling>
          <c:orientation val="minMax"/>
        </c:scaling>
        <c:delete val="1"/>
        <c:axPos val="b"/>
        <c:majorTickMark val="none"/>
        <c:tickLblPos val="none"/>
        <c:crossAx val="102768640"/>
        <c:crosses val="autoZero"/>
        <c:auto val="1"/>
        <c:lblAlgn val="ctr"/>
        <c:lblOffset val="100"/>
      </c:catAx>
      <c:valAx>
        <c:axId val="102768640"/>
        <c:scaling>
          <c:orientation val="minMax"/>
        </c:scaling>
        <c:delete val="1"/>
        <c:axPos val="l"/>
        <c:numFmt formatCode="0.00%" sourceLinked="1"/>
        <c:majorTickMark val="none"/>
        <c:tickLblPos val="none"/>
        <c:crossAx val="102738176"/>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barChart>
        <c:barDir val="col"/>
        <c:grouping val="clustered"/>
        <c:ser>
          <c:idx val="1"/>
          <c:order val="0"/>
          <c:tx>
            <c:strRef>
              <c:f>Dre!$I$6</c:f>
              <c:strCache>
                <c:ptCount val="1"/>
                <c:pt idx="0">
                  <c:v>Contas de Resultado Credora (Receitas) - Resultado</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Dre!$I$7:$I$15</c:f>
              <c:strCache>
                <c:ptCount val="9"/>
                <c:pt idx="0">
                  <c:v>Receitas de Exportação</c:v>
                </c:pt>
                <c:pt idx="1">
                  <c:v>Receita da Venda de Produtos</c:v>
                </c:pt>
                <c:pt idx="2">
                  <c:v>Receitas da Revenda de Mercadorias</c:v>
                </c:pt>
                <c:pt idx="3">
                  <c:v>Receitas da Prestação de Serviços</c:v>
                </c:pt>
                <c:pt idx="4">
                  <c:v>Receitas da Atividade Rural</c:v>
                </c:pt>
                <c:pt idx="5">
                  <c:v>Receitas das Atividades de Educação e Saúde</c:v>
                </c:pt>
                <c:pt idx="6">
                  <c:v>Receitas das Atividades de Assistência Social</c:v>
                </c:pt>
                <c:pt idx="7">
                  <c:v>Receitas das Atividades Imobiliárias</c:v>
                </c:pt>
                <c:pt idx="8">
                  <c:v>Receitas das Atividades em Geral</c:v>
                </c:pt>
              </c:strCache>
            </c:strRef>
          </c:cat>
          <c:val>
            <c:numRef>
              <c:f>Dre!$J$7:$J$15</c:f>
              <c:numCache>
                <c:formatCode>"R$"\ #,##0.00</c:formatCode>
                <c:ptCount val="9"/>
                <c:pt idx="0">
                  <c:v>0</c:v>
                </c:pt>
                <c:pt idx="1">
                  <c:v>408670</c:v>
                </c:pt>
                <c:pt idx="2">
                  <c:v>0</c:v>
                </c:pt>
                <c:pt idx="3">
                  <c:v>0</c:v>
                </c:pt>
                <c:pt idx="4">
                  <c:v>0</c:v>
                </c:pt>
                <c:pt idx="5">
                  <c:v>0</c:v>
                </c:pt>
                <c:pt idx="6">
                  <c:v>0</c:v>
                </c:pt>
                <c:pt idx="7">
                  <c:v>0</c:v>
                </c:pt>
                <c:pt idx="8">
                  <c:v>0</c:v>
                </c:pt>
              </c:numCache>
            </c:numRef>
          </c:val>
        </c:ser>
        <c:dLbls>
          <c:showVal val="1"/>
        </c:dLbls>
        <c:gapWidth val="219"/>
        <c:overlap val="-27"/>
        <c:axId val="102784000"/>
        <c:axId val="102785792"/>
      </c:barChart>
      <c:catAx>
        <c:axId val="102784000"/>
        <c:scaling>
          <c:orientation val="minMax"/>
        </c:scaling>
        <c:axPos val="b"/>
        <c:numFmt formatCode="General" sourceLinked="1"/>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2785792"/>
        <c:crosses val="autoZero"/>
        <c:auto val="1"/>
        <c:lblAlgn val="ctr"/>
        <c:lblOffset val="100"/>
      </c:catAx>
      <c:valAx>
        <c:axId val="102785792"/>
        <c:scaling>
          <c:orientation val="minMax"/>
        </c:scaling>
        <c:delete val="1"/>
        <c:axPos val="l"/>
        <c:numFmt formatCode="&quot;R$&quot;\ #,##0.00" sourceLinked="1"/>
        <c:tickLblPos val="none"/>
        <c:crossAx val="102784000"/>
        <c:crosses val="autoZero"/>
        <c:crossBetween val="between"/>
      </c:valAx>
      <c:spPr>
        <a:solidFill>
          <a:schemeClr val="bg1"/>
        </a:solidFill>
        <a:ln>
          <a:noFill/>
        </a:ln>
        <a:effectLst/>
      </c:spPr>
    </c:plotArea>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lang val="pt-BR"/>
  <c:chart>
    <c:autoTitleDeleted val="1"/>
    <c:plotArea>
      <c:layout/>
      <c:lineChart>
        <c:grouping val="standard"/>
        <c:ser>
          <c:idx val="0"/>
          <c:order val="0"/>
          <c:tx>
            <c:strRef>
              <c:f>Dre!$I$6</c:f>
              <c:strCache>
                <c:ptCount val="1"/>
                <c:pt idx="0">
                  <c:v>Contas de Resultado Credora (Receitas) - Resultado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Dre!$K$7:$K$15</c:f>
              <c:numCache>
                <c:formatCode>0.00%</c:formatCode>
                <c:ptCount val="9"/>
                <c:pt idx="0">
                  <c:v>0</c:v>
                </c:pt>
                <c:pt idx="1">
                  <c:v>1</c:v>
                </c:pt>
                <c:pt idx="2">
                  <c:v>0</c:v>
                </c:pt>
                <c:pt idx="3">
                  <c:v>0</c:v>
                </c:pt>
                <c:pt idx="4">
                  <c:v>0</c:v>
                </c:pt>
                <c:pt idx="5">
                  <c:v>0</c:v>
                </c:pt>
                <c:pt idx="6">
                  <c:v>0</c:v>
                </c:pt>
                <c:pt idx="7">
                  <c:v>0</c:v>
                </c:pt>
                <c:pt idx="8">
                  <c:v>0</c:v>
                </c:pt>
              </c:numCache>
            </c:numRef>
          </c:val>
        </c:ser>
        <c:dLbls>
          <c:showVal val="1"/>
        </c:dLbls>
        <c:marker val="1"/>
        <c:axId val="102818176"/>
        <c:axId val="102819712"/>
      </c:lineChart>
      <c:catAx>
        <c:axId val="102818176"/>
        <c:scaling>
          <c:orientation val="minMax"/>
        </c:scaling>
        <c:delete val="1"/>
        <c:axPos val="b"/>
        <c:majorTickMark val="none"/>
        <c:tickLblPos val="none"/>
        <c:crossAx val="102819712"/>
        <c:crosses val="autoZero"/>
        <c:auto val="1"/>
        <c:lblAlgn val="ctr"/>
        <c:lblOffset val="100"/>
      </c:catAx>
      <c:valAx>
        <c:axId val="102819712"/>
        <c:scaling>
          <c:orientation val="minMax"/>
        </c:scaling>
        <c:delete val="1"/>
        <c:axPos val="l"/>
        <c:numFmt formatCode="0.00%" sourceLinked="1"/>
        <c:majorTickMark val="none"/>
        <c:tickLblPos val="none"/>
        <c:crossAx val="102818176"/>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barChart>
        <c:barDir val="col"/>
        <c:grouping val="clustered"/>
        <c:ser>
          <c:idx val="1"/>
          <c:order val="0"/>
          <c:tx>
            <c:strRef>
              <c:f>Des!$I$6</c:f>
              <c:strCache>
                <c:ptCount val="1"/>
                <c:pt idx="0">
                  <c:v>Contas de Resultado Devedoras  (Custos e Despesas) - Resultado</c:v>
                </c:pt>
              </c:strCache>
            </c:strRef>
          </c:tx>
          <c:spPr>
            <a:solidFill>
              <a:schemeClr val="accent2"/>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Des!$I$7:$I$15</c:f>
              <c:strCache>
                <c:ptCount val="9"/>
                <c:pt idx="0">
                  <c:v>Custo</c:v>
                </c:pt>
                <c:pt idx="1">
                  <c:v>Despesa da Venda de Produtos</c:v>
                </c:pt>
                <c:pt idx="2">
                  <c:v>Despesas da Revenda de Mercadorias</c:v>
                </c:pt>
                <c:pt idx="3">
                  <c:v>Despesas da Prestação de Serviços</c:v>
                </c:pt>
                <c:pt idx="4">
                  <c:v>Despesas da Atividade Rural</c:v>
                </c:pt>
                <c:pt idx="5">
                  <c:v>Despesas das Atividades Ligadas à Educação e Saúde</c:v>
                </c:pt>
                <c:pt idx="6">
                  <c:v>Despesas de Atividades de Assistência Social</c:v>
                </c:pt>
                <c:pt idx="7">
                  <c:v>Despesas das Atividades Imobiliárias</c:v>
                </c:pt>
                <c:pt idx="8">
                  <c:v>Despesas das Atividades em Geral</c:v>
                </c:pt>
              </c:strCache>
            </c:strRef>
          </c:cat>
          <c:val>
            <c:numRef>
              <c:f>Des!$J$7:$J$15</c:f>
              <c:numCache>
                <c:formatCode>"R$"\ #,##0.00</c:formatCode>
                <c:ptCount val="9"/>
                <c:pt idx="0">
                  <c:v>350640</c:v>
                </c:pt>
                <c:pt idx="1">
                  <c:v>10500</c:v>
                </c:pt>
                <c:pt idx="2">
                  <c:v>0</c:v>
                </c:pt>
                <c:pt idx="3">
                  <c:v>0</c:v>
                </c:pt>
                <c:pt idx="4">
                  <c:v>0</c:v>
                </c:pt>
                <c:pt idx="5">
                  <c:v>0</c:v>
                </c:pt>
                <c:pt idx="6">
                  <c:v>0</c:v>
                </c:pt>
                <c:pt idx="7">
                  <c:v>0</c:v>
                </c:pt>
                <c:pt idx="8">
                  <c:v>16394</c:v>
                </c:pt>
              </c:numCache>
            </c:numRef>
          </c:val>
        </c:ser>
        <c:dLbls>
          <c:showVal val="1"/>
        </c:dLbls>
        <c:gapWidth val="219"/>
        <c:overlap val="-27"/>
        <c:axId val="102859904"/>
        <c:axId val="102861440"/>
      </c:barChart>
      <c:catAx>
        <c:axId val="102859904"/>
        <c:scaling>
          <c:orientation val="minMax"/>
        </c:scaling>
        <c:axPos val="b"/>
        <c:numFmt formatCode="General" sourceLinked="1"/>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2861440"/>
        <c:crosses val="autoZero"/>
        <c:auto val="1"/>
        <c:lblAlgn val="ctr"/>
        <c:lblOffset val="100"/>
      </c:catAx>
      <c:valAx>
        <c:axId val="102861440"/>
        <c:scaling>
          <c:orientation val="minMax"/>
        </c:scaling>
        <c:delete val="1"/>
        <c:axPos val="l"/>
        <c:numFmt formatCode="&quot;R$&quot;\ #,##0.00" sourceLinked="1"/>
        <c:tickLblPos val="none"/>
        <c:crossAx val="102859904"/>
        <c:crosses val="autoZero"/>
        <c:crossBetween val="between"/>
      </c:valAx>
      <c:spPr>
        <a:solidFill>
          <a:schemeClr val="bg1"/>
        </a:solidFill>
        <a:ln>
          <a:noFill/>
        </a:ln>
        <a:effectLst/>
      </c:spPr>
    </c:plotArea>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lang val="pt-BR"/>
  <c:chart>
    <c:autoTitleDeleted val="1"/>
    <c:plotArea>
      <c:layout/>
      <c:lineChart>
        <c:grouping val="standard"/>
        <c:ser>
          <c:idx val="0"/>
          <c:order val="0"/>
          <c:tx>
            <c:strRef>
              <c:f>Des!$I$6</c:f>
              <c:strCache>
                <c:ptCount val="1"/>
                <c:pt idx="0">
                  <c:v>Contas de Resultado Devedoras  (Custos e Despesas) - Resultado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Des!$K$7:$K$15</c:f>
              <c:numCache>
                <c:formatCode>0.00%</c:formatCode>
                <c:ptCount val="9"/>
                <c:pt idx="0">
                  <c:v>0.92876403184878709</c:v>
                </c:pt>
                <c:pt idx="1">
                  <c:v>2.7812064608750471E-2</c:v>
                </c:pt>
                <c:pt idx="2">
                  <c:v>0</c:v>
                </c:pt>
                <c:pt idx="3">
                  <c:v>0</c:v>
                </c:pt>
                <c:pt idx="4">
                  <c:v>0</c:v>
                </c:pt>
                <c:pt idx="5">
                  <c:v>0</c:v>
                </c:pt>
                <c:pt idx="6">
                  <c:v>0</c:v>
                </c:pt>
                <c:pt idx="7">
                  <c:v>0</c:v>
                </c:pt>
                <c:pt idx="8">
                  <c:v>4.3423903542462401E-2</c:v>
                </c:pt>
              </c:numCache>
            </c:numRef>
          </c:val>
        </c:ser>
        <c:dLbls>
          <c:showVal val="1"/>
        </c:dLbls>
        <c:marker val="1"/>
        <c:axId val="102971648"/>
        <c:axId val="102981632"/>
      </c:lineChart>
      <c:catAx>
        <c:axId val="102971648"/>
        <c:scaling>
          <c:orientation val="minMax"/>
        </c:scaling>
        <c:delete val="1"/>
        <c:axPos val="b"/>
        <c:majorTickMark val="none"/>
        <c:tickLblPos val="none"/>
        <c:crossAx val="102981632"/>
        <c:crosses val="autoZero"/>
        <c:auto val="1"/>
        <c:lblAlgn val="ctr"/>
        <c:lblOffset val="100"/>
      </c:catAx>
      <c:valAx>
        <c:axId val="102981632"/>
        <c:scaling>
          <c:orientation val="minMax"/>
        </c:scaling>
        <c:delete val="1"/>
        <c:axPos val="l"/>
        <c:numFmt formatCode="0.00%" sourceLinked="1"/>
        <c:majorTickMark val="none"/>
        <c:tickLblPos val="none"/>
        <c:crossAx val="102971648"/>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lang val="pt-BR"/>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plotArea>
      <c:layout/>
      <c:pieChart>
        <c:varyColors val="1"/>
        <c:ser>
          <c:idx val="0"/>
          <c:order val="0"/>
          <c:tx>
            <c:strRef>
              <c:f>Gra!$L$37</c:f>
              <c:strCache>
                <c:ptCount val="1"/>
                <c:pt idx="0">
                  <c:v>Balanço Patrimônial</c:v>
                </c:pt>
              </c:strCache>
            </c:strRef>
          </c:tx>
          <c:dPt>
            <c:idx val="0"/>
            <c:spPr>
              <a:solidFill>
                <a:schemeClr val="accent1"/>
              </a:solidFill>
              <a:ln>
                <a:noFill/>
              </a:ln>
              <a:effectLst/>
            </c:spPr>
          </c:dPt>
          <c:dPt>
            <c:idx val="1"/>
            <c:spPr>
              <a:solidFill>
                <a:schemeClr val="accent2"/>
              </a:solidFill>
              <a:ln>
                <a:noFill/>
              </a:ln>
              <a:effectLst/>
            </c:spPr>
          </c:dPt>
          <c:dPt>
            <c:idx val="2"/>
            <c:spPr>
              <a:solidFill>
                <a:schemeClr val="accent3"/>
              </a:solidFill>
              <a:ln>
                <a:noFill/>
              </a:ln>
              <a:effectLst/>
            </c:spPr>
          </c:dPt>
          <c:dPt>
            <c:idx val="3"/>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Val val="1"/>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Gra!$L$38:$L$41</c:f>
              <c:strCache>
                <c:ptCount val="4"/>
                <c:pt idx="0">
                  <c:v>Ativo Circulante (Bens e Direitos)</c:v>
                </c:pt>
                <c:pt idx="1">
                  <c:v>Ativo Não Circulante (Bens e Direitos)</c:v>
                </c:pt>
                <c:pt idx="2">
                  <c:v>Passivo Circulante (Deveres e Obrigações)</c:v>
                </c:pt>
                <c:pt idx="3">
                  <c:v>Passivo Não Circulante (Deveres e Obrigações)</c:v>
                </c:pt>
              </c:strCache>
            </c:strRef>
          </c:cat>
          <c:val>
            <c:numRef>
              <c:f>Gra!$M$38:$M$41</c:f>
              <c:numCache>
                <c:formatCode>"R$"\ #,##0.00</c:formatCode>
                <c:ptCount val="4"/>
                <c:pt idx="0">
                  <c:v>153280</c:v>
                </c:pt>
                <c:pt idx="1">
                  <c:v>141500</c:v>
                </c:pt>
                <c:pt idx="2">
                  <c:v>58958</c:v>
                </c:pt>
                <c:pt idx="3">
                  <c:v>235822</c:v>
                </c:pt>
              </c:numCache>
            </c:numRef>
          </c:val>
        </c:ser>
        <c:dLbls/>
        <c:firstSliceAng val="0"/>
      </c:pieChart>
      <c:spPr>
        <a:noFill/>
        <a:ln>
          <a:noFill/>
        </a:ln>
        <a:effectLst/>
      </c:spPr>
    </c:plotArea>
    <c:legend>
      <c:legendPos val="r"/>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zero"/>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lang val="pt-BR"/>
  <c:chart>
    <c:autoTitleDeleted val="1"/>
    <c:plotArea>
      <c:layout/>
      <c:barChart>
        <c:barDir val="col"/>
        <c:grouping val="clustered"/>
        <c:ser>
          <c:idx val="0"/>
          <c:order val="0"/>
          <c:tx>
            <c:strRef>
              <c:f>Gra!$L$37</c:f>
              <c:strCache>
                <c:ptCount val="1"/>
                <c:pt idx="0">
                  <c:v>Balanço Patrimônial</c:v>
                </c:pt>
              </c:strCache>
            </c:strRef>
          </c:tx>
          <c:spPr>
            <a:solidFill>
              <a:schemeClr val="accent1"/>
            </a:solidFill>
            <a:ln>
              <a:noFill/>
            </a:ln>
            <a:effectLst/>
          </c:spPr>
          <c:dPt>
            <c:idx val="1"/>
            <c:spPr>
              <a:solidFill>
                <a:schemeClr val="accent2"/>
              </a:solidFill>
              <a:ln>
                <a:noFill/>
              </a:ln>
              <a:effectLst/>
            </c:spPr>
          </c:dPt>
          <c:dPt>
            <c:idx val="2"/>
            <c:spPr>
              <a:solidFill>
                <a:schemeClr val="accent3"/>
              </a:solidFill>
              <a:ln>
                <a:noFill/>
              </a:ln>
              <a:effectLst/>
            </c:spPr>
          </c:dPt>
          <c:dPt>
            <c:idx val="3"/>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Val val="1"/>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trendline>
          <c:val>
            <c:numRef>
              <c:f>Gra!$N$38:$N$41</c:f>
              <c:numCache>
                <c:formatCode>0.00%</c:formatCode>
                <c:ptCount val="4"/>
                <c:pt idx="0">
                  <c:v>0.25999050139086777</c:v>
                </c:pt>
                <c:pt idx="1">
                  <c:v>0.24000949860913223</c:v>
                </c:pt>
                <c:pt idx="2">
                  <c:v>0.10000339236040437</c:v>
                </c:pt>
                <c:pt idx="3">
                  <c:v>0.39999660763959566</c:v>
                </c:pt>
              </c:numCache>
            </c:numRef>
          </c:val>
        </c:ser>
        <c:dLbls>
          <c:showVal val="1"/>
        </c:dLbls>
        <c:axId val="102921344"/>
        <c:axId val="102922880"/>
      </c:barChart>
      <c:catAx>
        <c:axId val="102921344"/>
        <c:scaling>
          <c:orientation val="minMax"/>
        </c:scaling>
        <c:delete val="1"/>
        <c:axPos val="b"/>
        <c:majorTickMark val="none"/>
        <c:tickLblPos val="none"/>
        <c:crossAx val="102922880"/>
        <c:crosses val="autoZero"/>
        <c:auto val="1"/>
        <c:lblAlgn val="ctr"/>
        <c:lblOffset val="100"/>
      </c:catAx>
      <c:valAx>
        <c:axId val="102922880"/>
        <c:scaling>
          <c:orientation val="minMax"/>
        </c:scaling>
        <c:delete val="1"/>
        <c:axPos val="l"/>
        <c:numFmt formatCode="0.00%" sourceLinked="1"/>
        <c:majorTickMark val="none"/>
        <c:tickLblPos val="none"/>
        <c:crossAx val="102921344"/>
        <c:crosses val="autoZero"/>
        <c:crossBetween val="between"/>
      </c:valAx>
      <c:spPr>
        <a:solidFill>
          <a:schemeClr val="bg1"/>
        </a:solidFill>
        <a:ln>
          <a:noFill/>
        </a:ln>
        <a:effectLst/>
      </c:spPr>
    </c:plotArea>
    <c:plotVisOnly val="1"/>
    <c:dispBlanksAs val="gap"/>
  </c:chart>
  <c:spPr>
    <a:solidFill>
      <a:sysClr val="window" lastClr="FFFFF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8" footer="0.31496062000000008"/>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Sugest&#245;es'!B1"/><Relationship Id="rId3" Type="http://schemas.openxmlformats.org/officeDocument/2006/relationships/hyperlink" Target="#'Dre'!B1"/><Relationship Id="rId7" Type="http://schemas.openxmlformats.org/officeDocument/2006/relationships/hyperlink" Target="#'D&#250;vidas'!B1"/><Relationship Id="rId2" Type="http://schemas.openxmlformats.org/officeDocument/2006/relationships/hyperlink" Target="#'Bal'!B1"/><Relationship Id="rId1" Type="http://schemas.openxmlformats.org/officeDocument/2006/relationships/hyperlink" Target="#'Ini'!B1"/><Relationship Id="rId6" Type="http://schemas.openxmlformats.org/officeDocument/2006/relationships/hyperlink" Target="#'Rel'!B1"/><Relationship Id="rId5" Type="http://schemas.openxmlformats.org/officeDocument/2006/relationships/hyperlink" Target="#Ana!A1"/><Relationship Id="rId10" Type="http://schemas.openxmlformats.org/officeDocument/2006/relationships/image" Target="../media/image1.png"/><Relationship Id="rId4" Type="http://schemas.openxmlformats.org/officeDocument/2006/relationships/hyperlink" Target="#'Gra'!B1"/><Relationship Id="rId9" Type="http://schemas.openxmlformats.org/officeDocument/2006/relationships/hyperlink" Target="#'Sobre a LUZ'!B1"/></Relationships>
</file>

<file path=xl/drawings/_rels/drawing2.xml.rels><?xml version="1.0" encoding="UTF-8" standalone="yes"?>
<Relationships xmlns="http://schemas.openxmlformats.org/package/2006/relationships"><Relationship Id="rId8" Type="http://schemas.openxmlformats.org/officeDocument/2006/relationships/hyperlink" Target="#'Sugest&#245;es'!B1"/><Relationship Id="rId13" Type="http://schemas.openxmlformats.org/officeDocument/2006/relationships/hyperlink" Target="#Pasn!A1"/><Relationship Id="rId3" Type="http://schemas.openxmlformats.org/officeDocument/2006/relationships/hyperlink" Target="#'Dre'!B1"/><Relationship Id="rId7" Type="http://schemas.openxmlformats.org/officeDocument/2006/relationships/hyperlink" Target="#'D&#250;vidas'!B1"/><Relationship Id="rId12" Type="http://schemas.openxmlformats.org/officeDocument/2006/relationships/hyperlink" Target="#Pas!A1"/><Relationship Id="rId2" Type="http://schemas.openxmlformats.org/officeDocument/2006/relationships/hyperlink" Target="#'Bal'!B1"/><Relationship Id="rId1" Type="http://schemas.openxmlformats.org/officeDocument/2006/relationships/hyperlink" Target="#'Ini'!B1"/><Relationship Id="rId6" Type="http://schemas.openxmlformats.org/officeDocument/2006/relationships/hyperlink" Target="#'Rel'!B1"/><Relationship Id="rId11" Type="http://schemas.openxmlformats.org/officeDocument/2006/relationships/hyperlink" Target="#Atin!A1"/><Relationship Id="rId5" Type="http://schemas.openxmlformats.org/officeDocument/2006/relationships/hyperlink" Target="#Ana!A1"/><Relationship Id="rId15" Type="http://schemas.openxmlformats.org/officeDocument/2006/relationships/image" Target="../media/image1.png"/><Relationship Id="rId10" Type="http://schemas.openxmlformats.org/officeDocument/2006/relationships/hyperlink" Target="#Bal!A1"/><Relationship Id="rId4" Type="http://schemas.openxmlformats.org/officeDocument/2006/relationships/hyperlink" Target="#'Gra'!B1"/><Relationship Id="rId9" Type="http://schemas.openxmlformats.org/officeDocument/2006/relationships/hyperlink" Target="#'Sobre a LUZ'!B1"/><Relationship Id="rId14" Type="http://schemas.openxmlformats.org/officeDocument/2006/relationships/hyperlink" Target="#'Res Bp'!A1"/></Relationships>
</file>

<file path=xl/drawings/_rels/drawing3.xml.rels><?xml version="1.0" encoding="UTF-8" standalone="yes"?>
<Relationships xmlns="http://schemas.openxmlformats.org/package/2006/relationships"><Relationship Id="rId8" Type="http://schemas.openxmlformats.org/officeDocument/2006/relationships/hyperlink" Target="#'Sugest&#245;es'!B1"/><Relationship Id="rId13" Type="http://schemas.openxmlformats.org/officeDocument/2006/relationships/hyperlink" Target="#Pasn!A1"/><Relationship Id="rId3" Type="http://schemas.openxmlformats.org/officeDocument/2006/relationships/hyperlink" Target="#'Dre'!B1"/><Relationship Id="rId7" Type="http://schemas.openxmlformats.org/officeDocument/2006/relationships/hyperlink" Target="#'D&#250;vidas'!B1"/><Relationship Id="rId12" Type="http://schemas.openxmlformats.org/officeDocument/2006/relationships/hyperlink" Target="#Pas!A1"/><Relationship Id="rId2" Type="http://schemas.openxmlformats.org/officeDocument/2006/relationships/hyperlink" Target="#'Bal'!B1"/><Relationship Id="rId1" Type="http://schemas.openxmlformats.org/officeDocument/2006/relationships/hyperlink" Target="#'Ini'!B1"/><Relationship Id="rId6" Type="http://schemas.openxmlformats.org/officeDocument/2006/relationships/hyperlink" Target="#'Rel'!B1"/><Relationship Id="rId11" Type="http://schemas.openxmlformats.org/officeDocument/2006/relationships/hyperlink" Target="#Atin!A1"/><Relationship Id="rId5" Type="http://schemas.openxmlformats.org/officeDocument/2006/relationships/hyperlink" Target="#Ana!A1"/><Relationship Id="rId15" Type="http://schemas.openxmlformats.org/officeDocument/2006/relationships/image" Target="../media/image1.png"/><Relationship Id="rId10" Type="http://schemas.openxmlformats.org/officeDocument/2006/relationships/hyperlink" Target="#Bal!A1"/><Relationship Id="rId4" Type="http://schemas.openxmlformats.org/officeDocument/2006/relationships/hyperlink" Target="#'Gra'!B1"/><Relationship Id="rId9" Type="http://schemas.openxmlformats.org/officeDocument/2006/relationships/hyperlink" Target="#'Sobre a LUZ'!B1"/><Relationship Id="rId14" Type="http://schemas.openxmlformats.org/officeDocument/2006/relationships/hyperlink" Target="#'Res Bp'!A1"/></Relationships>
</file>

<file path=xl/drawings/_rels/drawing4.xml.rels><?xml version="1.0" encoding="UTF-8" standalone="yes"?>
<Relationships xmlns="http://schemas.openxmlformats.org/package/2006/relationships"><Relationship Id="rId8" Type="http://schemas.openxmlformats.org/officeDocument/2006/relationships/hyperlink" Target="#'Sugest&#245;es'!B1"/><Relationship Id="rId13" Type="http://schemas.openxmlformats.org/officeDocument/2006/relationships/hyperlink" Target="#Pasn!A1"/><Relationship Id="rId3" Type="http://schemas.openxmlformats.org/officeDocument/2006/relationships/hyperlink" Target="#'Dre'!B1"/><Relationship Id="rId7" Type="http://schemas.openxmlformats.org/officeDocument/2006/relationships/hyperlink" Target="#'D&#250;vidas'!B1"/><Relationship Id="rId12" Type="http://schemas.openxmlformats.org/officeDocument/2006/relationships/hyperlink" Target="#Pas!A1"/><Relationship Id="rId2" Type="http://schemas.openxmlformats.org/officeDocument/2006/relationships/hyperlink" Target="#Bal!B1"/><Relationship Id="rId1" Type="http://schemas.openxmlformats.org/officeDocument/2006/relationships/hyperlink" Target="#'Ini'!B1"/><Relationship Id="rId6" Type="http://schemas.openxmlformats.org/officeDocument/2006/relationships/hyperlink" Target="#'Rel'!B1"/><Relationship Id="rId11" Type="http://schemas.openxmlformats.org/officeDocument/2006/relationships/hyperlink" Target="#Atin!A1"/><Relationship Id="rId5" Type="http://schemas.openxmlformats.org/officeDocument/2006/relationships/hyperlink" Target="#Ana!A1"/><Relationship Id="rId15" Type="http://schemas.openxmlformats.org/officeDocument/2006/relationships/image" Target="../media/image1.png"/><Relationship Id="rId10" Type="http://schemas.openxmlformats.org/officeDocument/2006/relationships/hyperlink" Target="#Bal!A1"/><Relationship Id="rId4" Type="http://schemas.openxmlformats.org/officeDocument/2006/relationships/hyperlink" Target="#'Gra'!B1"/><Relationship Id="rId9" Type="http://schemas.openxmlformats.org/officeDocument/2006/relationships/hyperlink" Target="#'Sobre a LUZ'!B1"/><Relationship Id="rId14" Type="http://schemas.openxmlformats.org/officeDocument/2006/relationships/hyperlink" Target="#'Res Bp'!A1"/></Relationships>
</file>

<file path=xl/drawings/_rels/drawing5.xml.rels><?xml version="1.0" encoding="UTF-8" standalone="yes"?>
<Relationships xmlns="http://schemas.openxmlformats.org/package/2006/relationships"><Relationship Id="rId8" Type="http://schemas.openxmlformats.org/officeDocument/2006/relationships/hyperlink" Target="#'Sugest&#245;es'!B1"/><Relationship Id="rId13" Type="http://schemas.openxmlformats.org/officeDocument/2006/relationships/hyperlink" Target="#Pasn!A1"/><Relationship Id="rId3" Type="http://schemas.openxmlformats.org/officeDocument/2006/relationships/hyperlink" Target="#'Dre'!B1"/><Relationship Id="rId7" Type="http://schemas.openxmlformats.org/officeDocument/2006/relationships/hyperlink" Target="#'D&#250;vidas'!B1"/><Relationship Id="rId12" Type="http://schemas.openxmlformats.org/officeDocument/2006/relationships/hyperlink" Target="#Pas!A1"/><Relationship Id="rId2" Type="http://schemas.openxmlformats.org/officeDocument/2006/relationships/hyperlink" Target="#'Bal'!B1"/><Relationship Id="rId1" Type="http://schemas.openxmlformats.org/officeDocument/2006/relationships/hyperlink" Target="#'Ini'!B1"/><Relationship Id="rId6" Type="http://schemas.openxmlformats.org/officeDocument/2006/relationships/hyperlink" Target="#'Rel'!B1"/><Relationship Id="rId11" Type="http://schemas.openxmlformats.org/officeDocument/2006/relationships/hyperlink" Target="#Atin!A1"/><Relationship Id="rId5" Type="http://schemas.openxmlformats.org/officeDocument/2006/relationships/hyperlink" Target="#Ana!A1"/><Relationship Id="rId15" Type="http://schemas.openxmlformats.org/officeDocument/2006/relationships/image" Target="../media/image1.png"/><Relationship Id="rId10" Type="http://schemas.openxmlformats.org/officeDocument/2006/relationships/hyperlink" Target="#Bal!A1"/><Relationship Id="rId4" Type="http://schemas.openxmlformats.org/officeDocument/2006/relationships/hyperlink" Target="#'Gra'!B1"/><Relationship Id="rId9" Type="http://schemas.openxmlformats.org/officeDocument/2006/relationships/hyperlink" Target="#'Sobre a LUZ'!B1"/><Relationship Id="rId14" Type="http://schemas.openxmlformats.org/officeDocument/2006/relationships/hyperlink" Target="#'Res Bp'!A1"/></Relationships>
</file>

<file path=xl/drawings/_rels/drawing6.xml.rels><?xml version="1.0" encoding="UTF-8" standalone="yes"?>
<Relationships xmlns="http://schemas.openxmlformats.org/package/2006/relationships"><Relationship Id="rId8" Type="http://schemas.openxmlformats.org/officeDocument/2006/relationships/hyperlink" Target="#'Sugest&#245;es'!B1"/><Relationship Id="rId13" Type="http://schemas.openxmlformats.org/officeDocument/2006/relationships/hyperlink" Target="#Pasn!A1"/><Relationship Id="rId3" Type="http://schemas.openxmlformats.org/officeDocument/2006/relationships/hyperlink" Target="#'Dre'!B1"/><Relationship Id="rId7" Type="http://schemas.openxmlformats.org/officeDocument/2006/relationships/hyperlink" Target="#'D&#250;vidas'!B1"/><Relationship Id="rId12" Type="http://schemas.openxmlformats.org/officeDocument/2006/relationships/hyperlink" Target="#Pas!A1"/><Relationship Id="rId2" Type="http://schemas.openxmlformats.org/officeDocument/2006/relationships/hyperlink" Target="#'Bal'!B1"/><Relationship Id="rId1" Type="http://schemas.openxmlformats.org/officeDocument/2006/relationships/hyperlink" Target="#'Ini'!B1"/><Relationship Id="rId6" Type="http://schemas.openxmlformats.org/officeDocument/2006/relationships/hyperlink" Target="#'Rel'!B1"/><Relationship Id="rId11" Type="http://schemas.openxmlformats.org/officeDocument/2006/relationships/hyperlink" Target="#Atin!A1"/><Relationship Id="rId5" Type="http://schemas.openxmlformats.org/officeDocument/2006/relationships/hyperlink" Target="#Ana!A1"/><Relationship Id="rId15" Type="http://schemas.openxmlformats.org/officeDocument/2006/relationships/image" Target="../media/image1.png"/><Relationship Id="rId10" Type="http://schemas.openxmlformats.org/officeDocument/2006/relationships/hyperlink" Target="#Bal!A1"/><Relationship Id="rId4" Type="http://schemas.openxmlformats.org/officeDocument/2006/relationships/hyperlink" Target="#'Gra'!B1"/><Relationship Id="rId9" Type="http://schemas.openxmlformats.org/officeDocument/2006/relationships/hyperlink" Target="#'Sobre a LUZ'!B1"/><Relationship Id="rId14" Type="http://schemas.openxmlformats.org/officeDocument/2006/relationships/hyperlink" Target="#'Res Bp'!A1"/></Relationships>
</file>

<file path=xl/drawings/_rels/drawing7.xml.rels><?xml version="1.0" encoding="UTF-8" standalone="yes"?>
<Relationships xmlns="http://schemas.openxmlformats.org/package/2006/relationships"><Relationship Id="rId8" Type="http://schemas.openxmlformats.org/officeDocument/2006/relationships/hyperlink" Target="#'Sugest&#245;es'!B1"/><Relationship Id="rId13" Type="http://schemas.openxmlformats.org/officeDocument/2006/relationships/image" Target="../media/image1.png"/><Relationship Id="rId3" Type="http://schemas.openxmlformats.org/officeDocument/2006/relationships/hyperlink" Target="#'Dre'!B1"/><Relationship Id="rId7" Type="http://schemas.openxmlformats.org/officeDocument/2006/relationships/hyperlink" Target="#'D&#250;vidas'!B1"/><Relationship Id="rId12" Type="http://schemas.openxmlformats.org/officeDocument/2006/relationships/hyperlink" Target="#Res!A1"/><Relationship Id="rId2" Type="http://schemas.openxmlformats.org/officeDocument/2006/relationships/hyperlink" Target="#'Bal'!B1"/><Relationship Id="rId1" Type="http://schemas.openxmlformats.org/officeDocument/2006/relationships/hyperlink" Target="#'Ini'!B1"/><Relationship Id="rId6" Type="http://schemas.openxmlformats.org/officeDocument/2006/relationships/hyperlink" Target="#'Rel'!B1"/><Relationship Id="rId11" Type="http://schemas.openxmlformats.org/officeDocument/2006/relationships/hyperlink" Target="#Des!A1"/><Relationship Id="rId5" Type="http://schemas.openxmlformats.org/officeDocument/2006/relationships/hyperlink" Target="#Ana!A1"/><Relationship Id="rId10" Type="http://schemas.openxmlformats.org/officeDocument/2006/relationships/hyperlink" Target="#Dre!A1"/><Relationship Id="rId4" Type="http://schemas.openxmlformats.org/officeDocument/2006/relationships/hyperlink" Target="#'Gra'!B1"/><Relationship Id="rId9" Type="http://schemas.openxmlformats.org/officeDocument/2006/relationships/hyperlink" Target="#'Sobre a LUZ'!B1"/></Relationships>
</file>

<file path=xl/drawings/_rels/drawing8.xml.rels><?xml version="1.0" encoding="UTF-8" standalone="yes"?>
<Relationships xmlns="http://schemas.openxmlformats.org/package/2006/relationships"><Relationship Id="rId8" Type="http://schemas.openxmlformats.org/officeDocument/2006/relationships/hyperlink" Target="#'Sugest&#245;es'!B1"/><Relationship Id="rId13" Type="http://schemas.openxmlformats.org/officeDocument/2006/relationships/image" Target="../media/image1.png"/><Relationship Id="rId3" Type="http://schemas.openxmlformats.org/officeDocument/2006/relationships/hyperlink" Target="#'Dre'!B1"/><Relationship Id="rId7" Type="http://schemas.openxmlformats.org/officeDocument/2006/relationships/hyperlink" Target="#'D&#250;vidas'!B1"/><Relationship Id="rId12" Type="http://schemas.openxmlformats.org/officeDocument/2006/relationships/hyperlink" Target="#Res!A1"/><Relationship Id="rId2" Type="http://schemas.openxmlformats.org/officeDocument/2006/relationships/hyperlink" Target="#'Bal'!B1"/><Relationship Id="rId1" Type="http://schemas.openxmlformats.org/officeDocument/2006/relationships/hyperlink" Target="#'Ini'!B1"/><Relationship Id="rId6" Type="http://schemas.openxmlformats.org/officeDocument/2006/relationships/hyperlink" Target="#'Rel'!B1"/><Relationship Id="rId11" Type="http://schemas.openxmlformats.org/officeDocument/2006/relationships/hyperlink" Target="#Des!A1"/><Relationship Id="rId5" Type="http://schemas.openxmlformats.org/officeDocument/2006/relationships/hyperlink" Target="#Ana!A1"/><Relationship Id="rId10" Type="http://schemas.openxmlformats.org/officeDocument/2006/relationships/hyperlink" Target="#Dre!A1"/><Relationship Id="rId4" Type="http://schemas.openxmlformats.org/officeDocument/2006/relationships/hyperlink" Target="#'Gra'!B1"/><Relationship Id="rId9" Type="http://schemas.openxmlformats.org/officeDocument/2006/relationships/hyperlink" Target="#'Sobre a LUZ'!B1"/></Relationships>
</file>

<file path=xl/drawings/_rels/drawing9.xml.rels><?xml version="1.0" encoding="UTF-8" standalone="yes"?>
<Relationships xmlns="http://schemas.openxmlformats.org/package/2006/relationships"><Relationship Id="rId8" Type="http://schemas.openxmlformats.org/officeDocument/2006/relationships/hyperlink" Target="#'Sugest&#245;es'!B1"/><Relationship Id="rId13" Type="http://schemas.openxmlformats.org/officeDocument/2006/relationships/image" Target="../media/image1.png"/><Relationship Id="rId3" Type="http://schemas.openxmlformats.org/officeDocument/2006/relationships/hyperlink" Target="#'Dre'!B1"/><Relationship Id="rId7" Type="http://schemas.openxmlformats.org/officeDocument/2006/relationships/hyperlink" Target="#'D&#250;vidas'!B1"/><Relationship Id="rId12" Type="http://schemas.openxmlformats.org/officeDocument/2006/relationships/hyperlink" Target="#Res!A1"/><Relationship Id="rId2" Type="http://schemas.openxmlformats.org/officeDocument/2006/relationships/hyperlink" Target="#'Bal'!B1"/><Relationship Id="rId1" Type="http://schemas.openxmlformats.org/officeDocument/2006/relationships/hyperlink" Target="#'Ini'!B1"/><Relationship Id="rId6" Type="http://schemas.openxmlformats.org/officeDocument/2006/relationships/hyperlink" Target="#'Rel'!B1"/><Relationship Id="rId11" Type="http://schemas.openxmlformats.org/officeDocument/2006/relationships/hyperlink" Target="#Des!A1"/><Relationship Id="rId5" Type="http://schemas.openxmlformats.org/officeDocument/2006/relationships/hyperlink" Target="#Ana!A1"/><Relationship Id="rId10" Type="http://schemas.openxmlformats.org/officeDocument/2006/relationships/hyperlink" Target="#Dre!A1"/><Relationship Id="rId4" Type="http://schemas.openxmlformats.org/officeDocument/2006/relationships/hyperlink" Target="#'Gra'!B1"/><Relationship Id="rId9" Type="http://schemas.openxmlformats.org/officeDocument/2006/relationships/hyperlink" Target="#'Sobre a LUZ'!B1"/></Relationships>
</file>

<file path=xl/drawings/_rels/drawing10.xml.rels><?xml version="1.0" encoding="UTF-8" standalone="yes"?>
<Relationships xmlns="http://schemas.openxmlformats.org/package/2006/relationships"><Relationship Id="rId8" Type="http://schemas.openxmlformats.org/officeDocument/2006/relationships/hyperlink" Target="#'Sugest&#245;es'!B1"/><Relationship Id="rId13" Type="http://schemas.openxmlformats.org/officeDocument/2006/relationships/chart" Target="../charts/chart4.xml"/><Relationship Id="rId18" Type="http://schemas.openxmlformats.org/officeDocument/2006/relationships/chart" Target="../charts/chart9.xml"/><Relationship Id="rId26" Type="http://schemas.openxmlformats.org/officeDocument/2006/relationships/chart" Target="../charts/chart17.xml"/><Relationship Id="rId3" Type="http://schemas.openxmlformats.org/officeDocument/2006/relationships/hyperlink" Target="#'Dre'!B1"/><Relationship Id="rId21" Type="http://schemas.openxmlformats.org/officeDocument/2006/relationships/chart" Target="../charts/chart12.xml"/><Relationship Id="rId7" Type="http://schemas.openxmlformats.org/officeDocument/2006/relationships/hyperlink" Target="#'D&#250;vidas'!B1"/><Relationship Id="rId12" Type="http://schemas.openxmlformats.org/officeDocument/2006/relationships/chart" Target="../charts/chart3.xml"/><Relationship Id="rId17" Type="http://schemas.openxmlformats.org/officeDocument/2006/relationships/chart" Target="../charts/chart8.xml"/><Relationship Id="rId25" Type="http://schemas.openxmlformats.org/officeDocument/2006/relationships/chart" Target="../charts/chart16.xml"/><Relationship Id="rId2" Type="http://schemas.openxmlformats.org/officeDocument/2006/relationships/hyperlink" Target="#'Bal'!B1"/><Relationship Id="rId16" Type="http://schemas.openxmlformats.org/officeDocument/2006/relationships/chart" Target="../charts/chart7.xml"/><Relationship Id="rId20" Type="http://schemas.openxmlformats.org/officeDocument/2006/relationships/chart" Target="../charts/chart11.xml"/><Relationship Id="rId29" Type="http://schemas.openxmlformats.org/officeDocument/2006/relationships/chart" Target="../charts/chart20.xml"/><Relationship Id="rId1" Type="http://schemas.openxmlformats.org/officeDocument/2006/relationships/hyperlink" Target="#'Ini'!B1"/><Relationship Id="rId6" Type="http://schemas.openxmlformats.org/officeDocument/2006/relationships/hyperlink" Target="#'Rel'!B1"/><Relationship Id="rId11" Type="http://schemas.openxmlformats.org/officeDocument/2006/relationships/chart" Target="../charts/chart2.xml"/><Relationship Id="rId24" Type="http://schemas.openxmlformats.org/officeDocument/2006/relationships/chart" Target="../charts/chart15.xml"/><Relationship Id="rId5" Type="http://schemas.openxmlformats.org/officeDocument/2006/relationships/hyperlink" Target="#Ana!A1"/><Relationship Id="rId15" Type="http://schemas.openxmlformats.org/officeDocument/2006/relationships/chart" Target="../charts/chart6.xml"/><Relationship Id="rId23" Type="http://schemas.openxmlformats.org/officeDocument/2006/relationships/chart" Target="../charts/chart14.xml"/><Relationship Id="rId28" Type="http://schemas.openxmlformats.org/officeDocument/2006/relationships/chart" Target="../charts/chart19.xml"/><Relationship Id="rId10" Type="http://schemas.openxmlformats.org/officeDocument/2006/relationships/chart" Target="../charts/chart1.xml"/><Relationship Id="rId19" Type="http://schemas.openxmlformats.org/officeDocument/2006/relationships/chart" Target="../charts/chart10.xml"/><Relationship Id="rId4" Type="http://schemas.openxmlformats.org/officeDocument/2006/relationships/hyperlink" Target="#'Gra'!B1"/><Relationship Id="rId9" Type="http://schemas.openxmlformats.org/officeDocument/2006/relationships/hyperlink" Target="#'Sobre a LUZ'!B1"/><Relationship Id="rId14" Type="http://schemas.openxmlformats.org/officeDocument/2006/relationships/chart" Target="../charts/chart5.xml"/><Relationship Id="rId22" Type="http://schemas.openxmlformats.org/officeDocument/2006/relationships/chart" Target="../charts/chart13.xml"/><Relationship Id="rId27"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8" Type="http://schemas.openxmlformats.org/officeDocument/2006/relationships/hyperlink" Target="#'Sugest&#245;es'!B1"/><Relationship Id="rId13" Type="http://schemas.openxmlformats.org/officeDocument/2006/relationships/hyperlink" Target="#Ren!A1"/><Relationship Id="rId3" Type="http://schemas.openxmlformats.org/officeDocument/2006/relationships/hyperlink" Target="#'Dre'!B1"/><Relationship Id="rId7" Type="http://schemas.openxmlformats.org/officeDocument/2006/relationships/hyperlink" Target="#'D&#250;vidas'!B1"/><Relationship Id="rId12" Type="http://schemas.openxmlformats.org/officeDocument/2006/relationships/hyperlink" Target="#Ato!A1"/><Relationship Id="rId2" Type="http://schemas.openxmlformats.org/officeDocument/2006/relationships/hyperlink" Target="#'Bal'!B1"/><Relationship Id="rId1" Type="http://schemas.openxmlformats.org/officeDocument/2006/relationships/hyperlink" Target="#'Ini'!B1"/><Relationship Id="rId6" Type="http://schemas.openxmlformats.org/officeDocument/2006/relationships/hyperlink" Target="#'Rel'!B1"/><Relationship Id="rId11" Type="http://schemas.openxmlformats.org/officeDocument/2006/relationships/hyperlink" Target="#Cpd!A1"/><Relationship Id="rId5" Type="http://schemas.openxmlformats.org/officeDocument/2006/relationships/hyperlink" Target="#Ana!A1"/><Relationship Id="rId15" Type="http://schemas.openxmlformats.org/officeDocument/2006/relationships/image" Target="../media/image1.png"/><Relationship Id="rId10" Type="http://schemas.openxmlformats.org/officeDocument/2006/relationships/hyperlink" Target="#Ana!A1"/><Relationship Id="rId4" Type="http://schemas.openxmlformats.org/officeDocument/2006/relationships/hyperlink" Target="#'Gra'!B1"/><Relationship Id="rId9" Type="http://schemas.openxmlformats.org/officeDocument/2006/relationships/hyperlink" Target="#'Sobre a LUZ'!B1"/><Relationship Id="rId14" Type="http://schemas.openxmlformats.org/officeDocument/2006/relationships/hyperlink" Target="#Gcg!A1"/></Relationships>
</file>

<file path=xl/drawings/_rels/drawing12.xml.rels><?xml version="1.0" encoding="UTF-8" standalone="yes"?>
<Relationships xmlns="http://schemas.openxmlformats.org/package/2006/relationships"><Relationship Id="rId8" Type="http://schemas.openxmlformats.org/officeDocument/2006/relationships/hyperlink" Target="#'Sugest&#245;es'!B1"/><Relationship Id="rId13" Type="http://schemas.openxmlformats.org/officeDocument/2006/relationships/hyperlink" Target="#Ren!A1"/><Relationship Id="rId3" Type="http://schemas.openxmlformats.org/officeDocument/2006/relationships/hyperlink" Target="#'Dre'!B1"/><Relationship Id="rId7" Type="http://schemas.openxmlformats.org/officeDocument/2006/relationships/hyperlink" Target="#'D&#250;vidas'!B1"/><Relationship Id="rId12" Type="http://schemas.openxmlformats.org/officeDocument/2006/relationships/hyperlink" Target="#Ato!A1"/><Relationship Id="rId2" Type="http://schemas.openxmlformats.org/officeDocument/2006/relationships/hyperlink" Target="#'Bal'!B1"/><Relationship Id="rId1" Type="http://schemas.openxmlformats.org/officeDocument/2006/relationships/hyperlink" Target="#'Ini'!B1"/><Relationship Id="rId6" Type="http://schemas.openxmlformats.org/officeDocument/2006/relationships/hyperlink" Target="#'Rel'!B1"/><Relationship Id="rId11" Type="http://schemas.openxmlformats.org/officeDocument/2006/relationships/hyperlink" Target="#Cpd!A1"/><Relationship Id="rId5" Type="http://schemas.openxmlformats.org/officeDocument/2006/relationships/hyperlink" Target="#Ana!A1"/><Relationship Id="rId15" Type="http://schemas.openxmlformats.org/officeDocument/2006/relationships/image" Target="../media/image1.png"/><Relationship Id="rId10" Type="http://schemas.openxmlformats.org/officeDocument/2006/relationships/hyperlink" Target="#Ana!A1"/><Relationship Id="rId4" Type="http://schemas.openxmlformats.org/officeDocument/2006/relationships/hyperlink" Target="#'Gra'!B1"/><Relationship Id="rId9" Type="http://schemas.openxmlformats.org/officeDocument/2006/relationships/hyperlink" Target="#'Sobre a LUZ'!B1"/><Relationship Id="rId14" Type="http://schemas.openxmlformats.org/officeDocument/2006/relationships/hyperlink" Target="#Gcg!A1"/></Relationships>
</file>

<file path=xl/drawings/_rels/drawing13.xml.rels><?xml version="1.0" encoding="UTF-8" standalone="yes"?>
<Relationships xmlns="http://schemas.openxmlformats.org/package/2006/relationships"><Relationship Id="rId8" Type="http://schemas.openxmlformats.org/officeDocument/2006/relationships/hyperlink" Target="#'Sugest&#245;es'!B1"/><Relationship Id="rId13" Type="http://schemas.openxmlformats.org/officeDocument/2006/relationships/hyperlink" Target="#Ren!A1"/><Relationship Id="rId3" Type="http://schemas.openxmlformats.org/officeDocument/2006/relationships/hyperlink" Target="#'Dre'!B1"/><Relationship Id="rId7" Type="http://schemas.openxmlformats.org/officeDocument/2006/relationships/hyperlink" Target="#'D&#250;vidas'!B1"/><Relationship Id="rId12" Type="http://schemas.openxmlformats.org/officeDocument/2006/relationships/hyperlink" Target="#Ato!A1"/><Relationship Id="rId2" Type="http://schemas.openxmlformats.org/officeDocument/2006/relationships/hyperlink" Target="#'Bal'!B1"/><Relationship Id="rId1" Type="http://schemas.openxmlformats.org/officeDocument/2006/relationships/hyperlink" Target="#'Ini'!B1"/><Relationship Id="rId6" Type="http://schemas.openxmlformats.org/officeDocument/2006/relationships/hyperlink" Target="#'Rel'!B1"/><Relationship Id="rId11" Type="http://schemas.openxmlformats.org/officeDocument/2006/relationships/hyperlink" Target="#Cpd!A1"/><Relationship Id="rId5" Type="http://schemas.openxmlformats.org/officeDocument/2006/relationships/hyperlink" Target="#Ana!A1"/><Relationship Id="rId15" Type="http://schemas.openxmlformats.org/officeDocument/2006/relationships/image" Target="../media/image1.png"/><Relationship Id="rId10" Type="http://schemas.openxmlformats.org/officeDocument/2006/relationships/hyperlink" Target="#Ana!A1"/><Relationship Id="rId4" Type="http://schemas.openxmlformats.org/officeDocument/2006/relationships/hyperlink" Target="#'Gra'!B1"/><Relationship Id="rId9" Type="http://schemas.openxmlformats.org/officeDocument/2006/relationships/hyperlink" Target="#'Sobre a LUZ'!B1"/><Relationship Id="rId14" Type="http://schemas.openxmlformats.org/officeDocument/2006/relationships/hyperlink" Target="#Gcg!A1"/></Relationships>
</file>

<file path=xl/drawings/_rels/drawing14.xml.rels><?xml version="1.0" encoding="UTF-8" standalone="yes"?>
<Relationships xmlns="http://schemas.openxmlformats.org/package/2006/relationships"><Relationship Id="rId8" Type="http://schemas.openxmlformats.org/officeDocument/2006/relationships/hyperlink" Target="#'Sugest&#245;es'!B1"/><Relationship Id="rId13" Type="http://schemas.openxmlformats.org/officeDocument/2006/relationships/hyperlink" Target="#Ren!A1"/><Relationship Id="rId3" Type="http://schemas.openxmlformats.org/officeDocument/2006/relationships/hyperlink" Target="#'Dre'!B1"/><Relationship Id="rId7" Type="http://schemas.openxmlformats.org/officeDocument/2006/relationships/hyperlink" Target="#'D&#250;vidas'!B1"/><Relationship Id="rId12" Type="http://schemas.openxmlformats.org/officeDocument/2006/relationships/hyperlink" Target="#Ato!A1"/><Relationship Id="rId2" Type="http://schemas.openxmlformats.org/officeDocument/2006/relationships/hyperlink" Target="#'Bal'!B1"/><Relationship Id="rId1" Type="http://schemas.openxmlformats.org/officeDocument/2006/relationships/hyperlink" Target="#'Ini'!B1"/><Relationship Id="rId6" Type="http://schemas.openxmlformats.org/officeDocument/2006/relationships/hyperlink" Target="#'Rel'!B1"/><Relationship Id="rId11" Type="http://schemas.openxmlformats.org/officeDocument/2006/relationships/hyperlink" Target="#Cpd!A1"/><Relationship Id="rId5" Type="http://schemas.openxmlformats.org/officeDocument/2006/relationships/hyperlink" Target="#Ana!A1"/><Relationship Id="rId15" Type="http://schemas.openxmlformats.org/officeDocument/2006/relationships/image" Target="../media/image1.png"/><Relationship Id="rId10" Type="http://schemas.openxmlformats.org/officeDocument/2006/relationships/hyperlink" Target="#Ana!A1"/><Relationship Id="rId4" Type="http://schemas.openxmlformats.org/officeDocument/2006/relationships/hyperlink" Target="#'Gra'!B1"/><Relationship Id="rId9" Type="http://schemas.openxmlformats.org/officeDocument/2006/relationships/hyperlink" Target="#'Sobre a LUZ'!B1"/><Relationship Id="rId14" Type="http://schemas.openxmlformats.org/officeDocument/2006/relationships/hyperlink" Target="#Gcg!A1"/></Relationships>
</file>

<file path=xl/drawings/_rels/drawing15.xml.rels><?xml version="1.0" encoding="UTF-8" standalone="yes"?>
<Relationships xmlns="http://schemas.openxmlformats.org/package/2006/relationships"><Relationship Id="rId8" Type="http://schemas.openxmlformats.org/officeDocument/2006/relationships/hyperlink" Target="#'Sugest&#245;es'!B1"/><Relationship Id="rId13" Type="http://schemas.openxmlformats.org/officeDocument/2006/relationships/hyperlink" Target="#Ren!A1"/><Relationship Id="rId3" Type="http://schemas.openxmlformats.org/officeDocument/2006/relationships/hyperlink" Target="#'Dre'!B1"/><Relationship Id="rId7" Type="http://schemas.openxmlformats.org/officeDocument/2006/relationships/hyperlink" Target="#'D&#250;vidas'!B1"/><Relationship Id="rId12" Type="http://schemas.openxmlformats.org/officeDocument/2006/relationships/hyperlink" Target="#Ato!A1"/><Relationship Id="rId2" Type="http://schemas.openxmlformats.org/officeDocument/2006/relationships/hyperlink" Target="#'Bal'!B1"/><Relationship Id="rId1" Type="http://schemas.openxmlformats.org/officeDocument/2006/relationships/hyperlink" Target="#'Ini'!B1"/><Relationship Id="rId6" Type="http://schemas.openxmlformats.org/officeDocument/2006/relationships/hyperlink" Target="#'Rel'!B1"/><Relationship Id="rId11" Type="http://schemas.openxmlformats.org/officeDocument/2006/relationships/hyperlink" Target="#Cpd!A1"/><Relationship Id="rId5" Type="http://schemas.openxmlformats.org/officeDocument/2006/relationships/hyperlink" Target="#Ana!A1"/><Relationship Id="rId15" Type="http://schemas.openxmlformats.org/officeDocument/2006/relationships/image" Target="../media/image1.png"/><Relationship Id="rId10" Type="http://schemas.openxmlformats.org/officeDocument/2006/relationships/hyperlink" Target="#Ana!A1"/><Relationship Id="rId4" Type="http://schemas.openxmlformats.org/officeDocument/2006/relationships/hyperlink" Target="#'Gra'!B1"/><Relationship Id="rId9" Type="http://schemas.openxmlformats.org/officeDocument/2006/relationships/hyperlink" Target="#'Sobre a LUZ'!B1"/><Relationship Id="rId14" Type="http://schemas.openxmlformats.org/officeDocument/2006/relationships/hyperlink" Target="#Gcg!A1"/></Relationships>
</file>

<file path=xl/drawings/_rels/drawing16.xml.rels><?xml version="1.0" encoding="UTF-8" standalone="yes"?>
<Relationships xmlns="http://schemas.openxmlformats.org/package/2006/relationships"><Relationship Id="rId8" Type="http://schemas.openxmlformats.org/officeDocument/2006/relationships/hyperlink" Target="#'Sugest&#245;es'!B1"/><Relationship Id="rId13" Type="http://schemas.openxmlformats.org/officeDocument/2006/relationships/chart" Target="../charts/chart24.xml"/><Relationship Id="rId18" Type="http://schemas.openxmlformats.org/officeDocument/2006/relationships/chart" Target="../charts/chart29.xml"/><Relationship Id="rId26" Type="http://schemas.openxmlformats.org/officeDocument/2006/relationships/chart" Target="../charts/chart37.xml"/><Relationship Id="rId3" Type="http://schemas.openxmlformats.org/officeDocument/2006/relationships/hyperlink" Target="#'Dre'!B1"/><Relationship Id="rId21" Type="http://schemas.openxmlformats.org/officeDocument/2006/relationships/chart" Target="../charts/chart32.xml"/><Relationship Id="rId7" Type="http://schemas.openxmlformats.org/officeDocument/2006/relationships/hyperlink" Target="#'D&#250;vidas'!B1"/><Relationship Id="rId12" Type="http://schemas.openxmlformats.org/officeDocument/2006/relationships/chart" Target="../charts/chart23.xml"/><Relationship Id="rId17" Type="http://schemas.openxmlformats.org/officeDocument/2006/relationships/chart" Target="../charts/chart28.xml"/><Relationship Id="rId25" Type="http://schemas.openxmlformats.org/officeDocument/2006/relationships/chart" Target="../charts/chart36.xml"/><Relationship Id="rId2" Type="http://schemas.openxmlformats.org/officeDocument/2006/relationships/hyperlink" Target="#'Bal'!B1"/><Relationship Id="rId16" Type="http://schemas.openxmlformats.org/officeDocument/2006/relationships/chart" Target="../charts/chart27.xml"/><Relationship Id="rId20" Type="http://schemas.openxmlformats.org/officeDocument/2006/relationships/chart" Target="../charts/chart31.xml"/><Relationship Id="rId29" Type="http://schemas.openxmlformats.org/officeDocument/2006/relationships/chart" Target="../charts/chart40.xml"/><Relationship Id="rId1" Type="http://schemas.openxmlformats.org/officeDocument/2006/relationships/hyperlink" Target="#'Ini'!B1"/><Relationship Id="rId6" Type="http://schemas.openxmlformats.org/officeDocument/2006/relationships/hyperlink" Target="#'Rel'!B1"/><Relationship Id="rId11" Type="http://schemas.openxmlformats.org/officeDocument/2006/relationships/chart" Target="../charts/chart22.xml"/><Relationship Id="rId24" Type="http://schemas.openxmlformats.org/officeDocument/2006/relationships/chart" Target="../charts/chart35.xml"/><Relationship Id="rId5" Type="http://schemas.openxmlformats.org/officeDocument/2006/relationships/hyperlink" Target="#Ana!A1"/><Relationship Id="rId15" Type="http://schemas.openxmlformats.org/officeDocument/2006/relationships/chart" Target="../charts/chart26.xml"/><Relationship Id="rId23" Type="http://schemas.openxmlformats.org/officeDocument/2006/relationships/chart" Target="../charts/chart34.xml"/><Relationship Id="rId28" Type="http://schemas.openxmlformats.org/officeDocument/2006/relationships/chart" Target="../charts/chart39.xml"/><Relationship Id="rId10" Type="http://schemas.openxmlformats.org/officeDocument/2006/relationships/chart" Target="../charts/chart21.xml"/><Relationship Id="rId19" Type="http://schemas.openxmlformats.org/officeDocument/2006/relationships/chart" Target="../charts/chart30.xml"/><Relationship Id="rId4" Type="http://schemas.openxmlformats.org/officeDocument/2006/relationships/hyperlink" Target="#'Gra'!B1"/><Relationship Id="rId9" Type="http://schemas.openxmlformats.org/officeDocument/2006/relationships/hyperlink" Target="#'Sobre a LUZ'!B1"/><Relationship Id="rId14" Type="http://schemas.openxmlformats.org/officeDocument/2006/relationships/chart" Target="../charts/chart25.xml"/><Relationship Id="rId22" Type="http://schemas.openxmlformats.org/officeDocument/2006/relationships/chart" Target="../charts/chart33.xml"/><Relationship Id="rId27" Type="http://schemas.openxmlformats.org/officeDocument/2006/relationships/chart" Target="../charts/chart38.xml"/><Relationship Id="rId30" Type="http://schemas.openxmlformats.org/officeDocument/2006/relationships/image" Target="../media/image1.png"/></Relationships>
</file>

<file path=xl/drawings/_rels/drawing17.xml.rels><?xml version="1.0" encoding="UTF-8" standalone="yes"?>
<Relationships xmlns="http://schemas.openxmlformats.org/package/2006/relationships"><Relationship Id="rId8" Type="http://schemas.openxmlformats.org/officeDocument/2006/relationships/hyperlink" Target="#'D&#250;vidas'!B1"/><Relationship Id="rId3" Type="http://schemas.openxmlformats.org/officeDocument/2006/relationships/hyperlink" Target="#'Bal'!B1"/><Relationship Id="rId7" Type="http://schemas.openxmlformats.org/officeDocument/2006/relationships/hyperlink" Target="#'Rel'!B1"/><Relationship Id="rId2" Type="http://schemas.openxmlformats.org/officeDocument/2006/relationships/hyperlink" Target="#'Ini'!B1"/><Relationship Id="rId1" Type="http://schemas.openxmlformats.org/officeDocument/2006/relationships/hyperlink" Target="mailto:valorcontadores@gmail.com" TargetMode="External"/><Relationship Id="rId6" Type="http://schemas.openxmlformats.org/officeDocument/2006/relationships/hyperlink" Target="#Ana!A1"/><Relationship Id="rId11" Type="http://schemas.openxmlformats.org/officeDocument/2006/relationships/image" Target="../media/image1.png"/><Relationship Id="rId5" Type="http://schemas.openxmlformats.org/officeDocument/2006/relationships/hyperlink" Target="#'Gra'!B1"/><Relationship Id="rId10" Type="http://schemas.openxmlformats.org/officeDocument/2006/relationships/hyperlink" Target="#'Sobre a LUZ'!B1"/><Relationship Id="rId4" Type="http://schemas.openxmlformats.org/officeDocument/2006/relationships/hyperlink" Target="#'Dre'!B1"/><Relationship Id="rId9" Type="http://schemas.openxmlformats.org/officeDocument/2006/relationships/hyperlink" Target="#'Sugest&#245;es'!B1"/></Relationships>
</file>

<file path=xl/drawings/_rels/drawing18.xml.rels><?xml version="1.0" encoding="UTF-8" standalone="yes"?>
<Relationships xmlns="http://schemas.openxmlformats.org/package/2006/relationships"><Relationship Id="rId8" Type="http://schemas.openxmlformats.org/officeDocument/2006/relationships/hyperlink" Target="#'Sugest&#245;es'!B1"/><Relationship Id="rId3" Type="http://schemas.openxmlformats.org/officeDocument/2006/relationships/hyperlink" Target="#'Dre'!B1"/><Relationship Id="rId7" Type="http://schemas.openxmlformats.org/officeDocument/2006/relationships/hyperlink" Target="#'D&#250;vidas'!B1"/><Relationship Id="rId2" Type="http://schemas.openxmlformats.org/officeDocument/2006/relationships/hyperlink" Target="#'Bal'!B1"/><Relationship Id="rId1" Type="http://schemas.openxmlformats.org/officeDocument/2006/relationships/hyperlink" Target="#'Ini'!B1"/><Relationship Id="rId6" Type="http://schemas.openxmlformats.org/officeDocument/2006/relationships/hyperlink" Target="#'Rel'!B1"/><Relationship Id="rId5" Type="http://schemas.openxmlformats.org/officeDocument/2006/relationships/hyperlink" Target="#Ana!A1"/><Relationship Id="rId10" Type="http://schemas.openxmlformats.org/officeDocument/2006/relationships/image" Target="../media/image1.png"/><Relationship Id="rId4" Type="http://schemas.openxmlformats.org/officeDocument/2006/relationships/hyperlink" Target="#'Gra'!B1"/><Relationship Id="rId9" Type="http://schemas.openxmlformats.org/officeDocument/2006/relationships/hyperlink" Target="#'Sobre a LUZ'!B1"/></Relationships>
</file>

<file path=xl/drawings/_rels/drawing19.xml.rels><?xml version="1.0" encoding="UTF-8" standalone="yes"?>
<Relationships xmlns="http://schemas.openxmlformats.org/package/2006/relationships"><Relationship Id="rId8" Type="http://schemas.openxmlformats.org/officeDocument/2006/relationships/hyperlink" Target="#'Sugest&#245;es'!B1"/><Relationship Id="rId13" Type="http://schemas.openxmlformats.org/officeDocument/2006/relationships/hyperlink" Target="http://www.instagran.com/valorcontadores" TargetMode="External"/><Relationship Id="rId3" Type="http://schemas.openxmlformats.org/officeDocument/2006/relationships/hyperlink" Target="#'Dre'!B1"/><Relationship Id="rId7" Type="http://schemas.openxmlformats.org/officeDocument/2006/relationships/hyperlink" Target="#'D&#250;vidas'!B1"/><Relationship Id="rId12" Type="http://schemas.openxmlformats.org/officeDocument/2006/relationships/image" Target="../media/image3.png"/><Relationship Id="rId2" Type="http://schemas.openxmlformats.org/officeDocument/2006/relationships/hyperlink" Target="#'Bal'!B1"/><Relationship Id="rId1" Type="http://schemas.openxmlformats.org/officeDocument/2006/relationships/hyperlink" Target="#'Ini'!B1"/><Relationship Id="rId6" Type="http://schemas.openxmlformats.org/officeDocument/2006/relationships/hyperlink" Target="#'Rel'!B1"/><Relationship Id="rId11" Type="http://schemas.openxmlformats.org/officeDocument/2006/relationships/hyperlink" Target="http://www.facebook.com/valorcontadores" TargetMode="External"/><Relationship Id="rId5" Type="http://schemas.openxmlformats.org/officeDocument/2006/relationships/hyperlink" Target="#'Ale'!B1"/><Relationship Id="rId15" Type="http://schemas.openxmlformats.org/officeDocument/2006/relationships/image" Target="../media/image1.png"/><Relationship Id="rId10" Type="http://schemas.openxmlformats.org/officeDocument/2006/relationships/image" Target="../media/image2.jpeg"/><Relationship Id="rId4" Type="http://schemas.openxmlformats.org/officeDocument/2006/relationships/hyperlink" Target="#'Gra'!B1"/><Relationship Id="rId9" Type="http://schemas.openxmlformats.org/officeDocument/2006/relationships/hyperlink" Target="#'Sobre a LUZ'!B1"/><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absolute">
    <xdr:from>
      <xdr:col>8</xdr:col>
      <xdr:colOff>191558</xdr:colOff>
      <xdr:row>0</xdr:row>
      <xdr:rowOff>133350</xdr:rowOff>
    </xdr:from>
    <xdr:to>
      <xdr:col>18</xdr:col>
      <xdr:colOff>449792</xdr:colOff>
      <xdr:row>1</xdr:row>
      <xdr:rowOff>210608</xdr:rowOff>
    </xdr:to>
    <xdr:sp macro="" textlink="">
      <xdr:nvSpPr>
        <xdr:cNvPr id="2" name="CaixaDeTexto 1"/>
        <xdr:cNvSpPr txBox="1"/>
      </xdr:nvSpPr>
      <xdr:spPr>
        <a:xfrm>
          <a:off x="5524500" y="133350"/>
          <a:ext cx="6350000" cy="635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endParaRPr lang="pt-BR" sz="1100"/>
        </a:p>
      </xdr:txBody>
    </xdr:sp>
    <xdr:clientData/>
  </xdr:twoCellAnchor>
  <xdr:twoCellAnchor editAs="absolute">
    <xdr:from>
      <xdr:col>0</xdr:col>
      <xdr:colOff>144991</xdr:colOff>
      <xdr:row>1</xdr:row>
      <xdr:rowOff>273053</xdr:rowOff>
    </xdr:from>
    <xdr:to>
      <xdr:col>0</xdr:col>
      <xdr:colOff>1710266</xdr:colOff>
      <xdr:row>1</xdr:row>
      <xdr:rowOff>273053</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1</xdr:row>
      <xdr:rowOff>359836</xdr:rowOff>
    </xdr:from>
    <xdr:to>
      <xdr:col>0</xdr:col>
      <xdr:colOff>1756833</xdr:colOff>
      <xdr:row>2</xdr:row>
      <xdr:rowOff>203203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4</xdr:row>
      <xdr:rowOff>276223</xdr:rowOff>
    </xdr:from>
    <xdr:to>
      <xdr:col>0</xdr:col>
      <xdr:colOff>1717675</xdr:colOff>
      <xdr:row>4</xdr:row>
      <xdr:rowOff>276223</xdr:rowOff>
    </xdr:to>
    <xdr:cxnSp macro="">
      <xdr:nvCxnSpPr>
        <xdr:cNvPr id="6" name="Conector reto 5"/>
        <xdr:cNvCxnSpPr/>
      </xdr:nvCxnSpPr>
      <xdr:spPr>
        <a:xfrm>
          <a:off x="152400" y="3303056"/>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2</xdr:row>
      <xdr:rowOff>339725</xdr:rowOff>
    </xdr:from>
    <xdr:to>
      <xdr:col>1</xdr:col>
      <xdr:colOff>12700</xdr:colOff>
      <xdr:row>2</xdr:row>
      <xdr:rowOff>593725</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Início</a:t>
          </a:r>
        </a:p>
      </xdr:txBody>
    </xdr:sp>
    <xdr:clientData/>
  </xdr:twoCellAnchor>
  <xdr:twoCellAnchor editAs="absolute">
    <xdr:from>
      <xdr:col>0</xdr:col>
      <xdr:colOff>12700</xdr:colOff>
      <xdr:row>2</xdr:row>
      <xdr:rowOff>657225</xdr:rowOff>
    </xdr:from>
    <xdr:to>
      <xdr:col>1</xdr:col>
      <xdr:colOff>12700</xdr:colOff>
      <xdr:row>2</xdr:row>
      <xdr:rowOff>911225</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Balanço Patrimônial</a:t>
          </a:r>
        </a:p>
      </xdr:txBody>
    </xdr:sp>
    <xdr:clientData/>
  </xdr:twoCellAnchor>
  <xdr:twoCellAnchor editAs="absolute">
    <xdr:from>
      <xdr:col>0</xdr:col>
      <xdr:colOff>12700</xdr:colOff>
      <xdr:row>2</xdr:row>
      <xdr:rowOff>974725</xdr:rowOff>
    </xdr:from>
    <xdr:to>
      <xdr:col>1</xdr:col>
      <xdr:colOff>12700</xdr:colOff>
      <xdr:row>3</xdr:row>
      <xdr:rowOff>212725</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DRE</a:t>
          </a:r>
        </a:p>
      </xdr:txBody>
    </xdr:sp>
    <xdr:clientData/>
  </xdr:twoCellAnchor>
  <xdr:twoCellAnchor editAs="absolute">
    <xdr:from>
      <xdr:col>0</xdr:col>
      <xdr:colOff>12700</xdr:colOff>
      <xdr:row>3</xdr:row>
      <xdr:rowOff>276223</xdr:rowOff>
    </xdr:from>
    <xdr:to>
      <xdr:col>1</xdr:col>
      <xdr:colOff>12700</xdr:colOff>
      <xdr:row>3</xdr:row>
      <xdr:rowOff>530223</xdr:rowOff>
    </xdr:to>
    <xdr:sp macro="" textlink="">
      <xdr:nvSpPr>
        <xdr:cNvPr id="11" name="Retângulo 10">
          <a:hlinkClick xmlns:r="http://schemas.openxmlformats.org/officeDocument/2006/relationships" r:id="rId4"/>
        </xdr:cNvPr>
        <xdr:cNvSpPr/>
      </xdr:nvSpPr>
      <xdr:spPr>
        <a:xfrm>
          <a:off x="12700" y="2287056"/>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3</xdr:row>
      <xdr:rowOff>593723</xdr:rowOff>
    </xdr:from>
    <xdr:to>
      <xdr:col>1</xdr:col>
      <xdr:colOff>12700</xdr:colOff>
      <xdr:row>3</xdr:row>
      <xdr:rowOff>847723</xdr:rowOff>
    </xdr:to>
    <xdr:sp macro="" textlink="">
      <xdr:nvSpPr>
        <xdr:cNvPr id="12" name="Retângulo 11">
          <a:hlinkClick xmlns:r="http://schemas.openxmlformats.org/officeDocument/2006/relationships" r:id="rId5"/>
        </xdr:cNvPr>
        <xdr:cNvSpPr/>
      </xdr:nvSpPr>
      <xdr:spPr>
        <a:xfrm>
          <a:off x="12700" y="2604556"/>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Alertas e Dicas</a:t>
          </a:r>
        </a:p>
      </xdr:txBody>
    </xdr:sp>
    <xdr:clientData/>
  </xdr:twoCellAnchor>
  <xdr:twoCellAnchor editAs="absolute">
    <xdr:from>
      <xdr:col>0</xdr:col>
      <xdr:colOff>12700</xdr:colOff>
      <xdr:row>3</xdr:row>
      <xdr:rowOff>911223</xdr:rowOff>
    </xdr:from>
    <xdr:to>
      <xdr:col>1</xdr:col>
      <xdr:colOff>12700</xdr:colOff>
      <xdr:row>4</xdr:row>
      <xdr:rowOff>149223</xdr:rowOff>
    </xdr:to>
    <xdr:sp macro="" textlink="">
      <xdr:nvSpPr>
        <xdr:cNvPr id="13" name="Retângulo 12">
          <a:hlinkClick xmlns:r="http://schemas.openxmlformats.org/officeDocument/2006/relationships" r:id="rId6"/>
        </xdr:cNvPr>
        <xdr:cNvSpPr/>
      </xdr:nvSpPr>
      <xdr:spPr>
        <a:xfrm>
          <a:off x="12700" y="2922056"/>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Relatórios de Impressão</a:t>
          </a:r>
        </a:p>
      </xdr:txBody>
    </xdr:sp>
    <xdr:clientData/>
  </xdr:twoCellAnchor>
  <xdr:twoCellAnchor editAs="absolute">
    <xdr:from>
      <xdr:col>0</xdr:col>
      <xdr:colOff>12700</xdr:colOff>
      <xdr:row>4</xdr:row>
      <xdr:rowOff>403223</xdr:rowOff>
    </xdr:from>
    <xdr:to>
      <xdr:col>1</xdr:col>
      <xdr:colOff>12700</xdr:colOff>
      <xdr:row>5</xdr:row>
      <xdr:rowOff>180973</xdr:rowOff>
    </xdr:to>
    <xdr:sp macro="" textlink="">
      <xdr:nvSpPr>
        <xdr:cNvPr id="14" name="Retângulo 13">
          <a:hlinkClick xmlns:r="http://schemas.openxmlformats.org/officeDocument/2006/relationships" r:id="rId7"/>
        </xdr:cNvPr>
        <xdr:cNvSpPr/>
      </xdr:nvSpPr>
      <xdr:spPr>
        <a:xfrm>
          <a:off x="12700" y="3430056"/>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5</xdr:row>
      <xdr:rowOff>244473</xdr:rowOff>
    </xdr:from>
    <xdr:to>
      <xdr:col>1</xdr:col>
      <xdr:colOff>12700</xdr:colOff>
      <xdr:row>7</xdr:row>
      <xdr:rowOff>22223</xdr:rowOff>
    </xdr:to>
    <xdr:sp macro="" textlink="">
      <xdr:nvSpPr>
        <xdr:cNvPr id="15" name="Retângulo 14">
          <a:hlinkClick xmlns:r="http://schemas.openxmlformats.org/officeDocument/2006/relationships" r:id="rId8"/>
        </xdr:cNvPr>
        <xdr:cNvSpPr/>
      </xdr:nvSpPr>
      <xdr:spPr>
        <a:xfrm>
          <a:off x="12700" y="3747556"/>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7</xdr:row>
      <xdr:rowOff>85723</xdr:rowOff>
    </xdr:from>
    <xdr:to>
      <xdr:col>1</xdr:col>
      <xdr:colOff>12700</xdr:colOff>
      <xdr:row>8</xdr:row>
      <xdr:rowOff>22223</xdr:rowOff>
    </xdr:to>
    <xdr:sp macro="" textlink="">
      <xdr:nvSpPr>
        <xdr:cNvPr id="16" name="Retângulo 15">
          <a:hlinkClick xmlns:r="http://schemas.openxmlformats.org/officeDocument/2006/relationships" r:id="rId9"/>
        </xdr:cNvPr>
        <xdr:cNvSpPr/>
      </xdr:nvSpPr>
      <xdr:spPr>
        <a:xfrm>
          <a:off x="12700" y="4065056"/>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absoluteAnchor>
    <xdr:pos x="2148416" y="1989671"/>
    <xdr:ext cx="15160625" cy="0"/>
    <xdr:cxnSp macro="">
      <xdr:nvCxnSpPr>
        <xdr:cNvPr id="17" name="Conector reto 16"/>
        <xdr:cNvCxnSpPr/>
      </xdr:nvCxnSpPr>
      <xdr:spPr>
        <a:xfrm>
          <a:off x="2148416" y="1989671"/>
          <a:ext cx="15160625" cy="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absoluteAnchor>
  <xdr:twoCellAnchor editAs="oneCell">
    <xdr:from>
      <xdr:col>0</xdr:col>
      <xdr:colOff>381000</xdr:colOff>
      <xdr:row>0</xdr:row>
      <xdr:rowOff>63500</xdr:rowOff>
    </xdr:from>
    <xdr:to>
      <xdr:col>0</xdr:col>
      <xdr:colOff>1471083</xdr:colOff>
      <xdr:row>1</xdr:row>
      <xdr:rowOff>317252</xdr:rowOff>
    </xdr:to>
    <xdr:pic>
      <xdr:nvPicPr>
        <xdr:cNvPr id="10" name="Imagem 9"/>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xmlns="" val="0"/>
            </a:ext>
          </a:extLst>
        </a:blip>
        <a:stretch>
          <a:fillRect/>
        </a:stretch>
      </xdr:blipFill>
      <xdr:spPr>
        <a:xfrm>
          <a:off x="381000" y="63500"/>
          <a:ext cx="1090083" cy="8146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2043643</xdr:colOff>
      <xdr:row>0</xdr:row>
      <xdr:rowOff>143933</xdr:rowOff>
    </xdr:from>
    <xdr:to>
      <xdr:col>9</xdr:col>
      <xdr:colOff>423334</xdr:colOff>
      <xdr:row>1</xdr:row>
      <xdr:rowOff>146802</xdr:rowOff>
    </xdr:to>
    <xdr:sp macro="" textlink="">
      <xdr:nvSpPr>
        <xdr:cNvPr id="2" name="CaixaDeTexto 1"/>
        <xdr:cNvSpPr txBox="1"/>
      </xdr:nvSpPr>
      <xdr:spPr>
        <a:xfrm>
          <a:off x="4689476" y="143933"/>
          <a:ext cx="7058025"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pt-BR" sz="1100" b="0" i="0">
              <a:solidFill>
                <a:schemeClr val="tx1"/>
              </a:solidFill>
              <a:effectLst/>
              <a:latin typeface="+mn-lt"/>
              <a:ea typeface="+mn-ea"/>
              <a:cs typeface="+mn-cs"/>
            </a:rPr>
            <a:t>Balanço Patrimonial é a demonstração contábil destinada a evidenciar a posição patrimonial e financeira da Entidade. </a:t>
          </a:r>
          <a:r>
            <a:rPr lang="pt-BR" sz="1100">
              <a:solidFill>
                <a:schemeClr val="tx1"/>
              </a:solidFill>
              <a:effectLst/>
              <a:latin typeface="+mn-lt"/>
              <a:ea typeface="+mn-ea"/>
              <a:cs typeface="+mn-cs"/>
            </a:rPr>
            <a:t>Preencha as contas do Ativo</a:t>
          </a:r>
          <a:r>
            <a:rPr lang="pt-BR" sz="1100" baseline="0">
              <a:solidFill>
                <a:schemeClr val="tx1"/>
              </a:solidFill>
              <a:effectLst/>
              <a:latin typeface="+mn-lt"/>
              <a:ea typeface="+mn-ea"/>
              <a:cs typeface="+mn-cs"/>
            </a:rPr>
            <a:t> Circulante com seus repectivos valores para a</a:t>
          </a:r>
          <a:r>
            <a:rPr lang="pt-BR" sz="1100" b="0" i="0">
              <a:solidFill>
                <a:schemeClr val="tx1"/>
              </a:solidFill>
              <a:effectLst/>
              <a:latin typeface="+mn-lt"/>
              <a:ea typeface="+mn-ea"/>
              <a:cs typeface="+mn-cs"/>
            </a:rPr>
            <a:t> elaboração do Balanço Patrimonial. </a:t>
          </a:r>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9</xdr:row>
      <xdr:rowOff>64562</xdr:rowOff>
    </xdr:from>
    <xdr:to>
      <xdr:col>0</xdr:col>
      <xdr:colOff>1717675</xdr:colOff>
      <xdr:row>9</xdr:row>
      <xdr:rowOff>64562</xdr:rowOff>
    </xdr:to>
    <xdr:cxnSp macro="">
      <xdr:nvCxnSpPr>
        <xdr:cNvPr id="6" name="Conector reto 5"/>
        <xdr:cNvCxnSpPr/>
      </xdr:nvCxnSpPr>
      <xdr:spPr>
        <a:xfrm>
          <a:off x="152400" y="3303062"/>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191558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1. Balanço Patrimônial</a:t>
          </a:r>
        </a:p>
      </xdr:txBody>
    </xdr:sp>
    <xdr:clientData/>
  </xdr:twoCellAnchor>
  <xdr:twoCellAnchor editAs="absolute">
    <xdr:from>
      <xdr:col>0</xdr:col>
      <xdr:colOff>12700</xdr:colOff>
      <xdr:row>5</xdr:row>
      <xdr:rowOff>255058</xdr:rowOff>
    </xdr:from>
    <xdr:to>
      <xdr:col>1</xdr:col>
      <xdr:colOff>12700</xdr:colOff>
      <xdr:row>6</xdr:row>
      <xdr:rowOff>128058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DRE</a:t>
          </a:r>
        </a:p>
      </xdr:txBody>
    </xdr:sp>
    <xdr:clientData/>
  </xdr:twoCellAnchor>
  <xdr:twoCellAnchor editAs="absolute">
    <xdr:from>
      <xdr:col>0</xdr:col>
      <xdr:colOff>12700</xdr:colOff>
      <xdr:row>6</xdr:row>
      <xdr:rowOff>191562</xdr:rowOff>
    </xdr:from>
    <xdr:to>
      <xdr:col>1</xdr:col>
      <xdr:colOff>12700</xdr:colOff>
      <xdr:row>7</xdr:row>
      <xdr:rowOff>64562</xdr:rowOff>
    </xdr:to>
    <xdr:sp macro="" textlink="">
      <xdr:nvSpPr>
        <xdr:cNvPr id="11" name="Retângulo 10">
          <a:hlinkClick xmlns:r="http://schemas.openxmlformats.org/officeDocument/2006/relationships" r:id="rId4"/>
        </xdr:cNvPr>
        <xdr:cNvSpPr/>
      </xdr:nvSpPr>
      <xdr:spPr>
        <a:xfrm>
          <a:off x="12700" y="22870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7</xdr:row>
      <xdr:rowOff>128062</xdr:rowOff>
    </xdr:from>
    <xdr:to>
      <xdr:col>1</xdr:col>
      <xdr:colOff>12700</xdr:colOff>
      <xdr:row>8</xdr:row>
      <xdr:rowOff>1062</xdr:rowOff>
    </xdr:to>
    <xdr:sp macro="" textlink="">
      <xdr:nvSpPr>
        <xdr:cNvPr id="12" name="Retângulo 11">
          <a:hlinkClick xmlns:r="http://schemas.openxmlformats.org/officeDocument/2006/relationships" r:id="rId5"/>
        </xdr:cNvPr>
        <xdr:cNvSpPr/>
      </xdr:nvSpPr>
      <xdr:spPr>
        <a:xfrm>
          <a:off x="12700" y="26045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Alertas e Dicas</a:t>
          </a:r>
        </a:p>
      </xdr:txBody>
    </xdr:sp>
    <xdr:clientData/>
  </xdr:twoCellAnchor>
  <xdr:twoCellAnchor editAs="absolute">
    <xdr:from>
      <xdr:col>0</xdr:col>
      <xdr:colOff>12700</xdr:colOff>
      <xdr:row>8</xdr:row>
      <xdr:rowOff>64562</xdr:rowOff>
    </xdr:from>
    <xdr:to>
      <xdr:col>1</xdr:col>
      <xdr:colOff>12700</xdr:colOff>
      <xdr:row>8</xdr:row>
      <xdr:rowOff>318562</xdr:rowOff>
    </xdr:to>
    <xdr:sp macro="" textlink="">
      <xdr:nvSpPr>
        <xdr:cNvPr id="13" name="Retângulo 12">
          <a:hlinkClick xmlns:r="http://schemas.openxmlformats.org/officeDocument/2006/relationships" r:id="rId6"/>
        </xdr:cNvPr>
        <xdr:cNvSpPr/>
      </xdr:nvSpPr>
      <xdr:spPr>
        <a:xfrm>
          <a:off x="12700" y="29220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Relatórios de Impressão</a:t>
          </a:r>
        </a:p>
      </xdr:txBody>
    </xdr:sp>
    <xdr:clientData/>
  </xdr:twoCellAnchor>
  <xdr:twoCellAnchor editAs="absolute">
    <xdr:from>
      <xdr:col>0</xdr:col>
      <xdr:colOff>12700</xdr:colOff>
      <xdr:row>9</xdr:row>
      <xdr:rowOff>191562</xdr:rowOff>
    </xdr:from>
    <xdr:to>
      <xdr:col>1</xdr:col>
      <xdr:colOff>12700</xdr:colOff>
      <xdr:row>10</xdr:row>
      <xdr:rowOff>64562</xdr:rowOff>
    </xdr:to>
    <xdr:sp macro="" textlink="">
      <xdr:nvSpPr>
        <xdr:cNvPr id="14" name="Retângulo 13">
          <a:hlinkClick xmlns:r="http://schemas.openxmlformats.org/officeDocument/2006/relationships" r:id="rId7"/>
        </xdr:cNvPr>
        <xdr:cNvSpPr/>
      </xdr:nvSpPr>
      <xdr:spPr>
        <a:xfrm>
          <a:off x="12700" y="34300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10</xdr:row>
      <xdr:rowOff>128062</xdr:rowOff>
    </xdr:from>
    <xdr:to>
      <xdr:col>1</xdr:col>
      <xdr:colOff>12700</xdr:colOff>
      <xdr:row>11</xdr:row>
      <xdr:rowOff>1062</xdr:rowOff>
    </xdr:to>
    <xdr:sp macro="" textlink="">
      <xdr:nvSpPr>
        <xdr:cNvPr id="15" name="Retângulo 14">
          <a:hlinkClick xmlns:r="http://schemas.openxmlformats.org/officeDocument/2006/relationships" r:id="rId8"/>
        </xdr:cNvPr>
        <xdr:cNvSpPr/>
      </xdr:nvSpPr>
      <xdr:spPr>
        <a:xfrm>
          <a:off x="12700" y="37475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11</xdr:row>
      <xdr:rowOff>64562</xdr:rowOff>
    </xdr:from>
    <xdr:to>
      <xdr:col>1</xdr:col>
      <xdr:colOff>12700</xdr:colOff>
      <xdr:row>11</xdr:row>
      <xdr:rowOff>318562</xdr:rowOff>
    </xdr:to>
    <xdr:sp macro="" textlink="">
      <xdr:nvSpPr>
        <xdr:cNvPr id="16" name="Retângulo 15">
          <a:hlinkClick xmlns:r="http://schemas.openxmlformats.org/officeDocument/2006/relationships" r:id="rId9"/>
        </xdr:cNvPr>
        <xdr:cNvSpPr/>
      </xdr:nvSpPr>
      <xdr:spPr>
        <a:xfrm>
          <a:off x="12700" y="40650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VALOR</a:t>
          </a:r>
        </a:p>
      </xdr:txBody>
    </xdr:sp>
    <xdr:clientData/>
  </xdr:twoCellAnchor>
  <xdr:twoCellAnchor>
    <xdr:from>
      <xdr:col>2</xdr:col>
      <xdr:colOff>0</xdr:colOff>
      <xdr:row>1</xdr:row>
      <xdr:rowOff>222251</xdr:rowOff>
    </xdr:from>
    <xdr:to>
      <xdr:col>3</xdr:col>
      <xdr:colOff>857250</xdr:colOff>
      <xdr:row>3</xdr:row>
      <xdr:rowOff>1</xdr:rowOff>
    </xdr:to>
    <xdr:sp macro="" textlink="">
      <xdr:nvSpPr>
        <xdr:cNvPr id="21" name="Retângulo 20">
          <a:hlinkClick xmlns:r="http://schemas.openxmlformats.org/officeDocument/2006/relationships" r:id="rId10"/>
        </xdr:cNvPr>
        <xdr:cNvSpPr/>
      </xdr:nvSpPr>
      <xdr:spPr>
        <a:xfrm>
          <a:off x="2465917" y="656168"/>
          <a:ext cx="1471083" cy="306916"/>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Ativo Circulante</a:t>
          </a:r>
        </a:p>
      </xdr:txBody>
    </xdr:sp>
    <xdr:clientData/>
  </xdr:twoCellAnchor>
  <xdr:twoCellAnchor>
    <xdr:from>
      <xdr:col>3</xdr:col>
      <xdr:colOff>899588</xdr:colOff>
      <xdr:row>1</xdr:row>
      <xdr:rowOff>222251</xdr:rowOff>
    </xdr:from>
    <xdr:to>
      <xdr:col>3</xdr:col>
      <xdr:colOff>2370671</xdr:colOff>
      <xdr:row>3</xdr:row>
      <xdr:rowOff>1</xdr:rowOff>
    </xdr:to>
    <xdr:sp macro="" textlink="">
      <xdr:nvSpPr>
        <xdr:cNvPr id="22" name="Retângulo 21">
          <a:hlinkClick xmlns:r="http://schemas.openxmlformats.org/officeDocument/2006/relationships" r:id="rId11"/>
        </xdr:cNvPr>
        <xdr:cNvSpPr/>
      </xdr:nvSpPr>
      <xdr:spPr>
        <a:xfrm>
          <a:off x="3545421"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Ativo Não Circulante</a:t>
          </a:r>
        </a:p>
      </xdr:txBody>
    </xdr:sp>
    <xdr:clientData/>
  </xdr:twoCellAnchor>
  <xdr:twoCellAnchor>
    <xdr:from>
      <xdr:col>3</xdr:col>
      <xdr:colOff>2412994</xdr:colOff>
      <xdr:row>1</xdr:row>
      <xdr:rowOff>222251</xdr:rowOff>
    </xdr:from>
    <xdr:to>
      <xdr:col>4</xdr:col>
      <xdr:colOff>497410</xdr:colOff>
      <xdr:row>3</xdr:row>
      <xdr:rowOff>1</xdr:rowOff>
    </xdr:to>
    <xdr:sp macro="" textlink="">
      <xdr:nvSpPr>
        <xdr:cNvPr id="23" name="Retângulo 22">
          <a:hlinkClick xmlns:r="http://schemas.openxmlformats.org/officeDocument/2006/relationships" r:id="rId12"/>
        </xdr:cNvPr>
        <xdr:cNvSpPr/>
      </xdr:nvSpPr>
      <xdr:spPr>
        <a:xfrm>
          <a:off x="5058827"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Passivo Circulante</a:t>
          </a:r>
        </a:p>
      </xdr:txBody>
    </xdr:sp>
    <xdr:clientData/>
  </xdr:twoCellAnchor>
  <xdr:twoCellAnchor>
    <xdr:from>
      <xdr:col>4</xdr:col>
      <xdr:colOff>539753</xdr:colOff>
      <xdr:row>1</xdr:row>
      <xdr:rowOff>222251</xdr:rowOff>
    </xdr:from>
    <xdr:to>
      <xdr:col>5</xdr:col>
      <xdr:colOff>963086</xdr:colOff>
      <xdr:row>3</xdr:row>
      <xdr:rowOff>1</xdr:rowOff>
    </xdr:to>
    <xdr:sp macro="" textlink="">
      <xdr:nvSpPr>
        <xdr:cNvPr id="24" name="Retângulo 23">
          <a:hlinkClick xmlns:r="http://schemas.openxmlformats.org/officeDocument/2006/relationships" r:id="rId13"/>
        </xdr:cNvPr>
        <xdr:cNvSpPr/>
      </xdr:nvSpPr>
      <xdr:spPr>
        <a:xfrm>
          <a:off x="6572253"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 Passivo Não Circulante</a:t>
          </a:r>
        </a:p>
      </xdr:txBody>
    </xdr:sp>
    <xdr:clientData/>
  </xdr:twoCellAnchor>
  <xdr:twoCellAnchor>
    <xdr:from>
      <xdr:col>5</xdr:col>
      <xdr:colOff>1005418</xdr:colOff>
      <xdr:row>1</xdr:row>
      <xdr:rowOff>222251</xdr:rowOff>
    </xdr:from>
    <xdr:to>
      <xdr:col>8</xdr:col>
      <xdr:colOff>285751</xdr:colOff>
      <xdr:row>3</xdr:row>
      <xdr:rowOff>1</xdr:rowOff>
    </xdr:to>
    <xdr:sp macro="" textlink="">
      <xdr:nvSpPr>
        <xdr:cNvPr id="20" name="Retângulo 19">
          <a:hlinkClick xmlns:r="http://schemas.openxmlformats.org/officeDocument/2006/relationships" r:id="rId14"/>
        </xdr:cNvPr>
        <xdr:cNvSpPr/>
      </xdr:nvSpPr>
      <xdr:spPr>
        <a:xfrm>
          <a:off x="8085668"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 Balanço Patrimônial</a:t>
          </a:r>
        </a:p>
      </xdr:txBody>
    </xdr:sp>
    <xdr:clientData/>
  </xdr:twoCellAnchor>
  <xdr:twoCellAnchor editAs="oneCell">
    <xdr:from>
      <xdr:col>0</xdr:col>
      <xdr:colOff>338666</xdr:colOff>
      <xdr:row>0</xdr:row>
      <xdr:rowOff>42333</xdr:rowOff>
    </xdr:from>
    <xdr:to>
      <xdr:col>0</xdr:col>
      <xdr:colOff>1428749</xdr:colOff>
      <xdr:row>2</xdr:row>
      <xdr:rowOff>158502</xdr:rowOff>
    </xdr:to>
    <xdr:pic>
      <xdr:nvPicPr>
        <xdr:cNvPr id="25" name="Imagem 24"/>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xmlns="" val="0"/>
            </a:ext>
          </a:extLst>
        </a:blip>
        <a:stretch>
          <a:fillRect/>
        </a:stretch>
      </xdr:blipFill>
      <xdr:spPr>
        <a:xfrm>
          <a:off x="338666" y="42333"/>
          <a:ext cx="1090083" cy="8146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2922058</xdr:colOff>
      <xdr:row>0</xdr:row>
      <xdr:rowOff>48686</xdr:rowOff>
    </xdr:from>
    <xdr:to>
      <xdr:col>10</xdr:col>
      <xdr:colOff>574612</xdr:colOff>
      <xdr:row>1</xdr:row>
      <xdr:rowOff>227517</xdr:rowOff>
    </xdr:to>
    <xdr:sp macro="" textlink="">
      <xdr:nvSpPr>
        <xdr:cNvPr id="2" name="CaixaDeTexto 1"/>
        <xdr:cNvSpPr txBox="1"/>
      </xdr:nvSpPr>
      <xdr:spPr>
        <a:xfrm>
          <a:off x="5567891" y="48686"/>
          <a:ext cx="7378638" cy="6127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b="0" i="0">
              <a:solidFill>
                <a:schemeClr val="tx1"/>
              </a:solidFill>
              <a:effectLst/>
              <a:latin typeface="+mn-lt"/>
              <a:ea typeface="+mn-ea"/>
              <a:cs typeface="+mn-cs"/>
            </a:rPr>
            <a:t>Balanço Patrimonial é a demonstração contábil destinada a evidenciar a posição patrimonial e financeira da Entidade. </a:t>
          </a:r>
          <a:r>
            <a:rPr lang="pt-BR" sz="1100">
              <a:solidFill>
                <a:schemeClr val="tx1"/>
              </a:solidFill>
              <a:effectLst/>
              <a:latin typeface="+mn-lt"/>
              <a:ea typeface="+mn-ea"/>
              <a:cs typeface="+mn-cs"/>
            </a:rPr>
            <a:t>Preencha as contas do Ativo Não</a:t>
          </a:r>
          <a:r>
            <a:rPr lang="pt-BR" sz="1100" baseline="0">
              <a:solidFill>
                <a:schemeClr val="tx1"/>
              </a:solidFill>
              <a:effectLst/>
              <a:latin typeface="+mn-lt"/>
              <a:ea typeface="+mn-ea"/>
              <a:cs typeface="+mn-cs"/>
            </a:rPr>
            <a:t> Circulante com seus repectivos valores para a</a:t>
          </a:r>
          <a:r>
            <a:rPr lang="pt-BR" sz="1100" b="0" i="0">
              <a:solidFill>
                <a:schemeClr val="tx1"/>
              </a:solidFill>
              <a:effectLst/>
              <a:latin typeface="+mn-lt"/>
              <a:ea typeface="+mn-ea"/>
              <a:cs typeface="+mn-cs"/>
            </a:rPr>
            <a:t> elaboração do Balanço Patrimonial. </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9</xdr:row>
      <xdr:rowOff>64561</xdr:rowOff>
    </xdr:from>
    <xdr:to>
      <xdr:col>0</xdr:col>
      <xdr:colOff>1717675</xdr:colOff>
      <xdr:row>9</xdr:row>
      <xdr:rowOff>64561</xdr:rowOff>
    </xdr:to>
    <xdr:cxnSp macro="">
      <xdr:nvCxnSpPr>
        <xdr:cNvPr id="6" name="Conector reto 5"/>
        <xdr:cNvCxnSpPr/>
      </xdr:nvCxnSpPr>
      <xdr:spPr>
        <a:xfrm>
          <a:off x="152400" y="3303061"/>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191558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1. Balanço Patrimônial</a:t>
          </a:r>
        </a:p>
      </xdr:txBody>
    </xdr:sp>
    <xdr:clientData/>
  </xdr:twoCellAnchor>
  <xdr:twoCellAnchor editAs="absolute">
    <xdr:from>
      <xdr:col>0</xdr:col>
      <xdr:colOff>12700</xdr:colOff>
      <xdr:row>5</xdr:row>
      <xdr:rowOff>255058</xdr:rowOff>
    </xdr:from>
    <xdr:to>
      <xdr:col>1</xdr:col>
      <xdr:colOff>12700</xdr:colOff>
      <xdr:row>6</xdr:row>
      <xdr:rowOff>128058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DRE</a:t>
          </a:r>
        </a:p>
      </xdr:txBody>
    </xdr:sp>
    <xdr:clientData/>
  </xdr:twoCellAnchor>
  <xdr:twoCellAnchor editAs="absolute">
    <xdr:from>
      <xdr:col>0</xdr:col>
      <xdr:colOff>12700</xdr:colOff>
      <xdr:row>6</xdr:row>
      <xdr:rowOff>191561</xdr:rowOff>
    </xdr:from>
    <xdr:to>
      <xdr:col>1</xdr:col>
      <xdr:colOff>12700</xdr:colOff>
      <xdr:row>7</xdr:row>
      <xdr:rowOff>64561</xdr:rowOff>
    </xdr:to>
    <xdr:sp macro="" textlink="">
      <xdr:nvSpPr>
        <xdr:cNvPr id="11" name="Retângulo 10">
          <a:hlinkClick xmlns:r="http://schemas.openxmlformats.org/officeDocument/2006/relationships" r:id="rId4"/>
        </xdr:cNvPr>
        <xdr:cNvSpPr/>
      </xdr:nvSpPr>
      <xdr:spPr>
        <a:xfrm>
          <a:off x="12700" y="2287061"/>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7</xdr:row>
      <xdr:rowOff>128061</xdr:rowOff>
    </xdr:from>
    <xdr:to>
      <xdr:col>1</xdr:col>
      <xdr:colOff>12700</xdr:colOff>
      <xdr:row>8</xdr:row>
      <xdr:rowOff>1061</xdr:rowOff>
    </xdr:to>
    <xdr:sp macro="" textlink="">
      <xdr:nvSpPr>
        <xdr:cNvPr id="12" name="Retângulo 11">
          <a:hlinkClick xmlns:r="http://schemas.openxmlformats.org/officeDocument/2006/relationships" r:id="rId5"/>
        </xdr:cNvPr>
        <xdr:cNvSpPr/>
      </xdr:nvSpPr>
      <xdr:spPr>
        <a:xfrm>
          <a:off x="12700" y="2604561"/>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Alertas e Dicas</a:t>
          </a:r>
        </a:p>
      </xdr:txBody>
    </xdr:sp>
    <xdr:clientData/>
  </xdr:twoCellAnchor>
  <xdr:twoCellAnchor editAs="absolute">
    <xdr:from>
      <xdr:col>0</xdr:col>
      <xdr:colOff>12700</xdr:colOff>
      <xdr:row>8</xdr:row>
      <xdr:rowOff>64561</xdr:rowOff>
    </xdr:from>
    <xdr:to>
      <xdr:col>1</xdr:col>
      <xdr:colOff>12700</xdr:colOff>
      <xdr:row>8</xdr:row>
      <xdr:rowOff>318561</xdr:rowOff>
    </xdr:to>
    <xdr:sp macro="" textlink="">
      <xdr:nvSpPr>
        <xdr:cNvPr id="13" name="Retângulo 12">
          <a:hlinkClick xmlns:r="http://schemas.openxmlformats.org/officeDocument/2006/relationships" r:id="rId6"/>
        </xdr:cNvPr>
        <xdr:cNvSpPr/>
      </xdr:nvSpPr>
      <xdr:spPr>
        <a:xfrm>
          <a:off x="12700" y="2922061"/>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Relatórios de Impressão</a:t>
          </a:r>
        </a:p>
      </xdr:txBody>
    </xdr:sp>
    <xdr:clientData/>
  </xdr:twoCellAnchor>
  <xdr:twoCellAnchor editAs="absolute">
    <xdr:from>
      <xdr:col>0</xdr:col>
      <xdr:colOff>12700</xdr:colOff>
      <xdr:row>9</xdr:row>
      <xdr:rowOff>191561</xdr:rowOff>
    </xdr:from>
    <xdr:to>
      <xdr:col>1</xdr:col>
      <xdr:colOff>12700</xdr:colOff>
      <xdr:row>10</xdr:row>
      <xdr:rowOff>64561</xdr:rowOff>
    </xdr:to>
    <xdr:sp macro="" textlink="">
      <xdr:nvSpPr>
        <xdr:cNvPr id="14" name="Retângulo 13">
          <a:hlinkClick xmlns:r="http://schemas.openxmlformats.org/officeDocument/2006/relationships" r:id="rId7"/>
        </xdr:cNvPr>
        <xdr:cNvSpPr/>
      </xdr:nvSpPr>
      <xdr:spPr>
        <a:xfrm>
          <a:off x="12700" y="3430061"/>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10</xdr:row>
      <xdr:rowOff>128061</xdr:rowOff>
    </xdr:from>
    <xdr:to>
      <xdr:col>1</xdr:col>
      <xdr:colOff>12700</xdr:colOff>
      <xdr:row>11</xdr:row>
      <xdr:rowOff>1061</xdr:rowOff>
    </xdr:to>
    <xdr:sp macro="" textlink="">
      <xdr:nvSpPr>
        <xdr:cNvPr id="15" name="Retângulo 14">
          <a:hlinkClick xmlns:r="http://schemas.openxmlformats.org/officeDocument/2006/relationships" r:id="rId8"/>
        </xdr:cNvPr>
        <xdr:cNvSpPr/>
      </xdr:nvSpPr>
      <xdr:spPr>
        <a:xfrm>
          <a:off x="12700" y="3747561"/>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11</xdr:row>
      <xdr:rowOff>64561</xdr:rowOff>
    </xdr:from>
    <xdr:to>
      <xdr:col>1</xdr:col>
      <xdr:colOff>12700</xdr:colOff>
      <xdr:row>11</xdr:row>
      <xdr:rowOff>318561</xdr:rowOff>
    </xdr:to>
    <xdr:sp macro="" textlink="">
      <xdr:nvSpPr>
        <xdr:cNvPr id="16" name="Retângulo 15">
          <a:hlinkClick xmlns:r="http://schemas.openxmlformats.org/officeDocument/2006/relationships" r:id="rId9"/>
        </xdr:cNvPr>
        <xdr:cNvSpPr/>
      </xdr:nvSpPr>
      <xdr:spPr>
        <a:xfrm>
          <a:off x="12700" y="4065061"/>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VALOR</a:t>
          </a:r>
        </a:p>
      </xdr:txBody>
    </xdr:sp>
    <xdr:clientData/>
  </xdr:twoCellAnchor>
  <xdr:twoCellAnchor>
    <xdr:from>
      <xdr:col>2</xdr:col>
      <xdr:colOff>0</xdr:colOff>
      <xdr:row>1</xdr:row>
      <xdr:rowOff>222251</xdr:rowOff>
    </xdr:from>
    <xdr:to>
      <xdr:col>3</xdr:col>
      <xdr:colOff>857250</xdr:colOff>
      <xdr:row>3</xdr:row>
      <xdr:rowOff>1</xdr:rowOff>
    </xdr:to>
    <xdr:sp macro="" textlink="">
      <xdr:nvSpPr>
        <xdr:cNvPr id="25" name="Retângulo 24">
          <a:hlinkClick xmlns:r="http://schemas.openxmlformats.org/officeDocument/2006/relationships" r:id="rId10"/>
        </xdr:cNvPr>
        <xdr:cNvSpPr/>
      </xdr:nvSpPr>
      <xdr:spPr>
        <a:xfrm>
          <a:off x="2465917"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Ativo Circulante</a:t>
          </a:r>
        </a:p>
      </xdr:txBody>
    </xdr:sp>
    <xdr:clientData/>
  </xdr:twoCellAnchor>
  <xdr:twoCellAnchor>
    <xdr:from>
      <xdr:col>3</xdr:col>
      <xdr:colOff>899590</xdr:colOff>
      <xdr:row>1</xdr:row>
      <xdr:rowOff>222251</xdr:rowOff>
    </xdr:from>
    <xdr:to>
      <xdr:col>3</xdr:col>
      <xdr:colOff>2370673</xdr:colOff>
      <xdr:row>3</xdr:row>
      <xdr:rowOff>1</xdr:rowOff>
    </xdr:to>
    <xdr:sp macro="" textlink="">
      <xdr:nvSpPr>
        <xdr:cNvPr id="26" name="Retângulo 25">
          <a:hlinkClick xmlns:r="http://schemas.openxmlformats.org/officeDocument/2006/relationships" r:id="rId11"/>
        </xdr:cNvPr>
        <xdr:cNvSpPr/>
      </xdr:nvSpPr>
      <xdr:spPr>
        <a:xfrm>
          <a:off x="3545423" y="656168"/>
          <a:ext cx="1471083" cy="306916"/>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Ativo Não Circulante</a:t>
          </a:r>
        </a:p>
      </xdr:txBody>
    </xdr:sp>
    <xdr:clientData/>
  </xdr:twoCellAnchor>
  <xdr:twoCellAnchor>
    <xdr:from>
      <xdr:col>3</xdr:col>
      <xdr:colOff>2412993</xdr:colOff>
      <xdr:row>1</xdr:row>
      <xdr:rowOff>222251</xdr:rowOff>
    </xdr:from>
    <xdr:to>
      <xdr:col>4</xdr:col>
      <xdr:colOff>497409</xdr:colOff>
      <xdr:row>3</xdr:row>
      <xdr:rowOff>1</xdr:rowOff>
    </xdr:to>
    <xdr:sp macro="" textlink="">
      <xdr:nvSpPr>
        <xdr:cNvPr id="27" name="Retângulo 26">
          <a:hlinkClick xmlns:r="http://schemas.openxmlformats.org/officeDocument/2006/relationships" r:id="rId12"/>
        </xdr:cNvPr>
        <xdr:cNvSpPr/>
      </xdr:nvSpPr>
      <xdr:spPr>
        <a:xfrm>
          <a:off x="5058826"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Passivo Circulante</a:t>
          </a:r>
        </a:p>
      </xdr:txBody>
    </xdr:sp>
    <xdr:clientData/>
  </xdr:twoCellAnchor>
  <xdr:twoCellAnchor>
    <xdr:from>
      <xdr:col>4</xdr:col>
      <xdr:colOff>539754</xdr:colOff>
      <xdr:row>1</xdr:row>
      <xdr:rowOff>222251</xdr:rowOff>
    </xdr:from>
    <xdr:to>
      <xdr:col>5</xdr:col>
      <xdr:colOff>963088</xdr:colOff>
      <xdr:row>3</xdr:row>
      <xdr:rowOff>1</xdr:rowOff>
    </xdr:to>
    <xdr:sp macro="" textlink="">
      <xdr:nvSpPr>
        <xdr:cNvPr id="28" name="Retângulo 27">
          <a:hlinkClick xmlns:r="http://schemas.openxmlformats.org/officeDocument/2006/relationships" r:id="rId13"/>
        </xdr:cNvPr>
        <xdr:cNvSpPr/>
      </xdr:nvSpPr>
      <xdr:spPr>
        <a:xfrm>
          <a:off x="6572254" y="656168"/>
          <a:ext cx="1471084"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 Passivo Não Circulante</a:t>
          </a:r>
        </a:p>
      </xdr:txBody>
    </xdr:sp>
    <xdr:clientData/>
  </xdr:twoCellAnchor>
  <xdr:twoCellAnchor>
    <xdr:from>
      <xdr:col>5</xdr:col>
      <xdr:colOff>1005418</xdr:colOff>
      <xdr:row>1</xdr:row>
      <xdr:rowOff>222251</xdr:rowOff>
    </xdr:from>
    <xdr:to>
      <xdr:col>8</xdr:col>
      <xdr:colOff>285751</xdr:colOff>
      <xdr:row>3</xdr:row>
      <xdr:rowOff>1</xdr:rowOff>
    </xdr:to>
    <xdr:sp macro="" textlink="">
      <xdr:nvSpPr>
        <xdr:cNvPr id="21" name="Retângulo 20">
          <a:hlinkClick xmlns:r="http://schemas.openxmlformats.org/officeDocument/2006/relationships" r:id="rId14"/>
        </xdr:cNvPr>
        <xdr:cNvSpPr/>
      </xdr:nvSpPr>
      <xdr:spPr>
        <a:xfrm>
          <a:off x="8085668"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 Balanço Patrimônial</a:t>
          </a:r>
        </a:p>
      </xdr:txBody>
    </xdr:sp>
    <xdr:clientData/>
  </xdr:twoCellAnchor>
  <xdr:twoCellAnchor editAs="oneCell">
    <xdr:from>
      <xdr:col>0</xdr:col>
      <xdr:colOff>402166</xdr:colOff>
      <xdr:row>0</xdr:row>
      <xdr:rowOff>52917</xdr:rowOff>
    </xdr:from>
    <xdr:to>
      <xdr:col>0</xdr:col>
      <xdr:colOff>1492249</xdr:colOff>
      <xdr:row>2</xdr:row>
      <xdr:rowOff>169086</xdr:rowOff>
    </xdr:to>
    <xdr:pic>
      <xdr:nvPicPr>
        <xdr:cNvPr id="30" name="Imagem 29"/>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xmlns="" val="0"/>
            </a:ext>
          </a:extLst>
        </a:blip>
        <a:stretch>
          <a:fillRect/>
        </a:stretch>
      </xdr:blipFill>
      <xdr:spPr>
        <a:xfrm>
          <a:off x="402166" y="52917"/>
          <a:ext cx="1090083" cy="8146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3</xdr:col>
      <xdr:colOff>2922058</xdr:colOff>
      <xdr:row>0</xdr:row>
      <xdr:rowOff>48686</xdr:rowOff>
    </xdr:from>
    <xdr:to>
      <xdr:col>10</xdr:col>
      <xdr:colOff>275166</xdr:colOff>
      <xdr:row>1</xdr:row>
      <xdr:rowOff>223782</xdr:rowOff>
    </xdr:to>
    <xdr:sp macro="" textlink="">
      <xdr:nvSpPr>
        <xdr:cNvPr id="2" name="CaixaDeTexto 1"/>
        <xdr:cNvSpPr txBox="1"/>
      </xdr:nvSpPr>
      <xdr:spPr>
        <a:xfrm>
          <a:off x="5567891" y="48686"/>
          <a:ext cx="7079192"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b="0" i="0">
              <a:solidFill>
                <a:schemeClr val="tx1"/>
              </a:solidFill>
              <a:effectLst/>
              <a:latin typeface="+mn-lt"/>
              <a:ea typeface="+mn-ea"/>
              <a:cs typeface="+mn-cs"/>
            </a:rPr>
            <a:t>Balanço Patrimonial é a demonstração contábil destinada a evidenciar a posição patrimonial e financeira da Entidade. </a:t>
          </a:r>
          <a:r>
            <a:rPr lang="pt-BR" sz="1100">
              <a:solidFill>
                <a:schemeClr val="tx1"/>
              </a:solidFill>
              <a:effectLst/>
              <a:latin typeface="+mn-lt"/>
              <a:ea typeface="+mn-ea"/>
              <a:cs typeface="+mn-cs"/>
            </a:rPr>
            <a:t>Preencha as contas do Passivo </a:t>
          </a:r>
          <a:r>
            <a:rPr lang="pt-BR" sz="1100" baseline="0">
              <a:solidFill>
                <a:schemeClr val="tx1"/>
              </a:solidFill>
              <a:effectLst/>
              <a:latin typeface="+mn-lt"/>
              <a:ea typeface="+mn-ea"/>
              <a:cs typeface="+mn-cs"/>
            </a:rPr>
            <a:t>Circulante com seus repectivos valores para a</a:t>
          </a:r>
          <a:r>
            <a:rPr lang="pt-BR" sz="1100" b="0" i="0">
              <a:solidFill>
                <a:schemeClr val="tx1"/>
              </a:solidFill>
              <a:effectLst/>
              <a:latin typeface="+mn-lt"/>
              <a:ea typeface="+mn-ea"/>
              <a:cs typeface="+mn-cs"/>
            </a:rPr>
            <a:t> elaboração do Balanço Patrimonial. </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9</xdr:row>
      <xdr:rowOff>64559</xdr:rowOff>
    </xdr:from>
    <xdr:to>
      <xdr:col>0</xdr:col>
      <xdr:colOff>1717675</xdr:colOff>
      <xdr:row>9</xdr:row>
      <xdr:rowOff>64559</xdr:rowOff>
    </xdr:to>
    <xdr:cxnSp macro="">
      <xdr:nvCxnSpPr>
        <xdr:cNvPr id="6" name="Conector reto 5"/>
        <xdr:cNvCxnSpPr/>
      </xdr:nvCxnSpPr>
      <xdr:spPr>
        <a:xfrm>
          <a:off x="152400" y="3303059"/>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191558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1. Balanço Patrimônial</a:t>
          </a:r>
        </a:p>
      </xdr:txBody>
    </xdr:sp>
    <xdr:clientData/>
  </xdr:twoCellAnchor>
  <xdr:twoCellAnchor editAs="absolute">
    <xdr:from>
      <xdr:col>0</xdr:col>
      <xdr:colOff>12700</xdr:colOff>
      <xdr:row>5</xdr:row>
      <xdr:rowOff>255058</xdr:rowOff>
    </xdr:from>
    <xdr:to>
      <xdr:col>1</xdr:col>
      <xdr:colOff>12700</xdr:colOff>
      <xdr:row>6</xdr:row>
      <xdr:rowOff>128058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DRE</a:t>
          </a:r>
        </a:p>
      </xdr:txBody>
    </xdr:sp>
    <xdr:clientData/>
  </xdr:twoCellAnchor>
  <xdr:twoCellAnchor editAs="absolute">
    <xdr:from>
      <xdr:col>0</xdr:col>
      <xdr:colOff>12700</xdr:colOff>
      <xdr:row>6</xdr:row>
      <xdr:rowOff>191559</xdr:rowOff>
    </xdr:from>
    <xdr:to>
      <xdr:col>1</xdr:col>
      <xdr:colOff>12700</xdr:colOff>
      <xdr:row>7</xdr:row>
      <xdr:rowOff>64559</xdr:rowOff>
    </xdr:to>
    <xdr:sp macro="" textlink="">
      <xdr:nvSpPr>
        <xdr:cNvPr id="11" name="Retângulo 10">
          <a:hlinkClick xmlns:r="http://schemas.openxmlformats.org/officeDocument/2006/relationships" r:id="rId4"/>
        </xdr:cNvPr>
        <xdr:cNvSpPr/>
      </xdr:nvSpPr>
      <xdr:spPr>
        <a:xfrm>
          <a:off x="12700" y="22870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7</xdr:row>
      <xdr:rowOff>128059</xdr:rowOff>
    </xdr:from>
    <xdr:to>
      <xdr:col>1</xdr:col>
      <xdr:colOff>12700</xdr:colOff>
      <xdr:row>8</xdr:row>
      <xdr:rowOff>1059</xdr:rowOff>
    </xdr:to>
    <xdr:sp macro="" textlink="">
      <xdr:nvSpPr>
        <xdr:cNvPr id="12" name="Retângulo 11">
          <a:hlinkClick xmlns:r="http://schemas.openxmlformats.org/officeDocument/2006/relationships" r:id="rId5"/>
        </xdr:cNvPr>
        <xdr:cNvSpPr/>
      </xdr:nvSpPr>
      <xdr:spPr>
        <a:xfrm>
          <a:off x="12700" y="26045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Alertas e Dicas</a:t>
          </a:r>
        </a:p>
      </xdr:txBody>
    </xdr:sp>
    <xdr:clientData/>
  </xdr:twoCellAnchor>
  <xdr:twoCellAnchor editAs="absolute">
    <xdr:from>
      <xdr:col>0</xdr:col>
      <xdr:colOff>12700</xdr:colOff>
      <xdr:row>8</xdr:row>
      <xdr:rowOff>64559</xdr:rowOff>
    </xdr:from>
    <xdr:to>
      <xdr:col>1</xdr:col>
      <xdr:colOff>12700</xdr:colOff>
      <xdr:row>8</xdr:row>
      <xdr:rowOff>318559</xdr:rowOff>
    </xdr:to>
    <xdr:sp macro="" textlink="">
      <xdr:nvSpPr>
        <xdr:cNvPr id="13" name="Retângulo 12">
          <a:hlinkClick xmlns:r="http://schemas.openxmlformats.org/officeDocument/2006/relationships" r:id="rId6"/>
        </xdr:cNvPr>
        <xdr:cNvSpPr/>
      </xdr:nvSpPr>
      <xdr:spPr>
        <a:xfrm>
          <a:off x="12700" y="29220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Relatórios de Impressão</a:t>
          </a:r>
        </a:p>
      </xdr:txBody>
    </xdr:sp>
    <xdr:clientData/>
  </xdr:twoCellAnchor>
  <xdr:twoCellAnchor editAs="absolute">
    <xdr:from>
      <xdr:col>0</xdr:col>
      <xdr:colOff>12700</xdr:colOff>
      <xdr:row>9</xdr:row>
      <xdr:rowOff>191559</xdr:rowOff>
    </xdr:from>
    <xdr:to>
      <xdr:col>1</xdr:col>
      <xdr:colOff>12700</xdr:colOff>
      <xdr:row>10</xdr:row>
      <xdr:rowOff>64559</xdr:rowOff>
    </xdr:to>
    <xdr:sp macro="" textlink="">
      <xdr:nvSpPr>
        <xdr:cNvPr id="14" name="Retângulo 13">
          <a:hlinkClick xmlns:r="http://schemas.openxmlformats.org/officeDocument/2006/relationships" r:id="rId7"/>
        </xdr:cNvPr>
        <xdr:cNvSpPr/>
      </xdr:nvSpPr>
      <xdr:spPr>
        <a:xfrm>
          <a:off x="12700" y="34300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10</xdr:row>
      <xdr:rowOff>128059</xdr:rowOff>
    </xdr:from>
    <xdr:to>
      <xdr:col>1</xdr:col>
      <xdr:colOff>12700</xdr:colOff>
      <xdr:row>11</xdr:row>
      <xdr:rowOff>1059</xdr:rowOff>
    </xdr:to>
    <xdr:sp macro="" textlink="">
      <xdr:nvSpPr>
        <xdr:cNvPr id="15" name="Retângulo 14">
          <a:hlinkClick xmlns:r="http://schemas.openxmlformats.org/officeDocument/2006/relationships" r:id="rId8"/>
        </xdr:cNvPr>
        <xdr:cNvSpPr/>
      </xdr:nvSpPr>
      <xdr:spPr>
        <a:xfrm>
          <a:off x="12700" y="37475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11</xdr:row>
      <xdr:rowOff>64559</xdr:rowOff>
    </xdr:from>
    <xdr:to>
      <xdr:col>1</xdr:col>
      <xdr:colOff>12700</xdr:colOff>
      <xdr:row>11</xdr:row>
      <xdr:rowOff>318559</xdr:rowOff>
    </xdr:to>
    <xdr:sp macro="" textlink="">
      <xdr:nvSpPr>
        <xdr:cNvPr id="16" name="Retângulo 15">
          <a:hlinkClick xmlns:r="http://schemas.openxmlformats.org/officeDocument/2006/relationships" r:id="rId9"/>
        </xdr:cNvPr>
        <xdr:cNvSpPr/>
      </xdr:nvSpPr>
      <xdr:spPr>
        <a:xfrm>
          <a:off x="12700" y="40650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a:t>
          </a:r>
          <a:r>
            <a:rPr lang="pt-BR" sz="1100" baseline="0">
              <a:solidFill>
                <a:schemeClr val="bg1">
                  <a:lumMod val="100000"/>
                </a:schemeClr>
              </a:solidFill>
              <a:latin typeface="+mn-lt"/>
              <a:ea typeface="+mn-ea"/>
              <a:cs typeface="+mn-cs"/>
            </a:rPr>
            <a:t> VALOR</a:t>
          </a:r>
          <a:endParaRPr lang="pt-BR" sz="1100">
            <a:solidFill>
              <a:schemeClr val="bg1">
                <a:lumMod val="100000"/>
              </a:schemeClr>
            </a:solidFill>
            <a:latin typeface="+mn-lt"/>
            <a:ea typeface="+mn-ea"/>
            <a:cs typeface="+mn-cs"/>
          </a:endParaRPr>
        </a:p>
      </xdr:txBody>
    </xdr:sp>
    <xdr:clientData/>
  </xdr:twoCellAnchor>
  <xdr:twoCellAnchor>
    <xdr:from>
      <xdr:col>2</xdr:col>
      <xdr:colOff>0</xdr:colOff>
      <xdr:row>1</xdr:row>
      <xdr:rowOff>222251</xdr:rowOff>
    </xdr:from>
    <xdr:to>
      <xdr:col>3</xdr:col>
      <xdr:colOff>857250</xdr:colOff>
      <xdr:row>3</xdr:row>
      <xdr:rowOff>1</xdr:rowOff>
    </xdr:to>
    <xdr:sp macro="" textlink="">
      <xdr:nvSpPr>
        <xdr:cNvPr id="21" name="Retângulo 20">
          <a:hlinkClick xmlns:r="http://schemas.openxmlformats.org/officeDocument/2006/relationships" r:id="rId10"/>
        </xdr:cNvPr>
        <xdr:cNvSpPr/>
      </xdr:nvSpPr>
      <xdr:spPr>
        <a:xfrm>
          <a:off x="2465917"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Ativo Circulante</a:t>
          </a:r>
        </a:p>
      </xdr:txBody>
    </xdr:sp>
    <xdr:clientData/>
  </xdr:twoCellAnchor>
  <xdr:twoCellAnchor>
    <xdr:from>
      <xdr:col>3</xdr:col>
      <xdr:colOff>899590</xdr:colOff>
      <xdr:row>1</xdr:row>
      <xdr:rowOff>222251</xdr:rowOff>
    </xdr:from>
    <xdr:to>
      <xdr:col>3</xdr:col>
      <xdr:colOff>2370673</xdr:colOff>
      <xdr:row>3</xdr:row>
      <xdr:rowOff>1</xdr:rowOff>
    </xdr:to>
    <xdr:sp macro="" textlink="">
      <xdr:nvSpPr>
        <xdr:cNvPr id="22" name="Retângulo 21">
          <a:hlinkClick xmlns:r="http://schemas.openxmlformats.org/officeDocument/2006/relationships" r:id="rId11"/>
        </xdr:cNvPr>
        <xdr:cNvSpPr/>
      </xdr:nvSpPr>
      <xdr:spPr>
        <a:xfrm>
          <a:off x="3545423"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Ativo Não Circulante</a:t>
          </a:r>
        </a:p>
      </xdr:txBody>
    </xdr:sp>
    <xdr:clientData/>
  </xdr:twoCellAnchor>
  <xdr:twoCellAnchor>
    <xdr:from>
      <xdr:col>3</xdr:col>
      <xdr:colOff>2412993</xdr:colOff>
      <xdr:row>1</xdr:row>
      <xdr:rowOff>222251</xdr:rowOff>
    </xdr:from>
    <xdr:to>
      <xdr:col>4</xdr:col>
      <xdr:colOff>497409</xdr:colOff>
      <xdr:row>3</xdr:row>
      <xdr:rowOff>1</xdr:rowOff>
    </xdr:to>
    <xdr:sp macro="" textlink="">
      <xdr:nvSpPr>
        <xdr:cNvPr id="23" name="Retângulo 22">
          <a:hlinkClick xmlns:r="http://schemas.openxmlformats.org/officeDocument/2006/relationships" r:id="rId12"/>
        </xdr:cNvPr>
        <xdr:cNvSpPr/>
      </xdr:nvSpPr>
      <xdr:spPr>
        <a:xfrm>
          <a:off x="5058826" y="656168"/>
          <a:ext cx="1471083" cy="306916"/>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Passivo Circulante</a:t>
          </a:r>
        </a:p>
      </xdr:txBody>
    </xdr:sp>
    <xdr:clientData/>
  </xdr:twoCellAnchor>
  <xdr:twoCellAnchor>
    <xdr:from>
      <xdr:col>4</xdr:col>
      <xdr:colOff>539756</xdr:colOff>
      <xdr:row>1</xdr:row>
      <xdr:rowOff>222251</xdr:rowOff>
    </xdr:from>
    <xdr:to>
      <xdr:col>5</xdr:col>
      <xdr:colOff>963090</xdr:colOff>
      <xdr:row>3</xdr:row>
      <xdr:rowOff>1</xdr:rowOff>
    </xdr:to>
    <xdr:sp macro="" textlink="">
      <xdr:nvSpPr>
        <xdr:cNvPr id="24" name="Retângulo 23">
          <a:hlinkClick xmlns:r="http://schemas.openxmlformats.org/officeDocument/2006/relationships" r:id="rId13"/>
        </xdr:cNvPr>
        <xdr:cNvSpPr/>
      </xdr:nvSpPr>
      <xdr:spPr>
        <a:xfrm>
          <a:off x="6572256" y="656168"/>
          <a:ext cx="1471084"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 Passivo Não Circulante</a:t>
          </a:r>
        </a:p>
      </xdr:txBody>
    </xdr:sp>
    <xdr:clientData/>
  </xdr:twoCellAnchor>
  <xdr:twoCellAnchor>
    <xdr:from>
      <xdr:col>5</xdr:col>
      <xdr:colOff>1005418</xdr:colOff>
      <xdr:row>1</xdr:row>
      <xdr:rowOff>222251</xdr:rowOff>
    </xdr:from>
    <xdr:to>
      <xdr:col>8</xdr:col>
      <xdr:colOff>285751</xdr:colOff>
      <xdr:row>3</xdr:row>
      <xdr:rowOff>1</xdr:rowOff>
    </xdr:to>
    <xdr:sp macro="" textlink="">
      <xdr:nvSpPr>
        <xdr:cNvPr id="20" name="Retângulo 19">
          <a:hlinkClick xmlns:r="http://schemas.openxmlformats.org/officeDocument/2006/relationships" r:id="rId14"/>
        </xdr:cNvPr>
        <xdr:cNvSpPr/>
      </xdr:nvSpPr>
      <xdr:spPr>
        <a:xfrm>
          <a:off x="8085668"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 Balanço Patrimônial</a:t>
          </a:r>
        </a:p>
      </xdr:txBody>
    </xdr:sp>
    <xdr:clientData/>
  </xdr:twoCellAnchor>
  <xdr:twoCellAnchor editAs="oneCell">
    <xdr:from>
      <xdr:col>0</xdr:col>
      <xdr:colOff>359833</xdr:colOff>
      <xdr:row>0</xdr:row>
      <xdr:rowOff>21167</xdr:rowOff>
    </xdr:from>
    <xdr:to>
      <xdr:col>0</xdr:col>
      <xdr:colOff>1449916</xdr:colOff>
      <xdr:row>2</xdr:row>
      <xdr:rowOff>137336</xdr:rowOff>
    </xdr:to>
    <xdr:pic>
      <xdr:nvPicPr>
        <xdr:cNvPr id="29" name="Imagem 28"/>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xmlns="" val="0"/>
            </a:ext>
          </a:extLst>
        </a:blip>
        <a:stretch>
          <a:fillRect/>
        </a:stretch>
      </xdr:blipFill>
      <xdr:spPr>
        <a:xfrm>
          <a:off x="359833" y="21167"/>
          <a:ext cx="1090083" cy="8146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3</xdr:col>
      <xdr:colOff>2922058</xdr:colOff>
      <xdr:row>0</xdr:row>
      <xdr:rowOff>48686</xdr:rowOff>
    </xdr:from>
    <xdr:to>
      <xdr:col>10</xdr:col>
      <xdr:colOff>306916</xdr:colOff>
      <xdr:row>1</xdr:row>
      <xdr:rowOff>223782</xdr:rowOff>
    </xdr:to>
    <xdr:sp macro="" textlink="">
      <xdr:nvSpPr>
        <xdr:cNvPr id="2" name="CaixaDeTexto 1"/>
        <xdr:cNvSpPr txBox="1"/>
      </xdr:nvSpPr>
      <xdr:spPr>
        <a:xfrm>
          <a:off x="5567891" y="48686"/>
          <a:ext cx="7110942"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b="0" i="0">
              <a:solidFill>
                <a:schemeClr val="tx1"/>
              </a:solidFill>
              <a:effectLst/>
              <a:latin typeface="+mn-lt"/>
              <a:ea typeface="+mn-ea"/>
              <a:cs typeface="+mn-cs"/>
            </a:rPr>
            <a:t>Balanço Patrimonial é a demonstração contábil destinada a evidenciar a posição patrimonial e financeira da Entidade. </a:t>
          </a:r>
          <a:r>
            <a:rPr lang="pt-BR" sz="1100">
              <a:solidFill>
                <a:schemeClr val="tx1"/>
              </a:solidFill>
              <a:effectLst/>
              <a:latin typeface="+mn-lt"/>
              <a:ea typeface="+mn-ea"/>
              <a:cs typeface="+mn-cs"/>
            </a:rPr>
            <a:t>Preencha as contas do Passivo </a:t>
          </a:r>
          <a:r>
            <a:rPr lang="pt-BR" sz="1100" baseline="0">
              <a:solidFill>
                <a:schemeClr val="tx1"/>
              </a:solidFill>
              <a:effectLst/>
              <a:latin typeface="+mn-lt"/>
              <a:ea typeface="+mn-ea"/>
              <a:cs typeface="+mn-cs"/>
            </a:rPr>
            <a:t>Circulante com seus repectivos valores para a</a:t>
          </a:r>
          <a:r>
            <a:rPr lang="pt-BR" sz="1100" b="0" i="0">
              <a:solidFill>
                <a:schemeClr val="tx1"/>
              </a:solidFill>
              <a:effectLst/>
              <a:latin typeface="+mn-lt"/>
              <a:ea typeface="+mn-ea"/>
              <a:cs typeface="+mn-cs"/>
            </a:rPr>
            <a:t> elaboração do Balanço Patrimonial. </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9</xdr:row>
      <xdr:rowOff>64562</xdr:rowOff>
    </xdr:from>
    <xdr:to>
      <xdr:col>0</xdr:col>
      <xdr:colOff>1717675</xdr:colOff>
      <xdr:row>9</xdr:row>
      <xdr:rowOff>64562</xdr:rowOff>
    </xdr:to>
    <xdr:cxnSp macro="">
      <xdr:nvCxnSpPr>
        <xdr:cNvPr id="6" name="Conector reto 5"/>
        <xdr:cNvCxnSpPr/>
      </xdr:nvCxnSpPr>
      <xdr:spPr>
        <a:xfrm>
          <a:off x="152400" y="3303062"/>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191558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1. Balanço Patrimônial</a:t>
          </a:r>
        </a:p>
      </xdr:txBody>
    </xdr:sp>
    <xdr:clientData/>
  </xdr:twoCellAnchor>
  <xdr:twoCellAnchor editAs="absolute">
    <xdr:from>
      <xdr:col>0</xdr:col>
      <xdr:colOff>12700</xdr:colOff>
      <xdr:row>5</xdr:row>
      <xdr:rowOff>255058</xdr:rowOff>
    </xdr:from>
    <xdr:to>
      <xdr:col>1</xdr:col>
      <xdr:colOff>12700</xdr:colOff>
      <xdr:row>6</xdr:row>
      <xdr:rowOff>128058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DRE</a:t>
          </a:r>
        </a:p>
      </xdr:txBody>
    </xdr:sp>
    <xdr:clientData/>
  </xdr:twoCellAnchor>
  <xdr:twoCellAnchor editAs="absolute">
    <xdr:from>
      <xdr:col>0</xdr:col>
      <xdr:colOff>12700</xdr:colOff>
      <xdr:row>6</xdr:row>
      <xdr:rowOff>191562</xdr:rowOff>
    </xdr:from>
    <xdr:to>
      <xdr:col>1</xdr:col>
      <xdr:colOff>12700</xdr:colOff>
      <xdr:row>7</xdr:row>
      <xdr:rowOff>64562</xdr:rowOff>
    </xdr:to>
    <xdr:sp macro="" textlink="">
      <xdr:nvSpPr>
        <xdr:cNvPr id="11" name="Retângulo 10">
          <a:hlinkClick xmlns:r="http://schemas.openxmlformats.org/officeDocument/2006/relationships" r:id="rId4"/>
        </xdr:cNvPr>
        <xdr:cNvSpPr/>
      </xdr:nvSpPr>
      <xdr:spPr>
        <a:xfrm>
          <a:off x="12700" y="22870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7</xdr:row>
      <xdr:rowOff>128062</xdr:rowOff>
    </xdr:from>
    <xdr:to>
      <xdr:col>1</xdr:col>
      <xdr:colOff>12700</xdr:colOff>
      <xdr:row>8</xdr:row>
      <xdr:rowOff>1062</xdr:rowOff>
    </xdr:to>
    <xdr:sp macro="" textlink="">
      <xdr:nvSpPr>
        <xdr:cNvPr id="12" name="Retângulo 11">
          <a:hlinkClick xmlns:r="http://schemas.openxmlformats.org/officeDocument/2006/relationships" r:id="rId5"/>
        </xdr:cNvPr>
        <xdr:cNvSpPr/>
      </xdr:nvSpPr>
      <xdr:spPr>
        <a:xfrm>
          <a:off x="12700" y="26045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Alertas e Dicas</a:t>
          </a:r>
        </a:p>
      </xdr:txBody>
    </xdr:sp>
    <xdr:clientData/>
  </xdr:twoCellAnchor>
  <xdr:twoCellAnchor editAs="absolute">
    <xdr:from>
      <xdr:col>0</xdr:col>
      <xdr:colOff>12700</xdr:colOff>
      <xdr:row>8</xdr:row>
      <xdr:rowOff>64562</xdr:rowOff>
    </xdr:from>
    <xdr:to>
      <xdr:col>1</xdr:col>
      <xdr:colOff>12700</xdr:colOff>
      <xdr:row>8</xdr:row>
      <xdr:rowOff>318562</xdr:rowOff>
    </xdr:to>
    <xdr:sp macro="" textlink="">
      <xdr:nvSpPr>
        <xdr:cNvPr id="13" name="Retângulo 12">
          <a:hlinkClick xmlns:r="http://schemas.openxmlformats.org/officeDocument/2006/relationships" r:id="rId6"/>
        </xdr:cNvPr>
        <xdr:cNvSpPr/>
      </xdr:nvSpPr>
      <xdr:spPr>
        <a:xfrm>
          <a:off x="12700" y="29220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Relatórios de Impressão</a:t>
          </a:r>
        </a:p>
      </xdr:txBody>
    </xdr:sp>
    <xdr:clientData/>
  </xdr:twoCellAnchor>
  <xdr:twoCellAnchor editAs="absolute">
    <xdr:from>
      <xdr:col>0</xdr:col>
      <xdr:colOff>12700</xdr:colOff>
      <xdr:row>9</xdr:row>
      <xdr:rowOff>191562</xdr:rowOff>
    </xdr:from>
    <xdr:to>
      <xdr:col>1</xdr:col>
      <xdr:colOff>12700</xdr:colOff>
      <xdr:row>10</xdr:row>
      <xdr:rowOff>64562</xdr:rowOff>
    </xdr:to>
    <xdr:sp macro="" textlink="">
      <xdr:nvSpPr>
        <xdr:cNvPr id="14" name="Retângulo 13">
          <a:hlinkClick xmlns:r="http://schemas.openxmlformats.org/officeDocument/2006/relationships" r:id="rId7"/>
        </xdr:cNvPr>
        <xdr:cNvSpPr/>
      </xdr:nvSpPr>
      <xdr:spPr>
        <a:xfrm>
          <a:off x="12700" y="34300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10</xdr:row>
      <xdr:rowOff>128062</xdr:rowOff>
    </xdr:from>
    <xdr:to>
      <xdr:col>1</xdr:col>
      <xdr:colOff>12700</xdr:colOff>
      <xdr:row>11</xdr:row>
      <xdr:rowOff>1062</xdr:rowOff>
    </xdr:to>
    <xdr:sp macro="" textlink="">
      <xdr:nvSpPr>
        <xdr:cNvPr id="15" name="Retângulo 14">
          <a:hlinkClick xmlns:r="http://schemas.openxmlformats.org/officeDocument/2006/relationships" r:id="rId8"/>
        </xdr:cNvPr>
        <xdr:cNvSpPr/>
      </xdr:nvSpPr>
      <xdr:spPr>
        <a:xfrm>
          <a:off x="12700" y="37475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11</xdr:row>
      <xdr:rowOff>64562</xdr:rowOff>
    </xdr:from>
    <xdr:to>
      <xdr:col>1</xdr:col>
      <xdr:colOff>12700</xdr:colOff>
      <xdr:row>11</xdr:row>
      <xdr:rowOff>318562</xdr:rowOff>
    </xdr:to>
    <xdr:sp macro="" textlink="">
      <xdr:nvSpPr>
        <xdr:cNvPr id="16" name="Retângulo 15">
          <a:hlinkClick xmlns:r="http://schemas.openxmlformats.org/officeDocument/2006/relationships" r:id="rId9"/>
        </xdr:cNvPr>
        <xdr:cNvSpPr/>
      </xdr:nvSpPr>
      <xdr:spPr>
        <a:xfrm>
          <a:off x="12700" y="40650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VALOR</a:t>
          </a:r>
        </a:p>
      </xdr:txBody>
    </xdr:sp>
    <xdr:clientData/>
  </xdr:twoCellAnchor>
  <xdr:twoCellAnchor>
    <xdr:from>
      <xdr:col>2</xdr:col>
      <xdr:colOff>0</xdr:colOff>
      <xdr:row>1</xdr:row>
      <xdr:rowOff>222251</xdr:rowOff>
    </xdr:from>
    <xdr:to>
      <xdr:col>3</xdr:col>
      <xdr:colOff>857250</xdr:colOff>
      <xdr:row>3</xdr:row>
      <xdr:rowOff>1</xdr:rowOff>
    </xdr:to>
    <xdr:sp macro="" textlink="">
      <xdr:nvSpPr>
        <xdr:cNvPr id="21" name="Retângulo 20">
          <a:hlinkClick xmlns:r="http://schemas.openxmlformats.org/officeDocument/2006/relationships" r:id="rId10"/>
        </xdr:cNvPr>
        <xdr:cNvSpPr/>
      </xdr:nvSpPr>
      <xdr:spPr>
        <a:xfrm>
          <a:off x="2465917"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Ativo Circulante</a:t>
          </a:r>
        </a:p>
      </xdr:txBody>
    </xdr:sp>
    <xdr:clientData/>
  </xdr:twoCellAnchor>
  <xdr:twoCellAnchor>
    <xdr:from>
      <xdr:col>3</xdr:col>
      <xdr:colOff>899590</xdr:colOff>
      <xdr:row>1</xdr:row>
      <xdr:rowOff>222251</xdr:rowOff>
    </xdr:from>
    <xdr:to>
      <xdr:col>3</xdr:col>
      <xdr:colOff>2370673</xdr:colOff>
      <xdr:row>3</xdr:row>
      <xdr:rowOff>1</xdr:rowOff>
    </xdr:to>
    <xdr:sp macro="" textlink="">
      <xdr:nvSpPr>
        <xdr:cNvPr id="22" name="Retângulo 21">
          <a:hlinkClick xmlns:r="http://schemas.openxmlformats.org/officeDocument/2006/relationships" r:id="rId11"/>
        </xdr:cNvPr>
        <xdr:cNvSpPr/>
      </xdr:nvSpPr>
      <xdr:spPr>
        <a:xfrm>
          <a:off x="3608923"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Ativo Não Circulante</a:t>
          </a:r>
        </a:p>
      </xdr:txBody>
    </xdr:sp>
    <xdr:clientData/>
  </xdr:twoCellAnchor>
  <xdr:twoCellAnchor>
    <xdr:from>
      <xdr:col>3</xdr:col>
      <xdr:colOff>2412995</xdr:colOff>
      <xdr:row>1</xdr:row>
      <xdr:rowOff>222251</xdr:rowOff>
    </xdr:from>
    <xdr:to>
      <xdr:col>4</xdr:col>
      <xdr:colOff>497411</xdr:colOff>
      <xdr:row>3</xdr:row>
      <xdr:rowOff>1</xdr:rowOff>
    </xdr:to>
    <xdr:sp macro="" textlink="">
      <xdr:nvSpPr>
        <xdr:cNvPr id="23" name="Retângulo 22">
          <a:hlinkClick xmlns:r="http://schemas.openxmlformats.org/officeDocument/2006/relationships" r:id="rId12"/>
        </xdr:cNvPr>
        <xdr:cNvSpPr/>
      </xdr:nvSpPr>
      <xdr:spPr>
        <a:xfrm>
          <a:off x="5122328"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Passivo Circulante</a:t>
          </a:r>
        </a:p>
      </xdr:txBody>
    </xdr:sp>
    <xdr:clientData/>
  </xdr:twoCellAnchor>
  <xdr:twoCellAnchor>
    <xdr:from>
      <xdr:col>4</xdr:col>
      <xdr:colOff>539755</xdr:colOff>
      <xdr:row>1</xdr:row>
      <xdr:rowOff>222251</xdr:rowOff>
    </xdr:from>
    <xdr:to>
      <xdr:col>5</xdr:col>
      <xdr:colOff>963089</xdr:colOff>
      <xdr:row>3</xdr:row>
      <xdr:rowOff>1</xdr:rowOff>
    </xdr:to>
    <xdr:sp macro="" textlink="">
      <xdr:nvSpPr>
        <xdr:cNvPr id="24" name="Retângulo 23">
          <a:hlinkClick xmlns:r="http://schemas.openxmlformats.org/officeDocument/2006/relationships" r:id="rId13"/>
        </xdr:cNvPr>
        <xdr:cNvSpPr/>
      </xdr:nvSpPr>
      <xdr:spPr>
        <a:xfrm>
          <a:off x="6635755" y="656168"/>
          <a:ext cx="1471084" cy="306916"/>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Passivo Não Circulante</a:t>
          </a:r>
        </a:p>
      </xdr:txBody>
    </xdr:sp>
    <xdr:clientData/>
  </xdr:twoCellAnchor>
  <xdr:twoCellAnchor>
    <xdr:from>
      <xdr:col>5</xdr:col>
      <xdr:colOff>1005417</xdr:colOff>
      <xdr:row>1</xdr:row>
      <xdr:rowOff>222251</xdr:rowOff>
    </xdr:from>
    <xdr:to>
      <xdr:col>8</xdr:col>
      <xdr:colOff>285750</xdr:colOff>
      <xdr:row>3</xdr:row>
      <xdr:rowOff>1</xdr:rowOff>
    </xdr:to>
    <xdr:sp macro="" textlink="">
      <xdr:nvSpPr>
        <xdr:cNvPr id="20" name="Retângulo 19">
          <a:hlinkClick xmlns:r="http://schemas.openxmlformats.org/officeDocument/2006/relationships" r:id="rId14"/>
        </xdr:cNvPr>
        <xdr:cNvSpPr/>
      </xdr:nvSpPr>
      <xdr:spPr>
        <a:xfrm>
          <a:off x="8085667"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 Balanço Patrimônial</a:t>
          </a:r>
        </a:p>
      </xdr:txBody>
    </xdr:sp>
    <xdr:clientData/>
  </xdr:twoCellAnchor>
  <xdr:twoCellAnchor editAs="oneCell">
    <xdr:from>
      <xdr:col>0</xdr:col>
      <xdr:colOff>349250</xdr:colOff>
      <xdr:row>0</xdr:row>
      <xdr:rowOff>42333</xdr:rowOff>
    </xdr:from>
    <xdr:to>
      <xdr:col>0</xdr:col>
      <xdr:colOff>1439333</xdr:colOff>
      <xdr:row>2</xdr:row>
      <xdr:rowOff>158502</xdr:rowOff>
    </xdr:to>
    <xdr:pic>
      <xdr:nvPicPr>
        <xdr:cNvPr id="29" name="Imagem 28"/>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xmlns="" val="0"/>
            </a:ext>
          </a:extLst>
        </a:blip>
        <a:stretch>
          <a:fillRect/>
        </a:stretch>
      </xdr:blipFill>
      <xdr:spPr>
        <a:xfrm>
          <a:off x="349250" y="42333"/>
          <a:ext cx="1090083" cy="81466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4</xdr:col>
      <xdr:colOff>868892</xdr:colOff>
      <xdr:row>0</xdr:row>
      <xdr:rowOff>48683</xdr:rowOff>
    </xdr:from>
    <xdr:to>
      <xdr:col>11</xdr:col>
      <xdr:colOff>539750</xdr:colOff>
      <xdr:row>1</xdr:row>
      <xdr:rowOff>51552</xdr:rowOff>
    </xdr:to>
    <xdr:sp macro="" textlink="">
      <xdr:nvSpPr>
        <xdr:cNvPr id="2" name="CaixaDeTexto 1"/>
        <xdr:cNvSpPr txBox="1"/>
      </xdr:nvSpPr>
      <xdr:spPr>
        <a:xfrm>
          <a:off x="5560484" y="48683"/>
          <a:ext cx="7037916" cy="431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pt-BR" sz="1100" b="0" i="0">
              <a:solidFill>
                <a:schemeClr val="tx1"/>
              </a:solidFill>
              <a:effectLst/>
              <a:latin typeface="+mn-lt"/>
              <a:ea typeface="+mn-ea"/>
              <a:cs typeface="+mn-cs"/>
            </a:rPr>
            <a:t>Balanço Patrimonial é a demonstração contábil destinada a evidenciar a posição patrimonial e financeira da Entidade. </a:t>
          </a:r>
          <a:r>
            <a:rPr lang="pt-BR" sz="1100">
              <a:solidFill>
                <a:schemeClr val="tx1"/>
              </a:solidFill>
              <a:effectLst/>
              <a:latin typeface="+mn-lt"/>
              <a:ea typeface="+mn-ea"/>
              <a:cs typeface="+mn-cs"/>
            </a:rPr>
            <a:t>Preencha as contas do Ativo</a:t>
          </a:r>
          <a:r>
            <a:rPr lang="pt-BR" sz="1100" baseline="0">
              <a:solidFill>
                <a:schemeClr val="tx1"/>
              </a:solidFill>
              <a:effectLst/>
              <a:latin typeface="+mn-lt"/>
              <a:ea typeface="+mn-ea"/>
              <a:cs typeface="+mn-cs"/>
            </a:rPr>
            <a:t> Circulante com seus repectivos valores para a</a:t>
          </a:r>
          <a:r>
            <a:rPr lang="pt-BR" sz="1100" b="0" i="0">
              <a:solidFill>
                <a:schemeClr val="tx1"/>
              </a:solidFill>
              <a:effectLst/>
              <a:latin typeface="+mn-lt"/>
              <a:ea typeface="+mn-ea"/>
              <a:cs typeface="+mn-cs"/>
            </a:rPr>
            <a:t> elaboração do Balanço Patrimonial. </a:t>
          </a:r>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9</xdr:row>
      <xdr:rowOff>64562</xdr:rowOff>
    </xdr:from>
    <xdr:to>
      <xdr:col>0</xdr:col>
      <xdr:colOff>1717675</xdr:colOff>
      <xdr:row>9</xdr:row>
      <xdr:rowOff>64562</xdr:rowOff>
    </xdr:to>
    <xdr:cxnSp macro="">
      <xdr:nvCxnSpPr>
        <xdr:cNvPr id="6" name="Conector reto 5"/>
        <xdr:cNvCxnSpPr/>
      </xdr:nvCxnSpPr>
      <xdr:spPr>
        <a:xfrm>
          <a:off x="152400" y="3302004"/>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191558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1. Balanço Patrimônial</a:t>
          </a:r>
        </a:p>
      </xdr:txBody>
    </xdr:sp>
    <xdr:clientData/>
  </xdr:twoCellAnchor>
  <xdr:twoCellAnchor editAs="absolute">
    <xdr:from>
      <xdr:col>0</xdr:col>
      <xdr:colOff>12700</xdr:colOff>
      <xdr:row>5</xdr:row>
      <xdr:rowOff>255058</xdr:rowOff>
    </xdr:from>
    <xdr:to>
      <xdr:col>1</xdr:col>
      <xdr:colOff>12700</xdr:colOff>
      <xdr:row>6</xdr:row>
      <xdr:rowOff>128058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DRE</a:t>
          </a:r>
        </a:p>
      </xdr:txBody>
    </xdr:sp>
    <xdr:clientData/>
  </xdr:twoCellAnchor>
  <xdr:twoCellAnchor editAs="absolute">
    <xdr:from>
      <xdr:col>0</xdr:col>
      <xdr:colOff>12700</xdr:colOff>
      <xdr:row>6</xdr:row>
      <xdr:rowOff>191562</xdr:rowOff>
    </xdr:from>
    <xdr:to>
      <xdr:col>1</xdr:col>
      <xdr:colOff>12700</xdr:colOff>
      <xdr:row>7</xdr:row>
      <xdr:rowOff>64562</xdr:rowOff>
    </xdr:to>
    <xdr:sp macro="" textlink="">
      <xdr:nvSpPr>
        <xdr:cNvPr id="10" name="Retângulo 9">
          <a:hlinkClick xmlns:r="http://schemas.openxmlformats.org/officeDocument/2006/relationships" r:id="rId4"/>
        </xdr:cNvPr>
        <xdr:cNvSpPr/>
      </xdr:nvSpPr>
      <xdr:spPr>
        <a:xfrm>
          <a:off x="12700" y="2286004"/>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7</xdr:row>
      <xdr:rowOff>128062</xdr:rowOff>
    </xdr:from>
    <xdr:to>
      <xdr:col>1</xdr:col>
      <xdr:colOff>12700</xdr:colOff>
      <xdr:row>8</xdr:row>
      <xdr:rowOff>1062</xdr:rowOff>
    </xdr:to>
    <xdr:sp macro="" textlink="">
      <xdr:nvSpPr>
        <xdr:cNvPr id="11" name="Retângulo 10">
          <a:hlinkClick xmlns:r="http://schemas.openxmlformats.org/officeDocument/2006/relationships" r:id="rId5"/>
        </xdr:cNvPr>
        <xdr:cNvSpPr/>
      </xdr:nvSpPr>
      <xdr:spPr>
        <a:xfrm>
          <a:off x="12700" y="2603504"/>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Alertas e Dicas</a:t>
          </a:r>
        </a:p>
      </xdr:txBody>
    </xdr:sp>
    <xdr:clientData/>
  </xdr:twoCellAnchor>
  <xdr:twoCellAnchor editAs="absolute">
    <xdr:from>
      <xdr:col>0</xdr:col>
      <xdr:colOff>12700</xdr:colOff>
      <xdr:row>8</xdr:row>
      <xdr:rowOff>64562</xdr:rowOff>
    </xdr:from>
    <xdr:to>
      <xdr:col>1</xdr:col>
      <xdr:colOff>12700</xdr:colOff>
      <xdr:row>8</xdr:row>
      <xdr:rowOff>318562</xdr:rowOff>
    </xdr:to>
    <xdr:sp macro="" textlink="">
      <xdr:nvSpPr>
        <xdr:cNvPr id="12" name="Retângulo 11">
          <a:hlinkClick xmlns:r="http://schemas.openxmlformats.org/officeDocument/2006/relationships" r:id="rId6"/>
        </xdr:cNvPr>
        <xdr:cNvSpPr/>
      </xdr:nvSpPr>
      <xdr:spPr>
        <a:xfrm>
          <a:off x="12700" y="2921004"/>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Relatórios de Impressão</a:t>
          </a:r>
        </a:p>
      </xdr:txBody>
    </xdr:sp>
    <xdr:clientData/>
  </xdr:twoCellAnchor>
  <xdr:twoCellAnchor editAs="absolute">
    <xdr:from>
      <xdr:col>0</xdr:col>
      <xdr:colOff>12700</xdr:colOff>
      <xdr:row>9</xdr:row>
      <xdr:rowOff>191562</xdr:rowOff>
    </xdr:from>
    <xdr:to>
      <xdr:col>1</xdr:col>
      <xdr:colOff>12700</xdr:colOff>
      <xdr:row>10</xdr:row>
      <xdr:rowOff>64562</xdr:rowOff>
    </xdr:to>
    <xdr:sp macro="" textlink="">
      <xdr:nvSpPr>
        <xdr:cNvPr id="13" name="Retângulo 12">
          <a:hlinkClick xmlns:r="http://schemas.openxmlformats.org/officeDocument/2006/relationships" r:id="rId7"/>
        </xdr:cNvPr>
        <xdr:cNvSpPr/>
      </xdr:nvSpPr>
      <xdr:spPr>
        <a:xfrm>
          <a:off x="12700" y="3429004"/>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10</xdr:row>
      <xdr:rowOff>128062</xdr:rowOff>
    </xdr:from>
    <xdr:to>
      <xdr:col>1</xdr:col>
      <xdr:colOff>12700</xdr:colOff>
      <xdr:row>11</xdr:row>
      <xdr:rowOff>1062</xdr:rowOff>
    </xdr:to>
    <xdr:sp macro="" textlink="">
      <xdr:nvSpPr>
        <xdr:cNvPr id="14" name="Retângulo 13">
          <a:hlinkClick xmlns:r="http://schemas.openxmlformats.org/officeDocument/2006/relationships" r:id="rId8"/>
        </xdr:cNvPr>
        <xdr:cNvSpPr/>
      </xdr:nvSpPr>
      <xdr:spPr>
        <a:xfrm>
          <a:off x="12700" y="3746504"/>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11</xdr:row>
      <xdr:rowOff>64562</xdr:rowOff>
    </xdr:from>
    <xdr:to>
      <xdr:col>1</xdr:col>
      <xdr:colOff>12700</xdr:colOff>
      <xdr:row>11</xdr:row>
      <xdr:rowOff>318562</xdr:rowOff>
    </xdr:to>
    <xdr:sp macro="" textlink="">
      <xdr:nvSpPr>
        <xdr:cNvPr id="15" name="Retângulo 14">
          <a:hlinkClick xmlns:r="http://schemas.openxmlformats.org/officeDocument/2006/relationships" r:id="rId9"/>
        </xdr:cNvPr>
        <xdr:cNvSpPr/>
      </xdr:nvSpPr>
      <xdr:spPr>
        <a:xfrm>
          <a:off x="12700" y="4064004"/>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a:t>
          </a:r>
          <a:r>
            <a:rPr lang="pt-BR" sz="1100" baseline="0">
              <a:solidFill>
                <a:schemeClr val="bg1">
                  <a:lumMod val="100000"/>
                </a:schemeClr>
              </a:solidFill>
              <a:latin typeface="+mn-lt"/>
              <a:ea typeface="+mn-ea"/>
              <a:cs typeface="+mn-cs"/>
            </a:rPr>
            <a:t> VALOR</a:t>
          </a:r>
          <a:endParaRPr lang="pt-BR" sz="1100">
            <a:solidFill>
              <a:schemeClr val="bg1">
                <a:lumMod val="100000"/>
              </a:schemeClr>
            </a:solidFill>
            <a:latin typeface="+mn-lt"/>
            <a:ea typeface="+mn-ea"/>
            <a:cs typeface="+mn-cs"/>
          </a:endParaRPr>
        </a:p>
      </xdr:txBody>
    </xdr:sp>
    <xdr:clientData/>
  </xdr:twoCellAnchor>
  <xdr:twoCellAnchor>
    <xdr:from>
      <xdr:col>2</xdr:col>
      <xdr:colOff>0</xdr:colOff>
      <xdr:row>1</xdr:row>
      <xdr:rowOff>222251</xdr:rowOff>
    </xdr:from>
    <xdr:to>
      <xdr:col>3</xdr:col>
      <xdr:colOff>857250</xdr:colOff>
      <xdr:row>3</xdr:row>
      <xdr:rowOff>1</xdr:rowOff>
    </xdr:to>
    <xdr:sp macro="" textlink="">
      <xdr:nvSpPr>
        <xdr:cNvPr id="21" name="Retângulo 20">
          <a:hlinkClick xmlns:r="http://schemas.openxmlformats.org/officeDocument/2006/relationships" r:id="rId10"/>
        </xdr:cNvPr>
        <xdr:cNvSpPr/>
      </xdr:nvSpPr>
      <xdr:spPr>
        <a:xfrm>
          <a:off x="2032000"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Ativo Circulante</a:t>
          </a:r>
        </a:p>
      </xdr:txBody>
    </xdr:sp>
    <xdr:clientData/>
  </xdr:twoCellAnchor>
  <xdr:twoCellAnchor>
    <xdr:from>
      <xdr:col>3</xdr:col>
      <xdr:colOff>899590</xdr:colOff>
      <xdr:row>1</xdr:row>
      <xdr:rowOff>222251</xdr:rowOff>
    </xdr:from>
    <xdr:to>
      <xdr:col>4</xdr:col>
      <xdr:colOff>317506</xdr:colOff>
      <xdr:row>3</xdr:row>
      <xdr:rowOff>1</xdr:rowOff>
    </xdr:to>
    <xdr:sp macro="" textlink="">
      <xdr:nvSpPr>
        <xdr:cNvPr id="22" name="Retângulo 21">
          <a:hlinkClick xmlns:r="http://schemas.openxmlformats.org/officeDocument/2006/relationships" r:id="rId11"/>
        </xdr:cNvPr>
        <xdr:cNvSpPr/>
      </xdr:nvSpPr>
      <xdr:spPr>
        <a:xfrm>
          <a:off x="3545423"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Ativo Não Circulante</a:t>
          </a:r>
        </a:p>
      </xdr:txBody>
    </xdr:sp>
    <xdr:clientData/>
  </xdr:twoCellAnchor>
  <xdr:twoCellAnchor>
    <xdr:from>
      <xdr:col>4</xdr:col>
      <xdr:colOff>359828</xdr:colOff>
      <xdr:row>1</xdr:row>
      <xdr:rowOff>222251</xdr:rowOff>
    </xdr:from>
    <xdr:to>
      <xdr:col>5</xdr:col>
      <xdr:colOff>783161</xdr:colOff>
      <xdr:row>3</xdr:row>
      <xdr:rowOff>1</xdr:rowOff>
    </xdr:to>
    <xdr:sp macro="" textlink="">
      <xdr:nvSpPr>
        <xdr:cNvPr id="23" name="Retângulo 22">
          <a:hlinkClick xmlns:r="http://schemas.openxmlformats.org/officeDocument/2006/relationships" r:id="rId12"/>
        </xdr:cNvPr>
        <xdr:cNvSpPr/>
      </xdr:nvSpPr>
      <xdr:spPr>
        <a:xfrm>
          <a:off x="5058828"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Passivo Circulante</a:t>
          </a:r>
        </a:p>
      </xdr:txBody>
    </xdr:sp>
    <xdr:clientData/>
  </xdr:twoCellAnchor>
  <xdr:twoCellAnchor>
    <xdr:from>
      <xdr:col>5</xdr:col>
      <xdr:colOff>825505</xdr:colOff>
      <xdr:row>1</xdr:row>
      <xdr:rowOff>222251</xdr:rowOff>
    </xdr:from>
    <xdr:to>
      <xdr:col>8</xdr:col>
      <xdr:colOff>105839</xdr:colOff>
      <xdr:row>3</xdr:row>
      <xdr:rowOff>1</xdr:rowOff>
    </xdr:to>
    <xdr:sp macro="" textlink="">
      <xdr:nvSpPr>
        <xdr:cNvPr id="24" name="Retângulo 23">
          <a:hlinkClick xmlns:r="http://schemas.openxmlformats.org/officeDocument/2006/relationships" r:id="rId13"/>
        </xdr:cNvPr>
        <xdr:cNvSpPr/>
      </xdr:nvSpPr>
      <xdr:spPr>
        <a:xfrm>
          <a:off x="6572255" y="656168"/>
          <a:ext cx="1471084"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Passivo Não Circulante</a:t>
          </a:r>
        </a:p>
      </xdr:txBody>
    </xdr:sp>
    <xdr:clientData/>
  </xdr:twoCellAnchor>
  <xdr:twoCellAnchor>
    <xdr:from>
      <xdr:col>8</xdr:col>
      <xdr:colOff>148167</xdr:colOff>
      <xdr:row>1</xdr:row>
      <xdr:rowOff>222251</xdr:rowOff>
    </xdr:from>
    <xdr:to>
      <xdr:col>8</xdr:col>
      <xdr:colOff>1619250</xdr:colOff>
      <xdr:row>3</xdr:row>
      <xdr:rowOff>1</xdr:rowOff>
    </xdr:to>
    <xdr:sp macro="" textlink="">
      <xdr:nvSpPr>
        <xdr:cNvPr id="25" name="Retângulo 24">
          <a:hlinkClick xmlns:r="http://schemas.openxmlformats.org/officeDocument/2006/relationships" r:id="rId14"/>
        </xdr:cNvPr>
        <xdr:cNvSpPr/>
      </xdr:nvSpPr>
      <xdr:spPr>
        <a:xfrm>
          <a:off x="8085667" y="656168"/>
          <a:ext cx="1471083" cy="306916"/>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 Balanço Patrimônial</a:t>
          </a:r>
        </a:p>
      </xdr:txBody>
    </xdr:sp>
    <xdr:clientData/>
  </xdr:twoCellAnchor>
  <xdr:twoCellAnchor editAs="oneCell">
    <xdr:from>
      <xdr:col>0</xdr:col>
      <xdr:colOff>359833</xdr:colOff>
      <xdr:row>0</xdr:row>
      <xdr:rowOff>52917</xdr:rowOff>
    </xdr:from>
    <xdr:to>
      <xdr:col>0</xdr:col>
      <xdr:colOff>1449916</xdr:colOff>
      <xdr:row>2</xdr:row>
      <xdr:rowOff>169086</xdr:rowOff>
    </xdr:to>
    <xdr:pic>
      <xdr:nvPicPr>
        <xdr:cNvPr id="30" name="Imagem 29"/>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xmlns="" val="0"/>
            </a:ext>
          </a:extLst>
        </a:blip>
        <a:stretch>
          <a:fillRect/>
        </a:stretch>
      </xdr:blipFill>
      <xdr:spPr>
        <a:xfrm>
          <a:off x="359833" y="52917"/>
          <a:ext cx="1090083" cy="81466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3</xdr:col>
      <xdr:colOff>2900892</xdr:colOff>
      <xdr:row>0</xdr:row>
      <xdr:rowOff>133350</xdr:rowOff>
    </xdr:from>
    <xdr:to>
      <xdr:col>9</xdr:col>
      <xdr:colOff>619125</xdr:colOff>
      <xdr:row>1</xdr:row>
      <xdr:rowOff>136219</xdr:rowOff>
    </xdr:to>
    <xdr:sp macro="" textlink="">
      <xdr:nvSpPr>
        <xdr:cNvPr id="2" name="CaixaDeTexto 1"/>
        <xdr:cNvSpPr txBox="1"/>
      </xdr:nvSpPr>
      <xdr:spPr>
        <a:xfrm>
          <a:off x="5546725" y="133350"/>
          <a:ext cx="639656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b="0" i="0">
              <a:solidFill>
                <a:schemeClr val="tx1"/>
              </a:solidFill>
              <a:effectLst/>
              <a:latin typeface="+mn-lt"/>
              <a:ea typeface="+mn-ea"/>
              <a:cs typeface="+mn-cs"/>
            </a:rPr>
            <a:t>Demonstração do resultado do exercício</a:t>
          </a:r>
          <a:r>
            <a:rPr lang="pt-BR" sz="1100" b="0" i="0" u="none">
              <a:solidFill>
                <a:schemeClr val="tx1"/>
              </a:solidFill>
              <a:effectLst/>
              <a:latin typeface="+mn-lt"/>
              <a:ea typeface="+mn-ea"/>
              <a:cs typeface="+mn-cs"/>
            </a:rPr>
            <a:t> (DRE) </a:t>
          </a:r>
          <a:r>
            <a:rPr lang="pt-BR" sz="1100" b="0" i="0">
              <a:solidFill>
                <a:schemeClr val="tx1"/>
              </a:solidFill>
              <a:effectLst/>
              <a:latin typeface="+mn-lt"/>
              <a:ea typeface="+mn-ea"/>
              <a:cs typeface="+mn-cs"/>
            </a:rPr>
            <a:t>é um relatório contábil elaborado em conjunto com o balanço patrimonial, que descreve as operações realizadas pela empresa em um determinado período.</a:t>
          </a:r>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9</xdr:row>
      <xdr:rowOff>64560</xdr:rowOff>
    </xdr:from>
    <xdr:to>
      <xdr:col>0</xdr:col>
      <xdr:colOff>1717675</xdr:colOff>
      <xdr:row>9</xdr:row>
      <xdr:rowOff>64560</xdr:rowOff>
    </xdr:to>
    <xdr:cxnSp macro="">
      <xdr:nvCxnSpPr>
        <xdr:cNvPr id="6" name="Conector reto 5"/>
        <xdr:cNvCxnSpPr/>
      </xdr:nvCxnSpPr>
      <xdr:spPr>
        <a:xfrm>
          <a:off x="152400" y="330306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191558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Balanço Patrimônial</a:t>
          </a:r>
        </a:p>
      </xdr:txBody>
    </xdr:sp>
    <xdr:clientData/>
  </xdr:twoCellAnchor>
  <xdr:twoCellAnchor editAs="absolute">
    <xdr:from>
      <xdr:col>0</xdr:col>
      <xdr:colOff>12700</xdr:colOff>
      <xdr:row>5</xdr:row>
      <xdr:rowOff>255058</xdr:rowOff>
    </xdr:from>
    <xdr:to>
      <xdr:col>1</xdr:col>
      <xdr:colOff>12700</xdr:colOff>
      <xdr:row>6</xdr:row>
      <xdr:rowOff>128058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DRE</a:t>
          </a:r>
        </a:p>
      </xdr:txBody>
    </xdr:sp>
    <xdr:clientData/>
  </xdr:twoCellAnchor>
  <xdr:twoCellAnchor editAs="absolute">
    <xdr:from>
      <xdr:col>0</xdr:col>
      <xdr:colOff>12700</xdr:colOff>
      <xdr:row>6</xdr:row>
      <xdr:rowOff>191560</xdr:rowOff>
    </xdr:from>
    <xdr:to>
      <xdr:col>1</xdr:col>
      <xdr:colOff>12700</xdr:colOff>
      <xdr:row>7</xdr:row>
      <xdr:rowOff>64560</xdr:rowOff>
    </xdr:to>
    <xdr:sp macro="" textlink="">
      <xdr:nvSpPr>
        <xdr:cNvPr id="11" name="Retângulo 10">
          <a:hlinkClick xmlns:r="http://schemas.openxmlformats.org/officeDocument/2006/relationships" r:id="rId4"/>
        </xdr:cNvPr>
        <xdr:cNvSpPr/>
      </xdr:nvSpPr>
      <xdr:spPr>
        <a:xfrm>
          <a:off x="12700" y="2287060"/>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7</xdr:row>
      <xdr:rowOff>128060</xdr:rowOff>
    </xdr:from>
    <xdr:to>
      <xdr:col>1</xdr:col>
      <xdr:colOff>12700</xdr:colOff>
      <xdr:row>8</xdr:row>
      <xdr:rowOff>1060</xdr:rowOff>
    </xdr:to>
    <xdr:sp macro="" textlink="">
      <xdr:nvSpPr>
        <xdr:cNvPr id="12" name="Retângulo 11">
          <a:hlinkClick xmlns:r="http://schemas.openxmlformats.org/officeDocument/2006/relationships" r:id="rId5"/>
        </xdr:cNvPr>
        <xdr:cNvSpPr/>
      </xdr:nvSpPr>
      <xdr:spPr>
        <a:xfrm>
          <a:off x="12700" y="2604560"/>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Alertas e Dicas</a:t>
          </a:r>
        </a:p>
      </xdr:txBody>
    </xdr:sp>
    <xdr:clientData/>
  </xdr:twoCellAnchor>
  <xdr:twoCellAnchor editAs="absolute">
    <xdr:from>
      <xdr:col>0</xdr:col>
      <xdr:colOff>12700</xdr:colOff>
      <xdr:row>8</xdr:row>
      <xdr:rowOff>64560</xdr:rowOff>
    </xdr:from>
    <xdr:to>
      <xdr:col>1</xdr:col>
      <xdr:colOff>12700</xdr:colOff>
      <xdr:row>8</xdr:row>
      <xdr:rowOff>318560</xdr:rowOff>
    </xdr:to>
    <xdr:sp macro="" textlink="">
      <xdr:nvSpPr>
        <xdr:cNvPr id="13" name="Retângulo 12">
          <a:hlinkClick xmlns:r="http://schemas.openxmlformats.org/officeDocument/2006/relationships" r:id="rId6"/>
        </xdr:cNvPr>
        <xdr:cNvSpPr/>
      </xdr:nvSpPr>
      <xdr:spPr>
        <a:xfrm>
          <a:off x="12700" y="2922060"/>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Relatórios de Impressão</a:t>
          </a:r>
        </a:p>
      </xdr:txBody>
    </xdr:sp>
    <xdr:clientData/>
  </xdr:twoCellAnchor>
  <xdr:twoCellAnchor editAs="absolute">
    <xdr:from>
      <xdr:col>0</xdr:col>
      <xdr:colOff>12700</xdr:colOff>
      <xdr:row>9</xdr:row>
      <xdr:rowOff>191560</xdr:rowOff>
    </xdr:from>
    <xdr:to>
      <xdr:col>1</xdr:col>
      <xdr:colOff>12700</xdr:colOff>
      <xdr:row>10</xdr:row>
      <xdr:rowOff>64560</xdr:rowOff>
    </xdr:to>
    <xdr:sp macro="" textlink="">
      <xdr:nvSpPr>
        <xdr:cNvPr id="14" name="Retângulo 13">
          <a:hlinkClick xmlns:r="http://schemas.openxmlformats.org/officeDocument/2006/relationships" r:id="rId7"/>
        </xdr:cNvPr>
        <xdr:cNvSpPr/>
      </xdr:nvSpPr>
      <xdr:spPr>
        <a:xfrm>
          <a:off x="12700" y="3430060"/>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10</xdr:row>
      <xdr:rowOff>128060</xdr:rowOff>
    </xdr:from>
    <xdr:to>
      <xdr:col>1</xdr:col>
      <xdr:colOff>12700</xdr:colOff>
      <xdr:row>11</xdr:row>
      <xdr:rowOff>1060</xdr:rowOff>
    </xdr:to>
    <xdr:sp macro="" textlink="">
      <xdr:nvSpPr>
        <xdr:cNvPr id="15" name="Retângulo 14">
          <a:hlinkClick xmlns:r="http://schemas.openxmlformats.org/officeDocument/2006/relationships" r:id="rId8"/>
        </xdr:cNvPr>
        <xdr:cNvSpPr/>
      </xdr:nvSpPr>
      <xdr:spPr>
        <a:xfrm>
          <a:off x="12700" y="3747560"/>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11</xdr:row>
      <xdr:rowOff>64560</xdr:rowOff>
    </xdr:from>
    <xdr:to>
      <xdr:col>1</xdr:col>
      <xdr:colOff>12700</xdr:colOff>
      <xdr:row>11</xdr:row>
      <xdr:rowOff>318560</xdr:rowOff>
    </xdr:to>
    <xdr:sp macro="" textlink="">
      <xdr:nvSpPr>
        <xdr:cNvPr id="16" name="Retângulo 15">
          <a:hlinkClick xmlns:r="http://schemas.openxmlformats.org/officeDocument/2006/relationships" r:id="rId9"/>
        </xdr:cNvPr>
        <xdr:cNvSpPr/>
      </xdr:nvSpPr>
      <xdr:spPr>
        <a:xfrm>
          <a:off x="12700" y="4065060"/>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VALOR</a:t>
          </a:r>
        </a:p>
      </xdr:txBody>
    </xdr:sp>
    <xdr:clientData/>
  </xdr:twoCellAnchor>
  <xdr:twoCellAnchor>
    <xdr:from>
      <xdr:col>2</xdr:col>
      <xdr:colOff>0</xdr:colOff>
      <xdr:row>1</xdr:row>
      <xdr:rowOff>222251</xdr:rowOff>
    </xdr:from>
    <xdr:to>
      <xdr:col>3</xdr:col>
      <xdr:colOff>857250</xdr:colOff>
      <xdr:row>3</xdr:row>
      <xdr:rowOff>1</xdr:rowOff>
    </xdr:to>
    <xdr:sp macro="" textlink="">
      <xdr:nvSpPr>
        <xdr:cNvPr id="17" name="Retângulo 16">
          <a:hlinkClick xmlns:r="http://schemas.openxmlformats.org/officeDocument/2006/relationships" r:id="rId10"/>
        </xdr:cNvPr>
        <xdr:cNvSpPr/>
      </xdr:nvSpPr>
      <xdr:spPr>
        <a:xfrm>
          <a:off x="2032000" y="656168"/>
          <a:ext cx="1471083" cy="306916"/>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Credoras - Receitas</a:t>
          </a:r>
        </a:p>
      </xdr:txBody>
    </xdr:sp>
    <xdr:clientData/>
  </xdr:twoCellAnchor>
  <xdr:twoCellAnchor>
    <xdr:from>
      <xdr:col>3</xdr:col>
      <xdr:colOff>899578</xdr:colOff>
      <xdr:row>1</xdr:row>
      <xdr:rowOff>222251</xdr:rowOff>
    </xdr:from>
    <xdr:to>
      <xdr:col>3</xdr:col>
      <xdr:colOff>2370661</xdr:colOff>
      <xdr:row>3</xdr:row>
      <xdr:rowOff>1</xdr:rowOff>
    </xdr:to>
    <xdr:sp macro="" textlink="">
      <xdr:nvSpPr>
        <xdr:cNvPr id="18" name="Retângulo 17">
          <a:hlinkClick xmlns:r="http://schemas.openxmlformats.org/officeDocument/2006/relationships" r:id="rId11"/>
        </xdr:cNvPr>
        <xdr:cNvSpPr/>
      </xdr:nvSpPr>
      <xdr:spPr>
        <a:xfrm>
          <a:off x="3545411"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Devedoras - Despesas</a:t>
          </a:r>
        </a:p>
      </xdr:txBody>
    </xdr:sp>
    <xdr:clientData/>
  </xdr:twoCellAnchor>
  <xdr:twoCellAnchor>
    <xdr:from>
      <xdr:col>3</xdr:col>
      <xdr:colOff>2412989</xdr:colOff>
      <xdr:row>1</xdr:row>
      <xdr:rowOff>222251</xdr:rowOff>
    </xdr:from>
    <xdr:to>
      <xdr:col>4</xdr:col>
      <xdr:colOff>487880</xdr:colOff>
      <xdr:row>3</xdr:row>
      <xdr:rowOff>1</xdr:rowOff>
    </xdr:to>
    <xdr:sp macro="" textlink="">
      <xdr:nvSpPr>
        <xdr:cNvPr id="19" name="Retângulo 18">
          <a:hlinkClick xmlns:r="http://schemas.openxmlformats.org/officeDocument/2006/relationships" r:id="rId12"/>
        </xdr:cNvPr>
        <xdr:cNvSpPr/>
      </xdr:nvSpPr>
      <xdr:spPr>
        <a:xfrm>
          <a:off x="5058822" y="656168"/>
          <a:ext cx="1461558"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Resultado</a:t>
          </a:r>
          <a:r>
            <a:rPr lang="pt-BR" sz="1050" baseline="0">
              <a:solidFill>
                <a:schemeClr val="lt1"/>
              </a:solidFill>
              <a:latin typeface="+mn-lt"/>
              <a:ea typeface="+mn-ea"/>
              <a:cs typeface="+mn-cs"/>
            </a:rPr>
            <a:t> DRE</a:t>
          </a:r>
          <a:endParaRPr lang="pt-BR" sz="1050">
            <a:solidFill>
              <a:schemeClr val="lt1"/>
            </a:solidFill>
            <a:latin typeface="+mn-lt"/>
            <a:ea typeface="+mn-ea"/>
            <a:cs typeface="+mn-cs"/>
          </a:endParaRPr>
        </a:p>
      </xdr:txBody>
    </xdr:sp>
    <xdr:clientData/>
  </xdr:twoCellAnchor>
  <xdr:twoCellAnchor editAs="oneCell">
    <xdr:from>
      <xdr:col>0</xdr:col>
      <xdr:colOff>381000</xdr:colOff>
      <xdr:row>0</xdr:row>
      <xdr:rowOff>21167</xdr:rowOff>
    </xdr:from>
    <xdr:to>
      <xdr:col>0</xdr:col>
      <xdr:colOff>1471083</xdr:colOff>
      <xdr:row>2</xdr:row>
      <xdr:rowOff>137336</xdr:rowOff>
    </xdr:to>
    <xdr:pic>
      <xdr:nvPicPr>
        <xdr:cNvPr id="24" name="Imagem 23"/>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xmlns="" val="0"/>
            </a:ext>
          </a:extLst>
        </a:blip>
        <a:stretch>
          <a:fillRect/>
        </a:stretch>
      </xdr:blipFill>
      <xdr:spPr>
        <a:xfrm>
          <a:off x="381000" y="21167"/>
          <a:ext cx="1090083" cy="81466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3</xdr:col>
      <xdr:colOff>2900892</xdr:colOff>
      <xdr:row>0</xdr:row>
      <xdr:rowOff>133350</xdr:rowOff>
    </xdr:from>
    <xdr:to>
      <xdr:col>9</xdr:col>
      <xdr:colOff>619125</xdr:colOff>
      <xdr:row>1</xdr:row>
      <xdr:rowOff>136219</xdr:rowOff>
    </xdr:to>
    <xdr:sp macro="" textlink="">
      <xdr:nvSpPr>
        <xdr:cNvPr id="2" name="CaixaDeTexto 1"/>
        <xdr:cNvSpPr txBox="1"/>
      </xdr:nvSpPr>
      <xdr:spPr>
        <a:xfrm>
          <a:off x="5539317" y="133350"/>
          <a:ext cx="6376458" cy="431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b="0" i="0">
              <a:solidFill>
                <a:schemeClr val="tx1"/>
              </a:solidFill>
              <a:effectLst/>
              <a:latin typeface="+mn-lt"/>
              <a:ea typeface="+mn-ea"/>
              <a:cs typeface="+mn-cs"/>
            </a:rPr>
            <a:t>Demonstração do resultado do exercício</a:t>
          </a:r>
          <a:r>
            <a:rPr lang="pt-BR" sz="1100" b="0" i="0" u="none">
              <a:solidFill>
                <a:schemeClr val="tx1"/>
              </a:solidFill>
              <a:effectLst/>
              <a:latin typeface="+mn-lt"/>
              <a:ea typeface="+mn-ea"/>
              <a:cs typeface="+mn-cs"/>
            </a:rPr>
            <a:t> (DRE) </a:t>
          </a:r>
          <a:r>
            <a:rPr lang="pt-BR" sz="1100" b="0" i="0">
              <a:solidFill>
                <a:schemeClr val="tx1"/>
              </a:solidFill>
              <a:effectLst/>
              <a:latin typeface="+mn-lt"/>
              <a:ea typeface="+mn-ea"/>
              <a:cs typeface="+mn-cs"/>
            </a:rPr>
            <a:t>é um relatório contábil elaborado em conjunto com o balanço patrimonial, que descreve as operações realizadas pela empresa em um determinado período.</a:t>
          </a:r>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9</xdr:row>
      <xdr:rowOff>64554</xdr:rowOff>
    </xdr:from>
    <xdr:to>
      <xdr:col>0</xdr:col>
      <xdr:colOff>1717675</xdr:colOff>
      <xdr:row>9</xdr:row>
      <xdr:rowOff>64554</xdr:rowOff>
    </xdr:to>
    <xdr:cxnSp macro="">
      <xdr:nvCxnSpPr>
        <xdr:cNvPr id="6" name="Conector reto 5"/>
        <xdr:cNvCxnSpPr/>
      </xdr:nvCxnSpPr>
      <xdr:spPr>
        <a:xfrm>
          <a:off x="152400" y="3303054"/>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191558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Balanço Patrimônial</a:t>
          </a:r>
        </a:p>
      </xdr:txBody>
    </xdr:sp>
    <xdr:clientData/>
  </xdr:twoCellAnchor>
  <xdr:twoCellAnchor editAs="absolute">
    <xdr:from>
      <xdr:col>0</xdr:col>
      <xdr:colOff>12700</xdr:colOff>
      <xdr:row>5</xdr:row>
      <xdr:rowOff>255058</xdr:rowOff>
    </xdr:from>
    <xdr:to>
      <xdr:col>1</xdr:col>
      <xdr:colOff>12700</xdr:colOff>
      <xdr:row>6</xdr:row>
      <xdr:rowOff>128058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DRE</a:t>
          </a:r>
        </a:p>
      </xdr:txBody>
    </xdr:sp>
    <xdr:clientData/>
  </xdr:twoCellAnchor>
  <xdr:twoCellAnchor editAs="absolute">
    <xdr:from>
      <xdr:col>0</xdr:col>
      <xdr:colOff>12700</xdr:colOff>
      <xdr:row>6</xdr:row>
      <xdr:rowOff>191554</xdr:rowOff>
    </xdr:from>
    <xdr:to>
      <xdr:col>1</xdr:col>
      <xdr:colOff>12700</xdr:colOff>
      <xdr:row>7</xdr:row>
      <xdr:rowOff>64554</xdr:rowOff>
    </xdr:to>
    <xdr:sp macro="" textlink="">
      <xdr:nvSpPr>
        <xdr:cNvPr id="11" name="Retângulo 10">
          <a:hlinkClick xmlns:r="http://schemas.openxmlformats.org/officeDocument/2006/relationships" r:id="rId4"/>
        </xdr:cNvPr>
        <xdr:cNvSpPr/>
      </xdr:nvSpPr>
      <xdr:spPr>
        <a:xfrm>
          <a:off x="12700" y="2287054"/>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7</xdr:row>
      <xdr:rowOff>128054</xdr:rowOff>
    </xdr:from>
    <xdr:to>
      <xdr:col>1</xdr:col>
      <xdr:colOff>12700</xdr:colOff>
      <xdr:row>8</xdr:row>
      <xdr:rowOff>1054</xdr:rowOff>
    </xdr:to>
    <xdr:sp macro="" textlink="">
      <xdr:nvSpPr>
        <xdr:cNvPr id="12" name="Retângulo 11">
          <a:hlinkClick xmlns:r="http://schemas.openxmlformats.org/officeDocument/2006/relationships" r:id="rId5"/>
        </xdr:cNvPr>
        <xdr:cNvSpPr/>
      </xdr:nvSpPr>
      <xdr:spPr>
        <a:xfrm>
          <a:off x="12700" y="2604554"/>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Alertas e Dicas</a:t>
          </a:r>
        </a:p>
      </xdr:txBody>
    </xdr:sp>
    <xdr:clientData/>
  </xdr:twoCellAnchor>
  <xdr:twoCellAnchor editAs="absolute">
    <xdr:from>
      <xdr:col>0</xdr:col>
      <xdr:colOff>12700</xdr:colOff>
      <xdr:row>8</xdr:row>
      <xdr:rowOff>64554</xdr:rowOff>
    </xdr:from>
    <xdr:to>
      <xdr:col>1</xdr:col>
      <xdr:colOff>12700</xdr:colOff>
      <xdr:row>8</xdr:row>
      <xdr:rowOff>318554</xdr:rowOff>
    </xdr:to>
    <xdr:sp macro="" textlink="">
      <xdr:nvSpPr>
        <xdr:cNvPr id="13" name="Retângulo 12">
          <a:hlinkClick xmlns:r="http://schemas.openxmlformats.org/officeDocument/2006/relationships" r:id="rId6"/>
        </xdr:cNvPr>
        <xdr:cNvSpPr/>
      </xdr:nvSpPr>
      <xdr:spPr>
        <a:xfrm>
          <a:off x="12700" y="2922054"/>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Relatórios de Impressão</a:t>
          </a:r>
        </a:p>
      </xdr:txBody>
    </xdr:sp>
    <xdr:clientData/>
  </xdr:twoCellAnchor>
  <xdr:twoCellAnchor editAs="absolute">
    <xdr:from>
      <xdr:col>0</xdr:col>
      <xdr:colOff>12700</xdr:colOff>
      <xdr:row>9</xdr:row>
      <xdr:rowOff>191554</xdr:rowOff>
    </xdr:from>
    <xdr:to>
      <xdr:col>1</xdr:col>
      <xdr:colOff>12700</xdr:colOff>
      <xdr:row>10</xdr:row>
      <xdr:rowOff>64554</xdr:rowOff>
    </xdr:to>
    <xdr:sp macro="" textlink="">
      <xdr:nvSpPr>
        <xdr:cNvPr id="14" name="Retângulo 13">
          <a:hlinkClick xmlns:r="http://schemas.openxmlformats.org/officeDocument/2006/relationships" r:id="rId7"/>
        </xdr:cNvPr>
        <xdr:cNvSpPr/>
      </xdr:nvSpPr>
      <xdr:spPr>
        <a:xfrm>
          <a:off x="12700" y="3430054"/>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10</xdr:row>
      <xdr:rowOff>128054</xdr:rowOff>
    </xdr:from>
    <xdr:to>
      <xdr:col>1</xdr:col>
      <xdr:colOff>12700</xdr:colOff>
      <xdr:row>11</xdr:row>
      <xdr:rowOff>1054</xdr:rowOff>
    </xdr:to>
    <xdr:sp macro="" textlink="">
      <xdr:nvSpPr>
        <xdr:cNvPr id="15" name="Retângulo 14">
          <a:hlinkClick xmlns:r="http://schemas.openxmlformats.org/officeDocument/2006/relationships" r:id="rId8"/>
        </xdr:cNvPr>
        <xdr:cNvSpPr/>
      </xdr:nvSpPr>
      <xdr:spPr>
        <a:xfrm>
          <a:off x="12700" y="3747554"/>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11</xdr:row>
      <xdr:rowOff>64554</xdr:rowOff>
    </xdr:from>
    <xdr:to>
      <xdr:col>1</xdr:col>
      <xdr:colOff>12700</xdr:colOff>
      <xdr:row>11</xdr:row>
      <xdr:rowOff>318554</xdr:rowOff>
    </xdr:to>
    <xdr:sp macro="" textlink="">
      <xdr:nvSpPr>
        <xdr:cNvPr id="16" name="Retângulo 15">
          <a:hlinkClick xmlns:r="http://schemas.openxmlformats.org/officeDocument/2006/relationships" r:id="rId9"/>
        </xdr:cNvPr>
        <xdr:cNvSpPr/>
      </xdr:nvSpPr>
      <xdr:spPr>
        <a:xfrm>
          <a:off x="12700" y="4065054"/>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VALOR</a:t>
          </a:r>
        </a:p>
      </xdr:txBody>
    </xdr:sp>
    <xdr:clientData/>
  </xdr:twoCellAnchor>
  <xdr:twoCellAnchor>
    <xdr:from>
      <xdr:col>2</xdr:col>
      <xdr:colOff>0</xdr:colOff>
      <xdr:row>1</xdr:row>
      <xdr:rowOff>222251</xdr:rowOff>
    </xdr:from>
    <xdr:to>
      <xdr:col>3</xdr:col>
      <xdr:colOff>857250</xdr:colOff>
      <xdr:row>3</xdr:row>
      <xdr:rowOff>1</xdr:rowOff>
    </xdr:to>
    <xdr:sp macro="" textlink="">
      <xdr:nvSpPr>
        <xdr:cNvPr id="17" name="Retângulo 16">
          <a:hlinkClick xmlns:r="http://schemas.openxmlformats.org/officeDocument/2006/relationships" r:id="rId10"/>
        </xdr:cNvPr>
        <xdr:cNvSpPr/>
      </xdr:nvSpPr>
      <xdr:spPr>
        <a:xfrm>
          <a:off x="2028825" y="650876"/>
          <a:ext cx="1466850" cy="31115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Credoras - Receitas</a:t>
          </a:r>
        </a:p>
      </xdr:txBody>
    </xdr:sp>
    <xdr:clientData/>
  </xdr:twoCellAnchor>
  <xdr:twoCellAnchor>
    <xdr:from>
      <xdr:col>3</xdr:col>
      <xdr:colOff>899578</xdr:colOff>
      <xdr:row>1</xdr:row>
      <xdr:rowOff>222251</xdr:rowOff>
    </xdr:from>
    <xdr:to>
      <xdr:col>3</xdr:col>
      <xdr:colOff>2370661</xdr:colOff>
      <xdr:row>3</xdr:row>
      <xdr:rowOff>1</xdr:rowOff>
    </xdr:to>
    <xdr:sp macro="" textlink="">
      <xdr:nvSpPr>
        <xdr:cNvPr id="18" name="Retângulo 17">
          <a:hlinkClick xmlns:r="http://schemas.openxmlformats.org/officeDocument/2006/relationships" r:id="rId11"/>
        </xdr:cNvPr>
        <xdr:cNvSpPr/>
      </xdr:nvSpPr>
      <xdr:spPr>
        <a:xfrm>
          <a:off x="3538003" y="650876"/>
          <a:ext cx="1471083" cy="31115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Devedoras - Despesas</a:t>
          </a:r>
        </a:p>
      </xdr:txBody>
    </xdr:sp>
    <xdr:clientData/>
  </xdr:twoCellAnchor>
  <xdr:twoCellAnchor>
    <xdr:from>
      <xdr:col>3</xdr:col>
      <xdr:colOff>2412989</xdr:colOff>
      <xdr:row>1</xdr:row>
      <xdr:rowOff>222251</xdr:rowOff>
    </xdr:from>
    <xdr:to>
      <xdr:col>4</xdr:col>
      <xdr:colOff>487880</xdr:colOff>
      <xdr:row>3</xdr:row>
      <xdr:rowOff>1</xdr:rowOff>
    </xdr:to>
    <xdr:sp macro="" textlink="">
      <xdr:nvSpPr>
        <xdr:cNvPr id="19" name="Retângulo 18">
          <a:hlinkClick xmlns:r="http://schemas.openxmlformats.org/officeDocument/2006/relationships" r:id="rId12"/>
        </xdr:cNvPr>
        <xdr:cNvSpPr/>
      </xdr:nvSpPr>
      <xdr:spPr>
        <a:xfrm>
          <a:off x="5051414" y="650876"/>
          <a:ext cx="1456266" cy="31115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Resultado</a:t>
          </a:r>
          <a:r>
            <a:rPr lang="pt-BR" sz="1050" baseline="0">
              <a:solidFill>
                <a:schemeClr val="lt1"/>
              </a:solidFill>
              <a:latin typeface="+mn-lt"/>
              <a:ea typeface="+mn-ea"/>
              <a:cs typeface="+mn-cs"/>
            </a:rPr>
            <a:t> DRE</a:t>
          </a:r>
          <a:endParaRPr lang="pt-BR" sz="1050">
            <a:solidFill>
              <a:schemeClr val="lt1"/>
            </a:solidFill>
            <a:latin typeface="+mn-lt"/>
            <a:ea typeface="+mn-ea"/>
            <a:cs typeface="+mn-cs"/>
          </a:endParaRPr>
        </a:p>
      </xdr:txBody>
    </xdr:sp>
    <xdr:clientData/>
  </xdr:twoCellAnchor>
  <xdr:twoCellAnchor editAs="oneCell">
    <xdr:from>
      <xdr:col>0</xdr:col>
      <xdr:colOff>370417</xdr:colOff>
      <xdr:row>0</xdr:row>
      <xdr:rowOff>52916</xdr:rowOff>
    </xdr:from>
    <xdr:to>
      <xdr:col>0</xdr:col>
      <xdr:colOff>1460500</xdr:colOff>
      <xdr:row>2</xdr:row>
      <xdr:rowOff>169085</xdr:rowOff>
    </xdr:to>
    <xdr:pic>
      <xdr:nvPicPr>
        <xdr:cNvPr id="24" name="Imagem 23"/>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xmlns="" val="0"/>
            </a:ext>
          </a:extLst>
        </a:blip>
        <a:stretch>
          <a:fillRect/>
        </a:stretch>
      </xdr:blipFill>
      <xdr:spPr>
        <a:xfrm>
          <a:off x="370417" y="52916"/>
          <a:ext cx="1090083" cy="81466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4</xdr:col>
      <xdr:colOff>847725</xdr:colOff>
      <xdr:row>0</xdr:row>
      <xdr:rowOff>133350</xdr:rowOff>
    </xdr:from>
    <xdr:to>
      <xdr:col>10</xdr:col>
      <xdr:colOff>904875</xdr:colOff>
      <xdr:row>1</xdr:row>
      <xdr:rowOff>136219</xdr:rowOff>
    </xdr:to>
    <xdr:sp macro="" textlink="">
      <xdr:nvSpPr>
        <xdr:cNvPr id="2" name="CaixaDeTexto 1"/>
        <xdr:cNvSpPr txBox="1"/>
      </xdr:nvSpPr>
      <xdr:spPr>
        <a:xfrm>
          <a:off x="5539317" y="133350"/>
          <a:ext cx="6376458" cy="431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b="0" i="0">
              <a:solidFill>
                <a:schemeClr val="tx1"/>
              </a:solidFill>
              <a:effectLst/>
              <a:latin typeface="+mn-lt"/>
              <a:ea typeface="+mn-ea"/>
              <a:cs typeface="+mn-cs"/>
            </a:rPr>
            <a:t>Demonstração do resultado do exercício</a:t>
          </a:r>
          <a:r>
            <a:rPr lang="pt-BR" sz="1100" b="0" i="0" u="none">
              <a:solidFill>
                <a:schemeClr val="tx1"/>
              </a:solidFill>
              <a:effectLst/>
              <a:latin typeface="+mn-lt"/>
              <a:ea typeface="+mn-ea"/>
              <a:cs typeface="+mn-cs"/>
            </a:rPr>
            <a:t> (DRE) </a:t>
          </a:r>
          <a:r>
            <a:rPr lang="pt-BR" sz="1100" b="0" i="0">
              <a:solidFill>
                <a:schemeClr val="tx1"/>
              </a:solidFill>
              <a:effectLst/>
              <a:latin typeface="+mn-lt"/>
              <a:ea typeface="+mn-ea"/>
              <a:cs typeface="+mn-cs"/>
            </a:rPr>
            <a:t>é um relatório contábil elaborado em conjunto com o balanço patrimonial, que descreve as operações realizadas pela empresa em um determinado período.</a:t>
          </a:r>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8</xdr:row>
      <xdr:rowOff>64562</xdr:rowOff>
    </xdr:from>
    <xdr:to>
      <xdr:col>0</xdr:col>
      <xdr:colOff>1717675</xdr:colOff>
      <xdr:row>8</xdr:row>
      <xdr:rowOff>64562</xdr:rowOff>
    </xdr:to>
    <xdr:cxnSp macro="">
      <xdr:nvCxnSpPr>
        <xdr:cNvPr id="6" name="Conector reto 5"/>
        <xdr:cNvCxnSpPr/>
      </xdr:nvCxnSpPr>
      <xdr:spPr>
        <a:xfrm>
          <a:off x="152400" y="3303062"/>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191558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Balanço Patrimônial</a:t>
          </a:r>
        </a:p>
      </xdr:txBody>
    </xdr:sp>
    <xdr:clientData/>
  </xdr:twoCellAnchor>
  <xdr:twoCellAnchor editAs="absolute">
    <xdr:from>
      <xdr:col>0</xdr:col>
      <xdr:colOff>12700</xdr:colOff>
      <xdr:row>5</xdr:row>
      <xdr:rowOff>255058</xdr:rowOff>
    </xdr:from>
    <xdr:to>
      <xdr:col>1</xdr:col>
      <xdr:colOff>12700</xdr:colOff>
      <xdr:row>6</xdr:row>
      <xdr:rowOff>1058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DRE</a:t>
          </a:r>
        </a:p>
      </xdr:txBody>
    </xdr:sp>
    <xdr:clientData/>
  </xdr:twoCellAnchor>
  <xdr:twoCellAnchor editAs="absolute">
    <xdr:from>
      <xdr:col>0</xdr:col>
      <xdr:colOff>12700</xdr:colOff>
      <xdr:row>6</xdr:row>
      <xdr:rowOff>64562</xdr:rowOff>
    </xdr:from>
    <xdr:to>
      <xdr:col>1</xdr:col>
      <xdr:colOff>12700</xdr:colOff>
      <xdr:row>6</xdr:row>
      <xdr:rowOff>318562</xdr:rowOff>
    </xdr:to>
    <xdr:sp macro="" textlink="">
      <xdr:nvSpPr>
        <xdr:cNvPr id="11" name="Retângulo 10">
          <a:hlinkClick xmlns:r="http://schemas.openxmlformats.org/officeDocument/2006/relationships" r:id="rId4"/>
        </xdr:cNvPr>
        <xdr:cNvSpPr/>
      </xdr:nvSpPr>
      <xdr:spPr>
        <a:xfrm>
          <a:off x="12700" y="22870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6</xdr:row>
      <xdr:rowOff>382062</xdr:rowOff>
    </xdr:from>
    <xdr:to>
      <xdr:col>1</xdr:col>
      <xdr:colOff>12700</xdr:colOff>
      <xdr:row>7</xdr:row>
      <xdr:rowOff>128062</xdr:rowOff>
    </xdr:to>
    <xdr:sp macro="" textlink="">
      <xdr:nvSpPr>
        <xdr:cNvPr id="12" name="Retângulo 11">
          <a:hlinkClick xmlns:r="http://schemas.openxmlformats.org/officeDocument/2006/relationships" r:id="rId5"/>
        </xdr:cNvPr>
        <xdr:cNvSpPr/>
      </xdr:nvSpPr>
      <xdr:spPr>
        <a:xfrm>
          <a:off x="12700" y="26045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Alertas e Dicas</a:t>
          </a:r>
        </a:p>
      </xdr:txBody>
    </xdr:sp>
    <xdr:clientData/>
  </xdr:twoCellAnchor>
  <xdr:twoCellAnchor editAs="absolute">
    <xdr:from>
      <xdr:col>0</xdr:col>
      <xdr:colOff>12700</xdr:colOff>
      <xdr:row>7</xdr:row>
      <xdr:rowOff>191562</xdr:rowOff>
    </xdr:from>
    <xdr:to>
      <xdr:col>1</xdr:col>
      <xdr:colOff>12700</xdr:colOff>
      <xdr:row>7</xdr:row>
      <xdr:rowOff>445562</xdr:rowOff>
    </xdr:to>
    <xdr:sp macro="" textlink="">
      <xdr:nvSpPr>
        <xdr:cNvPr id="13" name="Retângulo 12">
          <a:hlinkClick xmlns:r="http://schemas.openxmlformats.org/officeDocument/2006/relationships" r:id="rId6"/>
        </xdr:cNvPr>
        <xdr:cNvSpPr/>
      </xdr:nvSpPr>
      <xdr:spPr>
        <a:xfrm>
          <a:off x="12700" y="29220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Relatórios de Impressão</a:t>
          </a:r>
        </a:p>
      </xdr:txBody>
    </xdr:sp>
    <xdr:clientData/>
  </xdr:twoCellAnchor>
  <xdr:twoCellAnchor editAs="absolute">
    <xdr:from>
      <xdr:col>0</xdr:col>
      <xdr:colOff>12700</xdr:colOff>
      <xdr:row>8</xdr:row>
      <xdr:rowOff>191562</xdr:rowOff>
    </xdr:from>
    <xdr:to>
      <xdr:col>1</xdr:col>
      <xdr:colOff>12700</xdr:colOff>
      <xdr:row>8</xdr:row>
      <xdr:rowOff>445562</xdr:rowOff>
    </xdr:to>
    <xdr:sp macro="" textlink="">
      <xdr:nvSpPr>
        <xdr:cNvPr id="14" name="Retângulo 13">
          <a:hlinkClick xmlns:r="http://schemas.openxmlformats.org/officeDocument/2006/relationships" r:id="rId7"/>
        </xdr:cNvPr>
        <xdr:cNvSpPr/>
      </xdr:nvSpPr>
      <xdr:spPr>
        <a:xfrm>
          <a:off x="12700" y="34300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9</xdr:row>
      <xdr:rowOff>1062</xdr:rowOff>
    </xdr:from>
    <xdr:to>
      <xdr:col>1</xdr:col>
      <xdr:colOff>12700</xdr:colOff>
      <xdr:row>9</xdr:row>
      <xdr:rowOff>255062</xdr:rowOff>
    </xdr:to>
    <xdr:sp macro="" textlink="">
      <xdr:nvSpPr>
        <xdr:cNvPr id="15" name="Retângulo 14">
          <a:hlinkClick xmlns:r="http://schemas.openxmlformats.org/officeDocument/2006/relationships" r:id="rId8"/>
        </xdr:cNvPr>
        <xdr:cNvSpPr/>
      </xdr:nvSpPr>
      <xdr:spPr>
        <a:xfrm>
          <a:off x="12700" y="37475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9</xdr:row>
      <xdr:rowOff>318562</xdr:rowOff>
    </xdr:from>
    <xdr:to>
      <xdr:col>1</xdr:col>
      <xdr:colOff>12700</xdr:colOff>
      <xdr:row>10</xdr:row>
      <xdr:rowOff>64562</xdr:rowOff>
    </xdr:to>
    <xdr:sp macro="" textlink="">
      <xdr:nvSpPr>
        <xdr:cNvPr id="16" name="Retângulo 15">
          <a:hlinkClick xmlns:r="http://schemas.openxmlformats.org/officeDocument/2006/relationships" r:id="rId9"/>
        </xdr:cNvPr>
        <xdr:cNvSpPr/>
      </xdr:nvSpPr>
      <xdr:spPr>
        <a:xfrm>
          <a:off x="12700" y="4065062"/>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VALOR</a:t>
          </a:r>
        </a:p>
      </xdr:txBody>
    </xdr:sp>
    <xdr:clientData/>
  </xdr:twoCellAnchor>
  <xdr:twoCellAnchor>
    <xdr:from>
      <xdr:col>2</xdr:col>
      <xdr:colOff>0</xdr:colOff>
      <xdr:row>1</xdr:row>
      <xdr:rowOff>222251</xdr:rowOff>
    </xdr:from>
    <xdr:to>
      <xdr:col>3</xdr:col>
      <xdr:colOff>857250</xdr:colOff>
      <xdr:row>3</xdr:row>
      <xdr:rowOff>1</xdr:rowOff>
    </xdr:to>
    <xdr:sp macro="" textlink="">
      <xdr:nvSpPr>
        <xdr:cNvPr id="17" name="Retângulo 16">
          <a:hlinkClick xmlns:r="http://schemas.openxmlformats.org/officeDocument/2006/relationships" r:id="rId10"/>
        </xdr:cNvPr>
        <xdr:cNvSpPr/>
      </xdr:nvSpPr>
      <xdr:spPr>
        <a:xfrm>
          <a:off x="2032000"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Credoras - Receitas</a:t>
          </a:r>
        </a:p>
      </xdr:txBody>
    </xdr:sp>
    <xdr:clientData/>
  </xdr:twoCellAnchor>
  <xdr:twoCellAnchor>
    <xdr:from>
      <xdr:col>3</xdr:col>
      <xdr:colOff>899578</xdr:colOff>
      <xdr:row>1</xdr:row>
      <xdr:rowOff>222251</xdr:rowOff>
    </xdr:from>
    <xdr:to>
      <xdr:col>4</xdr:col>
      <xdr:colOff>317494</xdr:colOff>
      <xdr:row>3</xdr:row>
      <xdr:rowOff>1</xdr:rowOff>
    </xdr:to>
    <xdr:sp macro="" textlink="">
      <xdr:nvSpPr>
        <xdr:cNvPr id="18" name="Retângulo 17">
          <a:hlinkClick xmlns:r="http://schemas.openxmlformats.org/officeDocument/2006/relationships" r:id="rId11"/>
        </xdr:cNvPr>
        <xdr:cNvSpPr/>
      </xdr:nvSpPr>
      <xdr:spPr>
        <a:xfrm>
          <a:off x="3545411" y="656168"/>
          <a:ext cx="1471083" cy="306916"/>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Devedoras - Despesas</a:t>
          </a:r>
        </a:p>
      </xdr:txBody>
    </xdr:sp>
    <xdr:clientData/>
  </xdr:twoCellAnchor>
  <xdr:twoCellAnchor>
    <xdr:from>
      <xdr:col>4</xdr:col>
      <xdr:colOff>359822</xdr:colOff>
      <xdr:row>1</xdr:row>
      <xdr:rowOff>222251</xdr:rowOff>
    </xdr:from>
    <xdr:to>
      <xdr:col>5</xdr:col>
      <xdr:colOff>773630</xdr:colOff>
      <xdr:row>3</xdr:row>
      <xdr:rowOff>1</xdr:rowOff>
    </xdr:to>
    <xdr:sp macro="" textlink="">
      <xdr:nvSpPr>
        <xdr:cNvPr id="19" name="Retângulo 18">
          <a:hlinkClick xmlns:r="http://schemas.openxmlformats.org/officeDocument/2006/relationships" r:id="rId12"/>
        </xdr:cNvPr>
        <xdr:cNvSpPr/>
      </xdr:nvSpPr>
      <xdr:spPr>
        <a:xfrm>
          <a:off x="5058822" y="656168"/>
          <a:ext cx="1461558" cy="306916"/>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Resultado DRE</a:t>
          </a:r>
        </a:p>
      </xdr:txBody>
    </xdr:sp>
    <xdr:clientData/>
  </xdr:twoCellAnchor>
  <xdr:twoCellAnchor editAs="oneCell">
    <xdr:from>
      <xdr:col>0</xdr:col>
      <xdr:colOff>381000</xdr:colOff>
      <xdr:row>0</xdr:row>
      <xdr:rowOff>31750</xdr:rowOff>
    </xdr:from>
    <xdr:to>
      <xdr:col>0</xdr:col>
      <xdr:colOff>1471083</xdr:colOff>
      <xdr:row>2</xdr:row>
      <xdr:rowOff>147919</xdr:rowOff>
    </xdr:to>
    <xdr:pic>
      <xdr:nvPicPr>
        <xdr:cNvPr id="24" name="Imagem 23"/>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xmlns="" val="0"/>
            </a:ext>
          </a:extLst>
        </a:blip>
        <a:stretch>
          <a:fillRect/>
        </a:stretch>
      </xdr:blipFill>
      <xdr:spPr>
        <a:xfrm>
          <a:off x="381000" y="31750"/>
          <a:ext cx="1090083" cy="81466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117475</xdr:colOff>
      <xdr:row>0</xdr:row>
      <xdr:rowOff>408517</xdr:rowOff>
    </xdr:from>
    <xdr:to>
      <xdr:col>6</xdr:col>
      <xdr:colOff>1227667</xdr:colOff>
      <xdr:row>2</xdr:row>
      <xdr:rowOff>146803</xdr:rowOff>
    </xdr:to>
    <xdr:sp macro="" textlink="">
      <xdr:nvSpPr>
        <xdr:cNvPr id="2" name="CaixaDeTexto 1"/>
        <xdr:cNvSpPr txBox="1"/>
      </xdr:nvSpPr>
      <xdr:spPr>
        <a:xfrm>
          <a:off x="1969558" y="408517"/>
          <a:ext cx="6063192"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pt-BR" sz="1100"/>
            <a:t>Avalie graficamente a posição</a:t>
          </a:r>
          <a:r>
            <a:rPr lang="pt-BR" sz="1100" baseline="0"/>
            <a:t> patrimonial de sua entidade, através das contas de origem do Ativo, Passivo e do DRE.</a:t>
          </a:r>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8</xdr:row>
      <xdr:rowOff>255060</xdr:rowOff>
    </xdr:from>
    <xdr:to>
      <xdr:col>0</xdr:col>
      <xdr:colOff>1717675</xdr:colOff>
      <xdr:row>8</xdr:row>
      <xdr:rowOff>255060</xdr:rowOff>
    </xdr:to>
    <xdr:cxnSp macro="">
      <xdr:nvCxnSpPr>
        <xdr:cNvPr id="6" name="Conector reto 5"/>
        <xdr:cNvCxnSpPr/>
      </xdr:nvCxnSpPr>
      <xdr:spPr>
        <a:xfrm>
          <a:off x="152400" y="330306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Balanço Patrimônial</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DRE</a:t>
          </a:r>
        </a:p>
      </xdr:txBody>
    </xdr:sp>
    <xdr:clientData/>
  </xdr:twoCellAnchor>
  <xdr:twoCellAnchor editAs="absolute">
    <xdr:from>
      <xdr:col>0</xdr:col>
      <xdr:colOff>12700</xdr:colOff>
      <xdr:row>6</xdr:row>
      <xdr:rowOff>1060</xdr:rowOff>
    </xdr:from>
    <xdr:to>
      <xdr:col>1</xdr:col>
      <xdr:colOff>12700</xdr:colOff>
      <xdr:row>6</xdr:row>
      <xdr:rowOff>255060</xdr:rowOff>
    </xdr:to>
    <xdr:sp macro="" textlink="">
      <xdr:nvSpPr>
        <xdr:cNvPr id="11" name="Retângulo 10">
          <a:hlinkClick xmlns:r="http://schemas.openxmlformats.org/officeDocument/2006/relationships" r:id="rId4"/>
        </xdr:cNvPr>
        <xdr:cNvSpPr/>
      </xdr:nvSpPr>
      <xdr:spPr>
        <a:xfrm>
          <a:off x="12700" y="2287060"/>
          <a:ext cx="1852083"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3. Gráficos</a:t>
          </a:r>
        </a:p>
      </xdr:txBody>
    </xdr:sp>
    <xdr:clientData/>
  </xdr:twoCellAnchor>
  <xdr:twoCellAnchor editAs="absolute">
    <xdr:from>
      <xdr:col>0</xdr:col>
      <xdr:colOff>12700</xdr:colOff>
      <xdr:row>6</xdr:row>
      <xdr:rowOff>318560</xdr:rowOff>
    </xdr:from>
    <xdr:to>
      <xdr:col>1</xdr:col>
      <xdr:colOff>12700</xdr:colOff>
      <xdr:row>7</xdr:row>
      <xdr:rowOff>191560</xdr:rowOff>
    </xdr:to>
    <xdr:sp macro="" textlink="">
      <xdr:nvSpPr>
        <xdr:cNvPr id="12" name="Retângulo 11">
          <a:hlinkClick xmlns:r="http://schemas.openxmlformats.org/officeDocument/2006/relationships" r:id="rId5"/>
        </xdr:cNvPr>
        <xdr:cNvSpPr/>
      </xdr:nvSpPr>
      <xdr:spPr>
        <a:xfrm>
          <a:off x="12700" y="2604560"/>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Alertas e Dicas</a:t>
          </a:r>
        </a:p>
      </xdr:txBody>
    </xdr:sp>
    <xdr:clientData/>
  </xdr:twoCellAnchor>
  <xdr:twoCellAnchor editAs="absolute">
    <xdr:from>
      <xdr:col>0</xdr:col>
      <xdr:colOff>12700</xdr:colOff>
      <xdr:row>7</xdr:row>
      <xdr:rowOff>255060</xdr:rowOff>
    </xdr:from>
    <xdr:to>
      <xdr:col>1</xdr:col>
      <xdr:colOff>12700</xdr:colOff>
      <xdr:row>8</xdr:row>
      <xdr:rowOff>128060</xdr:rowOff>
    </xdr:to>
    <xdr:sp macro="" textlink="">
      <xdr:nvSpPr>
        <xdr:cNvPr id="13" name="Retângulo 12">
          <a:hlinkClick xmlns:r="http://schemas.openxmlformats.org/officeDocument/2006/relationships" r:id="rId6"/>
        </xdr:cNvPr>
        <xdr:cNvSpPr/>
      </xdr:nvSpPr>
      <xdr:spPr>
        <a:xfrm>
          <a:off x="12700" y="2922060"/>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Relatórios de Impressão</a:t>
          </a:r>
        </a:p>
      </xdr:txBody>
    </xdr:sp>
    <xdr:clientData/>
  </xdr:twoCellAnchor>
  <xdr:twoCellAnchor editAs="absolute">
    <xdr:from>
      <xdr:col>0</xdr:col>
      <xdr:colOff>12700</xdr:colOff>
      <xdr:row>9</xdr:row>
      <xdr:rowOff>1060</xdr:rowOff>
    </xdr:from>
    <xdr:to>
      <xdr:col>1</xdr:col>
      <xdr:colOff>12700</xdr:colOff>
      <xdr:row>9</xdr:row>
      <xdr:rowOff>255060</xdr:rowOff>
    </xdr:to>
    <xdr:sp macro="" textlink="">
      <xdr:nvSpPr>
        <xdr:cNvPr id="14" name="Retângulo 13">
          <a:hlinkClick xmlns:r="http://schemas.openxmlformats.org/officeDocument/2006/relationships" r:id="rId7"/>
        </xdr:cNvPr>
        <xdr:cNvSpPr/>
      </xdr:nvSpPr>
      <xdr:spPr>
        <a:xfrm>
          <a:off x="12700" y="3430060"/>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9</xdr:row>
      <xdr:rowOff>318560</xdr:rowOff>
    </xdr:from>
    <xdr:to>
      <xdr:col>1</xdr:col>
      <xdr:colOff>12700</xdr:colOff>
      <xdr:row>10</xdr:row>
      <xdr:rowOff>191560</xdr:rowOff>
    </xdr:to>
    <xdr:sp macro="" textlink="">
      <xdr:nvSpPr>
        <xdr:cNvPr id="15" name="Retângulo 14">
          <a:hlinkClick xmlns:r="http://schemas.openxmlformats.org/officeDocument/2006/relationships" r:id="rId8"/>
        </xdr:cNvPr>
        <xdr:cNvSpPr/>
      </xdr:nvSpPr>
      <xdr:spPr>
        <a:xfrm>
          <a:off x="12700" y="3747560"/>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10</xdr:row>
      <xdr:rowOff>255060</xdr:rowOff>
    </xdr:from>
    <xdr:to>
      <xdr:col>1</xdr:col>
      <xdr:colOff>12700</xdr:colOff>
      <xdr:row>11</xdr:row>
      <xdr:rowOff>128060</xdr:rowOff>
    </xdr:to>
    <xdr:sp macro="" textlink="">
      <xdr:nvSpPr>
        <xdr:cNvPr id="16" name="Retângulo 15">
          <a:hlinkClick xmlns:r="http://schemas.openxmlformats.org/officeDocument/2006/relationships" r:id="rId9"/>
        </xdr:cNvPr>
        <xdr:cNvSpPr/>
      </xdr:nvSpPr>
      <xdr:spPr>
        <a:xfrm>
          <a:off x="12700" y="4065060"/>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VALOR</a:t>
          </a:r>
        </a:p>
      </xdr:txBody>
    </xdr:sp>
    <xdr:clientData/>
  </xdr:twoCellAnchor>
  <xdr:twoCellAnchor>
    <xdr:from>
      <xdr:col>2</xdr:col>
      <xdr:colOff>2</xdr:colOff>
      <xdr:row>16</xdr:row>
      <xdr:rowOff>2</xdr:rowOff>
    </xdr:from>
    <xdr:to>
      <xdr:col>10</xdr:col>
      <xdr:colOff>1248836</xdr:colOff>
      <xdr:row>22</xdr:row>
      <xdr:rowOff>0</xdr:rowOff>
    </xdr:to>
    <xdr:graphicFrame macro="">
      <xdr:nvGraphicFramePr>
        <xdr:cNvPr id="23" name="Gráfico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0</xdr:colOff>
      <xdr:row>6</xdr:row>
      <xdr:rowOff>0</xdr:rowOff>
    </xdr:from>
    <xdr:to>
      <xdr:col>10</xdr:col>
      <xdr:colOff>1248834</xdr:colOff>
      <xdr:row>12</xdr:row>
      <xdr:rowOff>10584</xdr:rowOff>
    </xdr:to>
    <xdr:graphicFrame macro="">
      <xdr:nvGraphicFramePr>
        <xdr:cNvPr id="24" name="Gráfico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4233</xdr:colOff>
      <xdr:row>26</xdr:row>
      <xdr:rowOff>4230</xdr:rowOff>
    </xdr:from>
    <xdr:to>
      <xdr:col>10</xdr:col>
      <xdr:colOff>1257300</xdr:colOff>
      <xdr:row>31</xdr:row>
      <xdr:rowOff>380999</xdr:rowOff>
    </xdr:to>
    <xdr:graphicFrame macro="">
      <xdr:nvGraphicFramePr>
        <xdr:cNvPr id="26" name="Gráfico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252941</xdr:colOff>
      <xdr:row>36</xdr:row>
      <xdr:rowOff>2116</xdr:rowOff>
    </xdr:from>
    <xdr:to>
      <xdr:col>10</xdr:col>
      <xdr:colOff>1258358</xdr:colOff>
      <xdr:row>42</xdr:row>
      <xdr:rowOff>0</xdr:rowOff>
    </xdr:to>
    <xdr:graphicFrame macro="">
      <xdr:nvGraphicFramePr>
        <xdr:cNvPr id="27" name="Gráfico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250825</xdr:colOff>
      <xdr:row>45</xdr:row>
      <xdr:rowOff>380999</xdr:rowOff>
    </xdr:from>
    <xdr:to>
      <xdr:col>5</xdr:col>
      <xdr:colOff>1182158</xdr:colOff>
      <xdr:row>52</xdr:row>
      <xdr:rowOff>0</xdr:rowOff>
    </xdr:to>
    <xdr:graphicFrame macro="">
      <xdr:nvGraphicFramePr>
        <xdr:cNvPr id="28" name="Gráfico 2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1369483</xdr:colOff>
      <xdr:row>46</xdr:row>
      <xdr:rowOff>2117</xdr:rowOff>
    </xdr:from>
    <xdr:to>
      <xdr:col>10</xdr:col>
      <xdr:colOff>1274235</xdr:colOff>
      <xdr:row>52</xdr:row>
      <xdr:rowOff>0</xdr:rowOff>
    </xdr:to>
    <xdr:graphicFrame macro="">
      <xdr:nvGraphicFramePr>
        <xdr:cNvPr id="29" name="Gráfico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1</xdr:colOff>
      <xdr:row>56</xdr:row>
      <xdr:rowOff>1</xdr:rowOff>
    </xdr:from>
    <xdr:to>
      <xdr:col>10</xdr:col>
      <xdr:colOff>1248835</xdr:colOff>
      <xdr:row>62</xdr:row>
      <xdr:rowOff>0</xdr:rowOff>
    </xdr:to>
    <xdr:graphicFrame macro="">
      <xdr:nvGraphicFramePr>
        <xdr:cNvPr id="31" name="Gráfico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0</xdr:colOff>
      <xdr:row>65</xdr:row>
      <xdr:rowOff>380999</xdr:rowOff>
    </xdr:from>
    <xdr:to>
      <xdr:col>10</xdr:col>
      <xdr:colOff>1259417</xdr:colOff>
      <xdr:row>72</xdr:row>
      <xdr:rowOff>0</xdr:rowOff>
    </xdr:to>
    <xdr:graphicFrame macro="">
      <xdr:nvGraphicFramePr>
        <xdr:cNvPr id="32" name="Gráfico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1</xdr:colOff>
      <xdr:row>76</xdr:row>
      <xdr:rowOff>1</xdr:rowOff>
    </xdr:from>
    <xdr:to>
      <xdr:col>5</xdr:col>
      <xdr:colOff>1185334</xdr:colOff>
      <xdr:row>82</xdr:row>
      <xdr:rowOff>0</xdr:rowOff>
    </xdr:to>
    <xdr:graphicFrame macro="">
      <xdr:nvGraphicFramePr>
        <xdr:cNvPr id="33" name="Gráfico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0</xdr:colOff>
      <xdr:row>75</xdr:row>
      <xdr:rowOff>380999</xdr:rowOff>
    </xdr:from>
    <xdr:to>
      <xdr:col>10</xdr:col>
      <xdr:colOff>1291168</xdr:colOff>
      <xdr:row>82</xdr:row>
      <xdr:rowOff>0</xdr:rowOff>
    </xdr:to>
    <xdr:graphicFrame macro="">
      <xdr:nvGraphicFramePr>
        <xdr:cNvPr id="34" name="Gráfico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0</xdr:colOff>
      <xdr:row>12</xdr:row>
      <xdr:rowOff>9526</xdr:rowOff>
    </xdr:from>
    <xdr:to>
      <xdr:col>10</xdr:col>
      <xdr:colOff>1248834</xdr:colOff>
      <xdr:row>14</xdr:row>
      <xdr:rowOff>1</xdr:rowOff>
    </xdr:to>
    <xdr:graphicFrame macro="">
      <xdr:nvGraphicFramePr>
        <xdr:cNvPr id="35" name="Gráfico 3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0</xdr:colOff>
      <xdr:row>22</xdr:row>
      <xdr:rowOff>0</xdr:rowOff>
    </xdr:from>
    <xdr:to>
      <xdr:col>10</xdr:col>
      <xdr:colOff>1248834</xdr:colOff>
      <xdr:row>23</xdr:row>
      <xdr:rowOff>371475</xdr:rowOff>
    </xdr:to>
    <xdr:graphicFrame macro="">
      <xdr:nvGraphicFramePr>
        <xdr:cNvPr id="36" name="Gráfico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xdr:col>
      <xdr:colOff>0</xdr:colOff>
      <xdr:row>32</xdr:row>
      <xdr:rowOff>0</xdr:rowOff>
    </xdr:from>
    <xdr:to>
      <xdr:col>10</xdr:col>
      <xdr:colOff>1259417</xdr:colOff>
      <xdr:row>33</xdr:row>
      <xdr:rowOff>371475</xdr:rowOff>
    </xdr:to>
    <xdr:graphicFrame macro="">
      <xdr:nvGraphicFramePr>
        <xdr:cNvPr id="37" name="Gráfico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0</xdr:colOff>
      <xdr:row>42</xdr:row>
      <xdr:rowOff>0</xdr:rowOff>
    </xdr:from>
    <xdr:to>
      <xdr:col>10</xdr:col>
      <xdr:colOff>1259417</xdr:colOff>
      <xdr:row>43</xdr:row>
      <xdr:rowOff>371475</xdr:rowOff>
    </xdr:to>
    <xdr:graphicFrame macro="">
      <xdr:nvGraphicFramePr>
        <xdr:cNvPr id="38" name="Gráfico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xdr:col>
      <xdr:colOff>0</xdr:colOff>
      <xdr:row>52</xdr:row>
      <xdr:rowOff>0</xdr:rowOff>
    </xdr:from>
    <xdr:to>
      <xdr:col>5</xdr:col>
      <xdr:colOff>1185333</xdr:colOff>
      <xdr:row>53</xdr:row>
      <xdr:rowOff>371475</xdr:rowOff>
    </xdr:to>
    <xdr:graphicFrame macro="">
      <xdr:nvGraphicFramePr>
        <xdr:cNvPr id="41" name="Gráfico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5</xdr:col>
      <xdr:colOff>1365250</xdr:colOff>
      <xdr:row>52</xdr:row>
      <xdr:rowOff>0</xdr:rowOff>
    </xdr:from>
    <xdr:to>
      <xdr:col>10</xdr:col>
      <xdr:colOff>1270000</xdr:colOff>
      <xdr:row>53</xdr:row>
      <xdr:rowOff>371475</xdr:rowOff>
    </xdr:to>
    <xdr:graphicFrame macro="">
      <xdr:nvGraphicFramePr>
        <xdr:cNvPr id="42" name="Gráfico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xdr:col>
      <xdr:colOff>0</xdr:colOff>
      <xdr:row>62</xdr:row>
      <xdr:rowOff>0</xdr:rowOff>
    </xdr:from>
    <xdr:to>
      <xdr:col>10</xdr:col>
      <xdr:colOff>1248834</xdr:colOff>
      <xdr:row>63</xdr:row>
      <xdr:rowOff>371475</xdr:rowOff>
    </xdr:to>
    <xdr:graphicFrame macro="">
      <xdr:nvGraphicFramePr>
        <xdr:cNvPr id="44" name="Gráfico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xdr:col>
      <xdr:colOff>0</xdr:colOff>
      <xdr:row>72</xdr:row>
      <xdr:rowOff>0</xdr:rowOff>
    </xdr:from>
    <xdr:to>
      <xdr:col>10</xdr:col>
      <xdr:colOff>1259417</xdr:colOff>
      <xdr:row>73</xdr:row>
      <xdr:rowOff>371475</xdr:rowOff>
    </xdr:to>
    <xdr:graphicFrame macro="">
      <xdr:nvGraphicFramePr>
        <xdr:cNvPr id="45" name="Gráfico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xdr:col>
      <xdr:colOff>0</xdr:colOff>
      <xdr:row>82</xdr:row>
      <xdr:rowOff>0</xdr:rowOff>
    </xdr:from>
    <xdr:to>
      <xdr:col>5</xdr:col>
      <xdr:colOff>1185333</xdr:colOff>
      <xdr:row>83</xdr:row>
      <xdr:rowOff>371475</xdr:rowOff>
    </xdr:to>
    <xdr:graphicFrame macro="">
      <xdr:nvGraphicFramePr>
        <xdr:cNvPr id="46" name="Gráfico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6</xdr:col>
      <xdr:colOff>0</xdr:colOff>
      <xdr:row>82</xdr:row>
      <xdr:rowOff>0</xdr:rowOff>
    </xdr:from>
    <xdr:to>
      <xdr:col>10</xdr:col>
      <xdr:colOff>1291167</xdr:colOff>
      <xdr:row>83</xdr:row>
      <xdr:rowOff>371475</xdr:rowOff>
    </xdr:to>
    <xdr:graphicFrame macro="">
      <xdr:nvGraphicFramePr>
        <xdr:cNvPr id="47" name="Gráfico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absolute">
    <xdr:from>
      <xdr:col>3</xdr:col>
      <xdr:colOff>794808</xdr:colOff>
      <xdr:row>0</xdr:row>
      <xdr:rowOff>16937</xdr:rowOff>
    </xdr:from>
    <xdr:to>
      <xdr:col>10</xdr:col>
      <xdr:colOff>21167</xdr:colOff>
      <xdr:row>1</xdr:row>
      <xdr:rowOff>192033</xdr:rowOff>
    </xdr:to>
    <xdr:sp macro="" textlink="">
      <xdr:nvSpPr>
        <xdr:cNvPr id="2" name="CaixaDeTexto 1"/>
        <xdr:cNvSpPr txBox="1"/>
      </xdr:nvSpPr>
      <xdr:spPr>
        <a:xfrm>
          <a:off x="5546725" y="16937"/>
          <a:ext cx="7110942"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r>
            <a:rPr lang="pt-BR" sz="1100" b="0" i="0">
              <a:solidFill>
                <a:schemeClr val="tx1"/>
              </a:solidFill>
              <a:effectLst/>
              <a:latin typeface="+mn-lt"/>
              <a:ea typeface="+mn-ea"/>
              <a:cs typeface="+mn-cs"/>
            </a:rPr>
            <a:t>A</a:t>
          </a:r>
          <a:r>
            <a:rPr lang="pt-BR" sz="1100" b="0" i="0" baseline="0">
              <a:solidFill>
                <a:schemeClr val="tx1"/>
              </a:solidFill>
              <a:effectLst/>
              <a:latin typeface="+mn-lt"/>
              <a:ea typeface="+mn-ea"/>
              <a:cs typeface="+mn-cs"/>
            </a:rPr>
            <a:t> Análise de Balanços </a:t>
          </a:r>
          <a:r>
            <a:rPr lang="pt-BR" sz="1100" b="0" i="0">
              <a:solidFill>
                <a:schemeClr val="tx1"/>
              </a:solidFill>
              <a:effectLst/>
              <a:latin typeface="+mn-lt"/>
              <a:ea typeface="+mn-ea"/>
              <a:cs typeface="+mn-cs"/>
            </a:rPr>
            <a:t>refere-se à avaliação ou estudo da viabilidade, estabilidade e capacidade de lucro de um negócio ou projeto. Engloba um conjunto de instrumentos e métodos que permitem realizar diagnósticos sobre a situação financeira de uma empresa, assim como prognósticos sobre o seu desempenho futuro.</a:t>
          </a:r>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9</xdr:row>
      <xdr:rowOff>64561</xdr:rowOff>
    </xdr:from>
    <xdr:to>
      <xdr:col>0</xdr:col>
      <xdr:colOff>1717675</xdr:colOff>
      <xdr:row>9</xdr:row>
      <xdr:rowOff>64561</xdr:rowOff>
    </xdr:to>
    <xdr:cxnSp macro="">
      <xdr:nvCxnSpPr>
        <xdr:cNvPr id="6" name="Conector reto 5"/>
        <xdr:cNvCxnSpPr/>
      </xdr:nvCxnSpPr>
      <xdr:spPr>
        <a:xfrm>
          <a:off x="152400" y="3303061"/>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191558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Balanço Patrimônial</a:t>
          </a:r>
        </a:p>
      </xdr:txBody>
    </xdr:sp>
    <xdr:clientData/>
  </xdr:twoCellAnchor>
  <xdr:twoCellAnchor editAs="absolute">
    <xdr:from>
      <xdr:col>0</xdr:col>
      <xdr:colOff>12700</xdr:colOff>
      <xdr:row>5</xdr:row>
      <xdr:rowOff>255058</xdr:rowOff>
    </xdr:from>
    <xdr:to>
      <xdr:col>1</xdr:col>
      <xdr:colOff>12700</xdr:colOff>
      <xdr:row>6</xdr:row>
      <xdr:rowOff>128058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DRE</a:t>
          </a:r>
        </a:p>
      </xdr:txBody>
    </xdr:sp>
    <xdr:clientData/>
  </xdr:twoCellAnchor>
  <xdr:twoCellAnchor editAs="absolute">
    <xdr:from>
      <xdr:col>0</xdr:col>
      <xdr:colOff>12700</xdr:colOff>
      <xdr:row>6</xdr:row>
      <xdr:rowOff>191561</xdr:rowOff>
    </xdr:from>
    <xdr:to>
      <xdr:col>1</xdr:col>
      <xdr:colOff>12700</xdr:colOff>
      <xdr:row>7</xdr:row>
      <xdr:rowOff>64561</xdr:rowOff>
    </xdr:to>
    <xdr:sp macro="" textlink="">
      <xdr:nvSpPr>
        <xdr:cNvPr id="11" name="Retângulo 10">
          <a:hlinkClick xmlns:r="http://schemas.openxmlformats.org/officeDocument/2006/relationships" r:id="rId4"/>
        </xdr:cNvPr>
        <xdr:cNvSpPr/>
      </xdr:nvSpPr>
      <xdr:spPr>
        <a:xfrm>
          <a:off x="12700" y="2287061"/>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7</xdr:row>
      <xdr:rowOff>128061</xdr:rowOff>
    </xdr:from>
    <xdr:to>
      <xdr:col>1</xdr:col>
      <xdr:colOff>12700</xdr:colOff>
      <xdr:row>8</xdr:row>
      <xdr:rowOff>1061</xdr:rowOff>
    </xdr:to>
    <xdr:sp macro="" textlink="">
      <xdr:nvSpPr>
        <xdr:cNvPr id="12" name="Retângulo 11">
          <a:hlinkClick xmlns:r="http://schemas.openxmlformats.org/officeDocument/2006/relationships" r:id="rId5"/>
        </xdr:cNvPr>
        <xdr:cNvSpPr/>
      </xdr:nvSpPr>
      <xdr:spPr>
        <a:xfrm>
          <a:off x="12700" y="2604561"/>
          <a:ext cx="1852083" cy="254000"/>
        </a:xfrm>
        <a:prstGeom prst="rect">
          <a:avLst/>
        </a:prstGeom>
        <a:solidFill>
          <a:schemeClr val="bg1"/>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tx1"/>
              </a:solidFill>
              <a:latin typeface="+mn-lt"/>
              <a:ea typeface="+mn-ea"/>
              <a:cs typeface="+mn-cs"/>
            </a:rPr>
            <a:t>4. Alertas e Dicas</a:t>
          </a:r>
        </a:p>
      </xdr:txBody>
    </xdr:sp>
    <xdr:clientData/>
  </xdr:twoCellAnchor>
  <xdr:twoCellAnchor editAs="absolute">
    <xdr:from>
      <xdr:col>0</xdr:col>
      <xdr:colOff>12700</xdr:colOff>
      <xdr:row>8</xdr:row>
      <xdr:rowOff>64561</xdr:rowOff>
    </xdr:from>
    <xdr:to>
      <xdr:col>1</xdr:col>
      <xdr:colOff>12700</xdr:colOff>
      <xdr:row>8</xdr:row>
      <xdr:rowOff>318561</xdr:rowOff>
    </xdr:to>
    <xdr:sp macro="" textlink="">
      <xdr:nvSpPr>
        <xdr:cNvPr id="13" name="Retângulo 12">
          <a:hlinkClick xmlns:r="http://schemas.openxmlformats.org/officeDocument/2006/relationships" r:id="rId6"/>
        </xdr:cNvPr>
        <xdr:cNvSpPr/>
      </xdr:nvSpPr>
      <xdr:spPr>
        <a:xfrm>
          <a:off x="12700" y="2922061"/>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Relatórios de Impressão</a:t>
          </a:r>
        </a:p>
      </xdr:txBody>
    </xdr:sp>
    <xdr:clientData/>
  </xdr:twoCellAnchor>
  <xdr:twoCellAnchor editAs="absolute">
    <xdr:from>
      <xdr:col>0</xdr:col>
      <xdr:colOff>12700</xdr:colOff>
      <xdr:row>9</xdr:row>
      <xdr:rowOff>191561</xdr:rowOff>
    </xdr:from>
    <xdr:to>
      <xdr:col>1</xdr:col>
      <xdr:colOff>12700</xdr:colOff>
      <xdr:row>10</xdr:row>
      <xdr:rowOff>64561</xdr:rowOff>
    </xdr:to>
    <xdr:sp macro="" textlink="">
      <xdr:nvSpPr>
        <xdr:cNvPr id="14" name="Retângulo 13">
          <a:hlinkClick xmlns:r="http://schemas.openxmlformats.org/officeDocument/2006/relationships" r:id="rId7"/>
        </xdr:cNvPr>
        <xdr:cNvSpPr/>
      </xdr:nvSpPr>
      <xdr:spPr>
        <a:xfrm>
          <a:off x="12700" y="3430061"/>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10</xdr:row>
      <xdr:rowOff>128061</xdr:rowOff>
    </xdr:from>
    <xdr:to>
      <xdr:col>1</xdr:col>
      <xdr:colOff>12700</xdr:colOff>
      <xdr:row>11</xdr:row>
      <xdr:rowOff>1061</xdr:rowOff>
    </xdr:to>
    <xdr:sp macro="" textlink="">
      <xdr:nvSpPr>
        <xdr:cNvPr id="15" name="Retângulo 14">
          <a:hlinkClick xmlns:r="http://schemas.openxmlformats.org/officeDocument/2006/relationships" r:id="rId8"/>
        </xdr:cNvPr>
        <xdr:cNvSpPr/>
      </xdr:nvSpPr>
      <xdr:spPr>
        <a:xfrm>
          <a:off x="12700" y="3747561"/>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11</xdr:row>
      <xdr:rowOff>64561</xdr:rowOff>
    </xdr:from>
    <xdr:to>
      <xdr:col>1</xdr:col>
      <xdr:colOff>12700</xdr:colOff>
      <xdr:row>11</xdr:row>
      <xdr:rowOff>318561</xdr:rowOff>
    </xdr:to>
    <xdr:sp macro="" textlink="">
      <xdr:nvSpPr>
        <xdr:cNvPr id="16" name="Retângulo 15">
          <a:hlinkClick xmlns:r="http://schemas.openxmlformats.org/officeDocument/2006/relationships" r:id="rId9"/>
        </xdr:cNvPr>
        <xdr:cNvSpPr/>
      </xdr:nvSpPr>
      <xdr:spPr>
        <a:xfrm>
          <a:off x="12700" y="4065061"/>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VALOR</a:t>
          </a:r>
        </a:p>
      </xdr:txBody>
    </xdr:sp>
    <xdr:clientData/>
  </xdr:twoCellAnchor>
  <xdr:twoCellAnchor>
    <xdr:from>
      <xdr:col>2</xdr:col>
      <xdr:colOff>0</xdr:colOff>
      <xdr:row>1</xdr:row>
      <xdr:rowOff>222251</xdr:rowOff>
    </xdr:from>
    <xdr:to>
      <xdr:col>2</xdr:col>
      <xdr:colOff>2095498</xdr:colOff>
      <xdr:row>3</xdr:row>
      <xdr:rowOff>2</xdr:rowOff>
    </xdr:to>
    <xdr:sp macro="" textlink="">
      <xdr:nvSpPr>
        <xdr:cNvPr id="32" name="Retângulo 31">
          <a:hlinkClick xmlns:r="http://schemas.openxmlformats.org/officeDocument/2006/relationships" r:id="rId10"/>
        </xdr:cNvPr>
        <xdr:cNvSpPr/>
      </xdr:nvSpPr>
      <xdr:spPr>
        <a:xfrm>
          <a:off x="2032000" y="656168"/>
          <a:ext cx="2095498" cy="306917"/>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0">
              <a:solidFill>
                <a:schemeClr val="bg1"/>
              </a:solidFill>
              <a:latin typeface="+mn-lt"/>
              <a:ea typeface="+mn-ea"/>
              <a:cs typeface="+mn-cs"/>
            </a:rPr>
            <a:t>Estrutura de Capitais</a:t>
          </a:r>
        </a:p>
      </xdr:txBody>
    </xdr:sp>
    <xdr:clientData/>
  </xdr:twoCellAnchor>
  <xdr:twoCellAnchor>
    <xdr:from>
      <xdr:col>2</xdr:col>
      <xdr:colOff>2137833</xdr:colOff>
      <xdr:row>1</xdr:row>
      <xdr:rowOff>222251</xdr:rowOff>
    </xdr:from>
    <xdr:to>
      <xdr:col>4</xdr:col>
      <xdr:colOff>465664</xdr:colOff>
      <xdr:row>3</xdr:row>
      <xdr:rowOff>2</xdr:rowOff>
    </xdr:to>
    <xdr:sp macro="" textlink="">
      <xdr:nvSpPr>
        <xdr:cNvPr id="33" name="Retângulo 32">
          <a:hlinkClick xmlns:r="http://schemas.openxmlformats.org/officeDocument/2006/relationships" r:id="rId11"/>
        </xdr:cNvPr>
        <xdr:cNvSpPr/>
      </xdr:nvSpPr>
      <xdr:spPr>
        <a:xfrm>
          <a:off x="4169833" y="656168"/>
          <a:ext cx="2095498"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Capacidade de Pamanto</a:t>
          </a:r>
          <a:r>
            <a:rPr lang="pt-BR" sz="1050" baseline="0">
              <a:solidFill>
                <a:schemeClr val="lt1"/>
              </a:solidFill>
              <a:latin typeface="+mn-lt"/>
              <a:ea typeface="+mn-ea"/>
              <a:cs typeface="+mn-cs"/>
            </a:rPr>
            <a:t> de Dívidas</a:t>
          </a:r>
        </a:p>
      </xdr:txBody>
    </xdr:sp>
    <xdr:clientData/>
  </xdr:twoCellAnchor>
  <xdr:twoCellAnchor>
    <xdr:from>
      <xdr:col>4</xdr:col>
      <xdr:colOff>508000</xdr:colOff>
      <xdr:row>1</xdr:row>
      <xdr:rowOff>222252</xdr:rowOff>
    </xdr:from>
    <xdr:to>
      <xdr:col>6</xdr:col>
      <xdr:colOff>1502832</xdr:colOff>
      <xdr:row>3</xdr:row>
      <xdr:rowOff>3</xdr:rowOff>
    </xdr:to>
    <xdr:sp macro="" textlink="">
      <xdr:nvSpPr>
        <xdr:cNvPr id="34" name="Retângulo 33">
          <a:hlinkClick xmlns:r="http://schemas.openxmlformats.org/officeDocument/2006/relationships" r:id="rId12"/>
        </xdr:cNvPr>
        <xdr:cNvSpPr/>
      </xdr:nvSpPr>
      <xdr:spPr>
        <a:xfrm>
          <a:off x="6307667" y="656169"/>
          <a:ext cx="2095498"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aseline="0">
              <a:solidFill>
                <a:schemeClr val="lt1"/>
              </a:solidFill>
              <a:latin typeface="+mn-lt"/>
              <a:ea typeface="+mn-ea"/>
              <a:cs typeface="+mn-cs"/>
            </a:rPr>
            <a:t>Atividade Operacional</a:t>
          </a:r>
        </a:p>
      </xdr:txBody>
    </xdr:sp>
    <xdr:clientData/>
  </xdr:twoCellAnchor>
  <xdr:twoCellAnchor>
    <xdr:from>
      <xdr:col>6</xdr:col>
      <xdr:colOff>1545163</xdr:colOff>
      <xdr:row>1</xdr:row>
      <xdr:rowOff>222251</xdr:rowOff>
    </xdr:from>
    <xdr:to>
      <xdr:col>7</xdr:col>
      <xdr:colOff>911219</xdr:colOff>
      <xdr:row>3</xdr:row>
      <xdr:rowOff>2</xdr:rowOff>
    </xdr:to>
    <xdr:sp macro="" textlink="">
      <xdr:nvSpPr>
        <xdr:cNvPr id="35" name="Retângulo 34">
          <a:hlinkClick xmlns:r="http://schemas.openxmlformats.org/officeDocument/2006/relationships" r:id="rId13"/>
        </xdr:cNvPr>
        <xdr:cNvSpPr/>
      </xdr:nvSpPr>
      <xdr:spPr>
        <a:xfrm>
          <a:off x="8445496" y="656168"/>
          <a:ext cx="2085973"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aseline="0">
              <a:solidFill>
                <a:schemeClr val="lt1"/>
              </a:solidFill>
              <a:latin typeface="+mn-lt"/>
              <a:ea typeface="+mn-ea"/>
              <a:cs typeface="+mn-cs"/>
            </a:rPr>
            <a:t>Rentabilidade</a:t>
          </a:r>
        </a:p>
      </xdr:txBody>
    </xdr:sp>
    <xdr:clientData/>
  </xdr:twoCellAnchor>
  <xdr:twoCellAnchor>
    <xdr:from>
      <xdr:col>7</xdr:col>
      <xdr:colOff>952500</xdr:colOff>
      <xdr:row>1</xdr:row>
      <xdr:rowOff>222251</xdr:rowOff>
    </xdr:from>
    <xdr:to>
      <xdr:col>10</xdr:col>
      <xdr:colOff>31749</xdr:colOff>
      <xdr:row>3</xdr:row>
      <xdr:rowOff>2</xdr:rowOff>
    </xdr:to>
    <xdr:sp macro="" textlink="">
      <xdr:nvSpPr>
        <xdr:cNvPr id="36" name="Retângulo 35">
          <a:hlinkClick xmlns:r="http://schemas.openxmlformats.org/officeDocument/2006/relationships" r:id="rId14"/>
        </xdr:cNvPr>
        <xdr:cNvSpPr/>
      </xdr:nvSpPr>
      <xdr:spPr>
        <a:xfrm>
          <a:off x="10572750" y="656168"/>
          <a:ext cx="2095499"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aseline="0">
              <a:solidFill>
                <a:schemeClr val="lt1"/>
              </a:solidFill>
              <a:latin typeface="+mn-lt"/>
              <a:ea typeface="+mn-ea"/>
              <a:cs typeface="+mn-cs"/>
            </a:rPr>
            <a:t>Gestão de Capital de Giro</a:t>
          </a:r>
        </a:p>
      </xdr:txBody>
    </xdr:sp>
    <xdr:clientData/>
  </xdr:twoCellAnchor>
  <xdr:twoCellAnchor editAs="oneCell">
    <xdr:from>
      <xdr:col>0</xdr:col>
      <xdr:colOff>370417</xdr:colOff>
      <xdr:row>0</xdr:row>
      <xdr:rowOff>10584</xdr:rowOff>
    </xdr:from>
    <xdr:to>
      <xdr:col>0</xdr:col>
      <xdr:colOff>1460500</xdr:colOff>
      <xdr:row>2</xdr:row>
      <xdr:rowOff>126753</xdr:rowOff>
    </xdr:to>
    <xdr:pic>
      <xdr:nvPicPr>
        <xdr:cNvPr id="25" name="Imagem 24"/>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xmlns="" val="0"/>
            </a:ext>
          </a:extLst>
        </a:blip>
        <a:stretch>
          <a:fillRect/>
        </a:stretch>
      </xdr:blipFill>
      <xdr:spPr>
        <a:xfrm>
          <a:off x="370417" y="10584"/>
          <a:ext cx="1090083" cy="81466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3</xdr:col>
      <xdr:colOff>794808</xdr:colOff>
      <xdr:row>0</xdr:row>
      <xdr:rowOff>16934</xdr:rowOff>
    </xdr:from>
    <xdr:to>
      <xdr:col>10</xdr:col>
      <xdr:colOff>211667</xdr:colOff>
      <xdr:row>2</xdr:row>
      <xdr:rowOff>99674</xdr:rowOff>
    </xdr:to>
    <xdr:sp macro="" textlink="">
      <xdr:nvSpPr>
        <xdr:cNvPr id="2" name="CaixaDeTexto 1"/>
        <xdr:cNvSpPr txBox="1"/>
      </xdr:nvSpPr>
      <xdr:spPr>
        <a:xfrm>
          <a:off x="5546725" y="16934"/>
          <a:ext cx="7110942"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b="0" i="0">
              <a:solidFill>
                <a:schemeClr val="tx1"/>
              </a:solidFill>
              <a:effectLst/>
              <a:latin typeface="+mn-lt"/>
              <a:ea typeface="+mn-ea"/>
              <a:cs typeface="+mn-cs"/>
            </a:rPr>
            <a:t>A</a:t>
          </a:r>
          <a:r>
            <a:rPr lang="pt-BR" sz="1100" b="0" i="0" baseline="0">
              <a:solidFill>
                <a:schemeClr val="tx1"/>
              </a:solidFill>
              <a:effectLst/>
              <a:latin typeface="+mn-lt"/>
              <a:ea typeface="+mn-ea"/>
              <a:cs typeface="+mn-cs"/>
            </a:rPr>
            <a:t> Análise de Balanços </a:t>
          </a:r>
          <a:r>
            <a:rPr lang="pt-BR" sz="1100" b="0" i="0">
              <a:solidFill>
                <a:schemeClr val="tx1"/>
              </a:solidFill>
              <a:effectLst/>
              <a:latin typeface="+mn-lt"/>
              <a:ea typeface="+mn-ea"/>
              <a:cs typeface="+mn-cs"/>
            </a:rPr>
            <a:t>refere-se à avaliação ou estudo da viabilidade, estabilidade e capacidade de lucro de um negócio ou projeto. Engloba um conjunto de instrumentos e métodos que permitem realizar diagnósticos sobre a situação financeira de uma empresa, assim como prognósticos sobre o seu desempenho futuro.</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9</xdr:row>
      <xdr:rowOff>64555</xdr:rowOff>
    </xdr:from>
    <xdr:to>
      <xdr:col>0</xdr:col>
      <xdr:colOff>1717675</xdr:colOff>
      <xdr:row>9</xdr:row>
      <xdr:rowOff>64555</xdr:rowOff>
    </xdr:to>
    <xdr:cxnSp macro="">
      <xdr:nvCxnSpPr>
        <xdr:cNvPr id="6" name="Conector reto 5"/>
        <xdr:cNvCxnSpPr/>
      </xdr:nvCxnSpPr>
      <xdr:spPr>
        <a:xfrm>
          <a:off x="152400" y="330305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191558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Balanço Patrimônial</a:t>
          </a:r>
        </a:p>
      </xdr:txBody>
    </xdr:sp>
    <xdr:clientData/>
  </xdr:twoCellAnchor>
  <xdr:twoCellAnchor editAs="absolute">
    <xdr:from>
      <xdr:col>0</xdr:col>
      <xdr:colOff>12700</xdr:colOff>
      <xdr:row>5</xdr:row>
      <xdr:rowOff>255058</xdr:rowOff>
    </xdr:from>
    <xdr:to>
      <xdr:col>1</xdr:col>
      <xdr:colOff>12700</xdr:colOff>
      <xdr:row>6</xdr:row>
      <xdr:rowOff>128058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DRE</a:t>
          </a:r>
        </a:p>
      </xdr:txBody>
    </xdr:sp>
    <xdr:clientData/>
  </xdr:twoCellAnchor>
  <xdr:twoCellAnchor editAs="absolute">
    <xdr:from>
      <xdr:col>0</xdr:col>
      <xdr:colOff>12700</xdr:colOff>
      <xdr:row>6</xdr:row>
      <xdr:rowOff>191555</xdr:rowOff>
    </xdr:from>
    <xdr:to>
      <xdr:col>1</xdr:col>
      <xdr:colOff>12700</xdr:colOff>
      <xdr:row>7</xdr:row>
      <xdr:rowOff>64555</xdr:rowOff>
    </xdr:to>
    <xdr:sp macro="" textlink="">
      <xdr:nvSpPr>
        <xdr:cNvPr id="11" name="Retângulo 10">
          <a:hlinkClick xmlns:r="http://schemas.openxmlformats.org/officeDocument/2006/relationships" r:id="rId4"/>
        </xdr:cNvPr>
        <xdr:cNvSpPr/>
      </xdr:nvSpPr>
      <xdr:spPr>
        <a:xfrm>
          <a:off x="12700" y="2287055"/>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7</xdr:row>
      <xdr:rowOff>128055</xdr:rowOff>
    </xdr:from>
    <xdr:to>
      <xdr:col>1</xdr:col>
      <xdr:colOff>12700</xdr:colOff>
      <xdr:row>8</xdr:row>
      <xdr:rowOff>1055</xdr:rowOff>
    </xdr:to>
    <xdr:sp macro="" textlink="">
      <xdr:nvSpPr>
        <xdr:cNvPr id="12" name="Retângulo 11">
          <a:hlinkClick xmlns:r="http://schemas.openxmlformats.org/officeDocument/2006/relationships" r:id="rId5"/>
        </xdr:cNvPr>
        <xdr:cNvSpPr/>
      </xdr:nvSpPr>
      <xdr:spPr>
        <a:xfrm>
          <a:off x="12700" y="2604555"/>
          <a:ext cx="1852083" cy="254000"/>
        </a:xfrm>
        <a:prstGeom prst="rect">
          <a:avLst/>
        </a:prstGeom>
        <a:solidFill>
          <a:schemeClr val="bg1"/>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tx1"/>
              </a:solidFill>
              <a:latin typeface="+mn-lt"/>
              <a:ea typeface="+mn-ea"/>
              <a:cs typeface="+mn-cs"/>
            </a:rPr>
            <a:t>4. Alertas e Dicas</a:t>
          </a:r>
        </a:p>
      </xdr:txBody>
    </xdr:sp>
    <xdr:clientData/>
  </xdr:twoCellAnchor>
  <xdr:twoCellAnchor editAs="absolute">
    <xdr:from>
      <xdr:col>0</xdr:col>
      <xdr:colOff>12700</xdr:colOff>
      <xdr:row>8</xdr:row>
      <xdr:rowOff>64555</xdr:rowOff>
    </xdr:from>
    <xdr:to>
      <xdr:col>1</xdr:col>
      <xdr:colOff>12700</xdr:colOff>
      <xdr:row>8</xdr:row>
      <xdr:rowOff>318555</xdr:rowOff>
    </xdr:to>
    <xdr:sp macro="" textlink="">
      <xdr:nvSpPr>
        <xdr:cNvPr id="13" name="Retângulo 12">
          <a:hlinkClick xmlns:r="http://schemas.openxmlformats.org/officeDocument/2006/relationships" r:id="rId6"/>
        </xdr:cNvPr>
        <xdr:cNvSpPr/>
      </xdr:nvSpPr>
      <xdr:spPr>
        <a:xfrm>
          <a:off x="12700" y="2922055"/>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9</xdr:row>
      <xdr:rowOff>191555</xdr:rowOff>
    </xdr:from>
    <xdr:to>
      <xdr:col>1</xdr:col>
      <xdr:colOff>12700</xdr:colOff>
      <xdr:row>10</xdr:row>
      <xdr:rowOff>64555</xdr:rowOff>
    </xdr:to>
    <xdr:sp macro="" textlink="">
      <xdr:nvSpPr>
        <xdr:cNvPr id="14" name="Retângulo 13">
          <a:hlinkClick xmlns:r="http://schemas.openxmlformats.org/officeDocument/2006/relationships" r:id="rId7"/>
        </xdr:cNvPr>
        <xdr:cNvSpPr/>
      </xdr:nvSpPr>
      <xdr:spPr>
        <a:xfrm>
          <a:off x="12700" y="3430055"/>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10</xdr:row>
      <xdr:rowOff>128055</xdr:rowOff>
    </xdr:from>
    <xdr:to>
      <xdr:col>1</xdr:col>
      <xdr:colOff>12700</xdr:colOff>
      <xdr:row>11</xdr:row>
      <xdr:rowOff>1055</xdr:rowOff>
    </xdr:to>
    <xdr:sp macro="" textlink="">
      <xdr:nvSpPr>
        <xdr:cNvPr id="15" name="Retângulo 14">
          <a:hlinkClick xmlns:r="http://schemas.openxmlformats.org/officeDocument/2006/relationships" r:id="rId8"/>
        </xdr:cNvPr>
        <xdr:cNvSpPr/>
      </xdr:nvSpPr>
      <xdr:spPr>
        <a:xfrm>
          <a:off x="12700" y="3747555"/>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11</xdr:row>
      <xdr:rowOff>64555</xdr:rowOff>
    </xdr:from>
    <xdr:to>
      <xdr:col>1</xdr:col>
      <xdr:colOff>12700</xdr:colOff>
      <xdr:row>11</xdr:row>
      <xdr:rowOff>318555</xdr:rowOff>
    </xdr:to>
    <xdr:sp macro="" textlink="">
      <xdr:nvSpPr>
        <xdr:cNvPr id="16" name="Retângulo 15">
          <a:hlinkClick xmlns:r="http://schemas.openxmlformats.org/officeDocument/2006/relationships" r:id="rId9"/>
        </xdr:cNvPr>
        <xdr:cNvSpPr/>
      </xdr:nvSpPr>
      <xdr:spPr>
        <a:xfrm>
          <a:off x="12700" y="4065055"/>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VALOR</a:t>
          </a:r>
        </a:p>
      </xdr:txBody>
    </xdr:sp>
    <xdr:clientData/>
  </xdr:twoCellAnchor>
  <xdr:twoCellAnchor>
    <xdr:from>
      <xdr:col>2</xdr:col>
      <xdr:colOff>0</xdr:colOff>
      <xdr:row>1</xdr:row>
      <xdr:rowOff>222251</xdr:rowOff>
    </xdr:from>
    <xdr:to>
      <xdr:col>2</xdr:col>
      <xdr:colOff>2095498</xdr:colOff>
      <xdr:row>3</xdr:row>
      <xdr:rowOff>2</xdr:rowOff>
    </xdr:to>
    <xdr:sp macro="" textlink="">
      <xdr:nvSpPr>
        <xdr:cNvPr id="32" name="Retângulo 31">
          <a:hlinkClick xmlns:r="http://schemas.openxmlformats.org/officeDocument/2006/relationships" r:id="rId10"/>
        </xdr:cNvPr>
        <xdr:cNvSpPr/>
      </xdr:nvSpPr>
      <xdr:spPr>
        <a:xfrm>
          <a:off x="2032000" y="656168"/>
          <a:ext cx="2095498"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aseline="0">
              <a:solidFill>
                <a:schemeClr val="lt1"/>
              </a:solidFill>
              <a:latin typeface="+mn-lt"/>
              <a:ea typeface="+mn-ea"/>
              <a:cs typeface="+mn-cs"/>
            </a:rPr>
            <a:t>Estrutura de Capitais</a:t>
          </a:r>
        </a:p>
      </xdr:txBody>
    </xdr:sp>
    <xdr:clientData/>
  </xdr:twoCellAnchor>
  <xdr:twoCellAnchor>
    <xdr:from>
      <xdr:col>2</xdr:col>
      <xdr:colOff>2137833</xdr:colOff>
      <xdr:row>1</xdr:row>
      <xdr:rowOff>222251</xdr:rowOff>
    </xdr:from>
    <xdr:to>
      <xdr:col>4</xdr:col>
      <xdr:colOff>465665</xdr:colOff>
      <xdr:row>3</xdr:row>
      <xdr:rowOff>2</xdr:rowOff>
    </xdr:to>
    <xdr:sp macro="" textlink="">
      <xdr:nvSpPr>
        <xdr:cNvPr id="33" name="Retângulo 32">
          <a:hlinkClick xmlns:r="http://schemas.openxmlformats.org/officeDocument/2006/relationships" r:id="rId11"/>
        </xdr:cNvPr>
        <xdr:cNvSpPr/>
      </xdr:nvSpPr>
      <xdr:spPr>
        <a:xfrm>
          <a:off x="4169833" y="656168"/>
          <a:ext cx="2095499" cy="306917"/>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0">
              <a:solidFill>
                <a:schemeClr val="bg1"/>
              </a:solidFill>
              <a:latin typeface="+mn-lt"/>
              <a:ea typeface="+mn-ea"/>
              <a:cs typeface="+mn-cs"/>
            </a:rPr>
            <a:t>Capacidade de Pamanto de Dívidas</a:t>
          </a:r>
        </a:p>
      </xdr:txBody>
    </xdr:sp>
    <xdr:clientData/>
  </xdr:twoCellAnchor>
  <xdr:twoCellAnchor>
    <xdr:from>
      <xdr:col>4</xdr:col>
      <xdr:colOff>508001</xdr:colOff>
      <xdr:row>1</xdr:row>
      <xdr:rowOff>222252</xdr:rowOff>
    </xdr:from>
    <xdr:to>
      <xdr:col>6</xdr:col>
      <xdr:colOff>1502832</xdr:colOff>
      <xdr:row>3</xdr:row>
      <xdr:rowOff>3</xdr:rowOff>
    </xdr:to>
    <xdr:sp macro="" textlink="">
      <xdr:nvSpPr>
        <xdr:cNvPr id="34" name="Retângulo 33">
          <a:hlinkClick xmlns:r="http://schemas.openxmlformats.org/officeDocument/2006/relationships" r:id="rId12"/>
        </xdr:cNvPr>
        <xdr:cNvSpPr/>
      </xdr:nvSpPr>
      <xdr:spPr>
        <a:xfrm>
          <a:off x="6307668" y="656169"/>
          <a:ext cx="2095497"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aseline="0">
              <a:solidFill>
                <a:schemeClr val="lt1"/>
              </a:solidFill>
              <a:latin typeface="+mn-lt"/>
              <a:ea typeface="+mn-ea"/>
              <a:cs typeface="+mn-cs"/>
            </a:rPr>
            <a:t>Atividade Operacional</a:t>
          </a:r>
        </a:p>
      </xdr:txBody>
    </xdr:sp>
    <xdr:clientData/>
  </xdr:twoCellAnchor>
  <xdr:twoCellAnchor>
    <xdr:from>
      <xdr:col>6</xdr:col>
      <xdr:colOff>1545164</xdr:colOff>
      <xdr:row>1</xdr:row>
      <xdr:rowOff>222251</xdr:rowOff>
    </xdr:from>
    <xdr:to>
      <xdr:col>7</xdr:col>
      <xdr:colOff>911221</xdr:colOff>
      <xdr:row>3</xdr:row>
      <xdr:rowOff>2</xdr:rowOff>
    </xdr:to>
    <xdr:sp macro="" textlink="">
      <xdr:nvSpPr>
        <xdr:cNvPr id="35" name="Retângulo 34">
          <a:hlinkClick xmlns:r="http://schemas.openxmlformats.org/officeDocument/2006/relationships" r:id="rId13"/>
        </xdr:cNvPr>
        <xdr:cNvSpPr/>
      </xdr:nvSpPr>
      <xdr:spPr>
        <a:xfrm>
          <a:off x="8445497" y="656168"/>
          <a:ext cx="2085974"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aseline="0">
              <a:solidFill>
                <a:schemeClr val="lt1"/>
              </a:solidFill>
              <a:latin typeface="+mn-lt"/>
              <a:ea typeface="+mn-ea"/>
              <a:cs typeface="+mn-cs"/>
            </a:rPr>
            <a:t>Rentabilidade</a:t>
          </a:r>
        </a:p>
      </xdr:txBody>
    </xdr:sp>
    <xdr:clientData/>
  </xdr:twoCellAnchor>
  <xdr:twoCellAnchor>
    <xdr:from>
      <xdr:col>7</xdr:col>
      <xdr:colOff>952502</xdr:colOff>
      <xdr:row>1</xdr:row>
      <xdr:rowOff>222251</xdr:rowOff>
    </xdr:from>
    <xdr:to>
      <xdr:col>10</xdr:col>
      <xdr:colOff>222250</xdr:colOff>
      <xdr:row>3</xdr:row>
      <xdr:rowOff>2</xdr:rowOff>
    </xdr:to>
    <xdr:sp macro="" textlink="">
      <xdr:nvSpPr>
        <xdr:cNvPr id="36" name="Retângulo 35">
          <a:hlinkClick xmlns:r="http://schemas.openxmlformats.org/officeDocument/2006/relationships" r:id="rId14"/>
        </xdr:cNvPr>
        <xdr:cNvSpPr/>
      </xdr:nvSpPr>
      <xdr:spPr>
        <a:xfrm>
          <a:off x="10572752" y="656168"/>
          <a:ext cx="2095498"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aseline="0">
              <a:solidFill>
                <a:schemeClr val="lt1"/>
              </a:solidFill>
              <a:latin typeface="+mn-lt"/>
              <a:ea typeface="+mn-ea"/>
              <a:cs typeface="+mn-cs"/>
            </a:rPr>
            <a:t>Gestão de Capital de Giro</a:t>
          </a:r>
        </a:p>
      </xdr:txBody>
    </xdr:sp>
    <xdr:clientData/>
  </xdr:twoCellAnchor>
  <xdr:twoCellAnchor editAs="oneCell">
    <xdr:from>
      <xdr:col>0</xdr:col>
      <xdr:colOff>349250</xdr:colOff>
      <xdr:row>0</xdr:row>
      <xdr:rowOff>21167</xdr:rowOff>
    </xdr:from>
    <xdr:to>
      <xdr:col>0</xdr:col>
      <xdr:colOff>1439333</xdr:colOff>
      <xdr:row>2</xdr:row>
      <xdr:rowOff>137336</xdr:rowOff>
    </xdr:to>
    <xdr:pic>
      <xdr:nvPicPr>
        <xdr:cNvPr id="25" name="Imagem 24"/>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xmlns="" val="0"/>
            </a:ext>
          </a:extLst>
        </a:blip>
        <a:stretch>
          <a:fillRect/>
        </a:stretch>
      </xdr:blipFill>
      <xdr:spPr>
        <a:xfrm>
          <a:off x="349250" y="21167"/>
          <a:ext cx="1090083" cy="81466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3</xdr:col>
      <xdr:colOff>794808</xdr:colOff>
      <xdr:row>0</xdr:row>
      <xdr:rowOff>16936</xdr:rowOff>
    </xdr:from>
    <xdr:to>
      <xdr:col>9</xdr:col>
      <xdr:colOff>941917</xdr:colOff>
      <xdr:row>2</xdr:row>
      <xdr:rowOff>99676</xdr:rowOff>
    </xdr:to>
    <xdr:sp macro="" textlink="">
      <xdr:nvSpPr>
        <xdr:cNvPr id="2" name="CaixaDeTexto 1"/>
        <xdr:cNvSpPr txBox="1"/>
      </xdr:nvSpPr>
      <xdr:spPr>
        <a:xfrm>
          <a:off x="5546725" y="16936"/>
          <a:ext cx="7110942"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b="0" i="0">
              <a:solidFill>
                <a:schemeClr val="tx1"/>
              </a:solidFill>
              <a:effectLst/>
              <a:latin typeface="+mn-lt"/>
              <a:ea typeface="+mn-ea"/>
              <a:cs typeface="+mn-cs"/>
            </a:rPr>
            <a:t>A</a:t>
          </a:r>
          <a:r>
            <a:rPr lang="pt-BR" sz="1100" b="0" i="0" baseline="0">
              <a:solidFill>
                <a:schemeClr val="tx1"/>
              </a:solidFill>
              <a:effectLst/>
              <a:latin typeface="+mn-lt"/>
              <a:ea typeface="+mn-ea"/>
              <a:cs typeface="+mn-cs"/>
            </a:rPr>
            <a:t> Análise de Balanços </a:t>
          </a:r>
          <a:r>
            <a:rPr lang="pt-BR" sz="1100" b="0" i="0">
              <a:solidFill>
                <a:schemeClr val="tx1"/>
              </a:solidFill>
              <a:effectLst/>
              <a:latin typeface="+mn-lt"/>
              <a:ea typeface="+mn-ea"/>
              <a:cs typeface="+mn-cs"/>
            </a:rPr>
            <a:t>refere-se à avaliação ou estudo da viabilidade, estabilidade e capacidade de lucro de um negócio ou projeto. Engloba um conjunto de instrumentos e métodos que permitem realizar diagnósticos sobre a situação financeira de uma empresa, assim como prognósticos sobre o seu desempenho futuro.</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9</xdr:row>
      <xdr:rowOff>64559</xdr:rowOff>
    </xdr:from>
    <xdr:to>
      <xdr:col>0</xdr:col>
      <xdr:colOff>1717675</xdr:colOff>
      <xdr:row>9</xdr:row>
      <xdr:rowOff>64559</xdr:rowOff>
    </xdr:to>
    <xdr:cxnSp macro="">
      <xdr:nvCxnSpPr>
        <xdr:cNvPr id="6" name="Conector reto 5"/>
        <xdr:cNvCxnSpPr/>
      </xdr:nvCxnSpPr>
      <xdr:spPr>
        <a:xfrm>
          <a:off x="152400" y="3303059"/>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191558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Balanço Patrimônial</a:t>
          </a:r>
        </a:p>
      </xdr:txBody>
    </xdr:sp>
    <xdr:clientData/>
  </xdr:twoCellAnchor>
  <xdr:twoCellAnchor editAs="absolute">
    <xdr:from>
      <xdr:col>0</xdr:col>
      <xdr:colOff>12700</xdr:colOff>
      <xdr:row>5</xdr:row>
      <xdr:rowOff>255058</xdr:rowOff>
    </xdr:from>
    <xdr:to>
      <xdr:col>1</xdr:col>
      <xdr:colOff>12700</xdr:colOff>
      <xdr:row>6</xdr:row>
      <xdr:rowOff>128058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DRE</a:t>
          </a:r>
        </a:p>
      </xdr:txBody>
    </xdr:sp>
    <xdr:clientData/>
  </xdr:twoCellAnchor>
  <xdr:twoCellAnchor editAs="absolute">
    <xdr:from>
      <xdr:col>0</xdr:col>
      <xdr:colOff>12700</xdr:colOff>
      <xdr:row>6</xdr:row>
      <xdr:rowOff>191559</xdr:rowOff>
    </xdr:from>
    <xdr:to>
      <xdr:col>1</xdr:col>
      <xdr:colOff>12700</xdr:colOff>
      <xdr:row>7</xdr:row>
      <xdr:rowOff>64559</xdr:rowOff>
    </xdr:to>
    <xdr:sp macro="" textlink="">
      <xdr:nvSpPr>
        <xdr:cNvPr id="11" name="Retângulo 10">
          <a:hlinkClick xmlns:r="http://schemas.openxmlformats.org/officeDocument/2006/relationships" r:id="rId4"/>
        </xdr:cNvPr>
        <xdr:cNvSpPr/>
      </xdr:nvSpPr>
      <xdr:spPr>
        <a:xfrm>
          <a:off x="12700" y="22870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7</xdr:row>
      <xdr:rowOff>128059</xdr:rowOff>
    </xdr:from>
    <xdr:to>
      <xdr:col>1</xdr:col>
      <xdr:colOff>12700</xdr:colOff>
      <xdr:row>8</xdr:row>
      <xdr:rowOff>1059</xdr:rowOff>
    </xdr:to>
    <xdr:sp macro="" textlink="">
      <xdr:nvSpPr>
        <xdr:cNvPr id="12" name="Retângulo 11">
          <a:hlinkClick xmlns:r="http://schemas.openxmlformats.org/officeDocument/2006/relationships" r:id="rId5"/>
        </xdr:cNvPr>
        <xdr:cNvSpPr/>
      </xdr:nvSpPr>
      <xdr:spPr>
        <a:xfrm>
          <a:off x="12700" y="2604559"/>
          <a:ext cx="1852083" cy="254000"/>
        </a:xfrm>
        <a:prstGeom prst="rect">
          <a:avLst/>
        </a:prstGeom>
        <a:solidFill>
          <a:schemeClr val="bg1"/>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tx1"/>
              </a:solidFill>
              <a:latin typeface="+mn-lt"/>
              <a:ea typeface="+mn-ea"/>
              <a:cs typeface="+mn-cs"/>
            </a:rPr>
            <a:t>4. Alertas e Dicas</a:t>
          </a:r>
        </a:p>
      </xdr:txBody>
    </xdr:sp>
    <xdr:clientData/>
  </xdr:twoCellAnchor>
  <xdr:twoCellAnchor editAs="absolute">
    <xdr:from>
      <xdr:col>0</xdr:col>
      <xdr:colOff>12700</xdr:colOff>
      <xdr:row>8</xdr:row>
      <xdr:rowOff>64559</xdr:rowOff>
    </xdr:from>
    <xdr:to>
      <xdr:col>1</xdr:col>
      <xdr:colOff>12700</xdr:colOff>
      <xdr:row>8</xdr:row>
      <xdr:rowOff>318559</xdr:rowOff>
    </xdr:to>
    <xdr:sp macro="" textlink="">
      <xdr:nvSpPr>
        <xdr:cNvPr id="13" name="Retângulo 12">
          <a:hlinkClick xmlns:r="http://schemas.openxmlformats.org/officeDocument/2006/relationships" r:id="rId6"/>
        </xdr:cNvPr>
        <xdr:cNvSpPr/>
      </xdr:nvSpPr>
      <xdr:spPr>
        <a:xfrm>
          <a:off x="12700" y="29220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Relatórios de Impressão</a:t>
          </a:r>
        </a:p>
      </xdr:txBody>
    </xdr:sp>
    <xdr:clientData/>
  </xdr:twoCellAnchor>
  <xdr:twoCellAnchor editAs="absolute">
    <xdr:from>
      <xdr:col>0</xdr:col>
      <xdr:colOff>12700</xdr:colOff>
      <xdr:row>9</xdr:row>
      <xdr:rowOff>191559</xdr:rowOff>
    </xdr:from>
    <xdr:to>
      <xdr:col>1</xdr:col>
      <xdr:colOff>12700</xdr:colOff>
      <xdr:row>10</xdr:row>
      <xdr:rowOff>64559</xdr:rowOff>
    </xdr:to>
    <xdr:sp macro="" textlink="">
      <xdr:nvSpPr>
        <xdr:cNvPr id="14" name="Retângulo 13">
          <a:hlinkClick xmlns:r="http://schemas.openxmlformats.org/officeDocument/2006/relationships" r:id="rId7"/>
        </xdr:cNvPr>
        <xdr:cNvSpPr/>
      </xdr:nvSpPr>
      <xdr:spPr>
        <a:xfrm>
          <a:off x="12700" y="34300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10</xdr:row>
      <xdr:rowOff>128059</xdr:rowOff>
    </xdr:from>
    <xdr:to>
      <xdr:col>1</xdr:col>
      <xdr:colOff>12700</xdr:colOff>
      <xdr:row>11</xdr:row>
      <xdr:rowOff>1059</xdr:rowOff>
    </xdr:to>
    <xdr:sp macro="" textlink="">
      <xdr:nvSpPr>
        <xdr:cNvPr id="15" name="Retângulo 14">
          <a:hlinkClick xmlns:r="http://schemas.openxmlformats.org/officeDocument/2006/relationships" r:id="rId8"/>
        </xdr:cNvPr>
        <xdr:cNvSpPr/>
      </xdr:nvSpPr>
      <xdr:spPr>
        <a:xfrm>
          <a:off x="12700" y="37475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11</xdr:row>
      <xdr:rowOff>64559</xdr:rowOff>
    </xdr:from>
    <xdr:to>
      <xdr:col>1</xdr:col>
      <xdr:colOff>12700</xdr:colOff>
      <xdr:row>11</xdr:row>
      <xdr:rowOff>318559</xdr:rowOff>
    </xdr:to>
    <xdr:sp macro="" textlink="">
      <xdr:nvSpPr>
        <xdr:cNvPr id="16" name="Retângulo 15">
          <a:hlinkClick xmlns:r="http://schemas.openxmlformats.org/officeDocument/2006/relationships" r:id="rId9"/>
        </xdr:cNvPr>
        <xdr:cNvSpPr/>
      </xdr:nvSpPr>
      <xdr:spPr>
        <a:xfrm>
          <a:off x="12700" y="40650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VALOR</a:t>
          </a:r>
        </a:p>
      </xdr:txBody>
    </xdr:sp>
    <xdr:clientData/>
  </xdr:twoCellAnchor>
  <xdr:twoCellAnchor>
    <xdr:from>
      <xdr:col>2</xdr:col>
      <xdr:colOff>0</xdr:colOff>
      <xdr:row>1</xdr:row>
      <xdr:rowOff>222251</xdr:rowOff>
    </xdr:from>
    <xdr:to>
      <xdr:col>2</xdr:col>
      <xdr:colOff>2095499</xdr:colOff>
      <xdr:row>3</xdr:row>
      <xdr:rowOff>2</xdr:rowOff>
    </xdr:to>
    <xdr:sp macro="" textlink="">
      <xdr:nvSpPr>
        <xdr:cNvPr id="32" name="Retângulo 31">
          <a:hlinkClick xmlns:r="http://schemas.openxmlformats.org/officeDocument/2006/relationships" r:id="rId10"/>
        </xdr:cNvPr>
        <xdr:cNvSpPr/>
      </xdr:nvSpPr>
      <xdr:spPr>
        <a:xfrm>
          <a:off x="2032000" y="656168"/>
          <a:ext cx="2095499"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Estrutura de Capitais</a:t>
          </a:r>
        </a:p>
      </xdr:txBody>
    </xdr:sp>
    <xdr:clientData/>
  </xdr:twoCellAnchor>
  <xdr:twoCellAnchor>
    <xdr:from>
      <xdr:col>2</xdr:col>
      <xdr:colOff>2137834</xdr:colOff>
      <xdr:row>1</xdr:row>
      <xdr:rowOff>222251</xdr:rowOff>
    </xdr:from>
    <xdr:to>
      <xdr:col>4</xdr:col>
      <xdr:colOff>465665</xdr:colOff>
      <xdr:row>3</xdr:row>
      <xdr:rowOff>2</xdr:rowOff>
    </xdr:to>
    <xdr:sp macro="" textlink="">
      <xdr:nvSpPr>
        <xdr:cNvPr id="33" name="Retângulo 32">
          <a:hlinkClick xmlns:r="http://schemas.openxmlformats.org/officeDocument/2006/relationships" r:id="rId11"/>
        </xdr:cNvPr>
        <xdr:cNvSpPr/>
      </xdr:nvSpPr>
      <xdr:spPr>
        <a:xfrm>
          <a:off x="4169834" y="656168"/>
          <a:ext cx="2095498"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Capacidade de Pamanto</a:t>
          </a:r>
          <a:r>
            <a:rPr lang="pt-BR" sz="1050" baseline="0">
              <a:solidFill>
                <a:schemeClr val="lt1"/>
              </a:solidFill>
              <a:latin typeface="+mn-lt"/>
              <a:ea typeface="+mn-ea"/>
              <a:cs typeface="+mn-cs"/>
            </a:rPr>
            <a:t> de Dívidas</a:t>
          </a:r>
        </a:p>
      </xdr:txBody>
    </xdr:sp>
    <xdr:clientData/>
  </xdr:twoCellAnchor>
  <xdr:twoCellAnchor>
    <xdr:from>
      <xdr:col>4</xdr:col>
      <xdr:colOff>508001</xdr:colOff>
      <xdr:row>1</xdr:row>
      <xdr:rowOff>222252</xdr:rowOff>
    </xdr:from>
    <xdr:to>
      <xdr:col>6</xdr:col>
      <xdr:colOff>1502832</xdr:colOff>
      <xdr:row>3</xdr:row>
      <xdr:rowOff>3</xdr:rowOff>
    </xdr:to>
    <xdr:sp macro="" textlink="">
      <xdr:nvSpPr>
        <xdr:cNvPr id="34" name="Retângulo 33">
          <a:hlinkClick xmlns:r="http://schemas.openxmlformats.org/officeDocument/2006/relationships" r:id="rId12"/>
        </xdr:cNvPr>
        <xdr:cNvSpPr/>
      </xdr:nvSpPr>
      <xdr:spPr>
        <a:xfrm>
          <a:off x="6307668" y="656169"/>
          <a:ext cx="2095497" cy="306917"/>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0">
              <a:solidFill>
                <a:schemeClr val="bg1"/>
              </a:solidFill>
              <a:latin typeface="+mn-lt"/>
              <a:ea typeface="+mn-ea"/>
              <a:cs typeface="+mn-cs"/>
            </a:rPr>
            <a:t>Atividade Operacional</a:t>
          </a:r>
        </a:p>
      </xdr:txBody>
    </xdr:sp>
    <xdr:clientData/>
  </xdr:twoCellAnchor>
  <xdr:twoCellAnchor>
    <xdr:from>
      <xdr:col>6</xdr:col>
      <xdr:colOff>1545163</xdr:colOff>
      <xdr:row>1</xdr:row>
      <xdr:rowOff>222251</xdr:rowOff>
    </xdr:from>
    <xdr:to>
      <xdr:col>7</xdr:col>
      <xdr:colOff>911221</xdr:colOff>
      <xdr:row>3</xdr:row>
      <xdr:rowOff>2</xdr:rowOff>
    </xdr:to>
    <xdr:sp macro="" textlink="">
      <xdr:nvSpPr>
        <xdr:cNvPr id="35" name="Retângulo 34">
          <a:hlinkClick xmlns:r="http://schemas.openxmlformats.org/officeDocument/2006/relationships" r:id="rId13"/>
        </xdr:cNvPr>
        <xdr:cNvSpPr/>
      </xdr:nvSpPr>
      <xdr:spPr>
        <a:xfrm>
          <a:off x="8445496" y="656168"/>
          <a:ext cx="2085975"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aseline="0">
              <a:solidFill>
                <a:schemeClr val="lt1"/>
              </a:solidFill>
              <a:latin typeface="+mn-lt"/>
              <a:ea typeface="+mn-ea"/>
              <a:cs typeface="+mn-cs"/>
            </a:rPr>
            <a:t>Rentabilidade</a:t>
          </a:r>
        </a:p>
      </xdr:txBody>
    </xdr:sp>
    <xdr:clientData/>
  </xdr:twoCellAnchor>
  <xdr:twoCellAnchor>
    <xdr:from>
      <xdr:col>7</xdr:col>
      <xdr:colOff>952502</xdr:colOff>
      <xdr:row>1</xdr:row>
      <xdr:rowOff>222251</xdr:rowOff>
    </xdr:from>
    <xdr:to>
      <xdr:col>9</xdr:col>
      <xdr:colOff>952500</xdr:colOff>
      <xdr:row>3</xdr:row>
      <xdr:rowOff>2</xdr:rowOff>
    </xdr:to>
    <xdr:sp macro="" textlink="">
      <xdr:nvSpPr>
        <xdr:cNvPr id="36" name="Retângulo 35">
          <a:hlinkClick xmlns:r="http://schemas.openxmlformats.org/officeDocument/2006/relationships" r:id="rId14"/>
        </xdr:cNvPr>
        <xdr:cNvSpPr/>
      </xdr:nvSpPr>
      <xdr:spPr>
        <a:xfrm>
          <a:off x="10572752" y="656168"/>
          <a:ext cx="2095498"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aseline="0">
              <a:solidFill>
                <a:schemeClr val="lt1"/>
              </a:solidFill>
              <a:latin typeface="+mn-lt"/>
              <a:ea typeface="+mn-ea"/>
              <a:cs typeface="+mn-cs"/>
            </a:rPr>
            <a:t>Gestão de Capital de Giro</a:t>
          </a:r>
        </a:p>
      </xdr:txBody>
    </xdr:sp>
    <xdr:clientData/>
  </xdr:twoCellAnchor>
  <xdr:twoCellAnchor editAs="oneCell">
    <xdr:from>
      <xdr:col>0</xdr:col>
      <xdr:colOff>402167</xdr:colOff>
      <xdr:row>0</xdr:row>
      <xdr:rowOff>52917</xdr:rowOff>
    </xdr:from>
    <xdr:to>
      <xdr:col>0</xdr:col>
      <xdr:colOff>1492250</xdr:colOff>
      <xdr:row>2</xdr:row>
      <xdr:rowOff>169086</xdr:rowOff>
    </xdr:to>
    <xdr:pic>
      <xdr:nvPicPr>
        <xdr:cNvPr id="25" name="Imagem 24"/>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xmlns="" val="0"/>
            </a:ext>
          </a:extLst>
        </a:blip>
        <a:stretch>
          <a:fillRect/>
        </a:stretch>
      </xdr:blipFill>
      <xdr:spPr>
        <a:xfrm>
          <a:off x="402167" y="52917"/>
          <a:ext cx="1090083" cy="81466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3</xdr:col>
      <xdr:colOff>794808</xdr:colOff>
      <xdr:row>0</xdr:row>
      <xdr:rowOff>16937</xdr:rowOff>
    </xdr:from>
    <xdr:to>
      <xdr:col>9</xdr:col>
      <xdr:colOff>941917</xdr:colOff>
      <xdr:row>2</xdr:row>
      <xdr:rowOff>99677</xdr:rowOff>
    </xdr:to>
    <xdr:sp macro="" textlink="">
      <xdr:nvSpPr>
        <xdr:cNvPr id="2" name="CaixaDeTexto 1"/>
        <xdr:cNvSpPr txBox="1"/>
      </xdr:nvSpPr>
      <xdr:spPr>
        <a:xfrm>
          <a:off x="5546725" y="16937"/>
          <a:ext cx="7110942"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b="0" i="0">
              <a:solidFill>
                <a:schemeClr val="tx1"/>
              </a:solidFill>
              <a:effectLst/>
              <a:latin typeface="+mn-lt"/>
              <a:ea typeface="+mn-ea"/>
              <a:cs typeface="+mn-cs"/>
            </a:rPr>
            <a:t>A</a:t>
          </a:r>
          <a:r>
            <a:rPr lang="pt-BR" sz="1100" b="0" i="0" baseline="0">
              <a:solidFill>
                <a:schemeClr val="tx1"/>
              </a:solidFill>
              <a:effectLst/>
              <a:latin typeface="+mn-lt"/>
              <a:ea typeface="+mn-ea"/>
              <a:cs typeface="+mn-cs"/>
            </a:rPr>
            <a:t> Análise de Balanços </a:t>
          </a:r>
          <a:r>
            <a:rPr lang="pt-BR" sz="1100" b="0" i="0">
              <a:solidFill>
                <a:schemeClr val="tx1"/>
              </a:solidFill>
              <a:effectLst/>
              <a:latin typeface="+mn-lt"/>
              <a:ea typeface="+mn-ea"/>
              <a:cs typeface="+mn-cs"/>
            </a:rPr>
            <a:t>refere-se à avaliação ou estudo da viabilidade, estabilidade e capacidade de lucro de um negócio ou projeto. Engloba um conjunto de instrumentos e métodos que permitem realizar diagnósticos sobre a situação financeira de uma empresa, assim como prognósticos sobre o seu desempenho futuro.</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9</xdr:row>
      <xdr:rowOff>64560</xdr:rowOff>
    </xdr:from>
    <xdr:to>
      <xdr:col>0</xdr:col>
      <xdr:colOff>1717675</xdr:colOff>
      <xdr:row>9</xdr:row>
      <xdr:rowOff>64560</xdr:rowOff>
    </xdr:to>
    <xdr:cxnSp macro="">
      <xdr:nvCxnSpPr>
        <xdr:cNvPr id="6" name="Conector reto 5"/>
        <xdr:cNvCxnSpPr/>
      </xdr:nvCxnSpPr>
      <xdr:spPr>
        <a:xfrm>
          <a:off x="152400" y="330306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191558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Balanço Patrimônial</a:t>
          </a:r>
        </a:p>
      </xdr:txBody>
    </xdr:sp>
    <xdr:clientData/>
  </xdr:twoCellAnchor>
  <xdr:twoCellAnchor editAs="absolute">
    <xdr:from>
      <xdr:col>0</xdr:col>
      <xdr:colOff>12700</xdr:colOff>
      <xdr:row>5</xdr:row>
      <xdr:rowOff>255058</xdr:rowOff>
    </xdr:from>
    <xdr:to>
      <xdr:col>1</xdr:col>
      <xdr:colOff>12700</xdr:colOff>
      <xdr:row>6</xdr:row>
      <xdr:rowOff>128058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DRE</a:t>
          </a:r>
        </a:p>
      </xdr:txBody>
    </xdr:sp>
    <xdr:clientData/>
  </xdr:twoCellAnchor>
  <xdr:twoCellAnchor editAs="absolute">
    <xdr:from>
      <xdr:col>0</xdr:col>
      <xdr:colOff>12700</xdr:colOff>
      <xdr:row>6</xdr:row>
      <xdr:rowOff>191560</xdr:rowOff>
    </xdr:from>
    <xdr:to>
      <xdr:col>1</xdr:col>
      <xdr:colOff>12700</xdr:colOff>
      <xdr:row>7</xdr:row>
      <xdr:rowOff>64560</xdr:rowOff>
    </xdr:to>
    <xdr:sp macro="" textlink="">
      <xdr:nvSpPr>
        <xdr:cNvPr id="11" name="Retângulo 10">
          <a:hlinkClick xmlns:r="http://schemas.openxmlformats.org/officeDocument/2006/relationships" r:id="rId4"/>
        </xdr:cNvPr>
        <xdr:cNvSpPr/>
      </xdr:nvSpPr>
      <xdr:spPr>
        <a:xfrm>
          <a:off x="12700" y="2287060"/>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7</xdr:row>
      <xdr:rowOff>128060</xdr:rowOff>
    </xdr:from>
    <xdr:to>
      <xdr:col>1</xdr:col>
      <xdr:colOff>12700</xdr:colOff>
      <xdr:row>8</xdr:row>
      <xdr:rowOff>1060</xdr:rowOff>
    </xdr:to>
    <xdr:sp macro="" textlink="">
      <xdr:nvSpPr>
        <xdr:cNvPr id="12" name="Retângulo 11">
          <a:hlinkClick xmlns:r="http://schemas.openxmlformats.org/officeDocument/2006/relationships" r:id="rId5"/>
        </xdr:cNvPr>
        <xdr:cNvSpPr/>
      </xdr:nvSpPr>
      <xdr:spPr>
        <a:xfrm>
          <a:off x="12700" y="2604560"/>
          <a:ext cx="1852083" cy="254000"/>
        </a:xfrm>
        <a:prstGeom prst="rect">
          <a:avLst/>
        </a:prstGeom>
        <a:solidFill>
          <a:schemeClr val="bg1"/>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tx1"/>
              </a:solidFill>
              <a:latin typeface="+mn-lt"/>
              <a:ea typeface="+mn-ea"/>
              <a:cs typeface="+mn-cs"/>
            </a:rPr>
            <a:t>4. Alertas e Dicas</a:t>
          </a:r>
        </a:p>
      </xdr:txBody>
    </xdr:sp>
    <xdr:clientData/>
  </xdr:twoCellAnchor>
  <xdr:twoCellAnchor editAs="absolute">
    <xdr:from>
      <xdr:col>0</xdr:col>
      <xdr:colOff>12700</xdr:colOff>
      <xdr:row>8</xdr:row>
      <xdr:rowOff>64560</xdr:rowOff>
    </xdr:from>
    <xdr:to>
      <xdr:col>1</xdr:col>
      <xdr:colOff>12700</xdr:colOff>
      <xdr:row>8</xdr:row>
      <xdr:rowOff>318560</xdr:rowOff>
    </xdr:to>
    <xdr:sp macro="" textlink="">
      <xdr:nvSpPr>
        <xdr:cNvPr id="13" name="Retângulo 12">
          <a:hlinkClick xmlns:r="http://schemas.openxmlformats.org/officeDocument/2006/relationships" r:id="rId6"/>
        </xdr:cNvPr>
        <xdr:cNvSpPr/>
      </xdr:nvSpPr>
      <xdr:spPr>
        <a:xfrm>
          <a:off x="12700" y="2922060"/>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Relatórios de Impressão</a:t>
          </a:r>
        </a:p>
      </xdr:txBody>
    </xdr:sp>
    <xdr:clientData/>
  </xdr:twoCellAnchor>
  <xdr:twoCellAnchor editAs="absolute">
    <xdr:from>
      <xdr:col>0</xdr:col>
      <xdr:colOff>12700</xdr:colOff>
      <xdr:row>9</xdr:row>
      <xdr:rowOff>191560</xdr:rowOff>
    </xdr:from>
    <xdr:to>
      <xdr:col>1</xdr:col>
      <xdr:colOff>12700</xdr:colOff>
      <xdr:row>10</xdr:row>
      <xdr:rowOff>64560</xdr:rowOff>
    </xdr:to>
    <xdr:sp macro="" textlink="">
      <xdr:nvSpPr>
        <xdr:cNvPr id="14" name="Retângulo 13">
          <a:hlinkClick xmlns:r="http://schemas.openxmlformats.org/officeDocument/2006/relationships" r:id="rId7"/>
        </xdr:cNvPr>
        <xdr:cNvSpPr/>
      </xdr:nvSpPr>
      <xdr:spPr>
        <a:xfrm>
          <a:off x="12700" y="3430060"/>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10</xdr:row>
      <xdr:rowOff>128060</xdr:rowOff>
    </xdr:from>
    <xdr:to>
      <xdr:col>1</xdr:col>
      <xdr:colOff>12700</xdr:colOff>
      <xdr:row>11</xdr:row>
      <xdr:rowOff>1060</xdr:rowOff>
    </xdr:to>
    <xdr:sp macro="" textlink="">
      <xdr:nvSpPr>
        <xdr:cNvPr id="15" name="Retângulo 14">
          <a:hlinkClick xmlns:r="http://schemas.openxmlformats.org/officeDocument/2006/relationships" r:id="rId8"/>
        </xdr:cNvPr>
        <xdr:cNvSpPr/>
      </xdr:nvSpPr>
      <xdr:spPr>
        <a:xfrm>
          <a:off x="12700" y="3747560"/>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11</xdr:row>
      <xdr:rowOff>64560</xdr:rowOff>
    </xdr:from>
    <xdr:to>
      <xdr:col>1</xdr:col>
      <xdr:colOff>12700</xdr:colOff>
      <xdr:row>11</xdr:row>
      <xdr:rowOff>318560</xdr:rowOff>
    </xdr:to>
    <xdr:sp macro="" textlink="">
      <xdr:nvSpPr>
        <xdr:cNvPr id="16" name="Retângulo 15">
          <a:hlinkClick xmlns:r="http://schemas.openxmlformats.org/officeDocument/2006/relationships" r:id="rId9"/>
        </xdr:cNvPr>
        <xdr:cNvSpPr/>
      </xdr:nvSpPr>
      <xdr:spPr>
        <a:xfrm>
          <a:off x="12700" y="4065060"/>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VALOR</a:t>
          </a:r>
        </a:p>
      </xdr:txBody>
    </xdr:sp>
    <xdr:clientData/>
  </xdr:twoCellAnchor>
  <xdr:twoCellAnchor>
    <xdr:from>
      <xdr:col>2</xdr:col>
      <xdr:colOff>0</xdr:colOff>
      <xdr:row>1</xdr:row>
      <xdr:rowOff>222251</xdr:rowOff>
    </xdr:from>
    <xdr:to>
      <xdr:col>2</xdr:col>
      <xdr:colOff>2095498</xdr:colOff>
      <xdr:row>3</xdr:row>
      <xdr:rowOff>2</xdr:rowOff>
    </xdr:to>
    <xdr:sp macro="" textlink="">
      <xdr:nvSpPr>
        <xdr:cNvPr id="32" name="Retângulo 31">
          <a:hlinkClick xmlns:r="http://schemas.openxmlformats.org/officeDocument/2006/relationships" r:id="rId10"/>
        </xdr:cNvPr>
        <xdr:cNvSpPr/>
      </xdr:nvSpPr>
      <xdr:spPr>
        <a:xfrm>
          <a:off x="2032000" y="656168"/>
          <a:ext cx="2095498"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Estrutura de Capitais</a:t>
          </a:r>
        </a:p>
      </xdr:txBody>
    </xdr:sp>
    <xdr:clientData/>
  </xdr:twoCellAnchor>
  <xdr:twoCellAnchor>
    <xdr:from>
      <xdr:col>2</xdr:col>
      <xdr:colOff>2137833</xdr:colOff>
      <xdr:row>1</xdr:row>
      <xdr:rowOff>222251</xdr:rowOff>
    </xdr:from>
    <xdr:to>
      <xdr:col>4</xdr:col>
      <xdr:colOff>465666</xdr:colOff>
      <xdr:row>3</xdr:row>
      <xdr:rowOff>2</xdr:rowOff>
    </xdr:to>
    <xdr:sp macro="" textlink="">
      <xdr:nvSpPr>
        <xdr:cNvPr id="33" name="Retângulo 32">
          <a:hlinkClick xmlns:r="http://schemas.openxmlformats.org/officeDocument/2006/relationships" r:id="rId11"/>
        </xdr:cNvPr>
        <xdr:cNvSpPr/>
      </xdr:nvSpPr>
      <xdr:spPr>
        <a:xfrm>
          <a:off x="4169833" y="656168"/>
          <a:ext cx="2095500"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Capacidade de Pamanto</a:t>
          </a:r>
          <a:r>
            <a:rPr lang="pt-BR" sz="1050" baseline="0">
              <a:solidFill>
                <a:schemeClr val="lt1"/>
              </a:solidFill>
              <a:latin typeface="+mn-lt"/>
              <a:ea typeface="+mn-ea"/>
              <a:cs typeface="+mn-cs"/>
            </a:rPr>
            <a:t> de Dívidas</a:t>
          </a:r>
        </a:p>
      </xdr:txBody>
    </xdr:sp>
    <xdr:clientData/>
  </xdr:twoCellAnchor>
  <xdr:twoCellAnchor>
    <xdr:from>
      <xdr:col>4</xdr:col>
      <xdr:colOff>508002</xdr:colOff>
      <xdr:row>1</xdr:row>
      <xdr:rowOff>222252</xdr:rowOff>
    </xdr:from>
    <xdr:to>
      <xdr:col>6</xdr:col>
      <xdr:colOff>1502833</xdr:colOff>
      <xdr:row>3</xdr:row>
      <xdr:rowOff>3</xdr:rowOff>
    </xdr:to>
    <xdr:sp macro="" textlink="">
      <xdr:nvSpPr>
        <xdr:cNvPr id="34" name="Retângulo 33">
          <a:hlinkClick xmlns:r="http://schemas.openxmlformats.org/officeDocument/2006/relationships" r:id="rId12"/>
        </xdr:cNvPr>
        <xdr:cNvSpPr/>
      </xdr:nvSpPr>
      <xdr:spPr>
        <a:xfrm>
          <a:off x="6307669" y="656169"/>
          <a:ext cx="2095497"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Atividade Operacional</a:t>
          </a:r>
        </a:p>
      </xdr:txBody>
    </xdr:sp>
    <xdr:clientData/>
  </xdr:twoCellAnchor>
  <xdr:twoCellAnchor>
    <xdr:from>
      <xdr:col>6</xdr:col>
      <xdr:colOff>1545164</xdr:colOff>
      <xdr:row>1</xdr:row>
      <xdr:rowOff>222251</xdr:rowOff>
    </xdr:from>
    <xdr:to>
      <xdr:col>7</xdr:col>
      <xdr:colOff>911222</xdr:colOff>
      <xdr:row>3</xdr:row>
      <xdr:rowOff>2</xdr:rowOff>
    </xdr:to>
    <xdr:sp macro="" textlink="">
      <xdr:nvSpPr>
        <xdr:cNvPr id="35" name="Retângulo 34">
          <a:hlinkClick xmlns:r="http://schemas.openxmlformats.org/officeDocument/2006/relationships" r:id="rId13"/>
        </xdr:cNvPr>
        <xdr:cNvSpPr/>
      </xdr:nvSpPr>
      <xdr:spPr>
        <a:xfrm>
          <a:off x="8445497" y="656168"/>
          <a:ext cx="2085975" cy="306917"/>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0">
              <a:solidFill>
                <a:schemeClr val="bg1"/>
              </a:solidFill>
              <a:latin typeface="+mn-lt"/>
              <a:ea typeface="+mn-ea"/>
              <a:cs typeface="+mn-cs"/>
            </a:rPr>
            <a:t>Rentabilidade</a:t>
          </a:r>
        </a:p>
      </xdr:txBody>
    </xdr:sp>
    <xdr:clientData/>
  </xdr:twoCellAnchor>
  <xdr:twoCellAnchor>
    <xdr:from>
      <xdr:col>7</xdr:col>
      <xdr:colOff>952503</xdr:colOff>
      <xdr:row>1</xdr:row>
      <xdr:rowOff>222251</xdr:rowOff>
    </xdr:from>
    <xdr:to>
      <xdr:col>9</xdr:col>
      <xdr:colOff>952501</xdr:colOff>
      <xdr:row>3</xdr:row>
      <xdr:rowOff>2</xdr:rowOff>
    </xdr:to>
    <xdr:sp macro="" textlink="">
      <xdr:nvSpPr>
        <xdr:cNvPr id="36" name="Retângulo 35">
          <a:hlinkClick xmlns:r="http://schemas.openxmlformats.org/officeDocument/2006/relationships" r:id="rId14"/>
        </xdr:cNvPr>
        <xdr:cNvSpPr/>
      </xdr:nvSpPr>
      <xdr:spPr>
        <a:xfrm>
          <a:off x="10572753" y="656168"/>
          <a:ext cx="2095498"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aseline="0">
              <a:solidFill>
                <a:schemeClr val="lt1"/>
              </a:solidFill>
              <a:latin typeface="+mn-lt"/>
              <a:ea typeface="+mn-ea"/>
              <a:cs typeface="+mn-cs"/>
            </a:rPr>
            <a:t>Gestão de Capital de Giro</a:t>
          </a:r>
        </a:p>
      </xdr:txBody>
    </xdr:sp>
    <xdr:clientData/>
  </xdr:twoCellAnchor>
  <xdr:twoCellAnchor editAs="oneCell">
    <xdr:from>
      <xdr:col>0</xdr:col>
      <xdr:colOff>412750</xdr:colOff>
      <xdr:row>0</xdr:row>
      <xdr:rowOff>52916</xdr:rowOff>
    </xdr:from>
    <xdr:to>
      <xdr:col>0</xdr:col>
      <xdr:colOff>1502833</xdr:colOff>
      <xdr:row>2</xdr:row>
      <xdr:rowOff>169085</xdr:rowOff>
    </xdr:to>
    <xdr:pic>
      <xdr:nvPicPr>
        <xdr:cNvPr id="26" name="Imagem 25"/>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xmlns="" val="0"/>
            </a:ext>
          </a:extLst>
        </a:blip>
        <a:stretch>
          <a:fillRect/>
        </a:stretch>
      </xdr:blipFill>
      <xdr:spPr>
        <a:xfrm>
          <a:off x="412750" y="52916"/>
          <a:ext cx="1090083" cy="81466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3</xdr:col>
      <xdr:colOff>794808</xdr:colOff>
      <xdr:row>0</xdr:row>
      <xdr:rowOff>16937</xdr:rowOff>
    </xdr:from>
    <xdr:to>
      <xdr:col>9</xdr:col>
      <xdr:colOff>941917</xdr:colOff>
      <xdr:row>2</xdr:row>
      <xdr:rowOff>99677</xdr:rowOff>
    </xdr:to>
    <xdr:sp macro="" textlink="">
      <xdr:nvSpPr>
        <xdr:cNvPr id="2" name="CaixaDeTexto 1"/>
        <xdr:cNvSpPr txBox="1"/>
      </xdr:nvSpPr>
      <xdr:spPr>
        <a:xfrm>
          <a:off x="5546725" y="16937"/>
          <a:ext cx="7110942"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b="0" i="0">
              <a:solidFill>
                <a:schemeClr val="tx1"/>
              </a:solidFill>
              <a:effectLst/>
              <a:latin typeface="+mn-lt"/>
              <a:ea typeface="+mn-ea"/>
              <a:cs typeface="+mn-cs"/>
            </a:rPr>
            <a:t>A</a:t>
          </a:r>
          <a:r>
            <a:rPr lang="pt-BR" sz="1100" b="0" i="0" baseline="0">
              <a:solidFill>
                <a:schemeClr val="tx1"/>
              </a:solidFill>
              <a:effectLst/>
              <a:latin typeface="+mn-lt"/>
              <a:ea typeface="+mn-ea"/>
              <a:cs typeface="+mn-cs"/>
            </a:rPr>
            <a:t> Análise de Balanços </a:t>
          </a:r>
          <a:r>
            <a:rPr lang="pt-BR" sz="1100" b="0" i="0">
              <a:solidFill>
                <a:schemeClr val="tx1"/>
              </a:solidFill>
              <a:effectLst/>
              <a:latin typeface="+mn-lt"/>
              <a:ea typeface="+mn-ea"/>
              <a:cs typeface="+mn-cs"/>
            </a:rPr>
            <a:t>refere-se à avaliação ou estudo da viabilidade, estabilidade e capacidade de lucro de um negócio ou projeto. Engloba um conjunto de instrumentos e métodos que permitem realizar diagnósticos sobre a situação financeira de uma empresa, assim como prognósticos sobre o seu desempenho futuro.</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9</xdr:row>
      <xdr:rowOff>64557</xdr:rowOff>
    </xdr:from>
    <xdr:to>
      <xdr:col>0</xdr:col>
      <xdr:colOff>1717675</xdr:colOff>
      <xdr:row>9</xdr:row>
      <xdr:rowOff>64557</xdr:rowOff>
    </xdr:to>
    <xdr:cxnSp macro="">
      <xdr:nvCxnSpPr>
        <xdr:cNvPr id="6" name="Conector reto 5"/>
        <xdr:cNvCxnSpPr/>
      </xdr:nvCxnSpPr>
      <xdr:spPr>
        <a:xfrm>
          <a:off x="152400" y="3303057"/>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191558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Balanço Patrimônial</a:t>
          </a:r>
        </a:p>
      </xdr:txBody>
    </xdr:sp>
    <xdr:clientData/>
  </xdr:twoCellAnchor>
  <xdr:twoCellAnchor editAs="absolute">
    <xdr:from>
      <xdr:col>0</xdr:col>
      <xdr:colOff>12700</xdr:colOff>
      <xdr:row>5</xdr:row>
      <xdr:rowOff>255058</xdr:rowOff>
    </xdr:from>
    <xdr:to>
      <xdr:col>1</xdr:col>
      <xdr:colOff>12700</xdr:colOff>
      <xdr:row>6</xdr:row>
      <xdr:rowOff>128058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DRE</a:t>
          </a:r>
        </a:p>
      </xdr:txBody>
    </xdr:sp>
    <xdr:clientData/>
  </xdr:twoCellAnchor>
  <xdr:twoCellAnchor editAs="absolute">
    <xdr:from>
      <xdr:col>0</xdr:col>
      <xdr:colOff>12700</xdr:colOff>
      <xdr:row>6</xdr:row>
      <xdr:rowOff>191557</xdr:rowOff>
    </xdr:from>
    <xdr:to>
      <xdr:col>1</xdr:col>
      <xdr:colOff>12700</xdr:colOff>
      <xdr:row>7</xdr:row>
      <xdr:rowOff>64557</xdr:rowOff>
    </xdr:to>
    <xdr:sp macro="" textlink="">
      <xdr:nvSpPr>
        <xdr:cNvPr id="11" name="Retângulo 10">
          <a:hlinkClick xmlns:r="http://schemas.openxmlformats.org/officeDocument/2006/relationships" r:id="rId4"/>
        </xdr:cNvPr>
        <xdr:cNvSpPr/>
      </xdr:nvSpPr>
      <xdr:spPr>
        <a:xfrm>
          <a:off x="12700" y="2287057"/>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7</xdr:row>
      <xdr:rowOff>128057</xdr:rowOff>
    </xdr:from>
    <xdr:to>
      <xdr:col>1</xdr:col>
      <xdr:colOff>12700</xdr:colOff>
      <xdr:row>8</xdr:row>
      <xdr:rowOff>1057</xdr:rowOff>
    </xdr:to>
    <xdr:sp macro="" textlink="">
      <xdr:nvSpPr>
        <xdr:cNvPr id="12" name="Retângulo 11">
          <a:hlinkClick xmlns:r="http://schemas.openxmlformats.org/officeDocument/2006/relationships" r:id="rId5"/>
        </xdr:cNvPr>
        <xdr:cNvSpPr/>
      </xdr:nvSpPr>
      <xdr:spPr>
        <a:xfrm>
          <a:off x="12700" y="2604557"/>
          <a:ext cx="1852083" cy="254000"/>
        </a:xfrm>
        <a:prstGeom prst="rect">
          <a:avLst/>
        </a:prstGeom>
        <a:solidFill>
          <a:schemeClr val="bg1"/>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tx1"/>
              </a:solidFill>
              <a:latin typeface="+mn-lt"/>
              <a:ea typeface="+mn-ea"/>
              <a:cs typeface="+mn-cs"/>
            </a:rPr>
            <a:t>4. Alertas e Dicas</a:t>
          </a:r>
        </a:p>
      </xdr:txBody>
    </xdr:sp>
    <xdr:clientData/>
  </xdr:twoCellAnchor>
  <xdr:twoCellAnchor editAs="absolute">
    <xdr:from>
      <xdr:col>0</xdr:col>
      <xdr:colOff>12700</xdr:colOff>
      <xdr:row>8</xdr:row>
      <xdr:rowOff>64557</xdr:rowOff>
    </xdr:from>
    <xdr:to>
      <xdr:col>1</xdr:col>
      <xdr:colOff>12700</xdr:colOff>
      <xdr:row>8</xdr:row>
      <xdr:rowOff>318557</xdr:rowOff>
    </xdr:to>
    <xdr:sp macro="" textlink="">
      <xdr:nvSpPr>
        <xdr:cNvPr id="13" name="Retângulo 12">
          <a:hlinkClick xmlns:r="http://schemas.openxmlformats.org/officeDocument/2006/relationships" r:id="rId6"/>
        </xdr:cNvPr>
        <xdr:cNvSpPr/>
      </xdr:nvSpPr>
      <xdr:spPr>
        <a:xfrm>
          <a:off x="12700" y="2922057"/>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Relatórios de Impressão</a:t>
          </a:r>
        </a:p>
      </xdr:txBody>
    </xdr:sp>
    <xdr:clientData/>
  </xdr:twoCellAnchor>
  <xdr:twoCellAnchor editAs="absolute">
    <xdr:from>
      <xdr:col>0</xdr:col>
      <xdr:colOff>12700</xdr:colOff>
      <xdr:row>9</xdr:row>
      <xdr:rowOff>191557</xdr:rowOff>
    </xdr:from>
    <xdr:to>
      <xdr:col>1</xdr:col>
      <xdr:colOff>12700</xdr:colOff>
      <xdr:row>10</xdr:row>
      <xdr:rowOff>64557</xdr:rowOff>
    </xdr:to>
    <xdr:sp macro="" textlink="">
      <xdr:nvSpPr>
        <xdr:cNvPr id="14" name="Retângulo 13">
          <a:hlinkClick xmlns:r="http://schemas.openxmlformats.org/officeDocument/2006/relationships" r:id="rId7"/>
        </xdr:cNvPr>
        <xdr:cNvSpPr/>
      </xdr:nvSpPr>
      <xdr:spPr>
        <a:xfrm>
          <a:off x="12700" y="3430057"/>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10</xdr:row>
      <xdr:rowOff>128057</xdr:rowOff>
    </xdr:from>
    <xdr:to>
      <xdr:col>1</xdr:col>
      <xdr:colOff>12700</xdr:colOff>
      <xdr:row>11</xdr:row>
      <xdr:rowOff>1057</xdr:rowOff>
    </xdr:to>
    <xdr:sp macro="" textlink="">
      <xdr:nvSpPr>
        <xdr:cNvPr id="15" name="Retângulo 14">
          <a:hlinkClick xmlns:r="http://schemas.openxmlformats.org/officeDocument/2006/relationships" r:id="rId8"/>
        </xdr:cNvPr>
        <xdr:cNvSpPr/>
      </xdr:nvSpPr>
      <xdr:spPr>
        <a:xfrm>
          <a:off x="12700" y="3747557"/>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11</xdr:row>
      <xdr:rowOff>64557</xdr:rowOff>
    </xdr:from>
    <xdr:to>
      <xdr:col>1</xdr:col>
      <xdr:colOff>12700</xdr:colOff>
      <xdr:row>11</xdr:row>
      <xdr:rowOff>318557</xdr:rowOff>
    </xdr:to>
    <xdr:sp macro="" textlink="">
      <xdr:nvSpPr>
        <xdr:cNvPr id="16" name="Retângulo 15">
          <a:hlinkClick xmlns:r="http://schemas.openxmlformats.org/officeDocument/2006/relationships" r:id="rId9"/>
        </xdr:cNvPr>
        <xdr:cNvSpPr/>
      </xdr:nvSpPr>
      <xdr:spPr>
        <a:xfrm>
          <a:off x="12700" y="4065057"/>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VALOR</a:t>
          </a:r>
        </a:p>
      </xdr:txBody>
    </xdr:sp>
    <xdr:clientData/>
  </xdr:twoCellAnchor>
  <xdr:twoCellAnchor>
    <xdr:from>
      <xdr:col>2</xdr:col>
      <xdr:colOff>0</xdr:colOff>
      <xdr:row>1</xdr:row>
      <xdr:rowOff>222251</xdr:rowOff>
    </xdr:from>
    <xdr:to>
      <xdr:col>2</xdr:col>
      <xdr:colOff>2095499</xdr:colOff>
      <xdr:row>3</xdr:row>
      <xdr:rowOff>2</xdr:rowOff>
    </xdr:to>
    <xdr:sp macro="" textlink="">
      <xdr:nvSpPr>
        <xdr:cNvPr id="32" name="Retângulo 31">
          <a:hlinkClick xmlns:r="http://schemas.openxmlformats.org/officeDocument/2006/relationships" r:id="rId10"/>
        </xdr:cNvPr>
        <xdr:cNvSpPr/>
      </xdr:nvSpPr>
      <xdr:spPr>
        <a:xfrm>
          <a:off x="2032000" y="656168"/>
          <a:ext cx="2095499"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Estrutura de Capitais</a:t>
          </a:r>
        </a:p>
      </xdr:txBody>
    </xdr:sp>
    <xdr:clientData/>
  </xdr:twoCellAnchor>
  <xdr:twoCellAnchor>
    <xdr:from>
      <xdr:col>2</xdr:col>
      <xdr:colOff>2137834</xdr:colOff>
      <xdr:row>1</xdr:row>
      <xdr:rowOff>222251</xdr:rowOff>
    </xdr:from>
    <xdr:to>
      <xdr:col>4</xdr:col>
      <xdr:colOff>465666</xdr:colOff>
      <xdr:row>3</xdr:row>
      <xdr:rowOff>2</xdr:rowOff>
    </xdr:to>
    <xdr:sp macro="" textlink="">
      <xdr:nvSpPr>
        <xdr:cNvPr id="33" name="Retângulo 32">
          <a:hlinkClick xmlns:r="http://schemas.openxmlformats.org/officeDocument/2006/relationships" r:id="rId11"/>
        </xdr:cNvPr>
        <xdr:cNvSpPr/>
      </xdr:nvSpPr>
      <xdr:spPr>
        <a:xfrm>
          <a:off x="4169834" y="656168"/>
          <a:ext cx="2095499"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Capacidade de Pamanto</a:t>
          </a:r>
          <a:r>
            <a:rPr lang="pt-BR" sz="1050" baseline="0">
              <a:solidFill>
                <a:schemeClr val="lt1"/>
              </a:solidFill>
              <a:latin typeface="+mn-lt"/>
              <a:ea typeface="+mn-ea"/>
              <a:cs typeface="+mn-cs"/>
            </a:rPr>
            <a:t> de Dívidas</a:t>
          </a:r>
        </a:p>
      </xdr:txBody>
    </xdr:sp>
    <xdr:clientData/>
  </xdr:twoCellAnchor>
  <xdr:twoCellAnchor>
    <xdr:from>
      <xdr:col>4</xdr:col>
      <xdr:colOff>508002</xdr:colOff>
      <xdr:row>1</xdr:row>
      <xdr:rowOff>222252</xdr:rowOff>
    </xdr:from>
    <xdr:to>
      <xdr:col>6</xdr:col>
      <xdr:colOff>1502832</xdr:colOff>
      <xdr:row>3</xdr:row>
      <xdr:rowOff>3</xdr:rowOff>
    </xdr:to>
    <xdr:sp macro="" textlink="">
      <xdr:nvSpPr>
        <xdr:cNvPr id="34" name="Retângulo 33">
          <a:hlinkClick xmlns:r="http://schemas.openxmlformats.org/officeDocument/2006/relationships" r:id="rId12"/>
        </xdr:cNvPr>
        <xdr:cNvSpPr/>
      </xdr:nvSpPr>
      <xdr:spPr>
        <a:xfrm>
          <a:off x="6307669" y="656169"/>
          <a:ext cx="2095496"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Atividade Operacional</a:t>
          </a:r>
        </a:p>
      </xdr:txBody>
    </xdr:sp>
    <xdr:clientData/>
  </xdr:twoCellAnchor>
  <xdr:twoCellAnchor>
    <xdr:from>
      <xdr:col>6</xdr:col>
      <xdr:colOff>1545163</xdr:colOff>
      <xdr:row>1</xdr:row>
      <xdr:rowOff>222251</xdr:rowOff>
    </xdr:from>
    <xdr:to>
      <xdr:col>7</xdr:col>
      <xdr:colOff>911221</xdr:colOff>
      <xdr:row>3</xdr:row>
      <xdr:rowOff>2</xdr:rowOff>
    </xdr:to>
    <xdr:sp macro="" textlink="">
      <xdr:nvSpPr>
        <xdr:cNvPr id="35" name="Retângulo 34">
          <a:hlinkClick xmlns:r="http://schemas.openxmlformats.org/officeDocument/2006/relationships" r:id="rId13"/>
        </xdr:cNvPr>
        <xdr:cNvSpPr/>
      </xdr:nvSpPr>
      <xdr:spPr>
        <a:xfrm>
          <a:off x="8445496" y="656168"/>
          <a:ext cx="2085975" cy="306917"/>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Rentabilidade</a:t>
          </a:r>
        </a:p>
      </xdr:txBody>
    </xdr:sp>
    <xdr:clientData/>
  </xdr:twoCellAnchor>
  <xdr:twoCellAnchor>
    <xdr:from>
      <xdr:col>7</xdr:col>
      <xdr:colOff>952502</xdr:colOff>
      <xdr:row>1</xdr:row>
      <xdr:rowOff>222251</xdr:rowOff>
    </xdr:from>
    <xdr:to>
      <xdr:col>9</xdr:col>
      <xdr:colOff>952500</xdr:colOff>
      <xdr:row>3</xdr:row>
      <xdr:rowOff>2</xdr:rowOff>
    </xdr:to>
    <xdr:sp macro="" textlink="">
      <xdr:nvSpPr>
        <xdr:cNvPr id="36" name="Retângulo 35">
          <a:hlinkClick xmlns:r="http://schemas.openxmlformats.org/officeDocument/2006/relationships" r:id="rId14"/>
        </xdr:cNvPr>
        <xdr:cNvSpPr/>
      </xdr:nvSpPr>
      <xdr:spPr>
        <a:xfrm>
          <a:off x="10572752" y="656168"/>
          <a:ext cx="2095498" cy="306917"/>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0">
              <a:solidFill>
                <a:schemeClr val="bg1"/>
              </a:solidFill>
              <a:latin typeface="+mn-lt"/>
              <a:ea typeface="+mn-ea"/>
              <a:cs typeface="+mn-cs"/>
            </a:rPr>
            <a:t>Gestão de Capital de Giro</a:t>
          </a:r>
        </a:p>
      </xdr:txBody>
    </xdr:sp>
    <xdr:clientData/>
  </xdr:twoCellAnchor>
  <xdr:twoCellAnchor editAs="oneCell">
    <xdr:from>
      <xdr:col>0</xdr:col>
      <xdr:colOff>433917</xdr:colOff>
      <xdr:row>0</xdr:row>
      <xdr:rowOff>63500</xdr:rowOff>
    </xdr:from>
    <xdr:to>
      <xdr:col>0</xdr:col>
      <xdr:colOff>1524000</xdr:colOff>
      <xdr:row>2</xdr:row>
      <xdr:rowOff>179669</xdr:rowOff>
    </xdr:to>
    <xdr:pic>
      <xdr:nvPicPr>
        <xdr:cNvPr id="26" name="Imagem 25"/>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xmlns="" val="0"/>
            </a:ext>
          </a:extLst>
        </a:blip>
        <a:stretch>
          <a:fillRect/>
        </a:stretch>
      </xdr:blipFill>
      <xdr:spPr>
        <a:xfrm>
          <a:off x="433917" y="63500"/>
          <a:ext cx="1090083" cy="81466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1</xdr:col>
      <xdr:colOff>227044</xdr:colOff>
      <xdr:row>0</xdr:row>
      <xdr:rowOff>429683</xdr:rowOff>
    </xdr:from>
    <xdr:to>
      <xdr:col>7</xdr:col>
      <xdr:colOff>1143933</xdr:colOff>
      <xdr:row>3</xdr:row>
      <xdr:rowOff>75613</xdr:rowOff>
    </xdr:to>
    <xdr:sp macro="" textlink="">
      <xdr:nvSpPr>
        <xdr:cNvPr id="2" name="CaixaDeTexto 1"/>
        <xdr:cNvSpPr txBox="1"/>
      </xdr:nvSpPr>
      <xdr:spPr>
        <a:xfrm>
          <a:off x="2079127" y="429683"/>
          <a:ext cx="6303806"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Essa aba da planilha foi feita exclusivamente para compilar</a:t>
          </a:r>
          <a:r>
            <a:rPr lang="pt-BR" sz="1100" baseline="0">
              <a:solidFill>
                <a:schemeClr val="tx1"/>
              </a:solidFill>
              <a:effectLst/>
              <a:latin typeface="+mn-lt"/>
              <a:ea typeface="+mn-ea"/>
              <a:cs typeface="+mn-cs"/>
            </a:rPr>
            <a:t> as principais tabelas e gráficos da planilha prontos para serem impressos. Para isso, basta ir no menu Arquivo &gt; Imprimir.</a:t>
          </a:r>
          <a:r>
            <a:rPr lang="pt-BR" sz="1100">
              <a:solidFill>
                <a:schemeClr val="tx1"/>
              </a:solidFill>
              <a:effectLst/>
              <a:latin typeface="+mn-lt"/>
              <a:ea typeface="+mn-ea"/>
              <a:cs typeface="+mn-cs"/>
            </a:rPr>
            <a:t>.</a:t>
          </a:r>
          <a:endParaRPr lang="pt-BR">
            <a:effectLst/>
          </a:endParaRPr>
        </a:p>
        <a:p>
          <a:endParaRPr lang="pt-BR" sz="1100"/>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8</xdr:row>
      <xdr:rowOff>278717</xdr:rowOff>
    </xdr:from>
    <xdr:to>
      <xdr:col>0</xdr:col>
      <xdr:colOff>1717675</xdr:colOff>
      <xdr:row>8</xdr:row>
      <xdr:rowOff>278717</xdr:rowOff>
    </xdr:to>
    <xdr:cxnSp macro="">
      <xdr:nvCxnSpPr>
        <xdr:cNvPr id="6" name="Conector reto 5"/>
        <xdr:cNvCxnSpPr/>
      </xdr:nvCxnSpPr>
      <xdr:spPr>
        <a:xfrm>
          <a:off x="152400" y="3303059"/>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4</xdr:row>
      <xdr:rowOff>379568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Balanço Patrimônial</a:t>
          </a:r>
        </a:p>
      </xdr:txBody>
    </xdr:sp>
    <xdr:clientData/>
  </xdr:twoCellAnchor>
  <xdr:twoCellAnchor editAs="absolute">
    <xdr:from>
      <xdr:col>0</xdr:col>
      <xdr:colOff>12700</xdr:colOff>
      <xdr:row>4</xdr:row>
      <xdr:rowOff>443068</xdr:rowOff>
    </xdr:from>
    <xdr:to>
      <xdr:col>1</xdr:col>
      <xdr:colOff>12700</xdr:colOff>
      <xdr:row>5</xdr:row>
      <xdr:rowOff>133038</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DRE</a:t>
          </a:r>
        </a:p>
      </xdr:txBody>
    </xdr:sp>
    <xdr:clientData/>
  </xdr:twoCellAnchor>
  <xdr:twoCellAnchor editAs="absolute">
    <xdr:from>
      <xdr:col>0</xdr:col>
      <xdr:colOff>12700</xdr:colOff>
      <xdr:row>5</xdr:row>
      <xdr:rowOff>196539</xdr:rowOff>
    </xdr:from>
    <xdr:to>
      <xdr:col>1</xdr:col>
      <xdr:colOff>12700</xdr:colOff>
      <xdr:row>6</xdr:row>
      <xdr:rowOff>210235</xdr:rowOff>
    </xdr:to>
    <xdr:sp macro="" textlink="">
      <xdr:nvSpPr>
        <xdr:cNvPr id="11" name="Retângulo 10">
          <a:hlinkClick xmlns:r="http://schemas.openxmlformats.org/officeDocument/2006/relationships" r:id="rId4"/>
        </xdr:cNvPr>
        <xdr:cNvSpPr/>
      </xdr:nvSpPr>
      <xdr:spPr>
        <a:xfrm>
          <a:off x="12700" y="22870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6</xdr:row>
      <xdr:rowOff>273735</xdr:rowOff>
    </xdr:from>
    <xdr:to>
      <xdr:col>1</xdr:col>
      <xdr:colOff>12700</xdr:colOff>
      <xdr:row>7</xdr:row>
      <xdr:rowOff>180353</xdr:rowOff>
    </xdr:to>
    <xdr:sp macro="" textlink="">
      <xdr:nvSpPr>
        <xdr:cNvPr id="12" name="Retângulo 11">
          <a:hlinkClick xmlns:r="http://schemas.openxmlformats.org/officeDocument/2006/relationships" r:id="rId5"/>
        </xdr:cNvPr>
        <xdr:cNvSpPr/>
      </xdr:nvSpPr>
      <xdr:spPr>
        <a:xfrm>
          <a:off x="12700" y="26045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Alertas e Dicas</a:t>
          </a:r>
        </a:p>
      </xdr:txBody>
    </xdr:sp>
    <xdr:clientData/>
  </xdr:twoCellAnchor>
  <xdr:twoCellAnchor editAs="absolute">
    <xdr:from>
      <xdr:col>0</xdr:col>
      <xdr:colOff>12700</xdr:colOff>
      <xdr:row>7</xdr:row>
      <xdr:rowOff>243853</xdr:rowOff>
    </xdr:from>
    <xdr:to>
      <xdr:col>1</xdr:col>
      <xdr:colOff>12700</xdr:colOff>
      <xdr:row>8</xdr:row>
      <xdr:rowOff>147982</xdr:rowOff>
    </xdr:to>
    <xdr:sp macro="" textlink="">
      <xdr:nvSpPr>
        <xdr:cNvPr id="13" name="Retângulo 12">
          <a:hlinkClick xmlns:r="http://schemas.openxmlformats.org/officeDocument/2006/relationships" r:id="rId6"/>
        </xdr:cNvPr>
        <xdr:cNvSpPr/>
      </xdr:nvSpPr>
      <xdr:spPr>
        <a:xfrm>
          <a:off x="12700" y="2922059"/>
          <a:ext cx="1852083"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5. Relatórios de Impressão</a:t>
          </a:r>
        </a:p>
      </xdr:txBody>
    </xdr:sp>
    <xdr:clientData/>
  </xdr:twoCellAnchor>
  <xdr:twoCellAnchor editAs="absolute">
    <xdr:from>
      <xdr:col>0</xdr:col>
      <xdr:colOff>12700</xdr:colOff>
      <xdr:row>8</xdr:row>
      <xdr:rowOff>410074</xdr:rowOff>
    </xdr:from>
    <xdr:to>
      <xdr:col>1</xdr:col>
      <xdr:colOff>12700</xdr:colOff>
      <xdr:row>9</xdr:row>
      <xdr:rowOff>160432</xdr:rowOff>
    </xdr:to>
    <xdr:sp macro="" textlink="">
      <xdr:nvSpPr>
        <xdr:cNvPr id="14" name="Retângulo 13">
          <a:hlinkClick xmlns:r="http://schemas.openxmlformats.org/officeDocument/2006/relationships" r:id="rId7"/>
        </xdr:cNvPr>
        <xdr:cNvSpPr/>
      </xdr:nvSpPr>
      <xdr:spPr>
        <a:xfrm>
          <a:off x="12700" y="34300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9</xdr:row>
      <xdr:rowOff>227667</xdr:rowOff>
    </xdr:from>
    <xdr:to>
      <xdr:col>1</xdr:col>
      <xdr:colOff>12700</xdr:colOff>
      <xdr:row>9</xdr:row>
      <xdr:rowOff>481667</xdr:rowOff>
    </xdr:to>
    <xdr:sp macro="" textlink="">
      <xdr:nvSpPr>
        <xdr:cNvPr id="15" name="Retângulo 14">
          <a:hlinkClick xmlns:r="http://schemas.openxmlformats.org/officeDocument/2006/relationships" r:id="rId8"/>
        </xdr:cNvPr>
        <xdr:cNvSpPr/>
      </xdr:nvSpPr>
      <xdr:spPr>
        <a:xfrm>
          <a:off x="12700" y="37475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10</xdr:row>
      <xdr:rowOff>37167</xdr:rowOff>
    </xdr:from>
    <xdr:to>
      <xdr:col>1</xdr:col>
      <xdr:colOff>12700</xdr:colOff>
      <xdr:row>10</xdr:row>
      <xdr:rowOff>294903</xdr:rowOff>
    </xdr:to>
    <xdr:sp macro="" textlink="">
      <xdr:nvSpPr>
        <xdr:cNvPr id="16" name="Retângulo 15">
          <a:hlinkClick xmlns:r="http://schemas.openxmlformats.org/officeDocument/2006/relationships" r:id="rId9"/>
        </xdr:cNvPr>
        <xdr:cNvSpPr/>
      </xdr:nvSpPr>
      <xdr:spPr>
        <a:xfrm>
          <a:off x="12700" y="40650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VALOR</a:t>
          </a:r>
        </a:p>
      </xdr:txBody>
    </xdr:sp>
    <xdr:clientData/>
  </xdr:twoCellAnchor>
  <xdr:twoCellAnchor>
    <xdr:from>
      <xdr:col>2</xdr:col>
      <xdr:colOff>1</xdr:colOff>
      <xdr:row>186</xdr:row>
      <xdr:rowOff>0</xdr:rowOff>
    </xdr:from>
    <xdr:to>
      <xdr:col>10</xdr:col>
      <xdr:colOff>0</xdr:colOff>
      <xdr:row>191</xdr:row>
      <xdr:rowOff>116416</xdr:rowOff>
    </xdr:to>
    <xdr:graphicFrame macro="">
      <xdr:nvGraphicFramePr>
        <xdr:cNvPr id="44" name="Gráfico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0</xdr:colOff>
      <xdr:row>191</xdr:row>
      <xdr:rowOff>116416</xdr:rowOff>
    </xdr:from>
    <xdr:to>
      <xdr:col>10</xdr:col>
      <xdr:colOff>812</xdr:colOff>
      <xdr:row>192</xdr:row>
      <xdr:rowOff>414617</xdr:rowOff>
    </xdr:to>
    <xdr:graphicFrame macro="">
      <xdr:nvGraphicFramePr>
        <xdr:cNvPr id="45" name="Gráfico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0</xdr:colOff>
      <xdr:row>195</xdr:row>
      <xdr:rowOff>0</xdr:rowOff>
    </xdr:from>
    <xdr:to>
      <xdr:col>10</xdr:col>
      <xdr:colOff>0</xdr:colOff>
      <xdr:row>200</xdr:row>
      <xdr:rowOff>116418</xdr:rowOff>
    </xdr:to>
    <xdr:graphicFrame macro="">
      <xdr:nvGraphicFramePr>
        <xdr:cNvPr id="46" name="Gráfico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253999</xdr:colOff>
      <xdr:row>200</xdr:row>
      <xdr:rowOff>116418</xdr:rowOff>
    </xdr:from>
    <xdr:to>
      <xdr:col>9</xdr:col>
      <xdr:colOff>851396</xdr:colOff>
      <xdr:row>202</xdr:row>
      <xdr:rowOff>1059</xdr:rowOff>
    </xdr:to>
    <xdr:graphicFrame macro="">
      <xdr:nvGraphicFramePr>
        <xdr:cNvPr id="47" name="Gráfico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0</xdr:colOff>
      <xdr:row>89</xdr:row>
      <xdr:rowOff>0</xdr:rowOff>
    </xdr:from>
    <xdr:to>
      <xdr:col>10</xdr:col>
      <xdr:colOff>0</xdr:colOff>
      <xdr:row>98</xdr:row>
      <xdr:rowOff>0</xdr:rowOff>
    </xdr:to>
    <xdr:graphicFrame macro="">
      <xdr:nvGraphicFramePr>
        <xdr:cNvPr id="58" name="Gráfico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0</xdr:colOff>
      <xdr:row>98</xdr:row>
      <xdr:rowOff>0</xdr:rowOff>
    </xdr:from>
    <xdr:to>
      <xdr:col>10</xdr:col>
      <xdr:colOff>0</xdr:colOff>
      <xdr:row>99</xdr:row>
      <xdr:rowOff>371475</xdr:rowOff>
    </xdr:to>
    <xdr:graphicFrame macro="">
      <xdr:nvGraphicFramePr>
        <xdr:cNvPr id="59" name="Gráfico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0</xdr:colOff>
      <xdr:row>102</xdr:row>
      <xdr:rowOff>0</xdr:rowOff>
    </xdr:from>
    <xdr:to>
      <xdr:col>9</xdr:col>
      <xdr:colOff>851645</xdr:colOff>
      <xdr:row>110</xdr:row>
      <xdr:rowOff>380998</xdr:rowOff>
    </xdr:to>
    <xdr:graphicFrame macro="">
      <xdr:nvGraphicFramePr>
        <xdr:cNvPr id="60" name="Gráfico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0</xdr:colOff>
      <xdr:row>111</xdr:row>
      <xdr:rowOff>0</xdr:rowOff>
    </xdr:from>
    <xdr:to>
      <xdr:col>10</xdr:col>
      <xdr:colOff>0</xdr:colOff>
      <xdr:row>112</xdr:row>
      <xdr:rowOff>371475</xdr:rowOff>
    </xdr:to>
    <xdr:graphicFrame macro="">
      <xdr:nvGraphicFramePr>
        <xdr:cNvPr id="61" name="Gráfico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0</xdr:colOff>
      <xdr:row>115</xdr:row>
      <xdr:rowOff>0</xdr:rowOff>
    </xdr:from>
    <xdr:to>
      <xdr:col>9</xdr:col>
      <xdr:colOff>847412</xdr:colOff>
      <xdr:row>123</xdr:row>
      <xdr:rowOff>376769</xdr:rowOff>
    </xdr:to>
    <xdr:graphicFrame macro="">
      <xdr:nvGraphicFramePr>
        <xdr:cNvPr id="64" name="Gráfico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0</xdr:colOff>
      <xdr:row>124</xdr:row>
      <xdr:rowOff>0</xdr:rowOff>
    </xdr:from>
    <xdr:to>
      <xdr:col>10</xdr:col>
      <xdr:colOff>112</xdr:colOff>
      <xdr:row>125</xdr:row>
      <xdr:rowOff>371475</xdr:rowOff>
    </xdr:to>
    <xdr:graphicFrame macro="">
      <xdr:nvGraphicFramePr>
        <xdr:cNvPr id="65" name="Gráfico 6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0</xdr:colOff>
      <xdr:row>128</xdr:row>
      <xdr:rowOff>0</xdr:rowOff>
    </xdr:from>
    <xdr:to>
      <xdr:col>10</xdr:col>
      <xdr:colOff>0</xdr:colOff>
      <xdr:row>137</xdr:row>
      <xdr:rowOff>0</xdr:rowOff>
    </xdr:to>
    <xdr:graphicFrame macro="">
      <xdr:nvGraphicFramePr>
        <xdr:cNvPr id="68" name="Gráfico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0</xdr:colOff>
      <xdr:row>137</xdr:row>
      <xdr:rowOff>0</xdr:rowOff>
    </xdr:from>
    <xdr:to>
      <xdr:col>9</xdr:col>
      <xdr:colOff>851010</xdr:colOff>
      <xdr:row>138</xdr:row>
      <xdr:rowOff>371475</xdr:rowOff>
    </xdr:to>
    <xdr:graphicFrame macro="">
      <xdr:nvGraphicFramePr>
        <xdr:cNvPr id="69" name="Gráfico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xdr:col>
      <xdr:colOff>0</xdr:colOff>
      <xdr:row>141</xdr:row>
      <xdr:rowOff>0</xdr:rowOff>
    </xdr:from>
    <xdr:to>
      <xdr:col>9</xdr:col>
      <xdr:colOff>847414</xdr:colOff>
      <xdr:row>147</xdr:row>
      <xdr:rowOff>0</xdr:rowOff>
    </xdr:to>
    <xdr:graphicFrame macro="">
      <xdr:nvGraphicFramePr>
        <xdr:cNvPr id="70" name="Gráfico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0</xdr:colOff>
      <xdr:row>147</xdr:row>
      <xdr:rowOff>0</xdr:rowOff>
    </xdr:from>
    <xdr:to>
      <xdr:col>10</xdr:col>
      <xdr:colOff>3200</xdr:colOff>
      <xdr:row>148</xdr:row>
      <xdr:rowOff>414618</xdr:rowOff>
    </xdr:to>
    <xdr:graphicFrame macro="">
      <xdr:nvGraphicFramePr>
        <xdr:cNvPr id="71" name="Gráfico 7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xdr:col>
      <xdr:colOff>0</xdr:colOff>
      <xdr:row>160</xdr:row>
      <xdr:rowOff>0</xdr:rowOff>
    </xdr:from>
    <xdr:to>
      <xdr:col>9</xdr:col>
      <xdr:colOff>851646</xdr:colOff>
      <xdr:row>169</xdr:row>
      <xdr:rowOff>0</xdr:rowOff>
    </xdr:to>
    <xdr:graphicFrame macro="">
      <xdr:nvGraphicFramePr>
        <xdr:cNvPr id="72" name="Gráfico 7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xdr:col>
      <xdr:colOff>0</xdr:colOff>
      <xdr:row>169</xdr:row>
      <xdr:rowOff>0</xdr:rowOff>
    </xdr:from>
    <xdr:to>
      <xdr:col>10</xdr:col>
      <xdr:colOff>812</xdr:colOff>
      <xdr:row>170</xdr:row>
      <xdr:rowOff>310465</xdr:rowOff>
    </xdr:to>
    <xdr:graphicFrame macro="">
      <xdr:nvGraphicFramePr>
        <xdr:cNvPr id="73" name="Gráfico 7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xdr:col>
      <xdr:colOff>0</xdr:colOff>
      <xdr:row>173</xdr:row>
      <xdr:rowOff>0</xdr:rowOff>
    </xdr:from>
    <xdr:to>
      <xdr:col>10</xdr:col>
      <xdr:colOff>0</xdr:colOff>
      <xdr:row>182</xdr:row>
      <xdr:rowOff>0</xdr:rowOff>
    </xdr:to>
    <xdr:graphicFrame macro="">
      <xdr:nvGraphicFramePr>
        <xdr:cNvPr id="76" name="Gráfico 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xdr:col>
      <xdr:colOff>0</xdr:colOff>
      <xdr:row>182</xdr:row>
      <xdr:rowOff>0</xdr:rowOff>
    </xdr:from>
    <xdr:to>
      <xdr:col>10</xdr:col>
      <xdr:colOff>0</xdr:colOff>
      <xdr:row>183</xdr:row>
      <xdr:rowOff>310465</xdr:rowOff>
    </xdr:to>
    <xdr:graphicFrame macro="">
      <xdr:nvGraphicFramePr>
        <xdr:cNvPr id="77" name="Gráfico 7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xdr:col>
      <xdr:colOff>0</xdr:colOff>
      <xdr:row>151</xdr:row>
      <xdr:rowOff>0</xdr:rowOff>
    </xdr:from>
    <xdr:to>
      <xdr:col>10</xdr:col>
      <xdr:colOff>3736</xdr:colOff>
      <xdr:row>156</xdr:row>
      <xdr:rowOff>154765</xdr:rowOff>
    </xdr:to>
    <xdr:graphicFrame macro="">
      <xdr:nvGraphicFramePr>
        <xdr:cNvPr id="80" name="Gráfico 7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xdr:col>
      <xdr:colOff>0</xdr:colOff>
      <xdr:row>156</xdr:row>
      <xdr:rowOff>156882</xdr:rowOff>
    </xdr:from>
    <xdr:to>
      <xdr:col>10</xdr:col>
      <xdr:colOff>3736</xdr:colOff>
      <xdr:row>158</xdr:row>
      <xdr:rowOff>57710</xdr:rowOff>
    </xdr:to>
    <xdr:graphicFrame macro="">
      <xdr:nvGraphicFramePr>
        <xdr:cNvPr id="81" name="Gráfico 8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0</xdr:col>
      <xdr:colOff>381000</xdr:colOff>
      <xdr:row>0</xdr:row>
      <xdr:rowOff>31750</xdr:rowOff>
    </xdr:from>
    <xdr:to>
      <xdr:col>0</xdr:col>
      <xdr:colOff>1471083</xdr:colOff>
      <xdr:row>2</xdr:row>
      <xdr:rowOff>147919</xdr:rowOff>
    </xdr:to>
    <xdr:pic>
      <xdr:nvPicPr>
        <xdr:cNvPr id="41" name="Imagem 40"/>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xmlns="" val="0"/>
            </a:ext>
          </a:extLst>
        </a:blip>
        <a:stretch>
          <a:fillRect/>
        </a:stretch>
      </xdr:blipFill>
      <xdr:spPr>
        <a:xfrm>
          <a:off x="381000" y="31750"/>
          <a:ext cx="1090083" cy="81466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1</xdr:col>
      <xdr:colOff>244475</xdr:colOff>
      <xdr:row>1</xdr:row>
      <xdr:rowOff>16933</xdr:rowOff>
    </xdr:from>
    <xdr:to>
      <xdr:col>12</xdr:col>
      <xdr:colOff>227541</xdr:colOff>
      <xdr:row>2</xdr:row>
      <xdr:rowOff>194428</xdr:rowOff>
    </xdr:to>
    <xdr:sp macro="" textlink="">
      <xdr:nvSpPr>
        <xdr:cNvPr id="2" name="CaixaDeTexto 1">
          <a:hlinkClick xmlns:r="http://schemas.openxmlformats.org/officeDocument/2006/relationships" r:id="rId1"/>
        </xdr:cNvPr>
        <xdr:cNvSpPr txBox="1"/>
      </xdr:nvSpPr>
      <xdr:spPr>
        <a:xfrm>
          <a:off x="2096558" y="450850"/>
          <a:ext cx="6163733" cy="442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Escolha sua dúvida entre as perguntas mais frequentes e veja as respostas. Se continuar com dúvidas no uso da planilha, entre em contato pelo nosso email </a:t>
          </a:r>
          <a:r>
            <a:rPr lang="pt-BR" sz="1100">
              <a:solidFill>
                <a:srgbClr val="0070C0"/>
              </a:solidFill>
            </a:rPr>
            <a:t>valorcontadores@gmail.com</a:t>
          </a:r>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8</xdr:row>
      <xdr:rowOff>255059</xdr:rowOff>
    </xdr:from>
    <xdr:to>
      <xdr:col>0</xdr:col>
      <xdr:colOff>1717675</xdr:colOff>
      <xdr:row>8</xdr:row>
      <xdr:rowOff>255059</xdr:rowOff>
    </xdr:to>
    <xdr:cxnSp macro="">
      <xdr:nvCxnSpPr>
        <xdr:cNvPr id="6" name="Conector reto 5"/>
        <xdr:cNvCxnSpPr/>
      </xdr:nvCxnSpPr>
      <xdr:spPr>
        <a:xfrm>
          <a:off x="152400" y="3303059"/>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1058</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Balanço Patrimônial</a:t>
          </a:r>
        </a:p>
      </xdr:txBody>
    </xdr:sp>
    <xdr:clientData/>
  </xdr:twoCellAnchor>
  <xdr:twoCellAnchor editAs="absolute">
    <xdr:from>
      <xdr:col>0</xdr:col>
      <xdr:colOff>12700</xdr:colOff>
      <xdr:row>5</xdr:row>
      <xdr:rowOff>64558</xdr:rowOff>
    </xdr:from>
    <xdr:to>
      <xdr:col>1</xdr:col>
      <xdr:colOff>12700</xdr:colOff>
      <xdr:row>5</xdr:row>
      <xdr:rowOff>318558</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DRE</a:t>
          </a:r>
        </a:p>
      </xdr:txBody>
    </xdr:sp>
    <xdr:clientData/>
  </xdr:twoCellAnchor>
  <xdr:twoCellAnchor editAs="absolute">
    <xdr:from>
      <xdr:col>0</xdr:col>
      <xdr:colOff>12700</xdr:colOff>
      <xdr:row>6</xdr:row>
      <xdr:rowOff>1059</xdr:rowOff>
    </xdr:from>
    <xdr:to>
      <xdr:col>1</xdr:col>
      <xdr:colOff>12700</xdr:colOff>
      <xdr:row>6</xdr:row>
      <xdr:rowOff>255059</xdr:rowOff>
    </xdr:to>
    <xdr:sp macro="" textlink="">
      <xdr:nvSpPr>
        <xdr:cNvPr id="11" name="Retângulo 10">
          <a:hlinkClick xmlns:r="http://schemas.openxmlformats.org/officeDocument/2006/relationships" r:id="rId5"/>
        </xdr:cNvPr>
        <xdr:cNvSpPr/>
      </xdr:nvSpPr>
      <xdr:spPr>
        <a:xfrm>
          <a:off x="12700" y="22870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6</xdr:row>
      <xdr:rowOff>318559</xdr:rowOff>
    </xdr:from>
    <xdr:to>
      <xdr:col>1</xdr:col>
      <xdr:colOff>12700</xdr:colOff>
      <xdr:row>7</xdr:row>
      <xdr:rowOff>191559</xdr:rowOff>
    </xdr:to>
    <xdr:sp macro="" textlink="">
      <xdr:nvSpPr>
        <xdr:cNvPr id="12" name="Retângulo 11">
          <a:hlinkClick xmlns:r="http://schemas.openxmlformats.org/officeDocument/2006/relationships" r:id="rId6"/>
        </xdr:cNvPr>
        <xdr:cNvSpPr/>
      </xdr:nvSpPr>
      <xdr:spPr>
        <a:xfrm>
          <a:off x="12700" y="26045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Alertas e Dicas</a:t>
          </a:r>
        </a:p>
      </xdr:txBody>
    </xdr:sp>
    <xdr:clientData/>
  </xdr:twoCellAnchor>
  <xdr:twoCellAnchor editAs="absolute">
    <xdr:from>
      <xdr:col>0</xdr:col>
      <xdr:colOff>12700</xdr:colOff>
      <xdr:row>7</xdr:row>
      <xdr:rowOff>255059</xdr:rowOff>
    </xdr:from>
    <xdr:to>
      <xdr:col>1</xdr:col>
      <xdr:colOff>12700</xdr:colOff>
      <xdr:row>8</xdr:row>
      <xdr:rowOff>128059</xdr:rowOff>
    </xdr:to>
    <xdr:sp macro="" textlink="">
      <xdr:nvSpPr>
        <xdr:cNvPr id="13" name="Retângulo 12">
          <a:hlinkClick xmlns:r="http://schemas.openxmlformats.org/officeDocument/2006/relationships" r:id="rId7"/>
        </xdr:cNvPr>
        <xdr:cNvSpPr/>
      </xdr:nvSpPr>
      <xdr:spPr>
        <a:xfrm>
          <a:off x="12700" y="29220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Relatórios de Impressão</a:t>
          </a:r>
        </a:p>
      </xdr:txBody>
    </xdr:sp>
    <xdr:clientData/>
  </xdr:twoCellAnchor>
  <xdr:twoCellAnchor editAs="absolute">
    <xdr:from>
      <xdr:col>0</xdr:col>
      <xdr:colOff>12700</xdr:colOff>
      <xdr:row>9</xdr:row>
      <xdr:rowOff>1059</xdr:rowOff>
    </xdr:from>
    <xdr:to>
      <xdr:col>1</xdr:col>
      <xdr:colOff>12700</xdr:colOff>
      <xdr:row>9</xdr:row>
      <xdr:rowOff>255059</xdr:rowOff>
    </xdr:to>
    <xdr:sp macro="" textlink="">
      <xdr:nvSpPr>
        <xdr:cNvPr id="14" name="Retângulo 13">
          <a:hlinkClick xmlns:r="http://schemas.openxmlformats.org/officeDocument/2006/relationships" r:id="rId8"/>
        </xdr:cNvPr>
        <xdr:cNvSpPr/>
      </xdr:nvSpPr>
      <xdr:spPr>
        <a:xfrm>
          <a:off x="12700" y="3430059"/>
          <a:ext cx="1852083"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Dúvidas Frequentes</a:t>
          </a:r>
        </a:p>
      </xdr:txBody>
    </xdr:sp>
    <xdr:clientData/>
  </xdr:twoCellAnchor>
  <xdr:twoCellAnchor editAs="absolute">
    <xdr:from>
      <xdr:col>0</xdr:col>
      <xdr:colOff>12700</xdr:colOff>
      <xdr:row>9</xdr:row>
      <xdr:rowOff>318559</xdr:rowOff>
    </xdr:from>
    <xdr:to>
      <xdr:col>1</xdr:col>
      <xdr:colOff>12700</xdr:colOff>
      <xdr:row>10</xdr:row>
      <xdr:rowOff>191559</xdr:rowOff>
    </xdr:to>
    <xdr:sp macro="" textlink="">
      <xdr:nvSpPr>
        <xdr:cNvPr id="15" name="Retângulo 14">
          <a:hlinkClick xmlns:r="http://schemas.openxmlformats.org/officeDocument/2006/relationships" r:id="rId9"/>
        </xdr:cNvPr>
        <xdr:cNvSpPr/>
      </xdr:nvSpPr>
      <xdr:spPr>
        <a:xfrm>
          <a:off x="12700" y="37475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10</xdr:row>
      <xdr:rowOff>255059</xdr:rowOff>
    </xdr:from>
    <xdr:to>
      <xdr:col>1</xdr:col>
      <xdr:colOff>12700</xdr:colOff>
      <xdr:row>11</xdr:row>
      <xdr:rowOff>128059</xdr:rowOff>
    </xdr:to>
    <xdr:sp macro="" textlink="">
      <xdr:nvSpPr>
        <xdr:cNvPr id="16" name="Retângulo 15">
          <a:hlinkClick xmlns:r="http://schemas.openxmlformats.org/officeDocument/2006/relationships" r:id="rId10"/>
        </xdr:cNvPr>
        <xdr:cNvSpPr/>
      </xdr:nvSpPr>
      <xdr:spPr>
        <a:xfrm>
          <a:off x="12700" y="40650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VALOR</a:t>
          </a:r>
        </a:p>
      </xdr:txBody>
    </xdr:sp>
    <xdr:clientData/>
  </xdr:twoCellAnchor>
  <xdr:twoCellAnchor editAs="oneCell">
    <xdr:from>
      <xdr:col>0</xdr:col>
      <xdr:colOff>370416</xdr:colOff>
      <xdr:row>0</xdr:row>
      <xdr:rowOff>52917</xdr:rowOff>
    </xdr:from>
    <xdr:to>
      <xdr:col>0</xdr:col>
      <xdr:colOff>1460499</xdr:colOff>
      <xdr:row>2</xdr:row>
      <xdr:rowOff>169086</xdr:rowOff>
    </xdr:to>
    <xdr:pic>
      <xdr:nvPicPr>
        <xdr:cNvPr id="23" name="Imagem 22"/>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xmlns="" val="0"/>
            </a:ext>
          </a:extLst>
        </a:blip>
        <a:stretch>
          <a:fillRect/>
        </a:stretch>
      </xdr:blipFill>
      <xdr:spPr>
        <a:xfrm>
          <a:off x="370416" y="52917"/>
          <a:ext cx="1090083" cy="81466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1</xdr:col>
      <xdr:colOff>191559</xdr:colOff>
      <xdr:row>0</xdr:row>
      <xdr:rowOff>419100</xdr:rowOff>
    </xdr:from>
    <xdr:to>
      <xdr:col>8</xdr:col>
      <xdr:colOff>26459</xdr:colOff>
      <xdr:row>2</xdr:row>
      <xdr:rowOff>157386</xdr:rowOff>
    </xdr:to>
    <xdr:sp macro="" textlink="">
      <xdr:nvSpPr>
        <xdr:cNvPr id="2" name="CaixaDeTexto 1"/>
        <xdr:cNvSpPr txBox="1"/>
      </xdr:nvSpPr>
      <xdr:spPr>
        <a:xfrm>
          <a:off x="2043642" y="419100"/>
          <a:ext cx="62801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Além da planilha de</a:t>
          </a:r>
          <a:r>
            <a:rPr lang="pt-BR" sz="1100" b="0" i="0">
              <a:solidFill>
                <a:schemeClr val="tx1"/>
              </a:solidFill>
              <a:effectLst/>
              <a:latin typeface="+mn-lt"/>
              <a:ea typeface="+mn-ea"/>
              <a:cs typeface="+mn-cs"/>
            </a:rPr>
            <a:t> Avaliação Econômico-Financeira de Empresa</a:t>
          </a:r>
          <a:r>
            <a:rPr lang="pt-BR" sz="1100"/>
            <a:t>, você pode usar outras planilhas para melhorar a gestão da sua empresa. Todas as planilhas da </a:t>
          </a:r>
          <a:r>
            <a:rPr lang="pt-BR" sz="1100" b="1"/>
            <a:t>VALOR</a:t>
          </a:r>
          <a:r>
            <a:rPr lang="pt-BR" sz="1100"/>
            <a:t> já estão prontas e são práticas de se usar!</a:t>
          </a:r>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3</xdr:row>
      <xdr:rowOff>234953</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10</xdr:row>
      <xdr:rowOff>1055</xdr:rowOff>
    </xdr:from>
    <xdr:to>
      <xdr:col>0</xdr:col>
      <xdr:colOff>1717675</xdr:colOff>
      <xdr:row>10</xdr:row>
      <xdr:rowOff>1055</xdr:rowOff>
    </xdr:to>
    <xdr:cxnSp macro="">
      <xdr:nvCxnSpPr>
        <xdr:cNvPr id="6" name="Conector reto 5"/>
        <xdr:cNvCxnSpPr/>
      </xdr:nvCxnSpPr>
      <xdr:spPr>
        <a:xfrm>
          <a:off x="152400" y="330305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64558</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128058</xdr:rowOff>
    </xdr:from>
    <xdr:to>
      <xdr:col>1</xdr:col>
      <xdr:colOff>12700</xdr:colOff>
      <xdr:row>5</xdr:row>
      <xdr:rowOff>191558</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Balanço Patrimônial</a:t>
          </a:r>
        </a:p>
      </xdr:txBody>
    </xdr:sp>
    <xdr:clientData/>
  </xdr:twoCellAnchor>
  <xdr:twoCellAnchor editAs="absolute">
    <xdr:from>
      <xdr:col>0</xdr:col>
      <xdr:colOff>12700</xdr:colOff>
      <xdr:row>6</xdr:row>
      <xdr:rowOff>22225</xdr:rowOff>
    </xdr:from>
    <xdr:to>
      <xdr:col>1</xdr:col>
      <xdr:colOff>12700</xdr:colOff>
      <xdr:row>6</xdr:row>
      <xdr:rowOff>276225</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DRE</a:t>
          </a:r>
        </a:p>
      </xdr:txBody>
    </xdr:sp>
    <xdr:clientData/>
  </xdr:twoCellAnchor>
  <xdr:twoCellAnchor editAs="absolute">
    <xdr:from>
      <xdr:col>0</xdr:col>
      <xdr:colOff>12700</xdr:colOff>
      <xdr:row>6</xdr:row>
      <xdr:rowOff>339722</xdr:rowOff>
    </xdr:from>
    <xdr:to>
      <xdr:col>1</xdr:col>
      <xdr:colOff>12700</xdr:colOff>
      <xdr:row>7</xdr:row>
      <xdr:rowOff>212722</xdr:rowOff>
    </xdr:to>
    <xdr:sp macro="" textlink="">
      <xdr:nvSpPr>
        <xdr:cNvPr id="11" name="Retângulo 10">
          <a:hlinkClick xmlns:r="http://schemas.openxmlformats.org/officeDocument/2006/relationships" r:id="rId4"/>
        </xdr:cNvPr>
        <xdr:cNvSpPr/>
      </xdr:nvSpPr>
      <xdr:spPr>
        <a:xfrm>
          <a:off x="12700" y="2287055"/>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8</xdr:row>
      <xdr:rowOff>43388</xdr:rowOff>
    </xdr:from>
    <xdr:to>
      <xdr:col>1</xdr:col>
      <xdr:colOff>12700</xdr:colOff>
      <xdr:row>8</xdr:row>
      <xdr:rowOff>297388</xdr:rowOff>
    </xdr:to>
    <xdr:sp macro="" textlink="">
      <xdr:nvSpPr>
        <xdr:cNvPr id="12" name="Retângulo 11">
          <a:hlinkClick xmlns:r="http://schemas.openxmlformats.org/officeDocument/2006/relationships" r:id="rId5"/>
        </xdr:cNvPr>
        <xdr:cNvSpPr/>
      </xdr:nvSpPr>
      <xdr:spPr>
        <a:xfrm>
          <a:off x="12700" y="2604555"/>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Alertas e Dicas</a:t>
          </a:r>
        </a:p>
      </xdr:txBody>
    </xdr:sp>
    <xdr:clientData/>
  </xdr:twoCellAnchor>
  <xdr:twoCellAnchor editAs="absolute">
    <xdr:from>
      <xdr:col>0</xdr:col>
      <xdr:colOff>12700</xdr:colOff>
      <xdr:row>8</xdr:row>
      <xdr:rowOff>360888</xdr:rowOff>
    </xdr:from>
    <xdr:to>
      <xdr:col>1</xdr:col>
      <xdr:colOff>12700</xdr:colOff>
      <xdr:row>9</xdr:row>
      <xdr:rowOff>106888</xdr:rowOff>
    </xdr:to>
    <xdr:sp macro="" textlink="">
      <xdr:nvSpPr>
        <xdr:cNvPr id="13" name="Retângulo 12">
          <a:hlinkClick xmlns:r="http://schemas.openxmlformats.org/officeDocument/2006/relationships" r:id="rId6"/>
        </xdr:cNvPr>
        <xdr:cNvSpPr/>
      </xdr:nvSpPr>
      <xdr:spPr>
        <a:xfrm>
          <a:off x="12700" y="2922055"/>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Relatórios de Impressão</a:t>
          </a:r>
        </a:p>
      </xdr:txBody>
    </xdr:sp>
    <xdr:clientData/>
  </xdr:twoCellAnchor>
  <xdr:twoCellAnchor editAs="absolute">
    <xdr:from>
      <xdr:col>0</xdr:col>
      <xdr:colOff>12700</xdr:colOff>
      <xdr:row>10</xdr:row>
      <xdr:rowOff>128055</xdr:rowOff>
    </xdr:from>
    <xdr:to>
      <xdr:col>1</xdr:col>
      <xdr:colOff>12700</xdr:colOff>
      <xdr:row>12</xdr:row>
      <xdr:rowOff>1055</xdr:rowOff>
    </xdr:to>
    <xdr:sp macro="" textlink="">
      <xdr:nvSpPr>
        <xdr:cNvPr id="14" name="Retângulo 13">
          <a:hlinkClick xmlns:r="http://schemas.openxmlformats.org/officeDocument/2006/relationships" r:id="rId7"/>
        </xdr:cNvPr>
        <xdr:cNvSpPr/>
      </xdr:nvSpPr>
      <xdr:spPr>
        <a:xfrm>
          <a:off x="12700" y="3430055"/>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64555</xdr:rowOff>
    </xdr:from>
    <xdr:to>
      <xdr:col>1</xdr:col>
      <xdr:colOff>12700</xdr:colOff>
      <xdr:row>12</xdr:row>
      <xdr:rowOff>318555</xdr:rowOff>
    </xdr:to>
    <xdr:sp macro="" textlink="">
      <xdr:nvSpPr>
        <xdr:cNvPr id="15" name="Retângulo 14">
          <a:hlinkClick xmlns:r="http://schemas.openxmlformats.org/officeDocument/2006/relationships" r:id="rId8"/>
        </xdr:cNvPr>
        <xdr:cNvSpPr/>
      </xdr:nvSpPr>
      <xdr:spPr>
        <a:xfrm>
          <a:off x="12700" y="3747555"/>
          <a:ext cx="1852083"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Sugestões para você</a:t>
          </a:r>
        </a:p>
      </xdr:txBody>
    </xdr:sp>
    <xdr:clientData/>
  </xdr:twoCellAnchor>
  <xdr:twoCellAnchor editAs="absolute">
    <xdr:from>
      <xdr:col>0</xdr:col>
      <xdr:colOff>12700</xdr:colOff>
      <xdr:row>12</xdr:row>
      <xdr:rowOff>382055</xdr:rowOff>
    </xdr:from>
    <xdr:to>
      <xdr:col>1</xdr:col>
      <xdr:colOff>12700</xdr:colOff>
      <xdr:row>13</xdr:row>
      <xdr:rowOff>128055</xdr:rowOff>
    </xdr:to>
    <xdr:sp macro="" textlink="">
      <xdr:nvSpPr>
        <xdr:cNvPr id="16" name="Retângulo 15">
          <a:hlinkClick xmlns:r="http://schemas.openxmlformats.org/officeDocument/2006/relationships" r:id="rId9"/>
        </xdr:cNvPr>
        <xdr:cNvSpPr/>
      </xdr:nvSpPr>
      <xdr:spPr>
        <a:xfrm>
          <a:off x="12700" y="4065055"/>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VALOR</a:t>
          </a:r>
        </a:p>
      </xdr:txBody>
    </xdr:sp>
    <xdr:clientData/>
  </xdr:twoCellAnchor>
  <xdr:twoCellAnchor editAs="oneCell">
    <xdr:from>
      <xdr:col>0</xdr:col>
      <xdr:colOff>381000</xdr:colOff>
      <xdr:row>0</xdr:row>
      <xdr:rowOff>74083</xdr:rowOff>
    </xdr:from>
    <xdr:to>
      <xdr:col>0</xdr:col>
      <xdr:colOff>1471083</xdr:colOff>
      <xdr:row>2</xdr:row>
      <xdr:rowOff>190252</xdr:rowOff>
    </xdr:to>
    <xdr:pic>
      <xdr:nvPicPr>
        <xdr:cNvPr id="25" name="Imagem 24"/>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xmlns="" val="0"/>
            </a:ext>
          </a:extLst>
        </a:blip>
        <a:stretch>
          <a:fillRect/>
        </a:stretch>
      </xdr:blipFill>
      <xdr:spPr>
        <a:xfrm>
          <a:off x="381000" y="74083"/>
          <a:ext cx="1090083" cy="81466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1</xdr:col>
      <xdr:colOff>223309</xdr:colOff>
      <xdr:row>1</xdr:row>
      <xdr:rowOff>6349</xdr:rowOff>
    </xdr:from>
    <xdr:to>
      <xdr:col>11</xdr:col>
      <xdr:colOff>545042</xdr:colOff>
      <xdr:row>2</xdr:row>
      <xdr:rowOff>353954</xdr:rowOff>
    </xdr:to>
    <xdr:sp macro="" textlink="">
      <xdr:nvSpPr>
        <xdr:cNvPr id="2" name="CaixaDeTexto 1"/>
        <xdr:cNvSpPr txBox="1"/>
      </xdr:nvSpPr>
      <xdr:spPr>
        <a:xfrm>
          <a:off x="2075392" y="440266"/>
          <a:ext cx="6206067" cy="6121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A </a:t>
          </a:r>
          <a:r>
            <a:rPr lang="pt-BR" sz="1100" b="1"/>
            <a:t>VALOR</a:t>
          </a:r>
          <a:r>
            <a:rPr lang="pt-BR" sz="1100" b="1" baseline="0"/>
            <a:t> COTADORES GO|MA</a:t>
          </a:r>
          <a:r>
            <a:rPr lang="pt-BR" sz="1100" b="1"/>
            <a:t> </a:t>
          </a:r>
          <a:r>
            <a:rPr lang="pt-BR" sz="1100"/>
            <a:t>é uma empresa especializada no desenvolvimento de planilhas empresariais. Desde 2005 ajudamos empresários e gestores a vencer seus desafios em suas respectivas áreas de trabalho. Conheça um pouco mais da VALOR e descubra como podemos ajudar!</a:t>
          </a:r>
        </a:p>
      </xdr:txBody>
    </xdr:sp>
    <xdr:clientData/>
  </xdr:twoCellAnchor>
  <xdr:twoCellAnchor editAs="absolute">
    <xdr:from>
      <xdr:col>0</xdr:col>
      <xdr:colOff>144991</xdr:colOff>
      <xdr:row>2</xdr:row>
      <xdr:rowOff>135470</xdr:rowOff>
    </xdr:from>
    <xdr:to>
      <xdr:col>0</xdr:col>
      <xdr:colOff>1710266</xdr:colOff>
      <xdr:row>2</xdr:row>
      <xdr:rowOff>135470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222253</xdr:rowOff>
    </xdr:from>
    <xdr:to>
      <xdr:col>0</xdr:col>
      <xdr:colOff>1756833</xdr:colOff>
      <xdr:row>2</xdr:row>
      <xdr:rowOff>499536</xdr:rowOff>
    </xdr:to>
    <xdr:sp macro="" textlink="">
      <xdr:nvSpPr>
        <xdr:cNvPr id="5" name="Rectangle 65"/>
        <xdr:cNvSpPr/>
      </xdr:nvSpPr>
      <xdr:spPr>
        <a:xfrm>
          <a:off x="63500" y="917578"/>
          <a:ext cx="1693333"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152400</xdr:colOff>
      <xdr:row>8</xdr:row>
      <xdr:rowOff>75142</xdr:rowOff>
    </xdr:from>
    <xdr:to>
      <xdr:col>0</xdr:col>
      <xdr:colOff>1717675</xdr:colOff>
      <xdr:row>8</xdr:row>
      <xdr:rowOff>75142</xdr:rowOff>
    </xdr:to>
    <xdr:cxnSp macro="">
      <xdr:nvCxnSpPr>
        <xdr:cNvPr id="6" name="Conector reto 5"/>
        <xdr:cNvCxnSpPr/>
      </xdr:nvCxnSpPr>
      <xdr:spPr>
        <a:xfrm>
          <a:off x="152400" y="3303059"/>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11641</xdr:rowOff>
    </xdr:from>
    <xdr:to>
      <xdr:col>1</xdr:col>
      <xdr:colOff>12700</xdr:colOff>
      <xdr:row>3</xdr:row>
      <xdr:rowOff>265641</xdr:rowOff>
    </xdr:to>
    <xdr:sp macro="" textlink="">
      <xdr:nvSpPr>
        <xdr:cNvPr id="7" name="Retângulo 6">
          <a:hlinkClick xmlns:r="http://schemas.openxmlformats.org/officeDocument/2006/relationships" r:id="rId1"/>
        </xdr:cNvPr>
        <xdr:cNvSpPr/>
      </xdr:nvSpPr>
      <xdr:spPr>
        <a:xfrm>
          <a:off x="12700" y="1333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3</xdr:row>
      <xdr:rowOff>329141</xdr:rowOff>
    </xdr:from>
    <xdr:to>
      <xdr:col>1</xdr:col>
      <xdr:colOff>12700</xdr:colOff>
      <xdr:row>4</xdr:row>
      <xdr:rowOff>202141</xdr:rowOff>
    </xdr:to>
    <xdr:sp macro="" textlink="">
      <xdr:nvSpPr>
        <xdr:cNvPr id="8" name="Retângulo 7">
          <a:hlinkClick xmlns:r="http://schemas.openxmlformats.org/officeDocument/2006/relationships" r:id="rId2"/>
        </xdr:cNvPr>
        <xdr:cNvSpPr/>
      </xdr:nvSpPr>
      <xdr:spPr>
        <a:xfrm>
          <a:off x="12700" y="16510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Balanço Patrimônial</a:t>
          </a:r>
        </a:p>
      </xdr:txBody>
    </xdr:sp>
    <xdr:clientData/>
  </xdr:twoCellAnchor>
  <xdr:twoCellAnchor editAs="absolute">
    <xdr:from>
      <xdr:col>0</xdr:col>
      <xdr:colOff>12700</xdr:colOff>
      <xdr:row>4</xdr:row>
      <xdr:rowOff>265641</xdr:rowOff>
    </xdr:from>
    <xdr:to>
      <xdr:col>1</xdr:col>
      <xdr:colOff>12700</xdr:colOff>
      <xdr:row>5</xdr:row>
      <xdr:rowOff>138641</xdr:rowOff>
    </xdr:to>
    <xdr:sp macro="" textlink="">
      <xdr:nvSpPr>
        <xdr:cNvPr id="9" name="Retângulo 8">
          <a:hlinkClick xmlns:r="http://schemas.openxmlformats.org/officeDocument/2006/relationships" r:id="rId3"/>
        </xdr:cNvPr>
        <xdr:cNvSpPr/>
      </xdr:nvSpPr>
      <xdr:spPr>
        <a:xfrm>
          <a:off x="12700" y="1968500"/>
          <a:ext cx="1847850"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DRE</a:t>
          </a:r>
        </a:p>
      </xdr:txBody>
    </xdr:sp>
    <xdr:clientData/>
  </xdr:twoCellAnchor>
  <xdr:twoCellAnchor editAs="absolute">
    <xdr:from>
      <xdr:col>0</xdr:col>
      <xdr:colOff>12700</xdr:colOff>
      <xdr:row>5</xdr:row>
      <xdr:rowOff>202142</xdr:rowOff>
    </xdr:from>
    <xdr:to>
      <xdr:col>1</xdr:col>
      <xdr:colOff>12700</xdr:colOff>
      <xdr:row>6</xdr:row>
      <xdr:rowOff>75142</xdr:rowOff>
    </xdr:to>
    <xdr:sp macro="" textlink="">
      <xdr:nvSpPr>
        <xdr:cNvPr id="11" name="Retângulo 10">
          <a:hlinkClick xmlns:r="http://schemas.openxmlformats.org/officeDocument/2006/relationships" r:id="rId4"/>
        </xdr:cNvPr>
        <xdr:cNvSpPr/>
      </xdr:nvSpPr>
      <xdr:spPr>
        <a:xfrm>
          <a:off x="12700" y="22870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Gráficos</a:t>
          </a:r>
        </a:p>
      </xdr:txBody>
    </xdr:sp>
    <xdr:clientData/>
  </xdr:twoCellAnchor>
  <xdr:twoCellAnchor editAs="absolute">
    <xdr:from>
      <xdr:col>0</xdr:col>
      <xdr:colOff>12700</xdr:colOff>
      <xdr:row>6</xdr:row>
      <xdr:rowOff>138642</xdr:rowOff>
    </xdr:from>
    <xdr:to>
      <xdr:col>1</xdr:col>
      <xdr:colOff>12700</xdr:colOff>
      <xdr:row>7</xdr:row>
      <xdr:rowOff>11642</xdr:rowOff>
    </xdr:to>
    <xdr:sp macro="" textlink="">
      <xdr:nvSpPr>
        <xdr:cNvPr id="12" name="Retângulo 11">
          <a:hlinkClick xmlns:r="http://schemas.openxmlformats.org/officeDocument/2006/relationships" r:id="rId5"/>
        </xdr:cNvPr>
        <xdr:cNvSpPr/>
      </xdr:nvSpPr>
      <xdr:spPr>
        <a:xfrm>
          <a:off x="12700" y="26045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Alertas e Dicas</a:t>
          </a:r>
        </a:p>
      </xdr:txBody>
    </xdr:sp>
    <xdr:clientData/>
  </xdr:twoCellAnchor>
  <xdr:twoCellAnchor editAs="absolute">
    <xdr:from>
      <xdr:col>0</xdr:col>
      <xdr:colOff>12700</xdr:colOff>
      <xdr:row>7</xdr:row>
      <xdr:rowOff>75142</xdr:rowOff>
    </xdr:from>
    <xdr:to>
      <xdr:col>1</xdr:col>
      <xdr:colOff>12700</xdr:colOff>
      <xdr:row>7</xdr:row>
      <xdr:rowOff>329142</xdr:rowOff>
    </xdr:to>
    <xdr:sp macro="" textlink="">
      <xdr:nvSpPr>
        <xdr:cNvPr id="13" name="Retângulo 12">
          <a:hlinkClick xmlns:r="http://schemas.openxmlformats.org/officeDocument/2006/relationships" r:id="rId6"/>
        </xdr:cNvPr>
        <xdr:cNvSpPr/>
      </xdr:nvSpPr>
      <xdr:spPr>
        <a:xfrm>
          <a:off x="12700" y="29220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Relatórios de Impressão</a:t>
          </a:r>
        </a:p>
      </xdr:txBody>
    </xdr:sp>
    <xdr:clientData/>
  </xdr:twoCellAnchor>
  <xdr:twoCellAnchor editAs="absolute">
    <xdr:from>
      <xdr:col>0</xdr:col>
      <xdr:colOff>12700</xdr:colOff>
      <xdr:row>8</xdr:row>
      <xdr:rowOff>202142</xdr:rowOff>
    </xdr:from>
    <xdr:to>
      <xdr:col>1</xdr:col>
      <xdr:colOff>12700</xdr:colOff>
      <xdr:row>9</xdr:row>
      <xdr:rowOff>75142</xdr:rowOff>
    </xdr:to>
    <xdr:sp macro="" textlink="">
      <xdr:nvSpPr>
        <xdr:cNvPr id="14" name="Retângulo 13">
          <a:hlinkClick xmlns:r="http://schemas.openxmlformats.org/officeDocument/2006/relationships" r:id="rId7"/>
        </xdr:cNvPr>
        <xdr:cNvSpPr/>
      </xdr:nvSpPr>
      <xdr:spPr>
        <a:xfrm>
          <a:off x="12700" y="34300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9</xdr:row>
      <xdr:rowOff>138642</xdr:rowOff>
    </xdr:from>
    <xdr:to>
      <xdr:col>1</xdr:col>
      <xdr:colOff>12700</xdr:colOff>
      <xdr:row>10</xdr:row>
      <xdr:rowOff>11642</xdr:rowOff>
    </xdr:to>
    <xdr:sp macro="" textlink="">
      <xdr:nvSpPr>
        <xdr:cNvPr id="15" name="Retângulo 14">
          <a:hlinkClick xmlns:r="http://schemas.openxmlformats.org/officeDocument/2006/relationships" r:id="rId8"/>
        </xdr:cNvPr>
        <xdr:cNvSpPr/>
      </xdr:nvSpPr>
      <xdr:spPr>
        <a:xfrm>
          <a:off x="12700" y="3747559"/>
          <a:ext cx="1852083" cy="254000"/>
        </a:xfrm>
        <a:prstGeom prst="rect">
          <a:avLst/>
        </a:prstGeom>
        <a:noFill/>
        <a:ln w="25400" cap="flat" cmpd="sng" algn="ctr">
          <a:noFill/>
          <a:prstDash val="solid"/>
        </a:ln>
        <a:effectLst/>
        <a:extLst>
          <a:ext uri="{909E8E84-426E-40DD-AFC4-6F175D3DCCD1}">
            <a14:hiddenFill xmlns:a14="http://schemas.microsoft.com/office/drawing/2010/main" xmlns="">
              <a:solidFill>
                <a:schemeClr val="accent1"/>
              </a:solidFill>
            </a14:hiddenFill>
          </a:ex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10</xdr:row>
      <xdr:rowOff>75142</xdr:rowOff>
    </xdr:from>
    <xdr:to>
      <xdr:col>1</xdr:col>
      <xdr:colOff>12700</xdr:colOff>
      <xdr:row>10</xdr:row>
      <xdr:rowOff>329142</xdr:rowOff>
    </xdr:to>
    <xdr:sp macro="" textlink="">
      <xdr:nvSpPr>
        <xdr:cNvPr id="16" name="Retângulo 15">
          <a:hlinkClick xmlns:r="http://schemas.openxmlformats.org/officeDocument/2006/relationships" r:id="rId9"/>
        </xdr:cNvPr>
        <xdr:cNvSpPr/>
      </xdr:nvSpPr>
      <xdr:spPr>
        <a:xfrm>
          <a:off x="12700" y="4065059"/>
          <a:ext cx="1852083" cy="254000"/>
        </a:xfrm>
        <a:prstGeom prst="rect">
          <a:avLst/>
        </a:prstGeom>
        <a:solidFill>
          <a:schemeClr val="bg1">
            <a:lumMod val="100000"/>
          </a:schemeClr>
        </a:solidFill>
        <a:ln w="25400" cap="flat" cmpd="sng" algn="ctr">
          <a:noFill/>
          <a:prstDash val="solid"/>
        </a:ln>
        <a:effectLst/>
        <a:extLst>
          <a:ext uri="{91240B29-F687-4F45-9708-019B960494DF}">
            <a14:hiddenLine xmlns:a14="http://schemas.microsoft.com/office/drawing/2010/main" xmlns=""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Sobre a VALOR</a:t>
          </a:r>
        </a:p>
      </xdr:txBody>
    </xdr:sp>
    <xdr:clientData/>
  </xdr:twoCellAnchor>
  <xdr:twoCellAnchor editAs="oneCell">
    <xdr:from>
      <xdr:col>6</xdr:col>
      <xdr:colOff>158750</xdr:colOff>
      <xdr:row>4</xdr:row>
      <xdr:rowOff>137583</xdr:rowOff>
    </xdr:from>
    <xdr:to>
      <xdr:col>15</xdr:col>
      <xdr:colOff>310092</xdr:colOff>
      <xdr:row>15</xdr:row>
      <xdr:rowOff>299508</xdr:rowOff>
    </xdr:to>
    <xdr:pic>
      <xdr:nvPicPr>
        <xdr:cNvPr id="10" name="Imagem 9"/>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xmlns="" val="0"/>
            </a:ext>
          </a:extLst>
        </a:blip>
        <a:stretch>
          <a:fillRect/>
        </a:stretch>
      </xdr:blipFill>
      <xdr:spPr>
        <a:xfrm>
          <a:off x="4635500" y="1841500"/>
          <a:ext cx="5781675" cy="4352925"/>
        </a:xfrm>
        <a:prstGeom prst="rect">
          <a:avLst/>
        </a:prstGeom>
      </xdr:spPr>
    </xdr:pic>
    <xdr:clientData/>
  </xdr:twoCellAnchor>
  <xdr:twoCellAnchor editAs="oneCell">
    <xdr:from>
      <xdr:col>14</xdr:col>
      <xdr:colOff>10582</xdr:colOff>
      <xdr:row>8</xdr:row>
      <xdr:rowOff>285749</xdr:rowOff>
    </xdr:from>
    <xdr:to>
      <xdr:col>15</xdr:col>
      <xdr:colOff>332316</xdr:colOff>
      <xdr:row>11</xdr:row>
      <xdr:rowOff>57149</xdr:rowOff>
    </xdr:to>
    <xdr:pic>
      <xdr:nvPicPr>
        <xdr:cNvPr id="26" name="Imagem 25">
          <a:hlinkClick xmlns:r="http://schemas.openxmlformats.org/officeDocument/2006/relationships" r:id="rId11"/>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xmlns="" val="0"/>
            </a:ext>
          </a:extLst>
        </a:blip>
        <a:stretch>
          <a:fillRect/>
        </a:stretch>
      </xdr:blipFill>
      <xdr:spPr>
        <a:xfrm>
          <a:off x="9524999" y="3513666"/>
          <a:ext cx="914400" cy="914400"/>
        </a:xfrm>
        <a:prstGeom prst="rect">
          <a:avLst/>
        </a:prstGeom>
      </xdr:spPr>
    </xdr:pic>
    <xdr:clientData/>
  </xdr:twoCellAnchor>
  <xdr:twoCellAnchor editAs="oneCell">
    <xdr:from>
      <xdr:col>6</xdr:col>
      <xdr:colOff>54749</xdr:colOff>
      <xdr:row>8</xdr:row>
      <xdr:rowOff>319333</xdr:rowOff>
    </xdr:from>
    <xdr:to>
      <xdr:col>7</xdr:col>
      <xdr:colOff>376482</xdr:colOff>
      <xdr:row>11</xdr:row>
      <xdr:rowOff>90733</xdr:rowOff>
    </xdr:to>
    <xdr:pic>
      <xdr:nvPicPr>
        <xdr:cNvPr id="27" name="Imagem 26">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xmlns="" val="0"/>
            </a:ext>
          </a:extLst>
        </a:blip>
        <a:stretch>
          <a:fillRect/>
        </a:stretch>
      </xdr:blipFill>
      <xdr:spPr>
        <a:xfrm>
          <a:off x="4531499" y="3547250"/>
          <a:ext cx="914400" cy="914400"/>
        </a:xfrm>
        <a:prstGeom prst="rect">
          <a:avLst/>
        </a:prstGeom>
      </xdr:spPr>
    </xdr:pic>
    <xdr:clientData/>
  </xdr:twoCellAnchor>
  <xdr:twoCellAnchor editAs="oneCell">
    <xdr:from>
      <xdr:col>0</xdr:col>
      <xdr:colOff>370417</xdr:colOff>
      <xdr:row>0</xdr:row>
      <xdr:rowOff>52917</xdr:rowOff>
    </xdr:from>
    <xdr:to>
      <xdr:col>0</xdr:col>
      <xdr:colOff>1460500</xdr:colOff>
      <xdr:row>2</xdr:row>
      <xdr:rowOff>169086</xdr:rowOff>
    </xdr:to>
    <xdr:pic>
      <xdr:nvPicPr>
        <xdr:cNvPr id="29" name="Imagem 28"/>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xmlns="" val="0"/>
            </a:ext>
          </a:extLst>
        </a:blip>
        <a:stretch>
          <a:fillRect/>
        </a:stretch>
      </xdr:blipFill>
      <xdr:spPr>
        <a:xfrm>
          <a:off x="370417" y="52917"/>
          <a:ext cx="1090083" cy="814669"/>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3.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8" Type="http://schemas.openxmlformats.org/officeDocument/2006/relationships/hyperlink" Target="http://luz.vc/ferramentas/pacotes/controle-financeiro/?utm_source=produto&amp;utm_medium=referral&amp;utm_campaign=fcanalisebanc3" TargetMode="External"/><Relationship Id="rId13" Type="http://schemas.openxmlformats.org/officeDocument/2006/relationships/hyperlink" Target="http://luz.vc/ferramentas/apresentacoes/apresentacao-financeira/?utm_source=produto&amp;utm_medium=referral&amp;utm_campaign=fcanalisebanc3" TargetMode="External"/><Relationship Id="rId18" Type="http://schemas.openxmlformats.org/officeDocument/2006/relationships/hyperlink" Target="http://luz.vc/ferramentas/planilhas-prontas/planilha-de-estudo-de-viabilidade-economica/?utm_source=produto&amp;utm_medium=referral&amp;utm_campaign=fcanalisebanc3&amp;utm_source=produto&amp;utm_medium=referral&amp;utm_campaign=avaliacao-eco-fin" TargetMode="External"/><Relationship Id="rId26" Type="http://schemas.openxmlformats.org/officeDocument/2006/relationships/hyperlink" Target="http://www.valor.zz.vc/planilas" TargetMode="External"/><Relationship Id="rId3" Type="http://schemas.openxmlformats.org/officeDocument/2006/relationships/hyperlink" Target="http://luz.vc/ferramentas/pacotes/controle-financeiro/?utm_source=produto&amp;utm_medium=referral&amp;utm_campaign=fcanalisebanc3" TargetMode="External"/><Relationship Id="rId21" Type="http://schemas.openxmlformats.org/officeDocument/2006/relationships/hyperlink" Target="http://luz.vc/ferramentas/apresentacoes/apresentacao-financeira/?utm_source=produto&amp;utm_medium=referral&amp;utm_campaign=fcanalisebanc3&amp;utm_source=produto&amp;utm_medium=referral&amp;utm_campaign=avaliacao-eco-fin" TargetMode="External"/><Relationship Id="rId7" Type="http://schemas.openxmlformats.org/officeDocument/2006/relationships/hyperlink" Target="http://www.valor.zz.vc/planilas" TargetMode="External"/><Relationship Id="rId12" Type="http://schemas.openxmlformats.org/officeDocument/2006/relationships/hyperlink" Target="http://luz.vc/ferramentas/pacotes/pacote-de-planilhas-para-departamento-pessoal/?utm_source=produto&amp;utm_medium=referral&amp;utm_campaign=fcanalisebanc3" TargetMode="External"/><Relationship Id="rId17" Type="http://schemas.openxmlformats.org/officeDocument/2006/relationships/hyperlink" Target="http://luz.vc/ferramentas/planilhas-prontas/planilha-de-formacao-de-precos-para-servicos/?utm_source=produto&amp;utm_medium=referral&amp;utm_campaign=fcanalisebanc3&amp;utm_source=produto&amp;utm_medium=referral&amp;utm_campaign=avaliacao-eco-fin" TargetMode="External"/><Relationship Id="rId25" Type="http://schemas.openxmlformats.org/officeDocument/2006/relationships/hyperlink" Target="http://www.valor.zz.vc/planilas" TargetMode="External"/><Relationship Id="rId2" Type="http://schemas.openxmlformats.org/officeDocument/2006/relationships/hyperlink" Target="http://luz.vc/ferramentas/pacotes/pacote-de-planilhas-de-financas-empresariais/?utm_source=produtos&amp;utm_medium=referral&amp;utm_campaign=fcanalisebanc3" TargetMode="External"/><Relationship Id="rId16" Type="http://schemas.openxmlformats.org/officeDocument/2006/relationships/hyperlink" Target="http://luz.vc/ferramentas/pacotes/controle-financeiro/?utm_source=produto&amp;utm_medium=referral&amp;utm_campaign=fcanalisebanc3&amp;utm_source=produto&amp;utm_medium=referral&amp;utm_campaign=avaliacao-eco-fin" TargetMode="External"/><Relationship Id="rId20" Type="http://schemas.openxmlformats.org/officeDocument/2006/relationships/hyperlink" Target="http://luz.vc/ferramentas/pacotes/pacote-de-planilhas-para-departamento-pessoal/?utm_source=produto&amp;utm_medium=referral&amp;utm_campaign=fcanalisebanc3&amp;utm_source=produto&amp;utm_medium=referral&amp;utm_campaign=avaliacao-eco-fin" TargetMode="External"/><Relationship Id="rId1" Type="http://schemas.openxmlformats.org/officeDocument/2006/relationships/hyperlink" Target="http://luz.vc/ferramentas/planilhas-prontas/planilha-avaliacao-desempenho-competencia/?utm_source=referral&amp;utm_medium=produtos&amp;utm_campaign=fc3" TargetMode="External"/><Relationship Id="rId6" Type="http://schemas.openxmlformats.org/officeDocument/2006/relationships/hyperlink" Target="http://luz.vc/ferramentas/apresentacoes/apresentacao-financeira/?utm_source=produto&amp;utm_medium=referral&amp;utm_campaign=fcanalisebanc3" TargetMode="External"/><Relationship Id="rId11" Type="http://schemas.openxmlformats.org/officeDocument/2006/relationships/hyperlink" Target="http://luz.vc/ferramentas/planilhas-prontas/planilha-de-folha-de-pagamento/?utm_source=produto&amp;utm_medium=referral&amp;utm_campaign=fcanalisebanc3" TargetMode="External"/><Relationship Id="rId24" Type="http://schemas.openxmlformats.org/officeDocument/2006/relationships/hyperlink" Target="http://www.valor.zz.vc/planilas" TargetMode="External"/><Relationship Id="rId5" Type="http://schemas.openxmlformats.org/officeDocument/2006/relationships/hyperlink" Target="http://luz.vc/ferramentas/planilhas-prontas/planilha-de-formacao-de-precos-para-servicos/?utm_source=produto&amp;utm_medium=referral&amp;utm_campaign=fcanalisebanc3" TargetMode="External"/><Relationship Id="rId15" Type="http://schemas.openxmlformats.org/officeDocument/2006/relationships/hyperlink" Target="http://www.valor.zz.vc/planilas" TargetMode="External"/><Relationship Id="rId23" Type="http://schemas.openxmlformats.org/officeDocument/2006/relationships/hyperlink" Target="http://www.valor.zz.vc/planilas" TargetMode="External"/><Relationship Id="rId28" Type="http://schemas.openxmlformats.org/officeDocument/2006/relationships/drawing" Target="../drawings/drawing18.xml"/><Relationship Id="rId10" Type="http://schemas.openxmlformats.org/officeDocument/2006/relationships/hyperlink" Target="http://luz.vc/ferramentas/planilhas-prontas/planilha-de-estudo-de-viabilidade-economica/?utm_source=produto&amp;utm_medium=referral&amp;utm_campaign=fcanalisebanc3" TargetMode="External"/><Relationship Id="rId19" Type="http://schemas.openxmlformats.org/officeDocument/2006/relationships/hyperlink" Target="http://luz.vc/ferramentas/planilhas-prontas/planilha-de-folha-de-pagamento/?utm_source=produto&amp;utm_medium=referral&amp;utm_campaign=fcanalisebanc3&amp;utm_source=produto&amp;utm_medium=referral&amp;utm_campaign=avaliacao-eco-fin" TargetMode="External"/><Relationship Id="rId4" Type="http://schemas.openxmlformats.org/officeDocument/2006/relationships/hyperlink" Target="http://luz.vc/ferramentas/pacotes/controle-financeiro/?utm_source=produto&amp;utm_medium=referral&amp;utm_campaign=fcanalisebanc3" TargetMode="External"/><Relationship Id="rId9" Type="http://schemas.openxmlformats.org/officeDocument/2006/relationships/hyperlink" Target="http://luz.vc/ferramentas/planilhas-prontas/planilha-de-formacao-de-precos-para-servicos/?utm_source=produto&amp;utm_medium=referral&amp;utm_campaign=fcanalisebanc3" TargetMode="External"/><Relationship Id="rId14" Type="http://schemas.openxmlformats.org/officeDocument/2006/relationships/hyperlink" Target="http://luz.vc/ferramentas/pacotes/pacote-de-planilhas-de-financas-empresariais/?utm_source=produtos&amp;utm_medium=referral&amp;utm_campaign=fcanalisebanc3&amp;utm_source=produto&amp;utm_medium=referral&amp;utm_campaign=avaliacao-eco-fin" TargetMode="External"/><Relationship Id="rId22" Type="http://schemas.openxmlformats.org/officeDocument/2006/relationships/hyperlink" Target="http://www.valor.zz.vc/planilas" TargetMode="External"/><Relationship Id="rId27"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sheetPr codeName="Plan1"/>
  <dimension ref="A1:AA132"/>
  <sheetViews>
    <sheetView showGridLines="0" zoomScale="90" zoomScaleNormal="90" workbookViewId="0">
      <selection activeCell="B1" sqref="B1"/>
    </sheetView>
  </sheetViews>
  <sheetFormatPr defaultColWidth="8.85546875" defaultRowHeight="15" zeroHeight="1"/>
  <cols>
    <col min="1" max="1" width="27.7109375" style="104" customWidth="1"/>
    <col min="2" max="2" width="3.85546875" customWidth="1"/>
    <col min="4" max="4" width="2.7109375" customWidth="1"/>
  </cols>
  <sheetData>
    <row r="1" spans="1:27" s="41" customFormat="1" ht="44.25" customHeight="1">
      <c r="A1" s="103"/>
      <c r="B1" s="26"/>
      <c r="C1" s="26"/>
      <c r="D1" s="26"/>
      <c r="E1" s="102"/>
      <c r="F1" s="102"/>
      <c r="G1" s="102"/>
      <c r="H1" s="102"/>
      <c r="I1" s="102"/>
      <c r="J1" s="102"/>
      <c r="K1" s="102"/>
      <c r="L1" s="102"/>
      <c r="M1" s="102"/>
      <c r="N1" s="102"/>
      <c r="O1" s="26"/>
      <c r="P1" s="26"/>
      <c r="Q1" s="26"/>
      <c r="R1" s="26"/>
      <c r="S1" s="26"/>
      <c r="T1" s="26"/>
      <c r="U1" s="26"/>
      <c r="V1" s="26"/>
      <c r="W1" s="26"/>
      <c r="X1" s="26"/>
      <c r="Y1" s="26"/>
      <c r="Z1" s="26"/>
      <c r="AA1" s="26"/>
    </row>
    <row r="2" spans="1:27" s="41" customFormat="1" ht="33.950000000000003" customHeight="1">
      <c r="A2" s="103"/>
      <c r="C2" s="115" t="s">
        <v>528</v>
      </c>
      <c r="D2" s="115"/>
      <c r="E2" s="115"/>
      <c r="F2" s="115"/>
      <c r="G2" s="115"/>
      <c r="H2" s="115"/>
      <c r="I2" s="115"/>
      <c r="J2" s="115"/>
      <c r="K2" s="115"/>
      <c r="L2" s="115"/>
      <c r="M2" s="115"/>
    </row>
    <row r="3" spans="1:27" s="41" customFormat="1" ht="80.25" customHeight="1">
      <c r="A3" s="103"/>
      <c r="C3" s="120" t="s">
        <v>595</v>
      </c>
      <c r="D3" s="120"/>
      <c r="E3" s="120"/>
      <c r="F3" s="120"/>
      <c r="G3" s="120"/>
      <c r="H3" s="120"/>
      <c r="I3" s="120"/>
      <c r="J3" s="120"/>
      <c r="K3" s="120"/>
      <c r="L3" s="120"/>
      <c r="M3" s="120"/>
      <c r="N3" s="120"/>
      <c r="O3" s="120"/>
      <c r="P3" s="120"/>
      <c r="Q3" s="56"/>
      <c r="R3" s="56"/>
      <c r="S3" s="56"/>
      <c r="T3" s="56"/>
    </row>
    <row r="4" spans="1:27" s="41" customFormat="1" ht="80.25" customHeight="1">
      <c r="A4" s="103"/>
      <c r="C4" s="121" t="s">
        <v>596</v>
      </c>
      <c r="D4" s="122"/>
      <c r="E4" s="122"/>
      <c r="F4" s="122"/>
      <c r="G4" s="122"/>
      <c r="H4" s="122"/>
      <c r="I4" s="122"/>
      <c r="J4" s="122"/>
      <c r="K4" s="122"/>
      <c r="L4" s="122"/>
      <c r="M4" s="122"/>
      <c r="N4" s="122"/>
      <c r="O4" s="122"/>
      <c r="P4" s="122"/>
      <c r="Q4" s="122"/>
      <c r="R4" s="122"/>
      <c r="S4" s="56"/>
      <c r="T4" s="56"/>
    </row>
    <row r="5" spans="1:27" s="41" customFormat="1" ht="37.5" customHeight="1">
      <c r="A5" s="103"/>
      <c r="C5" s="116" t="s">
        <v>529</v>
      </c>
      <c r="D5" s="116"/>
      <c r="E5" s="116"/>
      <c r="F5" s="116"/>
      <c r="G5" s="116"/>
      <c r="H5" s="116"/>
      <c r="I5" s="116"/>
      <c r="J5" s="116"/>
      <c r="K5" s="116"/>
      <c r="L5" s="116"/>
      <c r="M5" s="116"/>
    </row>
    <row r="6" spans="1:27" s="41" customFormat="1" ht="30" customHeight="1">
      <c r="A6" s="103"/>
      <c r="C6" s="117" t="s">
        <v>530</v>
      </c>
      <c r="D6" s="117"/>
      <c r="E6" s="117"/>
      <c r="F6" s="117"/>
      <c r="G6" s="117"/>
      <c r="H6" s="117"/>
      <c r="I6" s="117"/>
      <c r="J6" s="117"/>
      <c r="K6" s="117"/>
      <c r="L6" s="117"/>
      <c r="M6" s="117"/>
    </row>
    <row r="7" spans="1:27" s="41" customFormat="1" ht="8.1" customHeight="1">
      <c r="A7" s="103"/>
    </row>
    <row r="8" spans="1:27" s="41" customFormat="1" ht="24.95" customHeight="1">
      <c r="A8" s="103"/>
      <c r="C8" s="118">
        <v>1</v>
      </c>
      <c r="E8" s="119" t="s">
        <v>534</v>
      </c>
      <c r="F8" s="119"/>
      <c r="G8" s="119"/>
      <c r="H8" s="119"/>
      <c r="I8" s="119"/>
      <c r="J8" s="119"/>
      <c r="K8" s="119"/>
      <c r="L8" s="119"/>
      <c r="M8" s="119"/>
    </row>
    <row r="9" spans="1:27" s="41" customFormat="1" ht="24.95" customHeight="1">
      <c r="A9" s="103"/>
      <c r="C9" s="118"/>
      <c r="E9" s="116" t="s">
        <v>535</v>
      </c>
      <c r="F9" s="116"/>
      <c r="G9" s="116"/>
      <c r="H9" s="116"/>
      <c r="I9" s="116"/>
      <c r="J9" s="116"/>
      <c r="K9" s="116"/>
      <c r="L9" s="116"/>
      <c r="M9" s="116"/>
    </row>
    <row r="10" spans="1:27" s="41" customFormat="1" ht="24.95" customHeight="1">
      <c r="A10" s="103"/>
      <c r="C10" s="118"/>
      <c r="E10" s="116"/>
      <c r="F10" s="116"/>
      <c r="G10" s="116"/>
      <c r="H10" s="116"/>
      <c r="I10" s="116"/>
      <c r="J10" s="116"/>
      <c r="K10" s="116"/>
      <c r="L10" s="116"/>
      <c r="M10" s="116"/>
    </row>
    <row r="11" spans="1:27" s="41" customFormat="1" ht="12" customHeight="1">
      <c r="A11" s="103"/>
    </row>
    <row r="12" spans="1:27" s="41" customFormat="1" ht="24.95" customHeight="1">
      <c r="A12" s="103"/>
      <c r="C12" s="118">
        <v>2</v>
      </c>
      <c r="E12" s="123" t="s">
        <v>536</v>
      </c>
      <c r="F12" s="123"/>
      <c r="G12" s="123"/>
      <c r="H12" s="123"/>
      <c r="I12" s="123"/>
      <c r="J12" s="123"/>
      <c r="K12" s="123"/>
      <c r="L12" s="123"/>
      <c r="M12" s="123"/>
    </row>
    <row r="13" spans="1:27" s="41" customFormat="1" ht="24.95" customHeight="1">
      <c r="A13" s="103"/>
      <c r="C13" s="118"/>
      <c r="E13" s="116" t="s">
        <v>537</v>
      </c>
      <c r="F13" s="116"/>
      <c r="G13" s="116"/>
      <c r="H13" s="116"/>
      <c r="I13" s="116"/>
      <c r="J13" s="116"/>
      <c r="K13" s="116"/>
      <c r="L13" s="116"/>
      <c r="M13" s="116"/>
    </row>
    <row r="14" spans="1:27" s="41" customFormat="1" ht="24.95" customHeight="1">
      <c r="A14" s="103"/>
      <c r="C14" s="118"/>
      <c r="E14" s="116"/>
      <c r="F14" s="116"/>
      <c r="G14" s="116"/>
      <c r="H14" s="116"/>
      <c r="I14" s="116"/>
      <c r="J14" s="116"/>
      <c r="K14" s="116"/>
      <c r="L14" s="116"/>
      <c r="M14" s="116"/>
    </row>
    <row r="15" spans="1:27" s="41" customFormat="1" ht="12" customHeight="1">
      <c r="A15" s="103"/>
      <c r="C15" s="57"/>
    </row>
    <row r="16" spans="1:27" s="41" customFormat="1" ht="24.95" customHeight="1">
      <c r="A16" s="103"/>
      <c r="C16" s="118">
        <v>3</v>
      </c>
      <c r="E16" s="123" t="s">
        <v>531</v>
      </c>
      <c r="F16" s="123"/>
      <c r="G16" s="123"/>
      <c r="H16" s="123"/>
      <c r="I16" s="123"/>
      <c r="J16" s="123"/>
      <c r="K16" s="123"/>
      <c r="L16" s="123"/>
      <c r="M16" s="123"/>
    </row>
    <row r="17" spans="1:13" s="41" customFormat="1" ht="24.95" customHeight="1">
      <c r="A17" s="103"/>
      <c r="C17" s="118"/>
      <c r="E17" s="116" t="s">
        <v>538</v>
      </c>
      <c r="F17" s="116"/>
      <c r="G17" s="116"/>
      <c r="H17" s="116"/>
      <c r="I17" s="116"/>
      <c r="J17" s="116"/>
      <c r="K17" s="116"/>
      <c r="L17" s="116"/>
      <c r="M17" s="116"/>
    </row>
    <row r="18" spans="1:13" s="41" customFormat="1" ht="24.95" customHeight="1">
      <c r="A18" s="103"/>
      <c r="C18" s="118"/>
      <c r="E18" s="116"/>
      <c r="F18" s="116"/>
      <c r="G18" s="116"/>
      <c r="H18" s="116"/>
      <c r="I18" s="116"/>
      <c r="J18" s="116"/>
      <c r="K18" s="116"/>
      <c r="L18" s="116"/>
      <c r="M18" s="116"/>
    </row>
    <row r="19" spans="1:13" s="41" customFormat="1" ht="12" customHeight="1">
      <c r="A19" s="103"/>
      <c r="C19" s="57"/>
    </row>
    <row r="20" spans="1:13" s="41" customFormat="1" ht="24.95" customHeight="1">
      <c r="A20" s="103"/>
      <c r="C20" s="118">
        <v>4</v>
      </c>
      <c r="E20" s="123" t="s">
        <v>539</v>
      </c>
      <c r="F20" s="123"/>
      <c r="G20" s="123"/>
      <c r="H20" s="123"/>
      <c r="I20" s="123"/>
      <c r="J20" s="123"/>
      <c r="K20" s="123"/>
      <c r="L20" s="123"/>
      <c r="M20" s="123"/>
    </row>
    <row r="21" spans="1:13" s="41" customFormat="1" ht="24.95" customHeight="1">
      <c r="A21" s="103"/>
      <c r="C21" s="118"/>
      <c r="E21" s="116" t="s">
        <v>540</v>
      </c>
      <c r="F21" s="116"/>
      <c r="G21" s="116"/>
      <c r="H21" s="116"/>
      <c r="I21" s="116"/>
      <c r="J21" s="116"/>
      <c r="K21" s="116"/>
      <c r="L21" s="116"/>
      <c r="M21" s="116"/>
    </row>
    <row r="22" spans="1:13" s="41" customFormat="1" ht="24.95" customHeight="1">
      <c r="A22" s="103"/>
      <c r="C22" s="118"/>
      <c r="E22" s="116"/>
      <c r="F22" s="116"/>
      <c r="G22" s="116"/>
      <c r="H22" s="116"/>
      <c r="I22" s="116"/>
      <c r="J22" s="116"/>
      <c r="K22" s="116"/>
      <c r="L22" s="116"/>
      <c r="M22" s="116"/>
    </row>
    <row r="23" spans="1:13" s="41" customFormat="1" ht="12" customHeight="1">
      <c r="A23" s="103"/>
      <c r="C23" s="57"/>
    </row>
    <row r="24" spans="1:13" s="41" customFormat="1" ht="24.95" customHeight="1">
      <c r="A24" s="103"/>
      <c r="C24" s="118">
        <v>5</v>
      </c>
      <c r="E24" s="123" t="s">
        <v>532</v>
      </c>
      <c r="F24" s="123"/>
      <c r="G24" s="123"/>
      <c r="H24" s="123"/>
      <c r="I24" s="123"/>
      <c r="J24" s="123"/>
      <c r="K24" s="123"/>
      <c r="L24" s="123"/>
      <c r="M24" s="123"/>
    </row>
    <row r="25" spans="1:13" s="41" customFormat="1" ht="24.95" customHeight="1">
      <c r="A25" s="103"/>
      <c r="C25" s="118"/>
      <c r="E25" s="116" t="s">
        <v>533</v>
      </c>
      <c r="F25" s="116"/>
      <c r="G25" s="116"/>
      <c r="H25" s="116"/>
      <c r="I25" s="116"/>
      <c r="J25" s="116"/>
      <c r="K25" s="116"/>
      <c r="L25" s="116"/>
      <c r="M25" s="116"/>
    </row>
    <row r="26" spans="1:13" s="41" customFormat="1" ht="24.95" customHeight="1">
      <c r="A26" s="103"/>
      <c r="C26" s="118"/>
      <c r="E26" s="116"/>
      <c r="F26" s="116"/>
      <c r="G26" s="116"/>
      <c r="H26" s="116"/>
      <c r="I26" s="116"/>
      <c r="J26" s="116"/>
      <c r="K26" s="116"/>
      <c r="L26" s="116"/>
      <c r="M26" s="116"/>
    </row>
    <row r="27" spans="1:13" s="41" customFormat="1" ht="30" customHeight="1">
      <c r="A27" s="103"/>
      <c r="C27" s="57"/>
    </row>
    <row r="28" spans="1:13" s="41" customFormat="1" ht="30" customHeight="1">
      <c r="A28" s="103"/>
    </row>
    <row r="29" spans="1:13" s="41" customFormat="1" ht="30" customHeight="1">
      <c r="A29" s="103"/>
    </row>
    <row r="30" spans="1:13" s="41" customFormat="1" ht="30" customHeight="1">
      <c r="A30" s="103"/>
    </row>
    <row r="31" spans="1:13" s="41" customFormat="1" ht="30" customHeight="1">
      <c r="A31" s="103"/>
    </row>
    <row r="32" spans="1:13" s="41" customFormat="1" ht="30" customHeight="1">
      <c r="A32" s="103"/>
    </row>
    <row r="33" spans="1:1" s="41" customFormat="1" ht="30" customHeight="1">
      <c r="A33" s="103"/>
    </row>
    <row r="34" spans="1:1" s="41" customFormat="1" ht="30" customHeight="1">
      <c r="A34" s="103"/>
    </row>
    <row r="35" spans="1:1" s="41" customFormat="1" ht="30" customHeight="1">
      <c r="A35" s="103"/>
    </row>
    <row r="36" spans="1:1" s="41" customFormat="1" ht="30" customHeight="1">
      <c r="A36" s="103"/>
    </row>
    <row r="37" spans="1:1" s="41" customFormat="1" ht="30" customHeight="1">
      <c r="A37" s="103"/>
    </row>
    <row r="38" spans="1:1" s="41" customFormat="1" ht="30" customHeight="1">
      <c r="A38" s="103"/>
    </row>
    <row r="39" spans="1:1" s="41" customFormat="1" ht="30" customHeight="1">
      <c r="A39" s="103"/>
    </row>
    <row r="40" spans="1:1" s="41" customFormat="1" ht="30" customHeight="1">
      <c r="A40" s="103"/>
    </row>
    <row r="41" spans="1:1" s="41" customFormat="1" ht="30" customHeight="1">
      <c r="A41" s="103"/>
    </row>
    <row r="42" spans="1:1" s="41" customFormat="1" ht="30" customHeight="1">
      <c r="A42" s="103"/>
    </row>
    <row r="43" spans="1:1" s="41" customFormat="1" ht="30" customHeight="1">
      <c r="A43" s="103"/>
    </row>
    <row r="44" spans="1:1" s="41" customFormat="1" ht="30" customHeight="1">
      <c r="A44" s="103"/>
    </row>
    <row r="45" spans="1:1" s="41" customFormat="1" ht="30" customHeight="1">
      <c r="A45" s="103"/>
    </row>
    <row r="46" spans="1:1" s="41" customFormat="1" ht="30" customHeight="1">
      <c r="A46" s="103"/>
    </row>
    <row r="47" spans="1:1" s="41" customFormat="1" ht="30" customHeight="1">
      <c r="A47" s="103"/>
    </row>
    <row r="48" spans="1:1" s="41" customFormat="1" ht="30" customHeight="1">
      <c r="A48" s="103"/>
    </row>
    <row r="49" spans="1:1" s="41" customFormat="1" ht="30" customHeight="1">
      <c r="A49" s="103"/>
    </row>
    <row r="50" spans="1:1" s="41" customFormat="1" ht="30" customHeight="1">
      <c r="A50" s="103"/>
    </row>
    <row r="51" spans="1:1" s="41" customFormat="1" ht="30" customHeight="1">
      <c r="A51" s="103"/>
    </row>
    <row r="52" spans="1:1" s="41" customFormat="1" ht="30" customHeight="1">
      <c r="A52" s="103"/>
    </row>
    <row r="53" spans="1:1" s="41" customFormat="1" ht="30" customHeight="1">
      <c r="A53" s="103"/>
    </row>
    <row r="54" spans="1:1" s="41" customFormat="1" ht="30" customHeight="1">
      <c r="A54" s="103"/>
    </row>
    <row r="55" spans="1:1" s="41" customFormat="1" ht="30" customHeight="1">
      <c r="A55" s="103"/>
    </row>
    <row r="56" spans="1:1" s="41" customFormat="1" ht="30" customHeight="1">
      <c r="A56" s="103"/>
    </row>
    <row r="57" spans="1:1" s="41" customFormat="1" ht="30" customHeight="1">
      <c r="A57" s="103"/>
    </row>
    <row r="58" spans="1:1" s="41" customFormat="1" ht="30" customHeight="1">
      <c r="A58" s="103"/>
    </row>
    <row r="59" spans="1:1" s="41" customFormat="1" ht="30" customHeight="1">
      <c r="A59" s="103"/>
    </row>
    <row r="60" spans="1:1" s="41" customFormat="1" ht="30" customHeight="1">
      <c r="A60" s="103"/>
    </row>
    <row r="61" spans="1:1" s="41" customFormat="1" ht="30" customHeight="1">
      <c r="A61" s="103"/>
    </row>
    <row r="62" spans="1:1" s="41" customFormat="1" ht="30" customHeight="1">
      <c r="A62" s="103"/>
    </row>
    <row r="63" spans="1:1" s="41" customFormat="1" ht="30" customHeight="1">
      <c r="A63" s="103"/>
    </row>
    <row r="64" spans="1:1" s="41" customFormat="1" ht="30" customHeight="1">
      <c r="A64" s="103"/>
    </row>
    <row r="65" spans="1:1" s="41" customFormat="1" ht="30" customHeight="1">
      <c r="A65" s="103"/>
    </row>
    <row r="66" spans="1:1" s="41" customFormat="1" ht="30" customHeight="1">
      <c r="A66" s="103"/>
    </row>
    <row r="67" spans="1:1" s="41" customFormat="1" ht="30" customHeight="1">
      <c r="A67" s="103"/>
    </row>
    <row r="68" spans="1:1" s="41" customFormat="1" ht="30" customHeight="1">
      <c r="A68" s="103"/>
    </row>
    <row r="69" spans="1:1" s="41" customFormat="1" ht="30" customHeight="1">
      <c r="A69" s="103"/>
    </row>
    <row r="70" spans="1:1" s="41" customFormat="1" ht="30" customHeight="1">
      <c r="A70" s="103"/>
    </row>
    <row r="71" spans="1:1" s="41" customFormat="1" ht="30" customHeight="1">
      <c r="A71" s="103"/>
    </row>
    <row r="72" spans="1:1" s="41" customFormat="1" ht="30" customHeight="1">
      <c r="A72" s="103"/>
    </row>
    <row r="73" spans="1:1" s="41" customFormat="1" ht="30" customHeight="1">
      <c r="A73" s="103"/>
    </row>
    <row r="74" spans="1:1" s="41" customFormat="1" ht="30" customHeight="1">
      <c r="A74" s="103"/>
    </row>
    <row r="75" spans="1:1" s="41" customFormat="1" ht="30" customHeight="1">
      <c r="A75" s="103"/>
    </row>
    <row r="76" spans="1:1" s="41" customFormat="1" ht="30" customHeight="1">
      <c r="A76" s="103"/>
    </row>
    <row r="77" spans="1:1" s="41" customFormat="1" ht="30" customHeight="1">
      <c r="A77" s="103"/>
    </row>
    <row r="78" spans="1:1" s="41" customFormat="1" ht="30" customHeight="1">
      <c r="A78" s="103"/>
    </row>
    <row r="79" spans="1:1" s="41" customFormat="1" ht="30" customHeight="1">
      <c r="A79" s="103"/>
    </row>
    <row r="80" spans="1:1" s="41" customFormat="1" ht="30" customHeight="1">
      <c r="A80" s="103"/>
    </row>
    <row r="81" spans="1:1" s="41" customFormat="1" ht="30" customHeight="1">
      <c r="A81" s="103"/>
    </row>
    <row r="82" spans="1:1" s="41" customFormat="1" ht="30" customHeight="1">
      <c r="A82" s="103"/>
    </row>
    <row r="83" spans="1:1" s="41" customFormat="1" ht="30" customHeight="1">
      <c r="A83" s="103"/>
    </row>
    <row r="84" spans="1:1" s="41" customFormat="1" ht="30" customHeight="1">
      <c r="A84" s="103"/>
    </row>
    <row r="85" spans="1:1" s="41" customFormat="1" ht="30" customHeight="1">
      <c r="A85" s="103"/>
    </row>
    <row r="86" spans="1:1" s="41" customFormat="1" ht="30" customHeight="1">
      <c r="A86" s="103"/>
    </row>
    <row r="87" spans="1:1" s="41" customFormat="1" ht="30" customHeight="1">
      <c r="A87" s="103"/>
    </row>
    <row r="88" spans="1:1" s="41" customFormat="1" ht="30" customHeight="1">
      <c r="A88" s="103"/>
    </row>
    <row r="89" spans="1:1" s="41" customFormat="1" ht="30" customHeight="1">
      <c r="A89" s="103"/>
    </row>
    <row r="90" spans="1:1" s="41" customFormat="1" ht="30" customHeight="1">
      <c r="A90" s="103"/>
    </row>
    <row r="91" spans="1:1" s="41" customFormat="1" ht="30" customHeight="1">
      <c r="A91" s="103"/>
    </row>
    <row r="92" spans="1:1" s="41" customFormat="1" ht="30" customHeight="1">
      <c r="A92" s="103"/>
    </row>
    <row r="93" spans="1:1" s="41" customFormat="1" ht="30" customHeight="1">
      <c r="A93" s="103"/>
    </row>
    <row r="94" spans="1:1" s="41" customFormat="1" ht="30" customHeight="1">
      <c r="A94" s="103"/>
    </row>
    <row r="95" spans="1:1" s="41" customFormat="1" ht="30" customHeight="1">
      <c r="A95" s="103"/>
    </row>
    <row r="96" spans="1:1" s="41" customFormat="1" ht="30" customHeight="1">
      <c r="A96" s="103"/>
    </row>
    <row r="97" spans="1:1" s="41" customFormat="1" ht="30" customHeight="1">
      <c r="A97" s="103"/>
    </row>
    <row r="98" spans="1:1" s="41" customFormat="1" ht="30" customHeight="1">
      <c r="A98" s="103"/>
    </row>
    <row r="99" spans="1:1" s="41" customFormat="1" ht="30" customHeight="1">
      <c r="A99" s="103"/>
    </row>
    <row r="100" spans="1:1" s="41" customFormat="1" ht="30" customHeight="1">
      <c r="A100" s="103"/>
    </row>
    <row r="101" spans="1:1" s="41" customFormat="1" ht="30" customHeight="1">
      <c r="A101" s="103"/>
    </row>
    <row r="102" spans="1:1" s="41" customFormat="1" ht="30" customHeight="1">
      <c r="A102" s="103"/>
    </row>
    <row r="103" spans="1:1" s="41" customFormat="1" ht="33.950000000000003" customHeight="1">
      <c r="A103" s="103"/>
    </row>
    <row r="104" spans="1:1" s="41" customFormat="1" ht="33.950000000000003" customHeight="1">
      <c r="A104" s="103"/>
    </row>
    <row r="105" spans="1:1" s="41" customFormat="1" ht="33.950000000000003" customHeight="1">
      <c r="A105" s="103"/>
    </row>
    <row r="106" spans="1:1" s="41" customFormat="1" ht="33.950000000000003" customHeight="1">
      <c r="A106" s="103"/>
    </row>
    <row r="107" spans="1:1" s="41" customFormat="1" ht="33.950000000000003" customHeight="1">
      <c r="A107" s="103"/>
    </row>
    <row r="108" spans="1:1" s="41" customFormat="1" ht="33.950000000000003" customHeight="1">
      <c r="A108" s="103"/>
    </row>
    <row r="109" spans="1:1" s="41" customFormat="1" ht="33.950000000000003" customHeight="1">
      <c r="A109" s="103"/>
    </row>
    <row r="110" spans="1:1" s="41" customFormat="1" ht="33.950000000000003" customHeight="1">
      <c r="A110" s="103"/>
    </row>
    <row r="111" spans="1:1" s="41" customFormat="1" ht="33.950000000000003" customHeight="1">
      <c r="A111" s="103"/>
    </row>
    <row r="112" spans="1:1" s="41" customFormat="1" ht="33.950000000000003" customHeight="1">
      <c r="A112" s="103"/>
    </row>
    <row r="113" spans="1:1" s="41" customFormat="1" ht="33.950000000000003" customHeight="1">
      <c r="A113" s="103"/>
    </row>
    <row r="114" spans="1:1" s="41" customFormat="1" ht="33.950000000000003" customHeight="1">
      <c r="A114" s="103"/>
    </row>
    <row r="115" spans="1:1" s="41" customFormat="1" ht="33.950000000000003" customHeight="1">
      <c r="A115" s="103"/>
    </row>
    <row r="116" spans="1:1" s="41" customFormat="1" ht="33.950000000000003" customHeight="1">
      <c r="A116" s="103"/>
    </row>
    <row r="117" spans="1:1" s="41" customFormat="1" ht="33.950000000000003" customHeight="1">
      <c r="A117" s="103"/>
    </row>
    <row r="118" spans="1:1" s="41" customFormat="1" ht="33.950000000000003" customHeight="1">
      <c r="A118" s="103"/>
    </row>
    <row r="119" spans="1:1" s="41" customFormat="1" ht="33.950000000000003" customHeight="1">
      <c r="A119" s="103"/>
    </row>
    <row r="120" spans="1:1" s="41" customFormat="1" ht="33.950000000000003" customHeight="1">
      <c r="A120" s="103"/>
    </row>
    <row r="121" spans="1:1" s="41" customFormat="1" ht="33.950000000000003" customHeight="1">
      <c r="A121" s="103"/>
    </row>
    <row r="122" spans="1:1" s="41" customFormat="1" ht="33.950000000000003" customHeight="1">
      <c r="A122" s="103"/>
    </row>
    <row r="123" spans="1:1" s="41" customFormat="1" ht="33.950000000000003" customHeight="1">
      <c r="A123" s="103"/>
    </row>
    <row r="124" spans="1:1" s="41" customFormat="1" ht="33.950000000000003" customHeight="1">
      <c r="A124" s="103"/>
    </row>
    <row r="125" spans="1:1" s="41" customFormat="1" ht="33.950000000000003" customHeight="1">
      <c r="A125" s="103"/>
    </row>
    <row r="126" spans="1:1" s="41" customFormat="1" ht="33.950000000000003" customHeight="1">
      <c r="A126" s="103"/>
    </row>
    <row r="127" spans="1:1" s="41" customFormat="1" ht="33.950000000000003" customHeight="1">
      <c r="A127" s="103"/>
    </row>
    <row r="128" spans="1:1" s="41" customFormat="1" ht="33.950000000000003" customHeight="1">
      <c r="A128" s="103"/>
    </row>
    <row r="129" spans="1:1" s="41" customFormat="1" ht="33.950000000000003" customHeight="1">
      <c r="A129" s="103"/>
    </row>
    <row r="130" spans="1:1" s="41" customFormat="1" ht="33.950000000000003" customHeight="1">
      <c r="A130" s="103"/>
    </row>
    <row r="131" spans="1:1" s="41" customFormat="1" ht="33.950000000000003" customHeight="1">
      <c r="A131" s="103"/>
    </row>
    <row r="132" spans="1:1" ht="33.950000000000003" hidden="1" customHeight="1"/>
  </sheetData>
  <sheetProtection algorithmName="SHA-512" hashValue="rVKbm750ZdP+U1NyLdfOF3Dw9L5C9Ggnnn6jaVnL5x/getxDxAQ+zhM6mx06lFuSU3WwPEATQz8knEjx7+wU9w==" saltValue="rwPU7rd60CS23yJPLzDysg==" spinCount="100000" sheet="1" objects="1" scenarios="1"/>
  <mergeCells count="20">
    <mergeCell ref="E25:M26"/>
    <mergeCell ref="E21:M22"/>
    <mergeCell ref="C20:C22"/>
    <mergeCell ref="E20:M20"/>
    <mergeCell ref="C24:C26"/>
    <mergeCell ref="E24:M24"/>
    <mergeCell ref="C12:C14"/>
    <mergeCell ref="C16:C18"/>
    <mergeCell ref="E12:M12"/>
    <mergeCell ref="E9:M10"/>
    <mergeCell ref="E13:M14"/>
    <mergeCell ref="E17:M18"/>
    <mergeCell ref="E16:M16"/>
    <mergeCell ref="C2:M2"/>
    <mergeCell ref="C5:M5"/>
    <mergeCell ref="C6:M6"/>
    <mergeCell ref="C8:C10"/>
    <mergeCell ref="E8:M8"/>
    <mergeCell ref="C3:P3"/>
    <mergeCell ref="C4:R4"/>
  </mergeCells>
  <hyperlinks>
    <hyperlink ref="C8:C10" location="Bal!A1" display="Bal!A1"/>
    <hyperlink ref="C12:C14" location="Dre!A1" display="Dre!A1"/>
    <hyperlink ref="C16:C18" location="Gra!A1" display="Gra!A1"/>
    <hyperlink ref="C20:C22" location="Ana!A1" display="Ana!A1"/>
    <hyperlink ref="C24:C26" location="Rel!A1" display="Rel!A1"/>
  </hyperlink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sheetPr codeName="Plan2"/>
  <dimension ref="A1:S162"/>
  <sheetViews>
    <sheetView showGridLines="0" zoomScale="90" zoomScaleNormal="90" workbookViewId="0">
      <pane ySplit="3" topLeftCell="A4" activePane="bottomLeft" state="frozen"/>
      <selection pane="bottomLeft" activeCell="M8" sqref="M8"/>
    </sheetView>
  </sheetViews>
  <sheetFormatPr defaultColWidth="0" defaultRowHeight="15" zeroHeight="1"/>
  <cols>
    <col min="1" max="1" width="27.7109375" style="104" customWidth="1"/>
    <col min="2" max="2" width="2.7109375" customWidth="1"/>
    <col min="3" max="3" width="9.140625" customWidth="1"/>
    <col min="4" max="4" width="50.7109375" customWidth="1"/>
    <col min="5" max="6" width="15.7109375" customWidth="1"/>
    <col min="7" max="7" width="7.85546875" customWidth="1"/>
    <col min="8" max="8" width="9.140625" customWidth="1"/>
    <col min="9" max="9" width="30.7109375" customWidth="1"/>
    <col min="10" max="11" width="15.7109375" customWidth="1"/>
    <col min="12" max="19" width="20.7109375" customWidth="1"/>
    <col min="20" max="16384" width="9.140625" hidden="1"/>
  </cols>
  <sheetData>
    <row r="1" spans="1:19" s="3" customFormat="1" ht="33.950000000000003" customHeight="1">
      <c r="A1" s="103"/>
      <c r="B1" s="59"/>
      <c r="C1" s="59" t="s">
        <v>18</v>
      </c>
      <c r="D1" s="58"/>
      <c r="E1" s="58"/>
      <c r="F1" s="58"/>
      <c r="G1" s="58"/>
      <c r="H1" s="58"/>
      <c r="I1" s="58"/>
      <c r="J1" s="58"/>
      <c r="K1" s="58"/>
      <c r="L1" s="58"/>
      <c r="M1" s="58"/>
      <c r="N1" s="58"/>
      <c r="O1" s="58"/>
      <c r="P1" s="58"/>
      <c r="Q1" s="58"/>
      <c r="R1" s="58"/>
      <c r="S1" s="58"/>
    </row>
    <row r="2" spans="1:19" s="3" customFormat="1" ht="21.6" customHeight="1">
      <c r="A2" s="103"/>
      <c r="B2" s="58"/>
      <c r="C2" s="58"/>
      <c r="D2" s="58"/>
      <c r="E2" s="58"/>
      <c r="F2" s="58"/>
      <c r="G2" s="58"/>
      <c r="H2" s="58"/>
      <c r="I2" s="58"/>
      <c r="J2" s="58"/>
      <c r="K2" s="58"/>
      <c r="L2" s="58"/>
      <c r="M2" s="58"/>
      <c r="N2" s="58"/>
      <c r="O2" s="58"/>
      <c r="P2" s="58"/>
      <c r="Q2" s="58"/>
      <c r="R2" s="58"/>
      <c r="S2" s="58"/>
    </row>
    <row r="3" spans="1:19" s="3" customFormat="1" ht="21.6" customHeight="1">
      <c r="A3" s="103"/>
      <c r="B3" s="58"/>
      <c r="C3" s="58"/>
      <c r="D3" s="58"/>
      <c r="E3" s="58"/>
      <c r="F3" s="58"/>
      <c r="G3" s="58"/>
      <c r="H3" s="58"/>
      <c r="I3" s="58"/>
      <c r="J3" s="58"/>
      <c r="K3" s="58"/>
      <c r="L3" s="58"/>
      <c r="M3" s="58"/>
      <c r="N3" s="58"/>
      <c r="O3" s="58"/>
      <c r="P3" s="58"/>
      <c r="Q3" s="58"/>
      <c r="R3" s="58"/>
      <c r="S3" s="58"/>
    </row>
    <row r="4" spans="1:19" ht="44.25" customHeight="1">
      <c r="A4" s="103"/>
      <c r="B4" s="26"/>
      <c r="C4" s="26"/>
      <c r="D4" s="26"/>
      <c r="E4" s="26"/>
      <c r="F4" s="26"/>
      <c r="G4" s="26"/>
      <c r="H4" s="26"/>
      <c r="I4" s="26"/>
      <c r="J4" s="26"/>
      <c r="K4" s="26"/>
      <c r="L4" s="26"/>
      <c r="M4" s="26"/>
      <c r="N4" s="26"/>
      <c r="O4" s="26"/>
      <c r="P4" s="26"/>
      <c r="Q4" s="26"/>
      <c r="R4" s="26"/>
      <c r="S4" s="26"/>
    </row>
    <row r="5" spans="1:19" ht="15" customHeight="1" thickBot="1">
      <c r="A5" s="103"/>
      <c r="B5" s="41"/>
      <c r="C5" s="41"/>
      <c r="D5" s="41"/>
      <c r="E5" s="41"/>
      <c r="F5" s="41"/>
      <c r="G5" s="41"/>
      <c r="H5" s="41"/>
      <c r="I5" s="41"/>
      <c r="J5" s="41"/>
      <c r="K5" s="41"/>
      <c r="L5" s="41"/>
      <c r="M5" s="41"/>
      <c r="N5" s="41"/>
      <c r="O5" s="41"/>
      <c r="P5" s="41"/>
      <c r="Q5" s="41"/>
      <c r="R5" s="41"/>
      <c r="S5" s="41"/>
    </row>
    <row r="6" spans="1:19" ht="30" customHeight="1" thickTop="1" thickBot="1">
      <c r="A6" s="103"/>
      <c r="B6" s="41"/>
      <c r="C6" s="45">
        <v>1000</v>
      </c>
      <c r="D6" s="68" t="s">
        <v>183</v>
      </c>
      <c r="E6" s="135">
        <f>IF(ISERROR($E$7+$E$17+$E$27+$E$37+$E$47+$E$57+$E$67+$E$77+$E$87),"",$E$7+$E$17+$E$27+$E$37+$E$47+$E$57+$E$67+$E$77+$E$87)</f>
        <v>153280</v>
      </c>
      <c r="F6" s="136"/>
      <c r="G6" s="41"/>
      <c r="H6" s="94">
        <v>1000</v>
      </c>
      <c r="I6" s="128" t="s">
        <v>184</v>
      </c>
      <c r="J6" s="129"/>
      <c r="K6" s="130"/>
      <c r="L6" s="41"/>
      <c r="M6" s="41"/>
      <c r="N6" s="41"/>
      <c r="O6" s="41"/>
      <c r="P6" s="41"/>
      <c r="Q6" s="41"/>
      <c r="R6" s="41"/>
      <c r="S6" s="41"/>
    </row>
    <row r="7" spans="1:19" ht="30" customHeight="1" thickTop="1" thickBot="1">
      <c r="A7" s="103"/>
      <c r="B7" s="41"/>
      <c r="C7" s="10">
        <v>1110</v>
      </c>
      <c r="D7" s="52" t="s">
        <v>26</v>
      </c>
      <c r="E7" s="131">
        <f>IF(ISERROR(SUM(E8:E16)),"",SUM(E8:E16))</f>
        <v>57560</v>
      </c>
      <c r="F7" s="131"/>
      <c r="G7" s="41"/>
      <c r="H7" s="10">
        <v>1110</v>
      </c>
      <c r="I7" s="96" t="s">
        <v>26</v>
      </c>
      <c r="J7" s="95">
        <v>57560</v>
      </c>
      <c r="K7" s="12">
        <v>0.37552192066805845</v>
      </c>
      <c r="L7" s="62">
        <f>IF(ISERROR(SUM($J$7:$J$15)),"",SUM($J$7:$J$15))</f>
        <v>153280</v>
      </c>
      <c r="M7" s="41"/>
      <c r="N7" s="41"/>
      <c r="O7" s="41"/>
      <c r="P7" s="41"/>
      <c r="Q7" s="41"/>
      <c r="R7" s="41"/>
      <c r="S7" s="41"/>
    </row>
    <row r="8" spans="1:19" ht="30" customHeight="1" thickTop="1" thickBot="1">
      <c r="A8" s="103"/>
      <c r="B8" s="41"/>
      <c r="C8" s="11">
        <v>1111</v>
      </c>
      <c r="D8" s="9" t="s">
        <v>27</v>
      </c>
      <c r="E8" s="7">
        <v>5850</v>
      </c>
      <c r="F8" s="13">
        <f>IF(ISERROR(E8/$E$7),"",E8/$E$7)</f>
        <v>0.1016330785267547</v>
      </c>
      <c r="G8" s="41"/>
      <c r="H8" s="10">
        <v>1120</v>
      </c>
      <c r="I8" s="96" t="s">
        <v>112</v>
      </c>
      <c r="J8" s="95">
        <v>0</v>
      </c>
      <c r="K8" s="12">
        <v>0</v>
      </c>
      <c r="L8" s="41"/>
      <c r="M8" s="41"/>
      <c r="N8" s="41"/>
      <c r="O8" s="41"/>
      <c r="P8" s="41"/>
      <c r="Q8" s="41"/>
      <c r="R8" s="41"/>
      <c r="S8" s="41"/>
    </row>
    <row r="9" spans="1:19" ht="30" customHeight="1" thickTop="1" thickBot="1">
      <c r="A9" s="103"/>
      <c r="B9" s="41"/>
      <c r="C9" s="11">
        <v>1112</v>
      </c>
      <c r="D9" s="8" t="s">
        <v>104</v>
      </c>
      <c r="E9" s="6"/>
      <c r="F9" s="13">
        <f t="shared" ref="F9:F16" si="0">IF(ISERROR(E9/$E$7),"",E9/$E$7)</f>
        <v>0</v>
      </c>
      <c r="G9" s="41"/>
      <c r="H9" s="10">
        <v>1130</v>
      </c>
      <c r="I9" s="96" t="s">
        <v>30</v>
      </c>
      <c r="J9" s="95">
        <v>46320</v>
      </c>
      <c r="K9" s="12">
        <v>0.30219206680584554</v>
      </c>
      <c r="L9" s="41"/>
      <c r="M9" s="41"/>
      <c r="N9" s="41"/>
      <c r="O9" s="41"/>
      <c r="P9" s="41"/>
      <c r="Q9" s="41"/>
      <c r="R9" s="41"/>
      <c r="S9" s="41"/>
    </row>
    <row r="10" spans="1:19" ht="30" customHeight="1" thickTop="1" thickBot="1">
      <c r="A10" s="103"/>
      <c r="B10" s="41"/>
      <c r="C10" s="11">
        <v>1113</v>
      </c>
      <c r="D10" s="8" t="s">
        <v>105</v>
      </c>
      <c r="E10" s="6">
        <v>51710</v>
      </c>
      <c r="F10" s="13">
        <f t="shared" si="0"/>
        <v>0.89836692147324526</v>
      </c>
      <c r="G10" s="41"/>
      <c r="H10" s="10">
        <v>1140</v>
      </c>
      <c r="I10" s="96" t="s">
        <v>131</v>
      </c>
      <c r="J10" s="95">
        <v>0</v>
      </c>
      <c r="K10" s="12">
        <v>0</v>
      </c>
      <c r="L10" s="41"/>
      <c r="M10" s="41"/>
      <c r="N10" s="41"/>
      <c r="O10" s="41"/>
      <c r="P10" s="41"/>
      <c r="Q10" s="41"/>
      <c r="R10" s="41"/>
      <c r="S10" s="41"/>
    </row>
    <row r="11" spans="1:19" ht="30" customHeight="1" thickTop="1" thickBot="1">
      <c r="A11" s="103"/>
      <c r="B11" s="41"/>
      <c r="C11" s="11">
        <v>1114</v>
      </c>
      <c r="D11" s="69" t="s">
        <v>106</v>
      </c>
      <c r="E11" s="70"/>
      <c r="F11" s="13">
        <f t="shared" si="0"/>
        <v>0</v>
      </c>
      <c r="G11" s="41"/>
      <c r="H11" s="10">
        <v>1150</v>
      </c>
      <c r="I11" s="96" t="s">
        <v>182</v>
      </c>
      <c r="J11" s="95">
        <v>49400</v>
      </c>
      <c r="K11" s="12">
        <v>0.32228601252609601</v>
      </c>
      <c r="L11" s="41"/>
      <c r="M11" s="41"/>
      <c r="N11" s="41"/>
      <c r="O11" s="41"/>
      <c r="P11" s="41"/>
      <c r="Q11" s="41"/>
      <c r="R11" s="41"/>
      <c r="S11" s="41"/>
    </row>
    <row r="12" spans="1:19" ht="30" customHeight="1" thickTop="1" thickBot="1">
      <c r="A12" s="103"/>
      <c r="B12" s="41"/>
      <c r="C12" s="11">
        <v>1115</v>
      </c>
      <c r="D12" s="69" t="s">
        <v>107</v>
      </c>
      <c r="E12" s="70"/>
      <c r="F12" s="13">
        <f t="shared" si="0"/>
        <v>0</v>
      </c>
      <c r="G12" s="41"/>
      <c r="H12" s="10">
        <v>1160</v>
      </c>
      <c r="I12" s="96" t="s">
        <v>147</v>
      </c>
      <c r="J12" s="95">
        <v>0</v>
      </c>
      <c r="K12" s="12">
        <v>0</v>
      </c>
      <c r="L12" s="41"/>
      <c r="M12" s="41"/>
      <c r="N12" s="41"/>
      <c r="O12" s="41"/>
      <c r="P12" s="41"/>
      <c r="Q12" s="41"/>
      <c r="R12" s="41"/>
      <c r="S12" s="41"/>
    </row>
    <row r="13" spans="1:19" ht="30" customHeight="1" thickTop="1" thickBot="1">
      <c r="A13" s="103"/>
      <c r="B13" s="41"/>
      <c r="C13" s="11">
        <v>1116</v>
      </c>
      <c r="D13" s="69" t="s">
        <v>108</v>
      </c>
      <c r="E13" s="70"/>
      <c r="F13" s="13">
        <f t="shared" si="0"/>
        <v>0</v>
      </c>
      <c r="G13" s="41"/>
      <c r="H13" s="10">
        <v>1170</v>
      </c>
      <c r="I13" s="96" t="s">
        <v>156</v>
      </c>
      <c r="J13" s="95">
        <v>0</v>
      </c>
      <c r="K13" s="12">
        <v>0</v>
      </c>
      <c r="L13" s="41"/>
      <c r="M13" s="41"/>
      <c r="N13" s="41"/>
      <c r="O13" s="41"/>
      <c r="P13" s="41"/>
      <c r="Q13" s="41"/>
      <c r="R13" s="41"/>
      <c r="S13" s="41"/>
    </row>
    <row r="14" spans="1:19" ht="30" customHeight="1" thickTop="1" thickBot="1">
      <c r="A14" s="103"/>
      <c r="B14" s="41"/>
      <c r="C14" s="11">
        <v>1117</v>
      </c>
      <c r="D14" s="69" t="s">
        <v>109</v>
      </c>
      <c r="E14" s="70"/>
      <c r="F14" s="13">
        <f t="shared" si="0"/>
        <v>0</v>
      </c>
      <c r="G14" s="41"/>
      <c r="H14" s="10">
        <v>1180</v>
      </c>
      <c r="I14" s="96" t="s">
        <v>163</v>
      </c>
      <c r="J14" s="95">
        <v>0</v>
      </c>
      <c r="K14" s="12">
        <v>0</v>
      </c>
      <c r="L14" s="41"/>
      <c r="M14" s="41"/>
      <c r="N14" s="41"/>
      <c r="O14" s="41"/>
      <c r="P14" s="41"/>
      <c r="Q14" s="41"/>
      <c r="R14" s="41"/>
      <c r="S14" s="41"/>
    </row>
    <row r="15" spans="1:19" ht="30" customHeight="1" thickTop="1" thickBot="1">
      <c r="A15" s="103"/>
      <c r="B15" s="41"/>
      <c r="C15" s="11">
        <v>1118</v>
      </c>
      <c r="D15" s="69" t="s">
        <v>110</v>
      </c>
      <c r="E15" s="70"/>
      <c r="F15" s="13">
        <f t="shared" si="0"/>
        <v>0</v>
      </c>
      <c r="G15" s="41"/>
      <c r="H15" s="10">
        <v>1190</v>
      </c>
      <c r="I15" s="96" t="s">
        <v>31</v>
      </c>
      <c r="J15" s="95">
        <v>0</v>
      </c>
      <c r="K15" s="12">
        <v>0</v>
      </c>
      <c r="L15" s="41"/>
      <c r="M15" s="41"/>
      <c r="N15" s="41"/>
      <c r="O15" s="41"/>
      <c r="P15" s="41"/>
      <c r="Q15" s="41"/>
      <c r="R15" s="41"/>
      <c r="S15" s="41"/>
    </row>
    <row r="16" spans="1:19" ht="30" customHeight="1" thickTop="1" thickBot="1">
      <c r="A16" s="103"/>
      <c r="B16" s="41"/>
      <c r="C16" s="11">
        <v>1119</v>
      </c>
      <c r="D16" s="69" t="s">
        <v>111</v>
      </c>
      <c r="E16" s="71"/>
      <c r="F16" s="13">
        <f t="shared" si="0"/>
        <v>0</v>
      </c>
      <c r="G16" s="41"/>
      <c r="H16" s="41"/>
      <c r="I16" s="41"/>
      <c r="J16" s="41"/>
      <c r="K16" s="41"/>
      <c r="L16" s="41"/>
      <c r="M16" s="41"/>
      <c r="N16" s="41"/>
      <c r="O16" s="41"/>
      <c r="P16" s="41"/>
      <c r="Q16" s="41"/>
      <c r="R16" s="41"/>
      <c r="S16" s="41"/>
    </row>
    <row r="17" spans="1:19" ht="30" customHeight="1" thickTop="1" thickBot="1">
      <c r="A17" s="103"/>
      <c r="B17" s="41"/>
      <c r="C17" s="10">
        <v>1120</v>
      </c>
      <c r="D17" s="50" t="s">
        <v>112</v>
      </c>
      <c r="E17" s="131">
        <f>IF(ISERROR(SUM(E18:E26)),"",SUM(E18:E26))</f>
        <v>0</v>
      </c>
      <c r="F17" s="131"/>
      <c r="G17" s="41"/>
      <c r="H17" s="132" t="s">
        <v>181</v>
      </c>
      <c r="I17" s="133"/>
      <c r="J17" s="133"/>
      <c r="K17" s="134"/>
      <c r="L17" s="41"/>
      <c r="M17" s="41"/>
      <c r="N17" s="41"/>
      <c r="O17" s="41"/>
      <c r="P17" s="41"/>
      <c r="Q17" s="41"/>
      <c r="R17" s="41"/>
      <c r="S17" s="41"/>
    </row>
    <row r="18" spans="1:19" ht="30" customHeight="1" thickTop="1" thickBot="1">
      <c r="A18" s="103"/>
      <c r="B18" s="41"/>
      <c r="C18" s="11">
        <v>1121</v>
      </c>
      <c r="D18" s="69" t="s">
        <v>113</v>
      </c>
      <c r="E18" s="70"/>
      <c r="F18" s="12" t="str">
        <f>IF(ISERROR(E18/$E$17),"",E18/$E$17)</f>
        <v/>
      </c>
      <c r="G18" s="41"/>
      <c r="H18" s="10">
        <v>1120</v>
      </c>
      <c r="I18" s="96" t="s">
        <v>112</v>
      </c>
      <c r="J18" s="95">
        <v>0</v>
      </c>
      <c r="K18" s="12">
        <v>0</v>
      </c>
      <c r="L18" s="41"/>
      <c r="M18" s="41"/>
      <c r="N18" s="41"/>
      <c r="O18" s="41"/>
      <c r="P18" s="41"/>
      <c r="Q18" s="41"/>
      <c r="R18" s="41"/>
      <c r="S18" s="41"/>
    </row>
    <row r="19" spans="1:19" ht="30" customHeight="1" thickTop="1" thickBot="1">
      <c r="A19" s="103"/>
      <c r="B19" s="41"/>
      <c r="C19" s="11">
        <v>1122</v>
      </c>
      <c r="D19" s="69" t="s">
        <v>114</v>
      </c>
      <c r="E19" s="70"/>
      <c r="F19" s="12" t="str">
        <f t="shared" ref="F19:F26" si="1">IF(ISERROR(E19/$E$17),"",E19/$E$17)</f>
        <v/>
      </c>
      <c r="G19" s="41"/>
      <c r="H19" s="10">
        <v>1150</v>
      </c>
      <c r="I19" s="96" t="s">
        <v>182</v>
      </c>
      <c r="J19" s="95">
        <v>49400</v>
      </c>
      <c r="K19" s="12">
        <v>1</v>
      </c>
      <c r="L19" s="41"/>
      <c r="M19" s="41"/>
      <c r="N19" s="41"/>
      <c r="O19" s="41"/>
      <c r="P19" s="41"/>
      <c r="Q19" s="41"/>
      <c r="R19" s="41"/>
      <c r="S19" s="41"/>
    </row>
    <row r="20" spans="1:19" ht="30" customHeight="1" thickTop="1" thickBot="1">
      <c r="A20" s="103"/>
      <c r="B20" s="41"/>
      <c r="C20" s="11">
        <v>1123</v>
      </c>
      <c r="D20" s="69" t="s">
        <v>115</v>
      </c>
      <c r="E20" s="70"/>
      <c r="F20" s="12" t="str">
        <f t="shared" si="1"/>
        <v/>
      </c>
      <c r="G20" s="41"/>
      <c r="H20" s="10">
        <v>1160</v>
      </c>
      <c r="I20" s="96" t="s">
        <v>147</v>
      </c>
      <c r="J20" s="95">
        <v>0</v>
      </c>
      <c r="K20" s="12">
        <v>0</v>
      </c>
      <c r="L20" s="41"/>
      <c r="M20" s="41"/>
      <c r="N20" s="41"/>
      <c r="O20" s="41"/>
      <c r="P20" s="41"/>
      <c r="Q20" s="41"/>
      <c r="R20" s="41"/>
      <c r="S20" s="41"/>
    </row>
    <row r="21" spans="1:19" ht="30" customHeight="1" thickTop="1" thickBot="1">
      <c r="A21" s="103"/>
      <c r="B21" s="41"/>
      <c r="C21" s="11">
        <v>1124</v>
      </c>
      <c r="D21" s="69" t="s">
        <v>116</v>
      </c>
      <c r="E21" s="70"/>
      <c r="F21" s="12" t="str">
        <f t="shared" si="1"/>
        <v/>
      </c>
      <c r="G21" s="41"/>
      <c r="H21" s="124" t="s">
        <v>34</v>
      </c>
      <c r="I21" s="125"/>
      <c r="J21" s="137">
        <v>49400</v>
      </c>
      <c r="K21" s="138"/>
      <c r="L21" s="41"/>
      <c r="M21" s="41"/>
      <c r="N21" s="41"/>
      <c r="O21" s="41"/>
      <c r="P21" s="41"/>
      <c r="Q21" s="41"/>
      <c r="R21" s="41"/>
      <c r="S21" s="41"/>
    </row>
    <row r="22" spans="1:19" ht="30" customHeight="1" thickTop="1" thickBot="1">
      <c r="A22" s="103"/>
      <c r="B22" s="41"/>
      <c r="C22" s="11">
        <v>1125</v>
      </c>
      <c r="D22" s="69" t="s">
        <v>117</v>
      </c>
      <c r="E22" s="70"/>
      <c r="F22" s="12" t="str">
        <f t="shared" si="1"/>
        <v/>
      </c>
      <c r="G22" s="41"/>
      <c r="H22" s="41"/>
      <c r="I22" s="41"/>
      <c r="J22" s="41"/>
      <c r="K22" s="41"/>
      <c r="L22" s="41"/>
      <c r="M22" s="41"/>
      <c r="N22" s="41"/>
      <c r="O22" s="41"/>
      <c r="P22" s="41"/>
      <c r="Q22" s="41"/>
      <c r="R22" s="41"/>
      <c r="S22" s="41"/>
    </row>
    <row r="23" spans="1:19" ht="30" customHeight="1" thickTop="1" thickBot="1">
      <c r="A23" s="103"/>
      <c r="B23" s="41"/>
      <c r="C23" s="11">
        <v>1126</v>
      </c>
      <c r="D23" s="69" t="s">
        <v>118</v>
      </c>
      <c r="E23" s="70"/>
      <c r="F23" s="12" t="str">
        <f t="shared" si="1"/>
        <v/>
      </c>
      <c r="G23" s="41"/>
      <c r="H23" s="132" t="s">
        <v>185</v>
      </c>
      <c r="I23" s="133"/>
      <c r="J23" s="133"/>
      <c r="K23" s="134"/>
      <c r="L23" s="41"/>
      <c r="M23" s="41"/>
      <c r="N23" s="41"/>
      <c r="O23" s="41"/>
      <c r="P23" s="41"/>
      <c r="Q23" s="41"/>
      <c r="R23" s="41"/>
      <c r="S23" s="41"/>
    </row>
    <row r="24" spans="1:19" ht="30" customHeight="1" thickTop="1" thickBot="1">
      <c r="A24" s="103"/>
      <c r="B24" s="41"/>
      <c r="C24" s="11">
        <v>1127</v>
      </c>
      <c r="D24" s="69" t="s">
        <v>119</v>
      </c>
      <c r="E24" s="70"/>
      <c r="F24" s="12" t="str">
        <f t="shared" si="1"/>
        <v/>
      </c>
      <c r="G24" s="41"/>
      <c r="H24" s="124" t="s">
        <v>34</v>
      </c>
      <c r="I24" s="125"/>
      <c r="J24" s="137">
        <v>153280</v>
      </c>
      <c r="K24" s="138"/>
      <c r="L24" s="41"/>
      <c r="M24" s="41"/>
      <c r="N24" s="41"/>
      <c r="O24" s="41"/>
      <c r="P24" s="41"/>
      <c r="Q24" s="41"/>
      <c r="R24" s="41"/>
      <c r="S24" s="41"/>
    </row>
    <row r="25" spans="1:19" ht="30" customHeight="1" thickTop="1" thickBot="1">
      <c r="A25" s="103"/>
      <c r="B25" s="41"/>
      <c r="C25" s="11">
        <v>1128</v>
      </c>
      <c r="D25" s="69" t="s">
        <v>120</v>
      </c>
      <c r="E25" s="70"/>
      <c r="F25" s="12" t="str">
        <f t="shared" si="1"/>
        <v/>
      </c>
      <c r="G25" s="41"/>
      <c r="H25" s="41"/>
      <c r="I25" s="41"/>
      <c r="J25" s="41"/>
      <c r="K25" s="41"/>
      <c r="L25" s="41"/>
      <c r="M25" s="41"/>
      <c r="N25" s="41"/>
      <c r="O25" s="41"/>
      <c r="P25" s="41"/>
      <c r="Q25" s="41"/>
      <c r="R25" s="41"/>
      <c r="S25" s="41"/>
    </row>
    <row r="26" spans="1:19" ht="30" customHeight="1" thickTop="1" thickBot="1">
      <c r="A26" s="103"/>
      <c r="B26" s="41"/>
      <c r="C26" s="11">
        <v>1129</v>
      </c>
      <c r="D26" s="69" t="s">
        <v>121</v>
      </c>
      <c r="E26" s="70"/>
      <c r="F26" s="12" t="str">
        <f t="shared" si="1"/>
        <v/>
      </c>
      <c r="G26" s="41"/>
      <c r="H26" s="41"/>
      <c r="I26" s="41"/>
      <c r="J26" s="41"/>
      <c r="K26" s="41"/>
      <c r="L26" s="41"/>
      <c r="M26" s="41"/>
      <c r="N26" s="41"/>
      <c r="O26" s="41"/>
      <c r="P26" s="41"/>
      <c r="Q26" s="41"/>
      <c r="R26" s="41"/>
      <c r="S26" s="41"/>
    </row>
    <row r="27" spans="1:19" ht="30" customHeight="1" thickTop="1" thickBot="1">
      <c r="A27" s="103"/>
      <c r="B27" s="41"/>
      <c r="C27" s="10">
        <v>1130</v>
      </c>
      <c r="D27" s="72" t="s">
        <v>30</v>
      </c>
      <c r="E27" s="126">
        <f>IF(ISERROR(SUM(E28:E36)),"",SUM(E28:E36))</f>
        <v>46320</v>
      </c>
      <c r="F27" s="127"/>
      <c r="G27" s="41"/>
      <c r="H27" s="41"/>
      <c r="I27" s="41"/>
      <c r="J27" s="41"/>
      <c r="K27" s="41"/>
      <c r="L27" s="41"/>
      <c r="M27" s="41"/>
      <c r="N27" s="41"/>
      <c r="O27" s="41"/>
      <c r="P27" s="41"/>
      <c r="Q27" s="41"/>
      <c r="R27" s="41"/>
      <c r="S27" s="41"/>
    </row>
    <row r="28" spans="1:19" ht="30" customHeight="1" thickTop="1" thickBot="1">
      <c r="A28" s="103"/>
      <c r="B28" s="41"/>
      <c r="C28" s="11">
        <v>1131</v>
      </c>
      <c r="D28" s="69" t="s">
        <v>128</v>
      </c>
      <c r="E28" s="70"/>
      <c r="F28" s="12">
        <f>IF(ISERROR(E28/$E$27),"",E28/$E$27)</f>
        <v>0</v>
      </c>
      <c r="G28" s="41"/>
      <c r="H28" s="41"/>
      <c r="I28" s="41"/>
      <c r="J28" s="41"/>
      <c r="K28" s="41"/>
      <c r="L28" s="41"/>
      <c r="M28" s="41"/>
      <c r="N28" s="41"/>
      <c r="O28" s="41"/>
      <c r="P28" s="41"/>
      <c r="Q28" s="41"/>
      <c r="R28" s="41"/>
      <c r="S28" s="41"/>
    </row>
    <row r="29" spans="1:19" ht="30" customHeight="1" thickTop="1" thickBot="1">
      <c r="A29" s="103"/>
      <c r="B29" s="41"/>
      <c r="C29" s="11">
        <v>1132</v>
      </c>
      <c r="D29" s="69" t="s">
        <v>122</v>
      </c>
      <c r="E29" s="70"/>
      <c r="F29" s="12">
        <f t="shared" ref="F29:F36" si="2">IF(ISERROR(E29/$E$27),"",E29/$E$27)</f>
        <v>0</v>
      </c>
      <c r="G29" s="41"/>
      <c r="H29" s="41"/>
      <c r="I29" s="41"/>
      <c r="J29" s="41"/>
      <c r="K29" s="41"/>
      <c r="L29" s="41"/>
      <c r="M29" s="41"/>
      <c r="N29" s="41"/>
      <c r="O29" s="41"/>
      <c r="P29" s="41"/>
      <c r="Q29" s="41"/>
      <c r="R29" s="41"/>
      <c r="S29" s="41"/>
    </row>
    <row r="30" spans="1:19" ht="30" customHeight="1" thickTop="1" thickBot="1">
      <c r="A30" s="103"/>
      <c r="B30" s="41"/>
      <c r="C30" s="11">
        <v>1133</v>
      </c>
      <c r="D30" s="69" t="s">
        <v>123</v>
      </c>
      <c r="E30" s="70"/>
      <c r="F30" s="12">
        <f t="shared" si="2"/>
        <v>0</v>
      </c>
      <c r="G30" s="41"/>
      <c r="H30" s="41"/>
      <c r="I30" s="41"/>
      <c r="J30" s="41"/>
      <c r="K30" s="41"/>
      <c r="L30" s="41"/>
      <c r="M30" s="41"/>
      <c r="N30" s="41"/>
      <c r="O30" s="41"/>
      <c r="P30" s="41"/>
      <c r="Q30" s="41"/>
      <c r="R30" s="41"/>
      <c r="S30" s="41"/>
    </row>
    <row r="31" spans="1:19" ht="30" customHeight="1" thickTop="1" thickBot="1">
      <c r="A31" s="103"/>
      <c r="B31" s="41"/>
      <c r="C31" s="11">
        <v>1134</v>
      </c>
      <c r="D31" s="69" t="s">
        <v>124</v>
      </c>
      <c r="E31" s="70">
        <v>46320</v>
      </c>
      <c r="F31" s="12">
        <f t="shared" si="2"/>
        <v>1</v>
      </c>
      <c r="G31" s="41"/>
      <c r="H31" s="41"/>
      <c r="I31" s="41"/>
      <c r="J31" s="41"/>
      <c r="K31" s="41"/>
      <c r="L31" s="41"/>
      <c r="M31" s="41"/>
      <c r="N31" s="41"/>
      <c r="O31" s="41"/>
      <c r="P31" s="41"/>
      <c r="Q31" s="41"/>
      <c r="R31" s="41"/>
      <c r="S31" s="41"/>
    </row>
    <row r="32" spans="1:19" ht="30" customHeight="1" thickTop="1" thickBot="1">
      <c r="A32" s="103"/>
      <c r="B32" s="41"/>
      <c r="C32" s="11">
        <v>1135</v>
      </c>
      <c r="D32" s="69" t="s">
        <v>125</v>
      </c>
      <c r="E32" s="70"/>
      <c r="F32" s="12">
        <f t="shared" si="2"/>
        <v>0</v>
      </c>
      <c r="G32" s="41"/>
      <c r="H32" s="41"/>
      <c r="I32" s="41"/>
      <c r="J32" s="41"/>
      <c r="K32" s="41"/>
      <c r="L32" s="41"/>
      <c r="M32" s="41"/>
      <c r="N32" s="41"/>
      <c r="O32" s="41"/>
      <c r="P32" s="41"/>
      <c r="Q32" s="41"/>
      <c r="R32" s="41"/>
      <c r="S32" s="41"/>
    </row>
    <row r="33" spans="1:19" ht="30" customHeight="1" thickTop="1" thickBot="1">
      <c r="A33" s="103"/>
      <c r="B33" s="41"/>
      <c r="C33" s="11">
        <v>1136</v>
      </c>
      <c r="D33" s="69" t="s">
        <v>126</v>
      </c>
      <c r="E33" s="70"/>
      <c r="F33" s="12">
        <f t="shared" si="2"/>
        <v>0</v>
      </c>
      <c r="G33" s="41"/>
      <c r="H33" s="41"/>
      <c r="I33" s="41"/>
      <c r="J33" s="41"/>
      <c r="K33" s="41"/>
      <c r="L33" s="41"/>
      <c r="M33" s="41"/>
      <c r="N33" s="41"/>
      <c r="O33" s="41"/>
      <c r="P33" s="41"/>
      <c r="Q33" s="41"/>
      <c r="R33" s="41"/>
      <c r="S33" s="41"/>
    </row>
    <row r="34" spans="1:19" ht="30" customHeight="1" thickTop="1" thickBot="1">
      <c r="A34" s="103"/>
      <c r="B34" s="41"/>
      <c r="C34" s="11">
        <v>1137</v>
      </c>
      <c r="D34" s="69" t="s">
        <v>127</v>
      </c>
      <c r="E34" s="70"/>
      <c r="F34" s="12">
        <f t="shared" si="2"/>
        <v>0</v>
      </c>
      <c r="G34" s="41"/>
      <c r="H34" s="41"/>
      <c r="I34" s="41"/>
      <c r="J34" s="41"/>
      <c r="K34" s="41"/>
      <c r="L34" s="41"/>
      <c r="M34" s="41"/>
      <c r="N34" s="41"/>
      <c r="O34" s="41"/>
      <c r="P34" s="41"/>
      <c r="Q34" s="41"/>
      <c r="R34" s="41"/>
      <c r="S34" s="41"/>
    </row>
    <row r="35" spans="1:19" ht="30" customHeight="1" thickTop="1" thickBot="1">
      <c r="A35" s="103"/>
      <c r="B35" s="41"/>
      <c r="C35" s="11">
        <v>1138</v>
      </c>
      <c r="D35" s="69" t="s">
        <v>129</v>
      </c>
      <c r="E35" s="70"/>
      <c r="F35" s="12">
        <f t="shared" si="2"/>
        <v>0</v>
      </c>
      <c r="G35" s="41"/>
      <c r="H35" s="41"/>
      <c r="I35" s="41"/>
      <c r="J35" s="41"/>
      <c r="K35" s="41"/>
      <c r="L35" s="41"/>
      <c r="M35" s="41"/>
      <c r="N35" s="41"/>
      <c r="O35" s="41"/>
      <c r="P35" s="41"/>
      <c r="Q35" s="41"/>
      <c r="R35" s="41"/>
      <c r="S35" s="41"/>
    </row>
    <row r="36" spans="1:19" ht="30" customHeight="1" thickTop="1" thickBot="1">
      <c r="A36" s="103"/>
      <c r="B36" s="41"/>
      <c r="C36" s="11">
        <v>1139</v>
      </c>
      <c r="D36" s="69" t="s">
        <v>130</v>
      </c>
      <c r="E36" s="70"/>
      <c r="F36" s="12">
        <f t="shared" si="2"/>
        <v>0</v>
      </c>
      <c r="G36" s="41"/>
      <c r="H36" s="41"/>
      <c r="I36" s="41"/>
      <c r="J36" s="41"/>
      <c r="K36" s="41"/>
      <c r="L36" s="41"/>
      <c r="M36" s="41"/>
      <c r="N36" s="41"/>
      <c r="O36" s="41"/>
      <c r="P36" s="41"/>
      <c r="Q36" s="41"/>
      <c r="R36" s="41"/>
      <c r="S36" s="41"/>
    </row>
    <row r="37" spans="1:19" ht="30" customHeight="1" thickTop="1" thickBot="1">
      <c r="A37" s="103"/>
      <c r="B37" s="41"/>
      <c r="C37" s="10">
        <v>1140</v>
      </c>
      <c r="D37" s="72" t="s">
        <v>131</v>
      </c>
      <c r="E37" s="139">
        <f>IF(ISERROR(SUM(E38:E46)),"",SUM(E38:E46))</f>
        <v>0</v>
      </c>
      <c r="F37" s="139"/>
      <c r="G37" s="41"/>
      <c r="H37" s="41"/>
      <c r="I37" s="41"/>
      <c r="J37" s="41"/>
      <c r="K37" s="41"/>
      <c r="L37" s="41"/>
      <c r="M37" s="41"/>
      <c r="N37" s="41"/>
      <c r="O37" s="41"/>
      <c r="P37" s="41"/>
      <c r="Q37" s="41"/>
      <c r="R37" s="41"/>
      <c r="S37" s="41"/>
    </row>
    <row r="38" spans="1:19" ht="30" customHeight="1" thickTop="1" thickBot="1">
      <c r="A38" s="103"/>
      <c r="B38" s="41"/>
      <c r="C38" s="11">
        <v>1141</v>
      </c>
      <c r="D38" s="69" t="s">
        <v>132</v>
      </c>
      <c r="E38" s="70"/>
      <c r="F38" s="12" t="str">
        <f>IF(ISERROR(E38/$E$37),"",E38/$E$37)</f>
        <v/>
      </c>
      <c r="G38" s="41"/>
      <c r="H38" s="41"/>
      <c r="I38" s="41"/>
      <c r="J38" s="41"/>
      <c r="K38" s="41"/>
      <c r="L38" s="41"/>
      <c r="M38" s="41"/>
      <c r="N38" s="41"/>
      <c r="O38" s="41"/>
      <c r="P38" s="41"/>
      <c r="Q38" s="41"/>
      <c r="R38" s="41"/>
      <c r="S38" s="41"/>
    </row>
    <row r="39" spans="1:19" ht="30" customHeight="1" thickTop="1" thickBot="1">
      <c r="A39" s="103"/>
      <c r="B39" s="41"/>
      <c r="C39" s="11">
        <v>1142</v>
      </c>
      <c r="D39" s="69" t="s">
        <v>133</v>
      </c>
      <c r="E39" s="70"/>
      <c r="F39" s="12" t="str">
        <f t="shared" ref="F39:F46" si="3">IF(ISERROR(E39/$E$37),"",E39/$E$37)</f>
        <v/>
      </c>
      <c r="G39" s="41"/>
      <c r="H39" s="41"/>
      <c r="I39" s="41"/>
      <c r="J39" s="41"/>
      <c r="K39" s="41"/>
      <c r="L39" s="41"/>
      <c r="M39" s="41"/>
      <c r="N39" s="41"/>
      <c r="O39" s="41"/>
      <c r="P39" s="41"/>
      <c r="Q39" s="41"/>
      <c r="R39" s="41"/>
      <c r="S39" s="41"/>
    </row>
    <row r="40" spans="1:19" ht="30" customHeight="1" thickTop="1" thickBot="1">
      <c r="A40" s="103"/>
      <c r="B40" s="41"/>
      <c r="C40" s="11">
        <v>1143</v>
      </c>
      <c r="D40" s="69" t="s">
        <v>134</v>
      </c>
      <c r="E40" s="70"/>
      <c r="F40" s="12" t="str">
        <f t="shared" si="3"/>
        <v/>
      </c>
      <c r="G40" s="41"/>
      <c r="H40" s="41"/>
      <c r="I40" s="41"/>
      <c r="J40" s="41"/>
      <c r="K40" s="41"/>
      <c r="L40" s="41"/>
      <c r="M40" s="41"/>
      <c r="N40" s="41"/>
      <c r="O40" s="41"/>
      <c r="P40" s="41"/>
      <c r="Q40" s="41"/>
      <c r="R40" s="41"/>
      <c r="S40" s="41"/>
    </row>
    <row r="41" spans="1:19" ht="30" customHeight="1" thickTop="1" thickBot="1">
      <c r="A41" s="103"/>
      <c r="B41" s="41"/>
      <c r="C41" s="11">
        <v>1144</v>
      </c>
      <c r="D41" s="69" t="s">
        <v>135</v>
      </c>
      <c r="E41" s="70"/>
      <c r="F41" s="12" t="str">
        <f t="shared" si="3"/>
        <v/>
      </c>
      <c r="G41" s="41"/>
      <c r="H41" s="41"/>
      <c r="I41" s="41"/>
      <c r="J41" s="41"/>
      <c r="K41" s="41"/>
      <c r="L41" s="41"/>
      <c r="M41" s="41"/>
      <c r="N41" s="41"/>
      <c r="O41" s="41"/>
      <c r="P41" s="41"/>
      <c r="Q41" s="41"/>
      <c r="R41" s="41"/>
      <c r="S41" s="41"/>
    </row>
    <row r="42" spans="1:19" ht="30" customHeight="1" thickTop="1" thickBot="1">
      <c r="A42" s="103"/>
      <c r="B42" s="41"/>
      <c r="C42" s="11">
        <v>1145</v>
      </c>
      <c r="D42" s="69" t="s">
        <v>136</v>
      </c>
      <c r="E42" s="70"/>
      <c r="F42" s="12" t="str">
        <f t="shared" si="3"/>
        <v/>
      </c>
      <c r="G42" s="41"/>
      <c r="H42" s="41"/>
      <c r="I42" s="41"/>
      <c r="J42" s="41"/>
      <c r="K42" s="41"/>
      <c r="L42" s="41"/>
      <c r="M42" s="41"/>
      <c r="N42" s="41"/>
      <c r="O42" s="41"/>
      <c r="P42" s="41"/>
      <c r="Q42" s="41"/>
      <c r="R42" s="41"/>
      <c r="S42" s="41"/>
    </row>
    <row r="43" spans="1:19" ht="30" customHeight="1" thickTop="1" thickBot="1">
      <c r="A43" s="103"/>
      <c r="B43" s="41"/>
      <c r="C43" s="11">
        <v>1146</v>
      </c>
      <c r="D43" s="69" t="s">
        <v>137</v>
      </c>
      <c r="E43" s="70"/>
      <c r="F43" s="12" t="str">
        <f t="shared" si="3"/>
        <v/>
      </c>
      <c r="G43" s="41"/>
      <c r="H43" s="41"/>
      <c r="I43" s="41"/>
      <c r="J43" s="41"/>
      <c r="K43" s="41"/>
      <c r="L43" s="41"/>
      <c r="M43" s="41"/>
      <c r="N43" s="41"/>
      <c r="O43" s="41"/>
      <c r="P43" s="41"/>
      <c r="Q43" s="41"/>
      <c r="R43" s="41"/>
      <c r="S43" s="41"/>
    </row>
    <row r="44" spans="1:19" ht="30" customHeight="1" thickTop="1" thickBot="1">
      <c r="A44" s="103"/>
      <c r="B44" s="41"/>
      <c r="C44" s="11">
        <v>1147</v>
      </c>
      <c r="D44" s="69" t="s">
        <v>138</v>
      </c>
      <c r="E44" s="70"/>
      <c r="F44" s="12" t="str">
        <f t="shared" si="3"/>
        <v/>
      </c>
      <c r="G44" s="41"/>
      <c r="H44" s="41"/>
      <c r="I44" s="41"/>
      <c r="J44" s="41"/>
      <c r="K44" s="41"/>
      <c r="L44" s="41"/>
      <c r="M44" s="41"/>
      <c r="N44" s="41"/>
      <c r="O44" s="41"/>
      <c r="P44" s="41"/>
      <c r="Q44" s="41"/>
      <c r="R44" s="41"/>
      <c r="S44" s="41"/>
    </row>
    <row r="45" spans="1:19" ht="30" customHeight="1" thickTop="1" thickBot="1">
      <c r="A45" s="103"/>
      <c r="B45" s="41"/>
      <c r="C45" s="11">
        <v>1148</v>
      </c>
      <c r="D45" s="69" t="s">
        <v>139</v>
      </c>
      <c r="E45" s="70"/>
      <c r="F45" s="12" t="str">
        <f t="shared" si="3"/>
        <v/>
      </c>
      <c r="G45" s="41"/>
      <c r="H45" s="41"/>
      <c r="I45" s="41"/>
      <c r="J45" s="41"/>
      <c r="K45" s="41"/>
      <c r="L45" s="41"/>
      <c r="M45" s="41"/>
      <c r="N45" s="41"/>
      <c r="O45" s="41"/>
      <c r="P45" s="41"/>
      <c r="Q45" s="41"/>
      <c r="R45" s="41"/>
      <c r="S45" s="41"/>
    </row>
    <row r="46" spans="1:19" ht="30" customHeight="1" thickTop="1" thickBot="1">
      <c r="A46" s="103"/>
      <c r="B46" s="41"/>
      <c r="C46" s="11">
        <v>1149</v>
      </c>
      <c r="D46" s="73" t="s">
        <v>140</v>
      </c>
      <c r="E46" s="70"/>
      <c r="F46" s="12" t="str">
        <f t="shared" si="3"/>
        <v/>
      </c>
      <c r="G46" s="41"/>
      <c r="H46" s="41"/>
      <c r="I46" s="41"/>
      <c r="J46" s="41"/>
      <c r="K46" s="41"/>
      <c r="L46" s="41"/>
      <c r="M46" s="41"/>
      <c r="N46" s="41"/>
      <c r="O46" s="41"/>
      <c r="P46" s="41"/>
      <c r="Q46" s="41"/>
      <c r="R46" s="41"/>
      <c r="S46" s="41"/>
    </row>
    <row r="47" spans="1:19" ht="30" customHeight="1" thickTop="1" thickBot="1">
      <c r="A47" s="103"/>
      <c r="B47" s="41"/>
      <c r="C47" s="10">
        <v>1150</v>
      </c>
      <c r="D47" s="72" t="s">
        <v>141</v>
      </c>
      <c r="E47" s="139">
        <f>IF(ISERROR(SUM(E48:E56)),"",SUM(E48:E56))</f>
        <v>49400</v>
      </c>
      <c r="F47" s="139"/>
      <c r="G47" s="41"/>
      <c r="H47" s="41"/>
      <c r="I47" s="41"/>
      <c r="J47" s="41"/>
      <c r="K47" s="41"/>
      <c r="L47" s="41"/>
      <c r="M47" s="41"/>
      <c r="N47" s="41"/>
      <c r="O47" s="41"/>
      <c r="P47" s="41"/>
      <c r="Q47" s="41"/>
      <c r="R47" s="41"/>
      <c r="S47" s="41"/>
    </row>
    <row r="48" spans="1:19" ht="30" customHeight="1" thickTop="1" thickBot="1">
      <c r="A48" s="103"/>
      <c r="B48" s="41"/>
      <c r="C48" s="11">
        <v>1151</v>
      </c>
      <c r="D48" s="69" t="s">
        <v>28</v>
      </c>
      <c r="E48" s="70">
        <v>49400</v>
      </c>
      <c r="F48" s="12">
        <f>IF(ISERROR(E48/$E$47),"",E48/$E$47)</f>
        <v>1</v>
      </c>
      <c r="G48" s="41"/>
      <c r="H48" s="41"/>
      <c r="I48" s="41"/>
      <c r="J48" s="41"/>
      <c r="K48" s="41"/>
      <c r="L48" s="41"/>
      <c r="M48" s="41"/>
      <c r="N48" s="41"/>
      <c r="O48" s="41"/>
      <c r="P48" s="41"/>
      <c r="Q48" s="41"/>
      <c r="R48" s="41"/>
      <c r="S48" s="41"/>
    </row>
    <row r="49" spans="1:19" ht="30" customHeight="1" thickTop="1" thickBot="1">
      <c r="A49" s="103"/>
      <c r="B49" s="41"/>
      <c r="C49" s="11">
        <v>1152</v>
      </c>
      <c r="D49" s="69" t="s">
        <v>142</v>
      </c>
      <c r="E49" s="70"/>
      <c r="F49" s="12">
        <f t="shared" ref="F49:F56" si="4">IF(ISERROR(E49/$E$47),"",E49/$E$47)</f>
        <v>0</v>
      </c>
      <c r="G49" s="41"/>
      <c r="H49" s="41"/>
      <c r="I49" s="41"/>
      <c r="J49" s="41"/>
      <c r="K49" s="41"/>
      <c r="L49" s="41"/>
      <c r="M49" s="41"/>
      <c r="N49" s="41"/>
      <c r="O49" s="41"/>
      <c r="P49" s="41"/>
      <c r="Q49" s="41"/>
      <c r="R49" s="41"/>
      <c r="S49" s="41"/>
    </row>
    <row r="50" spans="1:19" ht="30" customHeight="1" thickTop="1" thickBot="1">
      <c r="A50" s="103"/>
      <c r="B50" s="41"/>
      <c r="C50" s="11">
        <v>1153</v>
      </c>
      <c r="D50" s="69" t="s">
        <v>143</v>
      </c>
      <c r="E50" s="70"/>
      <c r="F50" s="12">
        <f t="shared" si="4"/>
        <v>0</v>
      </c>
      <c r="G50" s="41"/>
      <c r="H50" s="41"/>
      <c r="I50" s="41"/>
      <c r="J50" s="41"/>
      <c r="K50" s="41"/>
      <c r="L50" s="41"/>
      <c r="M50" s="41"/>
      <c r="N50" s="41"/>
      <c r="O50" s="41"/>
      <c r="P50" s="41"/>
      <c r="Q50" s="41"/>
      <c r="R50" s="41"/>
      <c r="S50" s="41"/>
    </row>
    <row r="51" spans="1:19" ht="30" customHeight="1" thickTop="1" thickBot="1">
      <c r="A51" s="103"/>
      <c r="B51" s="41"/>
      <c r="C51" s="11">
        <v>1154</v>
      </c>
      <c r="D51" s="69" t="s">
        <v>144</v>
      </c>
      <c r="E51" s="70"/>
      <c r="F51" s="12">
        <f t="shared" si="4"/>
        <v>0</v>
      </c>
      <c r="G51" s="41"/>
      <c r="H51" s="41"/>
      <c r="I51" s="41"/>
      <c r="J51" s="41"/>
      <c r="K51" s="41"/>
      <c r="L51" s="41"/>
      <c r="M51" s="41"/>
      <c r="N51" s="41"/>
      <c r="O51" s="41"/>
      <c r="P51" s="41"/>
      <c r="Q51" s="41"/>
      <c r="R51" s="41"/>
      <c r="S51" s="41"/>
    </row>
    <row r="52" spans="1:19" ht="30" customHeight="1" thickTop="1" thickBot="1">
      <c r="A52" s="103"/>
      <c r="B52" s="41"/>
      <c r="C52" s="11">
        <v>1155</v>
      </c>
      <c r="D52" s="69" t="s">
        <v>145</v>
      </c>
      <c r="E52" s="70"/>
      <c r="F52" s="12">
        <f t="shared" si="4"/>
        <v>0</v>
      </c>
      <c r="G52" s="41"/>
      <c r="H52" s="41"/>
      <c r="I52" s="41"/>
      <c r="J52" s="41"/>
      <c r="K52" s="41"/>
      <c r="L52" s="41"/>
      <c r="M52" s="41"/>
      <c r="N52" s="41"/>
      <c r="O52" s="41"/>
      <c r="P52" s="41"/>
      <c r="Q52" s="41"/>
      <c r="R52" s="41"/>
      <c r="S52" s="41"/>
    </row>
    <row r="53" spans="1:19" ht="30" customHeight="1" thickTop="1" thickBot="1">
      <c r="A53" s="103"/>
      <c r="B53" s="41"/>
      <c r="C53" s="11">
        <v>1156</v>
      </c>
      <c r="D53" s="69"/>
      <c r="E53" s="70"/>
      <c r="F53" s="12">
        <f t="shared" si="4"/>
        <v>0</v>
      </c>
      <c r="G53" s="41"/>
      <c r="H53" s="41"/>
      <c r="I53" s="41"/>
      <c r="J53" s="41"/>
      <c r="K53" s="41"/>
      <c r="L53" s="41"/>
      <c r="M53" s="41"/>
      <c r="N53" s="41"/>
      <c r="O53" s="41"/>
      <c r="P53" s="41"/>
      <c r="Q53" s="41"/>
      <c r="R53" s="41"/>
      <c r="S53" s="41"/>
    </row>
    <row r="54" spans="1:19" ht="30" customHeight="1" thickTop="1" thickBot="1">
      <c r="A54" s="103"/>
      <c r="B54" s="41"/>
      <c r="C54" s="11">
        <v>1157</v>
      </c>
      <c r="D54" s="69"/>
      <c r="E54" s="70"/>
      <c r="F54" s="12">
        <f t="shared" si="4"/>
        <v>0</v>
      </c>
      <c r="G54" s="41"/>
      <c r="H54" s="41"/>
      <c r="I54" s="41"/>
      <c r="J54" s="41"/>
      <c r="K54" s="41"/>
      <c r="L54" s="41"/>
      <c r="M54" s="41"/>
      <c r="N54" s="41"/>
      <c r="O54" s="41"/>
      <c r="P54" s="41"/>
      <c r="Q54" s="41"/>
      <c r="R54" s="41"/>
      <c r="S54" s="41"/>
    </row>
    <row r="55" spans="1:19" ht="30" customHeight="1" thickTop="1" thickBot="1">
      <c r="A55" s="103"/>
      <c r="B55" s="41"/>
      <c r="C55" s="11">
        <v>1158</v>
      </c>
      <c r="D55" s="69"/>
      <c r="E55" s="70"/>
      <c r="F55" s="12">
        <f t="shared" si="4"/>
        <v>0</v>
      </c>
      <c r="G55" s="41"/>
      <c r="H55" s="41"/>
      <c r="I55" s="41"/>
      <c r="J55" s="41"/>
      <c r="K55" s="41"/>
      <c r="L55" s="41"/>
      <c r="M55" s="41"/>
      <c r="N55" s="41"/>
      <c r="O55" s="41"/>
      <c r="P55" s="41"/>
      <c r="Q55" s="41"/>
      <c r="R55" s="41"/>
      <c r="S55" s="41"/>
    </row>
    <row r="56" spans="1:19" ht="30" customHeight="1" thickTop="1" thickBot="1">
      <c r="A56" s="103"/>
      <c r="B56" s="41"/>
      <c r="C56" s="11">
        <v>1159</v>
      </c>
      <c r="D56" s="69" t="s">
        <v>146</v>
      </c>
      <c r="E56" s="70"/>
      <c r="F56" s="12">
        <f t="shared" si="4"/>
        <v>0</v>
      </c>
      <c r="G56" s="41"/>
      <c r="H56" s="41"/>
      <c r="I56" s="41"/>
      <c r="J56" s="41"/>
      <c r="K56" s="41"/>
      <c r="L56" s="41"/>
      <c r="M56" s="41"/>
      <c r="N56" s="41"/>
      <c r="O56" s="41"/>
      <c r="P56" s="41"/>
      <c r="Q56" s="41"/>
      <c r="R56" s="41"/>
      <c r="S56" s="41"/>
    </row>
    <row r="57" spans="1:19" ht="30" customHeight="1" thickTop="1" thickBot="1">
      <c r="A57" s="103"/>
      <c r="B57" s="41"/>
      <c r="C57" s="10">
        <v>1160</v>
      </c>
      <c r="D57" s="72" t="s">
        <v>147</v>
      </c>
      <c r="E57" s="126">
        <f>IF(ISERROR(SUM(E58:E66)),"",SUM(E58:E66))</f>
        <v>0</v>
      </c>
      <c r="F57" s="127"/>
      <c r="G57" s="41"/>
      <c r="H57" s="41"/>
      <c r="I57" s="41"/>
      <c r="J57" s="41"/>
      <c r="K57" s="41"/>
      <c r="L57" s="41"/>
      <c r="M57" s="41"/>
      <c r="N57" s="41"/>
      <c r="O57" s="41"/>
      <c r="P57" s="41"/>
      <c r="Q57" s="41"/>
      <c r="R57" s="41"/>
      <c r="S57" s="41"/>
    </row>
    <row r="58" spans="1:19" ht="30" customHeight="1" thickTop="1" thickBot="1">
      <c r="A58" s="103"/>
      <c r="B58" s="41"/>
      <c r="C58" s="11">
        <v>1161</v>
      </c>
      <c r="D58" s="69" t="s">
        <v>148</v>
      </c>
      <c r="E58" s="70"/>
      <c r="F58" s="12" t="str">
        <f>IF(ISERROR(E58/$E$57),"",E58/$E$57)</f>
        <v/>
      </c>
      <c r="G58" s="41"/>
      <c r="H58" s="41"/>
      <c r="I58" s="41"/>
      <c r="J58" s="41"/>
      <c r="K58" s="41"/>
      <c r="L58" s="41"/>
      <c r="M58" s="41"/>
      <c r="N58" s="41"/>
      <c r="O58" s="41"/>
      <c r="P58" s="41"/>
      <c r="Q58" s="41"/>
      <c r="R58" s="41"/>
      <c r="S58" s="41"/>
    </row>
    <row r="59" spans="1:19" ht="30" customHeight="1" thickTop="1" thickBot="1">
      <c r="A59" s="103"/>
      <c r="B59" s="41"/>
      <c r="C59" s="11">
        <v>1162</v>
      </c>
      <c r="D59" s="69" t="s">
        <v>149</v>
      </c>
      <c r="E59" s="70"/>
      <c r="F59" s="12" t="str">
        <f t="shared" ref="F59:F66" si="5">IF(ISERROR(E59/$E$57),"",E59/$E$57)</f>
        <v/>
      </c>
      <c r="G59" s="41"/>
      <c r="H59" s="41"/>
      <c r="I59" s="41"/>
      <c r="J59" s="41"/>
      <c r="K59" s="41"/>
      <c r="L59" s="41"/>
      <c r="M59" s="41"/>
      <c r="N59" s="41"/>
      <c r="O59" s="41"/>
      <c r="P59" s="41"/>
      <c r="Q59" s="41"/>
      <c r="R59" s="41"/>
      <c r="S59" s="41"/>
    </row>
    <row r="60" spans="1:19" ht="30" customHeight="1" thickTop="1" thickBot="1">
      <c r="A60" s="103"/>
      <c r="B60" s="41"/>
      <c r="C60" s="11">
        <v>1163</v>
      </c>
      <c r="D60" s="69" t="s">
        <v>150</v>
      </c>
      <c r="E60" s="70"/>
      <c r="F60" s="12" t="str">
        <f t="shared" si="5"/>
        <v/>
      </c>
      <c r="G60" s="41"/>
      <c r="H60" s="41"/>
      <c r="I60" s="41"/>
      <c r="J60" s="41"/>
      <c r="K60" s="41"/>
      <c r="L60" s="41"/>
      <c r="M60" s="41"/>
      <c r="N60" s="41"/>
      <c r="O60" s="41"/>
      <c r="P60" s="41"/>
      <c r="Q60" s="41"/>
      <c r="R60" s="41"/>
      <c r="S60" s="41"/>
    </row>
    <row r="61" spans="1:19" ht="30" customHeight="1" thickTop="1" thickBot="1">
      <c r="A61" s="103"/>
      <c r="B61" s="41"/>
      <c r="C61" s="11">
        <v>1164</v>
      </c>
      <c r="D61" s="69" t="s">
        <v>151</v>
      </c>
      <c r="E61" s="70"/>
      <c r="F61" s="12" t="str">
        <f t="shared" si="5"/>
        <v/>
      </c>
      <c r="G61" s="41"/>
      <c r="H61" s="41"/>
      <c r="I61" s="41"/>
      <c r="J61" s="41"/>
      <c r="K61" s="41"/>
      <c r="L61" s="41"/>
      <c r="M61" s="41"/>
      <c r="N61" s="41"/>
      <c r="O61" s="41"/>
      <c r="P61" s="41"/>
      <c r="Q61" s="41"/>
      <c r="R61" s="41"/>
      <c r="S61" s="41"/>
    </row>
    <row r="62" spans="1:19" ht="30" customHeight="1" thickTop="1" thickBot="1">
      <c r="A62" s="103"/>
      <c r="B62" s="41"/>
      <c r="C62" s="11">
        <v>1165</v>
      </c>
      <c r="D62" s="69" t="s">
        <v>152</v>
      </c>
      <c r="E62" s="70"/>
      <c r="F62" s="12" t="str">
        <f t="shared" si="5"/>
        <v/>
      </c>
      <c r="G62" s="41"/>
      <c r="H62" s="41"/>
      <c r="I62" s="41"/>
      <c r="J62" s="41"/>
      <c r="K62" s="41"/>
      <c r="L62" s="41"/>
      <c r="M62" s="41"/>
      <c r="N62" s="41"/>
      <c r="O62" s="41"/>
      <c r="P62" s="41"/>
      <c r="Q62" s="41"/>
      <c r="R62" s="41"/>
      <c r="S62" s="41"/>
    </row>
    <row r="63" spans="1:19" ht="30" customHeight="1" thickTop="1" thickBot="1">
      <c r="A63" s="103"/>
      <c r="B63" s="41"/>
      <c r="C63" s="11">
        <v>1166</v>
      </c>
      <c r="D63" s="69" t="s">
        <v>153</v>
      </c>
      <c r="E63" s="70"/>
      <c r="F63" s="12" t="str">
        <f t="shared" si="5"/>
        <v/>
      </c>
      <c r="G63" s="41"/>
      <c r="H63" s="41"/>
      <c r="I63" s="41"/>
      <c r="J63" s="41"/>
      <c r="K63" s="41"/>
      <c r="L63" s="41"/>
      <c r="M63" s="41"/>
      <c r="N63" s="41"/>
      <c r="O63" s="41"/>
      <c r="P63" s="41"/>
      <c r="Q63" s="41"/>
      <c r="R63" s="41"/>
      <c r="S63" s="41"/>
    </row>
    <row r="64" spans="1:19" ht="30" customHeight="1" thickTop="1" thickBot="1">
      <c r="A64" s="103"/>
      <c r="B64" s="41"/>
      <c r="C64" s="11">
        <v>1167</v>
      </c>
      <c r="D64" s="69" t="s">
        <v>154</v>
      </c>
      <c r="E64" s="70"/>
      <c r="F64" s="12" t="str">
        <f t="shared" si="5"/>
        <v/>
      </c>
      <c r="G64" s="41"/>
      <c r="H64" s="41"/>
      <c r="I64" s="41"/>
      <c r="J64" s="41"/>
      <c r="K64" s="41"/>
      <c r="L64" s="41"/>
      <c r="M64" s="41"/>
      <c r="N64" s="41"/>
      <c r="O64" s="41"/>
      <c r="P64" s="41"/>
      <c r="Q64" s="41"/>
      <c r="R64" s="41"/>
      <c r="S64" s="41"/>
    </row>
    <row r="65" spans="1:19" ht="30" customHeight="1" thickTop="1" thickBot="1">
      <c r="A65" s="103"/>
      <c r="B65" s="41"/>
      <c r="C65" s="11">
        <v>1168</v>
      </c>
      <c r="D65" s="69"/>
      <c r="E65" s="70"/>
      <c r="F65" s="12" t="str">
        <f t="shared" si="5"/>
        <v/>
      </c>
      <c r="G65" s="41"/>
      <c r="H65" s="41"/>
      <c r="I65" s="41"/>
      <c r="J65" s="41"/>
      <c r="K65" s="41"/>
      <c r="L65" s="41"/>
      <c r="M65" s="41"/>
      <c r="N65" s="41"/>
      <c r="O65" s="41"/>
      <c r="P65" s="41"/>
      <c r="Q65" s="41"/>
      <c r="R65" s="41"/>
      <c r="S65" s="41"/>
    </row>
    <row r="66" spans="1:19" ht="30" customHeight="1" thickTop="1" thickBot="1">
      <c r="A66" s="103"/>
      <c r="B66" s="41"/>
      <c r="C66" s="11">
        <v>1169</v>
      </c>
      <c r="D66" s="69" t="s">
        <v>155</v>
      </c>
      <c r="E66" s="70"/>
      <c r="F66" s="12" t="str">
        <f t="shared" si="5"/>
        <v/>
      </c>
      <c r="G66" s="41"/>
      <c r="H66" s="41"/>
      <c r="I66" s="41"/>
      <c r="J66" s="41"/>
      <c r="K66" s="41"/>
      <c r="L66" s="41"/>
      <c r="M66" s="41"/>
      <c r="N66" s="41"/>
      <c r="O66" s="41"/>
      <c r="P66" s="41"/>
      <c r="Q66" s="41"/>
      <c r="R66" s="41"/>
      <c r="S66" s="41"/>
    </row>
    <row r="67" spans="1:19" ht="30" customHeight="1" thickTop="1" thickBot="1">
      <c r="A67" s="103"/>
      <c r="B67" s="41"/>
      <c r="C67" s="10">
        <v>1170</v>
      </c>
      <c r="D67" s="72" t="s">
        <v>156</v>
      </c>
      <c r="E67" s="126">
        <f>IF(ISERROR(SUM(E68:E76)),"",SUM(E68:E76))</f>
        <v>0</v>
      </c>
      <c r="F67" s="127"/>
      <c r="G67" s="41"/>
      <c r="H67" s="41"/>
      <c r="I67" s="41"/>
      <c r="J67" s="41"/>
      <c r="K67" s="41"/>
      <c r="L67" s="41"/>
      <c r="M67" s="41"/>
      <c r="N67" s="41"/>
      <c r="O67" s="41"/>
      <c r="P67" s="41"/>
      <c r="Q67" s="41"/>
      <c r="R67" s="41"/>
      <c r="S67" s="41"/>
    </row>
    <row r="68" spans="1:19" ht="30" customHeight="1" thickTop="1" thickBot="1">
      <c r="A68" s="103"/>
      <c r="B68" s="41"/>
      <c r="C68" s="11">
        <v>1171</v>
      </c>
      <c r="D68" s="69" t="s">
        <v>157</v>
      </c>
      <c r="E68" s="70"/>
      <c r="F68" s="12" t="str">
        <f>IF(ISERROR(E68/$E$67),"",E68/$E$67)</f>
        <v/>
      </c>
      <c r="G68" s="41"/>
      <c r="H68" s="41"/>
      <c r="I68" s="41"/>
      <c r="J68" s="41"/>
      <c r="K68" s="41"/>
      <c r="L68" s="41"/>
      <c r="M68" s="41"/>
      <c r="N68" s="41"/>
      <c r="O68" s="41"/>
      <c r="P68" s="41"/>
      <c r="Q68" s="41"/>
      <c r="R68" s="41"/>
      <c r="S68" s="41"/>
    </row>
    <row r="69" spans="1:19" ht="30" customHeight="1" thickTop="1" thickBot="1">
      <c r="A69" s="103"/>
      <c r="B69" s="41"/>
      <c r="C69" s="11">
        <v>1172</v>
      </c>
      <c r="D69" s="69" t="s">
        <v>158</v>
      </c>
      <c r="E69" s="70"/>
      <c r="F69" s="12" t="str">
        <f t="shared" ref="F69:F76" si="6">IF(ISERROR(E69/$E$67),"",E69/$E$67)</f>
        <v/>
      </c>
      <c r="G69" s="41"/>
      <c r="H69" s="41"/>
      <c r="I69" s="41"/>
      <c r="J69" s="41"/>
      <c r="K69" s="41"/>
      <c r="L69" s="41"/>
      <c r="M69" s="41"/>
      <c r="N69" s="41"/>
      <c r="O69" s="41"/>
      <c r="P69" s="41"/>
      <c r="Q69" s="41"/>
      <c r="R69" s="41"/>
      <c r="S69" s="41"/>
    </row>
    <row r="70" spans="1:19" ht="30" customHeight="1" thickTop="1" thickBot="1">
      <c r="A70" s="103"/>
      <c r="B70" s="41"/>
      <c r="C70" s="11">
        <v>1173</v>
      </c>
      <c r="D70" s="69" t="s">
        <v>159</v>
      </c>
      <c r="E70" s="70"/>
      <c r="F70" s="12" t="str">
        <f t="shared" si="6"/>
        <v/>
      </c>
      <c r="G70" s="41"/>
      <c r="H70" s="41"/>
      <c r="I70" s="41"/>
      <c r="J70" s="41"/>
      <c r="K70" s="41"/>
      <c r="L70" s="41"/>
      <c r="M70" s="41"/>
      <c r="N70" s="41"/>
      <c r="O70" s="41"/>
      <c r="P70" s="41"/>
      <c r="Q70" s="41"/>
      <c r="R70" s="41"/>
      <c r="S70" s="41"/>
    </row>
    <row r="71" spans="1:19" ht="30" customHeight="1" thickTop="1" thickBot="1">
      <c r="A71" s="103"/>
      <c r="B71" s="41"/>
      <c r="C71" s="11">
        <v>1174</v>
      </c>
      <c r="D71" s="69" t="s">
        <v>160</v>
      </c>
      <c r="E71" s="70"/>
      <c r="F71" s="12" t="str">
        <f t="shared" si="6"/>
        <v/>
      </c>
      <c r="G71" s="41"/>
      <c r="H71" s="41"/>
      <c r="I71" s="41"/>
      <c r="J71" s="41"/>
      <c r="K71" s="41"/>
      <c r="L71" s="41"/>
      <c r="M71" s="41"/>
      <c r="N71" s="41"/>
      <c r="O71" s="41"/>
      <c r="P71" s="41"/>
      <c r="Q71" s="41"/>
      <c r="R71" s="41"/>
      <c r="S71" s="41"/>
    </row>
    <row r="72" spans="1:19" ht="30" customHeight="1" thickTop="1" thickBot="1">
      <c r="A72" s="103"/>
      <c r="B72" s="41"/>
      <c r="C72" s="11">
        <v>1175</v>
      </c>
      <c r="D72" s="69" t="s">
        <v>186</v>
      </c>
      <c r="E72" s="70"/>
      <c r="F72" s="12" t="str">
        <f t="shared" si="6"/>
        <v/>
      </c>
      <c r="G72" s="41"/>
      <c r="H72" s="41"/>
      <c r="I72" s="41"/>
      <c r="J72" s="41"/>
      <c r="K72" s="41"/>
      <c r="L72" s="41"/>
      <c r="M72" s="41"/>
      <c r="N72" s="41"/>
      <c r="O72" s="41"/>
      <c r="P72" s="41"/>
      <c r="Q72" s="41"/>
      <c r="R72" s="41"/>
      <c r="S72" s="41"/>
    </row>
    <row r="73" spans="1:19" ht="30" customHeight="1" thickTop="1" thickBot="1">
      <c r="A73" s="103"/>
      <c r="B73" s="41"/>
      <c r="C73" s="11">
        <v>1176</v>
      </c>
      <c r="D73" s="69" t="s">
        <v>161</v>
      </c>
      <c r="E73" s="70"/>
      <c r="F73" s="12" t="str">
        <f t="shared" si="6"/>
        <v/>
      </c>
      <c r="G73" s="41"/>
      <c r="H73" s="41"/>
      <c r="I73" s="41"/>
      <c r="J73" s="41"/>
      <c r="K73" s="41"/>
      <c r="L73" s="41"/>
      <c r="M73" s="41"/>
      <c r="N73" s="41"/>
      <c r="O73" s="41"/>
      <c r="P73" s="41"/>
      <c r="Q73" s="41"/>
      <c r="R73" s="41"/>
      <c r="S73" s="41"/>
    </row>
    <row r="74" spans="1:19" ht="30" customHeight="1" thickTop="1" thickBot="1">
      <c r="A74" s="103"/>
      <c r="B74" s="41"/>
      <c r="C74" s="11">
        <v>1177</v>
      </c>
      <c r="D74" s="69" t="s">
        <v>29</v>
      </c>
      <c r="E74" s="70"/>
      <c r="F74" s="12" t="str">
        <f t="shared" si="6"/>
        <v/>
      </c>
      <c r="G74" s="41"/>
      <c r="H74" s="41"/>
      <c r="I74" s="41"/>
      <c r="J74" s="41"/>
      <c r="K74" s="41"/>
      <c r="L74" s="41"/>
      <c r="M74" s="41"/>
      <c r="N74" s="41"/>
      <c r="O74" s="41"/>
      <c r="P74" s="41"/>
      <c r="Q74" s="41"/>
      <c r="R74" s="41"/>
      <c r="S74" s="41"/>
    </row>
    <row r="75" spans="1:19" ht="30" customHeight="1" thickTop="1" thickBot="1">
      <c r="A75" s="103"/>
      <c r="B75" s="41"/>
      <c r="C75" s="11">
        <v>1178</v>
      </c>
      <c r="D75" s="69"/>
      <c r="E75" s="70"/>
      <c r="F75" s="12" t="str">
        <f t="shared" si="6"/>
        <v/>
      </c>
      <c r="G75" s="41"/>
      <c r="H75" s="41"/>
      <c r="I75" s="41"/>
      <c r="J75" s="41"/>
      <c r="K75" s="41"/>
      <c r="L75" s="41"/>
      <c r="M75" s="41"/>
      <c r="N75" s="41"/>
      <c r="O75" s="41"/>
      <c r="P75" s="41"/>
      <c r="Q75" s="41"/>
      <c r="R75" s="41"/>
      <c r="S75" s="41"/>
    </row>
    <row r="76" spans="1:19" ht="30" customHeight="1" thickTop="1" thickBot="1">
      <c r="A76" s="103"/>
      <c r="B76" s="41"/>
      <c r="C76" s="11">
        <v>1179</v>
      </c>
      <c r="D76" s="69" t="s">
        <v>162</v>
      </c>
      <c r="E76" s="70"/>
      <c r="F76" s="12" t="str">
        <f t="shared" si="6"/>
        <v/>
      </c>
      <c r="G76" s="41"/>
      <c r="H76" s="41"/>
      <c r="I76" s="41"/>
      <c r="J76" s="41"/>
      <c r="K76" s="41"/>
      <c r="L76" s="41"/>
      <c r="M76" s="41"/>
      <c r="N76" s="41"/>
      <c r="O76" s="41"/>
      <c r="P76" s="41"/>
      <c r="Q76" s="41"/>
      <c r="R76" s="41"/>
      <c r="S76" s="41"/>
    </row>
    <row r="77" spans="1:19" ht="30" customHeight="1" thickTop="1" thickBot="1">
      <c r="A77" s="103"/>
      <c r="B77" s="41"/>
      <c r="C77" s="10">
        <v>1180</v>
      </c>
      <c r="D77" s="72" t="s">
        <v>163</v>
      </c>
      <c r="E77" s="126">
        <f>IF(ISERROR(SUM(E78:E86)),"",SUM(E78:E86))</f>
        <v>0</v>
      </c>
      <c r="F77" s="127"/>
      <c r="G77" s="41"/>
      <c r="H77" s="41"/>
      <c r="I77" s="41"/>
      <c r="J77" s="41"/>
      <c r="K77" s="41"/>
      <c r="L77" s="41"/>
      <c r="M77" s="41"/>
      <c r="N77" s="41"/>
      <c r="O77" s="41"/>
      <c r="P77" s="41"/>
      <c r="Q77" s="41"/>
      <c r="R77" s="41"/>
      <c r="S77" s="41"/>
    </row>
    <row r="78" spans="1:19" ht="30" customHeight="1" thickTop="1" thickBot="1">
      <c r="A78" s="103"/>
      <c r="B78" s="41"/>
      <c r="C78" s="11">
        <v>1181</v>
      </c>
      <c r="D78" s="69" t="s">
        <v>164</v>
      </c>
      <c r="E78" s="70"/>
      <c r="F78" s="12" t="str">
        <f>IF(ISERROR(E78/$E$77),"",E78/$E$77)</f>
        <v/>
      </c>
      <c r="G78" s="41"/>
      <c r="H78" s="41"/>
      <c r="I78" s="41"/>
      <c r="J78" s="41"/>
      <c r="K78" s="41"/>
      <c r="L78" s="41"/>
      <c r="M78" s="41"/>
      <c r="N78" s="41"/>
      <c r="O78" s="41"/>
      <c r="P78" s="41"/>
      <c r="Q78" s="41"/>
      <c r="R78" s="41"/>
      <c r="S78" s="41"/>
    </row>
    <row r="79" spans="1:19" ht="30" customHeight="1" thickTop="1" thickBot="1">
      <c r="A79" s="103"/>
      <c r="B79" s="41"/>
      <c r="C79" s="11">
        <v>1182</v>
      </c>
      <c r="D79" s="69" t="s">
        <v>165</v>
      </c>
      <c r="E79" s="70"/>
      <c r="F79" s="12" t="str">
        <f t="shared" ref="F79:F86" si="7">IF(ISERROR(E79/$E$77),"",E79/$E$77)</f>
        <v/>
      </c>
      <c r="G79" s="41"/>
      <c r="H79" s="41"/>
      <c r="I79" s="41"/>
      <c r="J79" s="41"/>
      <c r="K79" s="41"/>
      <c r="L79" s="41"/>
      <c r="M79" s="41"/>
      <c r="N79" s="41"/>
      <c r="O79" s="41"/>
      <c r="P79" s="41"/>
      <c r="Q79" s="41"/>
      <c r="R79" s="41"/>
      <c r="S79" s="41"/>
    </row>
    <row r="80" spans="1:19" ht="30" customHeight="1" thickTop="1" thickBot="1">
      <c r="A80" s="103"/>
      <c r="B80" s="41"/>
      <c r="C80" s="11">
        <v>1183</v>
      </c>
      <c r="D80" s="69" t="s">
        <v>166</v>
      </c>
      <c r="E80" s="70"/>
      <c r="F80" s="12" t="str">
        <f t="shared" si="7"/>
        <v/>
      </c>
      <c r="G80" s="41"/>
      <c r="H80" s="41"/>
      <c r="I80" s="41"/>
      <c r="J80" s="41"/>
      <c r="K80" s="41"/>
      <c r="L80" s="41"/>
      <c r="M80" s="41"/>
      <c r="N80" s="41"/>
      <c r="O80" s="41"/>
      <c r="P80" s="41"/>
      <c r="Q80" s="41"/>
      <c r="R80" s="41"/>
      <c r="S80" s="41"/>
    </row>
    <row r="81" spans="1:19" ht="30" customHeight="1" thickTop="1" thickBot="1">
      <c r="A81" s="103"/>
      <c r="B81" s="41"/>
      <c r="C81" s="11">
        <v>1184</v>
      </c>
      <c r="D81" s="69" t="s">
        <v>176</v>
      </c>
      <c r="E81" s="70"/>
      <c r="F81" s="12" t="str">
        <f t="shared" si="7"/>
        <v/>
      </c>
      <c r="G81" s="41"/>
      <c r="H81" s="41"/>
      <c r="I81" s="41"/>
      <c r="J81" s="41"/>
      <c r="K81" s="41"/>
      <c r="L81" s="41"/>
      <c r="M81" s="41"/>
      <c r="N81" s="41"/>
      <c r="O81" s="41"/>
      <c r="P81" s="41"/>
      <c r="Q81" s="41"/>
      <c r="R81" s="41"/>
      <c r="S81" s="41"/>
    </row>
    <row r="82" spans="1:19" ht="30" customHeight="1" thickTop="1" thickBot="1">
      <c r="A82" s="103"/>
      <c r="B82" s="41"/>
      <c r="C82" s="11">
        <v>1185</v>
      </c>
      <c r="D82" s="69" t="s">
        <v>167</v>
      </c>
      <c r="E82" s="70"/>
      <c r="F82" s="12" t="str">
        <f t="shared" si="7"/>
        <v/>
      </c>
      <c r="G82" s="41"/>
      <c r="H82" s="41"/>
      <c r="I82" s="41"/>
      <c r="J82" s="41"/>
      <c r="K82" s="41"/>
      <c r="L82" s="41"/>
      <c r="M82" s="41"/>
      <c r="N82" s="41"/>
      <c r="O82" s="41"/>
      <c r="P82" s="41"/>
      <c r="Q82" s="41"/>
      <c r="R82" s="41"/>
      <c r="S82" s="41"/>
    </row>
    <row r="83" spans="1:19" ht="30" customHeight="1" thickTop="1" thickBot="1">
      <c r="A83" s="103"/>
      <c r="B83" s="41"/>
      <c r="C83" s="11">
        <v>1186</v>
      </c>
      <c r="D83" s="69" t="s">
        <v>168</v>
      </c>
      <c r="E83" s="70"/>
      <c r="F83" s="12" t="str">
        <f t="shared" si="7"/>
        <v/>
      </c>
      <c r="G83" s="41"/>
      <c r="H83" s="41"/>
      <c r="I83" s="41"/>
      <c r="J83" s="41"/>
      <c r="K83" s="41"/>
      <c r="L83" s="41"/>
      <c r="M83" s="41"/>
      <c r="N83" s="41"/>
      <c r="O83" s="41"/>
      <c r="P83" s="41"/>
      <c r="Q83" s="41"/>
      <c r="R83" s="41"/>
      <c r="S83" s="41"/>
    </row>
    <row r="84" spans="1:19" ht="30" customHeight="1" thickTop="1" thickBot="1">
      <c r="A84" s="103"/>
      <c r="B84" s="41"/>
      <c r="C84" s="11">
        <v>1187</v>
      </c>
      <c r="D84" s="69" t="s">
        <v>169</v>
      </c>
      <c r="E84" s="70"/>
      <c r="F84" s="12" t="str">
        <f t="shared" si="7"/>
        <v/>
      </c>
      <c r="G84" s="41"/>
      <c r="H84" s="41"/>
      <c r="I84" s="41"/>
      <c r="J84" s="41"/>
      <c r="K84" s="41"/>
      <c r="L84" s="41"/>
      <c r="M84" s="41"/>
      <c r="N84" s="41"/>
      <c r="O84" s="41"/>
      <c r="P84" s="41"/>
      <c r="Q84" s="41"/>
      <c r="R84" s="41"/>
      <c r="S84" s="41"/>
    </row>
    <row r="85" spans="1:19" ht="30" customHeight="1" thickTop="1" thickBot="1">
      <c r="A85" s="103"/>
      <c r="B85" s="41"/>
      <c r="C85" s="11">
        <v>1188</v>
      </c>
      <c r="D85" s="69"/>
      <c r="E85" s="70"/>
      <c r="F85" s="12" t="str">
        <f t="shared" si="7"/>
        <v/>
      </c>
      <c r="G85" s="41"/>
      <c r="H85" s="41"/>
      <c r="I85" s="41"/>
      <c r="J85" s="41"/>
      <c r="K85" s="41"/>
      <c r="L85" s="41"/>
      <c r="M85" s="41"/>
      <c r="N85" s="41"/>
      <c r="O85" s="41"/>
      <c r="P85" s="41"/>
      <c r="Q85" s="41"/>
      <c r="R85" s="41"/>
      <c r="S85" s="41"/>
    </row>
    <row r="86" spans="1:19" ht="30" customHeight="1" thickTop="1" thickBot="1">
      <c r="A86" s="103"/>
      <c r="B86" s="41"/>
      <c r="C86" s="11">
        <v>1189</v>
      </c>
      <c r="D86" s="69" t="s">
        <v>170</v>
      </c>
      <c r="E86" s="70"/>
      <c r="F86" s="12" t="str">
        <f t="shared" si="7"/>
        <v/>
      </c>
      <c r="G86" s="41"/>
      <c r="H86" s="41"/>
      <c r="I86" s="41"/>
      <c r="J86" s="41"/>
      <c r="K86" s="41"/>
      <c r="L86" s="41"/>
      <c r="M86" s="41"/>
      <c r="N86" s="41"/>
      <c r="O86" s="41"/>
      <c r="P86" s="41"/>
      <c r="Q86" s="41"/>
      <c r="R86" s="41"/>
      <c r="S86" s="41"/>
    </row>
    <row r="87" spans="1:19" ht="30" customHeight="1" thickTop="1" thickBot="1">
      <c r="A87" s="103"/>
      <c r="B87" s="41"/>
      <c r="C87" s="10">
        <v>1190</v>
      </c>
      <c r="D87" s="72" t="s">
        <v>31</v>
      </c>
      <c r="E87" s="126">
        <f>IF(ISERROR(SUM(E88:E96)),"",SUM(E88:E96))</f>
        <v>0</v>
      </c>
      <c r="F87" s="127"/>
      <c r="G87" s="41"/>
      <c r="H87" s="41"/>
      <c r="I87" s="41"/>
      <c r="J87" s="41"/>
      <c r="K87" s="41"/>
      <c r="L87" s="41"/>
      <c r="M87" s="41"/>
      <c r="N87" s="41"/>
      <c r="O87" s="41"/>
      <c r="P87" s="41"/>
      <c r="Q87" s="41"/>
      <c r="R87" s="41"/>
      <c r="S87" s="41"/>
    </row>
    <row r="88" spans="1:19" ht="30" customHeight="1" thickTop="1" thickBot="1">
      <c r="A88" s="103"/>
      <c r="B88" s="41"/>
      <c r="C88" s="11">
        <v>1191</v>
      </c>
      <c r="D88" s="69" t="s">
        <v>171</v>
      </c>
      <c r="E88" s="70"/>
      <c r="F88" s="12" t="str">
        <f>IF(ISERROR(E88/$E$87),"",E88/$E$87)</f>
        <v/>
      </c>
      <c r="G88" s="41"/>
      <c r="H88" s="41"/>
      <c r="I88" s="41"/>
      <c r="J88" s="41"/>
      <c r="K88" s="41"/>
      <c r="L88" s="41"/>
      <c r="M88" s="41"/>
      <c r="N88" s="41"/>
      <c r="O88" s="41"/>
      <c r="P88" s="41"/>
      <c r="Q88" s="41"/>
      <c r="R88" s="41"/>
      <c r="S88" s="41"/>
    </row>
    <row r="89" spans="1:19" ht="30" customHeight="1" thickTop="1" thickBot="1">
      <c r="A89" s="103"/>
      <c r="B89" s="41"/>
      <c r="C89" s="11">
        <v>1192</v>
      </c>
      <c r="D89" s="69" t="s">
        <v>172</v>
      </c>
      <c r="E89" s="70"/>
      <c r="F89" s="12" t="str">
        <f t="shared" ref="F89:F96" si="8">IF(ISERROR(E89/$E$87),"",E89/$E$87)</f>
        <v/>
      </c>
      <c r="G89" s="41"/>
      <c r="H89" s="41"/>
      <c r="I89" s="41"/>
      <c r="J89" s="41"/>
      <c r="K89" s="41"/>
      <c r="L89" s="41"/>
      <c r="M89" s="41"/>
      <c r="N89" s="41"/>
      <c r="O89" s="41"/>
      <c r="P89" s="41"/>
      <c r="Q89" s="41"/>
      <c r="R89" s="41"/>
      <c r="S89" s="41"/>
    </row>
    <row r="90" spans="1:19" ht="30" customHeight="1" thickTop="1" thickBot="1">
      <c r="A90" s="103"/>
      <c r="B90" s="41"/>
      <c r="C90" s="11">
        <v>1193</v>
      </c>
      <c r="D90" s="69" t="s">
        <v>173</v>
      </c>
      <c r="E90" s="70"/>
      <c r="F90" s="12" t="str">
        <f t="shared" si="8"/>
        <v/>
      </c>
      <c r="G90" s="41"/>
      <c r="H90" s="41"/>
      <c r="I90" s="41"/>
      <c r="J90" s="41"/>
      <c r="K90" s="41"/>
      <c r="L90" s="41"/>
      <c r="M90" s="41"/>
      <c r="N90" s="41"/>
      <c r="O90" s="41"/>
      <c r="P90" s="41"/>
      <c r="Q90" s="41"/>
      <c r="R90" s="41"/>
      <c r="S90" s="41"/>
    </row>
    <row r="91" spans="1:19" ht="30" customHeight="1" thickTop="1" thickBot="1">
      <c r="A91" s="103"/>
      <c r="B91" s="41"/>
      <c r="C91" s="11">
        <v>1194</v>
      </c>
      <c r="D91" s="69" t="s">
        <v>174</v>
      </c>
      <c r="E91" s="70"/>
      <c r="F91" s="12" t="str">
        <f t="shared" si="8"/>
        <v/>
      </c>
      <c r="G91" s="41"/>
      <c r="H91" s="41"/>
      <c r="I91" s="41"/>
      <c r="J91" s="41"/>
      <c r="K91" s="41"/>
      <c r="L91" s="41"/>
      <c r="M91" s="41"/>
      <c r="N91" s="41"/>
      <c r="O91" s="41"/>
      <c r="P91" s="41"/>
      <c r="Q91" s="41"/>
      <c r="R91" s="41"/>
      <c r="S91" s="41"/>
    </row>
    <row r="92" spans="1:19" ht="30" customHeight="1" thickTop="1" thickBot="1">
      <c r="A92" s="103"/>
      <c r="B92" s="41"/>
      <c r="C92" s="11">
        <v>1195</v>
      </c>
      <c r="D92" s="69" t="s">
        <v>175</v>
      </c>
      <c r="E92" s="70"/>
      <c r="F92" s="12" t="str">
        <f t="shared" si="8"/>
        <v/>
      </c>
      <c r="G92" s="41"/>
      <c r="H92" s="41"/>
      <c r="I92" s="41"/>
      <c r="J92" s="41"/>
      <c r="K92" s="41"/>
      <c r="L92" s="41"/>
      <c r="M92" s="41"/>
      <c r="N92" s="41"/>
      <c r="O92" s="41"/>
      <c r="P92" s="41"/>
      <c r="Q92" s="41"/>
      <c r="R92" s="41"/>
      <c r="S92" s="41"/>
    </row>
    <row r="93" spans="1:19" ht="30" customHeight="1" thickTop="1" thickBot="1">
      <c r="A93" s="103"/>
      <c r="B93" s="41"/>
      <c r="C93" s="11">
        <v>1196</v>
      </c>
      <c r="D93" s="69" t="s">
        <v>177</v>
      </c>
      <c r="E93" s="70"/>
      <c r="F93" s="12" t="str">
        <f t="shared" si="8"/>
        <v/>
      </c>
      <c r="G93" s="41"/>
      <c r="H93" s="41"/>
      <c r="I93" s="41"/>
      <c r="J93" s="41"/>
      <c r="K93" s="41"/>
      <c r="L93" s="41"/>
      <c r="M93" s="41"/>
      <c r="N93" s="41"/>
      <c r="O93" s="41"/>
      <c r="P93" s="41"/>
      <c r="Q93" s="41"/>
      <c r="R93" s="41"/>
      <c r="S93" s="41"/>
    </row>
    <row r="94" spans="1:19" ht="30" customHeight="1" thickTop="1" thickBot="1">
      <c r="A94" s="103"/>
      <c r="B94" s="41"/>
      <c r="C94" s="11">
        <v>1197</v>
      </c>
      <c r="D94" s="69" t="s">
        <v>178</v>
      </c>
      <c r="E94" s="70"/>
      <c r="F94" s="12" t="str">
        <f t="shared" si="8"/>
        <v/>
      </c>
      <c r="G94" s="41"/>
      <c r="H94" s="41"/>
      <c r="I94" s="41"/>
      <c r="J94" s="41"/>
      <c r="K94" s="41"/>
      <c r="L94" s="41"/>
      <c r="M94" s="41"/>
      <c r="N94" s="41"/>
      <c r="O94" s="41"/>
      <c r="P94" s="41"/>
      <c r="Q94" s="41"/>
      <c r="R94" s="41"/>
      <c r="S94" s="41"/>
    </row>
    <row r="95" spans="1:19" ht="30" customHeight="1" thickTop="1" thickBot="1">
      <c r="A95" s="103"/>
      <c r="B95" s="41"/>
      <c r="C95" s="11">
        <v>1198</v>
      </c>
      <c r="D95" s="69" t="s">
        <v>179</v>
      </c>
      <c r="E95" s="70"/>
      <c r="F95" s="12" t="str">
        <f t="shared" si="8"/>
        <v/>
      </c>
      <c r="G95" s="41"/>
      <c r="H95" s="41"/>
      <c r="I95" s="41"/>
      <c r="J95" s="41"/>
      <c r="K95" s="41"/>
      <c r="L95" s="41"/>
      <c r="M95" s="41"/>
      <c r="N95" s="41"/>
      <c r="O95" s="41"/>
      <c r="P95" s="41"/>
      <c r="Q95" s="41"/>
      <c r="R95" s="41"/>
      <c r="S95" s="41"/>
    </row>
    <row r="96" spans="1:19" ht="30" customHeight="1" thickTop="1" thickBot="1">
      <c r="A96" s="103"/>
      <c r="B96" s="41"/>
      <c r="C96" s="11">
        <v>1199</v>
      </c>
      <c r="D96" s="69" t="s">
        <v>180</v>
      </c>
      <c r="E96" s="70"/>
      <c r="F96" s="12" t="str">
        <f t="shared" si="8"/>
        <v/>
      </c>
      <c r="G96" s="41"/>
      <c r="H96" s="41"/>
      <c r="I96" s="41"/>
      <c r="J96" s="41"/>
      <c r="K96" s="41"/>
      <c r="L96" s="41"/>
      <c r="M96" s="41"/>
      <c r="N96" s="41"/>
      <c r="O96" s="41"/>
      <c r="P96" s="41"/>
      <c r="Q96" s="41"/>
      <c r="R96" s="41"/>
      <c r="S96" s="41"/>
    </row>
    <row r="97" spans="1:19" ht="30" customHeight="1" thickTop="1">
      <c r="A97" s="103"/>
      <c r="B97" s="41"/>
      <c r="C97" s="41"/>
      <c r="D97" s="41"/>
      <c r="E97" s="41"/>
      <c r="F97" s="41"/>
      <c r="G97" s="41"/>
      <c r="H97" s="41"/>
      <c r="I97" s="41"/>
      <c r="J97" s="41"/>
      <c r="K97" s="41"/>
      <c r="L97" s="41"/>
      <c r="M97" s="41"/>
      <c r="N97" s="41"/>
      <c r="O97" s="41"/>
      <c r="P97" s="41"/>
      <c r="Q97" s="41"/>
      <c r="R97" s="41"/>
      <c r="S97" s="41"/>
    </row>
    <row r="98" spans="1:19" ht="30" customHeight="1">
      <c r="A98" s="103"/>
      <c r="B98" s="41"/>
      <c r="C98" s="41"/>
      <c r="D98" s="41"/>
      <c r="E98" s="41"/>
      <c r="F98" s="41"/>
      <c r="G98" s="41"/>
      <c r="H98" s="41"/>
      <c r="I98" s="41"/>
      <c r="J98" s="41"/>
      <c r="K98" s="41"/>
      <c r="L98" s="41"/>
      <c r="M98" s="41"/>
      <c r="N98" s="41"/>
      <c r="O98" s="41"/>
      <c r="P98" s="41"/>
      <c r="Q98" s="41"/>
      <c r="R98" s="41"/>
      <c r="S98" s="41"/>
    </row>
    <row r="99" spans="1:19" ht="33.950000000000003" customHeight="1">
      <c r="A99" s="103"/>
      <c r="B99" s="41"/>
      <c r="C99" s="41"/>
      <c r="D99" s="41"/>
      <c r="E99" s="41"/>
      <c r="F99" s="41"/>
      <c r="G99" s="41"/>
      <c r="H99" s="41"/>
      <c r="I99" s="41"/>
      <c r="J99" s="41"/>
      <c r="K99" s="41"/>
      <c r="L99" s="41"/>
      <c r="M99" s="41"/>
      <c r="N99" s="41"/>
      <c r="O99" s="41"/>
      <c r="P99" s="41"/>
      <c r="Q99" s="41"/>
      <c r="R99" s="41"/>
      <c r="S99" s="41"/>
    </row>
    <row r="100" spans="1:19" ht="33.950000000000003" customHeight="1">
      <c r="A100" s="103"/>
      <c r="B100" s="41"/>
      <c r="C100" s="41"/>
      <c r="D100" s="41"/>
      <c r="E100" s="41"/>
      <c r="F100" s="41"/>
      <c r="G100" s="41"/>
      <c r="H100" s="41"/>
      <c r="I100" s="41"/>
      <c r="J100" s="41"/>
      <c r="K100" s="41"/>
      <c r="L100" s="41"/>
      <c r="M100" s="41"/>
      <c r="N100" s="41"/>
      <c r="O100" s="41"/>
      <c r="P100" s="41"/>
      <c r="Q100" s="41"/>
      <c r="R100" s="41"/>
      <c r="S100" s="41"/>
    </row>
    <row r="101" spans="1:19" ht="33.950000000000003" customHeight="1">
      <c r="A101" s="103"/>
      <c r="B101" s="41"/>
      <c r="C101" s="41"/>
      <c r="D101" s="41"/>
      <c r="E101" s="41"/>
      <c r="F101" s="41"/>
      <c r="G101" s="41"/>
      <c r="H101" s="41"/>
      <c r="I101" s="41"/>
      <c r="J101" s="41"/>
      <c r="K101" s="41"/>
      <c r="L101" s="41"/>
      <c r="M101" s="41"/>
      <c r="N101" s="41"/>
      <c r="O101" s="41"/>
      <c r="P101" s="41"/>
      <c r="Q101" s="41"/>
      <c r="R101" s="41"/>
      <c r="S101" s="41"/>
    </row>
    <row r="102" spans="1:19" ht="33.950000000000003" customHeight="1">
      <c r="A102" s="103"/>
      <c r="B102" s="41"/>
      <c r="C102" s="41"/>
      <c r="D102" s="41"/>
      <c r="E102" s="41"/>
      <c r="F102" s="41"/>
      <c r="G102" s="41"/>
      <c r="H102" s="41"/>
      <c r="I102" s="41"/>
      <c r="J102" s="41"/>
      <c r="K102" s="41"/>
      <c r="L102" s="41"/>
      <c r="M102" s="41"/>
      <c r="N102" s="41"/>
      <c r="O102" s="41"/>
      <c r="P102" s="41"/>
      <c r="Q102" s="41"/>
      <c r="R102" s="41"/>
      <c r="S102" s="41"/>
    </row>
    <row r="103" spans="1:19" ht="33.950000000000003" customHeight="1">
      <c r="A103" s="103"/>
      <c r="B103" s="41"/>
      <c r="C103" s="41"/>
      <c r="D103" s="41"/>
      <c r="E103" s="41"/>
      <c r="F103" s="41"/>
      <c r="G103" s="41"/>
      <c r="H103" s="41"/>
      <c r="I103" s="41"/>
      <c r="J103" s="41"/>
      <c r="K103" s="41"/>
      <c r="L103" s="41"/>
      <c r="M103" s="41"/>
      <c r="N103" s="41"/>
      <c r="O103" s="41"/>
      <c r="P103" s="41"/>
      <c r="Q103" s="41"/>
      <c r="R103" s="41"/>
      <c r="S103" s="41"/>
    </row>
    <row r="104" spans="1:19" ht="33.950000000000003" customHeight="1">
      <c r="A104" s="103"/>
      <c r="B104" s="41"/>
      <c r="C104" s="41"/>
      <c r="D104" s="41"/>
      <c r="E104" s="41"/>
      <c r="F104" s="41"/>
      <c r="G104" s="41"/>
      <c r="H104" s="41"/>
      <c r="I104" s="41"/>
      <c r="J104" s="41"/>
      <c r="K104" s="41"/>
      <c r="L104" s="41"/>
      <c r="M104" s="41"/>
      <c r="N104" s="41"/>
      <c r="O104" s="41"/>
      <c r="P104" s="41"/>
      <c r="Q104" s="41"/>
      <c r="R104" s="41"/>
      <c r="S104" s="41"/>
    </row>
    <row r="105" spans="1:19" ht="33.950000000000003" customHeight="1">
      <c r="A105" s="103"/>
      <c r="B105" s="41"/>
      <c r="C105" s="41"/>
      <c r="D105" s="41"/>
      <c r="E105" s="41"/>
      <c r="F105" s="41"/>
      <c r="G105" s="41"/>
      <c r="H105" s="41"/>
      <c r="I105" s="41"/>
      <c r="J105" s="41"/>
      <c r="K105" s="41"/>
      <c r="L105" s="41"/>
      <c r="M105" s="41"/>
      <c r="N105" s="41"/>
      <c r="O105" s="41"/>
      <c r="P105" s="41"/>
      <c r="Q105" s="41"/>
      <c r="R105" s="41"/>
      <c r="S105" s="41"/>
    </row>
    <row r="106" spans="1:19" ht="33.950000000000003" customHeight="1">
      <c r="A106" s="103"/>
      <c r="B106" s="41"/>
      <c r="C106" s="41"/>
      <c r="D106" s="41"/>
      <c r="E106" s="41"/>
      <c r="F106" s="41"/>
      <c r="G106" s="41"/>
      <c r="H106" s="41"/>
      <c r="I106" s="41"/>
      <c r="J106" s="41"/>
      <c r="K106" s="41"/>
      <c r="L106" s="41"/>
      <c r="M106" s="41"/>
      <c r="N106" s="41"/>
      <c r="O106" s="41"/>
      <c r="P106" s="41"/>
      <c r="Q106" s="41"/>
      <c r="R106" s="41"/>
      <c r="S106" s="41"/>
    </row>
    <row r="107" spans="1:19" ht="33.950000000000003" customHeight="1">
      <c r="A107" s="103"/>
      <c r="B107" s="41"/>
      <c r="C107" s="41"/>
      <c r="D107" s="41"/>
      <c r="E107" s="41"/>
      <c r="F107" s="41"/>
      <c r="G107" s="41"/>
      <c r="H107" s="41"/>
      <c r="I107" s="41"/>
      <c r="J107" s="41"/>
      <c r="K107" s="41"/>
      <c r="L107" s="41"/>
      <c r="M107" s="41"/>
      <c r="N107" s="41"/>
      <c r="O107" s="41"/>
      <c r="P107" s="41"/>
      <c r="Q107" s="41"/>
      <c r="R107" s="41"/>
      <c r="S107" s="41"/>
    </row>
    <row r="108" spans="1:19" ht="33.950000000000003" customHeight="1">
      <c r="A108" s="103"/>
      <c r="B108" s="41"/>
      <c r="C108" s="41"/>
      <c r="D108" s="41"/>
      <c r="E108" s="41"/>
      <c r="F108" s="41"/>
      <c r="G108" s="41"/>
      <c r="H108" s="41"/>
      <c r="I108" s="41"/>
      <c r="J108" s="41"/>
      <c r="K108" s="41"/>
      <c r="L108" s="41"/>
      <c r="M108" s="41"/>
      <c r="N108" s="41"/>
      <c r="O108" s="41"/>
      <c r="P108" s="41"/>
      <c r="Q108" s="41"/>
      <c r="R108" s="41"/>
      <c r="S108" s="41"/>
    </row>
    <row r="109" spans="1:19" ht="33.950000000000003" customHeight="1">
      <c r="A109" s="103"/>
      <c r="B109" s="41"/>
      <c r="C109" s="41"/>
      <c r="D109" s="41"/>
      <c r="E109" s="41"/>
      <c r="F109" s="41"/>
      <c r="G109" s="41"/>
      <c r="H109" s="41"/>
      <c r="I109" s="41"/>
      <c r="J109" s="41"/>
      <c r="K109" s="41"/>
      <c r="L109" s="41"/>
      <c r="M109" s="41"/>
      <c r="N109" s="41"/>
      <c r="O109" s="41"/>
      <c r="P109" s="41"/>
      <c r="Q109" s="41"/>
      <c r="R109" s="41"/>
      <c r="S109" s="41"/>
    </row>
    <row r="110" spans="1:19" ht="33.950000000000003" customHeight="1">
      <c r="A110" s="103"/>
      <c r="B110" s="41"/>
      <c r="C110" s="41"/>
      <c r="D110" s="41"/>
      <c r="E110" s="41"/>
      <c r="F110" s="41"/>
      <c r="G110" s="41"/>
      <c r="H110" s="41"/>
      <c r="I110" s="41"/>
      <c r="J110" s="41"/>
      <c r="K110" s="41"/>
      <c r="L110" s="41"/>
      <c r="M110" s="41"/>
      <c r="N110" s="41"/>
      <c r="O110" s="41"/>
      <c r="P110" s="41"/>
      <c r="Q110" s="41"/>
      <c r="R110" s="41"/>
      <c r="S110" s="41"/>
    </row>
    <row r="111" spans="1:19" ht="33.950000000000003" customHeight="1">
      <c r="A111" s="103"/>
      <c r="B111" s="41"/>
      <c r="C111" s="41"/>
      <c r="D111" s="41"/>
      <c r="E111" s="41"/>
      <c r="F111" s="41"/>
      <c r="G111" s="41"/>
      <c r="H111" s="41"/>
      <c r="I111" s="41"/>
      <c r="J111" s="41"/>
      <c r="K111" s="41"/>
      <c r="L111" s="41"/>
      <c r="M111" s="41"/>
      <c r="N111" s="41"/>
      <c r="O111" s="41"/>
      <c r="P111" s="41"/>
      <c r="Q111" s="41"/>
      <c r="R111" s="41"/>
      <c r="S111" s="41"/>
    </row>
    <row r="112" spans="1:19" ht="33.950000000000003" customHeight="1">
      <c r="A112" s="103"/>
      <c r="B112" s="41"/>
      <c r="C112" s="41"/>
      <c r="D112" s="41"/>
      <c r="E112" s="41"/>
      <c r="F112" s="41"/>
      <c r="G112" s="41"/>
      <c r="H112" s="41"/>
      <c r="I112" s="41"/>
      <c r="J112" s="41"/>
      <c r="K112" s="41"/>
      <c r="L112" s="41"/>
      <c r="M112" s="41"/>
      <c r="N112" s="41"/>
      <c r="O112" s="41"/>
      <c r="P112" s="41"/>
      <c r="Q112" s="41"/>
      <c r="R112" s="41"/>
      <c r="S112" s="41"/>
    </row>
    <row r="113" spans="1:19" ht="33.950000000000003" customHeight="1">
      <c r="A113" s="103"/>
      <c r="B113" s="41"/>
      <c r="C113" s="41"/>
      <c r="D113" s="41"/>
      <c r="E113" s="41"/>
      <c r="F113" s="41"/>
      <c r="G113" s="41"/>
      <c r="H113" s="41"/>
      <c r="I113" s="41"/>
      <c r="J113" s="41"/>
      <c r="K113" s="41"/>
      <c r="L113" s="41"/>
      <c r="M113" s="41"/>
      <c r="N113" s="41"/>
      <c r="O113" s="41"/>
      <c r="P113" s="41"/>
      <c r="Q113" s="41"/>
      <c r="R113" s="41"/>
      <c r="S113" s="41"/>
    </row>
    <row r="114" spans="1:19" ht="33.950000000000003" customHeight="1">
      <c r="A114" s="103"/>
      <c r="B114" s="41"/>
      <c r="C114" s="41"/>
      <c r="D114" s="41"/>
      <c r="E114" s="41"/>
      <c r="F114" s="41"/>
      <c r="G114" s="41"/>
      <c r="H114" s="41"/>
      <c r="I114" s="41"/>
      <c r="J114" s="41"/>
      <c r="K114" s="41"/>
      <c r="L114" s="41"/>
      <c r="M114" s="41"/>
      <c r="N114" s="41"/>
      <c r="O114" s="41"/>
      <c r="P114" s="41"/>
      <c r="Q114" s="41"/>
      <c r="R114" s="41"/>
      <c r="S114" s="41"/>
    </row>
    <row r="115" spans="1:19" ht="33.950000000000003" customHeight="1">
      <c r="A115" s="103"/>
      <c r="B115" s="41"/>
      <c r="C115" s="41"/>
      <c r="D115" s="41"/>
      <c r="E115" s="41"/>
      <c r="F115" s="41"/>
      <c r="G115" s="41"/>
      <c r="H115" s="41"/>
      <c r="I115" s="41"/>
      <c r="J115" s="41"/>
      <c r="K115" s="41"/>
      <c r="L115" s="41"/>
      <c r="M115" s="41"/>
      <c r="N115" s="41"/>
      <c r="O115" s="41"/>
      <c r="P115" s="41"/>
      <c r="Q115" s="41"/>
      <c r="R115" s="41"/>
      <c r="S115" s="41"/>
    </row>
    <row r="116" spans="1:19" ht="33.950000000000003" customHeight="1">
      <c r="A116" s="103"/>
      <c r="B116" s="41"/>
      <c r="C116" s="41"/>
      <c r="D116" s="41"/>
      <c r="E116" s="41"/>
      <c r="F116" s="41"/>
      <c r="G116" s="41"/>
      <c r="H116" s="41"/>
      <c r="I116" s="41"/>
      <c r="J116" s="41"/>
      <c r="K116" s="41"/>
      <c r="L116" s="41"/>
      <c r="M116" s="41"/>
      <c r="N116" s="41"/>
      <c r="O116" s="41"/>
      <c r="P116" s="41"/>
      <c r="Q116" s="41"/>
      <c r="R116" s="41"/>
      <c r="S116" s="41"/>
    </row>
    <row r="117" spans="1:19" ht="33.950000000000003" customHeight="1">
      <c r="A117" s="103"/>
      <c r="B117" s="41"/>
      <c r="C117" s="41"/>
      <c r="D117" s="41"/>
      <c r="E117" s="41"/>
      <c r="F117" s="41"/>
      <c r="G117" s="41"/>
      <c r="H117" s="41"/>
      <c r="I117" s="41"/>
      <c r="J117" s="41"/>
      <c r="K117" s="41"/>
      <c r="L117" s="41"/>
      <c r="M117" s="41"/>
      <c r="N117" s="41"/>
      <c r="O117" s="41"/>
      <c r="P117" s="41"/>
      <c r="Q117" s="41"/>
      <c r="R117" s="41"/>
      <c r="S117" s="41"/>
    </row>
    <row r="118" spans="1:19" ht="33.950000000000003" customHeight="1">
      <c r="A118" s="103"/>
      <c r="B118" s="41"/>
      <c r="C118" s="41"/>
      <c r="D118" s="41"/>
      <c r="E118" s="41"/>
      <c r="F118" s="41"/>
      <c r="G118" s="41"/>
      <c r="H118" s="41"/>
      <c r="I118" s="41"/>
      <c r="J118" s="41"/>
      <c r="K118" s="41"/>
      <c r="L118" s="41"/>
      <c r="M118" s="41"/>
      <c r="N118" s="41"/>
      <c r="O118" s="41"/>
      <c r="P118" s="41"/>
      <c r="Q118" s="41"/>
      <c r="R118" s="41"/>
      <c r="S118" s="41"/>
    </row>
    <row r="119" spans="1:19" ht="33.950000000000003" customHeight="1">
      <c r="A119" s="103"/>
      <c r="B119" s="41"/>
      <c r="C119" s="41"/>
      <c r="D119" s="41"/>
      <c r="E119" s="41"/>
      <c r="F119" s="41"/>
      <c r="G119" s="41"/>
      <c r="H119" s="41"/>
      <c r="I119" s="41"/>
      <c r="J119" s="41"/>
      <c r="K119" s="41"/>
      <c r="L119" s="41"/>
      <c r="M119" s="41"/>
      <c r="N119" s="41"/>
      <c r="O119" s="41"/>
      <c r="P119" s="41"/>
      <c r="Q119" s="41"/>
      <c r="R119" s="41"/>
      <c r="S119" s="41"/>
    </row>
    <row r="120" spans="1:19" ht="33.950000000000003" customHeight="1">
      <c r="A120" s="103"/>
      <c r="B120" s="41"/>
      <c r="C120" s="41"/>
      <c r="D120" s="41"/>
      <c r="E120" s="41"/>
      <c r="F120" s="41"/>
      <c r="G120" s="41"/>
      <c r="H120" s="41"/>
      <c r="I120" s="41"/>
      <c r="J120" s="41"/>
      <c r="K120" s="41"/>
      <c r="L120" s="41"/>
      <c r="M120" s="41"/>
      <c r="N120" s="41"/>
      <c r="O120" s="41"/>
      <c r="P120" s="41"/>
      <c r="Q120" s="41"/>
      <c r="R120" s="41"/>
      <c r="S120" s="41"/>
    </row>
    <row r="121" spans="1:19" ht="33.950000000000003" customHeight="1">
      <c r="A121" s="103"/>
      <c r="B121" s="41"/>
      <c r="C121" s="41"/>
      <c r="D121" s="41"/>
      <c r="E121" s="41"/>
      <c r="F121" s="41"/>
      <c r="G121" s="41"/>
      <c r="H121" s="41"/>
      <c r="I121" s="41"/>
      <c r="J121" s="41"/>
      <c r="K121" s="41"/>
      <c r="L121" s="41"/>
      <c r="M121" s="41"/>
      <c r="N121" s="41"/>
      <c r="O121" s="41"/>
      <c r="P121" s="41"/>
      <c r="Q121" s="41"/>
      <c r="R121" s="41"/>
      <c r="S121" s="41"/>
    </row>
    <row r="122" spans="1:19" ht="33.950000000000003" customHeight="1">
      <c r="A122" s="103"/>
      <c r="B122" s="41"/>
      <c r="C122" s="41"/>
      <c r="D122" s="41"/>
      <c r="E122" s="41"/>
      <c r="F122" s="41"/>
      <c r="G122" s="41"/>
      <c r="H122" s="41"/>
      <c r="I122" s="41"/>
      <c r="J122" s="41"/>
      <c r="K122" s="41"/>
      <c r="L122" s="41"/>
      <c r="M122" s="41"/>
      <c r="N122" s="41"/>
      <c r="O122" s="41"/>
      <c r="P122" s="41"/>
      <c r="Q122" s="41"/>
      <c r="R122" s="41"/>
      <c r="S122" s="41"/>
    </row>
    <row r="123" spans="1:19" ht="33.950000000000003" customHeight="1">
      <c r="A123" s="103"/>
      <c r="B123" s="41"/>
      <c r="C123" s="41"/>
      <c r="D123" s="41"/>
      <c r="E123" s="41"/>
      <c r="F123" s="41"/>
      <c r="G123" s="41"/>
      <c r="H123" s="41"/>
      <c r="I123" s="41"/>
      <c r="J123" s="41"/>
      <c r="K123" s="41"/>
      <c r="L123" s="41"/>
      <c r="M123" s="41"/>
      <c r="N123" s="41"/>
      <c r="O123" s="41"/>
      <c r="P123" s="41"/>
      <c r="Q123" s="41"/>
      <c r="R123" s="41"/>
      <c r="S123" s="41"/>
    </row>
    <row r="124" spans="1:19" ht="33.950000000000003" customHeight="1">
      <c r="A124" s="103"/>
      <c r="B124" s="41"/>
      <c r="C124" s="41"/>
      <c r="D124" s="41"/>
      <c r="E124" s="41"/>
      <c r="F124" s="41"/>
      <c r="G124" s="41"/>
      <c r="H124" s="41"/>
      <c r="I124" s="41"/>
      <c r="J124" s="41"/>
      <c r="K124" s="41"/>
      <c r="L124" s="41"/>
      <c r="M124" s="41"/>
      <c r="N124" s="41"/>
      <c r="O124" s="41"/>
      <c r="P124" s="41"/>
      <c r="Q124" s="41"/>
      <c r="R124" s="41"/>
      <c r="S124" s="41"/>
    </row>
    <row r="125" spans="1:19" ht="33.950000000000003" customHeight="1">
      <c r="A125" s="103"/>
      <c r="B125" s="41"/>
      <c r="C125" s="41"/>
      <c r="D125" s="41"/>
      <c r="E125" s="41"/>
      <c r="F125" s="41"/>
      <c r="G125" s="41"/>
      <c r="H125" s="41"/>
      <c r="I125" s="41"/>
      <c r="J125" s="41"/>
      <c r="K125" s="41"/>
      <c r="L125" s="41"/>
      <c r="M125" s="41"/>
      <c r="N125" s="41"/>
      <c r="O125" s="41"/>
      <c r="P125" s="41"/>
      <c r="Q125" s="41"/>
      <c r="R125" s="41"/>
      <c r="S125" s="41"/>
    </row>
    <row r="126" spans="1:19" ht="33.950000000000003" customHeight="1">
      <c r="A126" s="103"/>
      <c r="B126" s="41"/>
      <c r="C126" s="41"/>
      <c r="D126" s="41"/>
      <c r="E126" s="41"/>
      <c r="F126" s="41"/>
      <c r="G126" s="41"/>
      <c r="H126" s="41"/>
      <c r="I126" s="41"/>
      <c r="J126" s="41"/>
      <c r="K126" s="41"/>
      <c r="L126" s="41"/>
      <c r="M126" s="41"/>
      <c r="N126" s="41"/>
      <c r="O126" s="41"/>
      <c r="P126" s="41"/>
      <c r="Q126" s="41"/>
      <c r="R126" s="41"/>
      <c r="S126" s="41"/>
    </row>
    <row r="127" spans="1:19" ht="33.950000000000003" hidden="1" customHeight="1">
      <c r="A127" s="103"/>
      <c r="B127" s="41"/>
      <c r="C127" s="41"/>
      <c r="D127" s="41"/>
      <c r="E127" s="41"/>
      <c r="F127" s="41"/>
      <c r="G127" s="41"/>
      <c r="H127" s="41"/>
      <c r="I127" s="41"/>
      <c r="J127" s="41"/>
      <c r="K127" s="41"/>
      <c r="L127" s="41"/>
      <c r="M127" s="41"/>
      <c r="N127" s="41"/>
      <c r="O127" s="41"/>
      <c r="P127" s="41"/>
      <c r="Q127" s="41"/>
      <c r="R127" s="41"/>
      <c r="S127" s="41"/>
    </row>
    <row r="128" spans="1:19" hidden="1">
      <c r="A128" s="103"/>
      <c r="B128" s="41"/>
      <c r="C128" s="41"/>
      <c r="D128" s="41"/>
      <c r="E128" s="41"/>
      <c r="F128" s="41"/>
      <c r="G128" s="41"/>
      <c r="H128" s="41"/>
      <c r="I128" s="41"/>
      <c r="J128" s="41"/>
      <c r="K128" s="41"/>
      <c r="L128" s="41"/>
      <c r="M128" s="41"/>
      <c r="N128" s="41"/>
      <c r="O128" s="41"/>
      <c r="P128" s="41"/>
      <c r="Q128" s="41"/>
      <c r="R128" s="41"/>
      <c r="S128" s="41"/>
    </row>
    <row r="129" spans="1:19" hidden="1">
      <c r="A129" s="103"/>
      <c r="B129" s="41"/>
      <c r="C129" s="41"/>
      <c r="D129" s="41"/>
      <c r="E129" s="41"/>
      <c r="F129" s="41"/>
      <c r="G129" s="41"/>
      <c r="H129" s="41"/>
      <c r="I129" s="41"/>
      <c r="J129" s="41"/>
      <c r="K129" s="41"/>
      <c r="L129" s="41"/>
      <c r="M129" s="41"/>
      <c r="N129" s="41"/>
      <c r="O129" s="41"/>
      <c r="P129" s="41"/>
      <c r="Q129" s="41"/>
      <c r="R129" s="41"/>
      <c r="S129" s="41"/>
    </row>
    <row r="130" spans="1:19" hidden="1">
      <c r="A130" s="103"/>
      <c r="B130" s="41"/>
      <c r="C130" s="41"/>
      <c r="D130" s="41"/>
      <c r="E130" s="41"/>
      <c r="F130" s="41"/>
      <c r="G130" s="41"/>
      <c r="H130" s="41"/>
      <c r="I130" s="41"/>
      <c r="J130" s="41"/>
      <c r="K130" s="41"/>
      <c r="L130" s="41"/>
      <c r="M130" s="41"/>
      <c r="N130" s="41"/>
      <c r="O130" s="41"/>
      <c r="P130" s="41"/>
      <c r="Q130" s="41"/>
      <c r="R130" s="41"/>
      <c r="S130" s="41"/>
    </row>
    <row r="131" spans="1:19" hidden="1">
      <c r="A131" s="103"/>
      <c r="B131" s="41"/>
      <c r="C131" s="41"/>
      <c r="D131" s="41"/>
      <c r="E131" s="41"/>
      <c r="F131" s="41"/>
      <c r="G131" s="41"/>
      <c r="H131" s="41"/>
      <c r="I131" s="41"/>
      <c r="J131" s="41"/>
      <c r="K131" s="41"/>
      <c r="L131" s="41"/>
      <c r="M131" s="41"/>
      <c r="N131" s="41"/>
      <c r="O131" s="41"/>
      <c r="P131" s="41"/>
      <c r="Q131" s="41"/>
      <c r="R131" s="41"/>
      <c r="S131" s="41"/>
    </row>
    <row r="132" spans="1:19" hidden="1">
      <c r="A132" s="103"/>
      <c r="B132" s="41"/>
      <c r="C132" s="41"/>
      <c r="D132" s="41"/>
      <c r="E132" s="41"/>
      <c r="F132" s="41"/>
      <c r="G132" s="41"/>
      <c r="H132" s="41"/>
      <c r="I132" s="41"/>
      <c r="J132" s="41"/>
      <c r="K132" s="41"/>
      <c r="L132" s="41"/>
      <c r="M132" s="41"/>
      <c r="N132" s="41"/>
      <c r="O132" s="41"/>
      <c r="P132" s="41"/>
      <c r="Q132" s="41"/>
      <c r="R132" s="41"/>
      <c r="S132" s="41"/>
    </row>
    <row r="133" spans="1:19" hidden="1">
      <c r="A133" s="103"/>
      <c r="B133" s="41"/>
      <c r="C133" s="41"/>
      <c r="D133" s="41"/>
      <c r="E133" s="41"/>
      <c r="F133" s="41"/>
      <c r="G133" s="41"/>
      <c r="H133" s="41"/>
      <c r="I133" s="41"/>
      <c r="J133" s="41"/>
      <c r="K133" s="41"/>
      <c r="L133" s="41"/>
      <c r="M133" s="41"/>
      <c r="N133" s="41"/>
      <c r="O133" s="41"/>
      <c r="P133" s="41"/>
      <c r="Q133" s="41"/>
      <c r="R133" s="41"/>
      <c r="S133" s="41"/>
    </row>
    <row r="134" spans="1:19" hidden="1">
      <c r="A134" s="103"/>
      <c r="B134" s="41"/>
      <c r="C134" s="41"/>
      <c r="D134" s="41"/>
      <c r="E134" s="41"/>
      <c r="F134" s="41"/>
      <c r="G134" s="41"/>
      <c r="H134" s="41"/>
      <c r="I134" s="41"/>
      <c r="J134" s="41"/>
      <c r="K134" s="41"/>
      <c r="L134" s="41"/>
      <c r="M134" s="41"/>
      <c r="N134" s="41"/>
      <c r="O134" s="41"/>
      <c r="P134" s="41"/>
      <c r="Q134" s="41"/>
      <c r="R134" s="41"/>
      <c r="S134" s="41"/>
    </row>
    <row r="135" spans="1:19" hidden="1">
      <c r="A135" s="103"/>
      <c r="B135" s="41"/>
      <c r="C135" s="41"/>
      <c r="D135" s="41"/>
      <c r="E135" s="41"/>
      <c r="F135" s="41"/>
      <c r="G135" s="41"/>
      <c r="H135" s="41"/>
      <c r="I135" s="41"/>
      <c r="J135" s="41"/>
      <c r="K135" s="41"/>
      <c r="L135" s="41"/>
      <c r="M135" s="41"/>
      <c r="N135" s="41"/>
      <c r="O135" s="41"/>
      <c r="P135" s="41"/>
      <c r="Q135" s="41"/>
      <c r="R135" s="41"/>
      <c r="S135" s="41"/>
    </row>
    <row r="136" spans="1:19" hidden="1">
      <c r="A136" s="103"/>
      <c r="B136" s="41"/>
      <c r="C136" s="41"/>
      <c r="D136" s="41"/>
      <c r="E136" s="41"/>
      <c r="F136" s="41"/>
      <c r="G136" s="41"/>
      <c r="H136" s="41"/>
      <c r="I136" s="41"/>
      <c r="J136" s="41"/>
      <c r="K136" s="41"/>
      <c r="L136" s="41"/>
      <c r="M136" s="41"/>
      <c r="N136" s="41"/>
      <c r="O136" s="41"/>
      <c r="P136" s="41"/>
      <c r="Q136" s="41"/>
      <c r="R136" s="41"/>
      <c r="S136" s="41"/>
    </row>
    <row r="137" spans="1:19" hidden="1">
      <c r="A137" s="103"/>
      <c r="B137" s="41"/>
      <c r="C137" s="41"/>
      <c r="D137" s="41"/>
      <c r="E137" s="41"/>
      <c r="F137" s="41"/>
      <c r="G137" s="41"/>
      <c r="H137" s="41"/>
      <c r="I137" s="41"/>
      <c r="J137" s="41"/>
      <c r="K137" s="41"/>
      <c r="L137" s="41"/>
      <c r="M137" s="41"/>
      <c r="N137" s="41"/>
      <c r="O137" s="41"/>
      <c r="P137" s="41"/>
      <c r="Q137" s="41"/>
      <c r="R137" s="41"/>
      <c r="S137" s="41"/>
    </row>
    <row r="138" spans="1:19" hidden="1">
      <c r="A138" s="103"/>
      <c r="B138" s="41"/>
      <c r="C138" s="41"/>
      <c r="D138" s="41"/>
      <c r="E138" s="41"/>
      <c r="F138" s="41"/>
      <c r="G138" s="41"/>
      <c r="H138" s="41"/>
      <c r="I138" s="41"/>
      <c r="J138" s="41"/>
      <c r="K138" s="41"/>
      <c r="L138" s="41"/>
      <c r="M138" s="41"/>
      <c r="N138" s="41"/>
      <c r="O138" s="41"/>
      <c r="P138" s="41"/>
      <c r="Q138" s="41"/>
      <c r="R138" s="41"/>
      <c r="S138" s="41"/>
    </row>
    <row r="139" spans="1:19" hidden="1">
      <c r="A139" s="103"/>
      <c r="B139" s="41"/>
      <c r="C139" s="41"/>
      <c r="D139" s="41"/>
      <c r="E139" s="41"/>
      <c r="F139" s="41"/>
      <c r="G139" s="41"/>
      <c r="H139" s="41"/>
      <c r="I139" s="41"/>
      <c r="J139" s="41"/>
      <c r="K139" s="41"/>
      <c r="L139" s="41"/>
      <c r="M139" s="41"/>
      <c r="N139" s="41"/>
      <c r="O139" s="41"/>
      <c r="P139" s="41"/>
      <c r="Q139" s="41"/>
      <c r="R139" s="41"/>
      <c r="S139" s="41"/>
    </row>
    <row r="140" spans="1:19" hidden="1">
      <c r="A140" s="103"/>
      <c r="B140" s="41"/>
      <c r="C140" s="41"/>
      <c r="D140" s="41"/>
      <c r="E140" s="41"/>
      <c r="F140" s="41"/>
      <c r="G140" s="41"/>
      <c r="H140" s="41"/>
      <c r="I140" s="41"/>
      <c r="J140" s="41"/>
      <c r="K140" s="41"/>
      <c r="L140" s="41"/>
      <c r="M140" s="41"/>
      <c r="N140" s="41"/>
      <c r="O140" s="41"/>
      <c r="P140" s="41"/>
      <c r="Q140" s="41"/>
      <c r="R140" s="41"/>
      <c r="S140" s="41"/>
    </row>
    <row r="141" spans="1:19" hidden="1">
      <c r="A141" s="103"/>
      <c r="B141" s="41"/>
      <c r="C141" s="41"/>
      <c r="D141" s="41"/>
      <c r="E141" s="41"/>
      <c r="F141" s="41"/>
      <c r="G141" s="41"/>
      <c r="H141" s="41"/>
      <c r="I141" s="41"/>
      <c r="J141" s="41"/>
      <c r="K141" s="41"/>
      <c r="L141" s="41"/>
      <c r="M141" s="41"/>
      <c r="N141" s="41"/>
      <c r="O141" s="41"/>
      <c r="P141" s="41"/>
      <c r="Q141" s="41"/>
      <c r="R141" s="41"/>
      <c r="S141" s="41"/>
    </row>
    <row r="142" spans="1:19" hidden="1">
      <c r="A142" s="103"/>
      <c r="B142" s="41"/>
      <c r="C142" s="41"/>
      <c r="D142" s="41"/>
      <c r="E142" s="41"/>
      <c r="F142" s="41"/>
      <c r="G142" s="41"/>
      <c r="H142" s="41"/>
      <c r="I142" s="41"/>
      <c r="J142" s="41"/>
      <c r="K142" s="41"/>
      <c r="L142" s="41"/>
      <c r="M142" s="41"/>
      <c r="N142" s="41"/>
      <c r="O142" s="41"/>
      <c r="P142" s="41"/>
      <c r="Q142" s="41"/>
      <c r="R142" s="41"/>
      <c r="S142" s="41"/>
    </row>
    <row r="143" spans="1:19" hidden="1">
      <c r="A143" s="103"/>
      <c r="B143" s="41"/>
      <c r="C143" s="41"/>
      <c r="D143" s="41"/>
      <c r="E143" s="41"/>
      <c r="F143" s="41"/>
      <c r="G143" s="41"/>
      <c r="H143" s="41"/>
      <c r="I143" s="41"/>
      <c r="J143" s="41"/>
      <c r="K143" s="41"/>
      <c r="L143" s="41"/>
      <c r="M143" s="41"/>
      <c r="N143" s="41"/>
      <c r="O143" s="41"/>
      <c r="P143" s="41"/>
      <c r="Q143" s="41"/>
      <c r="R143" s="41"/>
      <c r="S143" s="41"/>
    </row>
    <row r="144" spans="1:19">
      <c r="A144" s="103"/>
      <c r="B144" s="41"/>
      <c r="C144" s="41"/>
      <c r="D144" s="41"/>
      <c r="E144" s="41"/>
      <c r="F144" s="41"/>
      <c r="G144" s="41"/>
      <c r="H144" s="41"/>
      <c r="I144" s="41"/>
      <c r="J144" s="41"/>
      <c r="K144" s="41"/>
      <c r="L144" s="41"/>
      <c r="M144" s="41"/>
      <c r="N144" s="41"/>
      <c r="O144" s="41"/>
      <c r="P144" s="41"/>
      <c r="Q144" s="41"/>
      <c r="R144" s="41"/>
      <c r="S144" s="41"/>
    </row>
    <row r="145" spans="1:19">
      <c r="A145" s="103"/>
      <c r="B145" s="41"/>
      <c r="C145" s="41"/>
      <c r="D145" s="41"/>
      <c r="E145" s="41"/>
      <c r="F145" s="41"/>
      <c r="G145" s="41"/>
      <c r="H145" s="41"/>
      <c r="I145" s="41"/>
      <c r="J145" s="41"/>
      <c r="K145" s="41"/>
      <c r="L145" s="41"/>
      <c r="M145" s="41"/>
      <c r="N145" s="41"/>
      <c r="O145" s="41"/>
      <c r="P145" s="41"/>
      <c r="Q145" s="41"/>
      <c r="R145" s="41"/>
      <c r="S145" s="41"/>
    </row>
    <row r="146" spans="1:19">
      <c r="A146" s="103"/>
      <c r="B146" s="41"/>
      <c r="C146" s="41"/>
      <c r="D146" s="41"/>
      <c r="E146" s="41"/>
      <c r="F146" s="41"/>
      <c r="G146" s="41"/>
      <c r="H146" s="41"/>
      <c r="I146" s="41"/>
      <c r="J146" s="41"/>
      <c r="K146" s="41"/>
      <c r="L146" s="41"/>
      <c r="M146" s="41"/>
      <c r="N146" s="41"/>
      <c r="O146" s="41"/>
      <c r="P146" s="41"/>
      <c r="Q146" s="41"/>
      <c r="R146" s="41"/>
      <c r="S146" s="41"/>
    </row>
    <row r="147" spans="1:19">
      <c r="A147" s="103"/>
      <c r="B147" s="41"/>
      <c r="C147" s="41"/>
      <c r="D147" s="41"/>
      <c r="E147" s="41"/>
      <c r="F147" s="41"/>
      <c r="G147" s="41"/>
      <c r="H147" s="41"/>
      <c r="I147" s="41"/>
      <c r="J147" s="41"/>
      <c r="K147" s="41"/>
      <c r="L147" s="41"/>
      <c r="M147" s="41"/>
      <c r="N147" s="41"/>
      <c r="O147" s="41"/>
      <c r="P147" s="41"/>
      <c r="Q147" s="41"/>
      <c r="R147" s="41"/>
      <c r="S147" s="41"/>
    </row>
    <row r="148" spans="1:19" hidden="1">
      <c r="A148" s="103"/>
      <c r="B148" s="41"/>
      <c r="C148" s="41"/>
      <c r="D148" s="41"/>
      <c r="E148" s="41"/>
      <c r="F148" s="41"/>
      <c r="G148" s="41"/>
      <c r="H148" s="41"/>
      <c r="I148" s="41"/>
      <c r="J148" s="41"/>
      <c r="K148" s="41"/>
      <c r="L148" s="41"/>
      <c r="M148" s="41"/>
      <c r="N148" s="41"/>
      <c r="O148" s="41"/>
      <c r="P148" s="41"/>
      <c r="Q148" s="41"/>
      <c r="R148" s="41"/>
      <c r="S148" s="41"/>
    </row>
    <row r="149" spans="1:19" hidden="1">
      <c r="A149" s="103"/>
      <c r="B149" s="41"/>
      <c r="C149" s="41"/>
      <c r="D149" s="41"/>
      <c r="E149" s="41"/>
      <c r="F149" s="41"/>
      <c r="G149" s="41"/>
      <c r="H149" s="41"/>
      <c r="I149" s="41"/>
      <c r="J149" s="41"/>
      <c r="K149" s="41"/>
      <c r="L149" s="41"/>
      <c r="M149" s="41"/>
      <c r="N149" s="41"/>
      <c r="O149" s="41"/>
      <c r="P149" s="41"/>
      <c r="Q149" s="41"/>
      <c r="R149" s="41"/>
      <c r="S149" s="41"/>
    </row>
    <row r="150" spans="1:19">
      <c r="A150" s="103"/>
      <c r="B150" s="41"/>
      <c r="C150" s="41"/>
      <c r="D150" s="41"/>
      <c r="E150" s="41"/>
      <c r="F150" s="41"/>
      <c r="G150" s="41"/>
      <c r="H150" s="41"/>
      <c r="I150" s="41"/>
      <c r="J150" s="41"/>
      <c r="K150" s="41"/>
      <c r="L150" s="41"/>
      <c r="M150" s="41"/>
      <c r="N150" s="41"/>
      <c r="O150" s="41"/>
      <c r="P150" s="41"/>
      <c r="Q150" s="41"/>
      <c r="R150" s="41"/>
      <c r="S150" s="41"/>
    </row>
    <row r="151" spans="1:19" hidden="1">
      <c r="A151" s="103"/>
      <c r="B151" s="41"/>
      <c r="C151" s="41"/>
      <c r="D151" s="41"/>
      <c r="E151" s="41"/>
      <c r="F151" s="41"/>
      <c r="G151" s="41"/>
      <c r="H151" s="41"/>
      <c r="I151" s="41"/>
      <c r="J151" s="41"/>
      <c r="K151" s="41"/>
      <c r="L151" s="41"/>
      <c r="M151" s="41"/>
      <c r="N151" s="41"/>
      <c r="O151" s="41"/>
      <c r="P151" s="41"/>
      <c r="Q151" s="41"/>
      <c r="R151" s="41"/>
      <c r="S151" s="41"/>
    </row>
    <row r="152" spans="1:19" hidden="1">
      <c r="A152" s="103"/>
      <c r="B152" s="41"/>
      <c r="C152" s="41"/>
      <c r="D152" s="41"/>
      <c r="E152" s="41"/>
      <c r="F152" s="41"/>
      <c r="G152" s="41"/>
      <c r="H152" s="41"/>
      <c r="I152" s="41"/>
      <c r="J152" s="41"/>
      <c r="K152" s="41"/>
      <c r="L152" s="41"/>
      <c r="M152" s="41"/>
      <c r="N152" s="41"/>
      <c r="O152" s="41"/>
      <c r="P152" s="41"/>
      <c r="Q152" s="41"/>
      <c r="R152" s="41"/>
      <c r="S152" s="41"/>
    </row>
    <row r="153" spans="1:19">
      <c r="A153" s="103"/>
      <c r="B153" s="41"/>
      <c r="C153" s="41"/>
      <c r="D153" s="41"/>
      <c r="E153" s="41"/>
      <c r="F153" s="41"/>
      <c r="G153" s="41"/>
      <c r="H153" s="41"/>
      <c r="I153" s="41"/>
      <c r="J153" s="41"/>
      <c r="K153" s="41"/>
      <c r="L153" s="41"/>
      <c r="M153" s="41"/>
      <c r="N153" s="41"/>
      <c r="O153" s="41"/>
      <c r="P153" s="41"/>
      <c r="Q153" s="41"/>
      <c r="R153" s="41"/>
      <c r="S153" s="41"/>
    </row>
    <row r="154" spans="1:19">
      <c r="A154" s="103"/>
      <c r="B154" s="41"/>
      <c r="C154" s="41"/>
      <c r="D154" s="41"/>
      <c r="E154" s="41"/>
      <c r="F154" s="41"/>
      <c r="G154" s="41"/>
      <c r="H154" s="41"/>
      <c r="I154" s="41"/>
      <c r="J154" s="41"/>
      <c r="K154" s="41"/>
      <c r="L154" s="41"/>
      <c r="M154" s="41"/>
      <c r="N154" s="41"/>
      <c r="O154" s="41"/>
      <c r="P154" s="41"/>
      <c r="Q154" s="41"/>
      <c r="R154" s="41"/>
      <c r="S154" s="41"/>
    </row>
    <row r="155" spans="1:19" hidden="1">
      <c r="A155" s="103"/>
      <c r="B155" s="41"/>
      <c r="C155" s="41"/>
      <c r="D155" s="41"/>
      <c r="E155" s="41"/>
      <c r="F155" s="41"/>
      <c r="G155" s="41"/>
      <c r="H155" s="41"/>
      <c r="I155" s="41"/>
      <c r="J155" s="41"/>
      <c r="K155" s="41"/>
      <c r="L155" s="41"/>
      <c r="M155" s="41"/>
      <c r="N155" s="41"/>
      <c r="O155" s="41"/>
      <c r="P155" s="41"/>
      <c r="Q155" s="41"/>
      <c r="R155" s="41"/>
      <c r="S155" s="41"/>
    </row>
    <row r="156" spans="1:19" hidden="1">
      <c r="A156" s="103"/>
      <c r="B156" s="41"/>
      <c r="C156" s="41"/>
      <c r="D156" s="41"/>
      <c r="E156" s="41"/>
      <c r="F156" s="41"/>
      <c r="G156" s="41"/>
      <c r="H156" s="41"/>
      <c r="I156" s="41"/>
      <c r="J156" s="41"/>
      <c r="K156" s="41"/>
      <c r="L156" s="41"/>
      <c r="M156" s="41"/>
      <c r="N156" s="41"/>
      <c r="O156" s="41"/>
      <c r="P156" s="41"/>
      <c r="Q156" s="41"/>
      <c r="R156" s="41"/>
      <c r="S156" s="41"/>
    </row>
    <row r="157" spans="1:19" hidden="1">
      <c r="A157" s="103"/>
      <c r="B157" s="41"/>
      <c r="C157" s="41"/>
      <c r="D157" s="41"/>
      <c r="E157" s="41"/>
      <c r="F157" s="41"/>
      <c r="G157" s="41"/>
      <c r="H157" s="41"/>
      <c r="I157" s="41"/>
      <c r="J157" s="41"/>
      <c r="K157" s="41"/>
      <c r="L157" s="41"/>
      <c r="M157" s="41"/>
      <c r="N157" s="41"/>
      <c r="O157" s="41"/>
      <c r="P157" s="41"/>
      <c r="Q157" s="41"/>
      <c r="R157" s="41"/>
      <c r="S157" s="41"/>
    </row>
    <row r="158" spans="1:19" hidden="1">
      <c r="A158" s="103"/>
      <c r="B158" s="41"/>
      <c r="C158" s="41"/>
      <c r="D158" s="41"/>
      <c r="E158" s="41"/>
      <c r="F158" s="41"/>
      <c r="G158" s="41"/>
      <c r="H158" s="41"/>
      <c r="I158" s="41"/>
      <c r="J158" s="41"/>
      <c r="K158" s="41"/>
      <c r="L158" s="41"/>
      <c r="M158" s="41"/>
      <c r="N158" s="41"/>
      <c r="O158" s="41"/>
      <c r="P158" s="41"/>
      <c r="Q158" s="41"/>
      <c r="R158" s="41"/>
      <c r="S158" s="41"/>
    </row>
    <row r="159" spans="1:19" hidden="1">
      <c r="A159" s="103"/>
      <c r="B159" s="41"/>
      <c r="C159" s="41"/>
      <c r="D159" s="41"/>
      <c r="E159" s="41"/>
      <c r="F159" s="41"/>
      <c r="G159" s="41"/>
      <c r="H159" s="41"/>
      <c r="I159" s="41"/>
      <c r="J159" s="41"/>
      <c r="K159" s="41"/>
      <c r="L159" s="41"/>
      <c r="M159" s="41"/>
      <c r="N159" s="41"/>
      <c r="O159" s="41"/>
      <c r="P159" s="41"/>
      <c r="Q159" s="41"/>
      <c r="R159" s="41"/>
      <c r="S159" s="41"/>
    </row>
    <row r="160" spans="1:19" hidden="1">
      <c r="A160" s="103"/>
      <c r="B160" s="41"/>
      <c r="C160" s="41"/>
      <c r="D160" s="41"/>
      <c r="E160" s="41"/>
      <c r="F160" s="41"/>
      <c r="G160" s="41"/>
      <c r="H160" s="41"/>
      <c r="I160" s="41"/>
      <c r="J160" s="41"/>
      <c r="K160" s="41"/>
      <c r="L160" s="41"/>
      <c r="M160" s="41"/>
      <c r="N160" s="41"/>
      <c r="O160" s="41"/>
      <c r="P160" s="41"/>
      <c r="Q160" s="41"/>
      <c r="R160" s="41"/>
      <c r="S160" s="41"/>
    </row>
    <row r="161" spans="1:19" hidden="1">
      <c r="A161" s="103"/>
      <c r="B161" s="41"/>
      <c r="C161" s="41"/>
      <c r="D161" s="41"/>
      <c r="E161" s="41"/>
      <c r="F161" s="41"/>
      <c r="G161" s="41"/>
      <c r="H161" s="41"/>
      <c r="I161" s="41"/>
      <c r="J161" s="41"/>
      <c r="K161" s="41"/>
      <c r="L161" s="41"/>
      <c r="M161" s="41"/>
      <c r="N161" s="41"/>
      <c r="O161" s="41"/>
      <c r="P161" s="41"/>
      <c r="Q161" s="41"/>
      <c r="R161" s="41"/>
      <c r="S161" s="41"/>
    </row>
    <row r="162" spans="1:19">
      <c r="A162" s="103"/>
      <c r="B162" s="41"/>
      <c r="C162" s="41"/>
      <c r="D162" s="41"/>
      <c r="E162" s="41"/>
      <c r="F162" s="41"/>
      <c r="G162" s="41"/>
      <c r="H162" s="41"/>
      <c r="I162" s="41"/>
      <c r="J162" s="41"/>
      <c r="K162" s="41"/>
      <c r="L162" s="41"/>
      <c r="M162" s="41"/>
      <c r="N162" s="41"/>
      <c r="O162" s="41"/>
      <c r="P162" s="41"/>
      <c r="Q162" s="41"/>
      <c r="R162" s="41"/>
      <c r="S162" s="41"/>
    </row>
  </sheetData>
  <sheetProtection algorithmName="SHA-512" hashValue="m8TExc1JjVfTNJ99hSjkJB0jBaAL34J9//ZV19GP90JI4MvnEz14VUpxh60d/YrPu8kLazP2Fe5hqhnt+HoQtQ==" saltValue="e/U7mvOsQQHecqmlESmGHg==" spinCount="100000" sheet="1" objects="1" scenarios="1"/>
  <mergeCells count="17">
    <mergeCell ref="E87:F87"/>
    <mergeCell ref="E37:F37"/>
    <mergeCell ref="E47:F47"/>
    <mergeCell ref="E57:F57"/>
    <mergeCell ref="E17:F17"/>
    <mergeCell ref="H21:I21"/>
    <mergeCell ref="E27:F27"/>
    <mergeCell ref="I6:K6"/>
    <mergeCell ref="E67:F67"/>
    <mergeCell ref="E77:F77"/>
    <mergeCell ref="E7:F7"/>
    <mergeCell ref="H17:K17"/>
    <mergeCell ref="H23:K23"/>
    <mergeCell ref="H24:I24"/>
    <mergeCell ref="E6:F6"/>
    <mergeCell ref="J21:K21"/>
    <mergeCell ref="J24:K24"/>
  </mergeCells>
  <pageMargins left="0.511811024" right="0.511811024" top="0.78740157499999996" bottom="0.78740157499999996" header="0.31496062000000002" footer="0.31496062000000002"/>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sheetPr codeName="Plan3"/>
  <dimension ref="A1:S216"/>
  <sheetViews>
    <sheetView showGridLines="0" zoomScale="90" zoomScaleNormal="90" workbookViewId="0">
      <pane ySplit="3" topLeftCell="A4" activePane="bottomLeft" state="frozen"/>
      <selection pane="bottomLeft"/>
    </sheetView>
  </sheetViews>
  <sheetFormatPr defaultColWidth="0" defaultRowHeight="0" customHeight="1" zeroHeight="1"/>
  <cols>
    <col min="1" max="1" width="27.7109375" style="104" customWidth="1"/>
    <col min="2" max="2" width="2.7109375" customWidth="1"/>
    <col min="3" max="3" width="9.140625" customWidth="1"/>
    <col min="4" max="4" width="50.7109375" customWidth="1"/>
    <col min="5" max="6" width="15.7109375" customWidth="1"/>
    <col min="7" max="7" width="7.85546875" customWidth="1"/>
    <col min="8" max="8" width="9.140625" customWidth="1"/>
    <col min="9" max="9" width="30.7109375" customWidth="1"/>
    <col min="10" max="11" width="15.7109375" customWidth="1"/>
    <col min="12" max="19" width="20.7109375" customWidth="1"/>
    <col min="20" max="16384" width="9.140625" hidden="1"/>
  </cols>
  <sheetData>
    <row r="1" spans="1:19" s="3" customFormat="1" ht="33.950000000000003" customHeight="1">
      <c r="A1" s="103"/>
      <c r="B1" s="58"/>
      <c r="C1" s="59" t="s">
        <v>18</v>
      </c>
      <c r="D1" s="58"/>
      <c r="E1" s="58"/>
      <c r="F1" s="58"/>
      <c r="G1" s="58"/>
      <c r="H1" s="58"/>
      <c r="I1" s="58"/>
      <c r="J1" s="58"/>
      <c r="K1" s="58"/>
      <c r="L1" s="58"/>
      <c r="M1" s="58"/>
      <c r="N1" s="58"/>
      <c r="O1" s="58"/>
      <c r="P1" s="58"/>
      <c r="Q1" s="58"/>
      <c r="R1" s="58"/>
      <c r="S1" s="58"/>
    </row>
    <row r="2" spans="1:19" s="3" customFormat="1" ht="21.6" customHeight="1">
      <c r="A2" s="103"/>
      <c r="B2" s="58"/>
      <c r="C2" s="58"/>
      <c r="D2" s="58"/>
      <c r="E2" s="58"/>
      <c r="F2" s="58"/>
      <c r="G2" s="58"/>
      <c r="H2" s="58"/>
      <c r="I2" s="58"/>
      <c r="J2" s="58"/>
      <c r="K2" s="58"/>
      <c r="L2" s="58"/>
      <c r="M2" s="58"/>
      <c r="N2" s="58"/>
      <c r="O2" s="58"/>
      <c r="P2" s="58"/>
      <c r="Q2" s="58"/>
      <c r="R2" s="58"/>
      <c r="S2" s="58"/>
    </row>
    <row r="3" spans="1:19" s="3" customFormat="1" ht="21.6" customHeight="1">
      <c r="A3" s="103"/>
      <c r="B3" s="58"/>
      <c r="C3" s="58"/>
      <c r="D3" s="58"/>
      <c r="E3" s="58"/>
      <c r="F3" s="58"/>
      <c r="G3" s="58"/>
      <c r="H3" s="58"/>
      <c r="I3" s="58"/>
      <c r="J3" s="58"/>
      <c r="K3" s="58"/>
      <c r="L3" s="58"/>
      <c r="M3" s="58"/>
      <c r="N3" s="58"/>
      <c r="O3" s="58"/>
      <c r="P3" s="58"/>
      <c r="Q3" s="58"/>
      <c r="R3" s="58"/>
      <c r="S3" s="58"/>
    </row>
    <row r="4" spans="1:19" ht="44.25" customHeight="1">
      <c r="A4" s="103"/>
      <c r="B4" s="26"/>
      <c r="C4" s="26"/>
      <c r="D4" s="26"/>
      <c r="E4" s="26"/>
      <c r="F4" s="26"/>
      <c r="G4" s="26"/>
      <c r="H4" s="26"/>
      <c r="I4" s="26"/>
      <c r="J4" s="26"/>
      <c r="K4" s="26"/>
      <c r="L4" s="26"/>
      <c r="M4" s="26"/>
      <c r="N4" s="26"/>
      <c r="O4" s="26"/>
      <c r="P4" s="26"/>
      <c r="Q4" s="26"/>
      <c r="R4" s="26"/>
      <c r="S4" s="26"/>
    </row>
    <row r="5" spans="1:19" ht="15" customHeight="1" thickBot="1">
      <c r="A5" s="103"/>
      <c r="B5" s="41"/>
      <c r="C5" s="41"/>
      <c r="D5" s="41"/>
      <c r="E5" s="41"/>
      <c r="F5" s="41"/>
      <c r="G5" s="41"/>
      <c r="H5" s="41"/>
      <c r="I5" s="41"/>
      <c r="J5" s="41"/>
      <c r="K5" s="41"/>
      <c r="L5" s="41"/>
      <c r="M5" s="41"/>
      <c r="N5" s="41"/>
      <c r="O5" s="41"/>
      <c r="P5" s="41"/>
      <c r="Q5" s="41"/>
      <c r="R5" s="41"/>
      <c r="S5" s="41"/>
    </row>
    <row r="6" spans="1:19" ht="30" customHeight="1" thickTop="1" thickBot="1">
      <c r="A6" s="103"/>
      <c r="B6" s="41"/>
      <c r="C6" s="45">
        <v>2000</v>
      </c>
      <c r="D6" s="60" t="s">
        <v>32</v>
      </c>
      <c r="E6" s="140">
        <f>IF(ISERROR($E$7+$E$17+$E$27+$E$37+$E$47+$E$57+$E$67+$E$77+$E$87+$E$97+$E$107+$E$117+$E$127+$E$137+$E$147),"",$E$7+$E$17+$E$27+$E$37+$E$47+$E$57+$E$67+$E$77+$E$87+$E$97+$E$107+$E$117+$E$127+$E$137+$E$147)</f>
        <v>141500</v>
      </c>
      <c r="F6" s="141"/>
      <c r="G6" s="41"/>
      <c r="H6" s="45">
        <v>2000</v>
      </c>
      <c r="I6" s="141" t="s">
        <v>222</v>
      </c>
      <c r="J6" s="141"/>
      <c r="K6" s="141"/>
      <c r="L6" s="41"/>
      <c r="M6" s="41"/>
      <c r="N6" s="41"/>
      <c r="O6" s="41"/>
      <c r="P6" s="41"/>
      <c r="Q6" s="41"/>
      <c r="R6" s="41"/>
      <c r="S6" s="41"/>
    </row>
    <row r="7" spans="1:19" ht="30" customHeight="1" thickTop="1" thickBot="1">
      <c r="A7" s="103"/>
      <c r="B7" s="41"/>
      <c r="C7" s="10">
        <v>2200</v>
      </c>
      <c r="D7" s="61" t="s">
        <v>187</v>
      </c>
      <c r="E7" s="139">
        <f>IF(ISERROR(SUM(E8:E16)),"",SUM(E8:E16))</f>
        <v>65000</v>
      </c>
      <c r="F7" s="144"/>
      <c r="G7" s="41"/>
      <c r="H7" s="10">
        <v>2200</v>
      </c>
      <c r="I7" s="51" t="s">
        <v>187</v>
      </c>
      <c r="J7" s="48">
        <f>IF(ISERROR($E$7),"",$E$7)</f>
        <v>65000</v>
      </c>
      <c r="K7" s="12">
        <f>IF(ISERROR(J7/$L$7),"",J7/$L$7)</f>
        <v>0.45936395759717313</v>
      </c>
      <c r="L7" s="62">
        <f>IF(ISERROR(SUM($J$7:$J$21)),"",SUM($J$7:$J$21))</f>
        <v>141500</v>
      </c>
      <c r="M7" s="41"/>
      <c r="N7" s="41"/>
      <c r="O7" s="41"/>
      <c r="P7" s="41"/>
      <c r="Q7" s="41"/>
      <c r="R7" s="41"/>
      <c r="S7" s="41"/>
    </row>
    <row r="8" spans="1:19" ht="30" customHeight="1" thickTop="1" thickBot="1">
      <c r="A8" s="103"/>
      <c r="B8" s="41"/>
      <c r="C8" s="11">
        <v>2211</v>
      </c>
      <c r="D8" s="9" t="s">
        <v>188</v>
      </c>
      <c r="E8" s="7"/>
      <c r="F8" s="12">
        <f>IF(ISERROR(E8/$E$7),"",E8/$E$7)</f>
        <v>0</v>
      </c>
      <c r="G8" s="41"/>
      <c r="H8" s="10">
        <v>2220</v>
      </c>
      <c r="I8" s="51" t="s">
        <v>195</v>
      </c>
      <c r="J8" s="48">
        <f>IF(ISERROR($E$17),"",$E$17)</f>
        <v>0</v>
      </c>
      <c r="K8" s="12">
        <f t="shared" ref="K8:K21" si="0">IF(ISERROR(J8/$L$7),"",J8/$L$7)</f>
        <v>0</v>
      </c>
      <c r="L8" s="41"/>
      <c r="M8" s="41"/>
      <c r="N8" s="41"/>
      <c r="O8" s="41"/>
      <c r="P8" s="41"/>
      <c r="Q8" s="41"/>
      <c r="R8" s="41"/>
      <c r="S8" s="41"/>
    </row>
    <row r="9" spans="1:19" ht="30" customHeight="1" thickTop="1" thickBot="1">
      <c r="A9" s="103"/>
      <c r="B9" s="41"/>
      <c r="C9" s="11">
        <v>2212</v>
      </c>
      <c r="D9" s="9" t="s">
        <v>189</v>
      </c>
      <c r="E9" s="7">
        <v>65000</v>
      </c>
      <c r="F9" s="12">
        <f t="shared" ref="F9:F16" si="1">IF(ISERROR(E9/$E$7),"",E9/$E$7)</f>
        <v>1</v>
      </c>
      <c r="G9" s="41"/>
      <c r="H9" s="10">
        <v>2230</v>
      </c>
      <c r="I9" s="51" t="s">
        <v>201</v>
      </c>
      <c r="J9" s="48">
        <f>IF(ISERROR($E$27),"",$E$27)</f>
        <v>0</v>
      </c>
      <c r="K9" s="12">
        <f t="shared" si="0"/>
        <v>0</v>
      </c>
      <c r="L9" s="41"/>
      <c r="M9" s="41"/>
      <c r="N9" s="41"/>
      <c r="O9" s="41"/>
      <c r="P9" s="41"/>
      <c r="Q9" s="41"/>
      <c r="R9" s="41"/>
      <c r="S9" s="41"/>
    </row>
    <row r="10" spans="1:19" ht="30" customHeight="1" thickTop="1" thickBot="1">
      <c r="A10" s="103"/>
      <c r="B10" s="41"/>
      <c r="C10" s="11">
        <v>2213</v>
      </c>
      <c r="D10" s="9" t="s">
        <v>190</v>
      </c>
      <c r="E10" s="7"/>
      <c r="F10" s="12">
        <f t="shared" si="1"/>
        <v>0</v>
      </c>
      <c r="G10" s="41"/>
      <c r="H10" s="10">
        <v>2240</v>
      </c>
      <c r="I10" s="51" t="s">
        <v>33</v>
      </c>
      <c r="J10" s="48">
        <f>IF(ISERROR($E$37),"",$E$37)</f>
        <v>0</v>
      </c>
      <c r="K10" s="12">
        <f t="shared" si="0"/>
        <v>0</v>
      </c>
      <c r="L10" s="41"/>
      <c r="M10" s="41"/>
      <c r="N10" s="41"/>
      <c r="O10" s="41"/>
      <c r="P10" s="41"/>
      <c r="Q10" s="41"/>
      <c r="R10" s="41"/>
      <c r="S10" s="41"/>
    </row>
    <row r="11" spans="1:19" ht="30" customHeight="1" thickTop="1" thickBot="1">
      <c r="A11" s="103"/>
      <c r="B11" s="41"/>
      <c r="C11" s="11">
        <v>2214</v>
      </c>
      <c r="D11" s="63" t="s">
        <v>191</v>
      </c>
      <c r="E11" s="64"/>
      <c r="F11" s="12">
        <f t="shared" si="1"/>
        <v>0</v>
      </c>
      <c r="G11" s="41"/>
      <c r="H11" s="10">
        <v>2250</v>
      </c>
      <c r="I11" s="51" t="s">
        <v>209</v>
      </c>
      <c r="J11" s="48">
        <f>IF(ISERROR($E$47),"",$E$47)</f>
        <v>0</v>
      </c>
      <c r="K11" s="12">
        <f t="shared" si="0"/>
        <v>0</v>
      </c>
      <c r="L11" s="41"/>
      <c r="M11" s="41"/>
      <c r="N11" s="41"/>
      <c r="O11" s="41"/>
      <c r="P11" s="41"/>
      <c r="Q11" s="41"/>
      <c r="R11" s="41"/>
      <c r="S11" s="41"/>
    </row>
    <row r="12" spans="1:19" ht="30" customHeight="1" thickTop="1" thickBot="1">
      <c r="A12" s="103"/>
      <c r="B12" s="41"/>
      <c r="C12" s="11">
        <v>2215</v>
      </c>
      <c r="D12" s="63" t="s">
        <v>192</v>
      </c>
      <c r="E12" s="64"/>
      <c r="F12" s="12">
        <f t="shared" si="1"/>
        <v>0</v>
      </c>
      <c r="G12" s="41"/>
      <c r="H12" s="10">
        <v>2290</v>
      </c>
      <c r="I12" s="51" t="s">
        <v>216</v>
      </c>
      <c r="J12" s="48">
        <f>IF(ISERROR($E$57),"",$E$57)</f>
        <v>0</v>
      </c>
      <c r="K12" s="12">
        <f t="shared" si="0"/>
        <v>0</v>
      </c>
      <c r="L12" s="41"/>
      <c r="M12" s="41"/>
      <c r="N12" s="41"/>
      <c r="O12" s="41"/>
      <c r="P12" s="41"/>
      <c r="Q12" s="41"/>
      <c r="R12" s="41"/>
      <c r="S12" s="41"/>
    </row>
    <row r="13" spans="1:19" ht="30" customHeight="1" thickTop="1" thickBot="1">
      <c r="A13" s="103"/>
      <c r="B13" s="41"/>
      <c r="C13" s="11">
        <v>2216</v>
      </c>
      <c r="D13" s="63"/>
      <c r="E13" s="64"/>
      <c r="F13" s="12">
        <f t="shared" si="1"/>
        <v>0</v>
      </c>
      <c r="G13" s="41"/>
      <c r="H13" s="10">
        <v>2310</v>
      </c>
      <c r="I13" s="51" t="s">
        <v>223</v>
      </c>
      <c r="J13" s="48">
        <f>IF(ISERROR($E$67),"",$E$67)</f>
        <v>0</v>
      </c>
      <c r="K13" s="12">
        <f t="shared" si="0"/>
        <v>0</v>
      </c>
      <c r="L13" s="41"/>
      <c r="M13" s="41"/>
      <c r="N13" s="41"/>
      <c r="O13" s="41"/>
      <c r="P13" s="41"/>
      <c r="Q13" s="41"/>
      <c r="R13" s="41"/>
      <c r="S13" s="41"/>
    </row>
    <row r="14" spans="1:19" ht="30" customHeight="1" thickTop="1" thickBot="1">
      <c r="A14" s="103"/>
      <c r="B14" s="41"/>
      <c r="C14" s="11">
        <v>2217</v>
      </c>
      <c r="D14" s="63" t="s">
        <v>193</v>
      </c>
      <c r="E14" s="64"/>
      <c r="F14" s="12">
        <f t="shared" si="1"/>
        <v>0</v>
      </c>
      <c r="G14" s="41"/>
      <c r="H14" s="10">
        <v>2320</v>
      </c>
      <c r="I14" s="51" t="s">
        <v>56</v>
      </c>
      <c r="J14" s="48">
        <f>IF(ISERROR($E$77),"",$E$77)</f>
        <v>50000</v>
      </c>
      <c r="K14" s="12">
        <f t="shared" si="0"/>
        <v>0.35335689045936397</v>
      </c>
      <c r="L14" s="41"/>
      <c r="M14" s="41"/>
      <c r="N14" s="41"/>
      <c r="O14" s="41"/>
      <c r="P14" s="41"/>
      <c r="Q14" s="41"/>
      <c r="R14" s="41"/>
      <c r="S14" s="41"/>
    </row>
    <row r="15" spans="1:19" ht="30" customHeight="1" thickTop="1" thickBot="1">
      <c r="A15" s="103"/>
      <c r="B15" s="41"/>
      <c r="C15" s="11">
        <v>2218</v>
      </c>
      <c r="D15" s="63"/>
      <c r="E15" s="64"/>
      <c r="F15" s="12">
        <f t="shared" si="1"/>
        <v>0</v>
      </c>
      <c r="G15" s="41"/>
      <c r="H15" s="10">
        <v>2330</v>
      </c>
      <c r="I15" s="51" t="s">
        <v>240</v>
      </c>
      <c r="J15" s="48">
        <f>IF(ISERROR($E$87),"",$E$87)</f>
        <v>18500</v>
      </c>
      <c r="K15" s="12">
        <f t="shared" si="0"/>
        <v>0.13074204946996468</v>
      </c>
      <c r="L15" s="41"/>
      <c r="M15" s="41"/>
      <c r="N15" s="41"/>
      <c r="O15" s="41"/>
      <c r="P15" s="41"/>
      <c r="Q15" s="41"/>
      <c r="R15" s="41"/>
      <c r="S15" s="41"/>
    </row>
    <row r="16" spans="1:19" ht="30" customHeight="1" thickTop="1" thickBot="1">
      <c r="A16" s="103"/>
      <c r="B16" s="41"/>
      <c r="C16" s="11">
        <v>2219</v>
      </c>
      <c r="D16" s="63" t="s">
        <v>194</v>
      </c>
      <c r="E16" s="64"/>
      <c r="F16" s="12">
        <f t="shared" si="1"/>
        <v>0</v>
      </c>
      <c r="G16" s="41"/>
      <c r="H16" s="10">
        <v>2340</v>
      </c>
      <c r="I16" s="51" t="s">
        <v>249</v>
      </c>
      <c r="J16" s="48">
        <f>IF(ISERROR($E$97),"",$E$97)</f>
        <v>20000</v>
      </c>
      <c r="K16" s="12">
        <f t="shared" si="0"/>
        <v>0.14134275618374559</v>
      </c>
      <c r="L16" s="41"/>
      <c r="M16" s="41"/>
      <c r="N16" s="41"/>
      <c r="O16" s="41"/>
      <c r="P16" s="41"/>
      <c r="Q16" s="41"/>
      <c r="R16" s="41"/>
      <c r="S16" s="41"/>
    </row>
    <row r="17" spans="1:19" ht="30" customHeight="1" thickTop="1" thickBot="1">
      <c r="A17" s="103"/>
      <c r="B17" s="41"/>
      <c r="C17" s="10">
        <v>2220</v>
      </c>
      <c r="D17" s="61" t="s">
        <v>195</v>
      </c>
      <c r="E17" s="139">
        <f>IF(ISERROR(SUM(E18:E26)),"",SUM(E18:E26))</f>
        <v>0</v>
      </c>
      <c r="F17" s="144"/>
      <c r="G17" s="41"/>
      <c r="H17" s="10">
        <v>2350</v>
      </c>
      <c r="I17" s="51" t="s">
        <v>257</v>
      </c>
      <c r="J17" s="48">
        <f>IF(ISERROR($E$107),"",$E$107)</f>
        <v>0</v>
      </c>
      <c r="K17" s="12">
        <f t="shared" si="0"/>
        <v>0</v>
      </c>
      <c r="L17" s="41"/>
      <c r="M17" s="41"/>
      <c r="N17" s="41"/>
      <c r="O17" s="41"/>
      <c r="P17" s="41"/>
      <c r="Q17" s="41"/>
      <c r="R17" s="41"/>
      <c r="S17" s="41"/>
    </row>
    <row r="18" spans="1:19" ht="30" customHeight="1" thickTop="1" thickBot="1">
      <c r="A18" s="103"/>
      <c r="B18" s="41"/>
      <c r="C18" s="11">
        <v>2221</v>
      </c>
      <c r="D18" s="63" t="s">
        <v>196</v>
      </c>
      <c r="E18" s="64"/>
      <c r="F18" s="12" t="str">
        <f>IF(ISERROR(E18/$E$17),"",E18/$E$17)</f>
        <v/>
      </c>
      <c r="G18" s="41"/>
      <c r="H18" s="10">
        <v>2360</v>
      </c>
      <c r="I18" s="51" t="s">
        <v>264</v>
      </c>
      <c r="J18" s="48">
        <f>IF(ISERROR($E$117),"",$E$117)</f>
        <v>0</v>
      </c>
      <c r="K18" s="12">
        <f t="shared" si="0"/>
        <v>0</v>
      </c>
      <c r="L18" s="41"/>
      <c r="M18" s="41"/>
      <c r="N18" s="41"/>
      <c r="O18" s="41"/>
      <c r="P18" s="41"/>
      <c r="Q18" s="41"/>
      <c r="R18" s="41"/>
      <c r="S18" s="41"/>
    </row>
    <row r="19" spans="1:19" ht="30" customHeight="1" thickTop="1" thickBot="1">
      <c r="A19" s="103"/>
      <c r="B19" s="41"/>
      <c r="C19" s="11">
        <v>2222</v>
      </c>
      <c r="D19" s="63" t="s">
        <v>197</v>
      </c>
      <c r="E19" s="64"/>
      <c r="F19" s="12" t="str">
        <f t="shared" ref="F19:F26" si="2">IF(ISERROR(E19/$E$17),"",E19/$E$17)</f>
        <v/>
      </c>
      <c r="G19" s="41"/>
      <c r="H19" s="10">
        <v>2370</v>
      </c>
      <c r="I19" s="51" t="s">
        <v>269</v>
      </c>
      <c r="J19" s="48">
        <f>IF(ISERROR($E$127),"",$E$127)</f>
        <v>0</v>
      </c>
      <c r="K19" s="12">
        <f t="shared" si="0"/>
        <v>0</v>
      </c>
      <c r="L19" s="41"/>
      <c r="M19" s="41"/>
      <c r="N19" s="41"/>
      <c r="O19" s="41"/>
      <c r="P19" s="41"/>
      <c r="Q19" s="41"/>
      <c r="R19" s="41"/>
      <c r="S19" s="41"/>
    </row>
    <row r="20" spans="1:19" ht="30" customHeight="1" thickTop="1" thickBot="1">
      <c r="A20" s="103"/>
      <c r="B20" s="41"/>
      <c r="C20" s="11">
        <v>2223</v>
      </c>
      <c r="D20" s="63" t="s">
        <v>198</v>
      </c>
      <c r="E20" s="64"/>
      <c r="F20" s="12" t="str">
        <f t="shared" si="2"/>
        <v/>
      </c>
      <c r="G20" s="41"/>
      <c r="H20" s="10">
        <v>2380</v>
      </c>
      <c r="I20" s="18" t="s">
        <v>270</v>
      </c>
      <c r="J20" s="48">
        <f>IF(ISERROR($E$137),"",$E$137)</f>
        <v>0</v>
      </c>
      <c r="K20" s="12">
        <f t="shared" si="0"/>
        <v>0</v>
      </c>
      <c r="L20" s="41"/>
      <c r="M20" s="41"/>
      <c r="N20" s="41"/>
      <c r="O20" s="41"/>
      <c r="P20" s="41"/>
      <c r="Q20" s="41"/>
      <c r="R20" s="41"/>
      <c r="S20" s="41"/>
    </row>
    <row r="21" spans="1:19" ht="30" customHeight="1" thickTop="1" thickBot="1">
      <c r="A21" s="103"/>
      <c r="B21" s="41"/>
      <c r="C21" s="11">
        <v>2224</v>
      </c>
      <c r="D21" s="63" t="s">
        <v>199</v>
      </c>
      <c r="E21" s="64"/>
      <c r="F21" s="12" t="str">
        <f t="shared" si="2"/>
        <v/>
      </c>
      <c r="G21" s="41"/>
      <c r="H21" s="10">
        <v>2390</v>
      </c>
      <c r="I21" s="18" t="s">
        <v>271</v>
      </c>
      <c r="J21" s="48">
        <f>IF(ISERROR($E$147),"",$E$147)</f>
        <v>-12000</v>
      </c>
      <c r="K21" s="12">
        <f t="shared" si="0"/>
        <v>-8.4805653710247356E-2</v>
      </c>
      <c r="L21" s="41"/>
      <c r="M21" s="41"/>
      <c r="N21" s="41"/>
      <c r="O21" s="41"/>
      <c r="P21" s="41"/>
      <c r="Q21" s="41"/>
      <c r="R21" s="41"/>
      <c r="S21" s="41"/>
    </row>
    <row r="22" spans="1:19" ht="30" customHeight="1" thickTop="1" thickBot="1">
      <c r="A22" s="103"/>
      <c r="B22" s="41"/>
      <c r="C22" s="11">
        <v>2225</v>
      </c>
      <c r="D22" s="63"/>
      <c r="E22" s="64"/>
      <c r="F22" s="12" t="str">
        <f t="shared" si="2"/>
        <v/>
      </c>
      <c r="G22" s="41"/>
      <c r="H22" s="41"/>
      <c r="I22" s="41"/>
      <c r="J22" s="41"/>
      <c r="K22" s="41"/>
      <c r="L22" s="41"/>
      <c r="M22" s="41"/>
      <c r="N22" s="41"/>
      <c r="O22" s="41"/>
      <c r="P22" s="41"/>
      <c r="Q22" s="41"/>
      <c r="R22" s="41"/>
      <c r="S22" s="41"/>
    </row>
    <row r="23" spans="1:19" ht="30" customHeight="1" thickTop="1" thickBot="1">
      <c r="A23" s="103"/>
      <c r="B23" s="41"/>
      <c r="C23" s="11">
        <v>2226</v>
      </c>
      <c r="D23" s="63"/>
      <c r="E23" s="64"/>
      <c r="F23" s="12" t="str">
        <f t="shared" si="2"/>
        <v/>
      </c>
      <c r="G23" s="41"/>
      <c r="H23" s="45">
        <v>2200</v>
      </c>
      <c r="I23" s="132" t="s">
        <v>399</v>
      </c>
      <c r="J23" s="133"/>
      <c r="K23" s="133"/>
      <c r="L23" s="41"/>
      <c r="M23" s="41"/>
      <c r="N23" s="41"/>
      <c r="O23" s="41"/>
      <c r="P23" s="41"/>
      <c r="Q23" s="41"/>
      <c r="R23" s="41"/>
      <c r="S23" s="41"/>
    </row>
    <row r="24" spans="1:19" ht="30" customHeight="1" thickTop="1" thickBot="1">
      <c r="A24" s="103"/>
      <c r="B24" s="41"/>
      <c r="C24" s="11">
        <v>2227</v>
      </c>
      <c r="D24" s="63"/>
      <c r="E24" s="64"/>
      <c r="F24" s="12" t="str">
        <f t="shared" si="2"/>
        <v/>
      </c>
      <c r="G24" s="41"/>
      <c r="H24" s="10">
        <v>2210</v>
      </c>
      <c r="I24" s="51" t="s">
        <v>187</v>
      </c>
      <c r="J24" s="48">
        <f>IF(ISERROR($E$7),"",$E$7)</f>
        <v>65000</v>
      </c>
      <c r="K24" s="12">
        <f>IF(ISERROR(J24/$J$30),"",J24/$J$30)</f>
        <v>1</v>
      </c>
      <c r="L24" s="41"/>
      <c r="M24" s="41"/>
      <c r="N24" s="41"/>
      <c r="O24" s="41"/>
      <c r="P24" s="41"/>
      <c r="Q24" s="41"/>
      <c r="R24" s="41"/>
      <c r="S24" s="41"/>
    </row>
    <row r="25" spans="1:19" ht="30" customHeight="1" thickTop="1" thickBot="1">
      <c r="A25" s="103"/>
      <c r="B25" s="41"/>
      <c r="C25" s="11">
        <v>2228</v>
      </c>
      <c r="D25" s="63"/>
      <c r="E25" s="64"/>
      <c r="F25" s="12" t="str">
        <f t="shared" si="2"/>
        <v/>
      </c>
      <c r="G25" s="41"/>
      <c r="H25" s="10">
        <v>2220</v>
      </c>
      <c r="I25" s="51" t="s">
        <v>195</v>
      </c>
      <c r="J25" s="48">
        <f>IF(ISERROR($E$17),"",$E$17)</f>
        <v>0</v>
      </c>
      <c r="K25" s="12">
        <f t="shared" ref="K25:K29" si="3">IF(ISERROR(J25/$J$30),"",J25/$J$30)</f>
        <v>0</v>
      </c>
      <c r="L25" s="41"/>
      <c r="M25" s="41"/>
      <c r="N25" s="41"/>
      <c r="O25" s="41"/>
      <c r="P25" s="41"/>
      <c r="Q25" s="41"/>
      <c r="R25" s="41"/>
      <c r="S25" s="41"/>
    </row>
    <row r="26" spans="1:19" ht="30" customHeight="1" thickTop="1" thickBot="1">
      <c r="A26" s="103"/>
      <c r="B26" s="41"/>
      <c r="C26" s="11">
        <v>2229</v>
      </c>
      <c r="D26" s="63" t="s">
        <v>200</v>
      </c>
      <c r="E26" s="64"/>
      <c r="F26" s="12" t="str">
        <f t="shared" si="2"/>
        <v/>
      </c>
      <c r="G26" s="41"/>
      <c r="H26" s="10">
        <v>2230</v>
      </c>
      <c r="I26" s="51" t="s">
        <v>201</v>
      </c>
      <c r="J26" s="48">
        <f>IF(ISERROR($E$27),"",$E$27)</f>
        <v>0</v>
      </c>
      <c r="K26" s="12">
        <f t="shared" si="3"/>
        <v>0</v>
      </c>
      <c r="L26" s="41"/>
      <c r="M26" s="41"/>
      <c r="N26" s="41"/>
      <c r="O26" s="41"/>
      <c r="P26" s="41"/>
      <c r="Q26" s="41"/>
      <c r="R26" s="41"/>
      <c r="S26" s="41"/>
    </row>
    <row r="27" spans="1:19" ht="30" customHeight="1" thickTop="1" thickBot="1">
      <c r="A27" s="103"/>
      <c r="B27" s="41"/>
      <c r="C27" s="10">
        <v>2230</v>
      </c>
      <c r="D27" s="52" t="s">
        <v>201</v>
      </c>
      <c r="E27" s="139">
        <f>IF(ISERROR(SUM(E28:E36)),"",SUM(E28:E36))</f>
        <v>0</v>
      </c>
      <c r="F27" s="144"/>
      <c r="G27" s="41"/>
      <c r="H27" s="10">
        <v>2240</v>
      </c>
      <c r="I27" s="51" t="s">
        <v>33</v>
      </c>
      <c r="J27" s="48">
        <f>IF(ISERROR($E$37),"",$E$37)</f>
        <v>0</v>
      </c>
      <c r="K27" s="12">
        <f t="shared" si="3"/>
        <v>0</v>
      </c>
      <c r="L27" s="41"/>
      <c r="M27" s="41"/>
      <c r="N27" s="41"/>
      <c r="O27" s="41"/>
      <c r="P27" s="41"/>
      <c r="Q27" s="41"/>
      <c r="R27" s="41"/>
      <c r="S27" s="41"/>
    </row>
    <row r="28" spans="1:19" ht="30" customHeight="1" thickTop="1" thickBot="1">
      <c r="A28" s="103"/>
      <c r="B28" s="41"/>
      <c r="C28" s="11">
        <v>2231</v>
      </c>
      <c r="D28" s="63" t="s">
        <v>202</v>
      </c>
      <c r="E28" s="64"/>
      <c r="F28" s="12" t="str">
        <f>IF(ISERROR(E28/$E$27),"",E28/$E$27)</f>
        <v/>
      </c>
      <c r="G28" s="41"/>
      <c r="H28" s="10">
        <v>2250</v>
      </c>
      <c r="I28" s="51" t="s">
        <v>209</v>
      </c>
      <c r="J28" s="48">
        <f>IF(ISERROR($E$47),"",$E$47)</f>
        <v>0</v>
      </c>
      <c r="K28" s="12">
        <f t="shared" si="3"/>
        <v>0</v>
      </c>
      <c r="L28" s="41"/>
      <c r="M28" s="41"/>
      <c r="N28" s="41"/>
      <c r="O28" s="41"/>
      <c r="P28" s="41"/>
      <c r="Q28" s="41"/>
      <c r="R28" s="41"/>
      <c r="S28" s="41"/>
    </row>
    <row r="29" spans="1:19" ht="30" customHeight="1" thickTop="1" thickBot="1">
      <c r="A29" s="103"/>
      <c r="B29" s="41"/>
      <c r="C29" s="11">
        <v>2232</v>
      </c>
      <c r="D29" s="63" t="s">
        <v>203</v>
      </c>
      <c r="E29" s="64"/>
      <c r="F29" s="12" t="str">
        <f t="shared" ref="F29:F36" si="4">IF(ISERROR(E29/$E$27),"",E29/$E$27)</f>
        <v/>
      </c>
      <c r="G29" s="41"/>
      <c r="H29" s="10">
        <v>2290</v>
      </c>
      <c r="I29" s="51" t="s">
        <v>216</v>
      </c>
      <c r="J29" s="48">
        <f>IF(ISERROR($E$57),"",$E$57)</f>
        <v>0</v>
      </c>
      <c r="K29" s="12">
        <f t="shared" si="3"/>
        <v>0</v>
      </c>
      <c r="L29" s="41"/>
      <c r="M29" s="41"/>
      <c r="N29" s="41"/>
      <c r="O29" s="41"/>
      <c r="P29" s="41"/>
      <c r="Q29" s="41"/>
      <c r="R29" s="41"/>
      <c r="S29" s="41"/>
    </row>
    <row r="30" spans="1:19" ht="30" customHeight="1" thickTop="1" thickBot="1">
      <c r="A30" s="103"/>
      <c r="B30" s="41"/>
      <c r="C30" s="11">
        <v>2233</v>
      </c>
      <c r="D30" s="63" t="s">
        <v>204</v>
      </c>
      <c r="E30" s="64"/>
      <c r="F30" s="12" t="str">
        <f t="shared" si="4"/>
        <v/>
      </c>
      <c r="G30" s="41"/>
      <c r="H30" s="143" t="s">
        <v>34</v>
      </c>
      <c r="I30" s="143"/>
      <c r="J30" s="137">
        <f>IF(ISERROR(SUM($J$24:$J$29)),"",SUM($J$24:$J$29))</f>
        <v>65000</v>
      </c>
      <c r="K30" s="138"/>
      <c r="L30" s="41"/>
      <c r="M30" s="41"/>
      <c r="N30" s="41"/>
      <c r="O30" s="41"/>
      <c r="P30" s="41"/>
      <c r="Q30" s="41"/>
      <c r="R30" s="41"/>
      <c r="S30" s="41"/>
    </row>
    <row r="31" spans="1:19" ht="30" customHeight="1" thickTop="1" thickBot="1">
      <c r="A31" s="103"/>
      <c r="B31" s="41"/>
      <c r="C31" s="11">
        <v>2234</v>
      </c>
      <c r="D31" s="63"/>
      <c r="E31" s="64"/>
      <c r="F31" s="12" t="str">
        <f t="shared" si="4"/>
        <v/>
      </c>
      <c r="G31" s="41"/>
      <c r="H31" s="41"/>
      <c r="I31" s="41"/>
      <c r="J31" s="41"/>
      <c r="K31" s="41"/>
      <c r="L31" s="41"/>
      <c r="M31" s="41"/>
      <c r="N31" s="41"/>
      <c r="O31" s="41"/>
      <c r="P31" s="41"/>
      <c r="Q31" s="41"/>
      <c r="R31" s="41"/>
      <c r="S31" s="41"/>
    </row>
    <row r="32" spans="1:19" ht="30" customHeight="1" thickTop="1" thickBot="1">
      <c r="A32" s="103"/>
      <c r="B32" s="41"/>
      <c r="C32" s="11">
        <v>2235</v>
      </c>
      <c r="D32" s="63"/>
      <c r="E32" s="64"/>
      <c r="F32" s="12" t="str">
        <f t="shared" si="4"/>
        <v/>
      </c>
      <c r="G32" s="41"/>
      <c r="H32" s="45">
        <v>2300</v>
      </c>
      <c r="I32" s="132" t="s">
        <v>54</v>
      </c>
      <c r="J32" s="133"/>
      <c r="K32" s="134"/>
      <c r="L32" s="41"/>
      <c r="M32" s="41"/>
      <c r="N32" s="41"/>
      <c r="O32" s="41"/>
      <c r="P32" s="41"/>
      <c r="Q32" s="41"/>
      <c r="R32" s="41"/>
      <c r="S32" s="41"/>
    </row>
    <row r="33" spans="1:19" ht="30" customHeight="1" thickTop="1" thickBot="1">
      <c r="A33" s="103"/>
      <c r="B33" s="41"/>
      <c r="C33" s="11">
        <v>2236</v>
      </c>
      <c r="D33" s="63"/>
      <c r="E33" s="64"/>
      <c r="F33" s="12" t="str">
        <f t="shared" si="4"/>
        <v/>
      </c>
      <c r="G33" s="41"/>
      <c r="H33" s="10">
        <v>2310</v>
      </c>
      <c r="I33" s="51" t="s">
        <v>223</v>
      </c>
      <c r="J33" s="48">
        <f>IF(ISERROR($E$67),"",$E$67)</f>
        <v>0</v>
      </c>
      <c r="K33" s="12">
        <f t="shared" ref="K33:K41" si="5">IF(ISERROR(J33/$J$42),"",J33/$J$42)</f>
        <v>0</v>
      </c>
      <c r="L33" s="41"/>
      <c r="M33" s="41"/>
      <c r="N33" s="41"/>
      <c r="O33" s="41"/>
      <c r="P33" s="41"/>
      <c r="Q33" s="41"/>
      <c r="R33" s="41"/>
      <c r="S33" s="41"/>
    </row>
    <row r="34" spans="1:19" ht="30" customHeight="1" thickTop="1" thickBot="1">
      <c r="A34" s="103"/>
      <c r="B34" s="41"/>
      <c r="C34" s="11">
        <v>2237</v>
      </c>
      <c r="D34" s="63"/>
      <c r="E34" s="64"/>
      <c r="F34" s="12" t="str">
        <f t="shared" si="4"/>
        <v/>
      </c>
      <c r="G34" s="41"/>
      <c r="H34" s="10">
        <v>2320</v>
      </c>
      <c r="I34" s="51" t="s">
        <v>56</v>
      </c>
      <c r="J34" s="48">
        <f>IF(ISERROR($E$77),"",$E$77)</f>
        <v>50000</v>
      </c>
      <c r="K34" s="12">
        <f t="shared" si="5"/>
        <v>0.65359477124183007</v>
      </c>
      <c r="L34" s="41"/>
      <c r="M34" s="41"/>
      <c r="N34" s="41"/>
      <c r="O34" s="41"/>
      <c r="P34" s="41"/>
      <c r="Q34" s="41"/>
      <c r="R34" s="41"/>
      <c r="S34" s="41"/>
    </row>
    <row r="35" spans="1:19" ht="30" customHeight="1" thickTop="1" thickBot="1">
      <c r="A35" s="103"/>
      <c r="B35" s="41"/>
      <c r="C35" s="11">
        <v>2238</v>
      </c>
      <c r="D35" s="63"/>
      <c r="E35" s="64"/>
      <c r="F35" s="12" t="str">
        <f t="shared" si="4"/>
        <v/>
      </c>
      <c r="G35" s="41"/>
      <c r="H35" s="10">
        <v>2330</v>
      </c>
      <c r="I35" s="51" t="s">
        <v>240</v>
      </c>
      <c r="J35" s="48">
        <f>IF(ISERROR($E$87),"",$E$87)</f>
        <v>18500</v>
      </c>
      <c r="K35" s="12">
        <f t="shared" si="5"/>
        <v>0.24183006535947713</v>
      </c>
      <c r="L35" s="41"/>
      <c r="M35" s="41"/>
      <c r="N35" s="41"/>
      <c r="O35" s="41"/>
      <c r="P35" s="41"/>
      <c r="Q35" s="41"/>
      <c r="R35" s="41"/>
      <c r="S35" s="41"/>
    </row>
    <row r="36" spans="1:19" ht="30" customHeight="1" thickTop="1" thickBot="1">
      <c r="A36" s="103"/>
      <c r="B36" s="41"/>
      <c r="C36" s="11">
        <v>2239</v>
      </c>
      <c r="D36" s="63" t="s">
        <v>205</v>
      </c>
      <c r="E36" s="64"/>
      <c r="F36" s="12" t="str">
        <f t="shared" si="4"/>
        <v/>
      </c>
      <c r="G36" s="41"/>
      <c r="H36" s="10">
        <v>2340</v>
      </c>
      <c r="I36" s="51" t="s">
        <v>249</v>
      </c>
      <c r="J36" s="48">
        <f>IF(ISERROR($E$97),"",$E$97)</f>
        <v>20000</v>
      </c>
      <c r="K36" s="12">
        <f t="shared" si="5"/>
        <v>0.26143790849673204</v>
      </c>
      <c r="L36" s="41"/>
      <c r="M36" s="41"/>
      <c r="N36" s="41"/>
      <c r="O36" s="41"/>
      <c r="P36" s="41"/>
      <c r="Q36" s="41"/>
      <c r="R36" s="41"/>
      <c r="S36" s="41"/>
    </row>
    <row r="37" spans="1:19" ht="30" customHeight="1" thickTop="1" thickBot="1">
      <c r="A37" s="103"/>
      <c r="B37" s="41"/>
      <c r="C37" s="10">
        <v>2240</v>
      </c>
      <c r="D37" s="61" t="s">
        <v>33</v>
      </c>
      <c r="E37" s="139">
        <f>IF(ISERROR(SUM(E38:E46)),"",SUM(E38:E46))</f>
        <v>0</v>
      </c>
      <c r="F37" s="144"/>
      <c r="G37" s="41"/>
      <c r="H37" s="10">
        <v>2350</v>
      </c>
      <c r="I37" s="51" t="s">
        <v>257</v>
      </c>
      <c r="J37" s="48">
        <f>IF(ISERROR($E$107),"",$E$107)</f>
        <v>0</v>
      </c>
      <c r="K37" s="12">
        <f t="shared" si="5"/>
        <v>0</v>
      </c>
      <c r="L37" s="41"/>
      <c r="M37" s="41"/>
      <c r="N37" s="41"/>
      <c r="O37" s="41"/>
      <c r="P37" s="41"/>
      <c r="Q37" s="41"/>
      <c r="R37" s="41"/>
      <c r="S37" s="41"/>
    </row>
    <row r="38" spans="1:19" ht="30" customHeight="1" thickTop="1" thickBot="1">
      <c r="A38" s="103"/>
      <c r="B38" s="41"/>
      <c r="C38" s="11">
        <v>2241</v>
      </c>
      <c r="D38" s="63" t="s">
        <v>206</v>
      </c>
      <c r="E38" s="64"/>
      <c r="F38" s="12" t="str">
        <f>IF(ISERROR(E38/$E$37),"",E38/$E$37)</f>
        <v/>
      </c>
      <c r="G38" s="41"/>
      <c r="H38" s="10">
        <v>2360</v>
      </c>
      <c r="I38" s="51" t="s">
        <v>264</v>
      </c>
      <c r="J38" s="48">
        <f>IF(ISERROR($E$117),"",$E$117)</f>
        <v>0</v>
      </c>
      <c r="K38" s="12">
        <f t="shared" si="5"/>
        <v>0</v>
      </c>
      <c r="L38" s="41"/>
      <c r="M38" s="41"/>
      <c r="N38" s="41"/>
      <c r="O38" s="41"/>
      <c r="P38" s="41"/>
      <c r="Q38" s="41"/>
      <c r="R38" s="41"/>
      <c r="S38" s="41"/>
    </row>
    <row r="39" spans="1:19" ht="30" customHeight="1" thickTop="1" thickBot="1">
      <c r="A39" s="103"/>
      <c r="B39" s="41"/>
      <c r="C39" s="11">
        <v>2242</v>
      </c>
      <c r="D39" s="63" t="s">
        <v>207</v>
      </c>
      <c r="E39" s="64"/>
      <c r="F39" s="12" t="str">
        <f t="shared" ref="F39:F46" si="6">IF(ISERROR(E39/$E$37),"",E39/$E$37)</f>
        <v/>
      </c>
      <c r="G39" s="41"/>
      <c r="H39" s="10">
        <v>2370</v>
      </c>
      <c r="I39" s="51" t="s">
        <v>269</v>
      </c>
      <c r="J39" s="48">
        <f>IF(ISERROR($E$127),"",$E$127)</f>
        <v>0</v>
      </c>
      <c r="K39" s="12">
        <f t="shared" si="5"/>
        <v>0</v>
      </c>
      <c r="L39" s="41"/>
      <c r="M39" s="41"/>
      <c r="N39" s="41"/>
      <c r="O39" s="41"/>
      <c r="P39" s="41"/>
      <c r="Q39" s="41"/>
      <c r="R39" s="41"/>
      <c r="S39" s="41"/>
    </row>
    <row r="40" spans="1:19" ht="30" customHeight="1" thickTop="1" thickBot="1">
      <c r="A40" s="103"/>
      <c r="B40" s="41"/>
      <c r="C40" s="11">
        <v>2243</v>
      </c>
      <c r="D40" s="63"/>
      <c r="E40" s="64"/>
      <c r="F40" s="12" t="str">
        <f t="shared" si="6"/>
        <v/>
      </c>
      <c r="G40" s="41"/>
      <c r="H40" s="10">
        <v>2380</v>
      </c>
      <c r="I40" s="18" t="s">
        <v>270</v>
      </c>
      <c r="J40" s="48">
        <f>IF(ISERROR($E$137),"",$E$137)</f>
        <v>0</v>
      </c>
      <c r="K40" s="12">
        <f t="shared" si="5"/>
        <v>0</v>
      </c>
      <c r="L40" s="41"/>
      <c r="M40" s="41"/>
      <c r="N40" s="41"/>
      <c r="O40" s="41"/>
      <c r="P40" s="41"/>
      <c r="Q40" s="41"/>
      <c r="R40" s="41"/>
      <c r="S40" s="41"/>
    </row>
    <row r="41" spans="1:19" ht="30" customHeight="1" thickTop="1" thickBot="1">
      <c r="A41" s="103"/>
      <c r="B41" s="41"/>
      <c r="C41" s="11">
        <v>2244</v>
      </c>
      <c r="D41" s="63"/>
      <c r="E41" s="64"/>
      <c r="F41" s="12" t="str">
        <f t="shared" si="6"/>
        <v/>
      </c>
      <c r="G41" s="41"/>
      <c r="H41" s="10">
        <v>2390</v>
      </c>
      <c r="I41" s="18" t="s">
        <v>271</v>
      </c>
      <c r="J41" s="48">
        <f>IF(ISERROR($E$147),"",$E$147)</f>
        <v>-12000</v>
      </c>
      <c r="K41" s="12">
        <f t="shared" si="5"/>
        <v>-0.15686274509803921</v>
      </c>
      <c r="L41" s="41"/>
      <c r="M41" s="41"/>
      <c r="N41" s="41"/>
      <c r="O41" s="41"/>
      <c r="P41" s="41"/>
      <c r="Q41" s="41"/>
      <c r="R41" s="41"/>
      <c r="S41" s="41"/>
    </row>
    <row r="42" spans="1:19" ht="30" customHeight="1" thickTop="1" thickBot="1">
      <c r="A42" s="103"/>
      <c r="B42" s="41"/>
      <c r="C42" s="11">
        <v>2245</v>
      </c>
      <c r="D42" s="63"/>
      <c r="E42" s="64"/>
      <c r="F42" s="12" t="str">
        <f t="shared" si="6"/>
        <v/>
      </c>
      <c r="G42" s="41"/>
      <c r="H42" s="145" t="s">
        <v>34</v>
      </c>
      <c r="I42" s="145"/>
      <c r="J42" s="146">
        <f>IF(ISERROR(SUM($J$33:$J$41)),"",SUM($J$33:$J$41))</f>
        <v>76500</v>
      </c>
      <c r="K42" s="146"/>
      <c r="L42" s="41"/>
      <c r="M42" s="41"/>
      <c r="N42" s="41"/>
      <c r="O42" s="41"/>
      <c r="P42" s="41"/>
      <c r="Q42" s="41"/>
      <c r="R42" s="41"/>
      <c r="S42" s="41"/>
    </row>
    <row r="43" spans="1:19" ht="30" customHeight="1" thickTop="1" thickBot="1">
      <c r="A43" s="103"/>
      <c r="B43" s="41"/>
      <c r="C43" s="11">
        <v>2246</v>
      </c>
      <c r="D43" s="63"/>
      <c r="E43" s="64"/>
      <c r="F43" s="12" t="str">
        <f t="shared" si="6"/>
        <v/>
      </c>
      <c r="G43" s="41"/>
      <c r="H43" s="41"/>
      <c r="I43" s="41"/>
      <c r="J43" s="41"/>
      <c r="K43" s="41"/>
      <c r="L43" s="41"/>
      <c r="M43" s="41"/>
      <c r="N43" s="41"/>
      <c r="O43" s="41"/>
      <c r="P43" s="41"/>
      <c r="Q43" s="41"/>
      <c r="R43" s="41"/>
      <c r="S43" s="41"/>
    </row>
    <row r="44" spans="1:19" ht="30" customHeight="1" thickTop="1" thickBot="1">
      <c r="A44" s="103"/>
      <c r="B44" s="41"/>
      <c r="C44" s="11">
        <v>2247</v>
      </c>
      <c r="D44" s="63"/>
      <c r="E44" s="64"/>
      <c r="F44" s="12" t="str">
        <f t="shared" si="6"/>
        <v/>
      </c>
      <c r="G44" s="41"/>
      <c r="H44" s="142" t="s">
        <v>185</v>
      </c>
      <c r="I44" s="142"/>
      <c r="J44" s="142"/>
      <c r="K44" s="142"/>
      <c r="L44" s="41"/>
      <c r="M44" s="41"/>
      <c r="N44" s="41"/>
      <c r="O44" s="41"/>
      <c r="P44" s="41"/>
      <c r="Q44" s="41"/>
      <c r="R44" s="41"/>
      <c r="S44" s="41"/>
    </row>
    <row r="45" spans="1:19" ht="30" customHeight="1" thickTop="1" thickBot="1">
      <c r="A45" s="103"/>
      <c r="B45" s="41"/>
      <c r="C45" s="11">
        <v>2248</v>
      </c>
      <c r="D45" s="63"/>
      <c r="E45" s="64"/>
      <c r="F45" s="12" t="str">
        <f t="shared" si="6"/>
        <v/>
      </c>
      <c r="G45" s="41"/>
      <c r="H45" s="143" t="s">
        <v>34</v>
      </c>
      <c r="I45" s="143"/>
      <c r="J45" s="137">
        <f>IF(ISERROR(SUM($J$7:$J$21)),"",SUM($J$7:$J$21))</f>
        <v>141500</v>
      </c>
      <c r="K45" s="138"/>
      <c r="L45" s="41"/>
      <c r="M45" s="41"/>
      <c r="N45" s="41"/>
      <c r="O45" s="41"/>
      <c r="P45" s="41"/>
      <c r="Q45" s="41"/>
      <c r="R45" s="41"/>
      <c r="S45" s="41"/>
    </row>
    <row r="46" spans="1:19" ht="30" customHeight="1" thickTop="1" thickBot="1">
      <c r="A46" s="103"/>
      <c r="B46" s="41"/>
      <c r="C46" s="11">
        <v>2249</v>
      </c>
      <c r="D46" s="63" t="s">
        <v>208</v>
      </c>
      <c r="E46" s="64"/>
      <c r="F46" s="12" t="str">
        <f t="shared" si="6"/>
        <v/>
      </c>
      <c r="G46" s="41"/>
      <c r="H46" s="41"/>
      <c r="I46" s="41"/>
      <c r="J46" s="41"/>
      <c r="K46" s="41"/>
      <c r="L46" s="41"/>
      <c r="M46" s="41"/>
      <c r="N46" s="41"/>
      <c r="O46" s="41"/>
      <c r="P46" s="41"/>
      <c r="Q46" s="41"/>
      <c r="R46" s="41"/>
      <c r="S46" s="41"/>
    </row>
    <row r="47" spans="1:19" ht="30" customHeight="1" thickTop="1" thickBot="1">
      <c r="A47" s="103"/>
      <c r="B47" s="41"/>
      <c r="C47" s="10">
        <v>2250</v>
      </c>
      <c r="D47" s="61" t="s">
        <v>209</v>
      </c>
      <c r="E47" s="139">
        <f>IF(ISERROR(SUM(E48:E56)),"",SUM(E48:E56))</f>
        <v>0</v>
      </c>
      <c r="F47" s="144"/>
      <c r="G47" s="41"/>
      <c r="H47" s="41"/>
      <c r="I47" s="41"/>
      <c r="J47" s="41"/>
      <c r="K47" s="41"/>
      <c r="L47" s="41"/>
      <c r="M47" s="41"/>
      <c r="N47" s="41"/>
      <c r="O47" s="41"/>
      <c r="P47" s="41"/>
      <c r="Q47" s="41"/>
      <c r="R47" s="41"/>
      <c r="S47" s="41"/>
    </row>
    <row r="48" spans="1:19" s="1" customFormat="1" ht="30" customHeight="1" thickTop="1" thickBot="1">
      <c r="A48" s="103"/>
      <c r="B48" s="41"/>
      <c r="C48" s="11">
        <v>2251</v>
      </c>
      <c r="D48" s="63" t="s">
        <v>210</v>
      </c>
      <c r="E48" s="64"/>
      <c r="F48" s="12" t="str">
        <f>IF(ISERROR(E48/$E$47),"",E48/$E$47)</f>
        <v/>
      </c>
      <c r="G48" s="41"/>
      <c r="H48" s="41"/>
      <c r="I48" s="41"/>
      <c r="J48" s="41"/>
      <c r="K48" s="41"/>
      <c r="L48" s="41"/>
      <c r="M48" s="41"/>
      <c r="N48" s="41"/>
      <c r="O48" s="41"/>
      <c r="P48" s="41"/>
      <c r="Q48" s="41"/>
      <c r="R48" s="41"/>
      <c r="S48" s="41"/>
    </row>
    <row r="49" spans="1:19" s="1" customFormat="1" ht="30" customHeight="1" thickTop="1" thickBot="1">
      <c r="A49" s="103"/>
      <c r="B49" s="41"/>
      <c r="C49" s="11">
        <v>2252</v>
      </c>
      <c r="D49" s="63" t="s">
        <v>211</v>
      </c>
      <c r="E49" s="64"/>
      <c r="F49" s="12" t="str">
        <f t="shared" ref="F49:F56" si="7">IF(ISERROR(E49/$E$47),"",E49/$E$47)</f>
        <v/>
      </c>
      <c r="G49" s="41"/>
      <c r="H49" s="41"/>
      <c r="I49" s="41"/>
      <c r="J49" s="41"/>
      <c r="K49" s="41"/>
      <c r="L49" s="41"/>
      <c r="M49" s="41"/>
      <c r="N49" s="41"/>
      <c r="O49" s="41"/>
      <c r="P49" s="41"/>
      <c r="Q49" s="41"/>
      <c r="R49" s="41"/>
      <c r="S49" s="41"/>
    </row>
    <row r="50" spans="1:19" s="1" customFormat="1" ht="30" customHeight="1" thickTop="1" thickBot="1">
      <c r="A50" s="103"/>
      <c r="B50" s="41"/>
      <c r="C50" s="11">
        <v>2253</v>
      </c>
      <c r="D50" s="63" t="s">
        <v>212</v>
      </c>
      <c r="E50" s="64"/>
      <c r="F50" s="12" t="str">
        <f t="shared" si="7"/>
        <v/>
      </c>
      <c r="G50" s="41"/>
      <c r="H50" s="41"/>
      <c r="I50" s="41"/>
      <c r="J50" s="41"/>
      <c r="K50" s="41"/>
      <c r="L50" s="41"/>
      <c r="M50" s="41"/>
      <c r="N50" s="41"/>
      <c r="O50" s="41"/>
      <c r="P50" s="41"/>
      <c r="Q50" s="41"/>
      <c r="R50" s="41"/>
      <c r="S50" s="41"/>
    </row>
    <row r="51" spans="1:19" s="1" customFormat="1" ht="30" customHeight="1" thickTop="1" thickBot="1">
      <c r="A51" s="103"/>
      <c r="B51" s="41"/>
      <c r="C51" s="11">
        <v>2254</v>
      </c>
      <c r="D51" s="63" t="s">
        <v>213</v>
      </c>
      <c r="E51" s="64"/>
      <c r="F51" s="12" t="str">
        <f t="shared" si="7"/>
        <v/>
      </c>
      <c r="G51" s="41"/>
      <c r="H51" s="41"/>
      <c r="I51" s="41"/>
      <c r="J51" s="41"/>
      <c r="K51" s="41"/>
      <c r="L51" s="41"/>
      <c r="M51" s="41"/>
      <c r="N51" s="41"/>
      <c r="O51" s="41"/>
      <c r="P51" s="41"/>
      <c r="Q51" s="41"/>
      <c r="R51" s="41"/>
      <c r="S51" s="41"/>
    </row>
    <row r="52" spans="1:19" s="1" customFormat="1" ht="30" customHeight="1" thickTop="1" thickBot="1">
      <c r="A52" s="103"/>
      <c r="B52" s="41"/>
      <c r="C52" s="11">
        <v>2255</v>
      </c>
      <c r="D52" s="63" t="s">
        <v>214</v>
      </c>
      <c r="E52" s="64"/>
      <c r="F52" s="12" t="str">
        <f t="shared" si="7"/>
        <v/>
      </c>
      <c r="G52" s="41"/>
      <c r="H52" s="41"/>
      <c r="I52" s="41"/>
      <c r="J52" s="41"/>
      <c r="K52" s="41"/>
      <c r="L52" s="41"/>
      <c r="M52" s="41"/>
      <c r="N52" s="41"/>
      <c r="O52" s="41"/>
      <c r="P52" s="41"/>
      <c r="Q52" s="41"/>
      <c r="R52" s="41"/>
      <c r="S52" s="41"/>
    </row>
    <row r="53" spans="1:19" s="1" customFormat="1" ht="30" customHeight="1" thickTop="1" thickBot="1">
      <c r="A53" s="103"/>
      <c r="B53" s="41"/>
      <c r="C53" s="11">
        <v>2256</v>
      </c>
      <c r="D53" s="63"/>
      <c r="E53" s="64"/>
      <c r="F53" s="12" t="str">
        <f t="shared" si="7"/>
        <v/>
      </c>
      <c r="G53" s="41"/>
      <c r="H53" s="41"/>
      <c r="I53" s="41"/>
      <c r="J53" s="41"/>
      <c r="K53" s="41"/>
      <c r="L53" s="41"/>
      <c r="M53" s="41"/>
      <c r="N53" s="41"/>
      <c r="O53" s="41"/>
      <c r="P53" s="41"/>
      <c r="Q53" s="41"/>
      <c r="R53" s="41"/>
      <c r="S53" s="41"/>
    </row>
    <row r="54" spans="1:19" s="1" customFormat="1" ht="30" customHeight="1" thickTop="1" thickBot="1">
      <c r="A54" s="103"/>
      <c r="B54" s="41"/>
      <c r="C54" s="11">
        <v>2257</v>
      </c>
      <c r="D54" s="63"/>
      <c r="E54" s="64"/>
      <c r="F54" s="12" t="str">
        <f t="shared" si="7"/>
        <v/>
      </c>
      <c r="G54" s="41"/>
      <c r="H54" s="41"/>
      <c r="I54" s="41"/>
      <c r="J54" s="41"/>
      <c r="K54" s="41"/>
      <c r="L54" s="41"/>
      <c r="M54" s="41"/>
      <c r="N54" s="41"/>
      <c r="O54" s="41"/>
      <c r="P54" s="41"/>
      <c r="Q54" s="41"/>
      <c r="R54" s="41"/>
      <c r="S54" s="41"/>
    </row>
    <row r="55" spans="1:19" s="1" customFormat="1" ht="30" customHeight="1" thickTop="1" thickBot="1">
      <c r="A55" s="103"/>
      <c r="B55" s="41"/>
      <c r="C55" s="11">
        <v>2258</v>
      </c>
      <c r="D55" s="63"/>
      <c r="E55" s="64"/>
      <c r="F55" s="12" t="str">
        <f t="shared" si="7"/>
        <v/>
      </c>
      <c r="G55" s="41"/>
      <c r="H55" s="41"/>
      <c r="I55" s="41"/>
      <c r="J55" s="41"/>
      <c r="K55" s="41"/>
      <c r="L55" s="41"/>
      <c r="M55" s="41"/>
      <c r="N55" s="41"/>
      <c r="O55" s="41"/>
      <c r="P55" s="41"/>
      <c r="Q55" s="41"/>
      <c r="R55" s="41"/>
      <c r="S55" s="41"/>
    </row>
    <row r="56" spans="1:19" s="1" customFormat="1" ht="30" customHeight="1" thickTop="1" thickBot="1">
      <c r="A56" s="103"/>
      <c r="B56" s="41"/>
      <c r="C56" s="11">
        <v>2259</v>
      </c>
      <c r="D56" s="63" t="s">
        <v>215</v>
      </c>
      <c r="E56" s="64"/>
      <c r="F56" s="12" t="str">
        <f t="shared" si="7"/>
        <v/>
      </c>
      <c r="G56" s="41"/>
      <c r="H56" s="41"/>
      <c r="I56" s="41"/>
      <c r="J56" s="41"/>
      <c r="K56" s="41"/>
      <c r="L56" s="41"/>
      <c r="M56" s="41"/>
      <c r="N56" s="41"/>
      <c r="O56" s="41"/>
      <c r="P56" s="41"/>
      <c r="Q56" s="41"/>
      <c r="R56" s="41"/>
      <c r="S56" s="41"/>
    </row>
    <row r="57" spans="1:19" s="1" customFormat="1" ht="30" customHeight="1" thickTop="1" thickBot="1">
      <c r="A57" s="103"/>
      <c r="B57" s="41"/>
      <c r="C57" s="10">
        <v>2290</v>
      </c>
      <c r="D57" s="61" t="s">
        <v>216</v>
      </c>
      <c r="E57" s="139">
        <f>IF(ISERROR(SUM(E58:E66)),"",SUM(E58:E66))</f>
        <v>0</v>
      </c>
      <c r="F57" s="144"/>
      <c r="G57" s="41"/>
      <c r="H57" s="41"/>
      <c r="I57" s="41"/>
      <c r="J57" s="41"/>
      <c r="K57" s="41"/>
      <c r="L57" s="41"/>
      <c r="M57" s="41"/>
      <c r="N57" s="41"/>
      <c r="O57" s="41"/>
      <c r="P57" s="41"/>
      <c r="Q57" s="41"/>
      <c r="R57" s="41"/>
      <c r="S57" s="41"/>
    </row>
    <row r="58" spans="1:19" s="1" customFormat="1" ht="30" customHeight="1" thickTop="1" thickBot="1">
      <c r="A58" s="103"/>
      <c r="B58" s="41"/>
      <c r="C58" s="11">
        <v>2291</v>
      </c>
      <c r="D58" s="63" t="s">
        <v>217</v>
      </c>
      <c r="E58" s="64"/>
      <c r="F58" s="12" t="str">
        <f>IF(ISERROR(E58/$E$57),"",E58/$E$57)</f>
        <v/>
      </c>
      <c r="G58" s="41"/>
      <c r="H58" s="41"/>
      <c r="I58" s="41"/>
      <c r="J58" s="41"/>
      <c r="K58" s="41"/>
      <c r="L58" s="41"/>
      <c r="M58" s="41"/>
      <c r="N58" s="41"/>
      <c r="O58" s="41"/>
      <c r="P58" s="41"/>
      <c r="Q58" s="41"/>
      <c r="R58" s="41"/>
      <c r="S58" s="41"/>
    </row>
    <row r="59" spans="1:19" s="1" customFormat="1" ht="30" customHeight="1" thickTop="1" thickBot="1">
      <c r="A59" s="103"/>
      <c r="B59" s="41"/>
      <c r="C59" s="11">
        <v>2292</v>
      </c>
      <c r="D59" s="63" t="s">
        <v>218</v>
      </c>
      <c r="E59" s="64"/>
      <c r="F59" s="12" t="str">
        <f t="shared" ref="F59:F66" si="8">IF(ISERROR(E59/$E$57),"",E59/$E$57)</f>
        <v/>
      </c>
      <c r="G59" s="41"/>
      <c r="H59" s="41"/>
      <c r="I59" s="41"/>
      <c r="J59" s="41"/>
      <c r="K59" s="41"/>
      <c r="L59" s="41"/>
      <c r="M59" s="41"/>
      <c r="N59" s="41"/>
      <c r="O59" s="41"/>
      <c r="P59" s="41"/>
      <c r="Q59" s="41"/>
      <c r="R59" s="41"/>
      <c r="S59" s="41"/>
    </row>
    <row r="60" spans="1:19" s="1" customFormat="1" ht="30" customHeight="1" thickTop="1" thickBot="1">
      <c r="A60" s="103"/>
      <c r="B60" s="41"/>
      <c r="C60" s="11">
        <v>2293</v>
      </c>
      <c r="D60" s="63" t="s">
        <v>188</v>
      </c>
      <c r="E60" s="64"/>
      <c r="F60" s="12" t="str">
        <f t="shared" si="8"/>
        <v/>
      </c>
      <c r="G60" s="41"/>
      <c r="H60" s="41"/>
      <c r="I60" s="41"/>
      <c r="J60" s="41"/>
      <c r="K60" s="41"/>
      <c r="L60" s="41"/>
      <c r="M60" s="41"/>
      <c r="N60" s="41"/>
      <c r="O60" s="41"/>
      <c r="P60" s="41"/>
      <c r="Q60" s="41"/>
      <c r="R60" s="41"/>
      <c r="S60" s="41"/>
    </row>
    <row r="61" spans="1:19" s="1" customFormat="1" ht="30" customHeight="1" thickTop="1" thickBot="1">
      <c r="A61" s="103"/>
      <c r="B61" s="41"/>
      <c r="C61" s="11">
        <v>2294</v>
      </c>
      <c r="D61" s="63" t="s">
        <v>219</v>
      </c>
      <c r="E61" s="64"/>
      <c r="F61" s="12" t="str">
        <f t="shared" si="8"/>
        <v/>
      </c>
      <c r="G61" s="41"/>
      <c r="H61" s="41"/>
      <c r="I61" s="41"/>
      <c r="J61" s="41"/>
      <c r="K61" s="41"/>
      <c r="L61" s="41"/>
      <c r="M61" s="41"/>
      <c r="N61" s="41"/>
      <c r="O61" s="41"/>
      <c r="P61" s="41"/>
      <c r="Q61" s="41"/>
      <c r="R61" s="41"/>
      <c r="S61" s="41"/>
    </row>
    <row r="62" spans="1:19" s="1" customFormat="1" ht="30" customHeight="1" thickTop="1" thickBot="1">
      <c r="A62" s="103"/>
      <c r="B62" s="41"/>
      <c r="C62" s="11">
        <v>2295</v>
      </c>
      <c r="D62" s="63" t="s">
        <v>220</v>
      </c>
      <c r="E62" s="64"/>
      <c r="F62" s="12" t="str">
        <f t="shared" si="8"/>
        <v/>
      </c>
      <c r="G62" s="41"/>
      <c r="H62" s="41"/>
      <c r="I62" s="41"/>
      <c r="J62" s="41"/>
      <c r="K62" s="41"/>
      <c r="L62" s="41"/>
      <c r="M62" s="41"/>
      <c r="N62" s="41"/>
      <c r="O62" s="41"/>
      <c r="P62" s="41"/>
      <c r="Q62" s="41"/>
      <c r="R62" s="41"/>
      <c r="S62" s="41"/>
    </row>
    <row r="63" spans="1:19" s="1" customFormat="1" ht="30" customHeight="1" thickTop="1" thickBot="1">
      <c r="A63" s="103"/>
      <c r="B63" s="41"/>
      <c r="C63" s="11">
        <v>2296</v>
      </c>
      <c r="D63" s="63"/>
      <c r="E63" s="64"/>
      <c r="F63" s="12" t="str">
        <f t="shared" si="8"/>
        <v/>
      </c>
      <c r="G63" s="41"/>
      <c r="H63" s="41"/>
      <c r="I63" s="41"/>
      <c r="J63" s="41"/>
      <c r="K63" s="41"/>
      <c r="L63" s="41"/>
      <c r="M63" s="41"/>
      <c r="N63" s="41"/>
      <c r="O63" s="41"/>
      <c r="P63" s="41"/>
      <c r="Q63" s="41"/>
      <c r="R63" s="41"/>
      <c r="S63" s="41"/>
    </row>
    <row r="64" spans="1:19" s="1" customFormat="1" ht="30" customHeight="1" thickTop="1" thickBot="1">
      <c r="A64" s="103"/>
      <c r="B64" s="41"/>
      <c r="C64" s="11">
        <v>2297</v>
      </c>
      <c r="D64" s="63"/>
      <c r="E64" s="64"/>
      <c r="F64" s="12" t="str">
        <f t="shared" si="8"/>
        <v/>
      </c>
      <c r="G64" s="41"/>
      <c r="H64" s="41"/>
      <c r="I64" s="41"/>
      <c r="J64" s="41"/>
      <c r="K64" s="41"/>
      <c r="L64" s="41"/>
      <c r="M64" s="41"/>
      <c r="N64" s="41"/>
      <c r="O64" s="41"/>
      <c r="P64" s="41"/>
      <c r="Q64" s="41"/>
      <c r="R64" s="41"/>
      <c r="S64" s="41"/>
    </row>
    <row r="65" spans="1:19" s="1" customFormat="1" ht="30" customHeight="1" thickTop="1" thickBot="1">
      <c r="A65" s="103"/>
      <c r="B65" s="41"/>
      <c r="C65" s="11">
        <v>2298</v>
      </c>
      <c r="D65" s="63"/>
      <c r="E65" s="64"/>
      <c r="F65" s="12" t="str">
        <f t="shared" si="8"/>
        <v/>
      </c>
      <c r="G65" s="41"/>
      <c r="H65" s="41"/>
      <c r="I65" s="41"/>
      <c r="J65" s="41"/>
      <c r="K65" s="41"/>
      <c r="L65" s="41"/>
      <c r="M65" s="41"/>
      <c r="N65" s="41"/>
      <c r="O65" s="41"/>
      <c r="P65" s="41"/>
      <c r="Q65" s="41"/>
      <c r="R65" s="41"/>
      <c r="S65" s="41"/>
    </row>
    <row r="66" spans="1:19" s="1" customFormat="1" ht="30" customHeight="1" thickTop="1" thickBot="1">
      <c r="A66" s="103"/>
      <c r="B66" s="41"/>
      <c r="C66" s="11">
        <v>2299</v>
      </c>
      <c r="D66" s="63" t="s">
        <v>221</v>
      </c>
      <c r="E66" s="64"/>
      <c r="F66" s="12" t="str">
        <f t="shared" si="8"/>
        <v/>
      </c>
      <c r="G66" s="41"/>
      <c r="H66" s="41"/>
      <c r="I66" s="41"/>
      <c r="J66" s="41"/>
      <c r="K66" s="41"/>
      <c r="L66" s="41"/>
      <c r="M66" s="41"/>
      <c r="N66" s="41"/>
      <c r="O66" s="41"/>
      <c r="P66" s="41"/>
      <c r="Q66" s="41"/>
      <c r="R66" s="41"/>
      <c r="S66" s="41"/>
    </row>
    <row r="67" spans="1:19" s="1" customFormat="1" ht="30" customHeight="1" thickTop="1" thickBot="1">
      <c r="A67" s="103"/>
      <c r="B67" s="41"/>
      <c r="C67" s="10">
        <v>2310</v>
      </c>
      <c r="D67" s="61" t="s">
        <v>223</v>
      </c>
      <c r="E67" s="139">
        <f>IF(ISERROR(SUM(E68:E76)),"",SUM(E68:E76))</f>
        <v>0</v>
      </c>
      <c r="F67" s="144"/>
      <c r="G67" s="41"/>
      <c r="H67" s="41"/>
      <c r="I67" s="41"/>
      <c r="J67" s="41"/>
      <c r="K67" s="41"/>
      <c r="L67" s="41"/>
      <c r="M67" s="41"/>
      <c r="N67" s="41"/>
      <c r="O67" s="41"/>
      <c r="P67" s="41"/>
      <c r="Q67" s="41"/>
      <c r="R67" s="41"/>
      <c r="S67" s="41"/>
    </row>
    <row r="68" spans="1:19" s="1" customFormat="1" ht="30" customHeight="1" thickTop="1" thickBot="1">
      <c r="A68" s="103"/>
      <c r="B68" s="41"/>
      <c r="C68" s="11">
        <v>2311</v>
      </c>
      <c r="D68" s="63" t="s">
        <v>224</v>
      </c>
      <c r="E68" s="64"/>
      <c r="F68" s="12" t="str">
        <f>IF(ISERROR(E68/$E$67),"",E68/$E$67)</f>
        <v/>
      </c>
      <c r="G68" s="41"/>
      <c r="H68" s="41"/>
      <c r="I68" s="41"/>
      <c r="J68" s="41"/>
      <c r="K68" s="41"/>
      <c r="L68" s="41"/>
      <c r="M68" s="41"/>
      <c r="N68" s="41"/>
      <c r="O68" s="41"/>
      <c r="P68" s="41"/>
      <c r="Q68" s="41"/>
      <c r="R68" s="41"/>
      <c r="S68" s="41"/>
    </row>
    <row r="69" spans="1:19" s="1" customFormat="1" ht="30" customHeight="1" thickTop="1" thickBot="1">
      <c r="A69" s="103"/>
      <c r="B69" s="41"/>
      <c r="C69" s="11">
        <v>2312</v>
      </c>
      <c r="D69" s="63" t="s">
        <v>225</v>
      </c>
      <c r="E69" s="64"/>
      <c r="F69" s="12" t="str">
        <f t="shared" ref="F69:F76" si="9">IF(ISERROR(E69/$E$67),"",E69/$E$67)</f>
        <v/>
      </c>
      <c r="G69" s="41"/>
      <c r="H69" s="41"/>
      <c r="I69" s="41"/>
      <c r="J69" s="41"/>
      <c r="K69" s="41"/>
      <c r="L69" s="41"/>
      <c r="M69" s="41"/>
      <c r="N69" s="41"/>
      <c r="O69" s="41"/>
      <c r="P69" s="41"/>
      <c r="Q69" s="41"/>
      <c r="R69" s="41"/>
      <c r="S69" s="41"/>
    </row>
    <row r="70" spans="1:19" s="1" customFormat="1" ht="30" customHeight="1" thickTop="1" thickBot="1">
      <c r="A70" s="103"/>
      <c r="B70" s="41"/>
      <c r="C70" s="11">
        <v>2313</v>
      </c>
      <c r="D70" s="63" t="s">
        <v>226</v>
      </c>
      <c r="E70" s="64"/>
      <c r="F70" s="12" t="str">
        <f t="shared" si="9"/>
        <v/>
      </c>
      <c r="G70" s="41"/>
      <c r="H70" s="41"/>
      <c r="I70" s="41"/>
      <c r="J70" s="41"/>
      <c r="K70" s="41"/>
      <c r="L70" s="41"/>
      <c r="M70" s="41"/>
      <c r="N70" s="41"/>
      <c r="O70" s="41"/>
      <c r="P70" s="41"/>
      <c r="Q70" s="41"/>
      <c r="R70" s="41"/>
      <c r="S70" s="41"/>
    </row>
    <row r="71" spans="1:19" s="1" customFormat="1" ht="30" customHeight="1" thickTop="1" thickBot="1">
      <c r="A71" s="103"/>
      <c r="B71" s="41"/>
      <c r="C71" s="11">
        <v>2314</v>
      </c>
      <c r="D71" s="63" t="s">
        <v>227</v>
      </c>
      <c r="E71" s="64"/>
      <c r="F71" s="12" t="str">
        <f t="shared" si="9"/>
        <v/>
      </c>
      <c r="G71" s="41"/>
      <c r="H71" s="41"/>
      <c r="I71" s="41"/>
      <c r="J71" s="41"/>
      <c r="K71" s="41"/>
      <c r="L71" s="41"/>
      <c r="M71" s="41"/>
      <c r="N71" s="41"/>
      <c r="O71" s="41"/>
      <c r="P71" s="41"/>
      <c r="Q71" s="41"/>
      <c r="R71" s="41"/>
      <c r="S71" s="41"/>
    </row>
    <row r="72" spans="1:19" s="1" customFormat="1" ht="30" customHeight="1" thickTop="1" thickBot="1">
      <c r="A72" s="103"/>
      <c r="B72" s="41"/>
      <c r="C72" s="11">
        <v>2315</v>
      </c>
      <c r="D72" s="63"/>
      <c r="E72" s="64"/>
      <c r="F72" s="12" t="str">
        <f t="shared" si="9"/>
        <v/>
      </c>
      <c r="G72" s="41"/>
      <c r="H72" s="41"/>
      <c r="I72" s="41"/>
      <c r="J72" s="41"/>
      <c r="K72" s="41"/>
      <c r="L72" s="41"/>
      <c r="M72" s="41"/>
      <c r="N72" s="41"/>
      <c r="O72" s="41"/>
      <c r="P72" s="41"/>
      <c r="Q72" s="41"/>
      <c r="R72" s="41"/>
      <c r="S72" s="41"/>
    </row>
    <row r="73" spans="1:19" s="1" customFormat="1" ht="30" customHeight="1" thickTop="1" thickBot="1">
      <c r="A73" s="103"/>
      <c r="B73" s="41"/>
      <c r="C73" s="11">
        <v>2316</v>
      </c>
      <c r="D73" s="63"/>
      <c r="E73" s="64"/>
      <c r="F73" s="12" t="str">
        <f t="shared" si="9"/>
        <v/>
      </c>
      <c r="G73" s="41"/>
      <c r="H73" s="41"/>
      <c r="I73" s="41"/>
      <c r="J73" s="41"/>
      <c r="K73" s="41"/>
      <c r="L73" s="41"/>
      <c r="M73" s="41"/>
      <c r="N73" s="41"/>
      <c r="O73" s="41"/>
      <c r="P73" s="41"/>
      <c r="Q73" s="41"/>
      <c r="R73" s="41"/>
      <c r="S73" s="41"/>
    </row>
    <row r="74" spans="1:19" s="1" customFormat="1" ht="30" customHeight="1" thickTop="1" thickBot="1">
      <c r="A74" s="103"/>
      <c r="B74" s="41"/>
      <c r="C74" s="11">
        <v>2317</v>
      </c>
      <c r="D74" s="63" t="s">
        <v>228</v>
      </c>
      <c r="E74" s="64"/>
      <c r="F74" s="12" t="str">
        <f t="shared" si="9"/>
        <v/>
      </c>
      <c r="G74" s="41"/>
      <c r="H74" s="41"/>
      <c r="I74" s="41"/>
      <c r="J74" s="41"/>
      <c r="K74" s="41"/>
      <c r="L74" s="41"/>
      <c r="M74" s="41"/>
      <c r="N74" s="41"/>
      <c r="O74" s="41"/>
      <c r="P74" s="41"/>
      <c r="Q74" s="41"/>
      <c r="R74" s="41"/>
      <c r="S74" s="41"/>
    </row>
    <row r="75" spans="1:19" s="1" customFormat="1" ht="30" customHeight="1" thickTop="1" thickBot="1">
      <c r="A75" s="103"/>
      <c r="B75" s="41"/>
      <c r="C75" s="11">
        <v>2318</v>
      </c>
      <c r="D75" s="63" t="s">
        <v>229</v>
      </c>
      <c r="E75" s="64"/>
      <c r="F75" s="12" t="str">
        <f t="shared" si="9"/>
        <v/>
      </c>
      <c r="G75" s="41"/>
      <c r="H75" s="41"/>
      <c r="I75" s="41"/>
      <c r="J75" s="41"/>
      <c r="K75" s="41"/>
      <c r="L75" s="41"/>
      <c r="M75" s="41"/>
      <c r="N75" s="41"/>
      <c r="O75" s="41"/>
      <c r="P75" s="41"/>
      <c r="Q75" s="41"/>
      <c r="R75" s="41"/>
      <c r="S75" s="41"/>
    </row>
    <row r="76" spans="1:19" s="1" customFormat="1" ht="30" customHeight="1" thickTop="1" thickBot="1">
      <c r="A76" s="103"/>
      <c r="B76" s="41"/>
      <c r="C76" s="11">
        <v>2319</v>
      </c>
      <c r="D76" s="63" t="s">
        <v>230</v>
      </c>
      <c r="E76" s="64"/>
      <c r="F76" s="12" t="str">
        <f t="shared" si="9"/>
        <v/>
      </c>
      <c r="G76" s="41"/>
      <c r="H76" s="41"/>
      <c r="I76" s="41"/>
      <c r="J76" s="41"/>
      <c r="K76" s="41"/>
      <c r="L76" s="41"/>
      <c r="M76" s="41"/>
      <c r="N76" s="41"/>
      <c r="O76" s="41"/>
      <c r="P76" s="41"/>
      <c r="Q76" s="41"/>
      <c r="R76" s="41"/>
      <c r="S76" s="41"/>
    </row>
    <row r="77" spans="1:19" s="1" customFormat="1" ht="30" customHeight="1" thickTop="1" thickBot="1">
      <c r="A77" s="103"/>
      <c r="B77" s="41"/>
      <c r="C77" s="10">
        <v>2320</v>
      </c>
      <c r="D77" s="61" t="s">
        <v>56</v>
      </c>
      <c r="E77" s="139">
        <f>IF(ISERROR(SUM(E78:E86)),"",SUM(E78:E86))</f>
        <v>50000</v>
      </c>
      <c r="F77" s="144"/>
      <c r="G77" s="41"/>
      <c r="H77" s="41"/>
      <c r="I77" s="41"/>
      <c r="J77" s="41"/>
      <c r="K77" s="41"/>
      <c r="L77" s="41"/>
      <c r="M77" s="41"/>
      <c r="N77" s="41"/>
      <c r="O77" s="41"/>
      <c r="P77" s="41"/>
      <c r="Q77" s="41"/>
      <c r="R77" s="41"/>
      <c r="S77" s="41"/>
    </row>
    <row r="78" spans="1:19" s="1" customFormat="1" ht="30" customHeight="1" thickTop="1" thickBot="1">
      <c r="A78" s="103"/>
      <c r="B78" s="41"/>
      <c r="C78" s="11">
        <v>2321</v>
      </c>
      <c r="D78" s="63" t="s">
        <v>231</v>
      </c>
      <c r="E78" s="64"/>
      <c r="F78" s="12">
        <f>IF(ISERROR(E78/E77),"",E78/$E$77)</f>
        <v>0</v>
      </c>
      <c r="G78" s="41"/>
      <c r="H78" s="41"/>
      <c r="I78" s="41"/>
      <c r="J78" s="41"/>
      <c r="K78" s="41"/>
      <c r="L78" s="41"/>
      <c r="M78" s="41"/>
      <c r="N78" s="41"/>
      <c r="O78" s="41"/>
      <c r="P78" s="41"/>
      <c r="Q78" s="41"/>
      <c r="R78" s="41"/>
      <c r="S78" s="41"/>
    </row>
    <row r="79" spans="1:19" s="1" customFormat="1" ht="30" customHeight="1" thickTop="1" thickBot="1">
      <c r="A79" s="103"/>
      <c r="B79" s="41"/>
      <c r="C79" s="11">
        <v>2322</v>
      </c>
      <c r="D79" s="63" t="s">
        <v>232</v>
      </c>
      <c r="E79" s="64"/>
      <c r="F79" s="12" t="str">
        <f t="shared" ref="F79:F86" si="10">IF(ISERROR(E79/E78),"",E79/$E$77)</f>
        <v/>
      </c>
      <c r="G79" s="41"/>
      <c r="H79" s="41"/>
      <c r="I79" s="41"/>
      <c r="J79" s="41"/>
      <c r="K79" s="41"/>
      <c r="L79" s="41"/>
      <c r="M79" s="41"/>
      <c r="N79" s="41"/>
      <c r="O79" s="41"/>
      <c r="P79" s="41"/>
      <c r="Q79" s="41"/>
      <c r="R79" s="41"/>
      <c r="S79" s="41"/>
    </row>
    <row r="80" spans="1:19" s="1" customFormat="1" ht="30" customHeight="1" thickTop="1" thickBot="1">
      <c r="A80" s="103"/>
      <c r="B80" s="41"/>
      <c r="C80" s="11">
        <v>2323</v>
      </c>
      <c r="D80" s="63" t="s">
        <v>233</v>
      </c>
      <c r="E80" s="64"/>
      <c r="F80" s="12" t="str">
        <f t="shared" si="10"/>
        <v/>
      </c>
      <c r="G80" s="41"/>
      <c r="H80" s="41"/>
      <c r="I80" s="41"/>
      <c r="J80" s="41"/>
      <c r="K80" s="41"/>
      <c r="L80" s="41"/>
      <c r="M80" s="41"/>
      <c r="N80" s="41"/>
      <c r="O80" s="41"/>
      <c r="P80" s="41"/>
      <c r="Q80" s="41"/>
      <c r="R80" s="41"/>
      <c r="S80" s="41"/>
    </row>
    <row r="81" spans="1:19" s="1" customFormat="1" ht="30" customHeight="1" thickTop="1" thickBot="1">
      <c r="A81" s="103"/>
      <c r="B81" s="41"/>
      <c r="C81" s="11">
        <v>2324</v>
      </c>
      <c r="D81" s="63" t="s">
        <v>234</v>
      </c>
      <c r="E81" s="64">
        <v>50000</v>
      </c>
      <c r="F81" s="12" t="str">
        <f t="shared" si="10"/>
        <v/>
      </c>
      <c r="G81" s="41"/>
      <c r="H81" s="41"/>
      <c r="I81" s="41"/>
      <c r="J81" s="41"/>
      <c r="K81" s="41"/>
      <c r="L81" s="41"/>
      <c r="M81" s="41"/>
      <c r="N81" s="41"/>
      <c r="O81" s="41"/>
      <c r="P81" s="41"/>
      <c r="Q81" s="41"/>
      <c r="R81" s="41"/>
      <c r="S81" s="41"/>
    </row>
    <row r="82" spans="1:19" s="1" customFormat="1" ht="30" customHeight="1" thickTop="1" thickBot="1">
      <c r="A82" s="103"/>
      <c r="B82" s="41"/>
      <c r="C82" s="11">
        <v>2325</v>
      </c>
      <c r="D82" s="63" t="s">
        <v>235</v>
      </c>
      <c r="E82" s="64"/>
      <c r="F82" s="12">
        <f t="shared" si="10"/>
        <v>0</v>
      </c>
      <c r="G82" s="41"/>
      <c r="H82" s="41"/>
      <c r="I82" s="41"/>
      <c r="J82" s="41"/>
      <c r="K82" s="41"/>
      <c r="L82" s="41"/>
      <c r="M82" s="41"/>
      <c r="N82" s="41"/>
      <c r="O82" s="41"/>
      <c r="P82" s="41"/>
      <c r="Q82" s="41"/>
      <c r="R82" s="41"/>
      <c r="S82" s="41"/>
    </row>
    <row r="83" spans="1:19" s="1" customFormat="1" ht="30" customHeight="1" thickTop="1" thickBot="1">
      <c r="A83" s="103"/>
      <c r="B83" s="41"/>
      <c r="C83" s="11">
        <v>2326</v>
      </c>
      <c r="D83" s="63" t="s">
        <v>236</v>
      </c>
      <c r="E83" s="64"/>
      <c r="F83" s="12" t="str">
        <f t="shared" si="10"/>
        <v/>
      </c>
      <c r="G83" s="41"/>
      <c r="H83" s="41"/>
      <c r="I83" s="41"/>
      <c r="J83" s="41"/>
      <c r="K83" s="41"/>
      <c r="L83" s="41"/>
      <c r="M83" s="41"/>
      <c r="N83" s="41"/>
      <c r="O83" s="41"/>
      <c r="P83" s="41"/>
      <c r="Q83" s="41"/>
      <c r="R83" s="41"/>
      <c r="S83" s="41"/>
    </row>
    <row r="84" spans="1:19" s="1" customFormat="1" ht="30" customHeight="1" thickTop="1" thickBot="1">
      <c r="A84" s="103"/>
      <c r="B84" s="41"/>
      <c r="C84" s="11">
        <v>2327</v>
      </c>
      <c r="D84" s="63" t="s">
        <v>237</v>
      </c>
      <c r="E84" s="64"/>
      <c r="F84" s="12" t="str">
        <f t="shared" si="10"/>
        <v/>
      </c>
      <c r="G84" s="41"/>
      <c r="H84" s="41"/>
      <c r="I84" s="41"/>
      <c r="J84" s="41"/>
      <c r="K84" s="41"/>
      <c r="L84" s="41"/>
      <c r="M84" s="41"/>
      <c r="N84" s="41"/>
      <c r="O84" s="41"/>
      <c r="P84" s="41"/>
      <c r="Q84" s="41"/>
      <c r="R84" s="41"/>
      <c r="S84" s="41"/>
    </row>
    <row r="85" spans="1:19" s="1" customFormat="1" ht="30" customHeight="1" thickTop="1" thickBot="1">
      <c r="A85" s="103"/>
      <c r="B85" s="41"/>
      <c r="C85" s="11">
        <v>2328</v>
      </c>
      <c r="D85" s="63" t="s">
        <v>238</v>
      </c>
      <c r="E85" s="64"/>
      <c r="F85" s="12" t="str">
        <f t="shared" si="10"/>
        <v/>
      </c>
      <c r="G85" s="41"/>
      <c r="H85" s="41"/>
      <c r="I85" s="41"/>
      <c r="J85" s="41"/>
      <c r="K85" s="41"/>
      <c r="L85" s="41"/>
      <c r="M85" s="41"/>
      <c r="N85" s="41"/>
      <c r="O85" s="41"/>
      <c r="P85" s="41"/>
      <c r="Q85" s="41"/>
      <c r="R85" s="41"/>
      <c r="S85" s="41"/>
    </row>
    <row r="86" spans="1:19" s="1" customFormat="1" ht="30" customHeight="1" thickTop="1" thickBot="1">
      <c r="A86" s="103"/>
      <c r="B86" s="41"/>
      <c r="C86" s="11">
        <v>2329</v>
      </c>
      <c r="D86" s="63" t="s">
        <v>239</v>
      </c>
      <c r="E86" s="64"/>
      <c r="F86" s="12" t="str">
        <f t="shared" si="10"/>
        <v/>
      </c>
      <c r="G86" s="41"/>
      <c r="H86" s="41"/>
      <c r="I86" s="41"/>
      <c r="J86" s="41"/>
      <c r="K86" s="41"/>
      <c r="L86" s="41"/>
      <c r="M86" s="41"/>
      <c r="N86" s="41"/>
      <c r="O86" s="41"/>
      <c r="P86" s="41"/>
      <c r="Q86" s="41"/>
      <c r="R86" s="41"/>
      <c r="S86" s="41"/>
    </row>
    <row r="87" spans="1:19" s="1" customFormat="1" ht="30" customHeight="1" thickTop="1" thickBot="1">
      <c r="A87" s="103"/>
      <c r="B87" s="41"/>
      <c r="C87" s="10">
        <v>2330</v>
      </c>
      <c r="D87" s="61" t="s">
        <v>240</v>
      </c>
      <c r="E87" s="139">
        <f>IF(ISERROR(SUM(E88:E96)),"",SUM(E88:E96))</f>
        <v>18500</v>
      </c>
      <c r="F87" s="144"/>
      <c r="G87" s="41"/>
      <c r="H87" s="41"/>
      <c r="I87" s="41"/>
      <c r="J87" s="41"/>
      <c r="K87" s="41"/>
      <c r="L87" s="41"/>
      <c r="M87" s="41"/>
      <c r="N87" s="41"/>
      <c r="O87" s="41"/>
      <c r="P87" s="41"/>
      <c r="Q87" s="41"/>
      <c r="R87" s="41"/>
      <c r="S87" s="41"/>
    </row>
    <row r="88" spans="1:19" s="1" customFormat="1" ht="30" customHeight="1" thickTop="1" thickBot="1">
      <c r="A88" s="103"/>
      <c r="B88" s="41"/>
      <c r="C88" s="11">
        <v>2331</v>
      </c>
      <c r="D88" s="63" t="s">
        <v>241</v>
      </c>
      <c r="E88" s="64"/>
      <c r="F88" s="12">
        <f>IF(ISERROR(E88/$E$87),"",E88/$E$87)</f>
        <v>0</v>
      </c>
      <c r="G88" s="41"/>
      <c r="H88" s="41"/>
      <c r="I88" s="41"/>
      <c r="J88" s="41"/>
      <c r="K88" s="41"/>
      <c r="L88" s="41"/>
      <c r="M88" s="41"/>
      <c r="N88" s="41"/>
      <c r="O88" s="41"/>
      <c r="P88" s="41"/>
      <c r="Q88" s="41"/>
      <c r="R88" s="41"/>
      <c r="S88" s="41"/>
    </row>
    <row r="89" spans="1:19" s="1" customFormat="1" ht="30" customHeight="1" thickTop="1" thickBot="1">
      <c r="A89" s="103"/>
      <c r="B89" s="41"/>
      <c r="C89" s="11">
        <v>2332</v>
      </c>
      <c r="D89" s="63" t="s">
        <v>242</v>
      </c>
      <c r="E89" s="64">
        <v>18500</v>
      </c>
      <c r="F89" s="12">
        <f t="shared" ref="F89:F96" si="11">IF(ISERROR(E89/$E$87),"",E89/$E$87)</f>
        <v>1</v>
      </c>
      <c r="G89" s="41"/>
      <c r="H89" s="41"/>
      <c r="I89" s="41"/>
      <c r="J89" s="41"/>
      <c r="K89" s="41"/>
      <c r="L89" s="41"/>
      <c r="M89" s="41"/>
      <c r="N89" s="41"/>
      <c r="O89" s="41"/>
      <c r="P89" s="41"/>
      <c r="Q89" s="41"/>
      <c r="R89" s="41"/>
      <c r="S89" s="41"/>
    </row>
    <row r="90" spans="1:19" s="1" customFormat="1" ht="30" customHeight="1" thickTop="1" thickBot="1">
      <c r="A90" s="103"/>
      <c r="B90" s="41"/>
      <c r="C90" s="11">
        <v>2333</v>
      </c>
      <c r="D90" s="63" t="s">
        <v>243</v>
      </c>
      <c r="E90" s="64"/>
      <c r="F90" s="12">
        <f t="shared" si="11"/>
        <v>0</v>
      </c>
      <c r="G90" s="41"/>
      <c r="H90" s="41"/>
      <c r="I90" s="41"/>
      <c r="J90" s="41"/>
      <c r="K90" s="41"/>
      <c r="L90" s="41"/>
      <c r="M90" s="41"/>
      <c r="N90" s="41"/>
      <c r="O90" s="41"/>
      <c r="P90" s="41"/>
      <c r="Q90" s="41"/>
      <c r="R90" s="41"/>
      <c r="S90" s="41"/>
    </row>
    <row r="91" spans="1:19" s="1" customFormat="1" ht="30" customHeight="1" thickTop="1" thickBot="1">
      <c r="A91" s="103"/>
      <c r="B91" s="41"/>
      <c r="C91" s="11">
        <v>2334</v>
      </c>
      <c r="D91" s="63" t="s">
        <v>244</v>
      </c>
      <c r="E91" s="64"/>
      <c r="F91" s="12">
        <f t="shared" si="11"/>
        <v>0</v>
      </c>
      <c r="G91" s="41"/>
      <c r="H91" s="41"/>
      <c r="I91" s="41"/>
      <c r="J91" s="41"/>
      <c r="K91" s="41"/>
      <c r="L91" s="41"/>
      <c r="M91" s="41"/>
      <c r="N91" s="41"/>
      <c r="O91" s="41"/>
      <c r="P91" s="41"/>
      <c r="Q91" s="41"/>
      <c r="R91" s="41"/>
      <c r="S91" s="41"/>
    </row>
    <row r="92" spans="1:19" s="1" customFormat="1" ht="30" customHeight="1" thickTop="1" thickBot="1">
      <c r="A92" s="103"/>
      <c r="B92" s="41"/>
      <c r="C92" s="11">
        <v>2335</v>
      </c>
      <c r="D92" s="63" t="s">
        <v>245</v>
      </c>
      <c r="E92" s="64"/>
      <c r="F92" s="12">
        <f t="shared" si="11"/>
        <v>0</v>
      </c>
      <c r="G92" s="41"/>
      <c r="H92" s="41"/>
      <c r="I92" s="41"/>
      <c r="J92" s="41"/>
      <c r="K92" s="41"/>
      <c r="L92" s="41"/>
      <c r="M92" s="41"/>
      <c r="N92" s="41"/>
      <c r="O92" s="41"/>
      <c r="P92" s="41"/>
      <c r="Q92" s="41"/>
      <c r="R92" s="41"/>
      <c r="S92" s="41"/>
    </row>
    <row r="93" spans="1:19" s="1" customFormat="1" ht="30" customHeight="1" thickTop="1" thickBot="1">
      <c r="A93" s="103"/>
      <c r="B93" s="41"/>
      <c r="C93" s="11">
        <v>2336</v>
      </c>
      <c r="D93" s="63" t="s">
        <v>246</v>
      </c>
      <c r="E93" s="64"/>
      <c r="F93" s="12">
        <f t="shared" si="11"/>
        <v>0</v>
      </c>
      <c r="G93" s="41"/>
      <c r="H93" s="41"/>
      <c r="I93" s="41"/>
      <c r="J93" s="41"/>
      <c r="K93" s="41"/>
      <c r="L93" s="41"/>
      <c r="M93" s="41"/>
      <c r="N93" s="41"/>
      <c r="O93" s="41"/>
      <c r="P93" s="41"/>
      <c r="Q93" s="41"/>
      <c r="R93" s="41"/>
      <c r="S93" s="41"/>
    </row>
    <row r="94" spans="1:19" s="1" customFormat="1" ht="30" customHeight="1" thickTop="1" thickBot="1">
      <c r="A94" s="103"/>
      <c r="B94" s="41"/>
      <c r="C94" s="11">
        <v>2337</v>
      </c>
      <c r="D94" s="63" t="s">
        <v>247</v>
      </c>
      <c r="E94" s="64"/>
      <c r="F94" s="12">
        <f t="shared" si="11"/>
        <v>0</v>
      </c>
      <c r="G94" s="41"/>
      <c r="H94" s="41"/>
      <c r="I94" s="41"/>
      <c r="J94" s="41"/>
      <c r="K94" s="41"/>
      <c r="L94" s="41"/>
      <c r="M94" s="41"/>
      <c r="N94" s="41"/>
      <c r="O94" s="41"/>
      <c r="P94" s="41"/>
      <c r="Q94" s="41"/>
      <c r="R94" s="41"/>
      <c r="S94" s="41"/>
    </row>
    <row r="95" spans="1:19" s="1" customFormat="1" ht="30" customHeight="1" thickTop="1" thickBot="1">
      <c r="A95" s="103"/>
      <c r="B95" s="41"/>
      <c r="C95" s="11">
        <v>2338</v>
      </c>
      <c r="D95" s="63"/>
      <c r="E95" s="64"/>
      <c r="F95" s="12">
        <f t="shared" si="11"/>
        <v>0</v>
      </c>
      <c r="G95" s="41"/>
      <c r="H95" s="41"/>
      <c r="I95" s="41"/>
      <c r="J95" s="41"/>
      <c r="K95" s="41"/>
      <c r="L95" s="41"/>
      <c r="M95" s="41"/>
      <c r="N95" s="41"/>
      <c r="O95" s="41"/>
      <c r="P95" s="41"/>
      <c r="Q95" s="41"/>
      <c r="R95" s="41"/>
      <c r="S95" s="41"/>
    </row>
    <row r="96" spans="1:19" s="1" customFormat="1" ht="30" customHeight="1" thickTop="1" thickBot="1">
      <c r="A96" s="103"/>
      <c r="B96" s="41"/>
      <c r="C96" s="11">
        <v>2339</v>
      </c>
      <c r="D96" s="63" t="s">
        <v>248</v>
      </c>
      <c r="E96" s="64"/>
      <c r="F96" s="12">
        <f t="shared" si="11"/>
        <v>0</v>
      </c>
      <c r="G96" s="41"/>
      <c r="H96" s="41"/>
      <c r="I96" s="41"/>
      <c r="J96" s="41"/>
      <c r="K96" s="41"/>
      <c r="L96" s="41"/>
      <c r="M96" s="41"/>
      <c r="N96" s="41"/>
      <c r="O96" s="41"/>
      <c r="P96" s="41"/>
      <c r="Q96" s="41"/>
      <c r="R96" s="41"/>
      <c r="S96" s="41"/>
    </row>
    <row r="97" spans="1:19" s="1" customFormat="1" ht="30" customHeight="1" thickTop="1" thickBot="1">
      <c r="A97" s="103"/>
      <c r="B97" s="41"/>
      <c r="C97" s="10">
        <v>2340</v>
      </c>
      <c r="D97" s="61" t="s">
        <v>249</v>
      </c>
      <c r="E97" s="139">
        <f>IF(ISERROR(SUM(E98:E106)),"",SUM(E98:E106))</f>
        <v>20000</v>
      </c>
      <c r="F97" s="144"/>
      <c r="G97" s="41"/>
      <c r="H97" s="41"/>
      <c r="I97" s="41"/>
      <c r="J97" s="41"/>
      <c r="K97" s="41"/>
      <c r="L97" s="41"/>
      <c r="M97" s="41"/>
      <c r="N97" s="41"/>
      <c r="O97" s="41"/>
      <c r="P97" s="41"/>
      <c r="Q97" s="41"/>
      <c r="R97" s="41"/>
      <c r="S97" s="41"/>
    </row>
    <row r="98" spans="1:19" s="1" customFormat="1" ht="30" customHeight="1" thickTop="1" thickBot="1">
      <c r="A98" s="103"/>
      <c r="B98" s="41"/>
      <c r="C98" s="11">
        <v>2341</v>
      </c>
      <c r="D98" s="63" t="s">
        <v>250</v>
      </c>
      <c r="E98" s="64"/>
      <c r="F98" s="12">
        <f>IF(ISERROR(E98/$E$97),"",E98/$E$97)</f>
        <v>0</v>
      </c>
      <c r="G98" s="41"/>
      <c r="H98" s="41"/>
      <c r="I98" s="41"/>
      <c r="J98" s="41"/>
      <c r="K98" s="41"/>
      <c r="L98" s="41"/>
      <c r="M98" s="41"/>
      <c r="N98" s="41"/>
      <c r="O98" s="41"/>
      <c r="P98" s="41"/>
      <c r="Q98" s="41"/>
      <c r="R98" s="41"/>
      <c r="S98" s="41"/>
    </row>
    <row r="99" spans="1:19" s="1" customFormat="1" ht="30" customHeight="1" thickTop="1" thickBot="1">
      <c r="A99" s="103"/>
      <c r="B99" s="41"/>
      <c r="C99" s="11">
        <v>2342</v>
      </c>
      <c r="D99" s="63" t="s">
        <v>251</v>
      </c>
      <c r="E99" s="64"/>
      <c r="F99" s="12">
        <f t="shared" ref="F99:F106" si="12">IF(ISERROR(E99/$E$97),"",E99/$E$97)</f>
        <v>0</v>
      </c>
      <c r="G99" s="41"/>
      <c r="H99" s="41"/>
      <c r="I99" s="41"/>
      <c r="J99" s="41"/>
      <c r="K99" s="41"/>
      <c r="L99" s="41"/>
      <c r="M99" s="41"/>
      <c r="N99" s="41"/>
      <c r="O99" s="41"/>
      <c r="P99" s="41"/>
      <c r="Q99" s="41"/>
      <c r="R99" s="41"/>
      <c r="S99" s="41"/>
    </row>
    <row r="100" spans="1:19" s="1" customFormat="1" ht="30" customHeight="1" thickTop="1" thickBot="1">
      <c r="A100" s="103"/>
      <c r="B100" s="41"/>
      <c r="C100" s="11">
        <v>2343</v>
      </c>
      <c r="D100" s="63" t="s">
        <v>252</v>
      </c>
      <c r="E100" s="64"/>
      <c r="F100" s="12">
        <f t="shared" si="12"/>
        <v>0</v>
      </c>
      <c r="G100" s="41"/>
      <c r="H100" s="41"/>
      <c r="I100" s="41"/>
      <c r="J100" s="41"/>
      <c r="K100" s="41"/>
      <c r="L100" s="41"/>
      <c r="M100" s="41"/>
      <c r="N100" s="41"/>
      <c r="O100" s="41"/>
      <c r="P100" s="41"/>
      <c r="Q100" s="41"/>
      <c r="R100" s="41"/>
      <c r="S100" s="41"/>
    </row>
    <row r="101" spans="1:19" s="1" customFormat="1" ht="30" customHeight="1" thickTop="1" thickBot="1">
      <c r="A101" s="103"/>
      <c r="B101" s="41"/>
      <c r="C101" s="11">
        <v>2344</v>
      </c>
      <c r="D101" s="63" t="s">
        <v>253</v>
      </c>
      <c r="E101" s="64">
        <v>20000</v>
      </c>
      <c r="F101" s="12">
        <f t="shared" si="12"/>
        <v>1</v>
      </c>
      <c r="G101" s="41"/>
      <c r="H101" s="41"/>
      <c r="I101" s="41"/>
      <c r="J101" s="41"/>
      <c r="K101" s="41"/>
      <c r="L101" s="41"/>
      <c r="M101" s="41"/>
      <c r="N101" s="41"/>
      <c r="O101" s="41"/>
      <c r="P101" s="41"/>
      <c r="Q101" s="41"/>
      <c r="R101" s="41"/>
      <c r="S101" s="41"/>
    </row>
    <row r="102" spans="1:19" s="1" customFormat="1" ht="30" customHeight="1" thickTop="1" thickBot="1">
      <c r="A102" s="103"/>
      <c r="B102" s="41"/>
      <c r="C102" s="11">
        <v>2345</v>
      </c>
      <c r="D102" s="63" t="s">
        <v>254</v>
      </c>
      <c r="E102" s="64"/>
      <c r="F102" s="12">
        <f t="shared" si="12"/>
        <v>0</v>
      </c>
      <c r="G102" s="41"/>
      <c r="H102" s="41"/>
      <c r="I102" s="41"/>
      <c r="J102" s="41"/>
      <c r="K102" s="41"/>
      <c r="L102" s="41"/>
      <c r="M102" s="41"/>
      <c r="N102" s="41"/>
      <c r="O102" s="41"/>
      <c r="P102" s="41"/>
      <c r="Q102" s="41"/>
      <c r="R102" s="41"/>
      <c r="S102" s="41"/>
    </row>
    <row r="103" spans="1:19" s="1" customFormat="1" ht="30" customHeight="1" thickTop="1" thickBot="1">
      <c r="A103" s="103"/>
      <c r="B103" s="41"/>
      <c r="C103" s="11">
        <v>2346</v>
      </c>
      <c r="D103" s="63" t="s">
        <v>244</v>
      </c>
      <c r="E103" s="64"/>
      <c r="F103" s="12">
        <f t="shared" si="12"/>
        <v>0</v>
      </c>
      <c r="G103" s="41"/>
      <c r="H103" s="41"/>
      <c r="I103" s="41"/>
      <c r="J103" s="41"/>
      <c r="K103" s="41"/>
      <c r="L103" s="41"/>
      <c r="M103" s="41"/>
      <c r="N103" s="41"/>
      <c r="O103" s="41"/>
      <c r="P103" s="41"/>
      <c r="Q103" s="41"/>
      <c r="R103" s="41"/>
      <c r="S103" s="41"/>
    </row>
    <row r="104" spans="1:19" s="1" customFormat="1" ht="30" customHeight="1" thickTop="1" thickBot="1">
      <c r="A104" s="103"/>
      <c r="B104" s="41"/>
      <c r="C104" s="11">
        <v>2347</v>
      </c>
      <c r="D104" s="63"/>
      <c r="E104" s="64"/>
      <c r="F104" s="12">
        <f t="shared" si="12"/>
        <v>0</v>
      </c>
      <c r="G104" s="41"/>
      <c r="H104" s="41"/>
      <c r="I104" s="41"/>
      <c r="J104" s="41"/>
      <c r="K104" s="41"/>
      <c r="L104" s="41"/>
      <c r="M104" s="41"/>
      <c r="N104" s="41"/>
      <c r="O104" s="41"/>
      <c r="P104" s="41"/>
      <c r="Q104" s="41"/>
      <c r="R104" s="41"/>
      <c r="S104" s="41"/>
    </row>
    <row r="105" spans="1:19" s="1" customFormat="1" ht="30" customHeight="1" thickTop="1" thickBot="1">
      <c r="A105" s="103"/>
      <c r="B105" s="41"/>
      <c r="C105" s="11">
        <v>2348</v>
      </c>
      <c r="D105" s="63" t="s">
        <v>255</v>
      </c>
      <c r="E105" s="64"/>
      <c r="F105" s="12">
        <f t="shared" si="12"/>
        <v>0</v>
      </c>
      <c r="G105" s="41"/>
      <c r="H105" s="41"/>
      <c r="I105" s="41"/>
      <c r="J105" s="41"/>
      <c r="K105" s="41"/>
      <c r="L105" s="41"/>
      <c r="M105" s="41"/>
      <c r="N105" s="41"/>
      <c r="O105" s="41"/>
      <c r="P105" s="41"/>
      <c r="Q105" s="41"/>
      <c r="R105" s="41"/>
      <c r="S105" s="41"/>
    </row>
    <row r="106" spans="1:19" s="1" customFormat="1" ht="30" customHeight="1" thickTop="1" thickBot="1">
      <c r="A106" s="103"/>
      <c r="B106" s="41"/>
      <c r="C106" s="11">
        <v>2349</v>
      </c>
      <c r="D106" s="63" t="s">
        <v>256</v>
      </c>
      <c r="E106" s="64"/>
      <c r="F106" s="12">
        <f t="shared" si="12"/>
        <v>0</v>
      </c>
      <c r="G106" s="41"/>
      <c r="H106" s="41"/>
      <c r="I106" s="41"/>
      <c r="J106" s="41"/>
      <c r="K106" s="41"/>
      <c r="L106" s="41"/>
      <c r="M106" s="41"/>
      <c r="N106" s="41"/>
      <c r="O106" s="41"/>
      <c r="P106" s="41"/>
      <c r="Q106" s="41"/>
      <c r="R106" s="41"/>
      <c r="S106" s="41"/>
    </row>
    <row r="107" spans="1:19" s="1" customFormat="1" ht="33.950000000000003" customHeight="1" thickTop="1" thickBot="1">
      <c r="A107" s="103"/>
      <c r="B107" s="41"/>
      <c r="C107" s="10">
        <v>2350</v>
      </c>
      <c r="D107" s="61" t="s">
        <v>257</v>
      </c>
      <c r="E107" s="139">
        <f>IF(ISERROR(SUM(E108:E116)),"",SUM(E108:E116))</f>
        <v>0</v>
      </c>
      <c r="F107" s="144"/>
      <c r="G107" s="41"/>
      <c r="H107" s="41"/>
      <c r="I107" s="41"/>
      <c r="J107" s="41"/>
      <c r="K107" s="41"/>
      <c r="L107" s="41"/>
      <c r="M107" s="41"/>
      <c r="N107" s="41"/>
      <c r="O107" s="41"/>
      <c r="P107" s="41"/>
      <c r="Q107" s="41"/>
      <c r="R107" s="41"/>
      <c r="S107" s="41"/>
    </row>
    <row r="108" spans="1:19" s="1" customFormat="1" ht="33.950000000000003" customHeight="1" thickTop="1" thickBot="1">
      <c r="A108" s="103"/>
      <c r="B108" s="41"/>
      <c r="C108" s="11">
        <v>2351</v>
      </c>
      <c r="D108" s="63" t="s">
        <v>231</v>
      </c>
      <c r="E108" s="64"/>
      <c r="F108" s="12" t="str">
        <f>IF(ISERROR(E108/$E$107),"",E108/$E$107)</f>
        <v/>
      </c>
      <c r="G108" s="41"/>
      <c r="H108" s="41"/>
      <c r="I108" s="41"/>
      <c r="J108" s="41"/>
      <c r="K108" s="41"/>
      <c r="L108" s="41"/>
      <c r="M108" s="41"/>
      <c r="N108" s="41"/>
      <c r="O108" s="41"/>
      <c r="P108" s="41"/>
      <c r="Q108" s="41"/>
      <c r="R108" s="41"/>
      <c r="S108" s="41"/>
    </row>
    <row r="109" spans="1:19" s="1" customFormat="1" ht="33.950000000000003" customHeight="1" thickTop="1" thickBot="1">
      <c r="A109" s="103"/>
      <c r="B109" s="41"/>
      <c r="C109" s="11">
        <v>2352</v>
      </c>
      <c r="D109" s="63" t="s">
        <v>258</v>
      </c>
      <c r="E109" s="64"/>
      <c r="F109" s="12" t="str">
        <f t="shared" ref="F109:F116" si="13">IF(ISERROR(E109/$E$107),"",E109/$E$107)</f>
        <v/>
      </c>
      <c r="G109" s="41"/>
      <c r="H109" s="41"/>
      <c r="I109" s="41"/>
      <c r="J109" s="41"/>
      <c r="K109" s="41"/>
      <c r="L109" s="41"/>
      <c r="M109" s="41"/>
      <c r="N109" s="41"/>
      <c r="O109" s="41"/>
      <c r="P109" s="41"/>
      <c r="Q109" s="41"/>
      <c r="R109" s="41"/>
      <c r="S109" s="41"/>
    </row>
    <row r="110" spans="1:19" s="1" customFormat="1" ht="33.950000000000003" customHeight="1" thickTop="1" thickBot="1">
      <c r="A110" s="103"/>
      <c r="B110" s="41"/>
      <c r="C110" s="11">
        <v>2353</v>
      </c>
      <c r="D110" s="63" t="s">
        <v>259</v>
      </c>
      <c r="E110" s="64"/>
      <c r="F110" s="12" t="str">
        <f t="shared" si="13"/>
        <v/>
      </c>
      <c r="G110" s="41"/>
      <c r="H110" s="41"/>
      <c r="I110" s="41"/>
      <c r="J110" s="41"/>
      <c r="K110" s="41"/>
      <c r="L110" s="41"/>
      <c r="M110" s="41"/>
      <c r="N110" s="41"/>
      <c r="O110" s="41"/>
      <c r="P110" s="41"/>
      <c r="Q110" s="41"/>
      <c r="R110" s="41"/>
      <c r="S110" s="41"/>
    </row>
    <row r="111" spans="1:19" s="1" customFormat="1" ht="33.950000000000003" customHeight="1" thickTop="1" thickBot="1">
      <c r="A111" s="103"/>
      <c r="B111" s="41"/>
      <c r="C111" s="11">
        <v>2354</v>
      </c>
      <c r="D111" s="63" t="s">
        <v>260</v>
      </c>
      <c r="E111" s="64"/>
      <c r="F111" s="12" t="str">
        <f t="shared" si="13"/>
        <v/>
      </c>
      <c r="G111" s="41"/>
      <c r="H111" s="41"/>
      <c r="I111" s="41"/>
      <c r="J111" s="41"/>
      <c r="K111" s="41"/>
      <c r="L111" s="41"/>
      <c r="M111" s="41"/>
      <c r="N111" s="41"/>
      <c r="O111" s="41"/>
      <c r="P111" s="41"/>
      <c r="Q111" s="41"/>
      <c r="R111" s="41"/>
      <c r="S111" s="41"/>
    </row>
    <row r="112" spans="1:19" s="1" customFormat="1" ht="33.950000000000003" customHeight="1" thickTop="1" thickBot="1">
      <c r="A112" s="103"/>
      <c r="B112" s="41"/>
      <c r="C112" s="11">
        <v>2355</v>
      </c>
      <c r="D112" s="63" t="s">
        <v>261</v>
      </c>
      <c r="E112" s="64"/>
      <c r="F112" s="12" t="str">
        <f t="shared" si="13"/>
        <v/>
      </c>
      <c r="G112" s="41"/>
      <c r="H112" s="41"/>
      <c r="I112" s="41"/>
      <c r="J112" s="41"/>
      <c r="K112" s="41"/>
      <c r="L112" s="41"/>
      <c r="M112" s="41"/>
      <c r="N112" s="41"/>
      <c r="O112" s="41"/>
      <c r="P112" s="41"/>
      <c r="Q112" s="41"/>
      <c r="R112" s="41"/>
      <c r="S112" s="41"/>
    </row>
    <row r="113" spans="1:19" s="1" customFormat="1" ht="33.950000000000003" customHeight="1" thickTop="1" thickBot="1">
      <c r="A113" s="103"/>
      <c r="B113" s="41"/>
      <c r="C113" s="11">
        <v>2356</v>
      </c>
      <c r="D113" s="63" t="s">
        <v>262</v>
      </c>
      <c r="E113" s="64"/>
      <c r="F113" s="12" t="str">
        <f t="shared" si="13"/>
        <v/>
      </c>
      <c r="G113" s="41"/>
      <c r="H113" s="41"/>
      <c r="I113" s="41"/>
      <c r="J113" s="41"/>
      <c r="K113" s="41"/>
      <c r="L113" s="41"/>
      <c r="M113" s="41"/>
      <c r="N113" s="41"/>
      <c r="O113" s="41"/>
      <c r="P113" s="41"/>
      <c r="Q113" s="41"/>
      <c r="R113" s="41"/>
      <c r="S113" s="41"/>
    </row>
    <row r="114" spans="1:19" s="1" customFormat="1" ht="33.950000000000003" customHeight="1" thickTop="1" thickBot="1">
      <c r="A114" s="103"/>
      <c r="B114" s="41"/>
      <c r="C114" s="11">
        <v>2357</v>
      </c>
      <c r="D114" s="63"/>
      <c r="E114" s="64"/>
      <c r="F114" s="12" t="str">
        <f t="shared" si="13"/>
        <v/>
      </c>
      <c r="G114" s="41"/>
      <c r="H114" s="41"/>
      <c r="I114" s="41"/>
      <c r="J114" s="41"/>
      <c r="K114" s="41"/>
      <c r="L114" s="41"/>
      <c r="M114" s="41"/>
      <c r="N114" s="41"/>
      <c r="O114" s="41"/>
      <c r="P114" s="41"/>
      <c r="Q114" s="41"/>
      <c r="R114" s="41"/>
      <c r="S114" s="41"/>
    </row>
    <row r="115" spans="1:19" s="1" customFormat="1" ht="33.950000000000003" customHeight="1" thickTop="1" thickBot="1">
      <c r="A115" s="103"/>
      <c r="B115" s="41"/>
      <c r="C115" s="11">
        <v>2358</v>
      </c>
      <c r="D115" s="63"/>
      <c r="E115" s="64"/>
      <c r="F115" s="12" t="str">
        <f t="shared" si="13"/>
        <v/>
      </c>
      <c r="G115" s="41"/>
      <c r="H115" s="41"/>
      <c r="I115" s="41"/>
      <c r="J115" s="41"/>
      <c r="K115" s="41"/>
      <c r="L115" s="41"/>
      <c r="M115" s="41"/>
      <c r="N115" s="41"/>
      <c r="O115" s="41"/>
      <c r="P115" s="41"/>
      <c r="Q115" s="41"/>
      <c r="R115" s="41"/>
      <c r="S115" s="41"/>
    </row>
    <row r="116" spans="1:19" s="1" customFormat="1" ht="33.950000000000003" customHeight="1" thickTop="1" thickBot="1">
      <c r="A116" s="103"/>
      <c r="B116" s="41"/>
      <c r="C116" s="11">
        <v>2359</v>
      </c>
      <c r="D116" s="63" t="s">
        <v>263</v>
      </c>
      <c r="E116" s="64"/>
      <c r="F116" s="12" t="str">
        <f t="shared" si="13"/>
        <v/>
      </c>
      <c r="G116" s="41"/>
      <c r="H116" s="41"/>
      <c r="I116" s="41"/>
      <c r="J116" s="41"/>
      <c r="K116" s="41"/>
      <c r="L116" s="41"/>
      <c r="M116" s="41"/>
      <c r="N116" s="41"/>
      <c r="O116" s="41"/>
      <c r="P116" s="41"/>
      <c r="Q116" s="41"/>
      <c r="R116" s="41"/>
      <c r="S116" s="41"/>
    </row>
    <row r="117" spans="1:19" s="1" customFormat="1" ht="33.950000000000003" customHeight="1" thickTop="1" thickBot="1">
      <c r="A117" s="103"/>
      <c r="B117" s="41"/>
      <c r="C117" s="10">
        <v>2360</v>
      </c>
      <c r="D117" s="61" t="s">
        <v>264</v>
      </c>
      <c r="E117" s="139">
        <f>IF(ISERROR(SUM(E118:E126)),"",SUM(E118:E126))</f>
        <v>0</v>
      </c>
      <c r="F117" s="144"/>
      <c r="G117" s="41"/>
      <c r="H117" s="41"/>
      <c r="I117" s="41"/>
      <c r="J117" s="41"/>
      <c r="K117" s="41"/>
      <c r="L117" s="41"/>
      <c r="M117" s="41"/>
      <c r="N117" s="41"/>
      <c r="O117" s="41"/>
      <c r="P117" s="41"/>
      <c r="Q117" s="41"/>
      <c r="R117" s="41"/>
      <c r="S117" s="41"/>
    </row>
    <row r="118" spans="1:19" s="1" customFormat="1" ht="33.950000000000003" customHeight="1" thickTop="1" thickBot="1">
      <c r="A118" s="103"/>
      <c r="B118" s="41"/>
      <c r="C118" s="11">
        <v>2361</v>
      </c>
      <c r="D118" s="63" t="s">
        <v>231</v>
      </c>
      <c r="E118" s="64"/>
      <c r="F118" s="12" t="str">
        <f>IF(ISERROR(E118/$E$117),"",E118/$E$117)</f>
        <v/>
      </c>
      <c r="G118" s="41"/>
      <c r="H118" s="41"/>
      <c r="I118" s="41"/>
      <c r="J118" s="41"/>
      <c r="K118" s="41"/>
      <c r="L118" s="41"/>
      <c r="M118" s="41"/>
      <c r="N118" s="41"/>
      <c r="O118" s="41"/>
      <c r="P118" s="41"/>
      <c r="Q118" s="41"/>
      <c r="R118" s="41"/>
      <c r="S118" s="41"/>
    </row>
    <row r="119" spans="1:19" s="1" customFormat="1" ht="33.950000000000003" customHeight="1" thickTop="1" thickBot="1">
      <c r="A119" s="103"/>
      <c r="B119" s="41"/>
      <c r="C119" s="11">
        <v>2362</v>
      </c>
      <c r="D119" s="63" t="s">
        <v>265</v>
      </c>
      <c r="E119" s="64"/>
      <c r="F119" s="12" t="str">
        <f t="shared" ref="F119:F126" si="14">IF(ISERROR(E119/$E$117),"",E119/$E$117)</f>
        <v/>
      </c>
      <c r="G119" s="41"/>
      <c r="H119" s="41"/>
      <c r="I119" s="41"/>
      <c r="J119" s="41"/>
      <c r="K119" s="41"/>
      <c r="L119" s="41"/>
      <c r="M119" s="41"/>
      <c r="N119" s="41"/>
      <c r="O119" s="41"/>
      <c r="P119" s="41"/>
      <c r="Q119" s="41"/>
      <c r="R119" s="41"/>
      <c r="S119" s="41"/>
    </row>
    <row r="120" spans="1:19" s="1" customFormat="1" ht="33.950000000000003" customHeight="1" thickTop="1" thickBot="1">
      <c r="A120" s="103"/>
      <c r="B120" s="41"/>
      <c r="C120" s="11">
        <v>2363</v>
      </c>
      <c r="D120" s="63" t="s">
        <v>266</v>
      </c>
      <c r="E120" s="64"/>
      <c r="F120" s="12" t="str">
        <f t="shared" si="14"/>
        <v/>
      </c>
      <c r="G120" s="41"/>
      <c r="H120" s="41"/>
      <c r="I120" s="41"/>
      <c r="J120" s="41"/>
      <c r="K120" s="41"/>
      <c r="L120" s="41"/>
      <c r="M120" s="41"/>
      <c r="N120" s="41"/>
      <c r="O120" s="41"/>
      <c r="P120" s="41"/>
      <c r="Q120" s="41"/>
      <c r="R120" s="41"/>
      <c r="S120" s="41"/>
    </row>
    <row r="121" spans="1:19" s="1" customFormat="1" ht="33.950000000000003" customHeight="1" thickTop="1" thickBot="1">
      <c r="A121" s="103"/>
      <c r="B121" s="41"/>
      <c r="C121" s="11">
        <v>2364</v>
      </c>
      <c r="D121" s="63" t="s">
        <v>259</v>
      </c>
      <c r="E121" s="64"/>
      <c r="F121" s="12" t="str">
        <f t="shared" si="14"/>
        <v/>
      </c>
      <c r="G121" s="41"/>
      <c r="H121" s="41"/>
      <c r="I121" s="41"/>
      <c r="J121" s="41"/>
      <c r="K121" s="41"/>
      <c r="L121" s="41"/>
      <c r="M121" s="41"/>
      <c r="N121" s="41"/>
      <c r="O121" s="41"/>
      <c r="P121" s="41"/>
      <c r="Q121" s="41"/>
      <c r="R121" s="41"/>
      <c r="S121" s="41"/>
    </row>
    <row r="122" spans="1:19" s="1" customFormat="1" ht="33.950000000000003" customHeight="1" thickTop="1" thickBot="1">
      <c r="A122" s="103"/>
      <c r="B122" s="41"/>
      <c r="C122" s="11">
        <v>2365</v>
      </c>
      <c r="D122" s="63" t="s">
        <v>260</v>
      </c>
      <c r="E122" s="64"/>
      <c r="F122" s="12" t="str">
        <f t="shared" si="14"/>
        <v/>
      </c>
      <c r="G122" s="41"/>
      <c r="H122" s="41"/>
      <c r="I122" s="41"/>
      <c r="J122" s="41"/>
      <c r="K122" s="41"/>
      <c r="L122" s="41"/>
      <c r="M122" s="41"/>
      <c r="N122" s="41"/>
      <c r="O122" s="41"/>
      <c r="P122" s="41"/>
      <c r="Q122" s="41"/>
      <c r="R122" s="41"/>
      <c r="S122" s="41"/>
    </row>
    <row r="123" spans="1:19" s="1" customFormat="1" ht="33.950000000000003" customHeight="1" thickTop="1" thickBot="1">
      <c r="A123" s="103"/>
      <c r="B123" s="41"/>
      <c r="C123" s="11">
        <v>2366</v>
      </c>
      <c r="D123" s="63" t="s">
        <v>267</v>
      </c>
      <c r="E123" s="64"/>
      <c r="F123" s="12" t="str">
        <f t="shared" si="14"/>
        <v/>
      </c>
      <c r="G123" s="41"/>
      <c r="H123" s="41"/>
      <c r="I123" s="41"/>
      <c r="J123" s="41"/>
      <c r="K123" s="41"/>
      <c r="L123" s="41"/>
      <c r="M123" s="41"/>
      <c r="N123" s="41"/>
      <c r="O123" s="41"/>
      <c r="P123" s="41"/>
      <c r="Q123" s="41"/>
      <c r="R123" s="41"/>
      <c r="S123" s="41"/>
    </row>
    <row r="124" spans="1:19" s="1" customFormat="1" ht="33.950000000000003" customHeight="1" thickTop="1" thickBot="1">
      <c r="A124" s="103"/>
      <c r="B124" s="41"/>
      <c r="C124" s="11">
        <v>2367</v>
      </c>
      <c r="D124" s="63" t="s">
        <v>237</v>
      </c>
      <c r="E124" s="64"/>
      <c r="F124" s="12" t="str">
        <f t="shared" si="14"/>
        <v/>
      </c>
      <c r="G124" s="41"/>
      <c r="H124" s="41"/>
      <c r="I124" s="41"/>
      <c r="J124" s="41"/>
      <c r="K124" s="41"/>
      <c r="L124" s="41"/>
      <c r="M124" s="41"/>
      <c r="N124" s="41"/>
      <c r="O124" s="41"/>
      <c r="P124" s="41"/>
      <c r="Q124" s="41"/>
      <c r="R124" s="41"/>
      <c r="S124" s="41"/>
    </row>
    <row r="125" spans="1:19" s="1" customFormat="1" ht="33.950000000000003" customHeight="1" thickTop="1" thickBot="1">
      <c r="A125" s="103"/>
      <c r="B125" s="41"/>
      <c r="C125" s="11">
        <v>2368</v>
      </c>
      <c r="D125" s="63"/>
      <c r="E125" s="64"/>
      <c r="F125" s="12" t="str">
        <f t="shared" si="14"/>
        <v/>
      </c>
      <c r="G125" s="41"/>
      <c r="H125" s="41"/>
      <c r="I125" s="41"/>
      <c r="J125" s="41"/>
      <c r="K125" s="41"/>
      <c r="L125" s="41"/>
      <c r="M125" s="41"/>
      <c r="N125" s="41"/>
      <c r="O125" s="41"/>
      <c r="P125" s="41"/>
      <c r="Q125" s="41"/>
      <c r="R125" s="41"/>
      <c r="S125" s="41"/>
    </row>
    <row r="126" spans="1:19" s="1" customFormat="1" ht="33.950000000000003" customHeight="1" thickTop="1" thickBot="1">
      <c r="A126" s="103"/>
      <c r="B126" s="41"/>
      <c r="C126" s="11">
        <v>2369</v>
      </c>
      <c r="D126" s="63" t="s">
        <v>268</v>
      </c>
      <c r="E126" s="64"/>
      <c r="F126" s="12" t="str">
        <f t="shared" si="14"/>
        <v/>
      </c>
      <c r="G126" s="41"/>
      <c r="H126" s="41"/>
      <c r="I126" s="41"/>
      <c r="J126" s="41"/>
      <c r="K126" s="41"/>
      <c r="L126" s="41"/>
      <c r="M126" s="41"/>
      <c r="N126" s="41"/>
      <c r="O126" s="41"/>
      <c r="P126" s="41"/>
      <c r="Q126" s="41"/>
      <c r="R126" s="41"/>
      <c r="S126" s="41"/>
    </row>
    <row r="127" spans="1:19" s="1" customFormat="1" ht="33.950000000000003" customHeight="1" thickTop="1" thickBot="1">
      <c r="A127" s="103"/>
      <c r="B127" s="41"/>
      <c r="C127" s="10">
        <v>2370</v>
      </c>
      <c r="D127" s="61" t="s">
        <v>269</v>
      </c>
      <c r="E127" s="139">
        <f>IF(ISERROR(SUM(E128:E136)),"",SUM(E128:E136))</f>
        <v>0</v>
      </c>
      <c r="F127" s="144"/>
      <c r="G127" s="41"/>
      <c r="H127" s="41"/>
      <c r="I127" s="41"/>
      <c r="J127" s="41"/>
      <c r="K127" s="41"/>
      <c r="L127" s="41"/>
      <c r="M127" s="41"/>
      <c r="N127" s="41"/>
      <c r="O127" s="41"/>
      <c r="P127" s="41"/>
      <c r="Q127" s="41"/>
      <c r="R127" s="41"/>
      <c r="S127" s="41"/>
    </row>
    <row r="128" spans="1:19" s="1" customFormat="1" ht="33.950000000000003" customHeight="1" thickTop="1" thickBot="1">
      <c r="A128" s="103"/>
      <c r="B128" s="41"/>
      <c r="C128" s="11">
        <v>2371</v>
      </c>
      <c r="D128" s="63"/>
      <c r="E128" s="64"/>
      <c r="F128" s="12" t="str">
        <f>IF(ISERROR(E128/$E$127),"",E128/$E$127)</f>
        <v/>
      </c>
      <c r="G128" s="41"/>
      <c r="H128" s="41"/>
      <c r="I128" s="41"/>
      <c r="J128" s="41"/>
      <c r="K128" s="41"/>
      <c r="L128" s="41"/>
      <c r="M128" s="41"/>
      <c r="N128" s="41"/>
      <c r="O128" s="41"/>
      <c r="P128" s="41"/>
      <c r="Q128" s="41"/>
      <c r="R128" s="41"/>
      <c r="S128" s="41"/>
    </row>
    <row r="129" spans="1:19" s="1" customFormat="1" ht="33.950000000000003" customHeight="1" thickTop="1" thickBot="1">
      <c r="A129" s="103"/>
      <c r="B129" s="41"/>
      <c r="C129" s="11">
        <v>2372</v>
      </c>
      <c r="D129" s="63"/>
      <c r="E129" s="64"/>
      <c r="F129" s="12" t="str">
        <f t="shared" ref="F129:F136" si="15">IF(ISERROR(E129/$E$127),"",E129/$E$127)</f>
        <v/>
      </c>
      <c r="G129" s="41"/>
      <c r="H129" s="41"/>
      <c r="I129" s="41"/>
      <c r="J129" s="41"/>
      <c r="K129" s="41"/>
      <c r="L129" s="41"/>
      <c r="M129" s="41"/>
      <c r="N129" s="41"/>
      <c r="O129" s="41"/>
      <c r="P129" s="41"/>
      <c r="Q129" s="41"/>
      <c r="R129" s="41"/>
      <c r="S129" s="41"/>
    </row>
    <row r="130" spans="1:19" s="1" customFormat="1" ht="33.950000000000003" customHeight="1" thickTop="1" thickBot="1">
      <c r="A130" s="103"/>
      <c r="B130" s="41"/>
      <c r="C130" s="11">
        <v>2373</v>
      </c>
      <c r="D130" s="63"/>
      <c r="E130" s="64"/>
      <c r="F130" s="12" t="str">
        <f t="shared" si="15"/>
        <v/>
      </c>
      <c r="G130" s="41"/>
      <c r="H130" s="41"/>
      <c r="I130" s="41"/>
      <c r="J130" s="41"/>
      <c r="K130" s="41"/>
      <c r="L130" s="41"/>
      <c r="M130" s="41"/>
      <c r="N130" s="41"/>
      <c r="O130" s="41"/>
      <c r="P130" s="41"/>
      <c r="Q130" s="41"/>
      <c r="R130" s="41"/>
      <c r="S130" s="41"/>
    </row>
    <row r="131" spans="1:19" s="1" customFormat="1" ht="33.950000000000003" customHeight="1" thickTop="1" thickBot="1">
      <c r="A131" s="103"/>
      <c r="B131" s="41"/>
      <c r="C131" s="11">
        <v>2374</v>
      </c>
      <c r="D131" s="63"/>
      <c r="E131" s="64"/>
      <c r="F131" s="12" t="str">
        <f t="shared" si="15"/>
        <v/>
      </c>
      <c r="G131" s="41"/>
      <c r="H131" s="41"/>
      <c r="I131" s="41"/>
      <c r="J131" s="41"/>
      <c r="K131" s="41"/>
      <c r="L131" s="41"/>
      <c r="M131" s="41"/>
      <c r="N131" s="41"/>
      <c r="O131" s="41"/>
      <c r="P131" s="41"/>
      <c r="Q131" s="41"/>
      <c r="R131" s="41"/>
      <c r="S131" s="41"/>
    </row>
    <row r="132" spans="1:19" s="1" customFormat="1" ht="33.950000000000003" customHeight="1" thickTop="1" thickBot="1">
      <c r="A132" s="103"/>
      <c r="B132" s="41"/>
      <c r="C132" s="11">
        <v>2375</v>
      </c>
      <c r="D132" s="63"/>
      <c r="E132" s="64"/>
      <c r="F132" s="12" t="str">
        <f t="shared" si="15"/>
        <v/>
      </c>
      <c r="G132" s="41"/>
      <c r="H132" s="41"/>
      <c r="I132" s="41"/>
      <c r="J132" s="41"/>
      <c r="K132" s="41"/>
      <c r="L132" s="41"/>
      <c r="M132" s="41"/>
      <c r="N132" s="41"/>
      <c r="O132" s="41"/>
      <c r="P132" s="41"/>
      <c r="Q132" s="41"/>
      <c r="R132" s="41"/>
      <c r="S132" s="41"/>
    </row>
    <row r="133" spans="1:19" s="1" customFormat="1" ht="33.950000000000003" customHeight="1" thickTop="1" thickBot="1">
      <c r="A133" s="103"/>
      <c r="B133" s="41"/>
      <c r="C133" s="11">
        <v>2376</v>
      </c>
      <c r="D133" s="63"/>
      <c r="E133" s="64"/>
      <c r="F133" s="12" t="str">
        <f t="shared" si="15"/>
        <v/>
      </c>
      <c r="G133" s="41"/>
      <c r="H133" s="41"/>
      <c r="I133" s="41"/>
      <c r="J133" s="41"/>
      <c r="K133" s="41"/>
      <c r="L133" s="41"/>
      <c r="M133" s="41"/>
      <c r="N133" s="41"/>
      <c r="O133" s="41"/>
      <c r="P133" s="41"/>
      <c r="Q133" s="41"/>
      <c r="R133" s="41"/>
      <c r="S133" s="41"/>
    </row>
    <row r="134" spans="1:19" s="1" customFormat="1" ht="33.950000000000003" customHeight="1" thickTop="1" thickBot="1">
      <c r="A134" s="103"/>
      <c r="B134" s="41"/>
      <c r="C134" s="11">
        <v>2377</v>
      </c>
      <c r="D134" s="63"/>
      <c r="E134" s="64"/>
      <c r="F134" s="12" t="str">
        <f t="shared" si="15"/>
        <v/>
      </c>
      <c r="G134" s="41"/>
      <c r="H134" s="41"/>
      <c r="I134" s="41"/>
      <c r="J134" s="41"/>
      <c r="K134" s="41"/>
      <c r="L134" s="41"/>
      <c r="M134" s="41"/>
      <c r="N134" s="41"/>
      <c r="O134" s="41"/>
      <c r="P134" s="41"/>
      <c r="Q134" s="41"/>
      <c r="R134" s="41"/>
      <c r="S134" s="41"/>
    </row>
    <row r="135" spans="1:19" s="1" customFormat="1" ht="33.950000000000003" customHeight="1" thickTop="1" thickBot="1">
      <c r="A135" s="103"/>
      <c r="B135" s="41"/>
      <c r="C135" s="11">
        <v>2378</v>
      </c>
      <c r="D135" s="63"/>
      <c r="E135" s="64"/>
      <c r="F135" s="12" t="str">
        <f t="shared" si="15"/>
        <v/>
      </c>
      <c r="G135" s="41"/>
      <c r="H135" s="41"/>
      <c r="I135" s="41"/>
      <c r="J135" s="41"/>
      <c r="K135" s="41"/>
      <c r="L135" s="41"/>
      <c r="M135" s="41"/>
      <c r="N135" s="41"/>
      <c r="O135" s="41"/>
      <c r="P135" s="41"/>
      <c r="Q135" s="41"/>
      <c r="R135" s="41"/>
      <c r="S135" s="41"/>
    </row>
    <row r="136" spans="1:19" s="1" customFormat="1" ht="33.950000000000003" customHeight="1" thickTop="1" thickBot="1">
      <c r="A136" s="103"/>
      <c r="B136" s="41"/>
      <c r="C136" s="11">
        <v>2379</v>
      </c>
      <c r="D136" s="63"/>
      <c r="E136" s="64"/>
      <c r="F136" s="12" t="str">
        <f t="shared" si="15"/>
        <v/>
      </c>
      <c r="G136" s="41"/>
      <c r="H136" s="41"/>
      <c r="I136" s="41"/>
      <c r="J136" s="41"/>
      <c r="K136" s="41"/>
      <c r="L136" s="41"/>
      <c r="M136" s="41"/>
      <c r="N136" s="41"/>
      <c r="O136" s="41"/>
      <c r="P136" s="41"/>
      <c r="Q136" s="41"/>
      <c r="R136" s="41"/>
      <c r="S136" s="41"/>
    </row>
    <row r="137" spans="1:19" s="1" customFormat="1" ht="33.950000000000003" customHeight="1" thickTop="1" thickBot="1">
      <c r="A137" s="103"/>
      <c r="B137" s="41"/>
      <c r="C137" s="10">
        <v>2380</v>
      </c>
      <c r="D137" s="61" t="s">
        <v>270</v>
      </c>
      <c r="E137" s="139">
        <f>IF(ISERROR(SUM(E138:E146)),"",SUM(E138:E146))</f>
        <v>0</v>
      </c>
      <c r="F137" s="144"/>
      <c r="G137" s="41"/>
      <c r="H137" s="41"/>
      <c r="I137" s="41"/>
      <c r="J137" s="41"/>
      <c r="K137" s="41"/>
      <c r="L137" s="41"/>
      <c r="M137" s="41"/>
      <c r="N137" s="41"/>
      <c r="O137" s="41"/>
      <c r="P137" s="41"/>
      <c r="Q137" s="41"/>
      <c r="R137" s="41"/>
      <c r="S137" s="41"/>
    </row>
    <row r="138" spans="1:19" s="1" customFormat="1" ht="33.950000000000003" customHeight="1" thickTop="1" thickBot="1">
      <c r="A138" s="103"/>
      <c r="B138" s="41"/>
      <c r="C138" s="11">
        <v>2381</v>
      </c>
      <c r="D138" s="63"/>
      <c r="E138" s="64"/>
      <c r="F138" s="12" t="str">
        <f>IF(ISERROR(E138/$E$137),"",E138/$E$137)</f>
        <v/>
      </c>
      <c r="G138" s="41"/>
      <c r="H138" s="41"/>
      <c r="I138" s="41"/>
      <c r="J138" s="41"/>
      <c r="K138" s="41"/>
      <c r="L138" s="41"/>
      <c r="M138" s="41"/>
      <c r="N138" s="41"/>
      <c r="O138" s="41"/>
      <c r="P138" s="41"/>
      <c r="Q138" s="41"/>
      <c r="R138" s="41"/>
      <c r="S138" s="41"/>
    </row>
    <row r="139" spans="1:19" s="1" customFormat="1" ht="33.950000000000003" customHeight="1" thickTop="1" thickBot="1">
      <c r="A139" s="103"/>
      <c r="B139" s="41"/>
      <c r="C139" s="11">
        <v>2382</v>
      </c>
      <c r="D139" s="63"/>
      <c r="E139" s="64"/>
      <c r="F139" s="12" t="str">
        <f t="shared" ref="F139:F146" si="16">IF(ISERROR(E139/$E$137),"",E139/$E$137)</f>
        <v/>
      </c>
      <c r="G139" s="41"/>
      <c r="H139" s="41"/>
      <c r="I139" s="41"/>
      <c r="J139" s="41"/>
      <c r="K139" s="41"/>
      <c r="L139" s="41"/>
      <c r="M139" s="41"/>
      <c r="N139" s="41"/>
      <c r="O139" s="41"/>
      <c r="P139" s="41"/>
      <c r="Q139" s="41"/>
      <c r="R139" s="41"/>
      <c r="S139" s="41"/>
    </row>
    <row r="140" spans="1:19" s="1" customFormat="1" ht="33.950000000000003" customHeight="1" thickTop="1" thickBot="1">
      <c r="A140" s="103"/>
      <c r="B140" s="41"/>
      <c r="C140" s="11">
        <v>2383</v>
      </c>
      <c r="D140" s="63"/>
      <c r="E140" s="64"/>
      <c r="F140" s="12" t="str">
        <f t="shared" si="16"/>
        <v/>
      </c>
      <c r="G140" s="41"/>
      <c r="H140" s="41"/>
      <c r="I140" s="41"/>
      <c r="J140" s="41"/>
      <c r="K140" s="41"/>
      <c r="L140" s="41"/>
      <c r="M140" s="41"/>
      <c r="N140" s="41"/>
      <c r="O140" s="41"/>
      <c r="P140" s="41"/>
      <c r="Q140" s="41"/>
      <c r="R140" s="41"/>
      <c r="S140" s="41"/>
    </row>
    <row r="141" spans="1:19" s="1" customFormat="1" ht="33.950000000000003" customHeight="1" thickTop="1" thickBot="1">
      <c r="A141" s="103"/>
      <c r="B141" s="41"/>
      <c r="C141" s="11">
        <v>2384</v>
      </c>
      <c r="D141" s="63"/>
      <c r="E141" s="64"/>
      <c r="F141" s="12" t="str">
        <f t="shared" si="16"/>
        <v/>
      </c>
      <c r="G141" s="41"/>
      <c r="H141" s="41"/>
      <c r="I141" s="41"/>
      <c r="J141" s="41"/>
      <c r="K141" s="41"/>
      <c r="L141" s="41"/>
      <c r="M141" s="41"/>
      <c r="N141" s="41"/>
      <c r="O141" s="41"/>
      <c r="P141" s="41"/>
      <c r="Q141" s="41"/>
      <c r="R141" s="41"/>
      <c r="S141" s="41"/>
    </row>
    <row r="142" spans="1:19" s="1" customFormat="1" ht="33.950000000000003" customHeight="1" thickTop="1" thickBot="1">
      <c r="A142" s="103"/>
      <c r="B142" s="41"/>
      <c r="C142" s="11">
        <v>2385</v>
      </c>
      <c r="D142" s="63"/>
      <c r="E142" s="64"/>
      <c r="F142" s="12" t="str">
        <f t="shared" si="16"/>
        <v/>
      </c>
      <c r="G142" s="41"/>
      <c r="H142" s="41"/>
      <c r="I142" s="41"/>
      <c r="J142" s="41"/>
      <c r="K142" s="41"/>
      <c r="L142" s="41"/>
      <c r="M142" s="41"/>
      <c r="N142" s="41"/>
      <c r="O142" s="41"/>
      <c r="P142" s="41"/>
      <c r="Q142" s="41"/>
      <c r="R142" s="41"/>
      <c r="S142" s="41"/>
    </row>
    <row r="143" spans="1:19" s="1" customFormat="1" ht="33.950000000000003" customHeight="1" thickTop="1" thickBot="1">
      <c r="A143" s="103"/>
      <c r="B143" s="41"/>
      <c r="C143" s="11">
        <v>2386</v>
      </c>
      <c r="D143" s="63"/>
      <c r="E143" s="64"/>
      <c r="F143" s="12" t="str">
        <f t="shared" si="16"/>
        <v/>
      </c>
      <c r="G143" s="41"/>
      <c r="H143" s="41"/>
      <c r="I143" s="41"/>
      <c r="J143" s="41"/>
      <c r="K143" s="41"/>
      <c r="L143" s="41"/>
      <c r="M143" s="41"/>
      <c r="N143" s="41"/>
      <c r="O143" s="41"/>
      <c r="P143" s="41"/>
      <c r="Q143" s="41"/>
      <c r="R143" s="41"/>
      <c r="S143" s="41"/>
    </row>
    <row r="144" spans="1:19" s="1" customFormat="1" ht="33.950000000000003" customHeight="1" thickTop="1" thickBot="1">
      <c r="A144" s="103"/>
      <c r="B144" s="41"/>
      <c r="C144" s="11">
        <v>2387</v>
      </c>
      <c r="D144" s="63"/>
      <c r="E144" s="64"/>
      <c r="F144" s="12" t="str">
        <f t="shared" si="16"/>
        <v/>
      </c>
      <c r="G144" s="41"/>
      <c r="H144" s="41"/>
      <c r="I144" s="41"/>
      <c r="J144" s="41"/>
      <c r="K144" s="41"/>
      <c r="L144" s="41"/>
      <c r="M144" s="41"/>
      <c r="N144" s="41"/>
      <c r="O144" s="41"/>
      <c r="P144" s="41"/>
      <c r="Q144" s="41"/>
      <c r="R144" s="41"/>
      <c r="S144" s="41"/>
    </row>
    <row r="145" spans="1:19" s="1" customFormat="1" ht="33.950000000000003" customHeight="1" thickTop="1" thickBot="1">
      <c r="A145" s="103"/>
      <c r="B145" s="41"/>
      <c r="C145" s="11">
        <v>2388</v>
      </c>
      <c r="D145" s="63"/>
      <c r="E145" s="64"/>
      <c r="F145" s="12" t="str">
        <f t="shared" si="16"/>
        <v/>
      </c>
      <c r="G145" s="41"/>
      <c r="H145" s="41"/>
      <c r="I145" s="41"/>
      <c r="J145" s="41"/>
      <c r="K145" s="41"/>
      <c r="L145" s="41"/>
      <c r="M145" s="41"/>
      <c r="N145" s="41"/>
      <c r="O145" s="41"/>
      <c r="P145" s="41"/>
      <c r="Q145" s="41"/>
      <c r="R145" s="41"/>
      <c r="S145" s="41"/>
    </row>
    <row r="146" spans="1:19" s="1" customFormat="1" ht="33.950000000000003" customHeight="1" thickTop="1" thickBot="1">
      <c r="A146" s="103"/>
      <c r="B146" s="41"/>
      <c r="C146" s="11">
        <v>2389</v>
      </c>
      <c r="D146" s="63"/>
      <c r="E146" s="64"/>
      <c r="F146" s="12" t="str">
        <f t="shared" si="16"/>
        <v/>
      </c>
      <c r="G146" s="41"/>
      <c r="H146" s="41"/>
      <c r="I146" s="41"/>
      <c r="J146" s="41"/>
      <c r="K146" s="41"/>
      <c r="L146" s="41"/>
      <c r="M146" s="41"/>
      <c r="N146" s="41"/>
      <c r="O146" s="41"/>
      <c r="P146" s="41"/>
      <c r="Q146" s="41"/>
      <c r="R146" s="41"/>
      <c r="S146" s="41"/>
    </row>
    <row r="147" spans="1:19" s="1" customFormat="1" ht="33.950000000000003" customHeight="1" thickTop="1" thickBot="1">
      <c r="A147" s="103"/>
      <c r="B147" s="41"/>
      <c r="C147" s="10">
        <v>2390</v>
      </c>
      <c r="D147" s="61" t="s">
        <v>271</v>
      </c>
      <c r="E147" s="126">
        <f>IF(ISERROR(SUM(E148:E156)),"",SUM(E148:E156))</f>
        <v>-12000</v>
      </c>
      <c r="F147" s="127"/>
      <c r="G147" s="41"/>
      <c r="H147" s="41"/>
      <c r="I147" s="41"/>
      <c r="J147" s="41"/>
      <c r="K147" s="41"/>
      <c r="L147" s="41"/>
      <c r="M147" s="41"/>
      <c r="N147" s="41"/>
      <c r="O147" s="41"/>
      <c r="P147" s="41"/>
      <c r="Q147" s="41"/>
      <c r="R147" s="41"/>
      <c r="S147" s="41"/>
    </row>
    <row r="148" spans="1:19" s="1" customFormat="1" ht="33.950000000000003" customHeight="1" thickTop="1" thickBot="1">
      <c r="A148" s="103"/>
      <c r="B148" s="41"/>
      <c r="C148" s="11">
        <v>2391</v>
      </c>
      <c r="D148" s="63" t="s">
        <v>594</v>
      </c>
      <c r="E148" s="64">
        <v>-12000</v>
      </c>
      <c r="F148" s="12">
        <f>IF(ISERROR(E148/$E$147),"",E148/$E$147)</f>
        <v>1</v>
      </c>
      <c r="G148" s="41"/>
      <c r="H148" s="41"/>
      <c r="I148" s="41"/>
      <c r="J148" s="41"/>
      <c r="K148" s="41"/>
      <c r="L148" s="41"/>
      <c r="M148" s="41"/>
      <c r="N148" s="41"/>
      <c r="O148" s="41"/>
      <c r="P148" s="41"/>
      <c r="Q148" s="41"/>
      <c r="R148" s="41"/>
      <c r="S148" s="41"/>
    </row>
    <row r="149" spans="1:19" s="1" customFormat="1" ht="33.950000000000003" customHeight="1" thickTop="1" thickBot="1">
      <c r="A149" s="103"/>
      <c r="B149" s="41"/>
      <c r="C149" s="11">
        <v>2392</v>
      </c>
      <c r="D149" s="63"/>
      <c r="E149" s="64"/>
      <c r="F149" s="12">
        <f t="shared" ref="F149:F156" si="17">IF(ISERROR(E149/$E$147),"",E149/$E$147)</f>
        <v>0</v>
      </c>
      <c r="G149" s="41"/>
      <c r="H149" s="41"/>
      <c r="I149" s="41"/>
      <c r="J149" s="41"/>
      <c r="K149" s="41"/>
      <c r="L149" s="41"/>
      <c r="M149" s="41"/>
      <c r="N149" s="41"/>
      <c r="O149" s="41"/>
      <c r="P149" s="41"/>
      <c r="Q149" s="41"/>
      <c r="R149" s="41"/>
      <c r="S149" s="41"/>
    </row>
    <row r="150" spans="1:19" s="1" customFormat="1" ht="33.950000000000003" customHeight="1" thickTop="1" thickBot="1">
      <c r="A150" s="103"/>
      <c r="B150" s="41"/>
      <c r="C150" s="11">
        <v>2393</v>
      </c>
      <c r="D150" s="63"/>
      <c r="E150" s="64"/>
      <c r="F150" s="12">
        <f t="shared" si="17"/>
        <v>0</v>
      </c>
      <c r="G150" s="41"/>
      <c r="H150" s="41"/>
      <c r="I150" s="41"/>
      <c r="J150" s="41"/>
      <c r="K150" s="41"/>
      <c r="L150" s="41"/>
      <c r="M150" s="41"/>
      <c r="N150" s="41"/>
      <c r="O150" s="41"/>
      <c r="P150" s="41"/>
      <c r="Q150" s="41"/>
      <c r="R150" s="41"/>
      <c r="S150" s="41"/>
    </row>
    <row r="151" spans="1:19" s="1" customFormat="1" ht="33.950000000000003" customHeight="1" thickTop="1" thickBot="1">
      <c r="A151" s="103"/>
      <c r="B151" s="41"/>
      <c r="C151" s="11">
        <v>2394</v>
      </c>
      <c r="D151" s="63"/>
      <c r="E151" s="64"/>
      <c r="F151" s="12">
        <f t="shared" si="17"/>
        <v>0</v>
      </c>
      <c r="G151" s="41"/>
      <c r="H151" s="41"/>
      <c r="I151" s="41"/>
      <c r="J151" s="41"/>
      <c r="K151" s="41"/>
      <c r="L151" s="41"/>
      <c r="M151" s="41"/>
      <c r="N151" s="41"/>
      <c r="O151" s="41"/>
      <c r="P151" s="41"/>
      <c r="Q151" s="41"/>
      <c r="R151" s="41"/>
      <c r="S151" s="41"/>
    </row>
    <row r="152" spans="1:19" s="1" customFormat="1" ht="33.950000000000003" customHeight="1" thickTop="1" thickBot="1">
      <c r="A152" s="103"/>
      <c r="B152" s="41"/>
      <c r="C152" s="11">
        <v>2395</v>
      </c>
      <c r="D152" s="63"/>
      <c r="E152" s="64"/>
      <c r="F152" s="12">
        <f t="shared" si="17"/>
        <v>0</v>
      </c>
      <c r="G152" s="41"/>
      <c r="H152" s="41"/>
      <c r="I152" s="41"/>
      <c r="J152" s="41"/>
      <c r="K152" s="41"/>
      <c r="L152" s="41"/>
      <c r="M152" s="41"/>
      <c r="N152" s="41"/>
      <c r="O152" s="41"/>
      <c r="P152" s="41"/>
      <c r="Q152" s="41"/>
      <c r="R152" s="41"/>
      <c r="S152" s="41"/>
    </row>
    <row r="153" spans="1:19" s="1" customFormat="1" ht="33.950000000000003" customHeight="1" thickTop="1" thickBot="1">
      <c r="A153" s="103"/>
      <c r="B153" s="41"/>
      <c r="C153" s="11">
        <v>2396</v>
      </c>
      <c r="D153" s="63"/>
      <c r="E153" s="64"/>
      <c r="F153" s="12">
        <f t="shared" si="17"/>
        <v>0</v>
      </c>
      <c r="G153" s="41"/>
      <c r="H153" s="41"/>
      <c r="I153" s="41"/>
      <c r="J153" s="41"/>
      <c r="K153" s="41"/>
      <c r="L153" s="41"/>
      <c r="M153" s="41"/>
      <c r="N153" s="41"/>
      <c r="O153" s="41"/>
      <c r="P153" s="41"/>
      <c r="Q153" s="41"/>
      <c r="R153" s="41"/>
      <c r="S153" s="41"/>
    </row>
    <row r="154" spans="1:19" s="1" customFormat="1" ht="33.950000000000003" customHeight="1" thickTop="1" thickBot="1">
      <c r="A154" s="103"/>
      <c r="B154" s="41"/>
      <c r="C154" s="11">
        <v>2397</v>
      </c>
      <c r="D154" s="63"/>
      <c r="E154" s="64"/>
      <c r="F154" s="12">
        <f t="shared" si="17"/>
        <v>0</v>
      </c>
      <c r="G154" s="41"/>
      <c r="H154" s="41"/>
      <c r="I154" s="41"/>
      <c r="J154" s="41"/>
      <c r="K154" s="41"/>
      <c r="L154" s="41"/>
      <c r="M154" s="41"/>
      <c r="N154" s="41"/>
      <c r="O154" s="41"/>
      <c r="P154" s="41"/>
      <c r="Q154" s="41"/>
      <c r="R154" s="41"/>
      <c r="S154" s="41"/>
    </row>
    <row r="155" spans="1:19" s="1" customFormat="1" ht="33.950000000000003" customHeight="1" thickTop="1" thickBot="1">
      <c r="A155" s="103"/>
      <c r="B155" s="41"/>
      <c r="C155" s="11">
        <v>2398</v>
      </c>
      <c r="D155" s="63"/>
      <c r="E155" s="64"/>
      <c r="F155" s="12">
        <f t="shared" si="17"/>
        <v>0</v>
      </c>
      <c r="G155" s="41"/>
      <c r="H155" s="41"/>
      <c r="I155" s="41"/>
      <c r="J155" s="41"/>
      <c r="K155" s="41"/>
      <c r="L155" s="41"/>
      <c r="M155" s="41"/>
      <c r="N155" s="41"/>
      <c r="O155" s="41"/>
      <c r="P155" s="41"/>
      <c r="Q155" s="41"/>
      <c r="R155" s="41"/>
      <c r="S155" s="41"/>
    </row>
    <row r="156" spans="1:19" s="1" customFormat="1" ht="33.950000000000003" customHeight="1" thickTop="1" thickBot="1">
      <c r="A156" s="103"/>
      <c r="B156" s="41"/>
      <c r="C156" s="11">
        <v>2399</v>
      </c>
      <c r="D156" s="63"/>
      <c r="E156" s="64"/>
      <c r="F156" s="12">
        <f t="shared" si="17"/>
        <v>0</v>
      </c>
      <c r="G156" s="41"/>
      <c r="H156" s="41"/>
      <c r="I156" s="41"/>
      <c r="J156" s="41"/>
      <c r="K156" s="41"/>
      <c r="L156" s="41"/>
      <c r="M156" s="41"/>
      <c r="N156" s="41"/>
      <c r="O156" s="41"/>
      <c r="P156" s="41"/>
      <c r="Q156" s="41"/>
      <c r="R156" s="41"/>
      <c r="S156" s="41"/>
    </row>
    <row r="157" spans="1:19" s="1" customFormat="1" ht="33.950000000000003" customHeight="1" thickTop="1">
      <c r="A157" s="103"/>
      <c r="B157" s="41"/>
      <c r="C157" s="41"/>
      <c r="D157" s="41"/>
      <c r="E157" s="41"/>
      <c r="F157" s="41"/>
      <c r="G157" s="41"/>
      <c r="H157" s="41"/>
      <c r="I157" s="41"/>
      <c r="J157" s="41"/>
      <c r="K157" s="41"/>
      <c r="L157" s="41"/>
      <c r="M157" s="41"/>
      <c r="N157" s="41"/>
      <c r="O157" s="41"/>
      <c r="P157" s="55"/>
      <c r="Q157" s="55"/>
      <c r="R157" s="55"/>
      <c r="S157" s="55"/>
    </row>
    <row r="158" spans="1:19" s="1" customFormat="1" ht="33.950000000000003" customHeight="1">
      <c r="A158" s="103"/>
      <c r="B158" s="41"/>
      <c r="C158" s="41"/>
      <c r="D158" s="41"/>
      <c r="E158" s="41"/>
      <c r="F158" s="41"/>
      <c r="G158" s="41"/>
      <c r="H158" s="41"/>
      <c r="I158" s="41"/>
      <c r="J158" s="41"/>
      <c r="K158" s="41"/>
      <c r="L158" s="41"/>
      <c r="M158" s="41"/>
      <c r="N158" s="41"/>
      <c r="O158" s="41"/>
      <c r="P158" s="41"/>
      <c r="Q158" s="41"/>
      <c r="R158" s="41"/>
      <c r="S158" s="41"/>
    </row>
    <row r="159" spans="1:19" s="1" customFormat="1" ht="33.950000000000003" customHeight="1">
      <c r="A159" s="103"/>
      <c r="B159" s="41"/>
      <c r="C159" s="41"/>
      <c r="D159" s="41"/>
      <c r="E159" s="41"/>
      <c r="F159" s="41"/>
      <c r="G159" s="41"/>
      <c r="H159" s="41"/>
      <c r="I159" s="41"/>
      <c r="J159" s="41"/>
      <c r="K159" s="41"/>
      <c r="L159" s="41"/>
      <c r="M159" s="41"/>
      <c r="N159" s="41"/>
      <c r="O159" s="41"/>
      <c r="P159" s="41"/>
      <c r="Q159" s="41"/>
      <c r="R159" s="41"/>
      <c r="S159" s="41"/>
    </row>
    <row r="160" spans="1:19" s="1" customFormat="1" ht="33.950000000000003" customHeight="1">
      <c r="A160" s="103"/>
      <c r="B160" s="41"/>
      <c r="C160" s="41"/>
      <c r="D160" s="41"/>
      <c r="E160" s="41"/>
      <c r="F160" s="41"/>
      <c r="G160" s="41"/>
      <c r="H160" s="41"/>
      <c r="I160" s="41"/>
      <c r="J160" s="41"/>
      <c r="K160" s="41"/>
      <c r="L160" s="41"/>
      <c r="M160" s="41"/>
      <c r="N160" s="41"/>
      <c r="O160" s="41"/>
      <c r="P160" s="41"/>
      <c r="Q160" s="41"/>
      <c r="R160" s="41"/>
      <c r="S160" s="41"/>
    </row>
    <row r="161" spans="1:19" s="1" customFormat="1" ht="33.950000000000003" customHeight="1">
      <c r="A161" s="103"/>
      <c r="B161" s="41"/>
      <c r="C161" s="41"/>
      <c r="D161" s="41"/>
      <c r="E161" s="41"/>
      <c r="F161" s="41"/>
      <c r="G161" s="41"/>
      <c r="H161" s="41"/>
      <c r="I161" s="41"/>
      <c r="J161" s="41"/>
      <c r="K161" s="41"/>
      <c r="L161" s="41"/>
      <c r="M161" s="41"/>
      <c r="N161" s="41"/>
      <c r="O161" s="41"/>
      <c r="P161" s="41"/>
      <c r="Q161" s="41"/>
      <c r="R161" s="41"/>
      <c r="S161" s="41"/>
    </row>
    <row r="162" spans="1:19" s="1" customFormat="1" ht="33.950000000000003" customHeight="1">
      <c r="A162" s="103"/>
      <c r="B162" s="41"/>
      <c r="C162" s="41"/>
      <c r="D162" s="41"/>
      <c r="E162" s="41"/>
      <c r="F162" s="41"/>
      <c r="G162" s="41"/>
      <c r="H162" s="41"/>
      <c r="I162" s="41"/>
      <c r="J162" s="41"/>
      <c r="K162" s="41"/>
      <c r="L162" s="41"/>
      <c r="M162" s="41"/>
      <c r="N162" s="41"/>
      <c r="O162" s="41"/>
      <c r="P162" s="41"/>
      <c r="Q162" s="41"/>
      <c r="R162" s="41"/>
      <c r="S162" s="41"/>
    </row>
    <row r="163" spans="1:19" s="1" customFormat="1" ht="33.950000000000003" customHeight="1">
      <c r="A163" s="103"/>
      <c r="B163" s="41"/>
      <c r="C163" s="41"/>
      <c r="D163" s="41"/>
      <c r="E163" s="41"/>
      <c r="F163" s="41"/>
      <c r="G163" s="41"/>
      <c r="H163" s="41"/>
      <c r="I163" s="41"/>
      <c r="J163" s="41"/>
      <c r="K163" s="41"/>
      <c r="L163" s="41"/>
      <c r="M163" s="41"/>
      <c r="N163" s="41"/>
      <c r="O163" s="41"/>
      <c r="P163" s="41"/>
      <c r="Q163" s="41"/>
      <c r="R163" s="41"/>
      <c r="S163" s="41"/>
    </row>
    <row r="164" spans="1:19" s="1" customFormat="1" ht="33.950000000000003" customHeight="1">
      <c r="A164" s="103"/>
      <c r="B164" s="41"/>
      <c r="C164" s="41"/>
      <c r="D164" s="41"/>
      <c r="E164" s="41"/>
      <c r="F164" s="41"/>
      <c r="G164" s="41"/>
      <c r="H164" s="41"/>
      <c r="I164" s="41"/>
      <c r="J164" s="41"/>
      <c r="K164" s="41"/>
      <c r="L164" s="41"/>
      <c r="M164" s="41"/>
      <c r="N164" s="41"/>
      <c r="O164" s="41"/>
      <c r="P164" s="41"/>
      <c r="Q164" s="41"/>
      <c r="R164" s="41"/>
      <c r="S164" s="41"/>
    </row>
    <row r="165" spans="1:19" s="1" customFormat="1" ht="33.950000000000003" customHeight="1">
      <c r="A165" s="103"/>
      <c r="B165" s="41"/>
      <c r="C165" s="41"/>
      <c r="D165" s="41"/>
      <c r="E165" s="41"/>
      <c r="F165" s="41"/>
      <c r="G165" s="41"/>
      <c r="H165" s="41"/>
      <c r="I165" s="41"/>
      <c r="J165" s="41"/>
      <c r="K165" s="41"/>
      <c r="L165" s="41"/>
      <c r="M165" s="41"/>
      <c r="N165" s="41"/>
      <c r="O165" s="41"/>
      <c r="P165" s="41"/>
      <c r="Q165" s="41"/>
      <c r="R165" s="41"/>
      <c r="S165" s="41"/>
    </row>
    <row r="166" spans="1:19" s="1" customFormat="1" ht="33.950000000000003" customHeight="1">
      <c r="A166" s="103"/>
      <c r="B166" s="41"/>
      <c r="C166" s="41"/>
      <c r="D166" s="41"/>
      <c r="E166" s="41"/>
      <c r="F166" s="41"/>
      <c r="G166" s="41"/>
      <c r="H166" s="41"/>
      <c r="I166" s="41"/>
      <c r="J166" s="41"/>
      <c r="K166" s="41"/>
      <c r="L166" s="41"/>
      <c r="M166" s="41"/>
      <c r="N166" s="41"/>
      <c r="O166" s="41"/>
      <c r="P166" s="41"/>
      <c r="Q166" s="41"/>
      <c r="R166" s="41"/>
      <c r="S166" s="41"/>
    </row>
    <row r="167" spans="1:19" s="1" customFormat="1" ht="33.950000000000003" customHeight="1">
      <c r="A167" s="103"/>
      <c r="B167" s="41"/>
      <c r="C167" s="41"/>
      <c r="D167" s="41"/>
      <c r="E167" s="41"/>
      <c r="F167" s="41"/>
      <c r="G167" s="41"/>
      <c r="H167" s="41"/>
      <c r="I167" s="41"/>
      <c r="J167" s="41"/>
      <c r="K167" s="41"/>
      <c r="L167" s="41"/>
      <c r="M167" s="41"/>
      <c r="N167" s="41"/>
      <c r="O167" s="41"/>
      <c r="P167" s="41"/>
      <c r="Q167" s="41"/>
      <c r="R167" s="41"/>
      <c r="S167" s="41"/>
    </row>
    <row r="168" spans="1:19" s="1" customFormat="1" ht="33.950000000000003" customHeight="1">
      <c r="A168" s="103"/>
      <c r="B168" s="41"/>
      <c r="C168" s="41"/>
      <c r="D168" s="41"/>
      <c r="E168" s="41"/>
      <c r="F168" s="41"/>
      <c r="G168" s="41"/>
      <c r="H168" s="41"/>
      <c r="I168" s="41"/>
      <c r="J168" s="41"/>
      <c r="K168" s="41"/>
      <c r="L168" s="41"/>
      <c r="M168" s="41"/>
      <c r="N168" s="41"/>
      <c r="O168" s="41"/>
      <c r="P168" s="41"/>
      <c r="Q168" s="41"/>
      <c r="R168" s="41"/>
      <c r="S168" s="41"/>
    </row>
    <row r="169" spans="1:19" s="1" customFormat="1" ht="33.950000000000003" customHeight="1">
      <c r="A169" s="103"/>
      <c r="B169" s="41"/>
      <c r="C169" s="41"/>
      <c r="D169" s="41"/>
      <c r="E169" s="41"/>
      <c r="F169" s="41"/>
      <c r="G169" s="41"/>
      <c r="H169" s="41"/>
      <c r="I169" s="41"/>
      <c r="J169" s="41"/>
      <c r="K169" s="41"/>
      <c r="L169" s="41"/>
      <c r="M169" s="41"/>
      <c r="N169" s="41"/>
      <c r="O169" s="41"/>
      <c r="P169" s="41"/>
      <c r="Q169" s="41"/>
      <c r="R169" s="41"/>
      <c r="S169" s="41"/>
    </row>
    <row r="170" spans="1:19" s="1" customFormat="1" ht="33.950000000000003" customHeight="1">
      <c r="A170" s="103"/>
      <c r="B170" s="41"/>
      <c r="C170" s="41"/>
      <c r="D170" s="41"/>
      <c r="E170" s="41"/>
      <c r="F170" s="41"/>
      <c r="G170" s="41"/>
      <c r="H170" s="41"/>
      <c r="I170" s="41"/>
      <c r="J170" s="41"/>
      <c r="K170" s="41"/>
      <c r="L170" s="41"/>
      <c r="M170" s="41"/>
      <c r="N170" s="41"/>
      <c r="O170" s="41"/>
      <c r="P170" s="41"/>
      <c r="Q170" s="41"/>
      <c r="R170" s="41"/>
      <c r="S170" s="41"/>
    </row>
    <row r="171" spans="1:19" s="1" customFormat="1" ht="28.5" customHeight="1">
      <c r="A171" s="103"/>
      <c r="B171" s="41"/>
      <c r="C171" s="41"/>
      <c r="D171" s="41"/>
      <c r="E171" s="41"/>
      <c r="F171" s="41"/>
      <c r="G171" s="41"/>
      <c r="H171" s="41"/>
      <c r="I171" s="41"/>
      <c r="J171" s="41"/>
      <c r="K171" s="41"/>
      <c r="L171" s="41"/>
      <c r="M171" s="41"/>
      <c r="N171" s="41"/>
      <c r="O171" s="41"/>
      <c r="P171" s="41"/>
      <c r="Q171" s="41"/>
      <c r="R171" s="41"/>
      <c r="S171" s="41"/>
    </row>
    <row r="172" spans="1:19" s="1" customFormat="1" ht="28.5" customHeight="1">
      <c r="A172" s="103"/>
      <c r="B172" s="41"/>
      <c r="C172" s="41"/>
      <c r="D172" s="41"/>
      <c r="E172" s="41"/>
      <c r="F172" s="41"/>
      <c r="G172" s="41"/>
      <c r="H172" s="41"/>
      <c r="I172" s="41"/>
      <c r="J172" s="41"/>
      <c r="K172" s="41"/>
      <c r="L172" s="41"/>
      <c r="M172" s="41"/>
      <c r="N172" s="41"/>
      <c r="O172" s="41"/>
      <c r="P172" s="41"/>
      <c r="Q172" s="41"/>
      <c r="R172" s="41"/>
      <c r="S172" s="41"/>
    </row>
    <row r="173" spans="1:19" s="1" customFormat="1" ht="28.5" customHeight="1">
      <c r="A173" s="103"/>
      <c r="B173" s="41"/>
      <c r="C173" s="41"/>
      <c r="D173" s="41"/>
      <c r="E173" s="41"/>
      <c r="F173" s="41"/>
      <c r="G173" s="41"/>
      <c r="H173" s="41"/>
      <c r="I173" s="41"/>
      <c r="J173" s="41"/>
      <c r="K173" s="41"/>
      <c r="L173" s="41"/>
      <c r="M173" s="41"/>
      <c r="N173" s="41"/>
      <c r="O173" s="41"/>
      <c r="P173" s="41"/>
      <c r="Q173" s="41"/>
      <c r="R173" s="41"/>
      <c r="S173" s="41"/>
    </row>
    <row r="174" spans="1:19" s="1" customFormat="1" ht="28.5" customHeight="1">
      <c r="A174" s="103"/>
      <c r="B174" s="41"/>
      <c r="C174" s="41"/>
      <c r="D174" s="41"/>
      <c r="E174" s="41"/>
      <c r="F174" s="41"/>
      <c r="G174" s="41"/>
      <c r="H174" s="41"/>
      <c r="I174" s="41"/>
      <c r="J174" s="41"/>
      <c r="K174" s="41"/>
      <c r="L174" s="41"/>
      <c r="M174" s="41"/>
      <c r="N174" s="41"/>
      <c r="O174" s="41"/>
      <c r="P174" s="41"/>
      <c r="Q174" s="41"/>
      <c r="R174" s="41"/>
      <c r="S174" s="41"/>
    </row>
    <row r="175" spans="1:19" s="1" customFormat="1" ht="28.5" customHeight="1">
      <c r="A175" s="103"/>
      <c r="B175" s="41"/>
      <c r="C175" s="41"/>
      <c r="D175" s="41"/>
      <c r="E175" s="41"/>
      <c r="F175" s="41"/>
      <c r="G175" s="41"/>
      <c r="H175" s="41"/>
      <c r="I175" s="41"/>
      <c r="J175" s="41"/>
      <c r="K175" s="41"/>
      <c r="L175" s="41"/>
      <c r="M175" s="41"/>
      <c r="N175" s="41"/>
      <c r="O175" s="41"/>
      <c r="P175" s="41"/>
      <c r="Q175" s="41"/>
      <c r="R175" s="41"/>
      <c r="S175" s="41"/>
    </row>
    <row r="176" spans="1:19" s="1" customFormat="1" ht="28.5" customHeight="1">
      <c r="A176" s="103"/>
      <c r="B176" s="41"/>
      <c r="C176" s="41"/>
      <c r="D176" s="41"/>
      <c r="E176" s="41"/>
      <c r="F176" s="41"/>
      <c r="G176" s="41"/>
      <c r="H176" s="41"/>
      <c r="I176" s="41"/>
      <c r="J176" s="41"/>
      <c r="K176" s="41"/>
      <c r="L176" s="41"/>
      <c r="M176" s="41"/>
      <c r="N176" s="41"/>
      <c r="O176" s="41"/>
      <c r="P176" s="41"/>
      <c r="Q176" s="41"/>
      <c r="R176" s="41"/>
      <c r="S176" s="41"/>
    </row>
    <row r="177" spans="1:19" s="1" customFormat="1" ht="28.5" customHeight="1">
      <c r="A177" s="103"/>
      <c r="B177" s="41"/>
      <c r="C177" s="41"/>
      <c r="D177" s="41"/>
      <c r="E177" s="41"/>
      <c r="F177" s="41"/>
      <c r="G177" s="41"/>
      <c r="H177" s="41"/>
      <c r="I177" s="41"/>
      <c r="J177" s="41"/>
      <c r="K177" s="41"/>
      <c r="L177" s="41"/>
      <c r="M177" s="41"/>
      <c r="N177" s="41"/>
      <c r="O177" s="41"/>
      <c r="P177" s="41"/>
      <c r="Q177" s="41"/>
      <c r="R177" s="41"/>
      <c r="S177" s="41"/>
    </row>
    <row r="178" spans="1:19" s="1" customFormat="1" ht="28.5" customHeight="1">
      <c r="A178" s="103"/>
      <c r="B178" s="41"/>
      <c r="C178" s="41"/>
      <c r="D178" s="41"/>
      <c r="E178" s="41"/>
      <c r="F178" s="41"/>
      <c r="G178" s="41"/>
      <c r="H178" s="41"/>
      <c r="I178" s="41"/>
      <c r="J178" s="41"/>
      <c r="K178" s="41"/>
      <c r="L178" s="41"/>
      <c r="M178" s="41"/>
      <c r="N178" s="41"/>
      <c r="O178" s="41"/>
      <c r="P178" s="41"/>
      <c r="Q178" s="41"/>
      <c r="R178" s="41"/>
      <c r="S178" s="41"/>
    </row>
    <row r="179" spans="1:19" s="1" customFormat="1" ht="28.5" customHeight="1">
      <c r="A179" s="103"/>
      <c r="B179" s="41"/>
      <c r="C179" s="41"/>
      <c r="D179" s="41"/>
      <c r="E179" s="41"/>
      <c r="F179" s="41"/>
      <c r="G179" s="41"/>
      <c r="H179" s="41"/>
      <c r="I179" s="41"/>
      <c r="J179" s="41"/>
      <c r="K179" s="41"/>
      <c r="L179" s="41"/>
      <c r="M179" s="41"/>
      <c r="N179" s="41"/>
      <c r="O179" s="41"/>
      <c r="P179" s="41"/>
      <c r="Q179" s="41"/>
      <c r="R179" s="41"/>
      <c r="S179" s="41"/>
    </row>
    <row r="180" spans="1:19" s="1" customFormat="1" ht="33.950000000000003" customHeight="1">
      <c r="A180" s="103"/>
      <c r="B180" s="41"/>
      <c r="C180" s="41"/>
      <c r="D180" s="41"/>
      <c r="E180" s="41"/>
      <c r="F180" s="41"/>
      <c r="G180" s="41"/>
      <c r="H180" s="41"/>
      <c r="I180" s="41"/>
      <c r="J180" s="41"/>
      <c r="K180" s="41"/>
      <c r="L180" s="41"/>
      <c r="M180" s="41"/>
      <c r="N180" s="41"/>
      <c r="O180" s="41"/>
      <c r="P180" s="41"/>
      <c r="Q180" s="41"/>
      <c r="R180" s="41"/>
      <c r="S180" s="41"/>
    </row>
    <row r="181" spans="1:19" s="1" customFormat="1" ht="33.950000000000003" customHeight="1">
      <c r="A181" s="103"/>
      <c r="B181" s="41"/>
      <c r="C181" s="41"/>
      <c r="D181" s="41"/>
      <c r="E181" s="41"/>
      <c r="F181" s="41"/>
      <c r="G181" s="41"/>
      <c r="H181" s="41"/>
      <c r="I181" s="41"/>
      <c r="J181" s="41"/>
      <c r="K181" s="41"/>
      <c r="L181" s="41"/>
      <c r="M181" s="41"/>
      <c r="N181" s="41"/>
      <c r="O181" s="41"/>
      <c r="P181" s="41"/>
      <c r="Q181" s="41"/>
      <c r="R181" s="41"/>
      <c r="S181" s="41"/>
    </row>
    <row r="182" spans="1:19" s="1" customFormat="1" ht="33.950000000000003" customHeight="1">
      <c r="A182" s="103"/>
      <c r="B182" s="41"/>
      <c r="C182" s="41"/>
      <c r="D182" s="41"/>
      <c r="E182" s="41"/>
      <c r="F182" s="41"/>
      <c r="G182" s="41"/>
      <c r="H182" s="41"/>
      <c r="I182" s="41"/>
      <c r="J182" s="41"/>
      <c r="K182" s="41"/>
      <c r="L182" s="41"/>
      <c r="M182" s="41"/>
      <c r="N182" s="41"/>
      <c r="O182" s="41"/>
      <c r="P182" s="41"/>
      <c r="Q182" s="41"/>
      <c r="R182" s="41"/>
      <c r="S182" s="41"/>
    </row>
    <row r="183" spans="1:19" s="1" customFormat="1" ht="33.950000000000003" customHeight="1">
      <c r="A183" s="103"/>
      <c r="B183" s="41"/>
      <c r="C183" s="41"/>
      <c r="D183" s="41"/>
      <c r="E183" s="41"/>
      <c r="F183" s="41"/>
      <c r="G183" s="41"/>
      <c r="H183" s="41"/>
      <c r="I183" s="41"/>
      <c r="J183" s="41"/>
      <c r="K183" s="41"/>
      <c r="L183" s="41"/>
      <c r="M183" s="41"/>
      <c r="N183" s="41"/>
      <c r="O183" s="41"/>
      <c r="P183" s="41"/>
      <c r="Q183" s="41"/>
      <c r="R183" s="41"/>
      <c r="S183" s="41"/>
    </row>
    <row r="184" spans="1:19" s="1" customFormat="1" ht="33.950000000000003" customHeight="1">
      <c r="A184" s="103"/>
      <c r="B184" s="41"/>
      <c r="C184" s="41"/>
      <c r="D184" s="41"/>
      <c r="E184" s="41"/>
      <c r="F184" s="41"/>
      <c r="G184" s="41"/>
      <c r="H184" s="41"/>
      <c r="I184" s="41"/>
      <c r="J184" s="41"/>
      <c r="K184" s="41"/>
      <c r="L184" s="41"/>
      <c r="M184" s="41"/>
      <c r="N184" s="41"/>
      <c r="O184" s="41"/>
      <c r="P184" s="41"/>
      <c r="Q184" s="41"/>
      <c r="R184" s="41"/>
      <c r="S184" s="41"/>
    </row>
    <row r="185" spans="1:19" s="1" customFormat="1" ht="33.950000000000003" customHeight="1">
      <c r="A185" s="103"/>
      <c r="B185" s="41"/>
      <c r="C185" s="41"/>
      <c r="D185" s="41"/>
      <c r="E185" s="41"/>
      <c r="F185" s="41"/>
      <c r="G185" s="41"/>
      <c r="H185" s="41"/>
      <c r="I185" s="41"/>
      <c r="J185" s="41"/>
      <c r="K185" s="41"/>
      <c r="L185" s="41"/>
      <c r="M185" s="41"/>
      <c r="N185" s="41"/>
      <c r="O185" s="41"/>
      <c r="P185" s="41"/>
      <c r="Q185" s="41"/>
      <c r="R185" s="41"/>
      <c r="S185" s="41"/>
    </row>
    <row r="186" spans="1:19" s="1" customFormat="1" ht="33.950000000000003" hidden="1" customHeight="1">
      <c r="A186" s="103"/>
      <c r="B186" s="41"/>
      <c r="C186" s="41"/>
      <c r="D186" s="41"/>
      <c r="E186" s="41"/>
      <c r="F186" s="41"/>
      <c r="G186" s="41"/>
      <c r="H186" s="41"/>
      <c r="I186" s="41"/>
      <c r="J186" s="41"/>
      <c r="K186" s="41"/>
      <c r="L186" s="41"/>
      <c r="M186" s="41"/>
      <c r="N186" s="41"/>
      <c r="O186" s="41"/>
      <c r="P186" s="41"/>
      <c r="Q186" s="41"/>
      <c r="R186" s="41"/>
      <c r="S186" s="41"/>
    </row>
    <row r="187" spans="1:19" ht="15" customHeight="1">
      <c r="A187" s="103"/>
      <c r="B187" s="41"/>
      <c r="C187" s="41"/>
      <c r="D187" s="41"/>
      <c r="E187" s="41"/>
      <c r="F187" s="41"/>
      <c r="G187" s="41"/>
      <c r="H187" s="41"/>
      <c r="I187" s="41"/>
      <c r="J187" s="41"/>
      <c r="K187" s="41"/>
      <c r="L187" s="41"/>
      <c r="M187" s="41"/>
      <c r="N187" s="41"/>
      <c r="O187" s="41"/>
      <c r="P187" s="41"/>
      <c r="Q187" s="41"/>
      <c r="R187" s="41"/>
      <c r="S187" s="41"/>
    </row>
    <row r="188" spans="1:19" ht="15" customHeight="1">
      <c r="A188" s="103"/>
      <c r="B188" s="41"/>
      <c r="C188" s="41"/>
      <c r="D188" s="41"/>
      <c r="E188" s="41"/>
      <c r="F188" s="41"/>
      <c r="G188" s="41"/>
      <c r="H188" s="41"/>
      <c r="I188" s="41"/>
      <c r="J188" s="41"/>
      <c r="K188" s="41"/>
      <c r="L188" s="41"/>
      <c r="M188" s="41"/>
      <c r="N188" s="41"/>
      <c r="O188" s="41"/>
      <c r="P188" s="41"/>
      <c r="Q188" s="41"/>
      <c r="R188" s="41"/>
      <c r="S188" s="41"/>
    </row>
    <row r="189" spans="1:19" ht="15" hidden="1" customHeight="1"/>
    <row r="190" spans="1:19" ht="0" hidden="1" customHeight="1"/>
    <row r="191" spans="1:19" ht="0" hidden="1" customHeight="1"/>
    <row r="192" spans="1:19" ht="0" hidden="1" customHeight="1"/>
    <row r="193" ht="0" hidden="1" customHeight="1"/>
    <row r="194" ht="0" hidden="1" customHeight="1"/>
    <row r="195" ht="0" hidden="1" customHeight="1"/>
    <row r="196" ht="0" hidden="1" customHeight="1"/>
    <row r="197" ht="0" hidden="1" customHeight="1"/>
    <row r="198" ht="0" hidden="1" customHeight="1"/>
    <row r="199" ht="0" hidden="1" customHeight="1"/>
    <row r="200" ht="0" hidden="1" customHeight="1"/>
    <row r="201" ht="0" hidden="1" customHeight="1"/>
    <row r="202" ht="0" hidden="1" customHeight="1"/>
    <row r="203" ht="0" hidden="1" customHeight="1"/>
    <row r="204" ht="0" hidden="1" customHeight="1"/>
    <row r="205" ht="0" hidden="1" customHeight="1"/>
    <row r="206" ht="0" hidden="1" customHeight="1"/>
    <row r="207" ht="0" hidden="1" customHeight="1"/>
    <row r="208" ht="0" hidden="1" customHeight="1"/>
    <row r="209" ht="0" hidden="1" customHeight="1"/>
    <row r="210" ht="0" hidden="1" customHeight="1"/>
    <row r="211" ht="0" hidden="1" customHeight="1"/>
    <row r="212" ht="0" hidden="1" customHeight="1"/>
    <row r="213" ht="0" hidden="1" customHeight="1"/>
    <row r="214" ht="0" hidden="1" customHeight="1"/>
    <row r="215" ht="0" hidden="1" customHeight="1"/>
    <row r="216" ht="0" hidden="1" customHeight="1"/>
  </sheetData>
  <sheetProtection algorithmName="SHA-512" hashValue="ERJWxfBQgvhOyJZTezgEH/pK3wTTYzvasCNPGT+aV935eLbwjDCNRjsuX/9NtkNLJiMvH/3R1BMeyAO7gQK73g==" saltValue="ZmVhFMiXM5N1BeWm0TX1gg==" spinCount="100000" sheet="1" objects="1" scenarios="1"/>
  <mergeCells count="26">
    <mergeCell ref="E47:F47"/>
    <mergeCell ref="I32:K32"/>
    <mergeCell ref="E127:F127"/>
    <mergeCell ref="E97:F97"/>
    <mergeCell ref="E107:F107"/>
    <mergeCell ref="E87:F87"/>
    <mergeCell ref="E57:F57"/>
    <mergeCell ref="E67:F67"/>
    <mergeCell ref="E77:F77"/>
    <mergeCell ref="J45:K45"/>
    <mergeCell ref="E6:F6"/>
    <mergeCell ref="E147:F147"/>
    <mergeCell ref="H44:K44"/>
    <mergeCell ref="H45:I45"/>
    <mergeCell ref="I6:K6"/>
    <mergeCell ref="I23:K23"/>
    <mergeCell ref="J30:K30"/>
    <mergeCell ref="E7:F7"/>
    <mergeCell ref="E17:F17"/>
    <mergeCell ref="E27:F27"/>
    <mergeCell ref="H30:I30"/>
    <mergeCell ref="H42:I42"/>
    <mergeCell ref="J42:K42"/>
    <mergeCell ref="E137:F137"/>
    <mergeCell ref="E117:F117"/>
    <mergeCell ref="E37:F37"/>
  </mergeCells>
  <pageMargins left="0.511811024" right="0.511811024" top="0.78740157499999996" bottom="0.78740157499999996" header="0.31496062000000002" footer="0.31496062000000002"/>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sheetPr codeName="Plan4"/>
  <dimension ref="A1:S133"/>
  <sheetViews>
    <sheetView showGridLines="0" zoomScale="90" zoomScaleNormal="90" workbookViewId="0">
      <pane ySplit="3" topLeftCell="A4" activePane="bottomLeft" state="frozen"/>
      <selection pane="bottomLeft"/>
    </sheetView>
  </sheetViews>
  <sheetFormatPr defaultColWidth="0" defaultRowHeight="0" customHeight="1" zeroHeight="1"/>
  <cols>
    <col min="1" max="1" width="27.7109375" style="104" customWidth="1"/>
    <col min="2" max="2" width="2.7109375" customWidth="1"/>
    <col min="3" max="3" width="9.140625" customWidth="1"/>
    <col min="4" max="4" width="50.7109375" customWidth="1"/>
    <col min="5" max="6" width="15.7109375" customWidth="1"/>
    <col min="7" max="7" width="7.85546875" customWidth="1"/>
    <col min="8" max="8" width="9.140625" customWidth="1"/>
    <col min="9" max="9" width="30.7109375" customWidth="1"/>
    <col min="10" max="11" width="15.7109375" customWidth="1"/>
    <col min="12" max="19" width="20.7109375" customWidth="1"/>
    <col min="20" max="16384" width="9.140625" hidden="1"/>
  </cols>
  <sheetData>
    <row r="1" spans="1:19" s="3" customFormat="1" ht="33.950000000000003" customHeight="1">
      <c r="A1" s="103"/>
      <c r="B1" s="58"/>
      <c r="C1" s="59" t="s">
        <v>18</v>
      </c>
      <c r="D1" s="58"/>
      <c r="E1" s="58"/>
      <c r="F1" s="58"/>
      <c r="G1" s="58"/>
      <c r="H1" s="58"/>
      <c r="I1" s="58"/>
      <c r="J1" s="58"/>
      <c r="K1" s="58"/>
      <c r="L1" s="58"/>
      <c r="M1" s="58"/>
      <c r="N1" s="58"/>
      <c r="O1" s="58"/>
      <c r="P1" s="58"/>
      <c r="Q1" s="58"/>
      <c r="R1" s="58"/>
      <c r="S1" s="58"/>
    </row>
    <row r="2" spans="1:19" s="3" customFormat="1" ht="21.6" customHeight="1">
      <c r="A2" s="103"/>
      <c r="B2" s="58"/>
      <c r="C2" s="58"/>
      <c r="D2" s="58"/>
      <c r="E2" s="58"/>
      <c r="F2" s="58"/>
      <c r="G2" s="58"/>
      <c r="H2" s="58"/>
      <c r="I2" s="58"/>
      <c r="J2" s="58"/>
      <c r="K2" s="58"/>
      <c r="L2" s="58"/>
      <c r="M2" s="58"/>
      <c r="N2" s="58"/>
      <c r="O2" s="58"/>
      <c r="P2" s="58"/>
      <c r="Q2" s="58"/>
      <c r="R2" s="58"/>
      <c r="S2" s="58"/>
    </row>
    <row r="3" spans="1:19" s="3" customFormat="1" ht="21.6" customHeight="1">
      <c r="A3" s="103"/>
      <c r="B3" s="58"/>
      <c r="C3" s="58"/>
      <c r="D3" s="58"/>
      <c r="E3" s="58"/>
      <c r="F3" s="58"/>
      <c r="G3" s="58"/>
      <c r="H3" s="58"/>
      <c r="I3" s="58"/>
      <c r="J3" s="58"/>
      <c r="K3" s="58"/>
      <c r="L3" s="58"/>
      <c r="M3" s="58"/>
      <c r="N3" s="58"/>
      <c r="O3" s="58"/>
      <c r="P3" s="58"/>
      <c r="Q3" s="58"/>
      <c r="R3" s="58"/>
      <c r="S3" s="58"/>
    </row>
    <row r="4" spans="1:19" ht="44.25" customHeight="1">
      <c r="A4" s="103"/>
      <c r="B4" s="26"/>
      <c r="C4" s="26"/>
      <c r="D4" s="26"/>
      <c r="E4" s="26"/>
      <c r="F4" s="26"/>
      <c r="G4" s="26"/>
      <c r="H4" s="26"/>
      <c r="I4" s="26"/>
      <c r="J4" s="26"/>
      <c r="K4" s="26"/>
      <c r="L4" s="26"/>
      <c r="M4" s="26"/>
      <c r="N4" s="26"/>
      <c r="O4" s="26"/>
      <c r="P4" s="26"/>
      <c r="Q4" s="26"/>
      <c r="R4" s="26"/>
      <c r="S4" s="26"/>
    </row>
    <row r="5" spans="1:19" ht="15" customHeight="1" thickBot="1">
      <c r="A5" s="103"/>
      <c r="B5" s="41"/>
      <c r="C5" s="41"/>
      <c r="D5" s="41"/>
      <c r="E5" s="41"/>
      <c r="F5" s="41"/>
      <c r="G5" s="41"/>
      <c r="H5" s="41"/>
      <c r="I5" s="41"/>
      <c r="J5" s="41"/>
      <c r="K5" s="41"/>
      <c r="L5" s="41"/>
      <c r="M5" s="41"/>
      <c r="N5" s="41"/>
      <c r="O5" s="41"/>
      <c r="P5" s="41"/>
      <c r="Q5" s="41"/>
      <c r="R5" s="41"/>
      <c r="S5" s="41"/>
    </row>
    <row r="6" spans="1:19" ht="30" customHeight="1" thickTop="1" thickBot="1">
      <c r="A6" s="103"/>
      <c r="B6" s="41"/>
      <c r="C6" s="45">
        <v>3400</v>
      </c>
      <c r="D6" s="60" t="s">
        <v>280</v>
      </c>
      <c r="E6" s="140">
        <f>IF(ISERROR($E$7+$E$17+$E$27+$E$37+$E$47+$E$57+$E$67+$E$77+$E$87),"",$E$7+$E$17+$E$27+$E$37+$E$47+$E$57+$E$67+$E$77+$E$87)</f>
        <v>58958</v>
      </c>
      <c r="F6" s="140"/>
      <c r="G6" s="41"/>
      <c r="H6" s="45">
        <v>3400</v>
      </c>
      <c r="I6" s="141" t="s">
        <v>341</v>
      </c>
      <c r="J6" s="141"/>
      <c r="K6" s="141"/>
      <c r="L6" s="41"/>
      <c r="M6" s="41"/>
      <c r="N6" s="41"/>
      <c r="O6" s="41"/>
      <c r="P6" s="41"/>
      <c r="Q6" s="41"/>
      <c r="R6" s="41"/>
      <c r="S6" s="41"/>
    </row>
    <row r="7" spans="1:19" ht="30" customHeight="1" thickTop="1" thickBot="1">
      <c r="A7" s="103"/>
      <c r="B7" s="41"/>
      <c r="C7" s="10">
        <v>3410</v>
      </c>
      <c r="D7" s="61" t="s">
        <v>72</v>
      </c>
      <c r="E7" s="139">
        <f>IF(ISERROR(SUM(E8:E16)),"",SUM(E8:E16))</f>
        <v>31840</v>
      </c>
      <c r="F7" s="144"/>
      <c r="G7" s="41"/>
      <c r="H7" s="10">
        <v>3410</v>
      </c>
      <c r="I7" s="51" t="s">
        <v>72</v>
      </c>
      <c r="J7" s="48">
        <f>IF(ISERROR($E$7),"",$E$7)</f>
        <v>31840</v>
      </c>
      <c r="K7" s="12">
        <f>IF(ISERROR(J7/$L$7),"",J7/$L$7)</f>
        <v>0.54004545608738419</v>
      </c>
      <c r="L7" s="62">
        <f>IF(ISERROR(SUM($J$7:$J$15)),"",SUM($J$7:$J$15))</f>
        <v>58958</v>
      </c>
      <c r="M7" s="41"/>
      <c r="N7" s="41"/>
      <c r="O7" s="41"/>
      <c r="P7" s="41"/>
      <c r="Q7" s="41"/>
      <c r="R7" s="41"/>
      <c r="S7" s="41"/>
    </row>
    <row r="8" spans="1:19" ht="30" customHeight="1" thickTop="1" thickBot="1">
      <c r="A8" s="103"/>
      <c r="B8" s="41"/>
      <c r="C8" s="11">
        <v>3411</v>
      </c>
      <c r="D8" s="9" t="s">
        <v>272</v>
      </c>
      <c r="E8" s="7">
        <v>31840</v>
      </c>
      <c r="F8" s="12">
        <f>IF(ISERROR(E8/$E$7),"",E8/$E$7)</f>
        <v>1</v>
      </c>
      <c r="G8" s="41"/>
      <c r="H8" s="10">
        <v>3410</v>
      </c>
      <c r="I8" s="51" t="s">
        <v>342</v>
      </c>
      <c r="J8" s="48">
        <f>IF(ISERROR($E$17),"",$E$17)</f>
        <v>0</v>
      </c>
      <c r="K8" s="12">
        <f t="shared" ref="K8:K15" si="0">IF(ISERROR(J8/$L$7),"",J8/$L$7)</f>
        <v>0</v>
      </c>
      <c r="L8" s="41"/>
      <c r="M8" s="41"/>
      <c r="N8" s="41"/>
      <c r="O8" s="41"/>
      <c r="P8" s="41"/>
      <c r="Q8" s="41"/>
      <c r="R8" s="41"/>
      <c r="S8" s="41"/>
    </row>
    <row r="9" spans="1:19" ht="30" customHeight="1" thickTop="1" thickBot="1">
      <c r="A9" s="103"/>
      <c r="B9" s="41"/>
      <c r="C9" s="11">
        <v>3412</v>
      </c>
      <c r="D9" s="9" t="s">
        <v>273</v>
      </c>
      <c r="E9" s="7"/>
      <c r="F9" s="12">
        <f t="shared" ref="F9:F16" si="1">IF(ISERROR(E9/$E$7),"",E9/$E$7)</f>
        <v>0</v>
      </c>
      <c r="G9" s="41"/>
      <c r="H9" s="10">
        <v>3410</v>
      </c>
      <c r="I9" s="51" t="s">
        <v>290</v>
      </c>
      <c r="J9" s="48">
        <f>IF(ISERROR($E$27),"",$E$27)</f>
        <v>0</v>
      </c>
      <c r="K9" s="12">
        <f t="shared" si="0"/>
        <v>0</v>
      </c>
      <c r="L9" s="41"/>
      <c r="M9" s="41"/>
      <c r="N9" s="41"/>
      <c r="O9" s="41"/>
      <c r="P9" s="41"/>
      <c r="Q9" s="41"/>
      <c r="R9" s="41"/>
      <c r="S9" s="41"/>
    </row>
    <row r="10" spans="1:19" ht="30" customHeight="1" thickTop="1" thickBot="1">
      <c r="A10" s="103"/>
      <c r="B10" s="41"/>
      <c r="C10" s="11">
        <v>3413</v>
      </c>
      <c r="D10" s="9" t="s">
        <v>274</v>
      </c>
      <c r="E10" s="7"/>
      <c r="F10" s="12">
        <f t="shared" si="1"/>
        <v>0</v>
      </c>
      <c r="G10" s="41"/>
      <c r="H10" s="10">
        <v>3410</v>
      </c>
      <c r="I10" s="51" t="s">
        <v>297</v>
      </c>
      <c r="J10" s="48">
        <f>IF(ISERROR($E$37),"",$E$37)</f>
        <v>12750</v>
      </c>
      <c r="K10" s="12">
        <f t="shared" si="0"/>
        <v>0.21625563960785643</v>
      </c>
      <c r="L10" s="41"/>
      <c r="M10" s="41"/>
      <c r="N10" s="41"/>
      <c r="O10" s="41"/>
      <c r="P10" s="41"/>
      <c r="Q10" s="41"/>
      <c r="R10" s="41"/>
      <c r="S10" s="41"/>
    </row>
    <row r="11" spans="1:19" ht="30" customHeight="1" thickTop="1" thickBot="1">
      <c r="A11" s="103"/>
      <c r="B11" s="41"/>
      <c r="C11" s="11">
        <v>3414</v>
      </c>
      <c r="D11" s="63" t="s">
        <v>275</v>
      </c>
      <c r="E11" s="64"/>
      <c r="F11" s="12">
        <f t="shared" si="1"/>
        <v>0</v>
      </c>
      <c r="G11" s="41"/>
      <c r="H11" s="10">
        <v>3410</v>
      </c>
      <c r="I11" s="51" t="s">
        <v>307</v>
      </c>
      <c r="J11" s="48">
        <f>IF(ISERROR($E$47),"",$E$47)</f>
        <v>8874</v>
      </c>
      <c r="K11" s="12">
        <f t="shared" si="0"/>
        <v>0.15051392516706807</v>
      </c>
      <c r="L11" s="41"/>
      <c r="M11" s="41"/>
      <c r="N11" s="41"/>
      <c r="O11" s="41"/>
      <c r="P11" s="41"/>
      <c r="Q11" s="41"/>
      <c r="R11" s="41"/>
      <c r="S11" s="41"/>
    </row>
    <row r="12" spans="1:19" ht="30" customHeight="1" thickTop="1" thickBot="1">
      <c r="A12" s="103"/>
      <c r="B12" s="41"/>
      <c r="C12" s="11">
        <v>3415</v>
      </c>
      <c r="D12" s="63" t="s">
        <v>276</v>
      </c>
      <c r="E12" s="64"/>
      <c r="F12" s="12">
        <f t="shared" si="1"/>
        <v>0</v>
      </c>
      <c r="G12" s="41"/>
      <c r="H12" s="10">
        <v>3410</v>
      </c>
      <c r="I12" s="51" t="s">
        <v>317</v>
      </c>
      <c r="J12" s="48">
        <f>IF(ISERROR($E$57),"",$E$57)</f>
        <v>5494</v>
      </c>
      <c r="K12" s="12">
        <f t="shared" si="0"/>
        <v>9.3184979137691235E-2</v>
      </c>
      <c r="L12" s="41"/>
      <c r="M12" s="41"/>
      <c r="N12" s="41"/>
      <c r="O12" s="41"/>
      <c r="P12" s="41"/>
      <c r="Q12" s="41"/>
      <c r="R12" s="41"/>
      <c r="S12" s="41"/>
    </row>
    <row r="13" spans="1:19" ht="30" customHeight="1" thickTop="1" thickBot="1">
      <c r="A13" s="103"/>
      <c r="B13" s="41"/>
      <c r="C13" s="11">
        <v>3416</v>
      </c>
      <c r="D13" s="63" t="s">
        <v>277</v>
      </c>
      <c r="E13" s="64"/>
      <c r="F13" s="12">
        <f t="shared" si="1"/>
        <v>0</v>
      </c>
      <c r="G13" s="41"/>
      <c r="H13" s="10">
        <v>3410</v>
      </c>
      <c r="I13" s="51" t="s">
        <v>343</v>
      </c>
      <c r="J13" s="48">
        <f>IF(ISERROR($E$67),"",$E$67)</f>
        <v>0</v>
      </c>
      <c r="K13" s="12">
        <f t="shared" si="0"/>
        <v>0</v>
      </c>
      <c r="L13" s="41"/>
      <c r="M13" s="41"/>
      <c r="N13" s="41"/>
      <c r="O13" s="41"/>
      <c r="P13" s="41"/>
      <c r="Q13" s="41"/>
      <c r="R13" s="41"/>
      <c r="S13" s="41"/>
    </row>
    <row r="14" spans="1:19" ht="30" customHeight="1" thickTop="1" thickBot="1">
      <c r="A14" s="103"/>
      <c r="B14" s="41"/>
      <c r="C14" s="11">
        <v>3417</v>
      </c>
      <c r="D14" s="63"/>
      <c r="E14" s="64"/>
      <c r="F14" s="12">
        <f t="shared" si="1"/>
        <v>0</v>
      </c>
      <c r="G14" s="41"/>
      <c r="H14" s="10">
        <v>3410</v>
      </c>
      <c r="I14" s="51" t="s">
        <v>330</v>
      </c>
      <c r="J14" s="48">
        <f>IF(ISERROR($E$77),"",$E$77)</f>
        <v>0</v>
      </c>
      <c r="K14" s="12">
        <f t="shared" si="0"/>
        <v>0</v>
      </c>
      <c r="L14" s="41"/>
      <c r="M14" s="41"/>
      <c r="N14" s="41"/>
      <c r="O14" s="41"/>
      <c r="P14" s="41"/>
      <c r="Q14" s="41"/>
      <c r="R14" s="41"/>
      <c r="S14" s="41"/>
    </row>
    <row r="15" spans="1:19" ht="30" customHeight="1" thickTop="1" thickBot="1">
      <c r="A15" s="103"/>
      <c r="B15" s="41"/>
      <c r="C15" s="11">
        <v>3418</v>
      </c>
      <c r="D15" s="63" t="s">
        <v>278</v>
      </c>
      <c r="E15" s="64"/>
      <c r="F15" s="12">
        <f t="shared" si="1"/>
        <v>0</v>
      </c>
      <c r="G15" s="41"/>
      <c r="H15" s="10">
        <v>3410</v>
      </c>
      <c r="I15" s="51" t="s">
        <v>338</v>
      </c>
      <c r="J15" s="48">
        <f>IF(ISERROR($E$87),"",$E$87)</f>
        <v>0</v>
      </c>
      <c r="K15" s="12">
        <f t="shared" si="0"/>
        <v>0</v>
      </c>
      <c r="L15" s="41"/>
      <c r="M15" s="41"/>
      <c r="N15" s="41"/>
      <c r="O15" s="41"/>
      <c r="P15" s="41"/>
      <c r="Q15" s="41"/>
      <c r="R15" s="41"/>
      <c r="S15" s="41"/>
    </row>
    <row r="16" spans="1:19" ht="30" customHeight="1" thickTop="1" thickBot="1">
      <c r="A16" s="103"/>
      <c r="B16" s="41"/>
      <c r="C16" s="11">
        <v>3419</v>
      </c>
      <c r="D16" s="63" t="s">
        <v>279</v>
      </c>
      <c r="E16" s="64"/>
      <c r="F16" s="12">
        <f t="shared" si="1"/>
        <v>0</v>
      </c>
      <c r="G16" s="41"/>
      <c r="H16" s="41"/>
      <c r="I16" s="41"/>
      <c r="J16" s="41"/>
      <c r="K16" s="41"/>
      <c r="L16" s="41"/>
      <c r="M16" s="41"/>
      <c r="N16" s="41"/>
      <c r="O16" s="41"/>
      <c r="P16" s="41"/>
      <c r="Q16" s="41"/>
      <c r="R16" s="41"/>
      <c r="S16" s="41"/>
    </row>
    <row r="17" spans="1:19" ht="30" customHeight="1" thickTop="1" thickBot="1">
      <c r="A17" s="103"/>
      <c r="B17" s="41"/>
      <c r="C17" s="10">
        <v>3420</v>
      </c>
      <c r="D17" s="61" t="s">
        <v>281</v>
      </c>
      <c r="E17" s="139">
        <f>IF(ISERROR(SUM(E18:E26)),"",SUM(E18:E26))</f>
        <v>0</v>
      </c>
      <c r="F17" s="144"/>
      <c r="G17" s="41"/>
      <c r="H17" s="45">
        <v>3400</v>
      </c>
      <c r="I17" s="141" t="s">
        <v>344</v>
      </c>
      <c r="J17" s="141"/>
      <c r="K17" s="141"/>
      <c r="L17" s="41"/>
      <c r="M17" s="41"/>
      <c r="N17" s="41"/>
      <c r="O17" s="41"/>
      <c r="P17" s="41"/>
      <c r="Q17" s="41"/>
      <c r="R17" s="41"/>
      <c r="S17" s="41"/>
    </row>
    <row r="18" spans="1:19" ht="30" customHeight="1" thickTop="1" thickBot="1">
      <c r="A18" s="103"/>
      <c r="B18" s="41"/>
      <c r="C18" s="11">
        <v>3421</v>
      </c>
      <c r="D18" s="63" t="s">
        <v>282</v>
      </c>
      <c r="E18" s="64"/>
      <c r="F18" s="12" t="str">
        <f>IF(ISERROR(E18/$E$17),"",E18/$E$17)</f>
        <v/>
      </c>
      <c r="G18" s="41"/>
      <c r="H18" s="10">
        <v>3410</v>
      </c>
      <c r="I18" s="51" t="s">
        <v>72</v>
      </c>
      <c r="J18" s="48">
        <f>IF(ISERROR($E$7),"",$E$7)</f>
        <v>31840</v>
      </c>
      <c r="K18" s="12">
        <f>IF(ISERROR(J18/$J$21),"",J18/$J$21)</f>
        <v>2.4972549019607841</v>
      </c>
      <c r="L18" s="41"/>
      <c r="M18" s="41"/>
      <c r="N18" s="41"/>
      <c r="O18" s="41"/>
      <c r="P18" s="41"/>
      <c r="Q18" s="41"/>
      <c r="R18" s="41"/>
      <c r="S18" s="41"/>
    </row>
    <row r="19" spans="1:19" ht="30" customHeight="1" thickTop="1" thickBot="1">
      <c r="A19" s="103"/>
      <c r="B19" s="41"/>
      <c r="C19" s="11">
        <v>3422</v>
      </c>
      <c r="D19" s="63" t="s">
        <v>283</v>
      </c>
      <c r="E19" s="64"/>
      <c r="F19" s="12" t="str">
        <f t="shared" ref="F19:F26" si="2">IF(ISERROR(E19/$E$17),"",E19/$E$17)</f>
        <v/>
      </c>
      <c r="G19" s="41"/>
      <c r="H19" s="10">
        <v>3410</v>
      </c>
      <c r="I19" s="51" t="s">
        <v>342</v>
      </c>
      <c r="J19" s="48">
        <f>IF(ISERROR($E$17),"",$E$17)</f>
        <v>0</v>
      </c>
      <c r="K19" s="12">
        <f t="shared" ref="K19:K20" si="3">IF(ISERROR(J19/$J$21),"",J19/$J$21)</f>
        <v>0</v>
      </c>
      <c r="L19" s="41"/>
      <c r="M19" s="41"/>
      <c r="N19" s="41"/>
      <c r="O19" s="41"/>
      <c r="P19" s="41"/>
      <c r="Q19" s="41"/>
      <c r="R19" s="41"/>
      <c r="S19" s="41"/>
    </row>
    <row r="20" spans="1:19" ht="30" customHeight="1" thickTop="1" thickBot="1">
      <c r="A20" s="103"/>
      <c r="B20" s="41"/>
      <c r="C20" s="11">
        <v>3423</v>
      </c>
      <c r="D20" s="63" t="s">
        <v>284</v>
      </c>
      <c r="E20" s="64"/>
      <c r="F20" s="12" t="str">
        <f t="shared" si="2"/>
        <v/>
      </c>
      <c r="G20" s="41"/>
      <c r="H20" s="10">
        <v>3410</v>
      </c>
      <c r="I20" s="51" t="s">
        <v>290</v>
      </c>
      <c r="J20" s="48">
        <f>IF(ISERROR($E$27),"",$E$27)</f>
        <v>0</v>
      </c>
      <c r="K20" s="12">
        <f t="shared" si="3"/>
        <v>0</v>
      </c>
      <c r="L20" s="41"/>
      <c r="M20" s="41"/>
      <c r="N20" s="41"/>
      <c r="O20" s="41"/>
      <c r="P20" s="41"/>
      <c r="Q20" s="41"/>
      <c r="R20" s="41"/>
      <c r="S20" s="41"/>
    </row>
    <row r="21" spans="1:19" ht="30" customHeight="1" thickTop="1" thickBot="1">
      <c r="A21" s="103"/>
      <c r="B21" s="41"/>
      <c r="C21" s="11">
        <v>3424</v>
      </c>
      <c r="D21" s="63" t="s">
        <v>285</v>
      </c>
      <c r="E21" s="64"/>
      <c r="F21" s="12" t="str">
        <f t="shared" si="2"/>
        <v/>
      </c>
      <c r="G21" s="41"/>
      <c r="H21" s="10">
        <v>3410</v>
      </c>
      <c r="I21" s="51" t="s">
        <v>297</v>
      </c>
      <c r="J21" s="48">
        <f>IF(ISERROR($E$37),"",$E$37)</f>
        <v>12750</v>
      </c>
      <c r="K21" s="12">
        <f t="shared" ref="K21" si="4">IF(ISERROR(J21/$J$21),"",J21/$J$21)</f>
        <v>1</v>
      </c>
      <c r="L21" s="41"/>
      <c r="M21" s="41"/>
      <c r="N21" s="41"/>
      <c r="O21" s="41"/>
      <c r="P21" s="41"/>
      <c r="Q21" s="41"/>
      <c r="R21" s="41"/>
      <c r="S21" s="41"/>
    </row>
    <row r="22" spans="1:19" ht="30" customHeight="1" thickTop="1" thickBot="1">
      <c r="A22" s="103"/>
      <c r="B22" s="41"/>
      <c r="C22" s="11">
        <v>3425</v>
      </c>
      <c r="D22" s="63" t="s">
        <v>286</v>
      </c>
      <c r="E22" s="64"/>
      <c r="F22" s="12" t="str">
        <f t="shared" si="2"/>
        <v/>
      </c>
      <c r="G22" s="41"/>
      <c r="H22" s="10">
        <v>3410</v>
      </c>
      <c r="I22" s="51" t="s">
        <v>307</v>
      </c>
      <c r="J22" s="48">
        <f>IF(ISERROR($E$47),"",$E$47)</f>
        <v>8874</v>
      </c>
      <c r="K22" s="12">
        <f t="shared" ref="K22:K23" si="5">IF(ISERROR(J22/$J$21),"",J22/$J$21)</f>
        <v>0.69599999999999995</v>
      </c>
      <c r="L22" s="41"/>
      <c r="M22" s="41"/>
      <c r="N22" s="41"/>
      <c r="O22" s="41"/>
      <c r="P22" s="41"/>
      <c r="Q22" s="41"/>
      <c r="R22" s="41"/>
      <c r="S22" s="41"/>
    </row>
    <row r="23" spans="1:19" ht="30" customHeight="1" thickTop="1" thickBot="1">
      <c r="A23" s="103"/>
      <c r="B23" s="41"/>
      <c r="C23" s="11">
        <v>3426</v>
      </c>
      <c r="D23" s="63" t="s">
        <v>287</v>
      </c>
      <c r="E23" s="64"/>
      <c r="F23" s="12" t="str">
        <f t="shared" si="2"/>
        <v/>
      </c>
      <c r="G23" s="41"/>
      <c r="H23" s="10">
        <v>3410</v>
      </c>
      <c r="I23" s="51" t="s">
        <v>343</v>
      </c>
      <c r="J23" s="48">
        <f>IF(ISERROR($E$67),"",$E$67)</f>
        <v>0</v>
      </c>
      <c r="K23" s="12">
        <f t="shared" si="5"/>
        <v>0</v>
      </c>
      <c r="L23" s="41"/>
      <c r="M23" s="41"/>
      <c r="N23" s="41"/>
      <c r="O23" s="41"/>
      <c r="P23" s="41"/>
      <c r="Q23" s="41"/>
      <c r="R23" s="41"/>
      <c r="S23" s="41"/>
    </row>
    <row r="24" spans="1:19" ht="30" customHeight="1" thickTop="1" thickBot="1">
      <c r="A24" s="103"/>
      <c r="B24" s="41"/>
      <c r="C24" s="11">
        <v>3427</v>
      </c>
      <c r="D24" s="63"/>
      <c r="E24" s="64"/>
      <c r="F24" s="12" t="str">
        <f t="shared" si="2"/>
        <v/>
      </c>
      <c r="G24" s="41"/>
      <c r="H24" s="145" t="s">
        <v>34</v>
      </c>
      <c r="I24" s="145"/>
      <c r="J24" s="146">
        <f>IF(ISERROR(SUM($J$18:$J$23)),"",SUM($J$18:$J$23))</f>
        <v>53464</v>
      </c>
      <c r="K24" s="146"/>
      <c r="L24" s="41"/>
      <c r="M24" s="41"/>
      <c r="N24" s="41"/>
      <c r="O24" s="41"/>
      <c r="P24" s="41"/>
      <c r="Q24" s="41"/>
      <c r="R24" s="41"/>
      <c r="S24" s="41"/>
    </row>
    <row r="25" spans="1:19" ht="30" customHeight="1" thickTop="1" thickBot="1">
      <c r="A25" s="103"/>
      <c r="B25" s="41"/>
      <c r="C25" s="11">
        <v>3428</v>
      </c>
      <c r="D25" s="63" t="s">
        <v>288</v>
      </c>
      <c r="E25" s="64"/>
      <c r="F25" s="12" t="str">
        <f t="shared" si="2"/>
        <v/>
      </c>
      <c r="G25" s="41"/>
      <c r="H25" s="41"/>
      <c r="I25" s="41"/>
      <c r="J25" s="41"/>
      <c r="K25" s="67"/>
      <c r="L25" s="41"/>
      <c r="M25" s="41"/>
      <c r="N25" s="41"/>
      <c r="O25" s="41"/>
      <c r="P25" s="41"/>
      <c r="Q25" s="41"/>
      <c r="R25" s="41"/>
      <c r="S25" s="41"/>
    </row>
    <row r="26" spans="1:19" ht="30" customHeight="1" thickTop="1" thickBot="1">
      <c r="A26" s="103"/>
      <c r="B26" s="41"/>
      <c r="C26" s="11">
        <v>3429</v>
      </c>
      <c r="D26" s="63" t="s">
        <v>289</v>
      </c>
      <c r="E26" s="64"/>
      <c r="F26" s="12" t="str">
        <f t="shared" si="2"/>
        <v/>
      </c>
      <c r="G26" s="41"/>
      <c r="H26" s="128" t="s">
        <v>345</v>
      </c>
      <c r="I26" s="129"/>
      <c r="J26" s="129"/>
      <c r="K26" s="130"/>
      <c r="L26" s="41"/>
      <c r="M26" s="41"/>
      <c r="N26" s="41"/>
      <c r="O26" s="41"/>
      <c r="P26" s="41"/>
      <c r="Q26" s="41"/>
      <c r="R26" s="41"/>
      <c r="S26" s="41"/>
    </row>
    <row r="27" spans="1:19" ht="30" customHeight="1" thickTop="1" thickBot="1">
      <c r="A27" s="103"/>
      <c r="B27" s="41"/>
      <c r="C27" s="10">
        <v>3430</v>
      </c>
      <c r="D27" s="61" t="s">
        <v>290</v>
      </c>
      <c r="E27" s="139">
        <f>IF(ISERROR(SUM(E28:E36)),"",SUM(E28:E36))</f>
        <v>0</v>
      </c>
      <c r="F27" s="144"/>
      <c r="G27" s="41"/>
      <c r="H27" s="143" t="s">
        <v>34</v>
      </c>
      <c r="I27" s="143"/>
      <c r="J27" s="146">
        <f>IF(ISERROR(SUM($J$7:$J$15)),"",SUM($J$7:$J$15))</f>
        <v>58958</v>
      </c>
      <c r="K27" s="146"/>
      <c r="L27" s="41"/>
      <c r="M27" s="41"/>
      <c r="N27" s="41"/>
      <c r="O27" s="41"/>
      <c r="P27" s="41"/>
      <c r="Q27" s="41"/>
      <c r="R27" s="41"/>
      <c r="S27" s="41"/>
    </row>
    <row r="28" spans="1:19" ht="30" customHeight="1" thickTop="1" thickBot="1">
      <c r="A28" s="103"/>
      <c r="B28" s="41"/>
      <c r="C28" s="11">
        <v>3431</v>
      </c>
      <c r="D28" s="63" t="s">
        <v>291</v>
      </c>
      <c r="E28" s="64"/>
      <c r="F28" s="12" t="str">
        <f>IF(ISERROR(E28/$E$27),"",E28/$E$27)</f>
        <v/>
      </c>
      <c r="G28" s="41"/>
      <c r="H28" s="41"/>
      <c r="I28" s="41"/>
      <c r="J28" s="41"/>
      <c r="K28" s="41"/>
      <c r="L28" s="41"/>
      <c r="M28" s="41"/>
      <c r="N28" s="41"/>
      <c r="O28" s="41"/>
      <c r="P28" s="41"/>
      <c r="Q28" s="41"/>
      <c r="R28" s="41"/>
      <c r="S28" s="41"/>
    </row>
    <row r="29" spans="1:19" ht="30" customHeight="1" thickTop="1" thickBot="1">
      <c r="A29" s="103"/>
      <c r="B29" s="41"/>
      <c r="C29" s="11">
        <v>3432</v>
      </c>
      <c r="D29" s="63" t="s">
        <v>292</v>
      </c>
      <c r="E29" s="64"/>
      <c r="F29" s="12" t="str">
        <f t="shared" ref="F29:F36" si="6">IF(ISERROR(E29/$E$27),"",E29/$E$27)</f>
        <v/>
      </c>
      <c r="G29" s="41"/>
      <c r="H29" s="41"/>
      <c r="I29" s="41"/>
      <c r="J29" s="41"/>
      <c r="K29" s="41"/>
      <c r="L29" s="41"/>
      <c r="M29" s="41"/>
      <c r="N29" s="41"/>
      <c r="O29" s="41"/>
      <c r="P29" s="41"/>
      <c r="Q29" s="41"/>
      <c r="R29" s="41"/>
      <c r="S29" s="41"/>
    </row>
    <row r="30" spans="1:19" ht="30" customHeight="1" thickTop="1" thickBot="1">
      <c r="A30" s="103"/>
      <c r="B30" s="41"/>
      <c r="C30" s="11">
        <v>3433</v>
      </c>
      <c r="D30" s="63" t="s">
        <v>293</v>
      </c>
      <c r="E30" s="64"/>
      <c r="F30" s="12" t="str">
        <f t="shared" si="6"/>
        <v/>
      </c>
      <c r="G30" s="41"/>
      <c r="H30" s="41"/>
      <c r="I30" s="41"/>
      <c r="J30" s="41"/>
      <c r="K30" s="41"/>
      <c r="L30" s="41"/>
      <c r="M30" s="41"/>
      <c r="N30" s="41"/>
      <c r="O30" s="41"/>
      <c r="P30" s="41"/>
      <c r="Q30" s="41"/>
      <c r="R30" s="41"/>
      <c r="S30" s="41"/>
    </row>
    <row r="31" spans="1:19" ht="30" customHeight="1" thickTop="1" thickBot="1">
      <c r="A31" s="103"/>
      <c r="B31" s="41"/>
      <c r="C31" s="11">
        <v>3434</v>
      </c>
      <c r="D31" s="63" t="s">
        <v>295</v>
      </c>
      <c r="E31" s="64"/>
      <c r="F31" s="12" t="str">
        <f t="shared" si="6"/>
        <v/>
      </c>
      <c r="G31" s="41"/>
      <c r="H31" s="41"/>
      <c r="I31" s="41"/>
      <c r="J31" s="41"/>
      <c r="K31" s="41"/>
      <c r="L31" s="41"/>
      <c r="M31" s="41"/>
      <c r="N31" s="41"/>
      <c r="O31" s="41"/>
      <c r="P31" s="41"/>
      <c r="Q31" s="41"/>
      <c r="R31" s="41"/>
      <c r="S31" s="41"/>
    </row>
    <row r="32" spans="1:19" ht="30" customHeight="1" thickTop="1" thickBot="1">
      <c r="A32" s="103"/>
      <c r="B32" s="41"/>
      <c r="C32" s="11">
        <v>3435</v>
      </c>
      <c r="D32" s="63" t="s">
        <v>294</v>
      </c>
      <c r="E32" s="64"/>
      <c r="F32" s="12" t="str">
        <f t="shared" si="6"/>
        <v/>
      </c>
      <c r="G32" s="41"/>
      <c r="H32" s="41"/>
      <c r="I32" s="41"/>
      <c r="J32" s="41"/>
      <c r="K32" s="41"/>
      <c r="L32" s="41"/>
      <c r="M32" s="41"/>
      <c r="N32" s="41"/>
      <c r="O32" s="41"/>
      <c r="P32" s="41"/>
      <c r="Q32" s="41"/>
      <c r="R32" s="41"/>
      <c r="S32" s="41"/>
    </row>
    <row r="33" spans="1:19" ht="30" customHeight="1" thickTop="1" thickBot="1">
      <c r="A33" s="103"/>
      <c r="B33" s="41"/>
      <c r="C33" s="11">
        <v>3436</v>
      </c>
      <c r="D33" s="63"/>
      <c r="E33" s="64"/>
      <c r="F33" s="12" t="str">
        <f t="shared" si="6"/>
        <v/>
      </c>
      <c r="G33" s="41"/>
      <c r="H33" s="41"/>
      <c r="I33" s="41"/>
      <c r="J33" s="41"/>
      <c r="K33" s="41"/>
      <c r="L33" s="41"/>
      <c r="M33" s="41"/>
      <c r="N33" s="41"/>
      <c r="O33" s="41"/>
      <c r="P33" s="41"/>
      <c r="Q33" s="41"/>
      <c r="R33" s="41"/>
      <c r="S33" s="41"/>
    </row>
    <row r="34" spans="1:19" ht="30" customHeight="1" thickTop="1" thickBot="1">
      <c r="A34" s="103"/>
      <c r="B34" s="41"/>
      <c r="C34" s="11">
        <v>3437</v>
      </c>
      <c r="D34" s="63"/>
      <c r="E34" s="64"/>
      <c r="F34" s="12" t="str">
        <f t="shared" si="6"/>
        <v/>
      </c>
      <c r="G34" s="41"/>
      <c r="H34" s="41"/>
      <c r="I34" s="41"/>
      <c r="J34" s="41"/>
      <c r="K34" s="41"/>
      <c r="L34" s="41"/>
      <c r="M34" s="41"/>
      <c r="N34" s="41"/>
      <c r="O34" s="41"/>
      <c r="P34" s="41"/>
      <c r="Q34" s="41"/>
      <c r="R34" s="41"/>
      <c r="S34" s="41"/>
    </row>
    <row r="35" spans="1:19" ht="30" customHeight="1" thickTop="1" thickBot="1">
      <c r="A35" s="103"/>
      <c r="B35" s="41"/>
      <c r="C35" s="11">
        <v>3438</v>
      </c>
      <c r="D35" s="63"/>
      <c r="E35" s="64"/>
      <c r="F35" s="12" t="str">
        <f t="shared" si="6"/>
        <v/>
      </c>
      <c r="G35" s="41"/>
      <c r="H35" s="41"/>
      <c r="I35" s="41"/>
      <c r="J35" s="41"/>
      <c r="K35" s="41"/>
      <c r="L35" s="41"/>
      <c r="M35" s="41"/>
      <c r="N35" s="41"/>
      <c r="O35" s="41"/>
      <c r="P35" s="41"/>
      <c r="Q35" s="41"/>
      <c r="R35" s="41"/>
      <c r="S35" s="41"/>
    </row>
    <row r="36" spans="1:19" ht="30" customHeight="1" thickTop="1" thickBot="1">
      <c r="A36" s="103"/>
      <c r="B36" s="41"/>
      <c r="C36" s="11">
        <v>3439</v>
      </c>
      <c r="D36" s="63" t="s">
        <v>296</v>
      </c>
      <c r="E36" s="64"/>
      <c r="F36" s="12" t="str">
        <f t="shared" si="6"/>
        <v/>
      </c>
      <c r="G36" s="41"/>
      <c r="H36" s="41"/>
      <c r="I36" s="41"/>
      <c r="J36" s="41"/>
      <c r="K36" s="41"/>
      <c r="L36" s="41"/>
      <c r="M36" s="41"/>
      <c r="N36" s="41"/>
      <c r="O36" s="41"/>
      <c r="P36" s="41"/>
      <c r="Q36" s="41"/>
      <c r="R36" s="41"/>
      <c r="S36" s="41"/>
    </row>
    <row r="37" spans="1:19" ht="30" customHeight="1" thickTop="1" thickBot="1">
      <c r="A37" s="103"/>
      <c r="B37" s="41"/>
      <c r="C37" s="10">
        <v>3440</v>
      </c>
      <c r="D37" s="61" t="s">
        <v>297</v>
      </c>
      <c r="E37" s="139">
        <f>IF(ISERROR(SUM(E38:E46)),"",SUM(E38:E46))</f>
        <v>12750</v>
      </c>
      <c r="F37" s="144"/>
      <c r="G37" s="41"/>
      <c r="H37" s="41"/>
      <c r="I37" s="41"/>
      <c r="J37" s="41"/>
      <c r="K37" s="41"/>
      <c r="L37" s="41"/>
      <c r="M37" s="41"/>
      <c r="N37" s="41"/>
      <c r="O37" s="41"/>
      <c r="P37" s="41"/>
      <c r="Q37" s="41"/>
      <c r="R37" s="41"/>
      <c r="S37" s="41"/>
    </row>
    <row r="38" spans="1:19" ht="30" customHeight="1" thickTop="1" thickBot="1">
      <c r="A38" s="103"/>
      <c r="B38" s="41"/>
      <c r="C38" s="11">
        <v>3441</v>
      </c>
      <c r="D38" s="63" t="s">
        <v>298</v>
      </c>
      <c r="E38" s="64">
        <v>12750</v>
      </c>
      <c r="F38" s="12">
        <f>IF(ISERROR(E38/$E$37),"",E38/$E$37)</f>
        <v>1</v>
      </c>
      <c r="G38" s="41"/>
      <c r="H38" s="41"/>
      <c r="I38" s="41"/>
      <c r="J38" s="41"/>
      <c r="K38" s="41"/>
      <c r="L38" s="41"/>
      <c r="M38" s="41"/>
      <c r="N38" s="41"/>
      <c r="O38" s="41"/>
      <c r="P38" s="41"/>
      <c r="Q38" s="41"/>
      <c r="R38" s="41"/>
      <c r="S38" s="41"/>
    </row>
    <row r="39" spans="1:19" ht="30" customHeight="1" thickTop="1" thickBot="1">
      <c r="A39" s="103"/>
      <c r="B39" s="41"/>
      <c r="C39" s="11">
        <v>3442</v>
      </c>
      <c r="D39" s="63" t="s">
        <v>299</v>
      </c>
      <c r="E39" s="64"/>
      <c r="F39" s="12">
        <f t="shared" ref="F39:F46" si="7">IF(ISERROR(E39/$E$37),"",E39/$E$37)</f>
        <v>0</v>
      </c>
      <c r="G39" s="41"/>
      <c r="H39" s="41"/>
      <c r="I39" s="41"/>
      <c r="J39" s="41"/>
      <c r="K39" s="41"/>
      <c r="L39" s="41"/>
      <c r="M39" s="41"/>
      <c r="N39" s="41"/>
      <c r="O39" s="41"/>
      <c r="P39" s="41"/>
      <c r="Q39" s="41"/>
      <c r="R39" s="41"/>
      <c r="S39" s="41"/>
    </row>
    <row r="40" spans="1:19" ht="30" customHeight="1" thickTop="1" thickBot="1">
      <c r="A40" s="103"/>
      <c r="B40" s="41"/>
      <c r="C40" s="11">
        <v>3443</v>
      </c>
      <c r="D40" s="63" t="s">
        <v>300</v>
      </c>
      <c r="E40" s="64"/>
      <c r="F40" s="12">
        <f t="shared" si="7"/>
        <v>0</v>
      </c>
      <c r="G40" s="41"/>
      <c r="H40" s="41"/>
      <c r="I40" s="41"/>
      <c r="J40" s="41"/>
      <c r="K40" s="41"/>
      <c r="L40" s="41"/>
      <c r="M40" s="41"/>
      <c r="N40" s="41"/>
      <c r="O40" s="41"/>
      <c r="P40" s="41"/>
      <c r="Q40" s="41"/>
      <c r="R40" s="41"/>
      <c r="S40" s="41"/>
    </row>
    <row r="41" spans="1:19" ht="30" customHeight="1" thickTop="1" thickBot="1">
      <c r="A41" s="103"/>
      <c r="B41" s="41"/>
      <c r="C41" s="11">
        <v>3444</v>
      </c>
      <c r="D41" s="63" t="s">
        <v>301</v>
      </c>
      <c r="E41" s="64"/>
      <c r="F41" s="12">
        <f t="shared" si="7"/>
        <v>0</v>
      </c>
      <c r="G41" s="41"/>
      <c r="H41" s="41"/>
      <c r="I41" s="41"/>
      <c r="J41" s="41"/>
      <c r="K41" s="41"/>
      <c r="L41" s="41"/>
      <c r="M41" s="41"/>
      <c r="N41" s="41"/>
      <c r="O41" s="41"/>
      <c r="P41" s="41"/>
      <c r="Q41" s="41"/>
      <c r="R41" s="41"/>
      <c r="S41" s="41"/>
    </row>
    <row r="42" spans="1:19" ht="30" customHeight="1" thickTop="1" thickBot="1">
      <c r="A42" s="103"/>
      <c r="B42" s="41"/>
      <c r="C42" s="11">
        <v>3445</v>
      </c>
      <c r="D42" s="63" t="s">
        <v>302</v>
      </c>
      <c r="E42" s="64"/>
      <c r="F42" s="12">
        <f t="shared" si="7"/>
        <v>0</v>
      </c>
      <c r="G42" s="41"/>
      <c r="H42" s="41"/>
      <c r="I42" s="41"/>
      <c r="J42" s="41"/>
      <c r="K42" s="41"/>
      <c r="L42" s="41"/>
      <c r="M42" s="41"/>
      <c r="N42" s="41"/>
      <c r="O42" s="41"/>
      <c r="P42" s="41"/>
      <c r="Q42" s="41"/>
      <c r="R42" s="41"/>
      <c r="S42" s="41"/>
    </row>
    <row r="43" spans="1:19" ht="30" customHeight="1" thickTop="1" thickBot="1">
      <c r="A43" s="103"/>
      <c r="B43" s="41"/>
      <c r="C43" s="11">
        <v>3446</v>
      </c>
      <c r="D43" s="63" t="s">
        <v>303</v>
      </c>
      <c r="E43" s="64"/>
      <c r="F43" s="12">
        <f t="shared" si="7"/>
        <v>0</v>
      </c>
      <c r="G43" s="41"/>
      <c r="H43" s="41"/>
      <c r="I43" s="41"/>
      <c r="J43" s="41"/>
      <c r="K43" s="41"/>
      <c r="L43" s="41"/>
      <c r="M43" s="41"/>
      <c r="N43" s="41"/>
      <c r="O43" s="41"/>
      <c r="P43" s="41"/>
      <c r="Q43" s="41"/>
      <c r="R43" s="41"/>
      <c r="S43" s="41"/>
    </row>
    <row r="44" spans="1:19" ht="30" customHeight="1" thickTop="1" thickBot="1">
      <c r="A44" s="103"/>
      <c r="B44" s="41"/>
      <c r="C44" s="11">
        <v>3447</v>
      </c>
      <c r="D44" s="63" t="s">
        <v>304</v>
      </c>
      <c r="E44" s="64"/>
      <c r="F44" s="12">
        <f t="shared" si="7"/>
        <v>0</v>
      </c>
      <c r="G44" s="41"/>
      <c r="H44" s="41"/>
      <c r="I44" s="41"/>
      <c r="J44" s="41"/>
      <c r="K44" s="41"/>
      <c r="L44" s="41"/>
      <c r="M44" s="41"/>
      <c r="N44" s="41"/>
      <c r="O44" s="41"/>
      <c r="P44" s="41"/>
      <c r="Q44" s="41"/>
      <c r="R44" s="41"/>
      <c r="S44" s="41"/>
    </row>
    <row r="45" spans="1:19" ht="30" customHeight="1" thickTop="1" thickBot="1">
      <c r="A45" s="103"/>
      <c r="B45" s="41"/>
      <c r="C45" s="11">
        <v>3448</v>
      </c>
      <c r="D45" s="63" t="s">
        <v>305</v>
      </c>
      <c r="E45" s="64"/>
      <c r="F45" s="12">
        <f t="shared" si="7"/>
        <v>0</v>
      </c>
      <c r="G45" s="41"/>
      <c r="H45" s="41"/>
      <c r="I45" s="41"/>
      <c r="J45" s="41"/>
      <c r="K45" s="41"/>
      <c r="L45" s="41"/>
      <c r="M45" s="41"/>
      <c r="N45" s="41"/>
      <c r="O45" s="41"/>
      <c r="P45" s="41"/>
      <c r="Q45" s="41"/>
      <c r="R45" s="41"/>
      <c r="S45" s="41"/>
    </row>
    <row r="46" spans="1:19" ht="30" customHeight="1" thickTop="1" thickBot="1">
      <c r="A46" s="103"/>
      <c r="B46" s="41"/>
      <c r="C46" s="11">
        <v>3449</v>
      </c>
      <c r="D46" s="63" t="s">
        <v>306</v>
      </c>
      <c r="E46" s="64"/>
      <c r="F46" s="12">
        <f t="shared" si="7"/>
        <v>0</v>
      </c>
      <c r="G46" s="41"/>
      <c r="H46" s="41"/>
      <c r="I46" s="41"/>
      <c r="J46" s="41"/>
      <c r="K46" s="41"/>
      <c r="L46" s="41"/>
      <c r="M46" s="41"/>
      <c r="N46" s="41"/>
      <c r="O46" s="41"/>
      <c r="P46" s="41"/>
      <c r="Q46" s="41"/>
      <c r="R46" s="41"/>
      <c r="S46" s="41"/>
    </row>
    <row r="47" spans="1:19" ht="30" customHeight="1" thickTop="1" thickBot="1">
      <c r="A47" s="103"/>
      <c r="B47" s="41"/>
      <c r="C47" s="10">
        <v>3450</v>
      </c>
      <c r="D47" s="61" t="s">
        <v>307</v>
      </c>
      <c r="E47" s="139">
        <f>IF(ISERROR(SUM(E48:E56)),"",SUM(E48:E56))</f>
        <v>8874</v>
      </c>
      <c r="F47" s="144"/>
      <c r="G47" s="41"/>
      <c r="H47" s="41"/>
      <c r="I47" s="41"/>
      <c r="J47" s="41"/>
      <c r="K47" s="41"/>
      <c r="L47" s="41"/>
      <c r="M47" s="41"/>
      <c r="N47" s="41"/>
      <c r="O47" s="41"/>
      <c r="P47" s="41"/>
      <c r="Q47" s="41"/>
      <c r="R47" s="41"/>
      <c r="S47" s="41"/>
    </row>
    <row r="48" spans="1:19" ht="30" customHeight="1" thickTop="1" thickBot="1">
      <c r="A48" s="103"/>
      <c r="B48" s="41"/>
      <c r="C48" s="11">
        <v>3451</v>
      </c>
      <c r="D48" s="63" t="s">
        <v>308</v>
      </c>
      <c r="E48" s="64"/>
      <c r="F48" s="12">
        <f>IF(ISERROR(E48/$E$47),"",E48/$E$47)</f>
        <v>0</v>
      </c>
      <c r="G48" s="41"/>
      <c r="H48" s="41"/>
      <c r="I48" s="41"/>
      <c r="J48" s="41"/>
      <c r="K48" s="41"/>
      <c r="L48" s="41"/>
      <c r="M48" s="41"/>
      <c r="N48" s="41"/>
      <c r="O48" s="41"/>
      <c r="P48" s="41"/>
      <c r="Q48" s="41"/>
      <c r="R48" s="41"/>
      <c r="S48" s="41"/>
    </row>
    <row r="49" spans="1:19" s="1" customFormat="1" ht="30" customHeight="1" thickTop="1" thickBot="1">
      <c r="A49" s="103"/>
      <c r="B49" s="41"/>
      <c r="C49" s="11">
        <v>3452</v>
      </c>
      <c r="D49" s="63" t="s">
        <v>309</v>
      </c>
      <c r="E49" s="64">
        <v>8874</v>
      </c>
      <c r="F49" s="12">
        <f t="shared" ref="F49:F56" si="8">IF(ISERROR(E49/$E$47),"",E49/$E$47)</f>
        <v>1</v>
      </c>
      <c r="G49" s="41"/>
      <c r="H49" s="41"/>
      <c r="I49" s="41"/>
      <c r="J49" s="41"/>
      <c r="K49" s="41"/>
      <c r="L49" s="41"/>
      <c r="M49" s="41"/>
      <c r="N49" s="41"/>
      <c r="O49" s="41"/>
      <c r="P49" s="41"/>
      <c r="Q49" s="41"/>
      <c r="R49" s="41"/>
      <c r="S49" s="41"/>
    </row>
    <row r="50" spans="1:19" s="1" customFormat="1" ht="30" customHeight="1" thickTop="1" thickBot="1">
      <c r="A50" s="103"/>
      <c r="B50" s="41"/>
      <c r="C50" s="11">
        <v>3453</v>
      </c>
      <c r="D50" s="63" t="s">
        <v>310</v>
      </c>
      <c r="E50" s="64"/>
      <c r="F50" s="12">
        <f t="shared" si="8"/>
        <v>0</v>
      </c>
      <c r="G50" s="41"/>
      <c r="H50" s="41"/>
      <c r="I50" s="41"/>
      <c r="J50" s="41"/>
      <c r="K50" s="41"/>
      <c r="L50" s="41"/>
      <c r="M50" s="41"/>
      <c r="N50" s="41"/>
      <c r="O50" s="41"/>
      <c r="P50" s="41"/>
      <c r="Q50" s="41"/>
      <c r="R50" s="41"/>
      <c r="S50" s="41"/>
    </row>
    <row r="51" spans="1:19" s="1" customFormat="1" ht="30" customHeight="1" thickTop="1" thickBot="1">
      <c r="A51" s="103"/>
      <c r="B51" s="41"/>
      <c r="C51" s="11">
        <v>3454</v>
      </c>
      <c r="D51" s="63" t="s">
        <v>311</v>
      </c>
      <c r="E51" s="64"/>
      <c r="F51" s="12">
        <f t="shared" si="8"/>
        <v>0</v>
      </c>
      <c r="G51" s="41"/>
      <c r="H51" s="41"/>
      <c r="I51" s="41"/>
      <c r="J51" s="41"/>
      <c r="K51" s="41"/>
      <c r="L51" s="41"/>
      <c r="M51" s="41"/>
      <c r="N51" s="41"/>
      <c r="O51" s="41"/>
      <c r="P51" s="41"/>
      <c r="Q51" s="41"/>
      <c r="R51" s="41"/>
      <c r="S51" s="41"/>
    </row>
    <row r="52" spans="1:19" s="1" customFormat="1" ht="30" customHeight="1" thickTop="1" thickBot="1">
      <c r="A52" s="103"/>
      <c r="B52" s="41"/>
      <c r="C52" s="11">
        <v>3455</v>
      </c>
      <c r="D52" s="63" t="s">
        <v>312</v>
      </c>
      <c r="E52" s="64"/>
      <c r="F52" s="12">
        <f t="shared" si="8"/>
        <v>0</v>
      </c>
      <c r="G52" s="41"/>
      <c r="H52" s="41"/>
      <c r="I52" s="41"/>
      <c r="J52" s="41"/>
      <c r="K52" s="41"/>
      <c r="L52" s="41"/>
      <c r="M52" s="41"/>
      <c r="N52" s="41"/>
      <c r="O52" s="41"/>
      <c r="P52" s="41"/>
      <c r="Q52" s="41"/>
      <c r="R52" s="41"/>
      <c r="S52" s="41"/>
    </row>
    <row r="53" spans="1:19" s="1" customFormat="1" ht="30" customHeight="1" thickTop="1" thickBot="1">
      <c r="A53" s="103"/>
      <c r="B53" s="41"/>
      <c r="C53" s="11">
        <v>3456</v>
      </c>
      <c r="D53" s="63" t="s">
        <v>313</v>
      </c>
      <c r="E53" s="64"/>
      <c r="F53" s="12">
        <f t="shared" si="8"/>
        <v>0</v>
      </c>
      <c r="G53" s="41"/>
      <c r="H53" s="41"/>
      <c r="I53" s="41"/>
      <c r="J53" s="41"/>
      <c r="K53" s="41"/>
      <c r="L53" s="41"/>
      <c r="M53" s="41"/>
      <c r="N53" s="41"/>
      <c r="O53" s="41"/>
      <c r="P53" s="41"/>
      <c r="Q53" s="41"/>
      <c r="R53" s="41"/>
      <c r="S53" s="41"/>
    </row>
    <row r="54" spans="1:19" s="1" customFormat="1" ht="30" customHeight="1" thickTop="1" thickBot="1">
      <c r="A54" s="103"/>
      <c r="B54" s="41"/>
      <c r="C54" s="11">
        <v>3457</v>
      </c>
      <c r="D54" s="63" t="s">
        <v>314</v>
      </c>
      <c r="E54" s="64"/>
      <c r="F54" s="12">
        <f t="shared" si="8"/>
        <v>0</v>
      </c>
      <c r="G54" s="41"/>
      <c r="H54" s="41"/>
      <c r="I54" s="41"/>
      <c r="J54" s="41"/>
      <c r="K54" s="41"/>
      <c r="L54" s="41"/>
      <c r="M54" s="41"/>
      <c r="N54" s="41"/>
      <c r="O54" s="41"/>
      <c r="P54" s="41"/>
      <c r="Q54" s="41"/>
      <c r="R54" s="41"/>
      <c r="S54" s="41"/>
    </row>
    <row r="55" spans="1:19" s="1" customFormat="1" ht="30" customHeight="1" thickTop="1" thickBot="1">
      <c r="A55" s="103"/>
      <c r="B55" s="41"/>
      <c r="C55" s="11">
        <v>3458</v>
      </c>
      <c r="D55" s="63" t="s">
        <v>315</v>
      </c>
      <c r="E55" s="64"/>
      <c r="F55" s="12">
        <f t="shared" si="8"/>
        <v>0</v>
      </c>
      <c r="G55" s="41"/>
      <c r="H55" s="41"/>
      <c r="I55" s="41"/>
      <c r="J55" s="41"/>
      <c r="K55" s="41"/>
      <c r="L55" s="41"/>
      <c r="M55" s="41"/>
      <c r="N55" s="41"/>
      <c r="O55" s="41"/>
      <c r="P55" s="41"/>
      <c r="Q55" s="41"/>
      <c r="R55" s="41"/>
      <c r="S55" s="41"/>
    </row>
    <row r="56" spans="1:19" s="1" customFormat="1" ht="30" customHeight="1" thickTop="1" thickBot="1">
      <c r="A56" s="103"/>
      <c r="B56" s="41"/>
      <c r="C56" s="11">
        <v>3459</v>
      </c>
      <c r="D56" s="63" t="s">
        <v>316</v>
      </c>
      <c r="E56" s="64"/>
      <c r="F56" s="12">
        <f t="shared" si="8"/>
        <v>0</v>
      </c>
      <c r="G56" s="41"/>
      <c r="H56" s="41"/>
      <c r="I56" s="41"/>
      <c r="J56" s="41"/>
      <c r="K56" s="41"/>
      <c r="L56" s="41"/>
      <c r="M56" s="41"/>
      <c r="N56" s="41"/>
      <c r="O56" s="41"/>
      <c r="P56" s="41"/>
      <c r="Q56" s="41"/>
      <c r="R56" s="41"/>
      <c r="S56" s="41"/>
    </row>
    <row r="57" spans="1:19" s="1" customFormat="1" ht="30" customHeight="1" thickTop="1" thickBot="1">
      <c r="A57" s="103"/>
      <c r="B57" s="41"/>
      <c r="C57" s="10">
        <v>3460</v>
      </c>
      <c r="D57" s="61" t="s">
        <v>317</v>
      </c>
      <c r="E57" s="139">
        <f>IF(ISERROR(SUM(E58:E66)),"",SUM(E58:E66))</f>
        <v>5494</v>
      </c>
      <c r="F57" s="144"/>
      <c r="G57" s="41"/>
      <c r="H57" s="41"/>
      <c r="I57" s="41"/>
      <c r="J57" s="41"/>
      <c r="K57" s="41"/>
      <c r="L57" s="41"/>
      <c r="M57" s="41"/>
      <c r="N57" s="41"/>
      <c r="O57" s="41"/>
      <c r="P57" s="41"/>
      <c r="Q57" s="41"/>
      <c r="R57" s="41"/>
      <c r="S57" s="41"/>
    </row>
    <row r="58" spans="1:19" s="1" customFormat="1" ht="30" customHeight="1" thickTop="1" thickBot="1">
      <c r="A58" s="103"/>
      <c r="B58" s="41"/>
      <c r="C58" s="11">
        <v>3461</v>
      </c>
      <c r="D58" s="63" t="s">
        <v>318</v>
      </c>
      <c r="E58" s="64"/>
      <c r="F58" s="12">
        <f>IF(ISERROR(E58/$E$57),"",E58/$E$57)</f>
        <v>0</v>
      </c>
      <c r="G58" s="41"/>
      <c r="H58" s="41"/>
      <c r="I58" s="41"/>
      <c r="J58" s="41"/>
      <c r="K58" s="41"/>
      <c r="L58" s="41"/>
      <c r="M58" s="41"/>
      <c r="N58" s="41"/>
      <c r="O58" s="41"/>
      <c r="P58" s="41"/>
      <c r="Q58" s="41"/>
      <c r="R58" s="41"/>
      <c r="S58" s="41"/>
    </row>
    <row r="59" spans="1:19" s="1" customFormat="1" ht="30" customHeight="1" thickTop="1" thickBot="1">
      <c r="A59" s="103"/>
      <c r="B59" s="41"/>
      <c r="C59" s="11">
        <v>3462</v>
      </c>
      <c r="D59" s="63" t="s">
        <v>319</v>
      </c>
      <c r="E59" s="64"/>
      <c r="F59" s="12">
        <f t="shared" ref="F59:F66" si="9">IF(ISERROR(E59/$E$57),"",E59/$E$57)</f>
        <v>0</v>
      </c>
      <c r="G59" s="41"/>
      <c r="H59" s="41"/>
      <c r="I59" s="41"/>
      <c r="J59" s="41"/>
      <c r="K59" s="41"/>
      <c r="L59" s="41"/>
      <c r="M59" s="41"/>
      <c r="N59" s="41"/>
      <c r="O59" s="41"/>
      <c r="P59" s="41"/>
      <c r="Q59" s="41"/>
      <c r="R59" s="41"/>
      <c r="S59" s="41"/>
    </row>
    <row r="60" spans="1:19" s="1" customFormat="1" ht="30" customHeight="1" thickTop="1" thickBot="1">
      <c r="A60" s="103"/>
      <c r="B60" s="41"/>
      <c r="C60" s="11">
        <v>3463</v>
      </c>
      <c r="D60" s="63" t="s">
        <v>320</v>
      </c>
      <c r="E60" s="64">
        <v>5494</v>
      </c>
      <c r="F60" s="12">
        <f t="shared" si="9"/>
        <v>1</v>
      </c>
      <c r="G60" s="41"/>
      <c r="H60" s="41"/>
      <c r="I60" s="41"/>
      <c r="J60" s="41"/>
      <c r="K60" s="41"/>
      <c r="L60" s="41"/>
      <c r="M60" s="41"/>
      <c r="N60" s="41"/>
      <c r="O60" s="41"/>
      <c r="P60" s="41"/>
      <c r="Q60" s="41"/>
      <c r="R60" s="41"/>
      <c r="S60" s="41"/>
    </row>
    <row r="61" spans="1:19" s="1" customFormat="1" ht="30" customHeight="1" thickTop="1" thickBot="1">
      <c r="A61" s="103"/>
      <c r="B61" s="41"/>
      <c r="C61" s="11">
        <v>3464</v>
      </c>
      <c r="D61" s="63" t="s">
        <v>322</v>
      </c>
      <c r="E61" s="64"/>
      <c r="F61" s="12">
        <f t="shared" si="9"/>
        <v>0</v>
      </c>
      <c r="G61" s="41"/>
      <c r="H61" s="41"/>
      <c r="I61" s="41"/>
      <c r="J61" s="41"/>
      <c r="K61" s="41"/>
      <c r="L61" s="41"/>
      <c r="M61" s="41"/>
      <c r="N61" s="41"/>
      <c r="O61" s="41"/>
      <c r="P61" s="41"/>
      <c r="Q61" s="41"/>
      <c r="R61" s="41"/>
      <c r="S61" s="41"/>
    </row>
    <row r="62" spans="1:19" s="1" customFormat="1" ht="30" customHeight="1" thickTop="1" thickBot="1">
      <c r="A62" s="103"/>
      <c r="B62" s="41"/>
      <c r="C62" s="11">
        <v>3465</v>
      </c>
      <c r="D62" s="63"/>
      <c r="E62" s="64"/>
      <c r="F62" s="12">
        <f t="shared" si="9"/>
        <v>0</v>
      </c>
      <c r="G62" s="41"/>
      <c r="H62" s="41"/>
      <c r="I62" s="41"/>
      <c r="J62" s="41"/>
      <c r="K62" s="41"/>
      <c r="L62" s="41"/>
      <c r="M62" s="41"/>
      <c r="N62" s="41"/>
      <c r="O62" s="41"/>
      <c r="P62" s="41"/>
      <c r="Q62" s="41"/>
      <c r="R62" s="41"/>
      <c r="S62" s="41"/>
    </row>
    <row r="63" spans="1:19" s="1" customFormat="1" ht="30" customHeight="1" thickTop="1" thickBot="1">
      <c r="A63" s="103"/>
      <c r="B63" s="41"/>
      <c r="C63" s="11">
        <v>3466</v>
      </c>
      <c r="D63" s="63"/>
      <c r="E63" s="64"/>
      <c r="F63" s="12">
        <f t="shared" si="9"/>
        <v>0</v>
      </c>
      <c r="G63" s="41"/>
      <c r="H63" s="41"/>
      <c r="I63" s="41"/>
      <c r="J63" s="41"/>
      <c r="K63" s="41"/>
      <c r="L63" s="41"/>
      <c r="M63" s="41"/>
      <c r="N63" s="41"/>
      <c r="O63" s="41"/>
      <c r="P63" s="41"/>
      <c r="Q63" s="41"/>
      <c r="R63" s="41"/>
      <c r="S63" s="41"/>
    </row>
    <row r="64" spans="1:19" s="1" customFormat="1" ht="30" customHeight="1" thickTop="1" thickBot="1">
      <c r="A64" s="103"/>
      <c r="B64" s="41"/>
      <c r="C64" s="11">
        <v>3467</v>
      </c>
      <c r="D64" s="63"/>
      <c r="E64" s="64"/>
      <c r="F64" s="12">
        <f t="shared" si="9"/>
        <v>0</v>
      </c>
      <c r="G64" s="41"/>
      <c r="H64" s="41"/>
      <c r="I64" s="41"/>
      <c r="J64" s="41"/>
      <c r="K64" s="41"/>
      <c r="L64" s="41"/>
      <c r="M64" s="41"/>
      <c r="N64" s="41"/>
      <c r="O64" s="41"/>
      <c r="P64" s="41"/>
      <c r="Q64" s="41"/>
      <c r="R64" s="41"/>
      <c r="S64" s="41"/>
    </row>
    <row r="65" spans="1:19" s="1" customFormat="1" ht="30" customHeight="1" thickTop="1" thickBot="1">
      <c r="A65" s="103"/>
      <c r="B65" s="41"/>
      <c r="C65" s="11">
        <v>3468</v>
      </c>
      <c r="D65" s="63"/>
      <c r="E65" s="64"/>
      <c r="F65" s="12">
        <f t="shared" si="9"/>
        <v>0</v>
      </c>
      <c r="G65" s="41"/>
      <c r="H65" s="41"/>
      <c r="I65" s="41"/>
      <c r="J65" s="41"/>
      <c r="K65" s="41"/>
      <c r="L65" s="41"/>
      <c r="M65" s="41"/>
      <c r="N65" s="41"/>
      <c r="O65" s="41"/>
      <c r="P65" s="41"/>
      <c r="Q65" s="41"/>
      <c r="R65" s="41"/>
      <c r="S65" s="41"/>
    </row>
    <row r="66" spans="1:19" s="1" customFormat="1" ht="30" customHeight="1" thickTop="1" thickBot="1">
      <c r="A66" s="103"/>
      <c r="B66" s="41"/>
      <c r="C66" s="11">
        <v>3469</v>
      </c>
      <c r="D66" s="63" t="s">
        <v>321</v>
      </c>
      <c r="E66" s="64"/>
      <c r="F66" s="12">
        <f t="shared" si="9"/>
        <v>0</v>
      </c>
      <c r="G66" s="41"/>
      <c r="H66" s="41"/>
      <c r="I66" s="41"/>
      <c r="J66" s="41"/>
      <c r="K66" s="41"/>
      <c r="L66" s="41"/>
      <c r="M66" s="41"/>
      <c r="N66" s="41"/>
      <c r="O66" s="41"/>
      <c r="P66" s="41"/>
      <c r="Q66" s="41"/>
      <c r="R66" s="41"/>
      <c r="S66" s="41"/>
    </row>
    <row r="67" spans="1:19" s="1" customFormat="1" ht="30" customHeight="1" thickTop="1" thickBot="1">
      <c r="A67" s="103"/>
      <c r="B67" s="41"/>
      <c r="C67" s="10">
        <v>3470</v>
      </c>
      <c r="D67" s="61" t="s">
        <v>323</v>
      </c>
      <c r="E67" s="139">
        <f>IF(ISERROR(SUM(E68:E76)),"",SUM(E68:E76))</f>
        <v>0</v>
      </c>
      <c r="F67" s="144"/>
      <c r="G67" s="41"/>
      <c r="H67" s="41"/>
      <c r="I67" s="41"/>
      <c r="J67" s="41"/>
      <c r="K67" s="41"/>
      <c r="L67" s="41"/>
      <c r="M67" s="41"/>
      <c r="N67" s="41"/>
      <c r="O67" s="41"/>
      <c r="P67" s="41"/>
      <c r="Q67" s="41"/>
      <c r="R67" s="41"/>
      <c r="S67" s="41"/>
    </row>
    <row r="68" spans="1:19" s="1" customFormat="1" ht="30" customHeight="1" thickTop="1" thickBot="1">
      <c r="A68" s="103"/>
      <c r="B68" s="41"/>
      <c r="C68" s="11">
        <v>3471</v>
      </c>
      <c r="D68" s="63" t="s">
        <v>324</v>
      </c>
      <c r="E68" s="64"/>
      <c r="F68" s="12" t="str">
        <f>IF(ISERROR(E68/$E$67),"",E68/$E$67)</f>
        <v/>
      </c>
      <c r="G68" s="41"/>
      <c r="H68" s="41"/>
      <c r="I68" s="41"/>
      <c r="J68" s="41"/>
      <c r="K68" s="41"/>
      <c r="L68" s="41"/>
      <c r="M68" s="41"/>
      <c r="N68" s="41"/>
      <c r="O68" s="41"/>
      <c r="P68" s="41"/>
      <c r="Q68" s="41"/>
      <c r="R68" s="41"/>
      <c r="S68" s="41"/>
    </row>
    <row r="69" spans="1:19" s="1" customFormat="1" ht="30" customHeight="1" thickTop="1" thickBot="1">
      <c r="A69" s="103"/>
      <c r="B69" s="41"/>
      <c r="C69" s="11">
        <v>3472</v>
      </c>
      <c r="D69" s="63" t="s">
        <v>325</v>
      </c>
      <c r="E69" s="64"/>
      <c r="F69" s="12" t="str">
        <f t="shared" ref="F69:F76" si="10">IF(ISERROR(E69/$E$67),"",E69/$E$67)</f>
        <v/>
      </c>
      <c r="G69" s="41"/>
      <c r="H69" s="41"/>
      <c r="I69" s="41"/>
      <c r="J69" s="41"/>
      <c r="K69" s="41"/>
      <c r="L69" s="41"/>
      <c r="M69" s="41"/>
      <c r="N69" s="41"/>
      <c r="O69" s="41"/>
      <c r="P69" s="41"/>
      <c r="Q69" s="41"/>
      <c r="R69" s="41"/>
      <c r="S69" s="41"/>
    </row>
    <row r="70" spans="1:19" s="1" customFormat="1" ht="30" customHeight="1" thickTop="1" thickBot="1">
      <c r="A70" s="103"/>
      <c r="B70" s="41"/>
      <c r="C70" s="11">
        <v>3473</v>
      </c>
      <c r="D70" s="63" t="s">
        <v>326</v>
      </c>
      <c r="E70" s="64"/>
      <c r="F70" s="12" t="str">
        <f t="shared" si="10"/>
        <v/>
      </c>
      <c r="G70" s="41"/>
      <c r="H70" s="41"/>
      <c r="I70" s="41"/>
      <c r="J70" s="41"/>
      <c r="K70" s="41"/>
      <c r="L70" s="41"/>
      <c r="M70" s="41"/>
      <c r="N70" s="41"/>
      <c r="O70" s="41"/>
      <c r="P70" s="41"/>
      <c r="Q70" s="41"/>
      <c r="R70" s="41"/>
      <c r="S70" s="41"/>
    </row>
    <row r="71" spans="1:19" s="1" customFormat="1" ht="30" customHeight="1" thickTop="1" thickBot="1">
      <c r="A71" s="103"/>
      <c r="B71" s="41"/>
      <c r="C71" s="11">
        <v>3474</v>
      </c>
      <c r="D71" s="63" t="s">
        <v>327</v>
      </c>
      <c r="E71" s="64"/>
      <c r="F71" s="12" t="str">
        <f t="shared" si="10"/>
        <v/>
      </c>
      <c r="G71" s="41"/>
      <c r="H71" s="41"/>
      <c r="I71" s="41"/>
      <c r="J71" s="41"/>
      <c r="K71" s="41"/>
      <c r="L71" s="41"/>
      <c r="M71" s="41"/>
      <c r="N71" s="41"/>
      <c r="O71" s="41"/>
      <c r="P71" s="41"/>
      <c r="Q71" s="41"/>
      <c r="R71" s="41"/>
      <c r="S71" s="41"/>
    </row>
    <row r="72" spans="1:19" s="1" customFormat="1" ht="30" customHeight="1" thickTop="1" thickBot="1">
      <c r="A72" s="103"/>
      <c r="B72" s="41"/>
      <c r="C72" s="11">
        <v>3475</v>
      </c>
      <c r="D72" s="63" t="s">
        <v>328</v>
      </c>
      <c r="E72" s="64"/>
      <c r="F72" s="12" t="str">
        <f t="shared" si="10"/>
        <v/>
      </c>
      <c r="G72" s="41"/>
      <c r="H72" s="41"/>
      <c r="I72" s="41"/>
      <c r="J72" s="41"/>
      <c r="K72" s="41"/>
      <c r="L72" s="41"/>
      <c r="M72" s="41"/>
      <c r="N72" s="41"/>
      <c r="O72" s="41"/>
      <c r="P72" s="41"/>
      <c r="Q72" s="41"/>
      <c r="R72" s="41"/>
      <c r="S72" s="41"/>
    </row>
    <row r="73" spans="1:19" s="1" customFormat="1" ht="30" customHeight="1" thickTop="1" thickBot="1">
      <c r="A73" s="103"/>
      <c r="B73" s="41"/>
      <c r="C73" s="11">
        <v>3476</v>
      </c>
      <c r="D73" s="63"/>
      <c r="E73" s="64"/>
      <c r="F73" s="12" t="str">
        <f t="shared" si="10"/>
        <v/>
      </c>
      <c r="G73" s="41"/>
      <c r="H73" s="41"/>
      <c r="I73" s="41"/>
      <c r="J73" s="41"/>
      <c r="K73" s="41"/>
      <c r="L73" s="41"/>
      <c r="M73" s="41"/>
      <c r="N73" s="41"/>
      <c r="O73" s="41"/>
      <c r="P73" s="41"/>
      <c r="Q73" s="41"/>
      <c r="R73" s="41"/>
      <c r="S73" s="41"/>
    </row>
    <row r="74" spans="1:19" s="1" customFormat="1" ht="30" customHeight="1" thickTop="1" thickBot="1">
      <c r="A74" s="103"/>
      <c r="B74" s="41"/>
      <c r="C74" s="11">
        <v>3477</v>
      </c>
      <c r="D74" s="63"/>
      <c r="E74" s="64"/>
      <c r="F74" s="12" t="str">
        <f t="shared" si="10"/>
        <v/>
      </c>
      <c r="G74" s="41"/>
      <c r="H74" s="41"/>
      <c r="I74" s="41"/>
      <c r="J74" s="41"/>
      <c r="K74" s="41"/>
      <c r="L74" s="41"/>
      <c r="M74" s="41"/>
      <c r="N74" s="41"/>
      <c r="O74" s="41"/>
      <c r="P74" s="41"/>
      <c r="Q74" s="41"/>
      <c r="R74" s="41"/>
      <c r="S74" s="41"/>
    </row>
    <row r="75" spans="1:19" s="1" customFormat="1" ht="30" customHeight="1" thickTop="1" thickBot="1">
      <c r="A75" s="103"/>
      <c r="B75" s="41"/>
      <c r="C75" s="11">
        <v>3478</v>
      </c>
      <c r="D75" s="63"/>
      <c r="E75" s="64"/>
      <c r="F75" s="12" t="str">
        <f t="shared" si="10"/>
        <v/>
      </c>
      <c r="G75" s="41"/>
      <c r="H75" s="41"/>
      <c r="I75" s="41"/>
      <c r="J75" s="41"/>
      <c r="K75" s="41"/>
      <c r="L75" s="41"/>
      <c r="M75" s="41"/>
      <c r="N75" s="41"/>
      <c r="O75" s="41"/>
      <c r="P75" s="41"/>
      <c r="Q75" s="41"/>
      <c r="R75" s="41"/>
      <c r="S75" s="41"/>
    </row>
    <row r="76" spans="1:19" s="1" customFormat="1" ht="30" customHeight="1" thickTop="1" thickBot="1">
      <c r="A76" s="103"/>
      <c r="B76" s="41"/>
      <c r="C76" s="11">
        <v>3479</v>
      </c>
      <c r="D76" s="63" t="s">
        <v>329</v>
      </c>
      <c r="E76" s="64"/>
      <c r="F76" s="12" t="str">
        <f t="shared" si="10"/>
        <v/>
      </c>
      <c r="G76" s="41"/>
      <c r="H76" s="41"/>
      <c r="I76" s="41"/>
      <c r="J76" s="41"/>
      <c r="K76" s="41"/>
      <c r="L76" s="41"/>
      <c r="M76" s="41"/>
      <c r="N76" s="41"/>
      <c r="O76" s="41"/>
      <c r="P76" s="41"/>
      <c r="Q76" s="41"/>
      <c r="R76" s="41"/>
      <c r="S76" s="41"/>
    </row>
    <row r="77" spans="1:19" s="1" customFormat="1" ht="30" customHeight="1" thickTop="1" thickBot="1">
      <c r="A77" s="103"/>
      <c r="B77" s="41"/>
      <c r="C77" s="10">
        <v>3480</v>
      </c>
      <c r="D77" s="61" t="s">
        <v>330</v>
      </c>
      <c r="E77" s="139">
        <f>IF(ISERROR(SUM(E78:E86)),"",SUM(E78:E86))</f>
        <v>0</v>
      </c>
      <c r="F77" s="144"/>
      <c r="G77" s="41"/>
      <c r="H77" s="41"/>
      <c r="I77" s="41"/>
      <c r="J77" s="41"/>
      <c r="K77" s="41"/>
      <c r="L77" s="41"/>
      <c r="M77" s="41"/>
      <c r="N77" s="41"/>
      <c r="O77" s="41"/>
      <c r="P77" s="41"/>
      <c r="Q77" s="41"/>
      <c r="R77" s="41"/>
      <c r="S77" s="41"/>
    </row>
    <row r="78" spans="1:19" s="1" customFormat="1" ht="30" customHeight="1" thickTop="1" thickBot="1">
      <c r="A78" s="103"/>
      <c r="B78" s="41"/>
      <c r="C78" s="11">
        <v>3481</v>
      </c>
      <c r="D78" s="63" t="s">
        <v>331</v>
      </c>
      <c r="E78" s="64"/>
      <c r="F78" s="12" t="str">
        <f>IF(ISERROR(E78/$E$77),"",E78/$E$77)</f>
        <v/>
      </c>
      <c r="G78" s="41"/>
      <c r="H78" s="41"/>
      <c r="I78" s="41"/>
      <c r="J78" s="41"/>
      <c r="K78" s="41"/>
      <c r="L78" s="41"/>
      <c r="M78" s="41"/>
      <c r="N78" s="41"/>
      <c r="O78" s="41"/>
      <c r="P78" s="41"/>
      <c r="Q78" s="41"/>
      <c r="R78" s="41"/>
      <c r="S78" s="41"/>
    </row>
    <row r="79" spans="1:19" s="1" customFormat="1" ht="30" customHeight="1" thickTop="1" thickBot="1">
      <c r="A79" s="103"/>
      <c r="B79" s="41"/>
      <c r="C79" s="11">
        <v>3482</v>
      </c>
      <c r="D79" s="63" t="s">
        <v>332</v>
      </c>
      <c r="E79" s="64"/>
      <c r="F79" s="12" t="str">
        <f t="shared" ref="F79:F86" si="11">IF(ISERROR(E79/$E$77),"",E79/$E$77)</f>
        <v/>
      </c>
      <c r="G79" s="41"/>
      <c r="H79" s="41"/>
      <c r="I79" s="41"/>
      <c r="J79" s="41"/>
      <c r="K79" s="41"/>
      <c r="L79" s="41"/>
      <c r="M79" s="41"/>
      <c r="N79" s="41"/>
      <c r="O79" s="41"/>
      <c r="P79" s="41"/>
      <c r="Q79" s="41"/>
      <c r="R79" s="41"/>
      <c r="S79" s="41"/>
    </row>
    <row r="80" spans="1:19" s="1" customFormat="1" ht="30" customHeight="1" thickTop="1" thickBot="1">
      <c r="A80" s="103"/>
      <c r="B80" s="41"/>
      <c r="C80" s="11">
        <v>3483</v>
      </c>
      <c r="D80" s="63" t="s">
        <v>333</v>
      </c>
      <c r="E80" s="64"/>
      <c r="F80" s="12" t="str">
        <f t="shared" si="11"/>
        <v/>
      </c>
      <c r="G80" s="41"/>
      <c r="H80" s="41"/>
      <c r="I80" s="41"/>
      <c r="J80" s="41"/>
      <c r="K80" s="41"/>
      <c r="L80" s="41"/>
      <c r="M80" s="41"/>
      <c r="N80" s="41"/>
      <c r="O80" s="41"/>
      <c r="P80" s="41"/>
      <c r="Q80" s="41"/>
      <c r="R80" s="41"/>
      <c r="S80" s="41"/>
    </row>
    <row r="81" spans="1:19" s="1" customFormat="1" ht="30" customHeight="1" thickTop="1" thickBot="1">
      <c r="A81" s="103"/>
      <c r="B81" s="41"/>
      <c r="C81" s="11">
        <v>3484</v>
      </c>
      <c r="D81" s="63" t="s">
        <v>334</v>
      </c>
      <c r="E81" s="64"/>
      <c r="F81" s="12" t="str">
        <f t="shared" si="11"/>
        <v/>
      </c>
      <c r="G81" s="41"/>
      <c r="H81" s="41"/>
      <c r="I81" s="41"/>
      <c r="J81" s="41"/>
      <c r="K81" s="41"/>
      <c r="L81" s="41"/>
      <c r="M81" s="41"/>
      <c r="N81" s="41"/>
      <c r="O81" s="41"/>
      <c r="P81" s="41"/>
      <c r="Q81" s="41"/>
      <c r="R81" s="41"/>
      <c r="S81" s="41"/>
    </row>
    <row r="82" spans="1:19" s="1" customFormat="1" ht="30" customHeight="1" thickTop="1" thickBot="1">
      <c r="A82" s="103"/>
      <c r="B82" s="41"/>
      <c r="C82" s="11">
        <v>3485</v>
      </c>
      <c r="D82" s="63" t="s">
        <v>335</v>
      </c>
      <c r="E82" s="64"/>
      <c r="F82" s="12" t="str">
        <f t="shared" si="11"/>
        <v/>
      </c>
      <c r="G82" s="41"/>
      <c r="H82" s="41"/>
      <c r="I82" s="41"/>
      <c r="J82" s="41"/>
      <c r="K82" s="41"/>
      <c r="L82" s="41"/>
      <c r="M82" s="41"/>
      <c r="N82" s="41"/>
      <c r="O82" s="41"/>
      <c r="P82" s="41"/>
      <c r="Q82" s="41"/>
      <c r="R82" s="41"/>
      <c r="S82" s="41"/>
    </row>
    <row r="83" spans="1:19" s="1" customFormat="1" ht="30" customHeight="1" thickTop="1" thickBot="1">
      <c r="A83" s="103"/>
      <c r="B83" s="41"/>
      <c r="C83" s="11">
        <v>3486</v>
      </c>
      <c r="D83" s="63"/>
      <c r="E83" s="64"/>
      <c r="F83" s="12" t="str">
        <f t="shared" si="11"/>
        <v/>
      </c>
      <c r="G83" s="41"/>
      <c r="H83" s="41"/>
      <c r="I83" s="41"/>
      <c r="J83" s="41"/>
      <c r="K83" s="41"/>
      <c r="L83" s="41"/>
      <c r="M83" s="41"/>
      <c r="N83" s="41"/>
      <c r="O83" s="41"/>
      <c r="P83" s="41"/>
      <c r="Q83" s="41"/>
      <c r="R83" s="41"/>
      <c r="S83" s="41"/>
    </row>
    <row r="84" spans="1:19" s="1" customFormat="1" ht="30" customHeight="1" thickTop="1" thickBot="1">
      <c r="A84" s="103"/>
      <c r="B84" s="41"/>
      <c r="C84" s="11">
        <v>3487</v>
      </c>
      <c r="D84" s="63" t="s">
        <v>336</v>
      </c>
      <c r="E84" s="64"/>
      <c r="F84" s="12" t="str">
        <f t="shared" si="11"/>
        <v/>
      </c>
      <c r="G84" s="41"/>
      <c r="H84" s="41"/>
      <c r="I84" s="41"/>
      <c r="J84" s="41"/>
      <c r="K84" s="41"/>
      <c r="L84" s="41"/>
      <c r="M84" s="41"/>
      <c r="N84" s="41"/>
      <c r="O84" s="41"/>
      <c r="P84" s="41"/>
      <c r="Q84" s="41"/>
      <c r="R84" s="41"/>
      <c r="S84" s="41"/>
    </row>
    <row r="85" spans="1:19" s="1" customFormat="1" ht="30" customHeight="1" thickTop="1" thickBot="1">
      <c r="A85" s="103"/>
      <c r="B85" s="41"/>
      <c r="C85" s="11">
        <v>3488</v>
      </c>
      <c r="D85" s="63"/>
      <c r="E85" s="64"/>
      <c r="F85" s="12" t="str">
        <f t="shared" si="11"/>
        <v/>
      </c>
      <c r="G85" s="41"/>
      <c r="H85" s="41"/>
      <c r="I85" s="41"/>
      <c r="J85" s="41"/>
      <c r="K85" s="41"/>
      <c r="L85" s="41"/>
      <c r="M85" s="41"/>
      <c r="N85" s="41"/>
      <c r="O85" s="41"/>
      <c r="P85" s="41"/>
      <c r="Q85" s="41"/>
      <c r="R85" s="41"/>
      <c r="S85" s="41"/>
    </row>
    <row r="86" spans="1:19" s="1" customFormat="1" ht="30" customHeight="1" thickTop="1" thickBot="1">
      <c r="A86" s="103"/>
      <c r="B86" s="41"/>
      <c r="C86" s="11">
        <v>3489</v>
      </c>
      <c r="D86" s="63" t="s">
        <v>337</v>
      </c>
      <c r="E86" s="64"/>
      <c r="F86" s="12" t="str">
        <f t="shared" si="11"/>
        <v/>
      </c>
      <c r="G86" s="41"/>
      <c r="H86" s="41"/>
      <c r="I86" s="41"/>
      <c r="J86" s="41"/>
      <c r="K86" s="41"/>
      <c r="L86" s="41"/>
      <c r="M86" s="41"/>
      <c r="N86" s="41"/>
      <c r="O86" s="41"/>
      <c r="P86" s="41"/>
      <c r="Q86" s="41"/>
      <c r="R86" s="41"/>
      <c r="S86" s="41"/>
    </row>
    <row r="87" spans="1:19" s="1" customFormat="1" ht="30" customHeight="1" thickTop="1" thickBot="1">
      <c r="A87" s="103"/>
      <c r="B87" s="41"/>
      <c r="C87" s="10">
        <v>3490</v>
      </c>
      <c r="D87" s="61" t="s">
        <v>338</v>
      </c>
      <c r="E87" s="139">
        <f>IF(ISERROR(SUM(E88:E96)),"",SUM(E88:E96))</f>
        <v>0</v>
      </c>
      <c r="F87" s="144"/>
      <c r="G87" s="41"/>
      <c r="H87" s="41"/>
      <c r="I87" s="41"/>
      <c r="J87" s="41"/>
      <c r="K87" s="41"/>
      <c r="L87" s="41"/>
      <c r="M87" s="41"/>
      <c r="N87" s="41"/>
      <c r="O87" s="41"/>
      <c r="P87" s="41"/>
      <c r="Q87" s="41"/>
      <c r="R87" s="41"/>
      <c r="S87" s="41"/>
    </row>
    <row r="88" spans="1:19" s="1" customFormat="1" ht="30" customHeight="1" thickTop="1" thickBot="1">
      <c r="A88" s="103"/>
      <c r="B88" s="41"/>
      <c r="C88" s="11">
        <v>3491</v>
      </c>
      <c r="D88" s="63" t="s">
        <v>339</v>
      </c>
      <c r="E88" s="64"/>
      <c r="F88" s="12" t="str">
        <f>IF(ISERROR(E88/$E$87),"",E88/$E$87)</f>
        <v/>
      </c>
      <c r="G88" s="41"/>
      <c r="H88" s="41"/>
      <c r="I88" s="41"/>
      <c r="J88" s="41"/>
      <c r="K88" s="41"/>
      <c r="L88" s="41"/>
      <c r="M88" s="41"/>
      <c r="N88" s="41"/>
      <c r="O88" s="41"/>
      <c r="P88" s="41"/>
      <c r="Q88" s="41"/>
      <c r="R88" s="41"/>
      <c r="S88" s="41"/>
    </row>
    <row r="89" spans="1:19" s="1" customFormat="1" ht="30" customHeight="1" thickTop="1" thickBot="1">
      <c r="A89" s="103"/>
      <c r="B89" s="41"/>
      <c r="C89" s="11">
        <v>3492</v>
      </c>
      <c r="D89" s="63"/>
      <c r="E89" s="64"/>
      <c r="F89" s="12" t="str">
        <f t="shared" ref="F89:F96" si="12">IF(ISERROR(E89/$E$87),"",E89/$E$87)</f>
        <v/>
      </c>
      <c r="G89" s="41"/>
      <c r="H89" s="41"/>
      <c r="I89" s="41"/>
      <c r="J89" s="41"/>
      <c r="K89" s="41"/>
      <c r="L89" s="41"/>
      <c r="M89" s="41"/>
      <c r="N89" s="41"/>
      <c r="O89" s="41"/>
      <c r="P89" s="41"/>
      <c r="Q89" s="41"/>
      <c r="R89" s="41"/>
      <c r="S89" s="41"/>
    </row>
    <row r="90" spans="1:19" s="1" customFormat="1" ht="30" customHeight="1" thickTop="1" thickBot="1">
      <c r="A90" s="103"/>
      <c r="B90" s="41"/>
      <c r="C90" s="11">
        <v>3493</v>
      </c>
      <c r="D90" s="63"/>
      <c r="E90" s="64"/>
      <c r="F90" s="12" t="str">
        <f t="shared" si="12"/>
        <v/>
      </c>
      <c r="G90" s="41"/>
      <c r="H90" s="41"/>
      <c r="I90" s="41"/>
      <c r="J90" s="41"/>
      <c r="K90" s="41"/>
      <c r="L90" s="41"/>
      <c r="M90" s="41"/>
      <c r="N90" s="41"/>
      <c r="O90" s="41"/>
      <c r="P90" s="41"/>
      <c r="Q90" s="41"/>
      <c r="R90" s="41"/>
      <c r="S90" s="41"/>
    </row>
    <row r="91" spans="1:19" s="1" customFormat="1" ht="30" customHeight="1" thickTop="1" thickBot="1">
      <c r="A91" s="103"/>
      <c r="B91" s="41"/>
      <c r="C91" s="11">
        <v>3494</v>
      </c>
      <c r="D91" s="63"/>
      <c r="E91" s="64"/>
      <c r="F91" s="12" t="str">
        <f t="shared" si="12"/>
        <v/>
      </c>
      <c r="G91" s="41"/>
      <c r="H91" s="41"/>
      <c r="I91" s="41"/>
      <c r="J91" s="41"/>
      <c r="K91" s="41"/>
      <c r="L91" s="41"/>
      <c r="M91" s="41"/>
      <c r="N91" s="41"/>
      <c r="O91" s="41"/>
      <c r="P91" s="41"/>
      <c r="Q91" s="41"/>
      <c r="R91" s="41"/>
      <c r="S91" s="41"/>
    </row>
    <row r="92" spans="1:19" s="1" customFormat="1" ht="30" customHeight="1" thickTop="1" thickBot="1">
      <c r="A92" s="103"/>
      <c r="B92" s="41"/>
      <c r="C92" s="11">
        <v>3495</v>
      </c>
      <c r="D92" s="63"/>
      <c r="E92" s="64"/>
      <c r="F92" s="12" t="str">
        <f t="shared" si="12"/>
        <v/>
      </c>
      <c r="G92" s="41"/>
      <c r="H92" s="41"/>
      <c r="I92" s="41"/>
      <c r="J92" s="41"/>
      <c r="K92" s="41"/>
      <c r="L92" s="41"/>
      <c r="M92" s="41"/>
      <c r="N92" s="41"/>
      <c r="O92" s="41"/>
      <c r="P92" s="41"/>
      <c r="Q92" s="41"/>
      <c r="R92" s="41"/>
      <c r="S92" s="41"/>
    </row>
    <row r="93" spans="1:19" s="1" customFormat="1" ht="30" customHeight="1" thickTop="1" thickBot="1">
      <c r="A93" s="103"/>
      <c r="B93" s="41"/>
      <c r="C93" s="11">
        <v>3496</v>
      </c>
      <c r="D93" s="63"/>
      <c r="E93" s="64"/>
      <c r="F93" s="12" t="str">
        <f t="shared" si="12"/>
        <v/>
      </c>
      <c r="G93" s="41"/>
      <c r="H93" s="41"/>
      <c r="I93" s="41"/>
      <c r="J93" s="41"/>
      <c r="K93" s="41"/>
      <c r="L93" s="41"/>
      <c r="M93" s="41"/>
      <c r="N93" s="41"/>
      <c r="O93" s="41"/>
      <c r="P93" s="41"/>
      <c r="Q93" s="41"/>
      <c r="R93" s="41"/>
      <c r="S93" s="41"/>
    </row>
    <row r="94" spans="1:19" s="1" customFormat="1" ht="30" customHeight="1" thickTop="1" thickBot="1">
      <c r="A94" s="103"/>
      <c r="B94" s="41"/>
      <c r="C94" s="11">
        <v>3497</v>
      </c>
      <c r="D94" s="63"/>
      <c r="E94" s="64"/>
      <c r="F94" s="12" t="str">
        <f t="shared" si="12"/>
        <v/>
      </c>
      <c r="G94" s="41"/>
      <c r="H94" s="41"/>
      <c r="I94" s="41"/>
      <c r="J94" s="41"/>
      <c r="K94" s="41"/>
      <c r="L94" s="41"/>
      <c r="M94" s="41"/>
      <c r="N94" s="41"/>
      <c r="O94" s="41"/>
      <c r="P94" s="41"/>
      <c r="Q94" s="41"/>
      <c r="R94" s="41"/>
      <c r="S94" s="41"/>
    </row>
    <row r="95" spans="1:19" s="1" customFormat="1" ht="30" customHeight="1" thickTop="1" thickBot="1">
      <c r="A95" s="103"/>
      <c r="B95" s="41"/>
      <c r="C95" s="11">
        <v>3498</v>
      </c>
      <c r="D95" s="63"/>
      <c r="E95" s="64"/>
      <c r="F95" s="12" t="str">
        <f t="shared" si="12"/>
        <v/>
      </c>
      <c r="G95" s="41"/>
      <c r="H95" s="41"/>
      <c r="I95" s="41"/>
      <c r="J95" s="41"/>
      <c r="K95" s="41"/>
      <c r="L95" s="41"/>
      <c r="M95" s="41"/>
      <c r="N95" s="41"/>
      <c r="O95" s="41"/>
      <c r="P95" s="41"/>
      <c r="Q95" s="41"/>
      <c r="R95" s="41"/>
      <c r="S95" s="41"/>
    </row>
    <row r="96" spans="1:19" s="1" customFormat="1" ht="30" customHeight="1" thickTop="1" thickBot="1">
      <c r="A96" s="103"/>
      <c r="B96" s="41"/>
      <c r="C96" s="11">
        <v>3499</v>
      </c>
      <c r="D96" s="63" t="s">
        <v>340</v>
      </c>
      <c r="E96" s="64"/>
      <c r="F96" s="12" t="str">
        <f t="shared" si="12"/>
        <v/>
      </c>
      <c r="G96" s="41"/>
      <c r="H96" s="41"/>
      <c r="I96" s="41"/>
      <c r="J96" s="41"/>
      <c r="K96" s="41"/>
      <c r="L96" s="41"/>
      <c r="M96" s="41"/>
      <c r="N96" s="41"/>
      <c r="O96" s="41"/>
      <c r="P96" s="41"/>
      <c r="Q96" s="41"/>
      <c r="R96" s="41"/>
      <c r="S96" s="41"/>
    </row>
    <row r="97" spans="1:19" s="1" customFormat="1" ht="30" customHeight="1" thickTop="1">
      <c r="A97" s="103"/>
      <c r="B97" s="41"/>
      <c r="C97" s="41"/>
      <c r="D97" s="41"/>
      <c r="E97" s="41"/>
      <c r="F97" s="41"/>
      <c r="G97" s="41"/>
      <c r="H97" s="41"/>
      <c r="I97" s="41"/>
      <c r="J97" s="41"/>
      <c r="K97" s="41"/>
      <c r="L97" s="41"/>
      <c r="M97" s="41"/>
      <c r="N97" s="41"/>
      <c r="O97" s="41"/>
      <c r="P97" s="41"/>
      <c r="Q97" s="41"/>
      <c r="R97" s="41"/>
      <c r="S97" s="41"/>
    </row>
    <row r="98" spans="1:19" s="1" customFormat="1" ht="30" customHeight="1">
      <c r="A98" s="103"/>
      <c r="B98" s="41"/>
      <c r="C98" s="41"/>
      <c r="D98" s="41"/>
      <c r="E98" s="41"/>
      <c r="F98" s="41"/>
      <c r="G98" s="41"/>
      <c r="H98" s="41"/>
      <c r="I98" s="41"/>
      <c r="J98" s="41"/>
      <c r="K98" s="41"/>
      <c r="L98" s="41"/>
      <c r="M98" s="41"/>
      <c r="N98" s="41"/>
      <c r="O98" s="41"/>
      <c r="P98" s="41"/>
      <c r="Q98" s="41"/>
      <c r="R98" s="41"/>
      <c r="S98" s="41"/>
    </row>
    <row r="99" spans="1:19" s="1" customFormat="1" ht="30" customHeight="1">
      <c r="A99" s="103"/>
      <c r="B99" s="41"/>
      <c r="C99" s="41"/>
      <c r="D99" s="41"/>
      <c r="E99" s="41"/>
      <c r="F99" s="41"/>
      <c r="G99" s="41"/>
      <c r="H99" s="41"/>
      <c r="I99" s="41"/>
      <c r="J99" s="41"/>
      <c r="K99" s="41"/>
      <c r="L99" s="41"/>
      <c r="M99" s="41"/>
      <c r="N99" s="41"/>
      <c r="O99" s="41"/>
      <c r="P99" s="41"/>
      <c r="Q99" s="41"/>
      <c r="R99" s="41"/>
      <c r="S99" s="41"/>
    </row>
    <row r="100" spans="1:19" s="1" customFormat="1" ht="30" customHeight="1">
      <c r="A100" s="103"/>
      <c r="B100" s="41"/>
      <c r="C100" s="41"/>
      <c r="D100" s="41"/>
      <c r="E100" s="41"/>
      <c r="F100" s="41"/>
      <c r="G100" s="41"/>
      <c r="H100" s="41"/>
      <c r="I100" s="41"/>
      <c r="J100" s="41"/>
      <c r="K100" s="41"/>
      <c r="L100" s="41"/>
      <c r="M100" s="41"/>
      <c r="N100" s="41"/>
      <c r="O100" s="41"/>
      <c r="P100" s="41"/>
      <c r="Q100" s="41"/>
      <c r="R100" s="41"/>
      <c r="S100" s="41"/>
    </row>
    <row r="101" spans="1:19" s="1" customFormat="1" ht="33.950000000000003" customHeight="1">
      <c r="A101" s="103"/>
      <c r="B101" s="41"/>
      <c r="C101" s="41"/>
      <c r="D101" s="41"/>
      <c r="E101" s="41"/>
      <c r="F101" s="41"/>
      <c r="G101" s="41"/>
      <c r="H101" s="41"/>
      <c r="I101" s="41"/>
      <c r="J101" s="41"/>
      <c r="K101" s="41"/>
      <c r="L101" s="41"/>
      <c r="M101" s="41"/>
      <c r="N101" s="41"/>
      <c r="O101" s="41"/>
      <c r="P101" s="41"/>
      <c r="Q101" s="41"/>
      <c r="R101" s="41"/>
      <c r="S101" s="41"/>
    </row>
    <row r="102" spans="1:19" s="1" customFormat="1" ht="33.950000000000003" customHeight="1">
      <c r="A102" s="103"/>
      <c r="B102" s="41"/>
      <c r="C102" s="41"/>
      <c r="D102" s="41"/>
      <c r="E102" s="41"/>
      <c r="F102" s="41"/>
      <c r="G102" s="41"/>
      <c r="H102" s="41"/>
      <c r="I102" s="41"/>
      <c r="J102" s="41"/>
      <c r="K102" s="41"/>
      <c r="L102" s="41"/>
      <c r="M102" s="41"/>
      <c r="N102" s="41"/>
      <c r="O102" s="41"/>
      <c r="P102" s="41"/>
      <c r="Q102" s="41"/>
      <c r="R102" s="41"/>
      <c r="S102" s="41"/>
    </row>
    <row r="103" spans="1:19" s="1" customFormat="1" ht="33.950000000000003" customHeight="1">
      <c r="A103" s="103"/>
      <c r="B103" s="41"/>
      <c r="C103" s="41"/>
      <c r="D103" s="41"/>
      <c r="E103" s="41"/>
      <c r="F103" s="41"/>
      <c r="G103" s="41"/>
      <c r="H103" s="41"/>
      <c r="I103" s="41"/>
      <c r="J103" s="41"/>
      <c r="K103" s="41"/>
      <c r="L103" s="41"/>
      <c r="M103" s="41"/>
      <c r="N103" s="41"/>
      <c r="O103" s="41"/>
      <c r="P103" s="41"/>
      <c r="Q103" s="41"/>
      <c r="R103" s="41"/>
      <c r="S103" s="41"/>
    </row>
    <row r="104" spans="1:19" s="1" customFormat="1" ht="33.950000000000003" customHeight="1">
      <c r="A104" s="103"/>
      <c r="B104" s="41"/>
      <c r="C104" s="41"/>
      <c r="D104" s="41"/>
      <c r="E104" s="41"/>
      <c r="F104" s="41"/>
      <c r="G104" s="41"/>
      <c r="H104" s="41"/>
      <c r="I104" s="41"/>
      <c r="J104" s="41"/>
      <c r="K104" s="41"/>
      <c r="L104" s="41"/>
      <c r="M104" s="41"/>
      <c r="N104" s="41"/>
      <c r="O104" s="41"/>
      <c r="P104" s="41"/>
      <c r="Q104" s="41"/>
      <c r="R104" s="41"/>
      <c r="S104" s="41"/>
    </row>
    <row r="105" spans="1:19" s="1" customFormat="1" ht="33.950000000000003" customHeight="1">
      <c r="A105" s="103"/>
      <c r="B105" s="41"/>
      <c r="C105" s="41"/>
      <c r="D105" s="41"/>
      <c r="E105" s="41"/>
      <c r="F105" s="41"/>
      <c r="G105" s="41"/>
      <c r="H105" s="41"/>
      <c r="I105" s="41"/>
      <c r="J105" s="41"/>
      <c r="K105" s="41"/>
      <c r="L105" s="41"/>
      <c r="M105" s="41"/>
      <c r="N105" s="41"/>
      <c r="O105" s="41"/>
      <c r="P105" s="41"/>
      <c r="Q105" s="41"/>
      <c r="R105" s="41"/>
      <c r="S105" s="41"/>
    </row>
    <row r="106" spans="1:19" s="1" customFormat="1" ht="33.950000000000003" customHeight="1">
      <c r="A106" s="103"/>
      <c r="B106" s="41"/>
      <c r="C106" s="41"/>
      <c r="D106" s="41"/>
      <c r="E106" s="41"/>
      <c r="F106" s="41"/>
      <c r="G106" s="41"/>
      <c r="H106" s="41"/>
      <c r="I106" s="41"/>
      <c r="J106" s="41"/>
      <c r="K106" s="41"/>
      <c r="L106" s="41"/>
      <c r="M106" s="41"/>
      <c r="N106" s="41"/>
      <c r="O106" s="41"/>
      <c r="P106" s="41"/>
      <c r="Q106" s="41"/>
      <c r="R106" s="41"/>
      <c r="S106" s="41"/>
    </row>
    <row r="107" spans="1:19" s="1" customFormat="1" ht="33.950000000000003" customHeight="1">
      <c r="A107" s="103"/>
      <c r="B107" s="41"/>
      <c r="C107" s="41"/>
      <c r="D107" s="41"/>
      <c r="E107" s="41"/>
      <c r="F107" s="41"/>
      <c r="G107" s="41"/>
      <c r="H107" s="41"/>
      <c r="I107" s="41"/>
      <c r="J107" s="41"/>
      <c r="K107" s="41"/>
      <c r="L107" s="41"/>
      <c r="M107" s="41"/>
      <c r="N107" s="41"/>
      <c r="O107" s="41"/>
      <c r="P107" s="41"/>
      <c r="Q107" s="41"/>
      <c r="R107" s="41"/>
      <c r="S107" s="41"/>
    </row>
    <row r="108" spans="1:19" s="1" customFormat="1" ht="33.950000000000003" customHeight="1">
      <c r="A108" s="103"/>
      <c r="B108" s="41"/>
      <c r="C108" s="41"/>
      <c r="D108" s="41"/>
      <c r="E108" s="41"/>
      <c r="F108" s="41"/>
      <c r="G108" s="41"/>
      <c r="H108" s="41"/>
      <c r="I108" s="41"/>
      <c r="J108" s="41"/>
      <c r="K108" s="41"/>
      <c r="L108" s="41"/>
      <c r="M108" s="41"/>
      <c r="N108" s="41"/>
      <c r="O108" s="41"/>
      <c r="P108" s="41"/>
      <c r="Q108" s="41"/>
      <c r="R108" s="41"/>
      <c r="S108" s="41"/>
    </row>
    <row r="109" spans="1:19" s="1" customFormat="1" ht="33.950000000000003" customHeight="1">
      <c r="A109" s="103"/>
      <c r="B109" s="41"/>
      <c r="C109" s="41"/>
      <c r="D109" s="41"/>
      <c r="E109" s="41"/>
      <c r="F109" s="41"/>
      <c r="G109" s="41"/>
      <c r="H109" s="41"/>
      <c r="I109" s="41"/>
      <c r="J109" s="41"/>
      <c r="K109" s="41"/>
      <c r="L109" s="41"/>
      <c r="M109" s="41"/>
      <c r="N109" s="41"/>
      <c r="O109" s="41"/>
      <c r="P109" s="41"/>
      <c r="Q109" s="41"/>
      <c r="R109" s="41"/>
      <c r="S109" s="41"/>
    </row>
    <row r="110" spans="1:19" s="1" customFormat="1" ht="33.950000000000003" customHeight="1">
      <c r="A110" s="103"/>
      <c r="B110" s="41"/>
      <c r="C110" s="41"/>
      <c r="D110" s="41"/>
      <c r="E110" s="41"/>
      <c r="F110" s="41"/>
      <c r="G110" s="41"/>
      <c r="H110" s="41"/>
      <c r="I110" s="41"/>
      <c r="J110" s="41"/>
      <c r="K110" s="41"/>
      <c r="L110" s="41"/>
      <c r="M110" s="41"/>
      <c r="N110" s="41"/>
      <c r="O110" s="41"/>
      <c r="P110" s="41"/>
      <c r="Q110" s="41"/>
      <c r="R110" s="41"/>
      <c r="S110" s="41"/>
    </row>
    <row r="111" spans="1:19" s="1" customFormat="1" ht="33.950000000000003" customHeight="1">
      <c r="A111" s="103"/>
      <c r="B111" s="41"/>
      <c r="C111" s="41"/>
      <c r="D111" s="41"/>
      <c r="E111" s="41"/>
      <c r="F111" s="41"/>
      <c r="G111" s="41"/>
      <c r="H111" s="41"/>
      <c r="I111" s="41"/>
      <c r="J111" s="41"/>
      <c r="K111" s="41"/>
      <c r="L111" s="41"/>
      <c r="M111" s="41"/>
      <c r="N111" s="41"/>
      <c r="O111" s="41"/>
      <c r="P111" s="41"/>
      <c r="Q111" s="41"/>
      <c r="R111" s="41"/>
      <c r="S111" s="41"/>
    </row>
    <row r="112" spans="1:19" s="1" customFormat="1" ht="33.950000000000003" customHeight="1">
      <c r="A112" s="103"/>
      <c r="B112" s="41"/>
      <c r="C112" s="41"/>
      <c r="D112" s="41"/>
      <c r="E112" s="41"/>
      <c r="F112" s="41"/>
      <c r="G112" s="41"/>
      <c r="H112" s="41"/>
      <c r="I112" s="41"/>
      <c r="J112" s="41"/>
      <c r="K112" s="41"/>
      <c r="L112" s="41"/>
      <c r="M112" s="41"/>
      <c r="N112" s="41"/>
      <c r="O112" s="41"/>
      <c r="P112" s="41"/>
      <c r="Q112" s="41"/>
      <c r="R112" s="41"/>
      <c r="S112" s="41"/>
    </row>
    <row r="113" spans="1:19" s="1" customFormat="1" ht="33.950000000000003" customHeight="1">
      <c r="A113" s="103"/>
      <c r="B113" s="41"/>
      <c r="C113" s="41"/>
      <c r="D113" s="41"/>
      <c r="E113" s="41"/>
      <c r="F113" s="41"/>
      <c r="G113" s="41"/>
      <c r="H113" s="41"/>
      <c r="I113" s="41"/>
      <c r="J113" s="41"/>
      <c r="K113" s="41"/>
      <c r="L113" s="41"/>
      <c r="M113" s="41"/>
      <c r="N113" s="41"/>
      <c r="O113" s="41"/>
      <c r="P113" s="41"/>
      <c r="Q113" s="41"/>
      <c r="R113" s="41"/>
      <c r="S113" s="41"/>
    </row>
    <row r="114" spans="1:19" s="1" customFormat="1" ht="33.950000000000003" customHeight="1">
      <c r="A114" s="103"/>
      <c r="B114" s="41"/>
      <c r="C114" s="41"/>
      <c r="D114" s="41"/>
      <c r="E114" s="41"/>
      <c r="F114" s="41"/>
      <c r="G114" s="41"/>
      <c r="H114" s="41"/>
      <c r="I114" s="41"/>
      <c r="J114" s="41"/>
      <c r="K114" s="41"/>
      <c r="L114" s="41"/>
      <c r="M114" s="41"/>
      <c r="N114" s="41"/>
      <c r="O114" s="41"/>
      <c r="P114" s="41"/>
      <c r="Q114" s="41"/>
      <c r="R114" s="41"/>
      <c r="S114" s="41"/>
    </row>
    <row r="115" spans="1:19" s="1" customFormat="1" ht="33.950000000000003" customHeight="1">
      <c r="A115" s="103"/>
      <c r="B115" s="41"/>
      <c r="C115" s="41"/>
      <c r="D115" s="41"/>
      <c r="E115" s="41"/>
      <c r="F115" s="41"/>
      <c r="G115" s="41"/>
      <c r="H115" s="41"/>
      <c r="I115" s="41"/>
      <c r="J115" s="41"/>
      <c r="K115" s="41"/>
      <c r="L115" s="41"/>
      <c r="M115" s="41"/>
      <c r="N115" s="41"/>
      <c r="O115" s="41"/>
      <c r="P115" s="41"/>
      <c r="Q115" s="41"/>
      <c r="R115" s="41"/>
      <c r="S115" s="41"/>
    </row>
    <row r="116" spans="1:19" s="1" customFormat="1" ht="33.950000000000003" customHeight="1">
      <c r="A116" s="103"/>
      <c r="B116" s="41"/>
      <c r="C116" s="41"/>
      <c r="D116" s="41"/>
      <c r="E116" s="41"/>
      <c r="F116" s="41"/>
      <c r="G116" s="41"/>
      <c r="H116" s="41"/>
      <c r="I116" s="41"/>
      <c r="J116" s="41"/>
      <c r="K116" s="41"/>
      <c r="L116" s="41"/>
      <c r="M116" s="41"/>
      <c r="N116" s="41"/>
      <c r="O116" s="41"/>
      <c r="P116" s="41"/>
      <c r="Q116" s="41"/>
      <c r="R116" s="41"/>
      <c r="S116" s="41"/>
    </row>
    <row r="117" spans="1:19" s="1" customFormat="1" ht="33.950000000000003" customHeight="1">
      <c r="A117" s="103"/>
      <c r="B117" s="41"/>
      <c r="C117" s="41"/>
      <c r="D117" s="41"/>
      <c r="E117" s="41"/>
      <c r="F117" s="41"/>
      <c r="G117" s="41"/>
      <c r="H117" s="41"/>
      <c r="I117" s="41"/>
      <c r="J117" s="41"/>
      <c r="K117" s="41"/>
      <c r="L117" s="41"/>
      <c r="M117" s="41"/>
      <c r="N117" s="41"/>
      <c r="O117" s="41"/>
      <c r="P117" s="41"/>
      <c r="Q117" s="41"/>
      <c r="R117" s="41"/>
      <c r="S117" s="41"/>
    </row>
    <row r="118" spans="1:19" s="1" customFormat="1" ht="33.950000000000003" customHeight="1">
      <c r="A118" s="103"/>
      <c r="B118" s="41"/>
      <c r="C118" s="41"/>
      <c r="D118" s="41"/>
      <c r="E118" s="41"/>
      <c r="F118" s="41"/>
      <c r="G118" s="41"/>
      <c r="H118" s="41"/>
      <c r="I118" s="41"/>
      <c r="J118" s="41"/>
      <c r="K118" s="41"/>
      <c r="L118" s="41"/>
      <c r="M118" s="41"/>
      <c r="N118" s="41"/>
      <c r="O118" s="41"/>
      <c r="P118" s="41"/>
      <c r="Q118" s="41"/>
      <c r="R118" s="41"/>
      <c r="S118" s="41"/>
    </row>
    <row r="119" spans="1:19" s="1" customFormat="1" ht="33.950000000000003" customHeight="1">
      <c r="A119" s="103"/>
      <c r="B119" s="41"/>
      <c r="C119" s="41"/>
      <c r="D119" s="41"/>
      <c r="E119" s="41"/>
      <c r="F119" s="41"/>
      <c r="G119" s="41"/>
      <c r="H119" s="41"/>
      <c r="I119" s="41"/>
      <c r="J119" s="41"/>
      <c r="K119" s="41"/>
      <c r="L119" s="41"/>
      <c r="M119" s="41"/>
      <c r="N119" s="41"/>
      <c r="O119" s="41"/>
      <c r="P119" s="41"/>
      <c r="Q119" s="41"/>
      <c r="R119" s="41"/>
      <c r="S119" s="41"/>
    </row>
    <row r="120" spans="1:19" s="1" customFormat="1" ht="33.950000000000003" customHeight="1">
      <c r="A120" s="103"/>
      <c r="B120" s="41"/>
      <c r="C120" s="41"/>
      <c r="D120" s="41"/>
      <c r="E120" s="41"/>
      <c r="F120" s="41"/>
      <c r="G120" s="41"/>
      <c r="H120" s="41"/>
      <c r="I120" s="41"/>
      <c r="J120" s="41"/>
      <c r="K120" s="41"/>
      <c r="L120" s="41"/>
      <c r="M120" s="41"/>
      <c r="N120" s="41"/>
      <c r="O120" s="41"/>
      <c r="P120" s="41"/>
      <c r="Q120" s="41"/>
      <c r="R120" s="41"/>
      <c r="S120" s="41"/>
    </row>
    <row r="121" spans="1:19" s="1" customFormat="1" ht="33.950000000000003" customHeight="1">
      <c r="A121" s="103"/>
      <c r="B121" s="41"/>
      <c r="C121" s="41"/>
      <c r="D121" s="41"/>
      <c r="E121" s="41"/>
      <c r="F121" s="41"/>
      <c r="G121" s="41"/>
      <c r="H121" s="41"/>
      <c r="I121" s="41"/>
      <c r="J121" s="41"/>
      <c r="K121" s="41"/>
      <c r="L121" s="41"/>
      <c r="M121" s="41"/>
      <c r="N121" s="41"/>
      <c r="O121" s="41"/>
      <c r="P121" s="41"/>
      <c r="Q121" s="41"/>
      <c r="R121" s="41"/>
      <c r="S121" s="41"/>
    </row>
    <row r="122" spans="1:19" s="1" customFormat="1" ht="33.950000000000003" customHeight="1">
      <c r="A122" s="103"/>
      <c r="B122" s="41"/>
      <c r="C122" s="41"/>
      <c r="D122" s="41"/>
      <c r="E122" s="41"/>
      <c r="F122" s="41"/>
      <c r="G122" s="41"/>
      <c r="H122" s="41"/>
      <c r="I122" s="41"/>
      <c r="J122" s="41"/>
      <c r="K122" s="41"/>
      <c r="L122" s="41"/>
      <c r="M122" s="41"/>
      <c r="N122" s="41"/>
      <c r="O122" s="41"/>
      <c r="P122" s="41"/>
      <c r="Q122" s="41"/>
      <c r="R122" s="41"/>
      <c r="S122" s="41"/>
    </row>
    <row r="123" spans="1:19" s="1" customFormat="1" ht="33.950000000000003" customHeight="1">
      <c r="A123" s="103"/>
      <c r="B123" s="41"/>
      <c r="C123" s="41"/>
      <c r="D123" s="41"/>
      <c r="E123" s="41"/>
      <c r="F123" s="41"/>
      <c r="G123" s="41"/>
      <c r="H123" s="41"/>
      <c r="I123" s="41"/>
      <c r="J123" s="41"/>
      <c r="K123" s="41"/>
      <c r="L123" s="41"/>
      <c r="M123" s="41"/>
      <c r="N123" s="41"/>
      <c r="O123" s="41"/>
      <c r="P123" s="41"/>
      <c r="Q123" s="41"/>
      <c r="R123" s="41"/>
      <c r="S123" s="41"/>
    </row>
    <row r="124" spans="1:19" s="1" customFormat="1" ht="33.950000000000003" customHeight="1">
      <c r="A124" s="103"/>
      <c r="B124" s="41"/>
      <c r="C124" s="41"/>
      <c r="D124" s="41"/>
      <c r="E124" s="41"/>
      <c r="F124" s="41"/>
      <c r="G124" s="41"/>
      <c r="H124" s="41"/>
      <c r="I124" s="41"/>
      <c r="J124" s="41"/>
      <c r="K124" s="41"/>
      <c r="L124" s="41"/>
      <c r="M124" s="41"/>
      <c r="N124" s="41"/>
      <c r="O124" s="41"/>
      <c r="P124" s="41"/>
      <c r="Q124" s="41"/>
      <c r="R124" s="41"/>
      <c r="S124" s="41"/>
    </row>
    <row r="125" spans="1:19" s="1" customFormat="1" ht="33.950000000000003" customHeight="1">
      <c r="A125" s="103"/>
      <c r="B125" s="41"/>
      <c r="C125" s="41"/>
      <c r="D125" s="41"/>
      <c r="E125" s="41"/>
      <c r="F125" s="41"/>
      <c r="G125" s="41"/>
      <c r="H125" s="41"/>
      <c r="I125" s="41"/>
      <c r="J125" s="41"/>
      <c r="K125" s="41"/>
      <c r="L125" s="41"/>
      <c r="M125" s="41"/>
      <c r="N125" s="41"/>
      <c r="O125" s="41"/>
      <c r="P125" s="41"/>
      <c r="Q125" s="41"/>
      <c r="R125" s="41"/>
      <c r="S125" s="41"/>
    </row>
    <row r="126" spans="1:19" s="1" customFormat="1" ht="33.950000000000003" customHeight="1">
      <c r="A126" s="103"/>
      <c r="B126" s="41"/>
      <c r="C126" s="41"/>
      <c r="D126" s="41"/>
      <c r="E126" s="41"/>
      <c r="F126" s="41"/>
      <c r="G126" s="41"/>
      <c r="H126" s="41"/>
      <c r="I126" s="41"/>
      <c r="J126" s="41"/>
      <c r="K126" s="41"/>
      <c r="L126" s="41"/>
      <c r="M126" s="41"/>
      <c r="N126" s="41"/>
      <c r="O126" s="41"/>
      <c r="P126" s="41"/>
      <c r="Q126" s="41"/>
      <c r="R126" s="41"/>
      <c r="S126" s="41"/>
    </row>
    <row r="127" spans="1:19" s="1" customFormat="1" ht="33.950000000000003" customHeight="1">
      <c r="A127" s="103"/>
      <c r="B127" s="41"/>
      <c r="C127" s="41"/>
      <c r="D127" s="41"/>
      <c r="E127" s="41"/>
      <c r="F127" s="41"/>
      <c r="G127" s="41"/>
      <c r="H127" s="41"/>
      <c r="I127" s="41"/>
      <c r="J127" s="41"/>
      <c r="K127" s="41"/>
      <c r="L127" s="41"/>
      <c r="M127" s="41"/>
      <c r="N127" s="41"/>
      <c r="O127" s="41"/>
      <c r="P127" s="41"/>
      <c r="Q127" s="41"/>
      <c r="R127" s="41"/>
      <c r="S127" s="41"/>
    </row>
    <row r="128" spans="1:19" s="1" customFormat="1" ht="33.950000000000003" customHeight="1">
      <c r="A128" s="103"/>
      <c r="B128" s="41"/>
      <c r="C128" s="41"/>
      <c r="D128" s="41"/>
      <c r="E128" s="41"/>
      <c r="F128" s="41"/>
      <c r="G128" s="41"/>
      <c r="H128" s="41"/>
      <c r="I128" s="41"/>
      <c r="J128" s="41"/>
      <c r="K128" s="41"/>
      <c r="L128" s="41"/>
      <c r="M128" s="41"/>
      <c r="N128" s="41"/>
      <c r="O128" s="41"/>
      <c r="P128" s="41"/>
      <c r="Q128" s="41"/>
      <c r="R128" s="41"/>
      <c r="S128" s="41"/>
    </row>
    <row r="129" spans="1:19" s="1" customFormat="1" ht="33.950000000000003" customHeight="1">
      <c r="A129" s="103"/>
      <c r="B129" s="41"/>
      <c r="C129" s="41"/>
      <c r="D129" s="41"/>
      <c r="E129" s="41"/>
      <c r="F129" s="41"/>
      <c r="G129" s="41"/>
      <c r="H129" s="41"/>
      <c r="I129" s="41"/>
      <c r="J129" s="41"/>
      <c r="K129" s="41"/>
      <c r="L129" s="41"/>
      <c r="M129" s="41"/>
      <c r="N129" s="41"/>
      <c r="O129" s="41"/>
      <c r="P129" s="41"/>
      <c r="Q129" s="41"/>
      <c r="R129" s="41"/>
      <c r="S129" s="41"/>
    </row>
    <row r="130" spans="1:19" s="1" customFormat="1" ht="33.950000000000003" hidden="1" customHeight="1">
      <c r="A130" s="103"/>
      <c r="B130" s="41"/>
      <c r="C130" s="41"/>
      <c r="D130" s="41"/>
      <c r="E130" s="41"/>
      <c r="F130" s="41"/>
      <c r="G130" s="41"/>
      <c r="H130" s="41"/>
      <c r="I130" s="41"/>
      <c r="J130" s="41"/>
      <c r="K130" s="41"/>
      <c r="L130" s="41"/>
      <c r="M130" s="41"/>
      <c r="N130" s="41"/>
      <c r="O130" s="41"/>
      <c r="P130" s="41"/>
      <c r="Q130" s="41"/>
      <c r="R130" s="41"/>
      <c r="S130" s="41"/>
    </row>
    <row r="131" spans="1:19" ht="15" customHeight="1">
      <c r="A131" s="103"/>
      <c r="B131" s="41"/>
      <c r="C131" s="41"/>
      <c r="D131" s="41"/>
      <c r="E131" s="41"/>
      <c r="F131" s="41"/>
      <c r="G131" s="41"/>
      <c r="H131" s="41"/>
      <c r="I131" s="41"/>
      <c r="J131" s="41"/>
      <c r="K131" s="41"/>
      <c r="L131" s="41"/>
      <c r="M131" s="41"/>
      <c r="N131" s="41"/>
      <c r="O131" s="41"/>
      <c r="P131" s="41"/>
      <c r="Q131" s="41"/>
      <c r="R131" s="41"/>
      <c r="S131" s="41"/>
    </row>
    <row r="132" spans="1:19" ht="15" customHeight="1">
      <c r="A132" s="103"/>
      <c r="B132" s="41"/>
      <c r="C132" s="41"/>
      <c r="D132" s="41"/>
      <c r="E132" s="41"/>
      <c r="F132" s="41"/>
      <c r="G132" s="41"/>
      <c r="H132" s="41"/>
      <c r="I132" s="41"/>
      <c r="J132" s="41"/>
      <c r="K132" s="41"/>
      <c r="L132" s="41"/>
      <c r="M132" s="41"/>
      <c r="N132" s="41"/>
      <c r="O132" s="41"/>
      <c r="P132" s="41"/>
      <c r="Q132" s="41"/>
      <c r="R132" s="41"/>
      <c r="S132" s="41"/>
    </row>
    <row r="133" spans="1:19" ht="0" hidden="1" customHeight="1"/>
  </sheetData>
  <sheetProtection algorithmName="SHA-512" hashValue="2gj86l0QAL7/KvQkjSKGtFel2M90pVLpB9OUA0onHqpEvwL/iy1izW8jhRD5Sm1h/tOP0OhI0RgIqcFq3ANDMA==" saltValue="RGoTpIXZbLhyev4gJ+82cg==" spinCount="100000" sheet="1" objects="1" scenarios="1"/>
  <mergeCells count="17">
    <mergeCell ref="E77:F77"/>
    <mergeCell ref="E87:F87"/>
    <mergeCell ref="E27:F27"/>
    <mergeCell ref="E37:F37"/>
    <mergeCell ref="E47:F47"/>
    <mergeCell ref="E57:F57"/>
    <mergeCell ref="E67:F67"/>
    <mergeCell ref="E6:F6"/>
    <mergeCell ref="E7:F7"/>
    <mergeCell ref="I6:K6"/>
    <mergeCell ref="I17:K17"/>
    <mergeCell ref="J27:K27"/>
    <mergeCell ref="H24:I24"/>
    <mergeCell ref="J24:K24"/>
    <mergeCell ref="E17:F17"/>
    <mergeCell ref="H26:K26"/>
    <mergeCell ref="H27:I27"/>
  </mergeCells>
  <pageMargins left="0.511811024" right="0.511811024" top="0.78740157499999996" bottom="0.78740157499999996" header="0.31496062000000002" footer="0.31496062000000002"/>
  <drawing r:id="rId1"/>
  <legacyDrawing r:id="rId2"/>
</worksheet>
</file>

<file path=xl/worksheets/sheet5.xml><?xml version="1.0" encoding="utf-8"?>
<worksheet xmlns="http://schemas.openxmlformats.org/spreadsheetml/2006/main" xmlns:r="http://schemas.openxmlformats.org/officeDocument/2006/relationships">
  <sheetPr codeName="Plan5"/>
  <dimension ref="A1:S245"/>
  <sheetViews>
    <sheetView showGridLines="0" zoomScale="90" zoomScaleNormal="90" workbookViewId="0">
      <pane xSplit="1" ySplit="3" topLeftCell="B4" activePane="bottomRight" state="frozen"/>
      <selection pane="topRight" activeCell="B1" sqref="B1"/>
      <selection pane="bottomLeft" activeCell="A4" sqref="A4"/>
      <selection pane="bottomRight"/>
    </sheetView>
  </sheetViews>
  <sheetFormatPr defaultColWidth="0" defaultRowHeight="0" customHeight="1" zeroHeight="1"/>
  <cols>
    <col min="1" max="1" width="27.7109375" style="104" customWidth="1"/>
    <col min="2" max="2" width="2.7109375" customWidth="1"/>
    <col min="3" max="3" width="9.140625" customWidth="1"/>
    <col min="4" max="4" width="50.7109375" customWidth="1"/>
    <col min="5" max="6" width="15.7109375" customWidth="1"/>
    <col min="7" max="7" width="7.85546875" customWidth="1"/>
    <col min="8" max="8" width="9.140625" customWidth="1"/>
    <col min="9" max="9" width="30.7109375" customWidth="1"/>
    <col min="10" max="11" width="15.7109375" customWidth="1"/>
    <col min="12" max="19" width="20.7109375" customWidth="1"/>
    <col min="20" max="16384" width="9.140625" hidden="1"/>
  </cols>
  <sheetData>
    <row r="1" spans="1:19" s="3" customFormat="1" ht="33.950000000000003" customHeight="1">
      <c r="A1" s="103"/>
      <c r="B1" s="58"/>
      <c r="C1" s="59" t="s">
        <v>18</v>
      </c>
      <c r="D1" s="58"/>
      <c r="E1" s="58"/>
      <c r="F1" s="58"/>
      <c r="G1" s="58"/>
      <c r="H1" s="58"/>
      <c r="I1" s="58"/>
      <c r="J1" s="58"/>
      <c r="K1" s="58"/>
      <c r="L1" s="58"/>
      <c r="M1" s="58"/>
      <c r="N1" s="58"/>
      <c r="O1" s="58"/>
      <c r="P1" s="58"/>
      <c r="Q1" s="58"/>
      <c r="R1" s="58"/>
      <c r="S1" s="58"/>
    </row>
    <row r="2" spans="1:19" s="3" customFormat="1" ht="21.6" customHeight="1">
      <c r="A2" s="103"/>
      <c r="B2" s="58"/>
      <c r="C2" s="58"/>
      <c r="D2" s="58"/>
      <c r="E2" s="58"/>
      <c r="F2" s="58"/>
      <c r="G2" s="58"/>
      <c r="H2" s="58"/>
      <c r="I2" s="58"/>
      <c r="J2" s="58"/>
      <c r="K2" s="58"/>
      <c r="L2" s="58"/>
      <c r="M2" s="58"/>
      <c r="N2" s="58"/>
      <c r="O2" s="58"/>
      <c r="P2" s="58"/>
      <c r="Q2" s="58"/>
      <c r="R2" s="58"/>
      <c r="S2" s="58"/>
    </row>
    <row r="3" spans="1:19" s="3" customFormat="1" ht="21.6" customHeight="1">
      <c r="A3" s="103"/>
      <c r="B3" s="58"/>
      <c r="C3" s="58"/>
      <c r="D3" s="58"/>
      <c r="E3" s="58"/>
      <c r="F3" s="58"/>
      <c r="G3" s="58"/>
      <c r="H3" s="58"/>
      <c r="I3" s="58"/>
      <c r="J3" s="58"/>
      <c r="K3" s="58"/>
      <c r="L3" s="58"/>
      <c r="M3" s="58"/>
      <c r="N3" s="58"/>
      <c r="O3" s="58"/>
      <c r="P3" s="58"/>
      <c r="Q3" s="58"/>
      <c r="R3" s="58"/>
      <c r="S3" s="58"/>
    </row>
    <row r="4" spans="1:19" ht="44.25" customHeight="1">
      <c r="A4" s="103"/>
      <c r="B4" s="26"/>
      <c r="C4" s="26"/>
      <c r="D4" s="26"/>
      <c r="E4" s="26"/>
      <c r="F4" s="26"/>
      <c r="G4" s="26"/>
      <c r="H4" s="26"/>
      <c r="I4" s="26"/>
      <c r="J4" s="26"/>
      <c r="K4" s="26"/>
      <c r="L4" s="26"/>
      <c r="M4" s="26"/>
      <c r="N4" s="26"/>
      <c r="O4" s="41"/>
      <c r="P4" s="41"/>
      <c r="Q4" s="41"/>
      <c r="R4" s="41"/>
      <c r="S4" s="41"/>
    </row>
    <row r="5" spans="1:19" ht="15" customHeight="1" thickBot="1">
      <c r="A5" s="103"/>
      <c r="B5" s="41"/>
      <c r="C5" s="41"/>
      <c r="D5" s="41"/>
      <c r="E5" s="41"/>
      <c r="F5" s="41"/>
      <c r="G5" s="41"/>
      <c r="H5" s="41"/>
      <c r="I5" s="41"/>
      <c r="J5" s="41"/>
      <c r="K5" s="41"/>
      <c r="L5" s="41"/>
      <c r="M5" s="41"/>
      <c r="N5" s="41"/>
      <c r="O5" s="41"/>
      <c r="P5" s="41"/>
      <c r="Q5" s="41"/>
      <c r="R5" s="41"/>
      <c r="S5" s="41"/>
    </row>
    <row r="6" spans="1:19" ht="30" customHeight="1" thickTop="1" thickBot="1">
      <c r="A6" s="103"/>
      <c r="B6" s="41"/>
      <c r="C6" s="45">
        <v>4000</v>
      </c>
      <c r="D6" s="60" t="s">
        <v>36</v>
      </c>
      <c r="E6" s="140">
        <f>IF(ISERROR($E$7+$E$17+$E$27+$E$37+$E$47+$E$57+$E$67+$E$77+$E$87+$E$97+$E$107+$E$117+$E$127+$E$137+$E$147+$E$157+$E$167+$E$177+$E$187+$E$197),"",$E$7+$E$17+$E$27+$E$37+$E$47+$E$57+$E$67+$E$77+$E$87+$E$97+$E$107+$E$117+$E$127+$E$137+$E$147+$E$157+$E$167+$E$177+$E$187+$E$197)</f>
        <v>235822</v>
      </c>
      <c r="F6" s="140"/>
      <c r="G6" s="41"/>
      <c r="H6" s="45">
        <v>4000</v>
      </c>
      <c r="I6" s="141" t="s">
        <v>516</v>
      </c>
      <c r="J6" s="141"/>
      <c r="K6" s="141"/>
      <c r="L6" s="41"/>
      <c r="M6" s="41"/>
      <c r="N6" s="41"/>
      <c r="O6" s="41"/>
      <c r="P6" s="41"/>
      <c r="Q6" s="41"/>
      <c r="R6" s="41"/>
      <c r="S6" s="41"/>
    </row>
    <row r="7" spans="1:19" ht="30" customHeight="1" thickTop="1" thickBot="1">
      <c r="A7" s="103"/>
      <c r="B7" s="41"/>
      <c r="C7" s="10">
        <v>4510</v>
      </c>
      <c r="D7" s="61" t="s">
        <v>72</v>
      </c>
      <c r="E7" s="139">
        <f>IF(ISERROR(SUM(E8:E16)),"",SUM(E8:E16))</f>
        <v>50000</v>
      </c>
      <c r="F7" s="144"/>
      <c r="G7" s="41"/>
      <c r="H7" s="10">
        <v>4510</v>
      </c>
      <c r="I7" s="51" t="s">
        <v>72</v>
      </c>
      <c r="J7" s="48">
        <f>IF(ISERROR($E$7),"",$E$7)</f>
        <v>50000</v>
      </c>
      <c r="K7" s="12">
        <f>IF(ISERROR(J7/$L$7),"",J7/$L$7)</f>
        <v>0.21202432343038394</v>
      </c>
      <c r="L7" s="62">
        <f>IF(ISERROR(SUM($J$7:$J$26)),"",SUM($J$7:$J$26))</f>
        <v>235822</v>
      </c>
      <c r="M7" s="41"/>
      <c r="N7" s="41"/>
      <c r="O7" s="41"/>
      <c r="P7" s="41"/>
      <c r="Q7" s="41"/>
      <c r="R7" s="41"/>
      <c r="S7" s="41"/>
    </row>
    <row r="8" spans="1:19" ht="30" customHeight="1" thickTop="1" thickBot="1">
      <c r="A8" s="103"/>
      <c r="B8" s="41"/>
      <c r="C8" s="11">
        <v>4511</v>
      </c>
      <c r="D8" s="9" t="s">
        <v>346</v>
      </c>
      <c r="E8" s="64">
        <v>50000</v>
      </c>
      <c r="F8" s="12">
        <f>IF(ISERROR(E8/$E$7),"",E8/$E$7)</f>
        <v>1</v>
      </c>
      <c r="G8" s="41"/>
      <c r="H8" s="10">
        <v>4520</v>
      </c>
      <c r="I8" s="51" t="s">
        <v>385</v>
      </c>
      <c r="J8" s="48">
        <f>IF(ISERROR($E$17),"",$E$17)</f>
        <v>0</v>
      </c>
      <c r="K8" s="12">
        <f t="shared" ref="K8:K26" si="0">IF(ISERROR(J8/$L$7),"",J8/$L$7)</f>
        <v>0</v>
      </c>
      <c r="L8" s="41"/>
      <c r="M8" s="41"/>
      <c r="N8" s="41"/>
      <c r="O8" s="41"/>
      <c r="P8" s="41"/>
      <c r="Q8" s="41"/>
      <c r="R8" s="41"/>
      <c r="S8" s="41"/>
    </row>
    <row r="9" spans="1:19" ht="30" customHeight="1" thickTop="1" thickBot="1">
      <c r="A9" s="103"/>
      <c r="B9" s="41"/>
      <c r="C9" s="11">
        <v>4512</v>
      </c>
      <c r="D9" s="9"/>
      <c r="E9" s="7"/>
      <c r="F9" s="12">
        <f t="shared" ref="F9:F16" si="1">IF(ISERROR(E9/$E$7),"",E9/$E$7)</f>
        <v>0</v>
      </c>
      <c r="G9" s="41"/>
      <c r="H9" s="10">
        <v>4530</v>
      </c>
      <c r="I9" s="65" t="s">
        <v>290</v>
      </c>
      <c r="J9" s="48">
        <f>IF(ISERROR($E$27),"",$E$27)</f>
        <v>0</v>
      </c>
      <c r="K9" s="12">
        <f t="shared" si="0"/>
        <v>0</v>
      </c>
      <c r="L9" s="41"/>
      <c r="M9" s="41"/>
      <c r="N9" s="41"/>
      <c r="O9" s="41"/>
      <c r="P9" s="41"/>
      <c r="Q9" s="41"/>
      <c r="R9" s="41"/>
      <c r="S9" s="41"/>
    </row>
    <row r="10" spans="1:19" ht="30" customHeight="1" thickTop="1" thickBot="1">
      <c r="A10" s="103"/>
      <c r="B10" s="41"/>
      <c r="C10" s="11">
        <v>4513</v>
      </c>
      <c r="D10" s="9"/>
      <c r="E10" s="7"/>
      <c r="F10" s="12">
        <f t="shared" si="1"/>
        <v>0</v>
      </c>
      <c r="G10" s="41"/>
      <c r="H10" s="10">
        <v>4540</v>
      </c>
      <c r="I10" s="51" t="s">
        <v>297</v>
      </c>
      <c r="J10" s="48">
        <f>IF(ISERROR($E$37),"",$E$37)</f>
        <v>0</v>
      </c>
      <c r="K10" s="12">
        <f t="shared" si="0"/>
        <v>0</v>
      </c>
      <c r="L10" s="41"/>
      <c r="M10" s="41"/>
      <c r="N10" s="41"/>
      <c r="O10" s="41"/>
      <c r="P10" s="41"/>
      <c r="Q10" s="41"/>
      <c r="R10" s="41"/>
      <c r="S10" s="41"/>
    </row>
    <row r="11" spans="1:19" ht="30" customHeight="1" thickTop="1" thickBot="1">
      <c r="A11" s="103"/>
      <c r="B11" s="41"/>
      <c r="C11" s="11">
        <v>4514</v>
      </c>
      <c r="D11" s="63"/>
      <c r="E11" s="64"/>
      <c r="F11" s="12">
        <f t="shared" si="1"/>
        <v>0</v>
      </c>
      <c r="G11" s="41"/>
      <c r="H11" s="10">
        <v>4550</v>
      </c>
      <c r="I11" s="51" t="s">
        <v>307</v>
      </c>
      <c r="J11" s="48">
        <f>IF(ISERROR($E$47),"",$E$47)</f>
        <v>0</v>
      </c>
      <c r="K11" s="12">
        <f t="shared" si="0"/>
        <v>0</v>
      </c>
      <c r="L11" s="41"/>
      <c r="M11" s="41"/>
      <c r="N11" s="41"/>
      <c r="O11" s="41"/>
      <c r="P11" s="41"/>
      <c r="Q11" s="41"/>
      <c r="R11" s="41"/>
      <c r="S11" s="41"/>
    </row>
    <row r="12" spans="1:19" ht="30" customHeight="1" thickTop="1" thickBot="1">
      <c r="A12" s="103"/>
      <c r="B12" s="41"/>
      <c r="C12" s="11">
        <v>4515</v>
      </c>
      <c r="D12" s="63"/>
      <c r="E12" s="64"/>
      <c r="F12" s="12">
        <f t="shared" si="1"/>
        <v>0</v>
      </c>
      <c r="G12" s="41"/>
      <c r="H12" s="10">
        <v>4560</v>
      </c>
      <c r="I12" s="51" t="s">
        <v>386</v>
      </c>
      <c r="J12" s="48">
        <f>IF(ISERROR($E$57),"",$E$57)</f>
        <v>0</v>
      </c>
      <c r="K12" s="12">
        <f t="shared" si="0"/>
        <v>0</v>
      </c>
      <c r="L12" s="41"/>
      <c r="M12" s="41"/>
      <c r="N12" s="41"/>
      <c r="O12" s="41"/>
      <c r="P12" s="41"/>
      <c r="Q12" s="41"/>
      <c r="R12" s="41"/>
      <c r="S12" s="41"/>
    </row>
    <row r="13" spans="1:19" ht="30" customHeight="1" thickTop="1" thickBot="1">
      <c r="A13" s="103"/>
      <c r="B13" s="41"/>
      <c r="C13" s="11">
        <v>4516</v>
      </c>
      <c r="D13" s="63"/>
      <c r="E13" s="64"/>
      <c r="F13" s="12">
        <f t="shared" si="1"/>
        <v>0</v>
      </c>
      <c r="G13" s="41"/>
      <c r="H13" s="10">
        <v>4570</v>
      </c>
      <c r="I13" s="51" t="s">
        <v>343</v>
      </c>
      <c r="J13" s="48">
        <f>IF(ISERROR($E$67),"",$E$67)</f>
        <v>0</v>
      </c>
      <c r="K13" s="12">
        <f t="shared" si="0"/>
        <v>0</v>
      </c>
      <c r="L13" s="41"/>
      <c r="M13" s="41"/>
      <c r="N13" s="41"/>
      <c r="O13" s="41"/>
      <c r="P13" s="41"/>
      <c r="Q13" s="41"/>
      <c r="R13" s="41"/>
      <c r="S13" s="41"/>
    </row>
    <row r="14" spans="1:19" ht="30" customHeight="1" thickTop="1" thickBot="1">
      <c r="A14" s="103"/>
      <c r="B14" s="41"/>
      <c r="C14" s="11">
        <v>4517</v>
      </c>
      <c r="D14" s="63"/>
      <c r="E14" s="64"/>
      <c r="F14" s="12">
        <f t="shared" si="1"/>
        <v>0</v>
      </c>
      <c r="G14" s="41"/>
      <c r="H14" s="10">
        <v>4580</v>
      </c>
      <c r="I14" s="51" t="s">
        <v>381</v>
      </c>
      <c r="J14" s="48">
        <f>IF(ISERROR($E$77),"",$E$77)</f>
        <v>0</v>
      </c>
      <c r="K14" s="12">
        <f t="shared" si="0"/>
        <v>0</v>
      </c>
      <c r="L14" s="41"/>
      <c r="M14" s="41"/>
      <c r="N14" s="41"/>
      <c r="O14" s="41"/>
      <c r="P14" s="41"/>
      <c r="Q14" s="41"/>
      <c r="R14" s="41"/>
      <c r="S14" s="41"/>
    </row>
    <row r="15" spans="1:19" ht="30" customHeight="1" thickTop="1" thickBot="1">
      <c r="A15" s="103"/>
      <c r="B15" s="41"/>
      <c r="C15" s="11">
        <v>4518</v>
      </c>
      <c r="D15" s="63"/>
      <c r="E15" s="64"/>
      <c r="F15" s="12">
        <f t="shared" si="1"/>
        <v>0</v>
      </c>
      <c r="G15" s="41"/>
      <c r="H15" s="10">
        <v>4590</v>
      </c>
      <c r="I15" s="51" t="s">
        <v>338</v>
      </c>
      <c r="J15" s="48">
        <f>IF(ISERROR($E$87),"",$E$87)</f>
        <v>0</v>
      </c>
      <c r="K15" s="12">
        <f t="shared" si="0"/>
        <v>0</v>
      </c>
      <c r="L15" s="41"/>
      <c r="M15" s="41"/>
      <c r="N15" s="41"/>
      <c r="O15" s="41"/>
      <c r="P15" s="41"/>
      <c r="Q15" s="41"/>
      <c r="R15" s="41"/>
      <c r="S15" s="41"/>
    </row>
    <row r="16" spans="1:19" ht="30" customHeight="1" thickTop="1" thickBot="1">
      <c r="A16" s="103"/>
      <c r="B16" s="41"/>
      <c r="C16" s="11">
        <v>4519</v>
      </c>
      <c r="D16" s="63" t="s">
        <v>347</v>
      </c>
      <c r="E16" s="64"/>
      <c r="F16" s="12">
        <f t="shared" si="1"/>
        <v>0</v>
      </c>
      <c r="G16" s="41"/>
      <c r="H16" s="10">
        <v>4610</v>
      </c>
      <c r="I16" s="51" t="s">
        <v>400</v>
      </c>
      <c r="J16" s="48">
        <f>IF(ISERROR($E$97),"",$E$97)</f>
        <v>0</v>
      </c>
      <c r="K16" s="12">
        <f t="shared" si="0"/>
        <v>0</v>
      </c>
      <c r="L16" s="41"/>
      <c r="M16" s="41"/>
      <c r="N16" s="41"/>
      <c r="O16" s="41"/>
      <c r="P16" s="41"/>
      <c r="Q16" s="41"/>
      <c r="R16" s="41"/>
      <c r="S16" s="41"/>
    </row>
    <row r="17" spans="1:19" ht="30" customHeight="1" thickTop="1" thickBot="1">
      <c r="A17" s="103"/>
      <c r="B17" s="41"/>
      <c r="C17" s="10">
        <v>4520</v>
      </c>
      <c r="D17" s="61" t="s">
        <v>348</v>
      </c>
      <c r="E17" s="139">
        <f>IF(ISERROR(SUM(E18:E26)),"",SUM(E18:E26))</f>
        <v>0</v>
      </c>
      <c r="F17" s="144"/>
      <c r="G17" s="41"/>
      <c r="H17" s="10">
        <v>4620</v>
      </c>
      <c r="I17" s="51" t="s">
        <v>394</v>
      </c>
      <c r="J17" s="48">
        <f>IF(ISERROR($E$107),"",$E$107)</f>
        <v>0</v>
      </c>
      <c r="K17" s="12">
        <f t="shared" si="0"/>
        <v>0</v>
      </c>
      <c r="L17" s="41"/>
      <c r="M17" s="41"/>
      <c r="N17" s="41"/>
      <c r="O17" s="41"/>
      <c r="P17" s="41"/>
      <c r="Q17" s="41"/>
      <c r="R17" s="41"/>
      <c r="S17" s="41"/>
    </row>
    <row r="18" spans="1:19" ht="30" customHeight="1" thickTop="1" thickBot="1">
      <c r="A18" s="103"/>
      <c r="B18" s="41"/>
      <c r="C18" s="11">
        <v>4521</v>
      </c>
      <c r="D18" s="63" t="s">
        <v>282</v>
      </c>
      <c r="E18" s="64"/>
      <c r="F18" s="12" t="str">
        <f>IF(ISERROR(E18/$E$17),"",E18/$E$17)</f>
        <v/>
      </c>
      <c r="G18" s="41"/>
      <c r="H18" s="10">
        <v>5710</v>
      </c>
      <c r="I18" s="51" t="s">
        <v>401</v>
      </c>
      <c r="J18" s="48">
        <f>IF(ISERROR($E$117),"",$E$117)</f>
        <v>120000</v>
      </c>
      <c r="K18" s="12">
        <f t="shared" si="0"/>
        <v>0.50885837623292141</v>
      </c>
      <c r="L18" s="41"/>
      <c r="M18" s="41"/>
      <c r="N18" s="41"/>
      <c r="O18" s="41"/>
      <c r="P18" s="41"/>
      <c r="Q18" s="41"/>
      <c r="R18" s="41"/>
      <c r="S18" s="41"/>
    </row>
    <row r="19" spans="1:19" ht="30" customHeight="1" thickTop="1" thickBot="1">
      <c r="A19" s="103"/>
      <c r="B19" s="41"/>
      <c r="C19" s="11">
        <v>4522</v>
      </c>
      <c r="D19" s="63" t="s">
        <v>283</v>
      </c>
      <c r="E19" s="64"/>
      <c r="F19" s="12" t="str">
        <f t="shared" ref="F19:F26" si="2">IF(ISERROR(E19/$E$17),"",E19/$E$17)</f>
        <v/>
      </c>
      <c r="G19" s="41"/>
      <c r="H19" s="10">
        <v>5720</v>
      </c>
      <c r="I19" s="51" t="s">
        <v>411</v>
      </c>
      <c r="J19" s="48">
        <f>IF(ISERROR($E$127),"",$E$127)</f>
        <v>1556</v>
      </c>
      <c r="K19" s="12">
        <f t="shared" si="0"/>
        <v>6.5981969451535481E-3</v>
      </c>
      <c r="L19" s="41"/>
      <c r="M19" s="41"/>
      <c r="N19" s="41"/>
      <c r="O19" s="41"/>
      <c r="P19" s="41"/>
      <c r="Q19" s="41"/>
      <c r="R19" s="41"/>
      <c r="S19" s="41"/>
    </row>
    <row r="20" spans="1:19" ht="30" customHeight="1" thickTop="1" thickBot="1">
      <c r="A20" s="103"/>
      <c r="B20" s="41"/>
      <c r="C20" s="11">
        <v>4523</v>
      </c>
      <c r="D20" s="63" t="s">
        <v>284</v>
      </c>
      <c r="E20" s="64"/>
      <c r="F20" s="12" t="str">
        <f t="shared" si="2"/>
        <v/>
      </c>
      <c r="G20" s="41"/>
      <c r="H20" s="10">
        <v>5730</v>
      </c>
      <c r="I20" s="51" t="s">
        <v>421</v>
      </c>
      <c r="J20" s="48">
        <f>IF(ISERROR($E$137),"",$E$137)</f>
        <v>0</v>
      </c>
      <c r="K20" s="12">
        <f t="shared" si="0"/>
        <v>0</v>
      </c>
      <c r="L20" s="41"/>
      <c r="M20" s="41"/>
      <c r="N20" s="41"/>
      <c r="O20" s="41"/>
      <c r="P20" s="41"/>
      <c r="Q20" s="41"/>
      <c r="R20" s="41"/>
      <c r="S20" s="41"/>
    </row>
    <row r="21" spans="1:19" ht="30" customHeight="1" thickTop="1" thickBot="1">
      <c r="A21" s="103"/>
      <c r="B21" s="41"/>
      <c r="C21" s="11">
        <v>4524</v>
      </c>
      <c r="D21" s="63" t="s">
        <v>349</v>
      </c>
      <c r="E21" s="64"/>
      <c r="F21" s="12" t="str">
        <f t="shared" si="2"/>
        <v/>
      </c>
      <c r="G21" s="41"/>
      <c r="H21" s="10">
        <v>5740</v>
      </c>
      <c r="I21" s="51" t="s">
        <v>431</v>
      </c>
      <c r="J21" s="48">
        <f>IF(ISERROR($E$147),"",$E$147)</f>
        <v>0</v>
      </c>
      <c r="K21" s="12">
        <f t="shared" si="0"/>
        <v>0</v>
      </c>
      <c r="L21" s="41"/>
      <c r="M21" s="41"/>
      <c r="N21" s="41"/>
      <c r="O21" s="41"/>
      <c r="P21" s="41"/>
      <c r="Q21" s="41"/>
      <c r="R21" s="41"/>
      <c r="S21" s="41"/>
    </row>
    <row r="22" spans="1:19" ht="30" customHeight="1" thickTop="1" thickBot="1">
      <c r="A22" s="103"/>
      <c r="B22" s="41"/>
      <c r="C22" s="11">
        <v>4525</v>
      </c>
      <c r="D22" s="63" t="s">
        <v>286</v>
      </c>
      <c r="E22" s="64"/>
      <c r="F22" s="12" t="str">
        <f t="shared" si="2"/>
        <v/>
      </c>
      <c r="G22" s="41"/>
      <c r="H22" s="10">
        <v>5750</v>
      </c>
      <c r="I22" s="51" t="s">
        <v>440</v>
      </c>
      <c r="J22" s="48">
        <f>IF(ISERROR($E$157),"",$E$157)</f>
        <v>64266</v>
      </c>
      <c r="K22" s="12">
        <f t="shared" si="0"/>
        <v>0.27251910339154106</v>
      </c>
      <c r="L22" s="41"/>
      <c r="M22" s="41"/>
      <c r="N22" s="41"/>
      <c r="O22" s="41"/>
      <c r="P22" s="41"/>
      <c r="Q22" s="41"/>
      <c r="R22" s="41"/>
      <c r="S22" s="41"/>
    </row>
    <row r="23" spans="1:19" ht="30" customHeight="1" thickTop="1" thickBot="1">
      <c r="A23" s="103"/>
      <c r="B23" s="41"/>
      <c r="C23" s="11">
        <v>4526</v>
      </c>
      <c r="D23" s="63" t="s">
        <v>287</v>
      </c>
      <c r="E23" s="64"/>
      <c r="F23" s="12" t="str">
        <f t="shared" si="2"/>
        <v/>
      </c>
      <c r="G23" s="41"/>
      <c r="H23" s="10">
        <v>5760</v>
      </c>
      <c r="I23" s="51" t="s">
        <v>448</v>
      </c>
      <c r="J23" s="48">
        <f>IF(ISERROR($E$167),"",$E$167)</f>
        <v>0</v>
      </c>
      <c r="K23" s="12">
        <f t="shared" si="0"/>
        <v>0</v>
      </c>
      <c r="L23" s="41"/>
      <c r="M23" s="41"/>
      <c r="N23" s="41"/>
      <c r="O23" s="41"/>
      <c r="P23" s="41"/>
      <c r="Q23" s="41"/>
      <c r="R23" s="41"/>
      <c r="S23" s="41"/>
    </row>
    <row r="24" spans="1:19" ht="30" customHeight="1" thickTop="1" thickBot="1">
      <c r="A24" s="103"/>
      <c r="B24" s="41"/>
      <c r="C24" s="11">
        <v>4527</v>
      </c>
      <c r="D24" s="63" t="s">
        <v>350</v>
      </c>
      <c r="E24" s="64"/>
      <c r="F24" s="12" t="str">
        <f t="shared" si="2"/>
        <v/>
      </c>
      <c r="G24" s="41"/>
      <c r="H24" s="10">
        <v>5770</v>
      </c>
      <c r="I24" s="51" t="s">
        <v>450</v>
      </c>
      <c r="J24" s="48">
        <f>IF(ISERROR($E$177),"",$E$177)</f>
        <v>0</v>
      </c>
      <c r="K24" s="12">
        <f t="shared" si="0"/>
        <v>0</v>
      </c>
      <c r="L24" s="41"/>
      <c r="M24" s="41"/>
      <c r="N24" s="41"/>
      <c r="O24" s="41"/>
      <c r="P24" s="41"/>
      <c r="Q24" s="41"/>
      <c r="R24" s="41"/>
      <c r="S24" s="41"/>
    </row>
    <row r="25" spans="1:19" ht="30" customHeight="1" thickTop="1" thickBot="1">
      <c r="A25" s="103"/>
      <c r="B25" s="41"/>
      <c r="C25" s="11">
        <v>4528</v>
      </c>
      <c r="D25" s="63"/>
      <c r="E25" s="64"/>
      <c r="F25" s="12" t="str">
        <f t="shared" si="2"/>
        <v/>
      </c>
      <c r="G25" s="41"/>
      <c r="H25" s="10">
        <v>5780</v>
      </c>
      <c r="I25" s="51" t="s">
        <v>451</v>
      </c>
      <c r="J25" s="48">
        <f>IF(ISERROR($E$187),"",$E$187)</f>
        <v>0</v>
      </c>
      <c r="K25" s="12">
        <f t="shared" si="0"/>
        <v>0</v>
      </c>
      <c r="L25" s="41"/>
      <c r="M25" s="41"/>
      <c r="N25" s="41"/>
      <c r="O25" s="41"/>
      <c r="P25" s="41"/>
      <c r="Q25" s="41"/>
      <c r="R25" s="41"/>
      <c r="S25" s="41"/>
    </row>
    <row r="26" spans="1:19" ht="30" customHeight="1" thickTop="1" thickBot="1">
      <c r="A26" s="103"/>
      <c r="B26" s="41"/>
      <c r="C26" s="11">
        <v>4529</v>
      </c>
      <c r="D26" s="63" t="s">
        <v>351</v>
      </c>
      <c r="E26" s="64"/>
      <c r="F26" s="12" t="str">
        <f t="shared" si="2"/>
        <v/>
      </c>
      <c r="G26" s="41"/>
      <c r="H26" s="10">
        <v>5790</v>
      </c>
      <c r="I26" s="51" t="s">
        <v>463</v>
      </c>
      <c r="J26" s="48">
        <f>IF(ISERROR($E$197),"",$E$197)</f>
        <v>0</v>
      </c>
      <c r="K26" s="12">
        <f t="shared" si="0"/>
        <v>0</v>
      </c>
      <c r="L26" s="41"/>
      <c r="M26" s="41"/>
      <c r="N26" s="41"/>
      <c r="O26" s="41"/>
      <c r="P26" s="41"/>
      <c r="Q26" s="41"/>
      <c r="R26" s="41"/>
      <c r="S26" s="41"/>
    </row>
    <row r="27" spans="1:19" ht="30" customHeight="1" thickTop="1" thickBot="1">
      <c r="A27" s="103"/>
      <c r="B27" s="41"/>
      <c r="C27" s="10">
        <v>4530</v>
      </c>
      <c r="D27" s="61" t="s">
        <v>290</v>
      </c>
      <c r="E27" s="139">
        <f>IF(ISERROR(SUM(E28:E36)),"",SUM(E28:E36))</f>
        <v>0</v>
      </c>
      <c r="F27" s="144"/>
      <c r="G27" s="41"/>
      <c r="H27" s="41"/>
      <c r="I27" s="41"/>
      <c r="J27" s="41"/>
      <c r="K27" s="41"/>
      <c r="L27" s="41"/>
      <c r="M27" s="41"/>
      <c r="N27" s="41"/>
      <c r="O27" s="41"/>
      <c r="P27" s="41"/>
      <c r="Q27" s="41"/>
      <c r="R27" s="41"/>
      <c r="S27" s="41"/>
    </row>
    <row r="28" spans="1:19" ht="30" customHeight="1" thickTop="1" thickBot="1">
      <c r="A28" s="103"/>
      <c r="B28" s="41"/>
      <c r="C28" s="11">
        <v>4531</v>
      </c>
      <c r="D28" s="63" t="s">
        <v>352</v>
      </c>
      <c r="E28" s="64"/>
      <c r="F28" s="12" t="str">
        <f>IF(ISERROR(E28/$E$27),"",E28/$E$27)</f>
        <v/>
      </c>
      <c r="G28" s="41"/>
      <c r="H28" s="45">
        <v>4500</v>
      </c>
      <c r="I28" s="141" t="s">
        <v>387</v>
      </c>
      <c r="J28" s="141"/>
      <c r="K28" s="141"/>
      <c r="L28" s="41"/>
      <c r="M28" s="41"/>
      <c r="N28" s="41"/>
      <c r="O28" s="41"/>
      <c r="P28" s="41"/>
      <c r="Q28" s="41"/>
      <c r="R28" s="41"/>
      <c r="S28" s="41"/>
    </row>
    <row r="29" spans="1:19" ht="30" customHeight="1" thickTop="1" thickBot="1">
      <c r="A29" s="103"/>
      <c r="B29" s="41"/>
      <c r="C29" s="11">
        <v>4532</v>
      </c>
      <c r="D29" s="63" t="s">
        <v>353</v>
      </c>
      <c r="E29" s="64"/>
      <c r="F29" s="12" t="str">
        <f t="shared" ref="F29:F36" si="3">IF(ISERROR(E29/$E$27),"",E29/$E$27)</f>
        <v/>
      </c>
      <c r="G29" s="41"/>
      <c r="H29" s="10">
        <v>4510</v>
      </c>
      <c r="I29" s="51" t="s">
        <v>72</v>
      </c>
      <c r="J29" s="48">
        <f>IF(ISERROR($E$7),"",$E$7)</f>
        <v>50000</v>
      </c>
      <c r="K29" s="12">
        <f>IF(ISERROR(J29/$J$38),"",J29/$J$38)</f>
        <v>1</v>
      </c>
      <c r="L29" s="41"/>
      <c r="M29" s="41"/>
      <c r="N29" s="41"/>
      <c r="O29" s="41"/>
      <c r="P29" s="41"/>
      <c r="Q29" s="41"/>
      <c r="R29" s="41"/>
      <c r="S29" s="41"/>
    </row>
    <row r="30" spans="1:19" ht="30" customHeight="1" thickTop="1" thickBot="1">
      <c r="A30" s="103"/>
      <c r="B30" s="41"/>
      <c r="C30" s="11">
        <v>4533</v>
      </c>
      <c r="D30" s="63" t="s">
        <v>354</v>
      </c>
      <c r="E30" s="64"/>
      <c r="F30" s="12" t="str">
        <f t="shared" si="3"/>
        <v/>
      </c>
      <c r="G30" s="41"/>
      <c r="H30" s="10">
        <v>4520</v>
      </c>
      <c r="I30" s="51" t="s">
        <v>385</v>
      </c>
      <c r="J30" s="48">
        <f>IF(ISERROR($E$17),"",$E$17)</f>
        <v>0</v>
      </c>
      <c r="K30" s="12">
        <f t="shared" ref="K30:K37" si="4">IF(ISERROR(J30/$J$38),"",J30/$J$38)</f>
        <v>0</v>
      </c>
      <c r="L30" s="41"/>
      <c r="M30" s="41"/>
      <c r="N30" s="41"/>
      <c r="O30" s="41"/>
      <c r="P30" s="41"/>
      <c r="Q30" s="41"/>
      <c r="R30" s="41"/>
      <c r="S30" s="41"/>
    </row>
    <row r="31" spans="1:19" ht="30" customHeight="1" thickTop="1" thickBot="1">
      <c r="A31" s="103"/>
      <c r="B31" s="41"/>
      <c r="C31" s="11">
        <v>4534</v>
      </c>
      <c r="D31" s="63" t="s">
        <v>355</v>
      </c>
      <c r="E31" s="64"/>
      <c r="F31" s="12" t="str">
        <f t="shared" si="3"/>
        <v/>
      </c>
      <c r="G31" s="41"/>
      <c r="H31" s="10">
        <v>4530</v>
      </c>
      <c r="I31" s="65" t="s">
        <v>290</v>
      </c>
      <c r="J31" s="48">
        <f>IF(ISERROR($E$27),"",$E$27)</f>
        <v>0</v>
      </c>
      <c r="K31" s="12">
        <f t="shared" si="4"/>
        <v>0</v>
      </c>
      <c r="L31" s="41"/>
      <c r="M31" s="41"/>
      <c r="N31" s="41"/>
      <c r="O31" s="41"/>
      <c r="P31" s="41"/>
      <c r="Q31" s="41"/>
      <c r="R31" s="41"/>
      <c r="S31" s="41"/>
    </row>
    <row r="32" spans="1:19" ht="30" customHeight="1" thickTop="1" thickBot="1">
      <c r="A32" s="103"/>
      <c r="B32" s="41"/>
      <c r="C32" s="11">
        <v>4535</v>
      </c>
      <c r="D32" s="63" t="s">
        <v>356</v>
      </c>
      <c r="E32" s="64"/>
      <c r="F32" s="12" t="str">
        <f t="shared" si="3"/>
        <v/>
      </c>
      <c r="G32" s="41"/>
      <c r="H32" s="10">
        <v>4540</v>
      </c>
      <c r="I32" s="51" t="s">
        <v>297</v>
      </c>
      <c r="J32" s="48">
        <f>IF(ISERROR($E$37),"",$E$37)</f>
        <v>0</v>
      </c>
      <c r="K32" s="12">
        <f t="shared" si="4"/>
        <v>0</v>
      </c>
      <c r="L32" s="41"/>
      <c r="M32" s="41"/>
      <c r="N32" s="41"/>
      <c r="O32" s="41"/>
      <c r="P32" s="41"/>
      <c r="Q32" s="41"/>
      <c r="R32" s="41"/>
      <c r="S32" s="41"/>
    </row>
    <row r="33" spans="1:19" ht="30" customHeight="1" thickTop="1" thickBot="1">
      <c r="A33" s="103"/>
      <c r="B33" s="41"/>
      <c r="C33" s="11">
        <v>4536</v>
      </c>
      <c r="D33" s="63" t="s">
        <v>357</v>
      </c>
      <c r="E33" s="64"/>
      <c r="F33" s="12" t="str">
        <f t="shared" si="3"/>
        <v/>
      </c>
      <c r="G33" s="41"/>
      <c r="H33" s="10">
        <v>4550</v>
      </c>
      <c r="I33" s="51" t="s">
        <v>307</v>
      </c>
      <c r="J33" s="48">
        <f>IF(ISERROR($E$47),"",$E$47)</f>
        <v>0</v>
      </c>
      <c r="K33" s="12">
        <f t="shared" si="4"/>
        <v>0</v>
      </c>
      <c r="L33" s="41"/>
      <c r="M33" s="41"/>
      <c r="N33" s="41"/>
      <c r="O33" s="41"/>
      <c r="P33" s="41"/>
      <c r="Q33" s="41"/>
      <c r="R33" s="41"/>
      <c r="S33" s="41"/>
    </row>
    <row r="34" spans="1:19" ht="30" customHeight="1" thickTop="1" thickBot="1">
      <c r="A34" s="103"/>
      <c r="B34" s="41"/>
      <c r="C34" s="11">
        <v>4537</v>
      </c>
      <c r="D34" s="63"/>
      <c r="E34" s="64"/>
      <c r="F34" s="12" t="str">
        <f t="shared" si="3"/>
        <v/>
      </c>
      <c r="G34" s="41"/>
      <c r="H34" s="10">
        <v>4560</v>
      </c>
      <c r="I34" s="51" t="s">
        <v>386</v>
      </c>
      <c r="J34" s="48">
        <f>IF(ISERROR($E$57),"",$E$57)</f>
        <v>0</v>
      </c>
      <c r="K34" s="12">
        <f t="shared" si="4"/>
        <v>0</v>
      </c>
      <c r="L34" s="41"/>
      <c r="M34" s="41"/>
      <c r="N34" s="41"/>
      <c r="O34" s="41"/>
      <c r="P34" s="41"/>
      <c r="Q34" s="41"/>
      <c r="R34" s="41"/>
      <c r="S34" s="41"/>
    </row>
    <row r="35" spans="1:19" ht="30" customHeight="1" thickTop="1" thickBot="1">
      <c r="A35" s="103"/>
      <c r="B35" s="41"/>
      <c r="C35" s="11">
        <v>4538</v>
      </c>
      <c r="D35" s="63"/>
      <c r="E35" s="64"/>
      <c r="F35" s="12" t="str">
        <f t="shared" si="3"/>
        <v/>
      </c>
      <c r="G35" s="41"/>
      <c r="H35" s="10">
        <v>4570</v>
      </c>
      <c r="I35" s="51" t="s">
        <v>343</v>
      </c>
      <c r="J35" s="48">
        <f>IF(ISERROR($E$67),"",$E$67)</f>
        <v>0</v>
      </c>
      <c r="K35" s="12">
        <f t="shared" si="4"/>
        <v>0</v>
      </c>
      <c r="L35" s="41"/>
      <c r="M35" s="41"/>
      <c r="N35" s="41"/>
      <c r="O35" s="41"/>
      <c r="P35" s="41"/>
      <c r="Q35" s="41"/>
      <c r="R35" s="41"/>
      <c r="S35" s="41"/>
    </row>
    <row r="36" spans="1:19" ht="30" customHeight="1" thickTop="1" thickBot="1">
      <c r="A36" s="103"/>
      <c r="B36" s="41"/>
      <c r="C36" s="11">
        <v>4539</v>
      </c>
      <c r="D36" s="63" t="s">
        <v>296</v>
      </c>
      <c r="E36" s="64"/>
      <c r="F36" s="12" t="str">
        <f t="shared" si="3"/>
        <v/>
      </c>
      <c r="G36" s="41"/>
      <c r="H36" s="10">
        <v>4580</v>
      </c>
      <c r="I36" s="51" t="s">
        <v>381</v>
      </c>
      <c r="J36" s="48">
        <f>IF(ISERROR($E$77),"",$E$77)</f>
        <v>0</v>
      </c>
      <c r="K36" s="12">
        <f t="shared" si="4"/>
        <v>0</v>
      </c>
      <c r="L36" s="41"/>
      <c r="M36" s="41"/>
      <c r="N36" s="41"/>
      <c r="O36" s="41"/>
      <c r="P36" s="41"/>
      <c r="Q36" s="41"/>
      <c r="R36" s="41"/>
      <c r="S36" s="41"/>
    </row>
    <row r="37" spans="1:19" ht="30" customHeight="1" thickTop="1" thickBot="1">
      <c r="A37" s="103"/>
      <c r="B37" s="41"/>
      <c r="C37" s="10">
        <v>4540</v>
      </c>
      <c r="D37" s="61" t="s">
        <v>297</v>
      </c>
      <c r="E37" s="139">
        <f>IF(ISERROR(SUM(E38:E46)),"",SUM(E38:E46))</f>
        <v>0</v>
      </c>
      <c r="F37" s="144"/>
      <c r="G37" s="41"/>
      <c r="H37" s="10">
        <v>4590</v>
      </c>
      <c r="I37" s="51" t="s">
        <v>338</v>
      </c>
      <c r="J37" s="48">
        <f>IF(ISERROR($E$87),"",$E$87)</f>
        <v>0</v>
      </c>
      <c r="K37" s="12">
        <f t="shared" si="4"/>
        <v>0</v>
      </c>
      <c r="L37" s="41"/>
      <c r="M37" s="41"/>
      <c r="N37" s="41"/>
      <c r="O37" s="41"/>
      <c r="P37" s="41"/>
      <c r="Q37" s="41"/>
      <c r="R37" s="41"/>
      <c r="S37" s="41"/>
    </row>
    <row r="38" spans="1:19" ht="30" customHeight="1" thickTop="1" thickBot="1">
      <c r="A38" s="103"/>
      <c r="B38" s="41"/>
      <c r="C38" s="11">
        <v>4541</v>
      </c>
      <c r="D38" s="63" t="s">
        <v>358</v>
      </c>
      <c r="E38" s="64"/>
      <c r="F38" s="12" t="str">
        <f>IF(ISERROR(E38/$E$37),"",E38/$E$37)</f>
        <v/>
      </c>
      <c r="G38" s="41"/>
      <c r="H38" s="143" t="s">
        <v>34</v>
      </c>
      <c r="I38" s="143"/>
      <c r="J38" s="146">
        <f>IF(ISERROR(SUM($J$29:$J$37)),"",SUM($J$29:$J$37))</f>
        <v>50000</v>
      </c>
      <c r="K38" s="146"/>
      <c r="L38" s="41"/>
      <c r="M38" s="41"/>
      <c r="N38" s="41"/>
      <c r="O38" s="41"/>
      <c r="P38" s="41"/>
      <c r="Q38" s="41"/>
      <c r="R38" s="41"/>
      <c r="S38" s="41"/>
    </row>
    <row r="39" spans="1:19" ht="30" customHeight="1" thickTop="1" thickBot="1">
      <c r="A39" s="103"/>
      <c r="B39" s="41"/>
      <c r="C39" s="11">
        <v>4542</v>
      </c>
      <c r="D39" s="63" t="s">
        <v>359</v>
      </c>
      <c r="E39" s="64"/>
      <c r="F39" s="12" t="str">
        <f t="shared" ref="F39:F46" si="5">IF(ISERROR(E39/$E$37),"",E39/$E$37)</f>
        <v/>
      </c>
      <c r="G39" s="41"/>
      <c r="H39" s="41"/>
      <c r="I39" s="41"/>
      <c r="J39" s="41"/>
      <c r="K39" s="41"/>
      <c r="L39" s="41"/>
      <c r="M39" s="41"/>
      <c r="N39" s="41"/>
      <c r="O39" s="41"/>
      <c r="P39" s="41"/>
      <c r="Q39" s="41"/>
      <c r="R39" s="41"/>
      <c r="S39" s="41"/>
    </row>
    <row r="40" spans="1:19" ht="30" customHeight="1" thickTop="1" thickBot="1">
      <c r="A40" s="103"/>
      <c r="B40" s="41"/>
      <c r="C40" s="11">
        <v>4543</v>
      </c>
      <c r="D40" s="63" t="s">
        <v>360</v>
      </c>
      <c r="E40" s="64"/>
      <c r="F40" s="12" t="str">
        <f t="shared" si="5"/>
        <v/>
      </c>
      <c r="G40" s="41"/>
      <c r="H40" s="45">
        <v>4600</v>
      </c>
      <c r="I40" s="147" t="s">
        <v>398</v>
      </c>
      <c r="J40" s="147"/>
      <c r="K40" s="147"/>
      <c r="L40" s="41"/>
      <c r="M40" s="41"/>
      <c r="N40" s="41"/>
      <c r="O40" s="41"/>
      <c r="P40" s="41"/>
      <c r="Q40" s="41"/>
      <c r="R40" s="41"/>
      <c r="S40" s="41"/>
    </row>
    <row r="41" spans="1:19" ht="30" customHeight="1" thickTop="1" thickBot="1">
      <c r="A41" s="103"/>
      <c r="B41" s="41"/>
      <c r="C41" s="11">
        <v>4544</v>
      </c>
      <c r="D41" s="63" t="s">
        <v>361</v>
      </c>
      <c r="E41" s="64"/>
      <c r="F41" s="12" t="str">
        <f t="shared" si="5"/>
        <v/>
      </c>
      <c r="G41" s="41"/>
      <c r="H41" s="10">
        <v>4610</v>
      </c>
      <c r="I41" s="51" t="s">
        <v>400</v>
      </c>
      <c r="J41" s="48">
        <f>IF(ISERROR($E$97),"",$E$97)</f>
        <v>0</v>
      </c>
      <c r="K41" s="12" t="str">
        <f>IF(ISERROR(J41/$J$43),"",J41/$J$43)</f>
        <v/>
      </c>
      <c r="L41" s="41"/>
      <c r="M41" s="41"/>
      <c r="N41" s="41"/>
      <c r="O41" s="41"/>
      <c r="P41" s="41"/>
      <c r="Q41" s="41"/>
      <c r="R41" s="41"/>
      <c r="S41" s="41"/>
    </row>
    <row r="42" spans="1:19" ht="30" customHeight="1" thickTop="1" thickBot="1">
      <c r="A42" s="103"/>
      <c r="B42" s="41"/>
      <c r="C42" s="11">
        <v>4545</v>
      </c>
      <c r="D42" s="63"/>
      <c r="E42" s="64"/>
      <c r="F42" s="12" t="str">
        <f t="shared" si="5"/>
        <v/>
      </c>
      <c r="G42" s="41"/>
      <c r="H42" s="10">
        <v>4620</v>
      </c>
      <c r="I42" s="51" t="s">
        <v>394</v>
      </c>
      <c r="J42" s="48">
        <f>IF(ISERROR($E$107),"",$E$107)</f>
        <v>0</v>
      </c>
      <c r="K42" s="12" t="str">
        <f>IF(ISERROR(J42/$J$43),"",J42/$J$43)</f>
        <v/>
      </c>
      <c r="L42" s="41"/>
      <c r="M42" s="41"/>
      <c r="N42" s="41"/>
      <c r="O42" s="41"/>
      <c r="P42" s="41"/>
      <c r="Q42" s="41"/>
      <c r="R42" s="41"/>
      <c r="S42" s="41"/>
    </row>
    <row r="43" spans="1:19" ht="30" customHeight="1" thickTop="1" thickBot="1">
      <c r="A43" s="103"/>
      <c r="B43" s="41"/>
      <c r="C43" s="11">
        <v>4546</v>
      </c>
      <c r="D43" s="63"/>
      <c r="E43" s="64"/>
      <c r="F43" s="12" t="str">
        <f t="shared" si="5"/>
        <v/>
      </c>
      <c r="G43" s="41"/>
      <c r="H43" s="143" t="s">
        <v>34</v>
      </c>
      <c r="I43" s="143"/>
      <c r="J43" s="146">
        <f>IF(ISERROR(SUM($J$41:$J$42)),"",SUM($J$41:$J$42))</f>
        <v>0</v>
      </c>
      <c r="K43" s="146"/>
      <c r="L43" s="41"/>
      <c r="M43" s="41"/>
      <c r="N43" s="41"/>
      <c r="O43" s="41"/>
      <c r="P43" s="41"/>
      <c r="Q43" s="41"/>
      <c r="R43" s="41"/>
      <c r="S43" s="41"/>
    </row>
    <row r="44" spans="1:19" ht="30" customHeight="1" thickTop="1" thickBot="1">
      <c r="A44" s="103"/>
      <c r="B44" s="41"/>
      <c r="C44" s="11">
        <v>4547</v>
      </c>
      <c r="D44" s="63"/>
      <c r="E44" s="64"/>
      <c r="F44" s="12" t="str">
        <f t="shared" si="5"/>
        <v/>
      </c>
      <c r="G44" s="41"/>
      <c r="H44" s="41"/>
      <c r="I44" s="41"/>
      <c r="J44" s="41"/>
      <c r="K44" s="41"/>
      <c r="L44" s="41"/>
      <c r="M44" s="41"/>
      <c r="N44" s="41"/>
      <c r="O44" s="41"/>
      <c r="P44" s="41"/>
      <c r="Q44" s="41"/>
      <c r="R44" s="41"/>
      <c r="S44" s="41"/>
    </row>
    <row r="45" spans="1:19" ht="30" customHeight="1" thickTop="1" thickBot="1">
      <c r="A45" s="103"/>
      <c r="B45" s="41"/>
      <c r="C45" s="11">
        <v>4548</v>
      </c>
      <c r="D45" s="63"/>
      <c r="E45" s="64"/>
      <c r="F45" s="12" t="str">
        <f t="shared" si="5"/>
        <v/>
      </c>
      <c r="G45" s="41"/>
      <c r="H45" s="45">
        <v>5700</v>
      </c>
      <c r="I45" s="141" t="s">
        <v>45</v>
      </c>
      <c r="J45" s="141"/>
      <c r="K45" s="141"/>
      <c r="L45" s="41"/>
      <c r="M45" s="41"/>
      <c r="N45" s="41"/>
      <c r="O45" s="41"/>
      <c r="P45" s="41"/>
      <c r="Q45" s="41"/>
      <c r="R45" s="41"/>
      <c r="S45" s="41"/>
    </row>
    <row r="46" spans="1:19" ht="30" customHeight="1" thickTop="1" thickBot="1">
      <c r="A46" s="103"/>
      <c r="B46" s="41"/>
      <c r="C46" s="11">
        <v>4549</v>
      </c>
      <c r="D46" s="63" t="s">
        <v>306</v>
      </c>
      <c r="E46" s="64"/>
      <c r="F46" s="12" t="str">
        <f t="shared" si="5"/>
        <v/>
      </c>
      <c r="G46" s="41"/>
      <c r="H46" s="10">
        <v>5710</v>
      </c>
      <c r="I46" s="51" t="s">
        <v>401</v>
      </c>
      <c r="J46" s="48">
        <f>IF(ISERROR($E$117),"",$E$117)</f>
        <v>120000</v>
      </c>
      <c r="K46" s="12">
        <f>IF(ISERROR(J46/$J$55),"",J46/$J$55)</f>
        <v>0.64577929416323143</v>
      </c>
      <c r="L46" s="41"/>
      <c r="M46" s="41"/>
      <c r="N46" s="41"/>
      <c r="O46" s="41"/>
      <c r="P46" s="41"/>
      <c r="Q46" s="41"/>
      <c r="R46" s="41"/>
      <c r="S46" s="41"/>
    </row>
    <row r="47" spans="1:19" ht="30" customHeight="1" thickTop="1" thickBot="1">
      <c r="A47" s="103"/>
      <c r="B47" s="41"/>
      <c r="C47" s="10">
        <v>4550</v>
      </c>
      <c r="D47" s="61" t="s">
        <v>362</v>
      </c>
      <c r="E47" s="139">
        <f>IF(ISERROR(SUM(E48:E56)),"",SUM(E48:E56))</f>
        <v>0</v>
      </c>
      <c r="F47" s="144"/>
      <c r="G47" s="41"/>
      <c r="H47" s="10">
        <v>5720</v>
      </c>
      <c r="I47" s="51" t="s">
        <v>411</v>
      </c>
      <c r="J47" s="48">
        <f>IF(ISERROR($E$127),"",$E$127)</f>
        <v>1556</v>
      </c>
      <c r="K47" s="12" t="str">
        <f t="shared" ref="K47:K50" si="6">IF(ISERROR(J47/$J$51),"",J47/$J$51)</f>
        <v/>
      </c>
      <c r="L47" s="41"/>
      <c r="M47" s="41"/>
      <c r="N47" s="41"/>
      <c r="O47" s="41"/>
      <c r="P47" s="41"/>
      <c r="Q47" s="41"/>
      <c r="R47" s="41"/>
      <c r="S47" s="41"/>
    </row>
    <row r="48" spans="1:19" ht="30" customHeight="1" thickTop="1" thickBot="1">
      <c r="A48" s="103"/>
      <c r="B48" s="41"/>
      <c r="C48" s="11">
        <v>4552</v>
      </c>
      <c r="D48" s="63" t="s">
        <v>363</v>
      </c>
      <c r="E48" s="64"/>
      <c r="F48" s="12" t="str">
        <f>IF(ISERROR(E48/$E$47),"",E48/$E$47)</f>
        <v/>
      </c>
      <c r="G48" s="41"/>
      <c r="H48" s="10">
        <v>5730</v>
      </c>
      <c r="I48" s="51" t="s">
        <v>421</v>
      </c>
      <c r="J48" s="48">
        <f>IF(ISERROR($E$137),"",$E$137)</f>
        <v>0</v>
      </c>
      <c r="K48" s="12" t="str">
        <f t="shared" si="6"/>
        <v/>
      </c>
      <c r="L48" s="41"/>
      <c r="M48" s="41"/>
      <c r="N48" s="41"/>
      <c r="O48" s="41"/>
      <c r="P48" s="41"/>
      <c r="Q48" s="41"/>
      <c r="R48" s="41"/>
      <c r="S48" s="41"/>
    </row>
    <row r="49" spans="1:19" s="1" customFormat="1" ht="30" customHeight="1" thickTop="1" thickBot="1">
      <c r="A49" s="103"/>
      <c r="B49" s="41"/>
      <c r="C49" s="11">
        <v>4553</v>
      </c>
      <c r="D49" s="63" t="s">
        <v>364</v>
      </c>
      <c r="E49" s="64"/>
      <c r="F49" s="12" t="str">
        <f t="shared" ref="F49:F56" si="7">IF(ISERROR(E49/$E$47),"",E49/$E$47)</f>
        <v/>
      </c>
      <c r="G49" s="41"/>
      <c r="H49" s="10">
        <v>5740</v>
      </c>
      <c r="I49" s="51" t="s">
        <v>431</v>
      </c>
      <c r="J49" s="48">
        <f>IF(ISERROR($E$147),"",$E$147)</f>
        <v>0</v>
      </c>
      <c r="K49" s="12" t="str">
        <f t="shared" si="6"/>
        <v/>
      </c>
      <c r="L49" s="41"/>
      <c r="M49" s="41"/>
      <c r="N49" s="41"/>
      <c r="O49" s="41"/>
      <c r="P49" s="41"/>
      <c r="Q49" s="41"/>
      <c r="R49" s="41"/>
      <c r="S49" s="41"/>
    </row>
    <row r="50" spans="1:19" s="1" customFormat="1" ht="30" customHeight="1" thickTop="1" thickBot="1">
      <c r="A50" s="103"/>
      <c r="B50" s="41"/>
      <c r="C50" s="11">
        <v>4554</v>
      </c>
      <c r="D50" s="63" t="s">
        <v>365</v>
      </c>
      <c r="E50" s="64"/>
      <c r="F50" s="12" t="str">
        <f t="shared" si="7"/>
        <v/>
      </c>
      <c r="G50" s="41"/>
      <c r="H50" s="10">
        <v>5750</v>
      </c>
      <c r="I50" s="51" t="s">
        <v>440</v>
      </c>
      <c r="J50" s="48">
        <f>IF(ISERROR($E$157),"",$E$157)</f>
        <v>64266</v>
      </c>
      <c r="K50" s="12" t="str">
        <f t="shared" si="6"/>
        <v/>
      </c>
      <c r="L50" s="41"/>
      <c r="M50" s="41"/>
      <c r="N50" s="41"/>
      <c r="O50" s="41"/>
      <c r="P50" s="41"/>
      <c r="Q50" s="41"/>
      <c r="R50" s="41"/>
      <c r="S50" s="41"/>
    </row>
    <row r="51" spans="1:19" s="1" customFormat="1" ht="30" customHeight="1" thickTop="1" thickBot="1">
      <c r="A51" s="103"/>
      <c r="B51" s="41"/>
      <c r="C51" s="11">
        <v>4555</v>
      </c>
      <c r="D51" s="63" t="s">
        <v>366</v>
      </c>
      <c r="E51" s="64"/>
      <c r="F51" s="12" t="str">
        <f t="shared" si="7"/>
        <v/>
      </c>
      <c r="G51" s="41"/>
      <c r="H51" s="10">
        <v>5760</v>
      </c>
      <c r="I51" s="51" t="s">
        <v>448</v>
      </c>
      <c r="J51" s="48">
        <f>IF(ISERROR($E$167),"",$E$167)</f>
        <v>0</v>
      </c>
      <c r="K51" s="12" t="str">
        <f>IF(ISERROR(J51/$J$51),"",J51/$J$51)</f>
        <v/>
      </c>
      <c r="L51" s="41"/>
      <c r="M51" s="41"/>
      <c r="N51" s="41"/>
      <c r="O51" s="41"/>
      <c r="P51" s="41"/>
      <c r="Q51" s="41"/>
      <c r="R51" s="41"/>
      <c r="S51" s="41"/>
    </row>
    <row r="52" spans="1:19" s="1" customFormat="1" ht="30" customHeight="1" thickTop="1" thickBot="1">
      <c r="A52" s="103"/>
      <c r="B52" s="41"/>
      <c r="C52" s="11">
        <v>4556</v>
      </c>
      <c r="D52" s="63"/>
      <c r="E52" s="64"/>
      <c r="F52" s="12" t="str">
        <f t="shared" si="7"/>
        <v/>
      </c>
      <c r="G52" s="41"/>
      <c r="H52" s="10">
        <v>5770</v>
      </c>
      <c r="I52" s="51" t="s">
        <v>450</v>
      </c>
      <c r="J52" s="48">
        <f>IF(ISERROR($E$177),"",$E$177)</f>
        <v>0</v>
      </c>
      <c r="K52" s="12" t="str">
        <f>IF(ISERROR(J52/$J$51),"",J52/$J$51)</f>
        <v/>
      </c>
      <c r="L52" s="41"/>
      <c r="M52" s="41"/>
      <c r="N52" s="41"/>
      <c r="O52" s="41"/>
      <c r="P52" s="41"/>
      <c r="Q52" s="41"/>
      <c r="R52" s="41"/>
      <c r="S52" s="41"/>
    </row>
    <row r="53" spans="1:19" s="1" customFormat="1" ht="30" customHeight="1" thickTop="1" thickBot="1">
      <c r="A53" s="103"/>
      <c r="B53" s="41"/>
      <c r="C53" s="11">
        <v>4557</v>
      </c>
      <c r="D53" s="63"/>
      <c r="E53" s="64"/>
      <c r="F53" s="12" t="str">
        <f t="shared" si="7"/>
        <v/>
      </c>
      <c r="G53" s="41"/>
      <c r="H53" s="10">
        <v>5780</v>
      </c>
      <c r="I53" s="51" t="s">
        <v>451</v>
      </c>
      <c r="J53" s="48">
        <f>IF(ISERROR($E$187),"",$E$187)</f>
        <v>0</v>
      </c>
      <c r="K53" s="12" t="str">
        <f>IF(ISERROR(J53/$J$51),"",J53/$J$51)</f>
        <v/>
      </c>
      <c r="L53" s="41"/>
      <c r="M53" s="41"/>
      <c r="N53" s="41"/>
      <c r="O53" s="41"/>
      <c r="P53" s="41"/>
      <c r="Q53" s="41"/>
      <c r="R53" s="41"/>
      <c r="S53" s="41"/>
    </row>
    <row r="54" spans="1:19" s="1" customFormat="1" ht="30" customHeight="1" thickTop="1" thickBot="1">
      <c r="A54" s="103"/>
      <c r="B54" s="41"/>
      <c r="C54" s="11">
        <v>4558</v>
      </c>
      <c r="D54" s="63"/>
      <c r="E54" s="64"/>
      <c r="F54" s="12" t="str">
        <f t="shared" si="7"/>
        <v/>
      </c>
      <c r="G54" s="41"/>
      <c r="H54" s="10">
        <v>5790</v>
      </c>
      <c r="I54" s="51" t="s">
        <v>463</v>
      </c>
      <c r="J54" s="48">
        <f>IF(ISERROR($E$197),"",$E$197)</f>
        <v>0</v>
      </c>
      <c r="K54" s="12" t="str">
        <f>IF(ISERROR(J54/$J$51),"",J54/$J$51)</f>
        <v/>
      </c>
      <c r="L54" s="41"/>
      <c r="M54" s="41"/>
      <c r="N54" s="41"/>
      <c r="O54" s="41"/>
      <c r="P54" s="41"/>
      <c r="Q54" s="41"/>
      <c r="R54" s="41"/>
      <c r="S54" s="41"/>
    </row>
    <row r="55" spans="1:19" s="1" customFormat="1" ht="30" customHeight="1" thickTop="1" thickBot="1">
      <c r="A55" s="103"/>
      <c r="B55" s="41"/>
      <c r="C55" s="11">
        <v>4559</v>
      </c>
      <c r="D55" s="63"/>
      <c r="E55" s="64"/>
      <c r="F55" s="12" t="str">
        <f t="shared" si="7"/>
        <v/>
      </c>
      <c r="G55" s="41"/>
      <c r="H55" s="143" t="s">
        <v>34</v>
      </c>
      <c r="I55" s="143"/>
      <c r="J55" s="146">
        <f>IF(ISERROR(SUM($J$46:$J$54)),"",SUM($J$46:$J$54))</f>
        <v>185822</v>
      </c>
      <c r="K55" s="146"/>
      <c r="L55" s="41"/>
      <c r="M55" s="41"/>
      <c r="N55" s="41"/>
      <c r="O55" s="41"/>
      <c r="P55" s="41"/>
      <c r="Q55" s="41"/>
      <c r="R55" s="41"/>
      <c r="S55" s="41"/>
    </row>
    <row r="56" spans="1:19" s="1" customFormat="1" ht="30" customHeight="1" thickTop="1" thickBot="1">
      <c r="A56" s="103"/>
      <c r="B56" s="41"/>
      <c r="C56" s="11">
        <v>4551</v>
      </c>
      <c r="D56" s="63" t="s">
        <v>367</v>
      </c>
      <c r="E56" s="64"/>
      <c r="F56" s="12" t="str">
        <f t="shared" si="7"/>
        <v/>
      </c>
      <c r="G56" s="41"/>
      <c r="H56" s="41"/>
      <c r="I56" s="41"/>
      <c r="J56" s="41"/>
      <c r="K56" s="41"/>
      <c r="L56" s="41"/>
      <c r="M56" s="41"/>
      <c r="N56" s="41"/>
      <c r="O56" s="41"/>
      <c r="P56" s="41"/>
      <c r="Q56" s="41"/>
      <c r="R56" s="41"/>
      <c r="S56" s="41"/>
    </row>
    <row r="57" spans="1:19" s="1" customFormat="1" ht="30" customHeight="1" thickTop="1" thickBot="1">
      <c r="A57" s="103"/>
      <c r="B57" s="41"/>
      <c r="C57" s="10">
        <v>4560</v>
      </c>
      <c r="D57" s="61" t="s">
        <v>386</v>
      </c>
      <c r="E57" s="139">
        <f>IF(ISERROR(SUM(E58:E66)),"",SUM(E58:E66))</f>
        <v>0</v>
      </c>
      <c r="F57" s="144"/>
      <c r="G57" s="41"/>
      <c r="H57" s="128" t="s">
        <v>541</v>
      </c>
      <c r="I57" s="129"/>
      <c r="J57" s="129"/>
      <c r="K57" s="129"/>
      <c r="L57" s="41"/>
      <c r="M57" s="41"/>
      <c r="N57" s="41"/>
      <c r="O57" s="41"/>
      <c r="P57" s="41"/>
      <c r="Q57" s="41"/>
      <c r="R57" s="41"/>
      <c r="S57" s="41"/>
    </row>
    <row r="58" spans="1:19" s="1" customFormat="1" ht="30" customHeight="1" thickTop="1" thickBot="1">
      <c r="A58" s="103"/>
      <c r="B58" s="41"/>
      <c r="C58" s="11">
        <v>4561</v>
      </c>
      <c r="D58" s="63" t="s">
        <v>368</v>
      </c>
      <c r="E58" s="64"/>
      <c r="F58" s="12" t="str">
        <f>IF(ISERROR(E58/$E$57),"",E58/$E$57)</f>
        <v/>
      </c>
      <c r="G58" s="41"/>
      <c r="H58" s="143" t="s">
        <v>34</v>
      </c>
      <c r="I58" s="143"/>
      <c r="J58" s="146">
        <f>IF(ISERROR(SUM($J$7:$J$26)),"",SUM($J$7:$J$26))</f>
        <v>235822</v>
      </c>
      <c r="K58" s="146"/>
      <c r="L58" s="41"/>
      <c r="M58" s="41"/>
      <c r="N58" s="41"/>
      <c r="O58" s="41"/>
      <c r="P58" s="41"/>
      <c r="Q58" s="41"/>
      <c r="R58" s="41"/>
      <c r="S58" s="41"/>
    </row>
    <row r="59" spans="1:19" s="1" customFormat="1" ht="30" customHeight="1" thickTop="1" thickBot="1">
      <c r="A59" s="103"/>
      <c r="B59" s="41"/>
      <c r="C59" s="11">
        <v>4562</v>
      </c>
      <c r="D59" s="63" t="s">
        <v>369</v>
      </c>
      <c r="E59" s="64"/>
      <c r="F59" s="12" t="str">
        <f t="shared" ref="F59:F66" si="8">IF(ISERROR(E59/$E$57),"",E59/$E$57)</f>
        <v/>
      </c>
      <c r="G59" s="41"/>
      <c r="H59" s="41"/>
      <c r="I59" s="41"/>
      <c r="J59" s="41"/>
      <c r="K59" s="41"/>
      <c r="L59" s="41"/>
      <c r="M59" s="41"/>
      <c r="N59" s="41"/>
      <c r="O59" s="41"/>
      <c r="P59" s="41"/>
      <c r="Q59" s="41"/>
      <c r="R59" s="41"/>
      <c r="S59" s="41"/>
    </row>
    <row r="60" spans="1:19" s="1" customFormat="1" ht="30" customHeight="1" thickTop="1" thickBot="1">
      <c r="A60" s="103"/>
      <c r="B60" s="41"/>
      <c r="C60" s="11">
        <v>4563</v>
      </c>
      <c r="D60" s="63" t="s">
        <v>370</v>
      </c>
      <c r="E60" s="64"/>
      <c r="F60" s="12" t="str">
        <f t="shared" si="8"/>
        <v/>
      </c>
      <c r="G60" s="41"/>
      <c r="H60" s="41"/>
      <c r="I60" s="41"/>
      <c r="J60" s="41"/>
      <c r="K60" s="41"/>
      <c r="L60" s="41"/>
      <c r="M60" s="41"/>
      <c r="N60" s="41"/>
      <c r="O60" s="41"/>
      <c r="P60" s="41"/>
      <c r="Q60" s="41"/>
      <c r="R60" s="41"/>
      <c r="S60" s="41"/>
    </row>
    <row r="61" spans="1:19" s="1" customFormat="1" ht="30" customHeight="1" thickTop="1" thickBot="1">
      <c r="A61" s="103"/>
      <c r="B61" s="41"/>
      <c r="C61" s="11">
        <v>4564</v>
      </c>
      <c r="D61" s="63" t="s">
        <v>371</v>
      </c>
      <c r="E61" s="64"/>
      <c r="F61" s="12" t="str">
        <f t="shared" si="8"/>
        <v/>
      </c>
      <c r="G61" s="41"/>
      <c r="H61" s="41"/>
      <c r="I61" s="41"/>
      <c r="J61" s="41"/>
      <c r="K61" s="41"/>
      <c r="L61" s="41"/>
      <c r="M61" s="41"/>
      <c r="N61" s="41"/>
      <c r="O61" s="41"/>
      <c r="P61" s="41"/>
      <c r="Q61" s="41"/>
      <c r="R61" s="41"/>
      <c r="S61" s="41"/>
    </row>
    <row r="62" spans="1:19" s="1" customFormat="1" ht="30" customHeight="1" thickTop="1" thickBot="1">
      <c r="A62" s="103"/>
      <c r="B62" s="41"/>
      <c r="C62" s="11">
        <v>4565</v>
      </c>
      <c r="D62" s="63" t="s">
        <v>372</v>
      </c>
      <c r="E62" s="64"/>
      <c r="F62" s="12" t="str">
        <f t="shared" si="8"/>
        <v/>
      </c>
      <c r="G62" s="41"/>
      <c r="H62" s="41"/>
      <c r="I62" s="41"/>
      <c r="J62" s="41"/>
      <c r="K62" s="41"/>
      <c r="L62" s="41"/>
      <c r="M62" s="41"/>
      <c r="N62" s="41"/>
      <c r="O62" s="41"/>
      <c r="P62" s="41"/>
      <c r="Q62" s="41"/>
      <c r="R62" s="41"/>
      <c r="S62" s="41"/>
    </row>
    <row r="63" spans="1:19" s="1" customFormat="1" ht="30" customHeight="1" thickTop="1" thickBot="1">
      <c r="A63" s="103"/>
      <c r="B63" s="41"/>
      <c r="C63" s="11">
        <v>4566</v>
      </c>
      <c r="D63" s="63"/>
      <c r="E63" s="64"/>
      <c r="F63" s="12" t="str">
        <f t="shared" si="8"/>
        <v/>
      </c>
      <c r="G63" s="41"/>
      <c r="H63" s="41"/>
      <c r="I63" s="41"/>
      <c r="J63" s="41"/>
      <c r="K63" s="41"/>
      <c r="L63" s="41"/>
      <c r="M63" s="41"/>
      <c r="N63" s="41"/>
      <c r="O63" s="41"/>
      <c r="P63" s="41"/>
      <c r="Q63" s="41"/>
      <c r="R63" s="41"/>
      <c r="S63" s="41"/>
    </row>
    <row r="64" spans="1:19" s="1" customFormat="1" ht="30" customHeight="1" thickTop="1" thickBot="1">
      <c r="A64" s="103"/>
      <c r="B64" s="41"/>
      <c r="C64" s="11">
        <v>4567</v>
      </c>
      <c r="D64" s="63"/>
      <c r="E64" s="64"/>
      <c r="F64" s="12" t="str">
        <f t="shared" si="8"/>
        <v/>
      </c>
      <c r="G64" s="41"/>
      <c r="H64" s="41"/>
      <c r="I64" s="41"/>
      <c r="J64" s="41"/>
      <c r="K64" s="41"/>
      <c r="L64" s="41"/>
      <c r="M64" s="41"/>
      <c r="N64" s="41"/>
      <c r="O64" s="41"/>
      <c r="P64" s="41"/>
      <c r="Q64" s="41"/>
      <c r="R64" s="41"/>
      <c r="S64" s="41"/>
    </row>
    <row r="65" spans="1:19" s="1" customFormat="1" ht="30" customHeight="1" thickTop="1" thickBot="1">
      <c r="A65" s="103"/>
      <c r="B65" s="41"/>
      <c r="C65" s="11">
        <v>4568</v>
      </c>
      <c r="D65" s="63"/>
      <c r="E65" s="64"/>
      <c r="F65" s="12" t="str">
        <f t="shared" si="8"/>
        <v/>
      </c>
      <c r="G65" s="41"/>
      <c r="H65" s="41"/>
      <c r="I65" s="41"/>
      <c r="J65" s="41"/>
      <c r="K65" s="41"/>
      <c r="L65" s="41"/>
      <c r="M65" s="41"/>
      <c r="N65" s="41"/>
      <c r="O65" s="41"/>
      <c r="P65" s="41"/>
      <c r="Q65" s="41"/>
      <c r="R65" s="41"/>
      <c r="S65" s="41"/>
    </row>
    <row r="66" spans="1:19" s="1" customFormat="1" ht="30" customHeight="1" thickTop="1" thickBot="1">
      <c r="A66" s="103"/>
      <c r="B66" s="41"/>
      <c r="C66" s="11">
        <v>4569</v>
      </c>
      <c r="D66" s="63" t="s">
        <v>373</v>
      </c>
      <c r="E66" s="64"/>
      <c r="F66" s="12" t="str">
        <f t="shared" si="8"/>
        <v/>
      </c>
      <c r="G66" s="41"/>
      <c r="H66" s="41"/>
      <c r="I66" s="41"/>
      <c r="J66" s="41"/>
      <c r="K66" s="41"/>
      <c r="L66" s="41"/>
      <c r="M66" s="41"/>
      <c r="N66" s="41"/>
      <c r="O66" s="41"/>
      <c r="P66" s="41"/>
      <c r="Q66" s="41"/>
      <c r="R66" s="41"/>
      <c r="S66" s="41"/>
    </row>
    <row r="67" spans="1:19" s="1" customFormat="1" ht="30" customHeight="1" thickTop="1" thickBot="1">
      <c r="A67" s="103"/>
      <c r="B67" s="41"/>
      <c r="C67" s="10">
        <v>4570</v>
      </c>
      <c r="D67" s="61" t="s">
        <v>374</v>
      </c>
      <c r="E67" s="139">
        <f>IF(ISERROR(SUM(E68:E76)),"",SUM(E68:E76))</f>
        <v>0</v>
      </c>
      <c r="F67" s="144"/>
      <c r="G67" s="41"/>
      <c r="H67" s="41"/>
      <c r="I67" s="41"/>
      <c r="J67" s="41"/>
      <c r="K67" s="41"/>
      <c r="L67" s="41"/>
      <c r="M67" s="41"/>
      <c r="N67" s="41"/>
      <c r="O67" s="41"/>
      <c r="P67" s="41"/>
      <c r="Q67" s="41"/>
      <c r="R67" s="41"/>
      <c r="S67" s="41"/>
    </row>
    <row r="68" spans="1:19" s="1" customFormat="1" ht="30" customHeight="1" thickTop="1" thickBot="1">
      <c r="A68" s="103"/>
      <c r="B68" s="41"/>
      <c r="C68" s="11">
        <v>4571</v>
      </c>
      <c r="D68" s="63" t="s">
        <v>375</v>
      </c>
      <c r="E68" s="64"/>
      <c r="F68" s="12" t="str">
        <f>IF(ISERROR(E68/$E$67),"",E68/$E$67)</f>
        <v/>
      </c>
      <c r="G68" s="41"/>
      <c r="H68" s="41"/>
      <c r="I68" s="41"/>
      <c r="J68" s="41"/>
      <c r="K68" s="41"/>
      <c r="L68" s="41"/>
      <c r="M68" s="41"/>
      <c r="N68" s="41"/>
      <c r="O68" s="41"/>
      <c r="P68" s="41"/>
      <c r="Q68" s="41"/>
      <c r="R68" s="41"/>
      <c r="S68" s="41"/>
    </row>
    <row r="69" spans="1:19" s="1" customFormat="1" ht="30" customHeight="1" thickTop="1" thickBot="1">
      <c r="A69" s="103"/>
      <c r="B69" s="41"/>
      <c r="C69" s="11">
        <v>4572</v>
      </c>
      <c r="D69" s="63" t="s">
        <v>376</v>
      </c>
      <c r="E69" s="64"/>
      <c r="F69" s="12" t="str">
        <f t="shared" ref="F69:F76" si="9">IF(ISERROR(E69/$E$67),"",E69/$E$67)</f>
        <v/>
      </c>
      <c r="G69" s="41"/>
      <c r="H69" s="41"/>
      <c r="I69" s="41"/>
      <c r="J69" s="41"/>
      <c r="K69" s="41"/>
      <c r="L69" s="41"/>
      <c r="M69" s="41"/>
      <c r="N69" s="41"/>
      <c r="O69" s="41"/>
      <c r="P69" s="41"/>
      <c r="Q69" s="41"/>
      <c r="R69" s="41"/>
      <c r="S69" s="41"/>
    </row>
    <row r="70" spans="1:19" s="1" customFormat="1" ht="30" customHeight="1" thickTop="1" thickBot="1">
      <c r="A70" s="103"/>
      <c r="B70" s="41"/>
      <c r="C70" s="11">
        <v>4573</v>
      </c>
      <c r="D70" s="63" t="s">
        <v>377</v>
      </c>
      <c r="E70" s="64"/>
      <c r="F70" s="12" t="str">
        <f t="shared" si="9"/>
        <v/>
      </c>
      <c r="G70" s="41"/>
      <c r="H70" s="41"/>
      <c r="I70" s="41"/>
      <c r="J70" s="41"/>
      <c r="K70" s="41"/>
      <c r="L70" s="41"/>
      <c r="M70" s="41"/>
      <c r="N70" s="41"/>
      <c r="O70" s="41"/>
      <c r="P70" s="41"/>
      <c r="Q70" s="41"/>
      <c r="R70" s="41"/>
      <c r="S70" s="41"/>
    </row>
    <row r="71" spans="1:19" s="1" customFormat="1" ht="30" customHeight="1" thickTop="1" thickBot="1">
      <c r="A71" s="103"/>
      <c r="B71" s="41"/>
      <c r="C71" s="11">
        <v>4574</v>
      </c>
      <c r="D71" s="63" t="s">
        <v>378</v>
      </c>
      <c r="E71" s="64"/>
      <c r="F71" s="12" t="str">
        <f t="shared" si="9"/>
        <v/>
      </c>
      <c r="G71" s="41"/>
      <c r="H71" s="41"/>
      <c r="I71" s="41"/>
      <c r="J71" s="41"/>
      <c r="K71" s="41"/>
      <c r="L71" s="41"/>
      <c r="M71" s="41"/>
      <c r="N71" s="41"/>
      <c r="O71" s="41"/>
      <c r="P71" s="41"/>
      <c r="Q71" s="41"/>
      <c r="R71" s="41"/>
      <c r="S71" s="41"/>
    </row>
    <row r="72" spans="1:19" s="1" customFormat="1" ht="30" customHeight="1" thickTop="1" thickBot="1">
      <c r="A72" s="103"/>
      <c r="B72" s="41"/>
      <c r="C72" s="11">
        <v>4575</v>
      </c>
      <c r="D72" s="63" t="s">
        <v>379</v>
      </c>
      <c r="E72" s="64"/>
      <c r="F72" s="12" t="str">
        <f t="shared" si="9"/>
        <v/>
      </c>
      <c r="G72" s="41"/>
      <c r="H72" s="41"/>
      <c r="I72" s="41"/>
      <c r="J72" s="41"/>
      <c r="K72" s="41"/>
      <c r="L72" s="41"/>
      <c r="M72" s="41"/>
      <c r="N72" s="41"/>
      <c r="O72" s="41"/>
      <c r="P72" s="41"/>
      <c r="Q72" s="41"/>
      <c r="R72" s="41"/>
      <c r="S72" s="41"/>
    </row>
    <row r="73" spans="1:19" s="1" customFormat="1" ht="30" customHeight="1" thickTop="1" thickBot="1">
      <c r="A73" s="103"/>
      <c r="B73" s="41"/>
      <c r="C73" s="11">
        <v>4576</v>
      </c>
      <c r="D73" s="63"/>
      <c r="E73" s="64"/>
      <c r="F73" s="12" t="str">
        <f t="shared" si="9"/>
        <v/>
      </c>
      <c r="G73" s="41"/>
      <c r="H73" s="41"/>
      <c r="I73" s="41"/>
      <c r="J73" s="41"/>
      <c r="K73" s="41"/>
      <c r="L73" s="41"/>
      <c r="M73" s="41"/>
      <c r="N73" s="41"/>
      <c r="O73" s="41"/>
      <c r="P73" s="41"/>
      <c r="Q73" s="41"/>
      <c r="R73" s="41"/>
      <c r="S73" s="41"/>
    </row>
    <row r="74" spans="1:19" s="1" customFormat="1" ht="30" customHeight="1" thickTop="1" thickBot="1">
      <c r="A74" s="103"/>
      <c r="B74" s="41"/>
      <c r="C74" s="11">
        <v>4577</v>
      </c>
      <c r="D74" s="63"/>
      <c r="E74" s="64"/>
      <c r="F74" s="12" t="str">
        <f t="shared" si="9"/>
        <v/>
      </c>
      <c r="G74" s="41"/>
      <c r="H74" s="41"/>
      <c r="I74" s="41"/>
      <c r="J74" s="41"/>
      <c r="K74" s="41"/>
      <c r="L74" s="41"/>
      <c r="M74" s="41"/>
      <c r="N74" s="41"/>
      <c r="O74" s="41"/>
      <c r="P74" s="41"/>
      <c r="Q74" s="41"/>
      <c r="R74" s="41"/>
      <c r="S74" s="41"/>
    </row>
    <row r="75" spans="1:19" s="1" customFormat="1" ht="30" customHeight="1" thickTop="1" thickBot="1">
      <c r="A75" s="103"/>
      <c r="B75" s="41"/>
      <c r="C75" s="11">
        <v>4578</v>
      </c>
      <c r="D75" s="63"/>
      <c r="E75" s="64"/>
      <c r="F75" s="12" t="str">
        <f t="shared" si="9"/>
        <v/>
      </c>
      <c r="G75" s="41"/>
      <c r="H75" s="41"/>
      <c r="I75" s="41"/>
      <c r="J75" s="41"/>
      <c r="K75" s="41"/>
      <c r="L75" s="41"/>
      <c r="M75" s="41"/>
      <c r="N75" s="41"/>
      <c r="O75" s="41"/>
      <c r="P75" s="41"/>
      <c r="Q75" s="41"/>
      <c r="R75" s="41"/>
      <c r="S75" s="41"/>
    </row>
    <row r="76" spans="1:19" s="1" customFormat="1" ht="30" customHeight="1" thickTop="1" thickBot="1">
      <c r="A76" s="103"/>
      <c r="B76" s="41"/>
      <c r="C76" s="11">
        <v>4579</v>
      </c>
      <c r="D76" s="63" t="s">
        <v>380</v>
      </c>
      <c r="E76" s="64"/>
      <c r="F76" s="12" t="str">
        <f t="shared" si="9"/>
        <v/>
      </c>
      <c r="G76" s="41"/>
      <c r="H76" s="41"/>
      <c r="I76" s="41"/>
      <c r="J76" s="41"/>
      <c r="K76" s="41"/>
      <c r="L76" s="41"/>
      <c r="M76" s="41"/>
      <c r="N76" s="41"/>
      <c r="O76" s="41"/>
      <c r="P76" s="41"/>
      <c r="Q76" s="41"/>
      <c r="R76" s="41"/>
      <c r="S76" s="41"/>
    </row>
    <row r="77" spans="1:19" s="1" customFormat="1" ht="30" customHeight="1" thickTop="1" thickBot="1">
      <c r="A77" s="103"/>
      <c r="B77" s="41"/>
      <c r="C77" s="10">
        <v>4580</v>
      </c>
      <c r="D77" s="61" t="s">
        <v>381</v>
      </c>
      <c r="E77" s="139">
        <f>IF(ISERROR(SUM(E78:E86)),"",SUM(E78:E86))</f>
        <v>0</v>
      </c>
      <c r="F77" s="144"/>
      <c r="G77" s="41"/>
      <c r="H77" s="41"/>
      <c r="I77" s="41"/>
      <c r="J77" s="41"/>
      <c r="K77" s="41"/>
      <c r="L77" s="41"/>
      <c r="M77" s="41"/>
      <c r="N77" s="41"/>
      <c r="O77" s="41"/>
      <c r="P77" s="41"/>
      <c r="Q77" s="41"/>
      <c r="R77" s="41"/>
      <c r="S77" s="41"/>
    </row>
    <row r="78" spans="1:19" s="1" customFormat="1" ht="30" customHeight="1" thickTop="1" thickBot="1">
      <c r="A78" s="103"/>
      <c r="B78" s="41"/>
      <c r="C78" s="11">
        <v>4581</v>
      </c>
      <c r="D78" s="63" t="s">
        <v>381</v>
      </c>
      <c r="E78" s="64"/>
      <c r="F78" s="12" t="str">
        <f>IF(ISERROR(E78/$E$77),"",E78/$E$77)</f>
        <v/>
      </c>
      <c r="G78" s="41"/>
      <c r="H78" s="41"/>
      <c r="I78" s="41"/>
      <c r="J78" s="41"/>
      <c r="K78" s="41"/>
      <c r="L78" s="41"/>
      <c r="M78" s="41"/>
      <c r="N78" s="41"/>
      <c r="O78" s="41"/>
      <c r="P78" s="41"/>
      <c r="Q78" s="41"/>
      <c r="R78" s="41"/>
      <c r="S78" s="41"/>
    </row>
    <row r="79" spans="1:19" s="1" customFormat="1" ht="30" customHeight="1" thickTop="1" thickBot="1">
      <c r="A79" s="103"/>
      <c r="B79" s="41"/>
      <c r="C79" s="11">
        <v>4582</v>
      </c>
      <c r="D79" s="63" t="s">
        <v>382</v>
      </c>
      <c r="E79" s="64"/>
      <c r="F79" s="12" t="str">
        <f t="shared" ref="F79:F85" si="10">IF(ISERROR(E79/$E$77),"",E79/$E$77)</f>
        <v/>
      </c>
      <c r="G79" s="41"/>
      <c r="H79" s="41"/>
      <c r="I79" s="41"/>
      <c r="J79" s="41"/>
      <c r="K79" s="41"/>
      <c r="L79" s="41"/>
      <c r="M79" s="41"/>
      <c r="N79" s="41"/>
      <c r="O79" s="41"/>
      <c r="P79" s="41"/>
      <c r="Q79" s="41"/>
      <c r="R79" s="41"/>
      <c r="S79" s="41"/>
    </row>
    <row r="80" spans="1:19" s="1" customFormat="1" ht="30" customHeight="1" thickTop="1" thickBot="1">
      <c r="A80" s="103"/>
      <c r="B80" s="41"/>
      <c r="C80" s="11">
        <v>4583</v>
      </c>
      <c r="D80" s="63"/>
      <c r="E80" s="64"/>
      <c r="F80" s="12" t="str">
        <f t="shared" si="10"/>
        <v/>
      </c>
      <c r="G80" s="41"/>
      <c r="H80" s="41"/>
      <c r="I80" s="41"/>
      <c r="J80" s="41"/>
      <c r="K80" s="41"/>
      <c r="L80" s="41"/>
      <c r="M80" s="41"/>
      <c r="N80" s="41"/>
      <c r="O80" s="41"/>
      <c r="P80" s="41"/>
      <c r="Q80" s="41"/>
      <c r="R80" s="41"/>
      <c r="S80" s="41"/>
    </row>
    <row r="81" spans="1:19" s="1" customFormat="1" ht="30" customHeight="1" thickTop="1" thickBot="1">
      <c r="A81" s="103"/>
      <c r="B81" s="41"/>
      <c r="C81" s="11">
        <v>4584</v>
      </c>
      <c r="D81" s="63"/>
      <c r="E81" s="64"/>
      <c r="F81" s="12" t="str">
        <f t="shared" si="10"/>
        <v/>
      </c>
      <c r="G81" s="41"/>
      <c r="H81" s="41"/>
      <c r="I81" s="41"/>
      <c r="J81" s="41"/>
      <c r="K81" s="41"/>
      <c r="L81" s="41"/>
      <c r="M81" s="41"/>
      <c r="N81" s="41"/>
      <c r="O81" s="41"/>
      <c r="P81" s="41"/>
      <c r="Q81" s="41"/>
      <c r="R81" s="41"/>
      <c r="S81" s="41"/>
    </row>
    <row r="82" spans="1:19" s="1" customFormat="1" ht="30" customHeight="1" thickTop="1" thickBot="1">
      <c r="A82" s="103"/>
      <c r="B82" s="41"/>
      <c r="C82" s="11">
        <v>4585</v>
      </c>
      <c r="D82" s="63"/>
      <c r="E82" s="64"/>
      <c r="F82" s="12" t="str">
        <f t="shared" si="10"/>
        <v/>
      </c>
      <c r="G82" s="41"/>
      <c r="H82" s="41"/>
      <c r="I82" s="41"/>
      <c r="J82" s="41"/>
      <c r="K82" s="41"/>
      <c r="L82" s="41"/>
      <c r="M82" s="41"/>
      <c r="N82" s="41"/>
      <c r="O82" s="41"/>
      <c r="P82" s="41"/>
      <c r="Q82" s="41"/>
      <c r="R82" s="41"/>
      <c r="S82" s="41"/>
    </row>
    <row r="83" spans="1:19" s="1" customFormat="1" ht="30" customHeight="1" thickTop="1" thickBot="1">
      <c r="A83" s="103"/>
      <c r="B83" s="41"/>
      <c r="C83" s="11">
        <v>4586</v>
      </c>
      <c r="D83" s="63"/>
      <c r="E83" s="64"/>
      <c r="F83" s="12" t="str">
        <f t="shared" si="10"/>
        <v/>
      </c>
      <c r="G83" s="41"/>
      <c r="H83" s="41"/>
      <c r="I83" s="41"/>
      <c r="J83" s="41"/>
      <c r="K83" s="41"/>
      <c r="L83" s="41"/>
      <c r="M83" s="41"/>
      <c r="N83" s="41"/>
      <c r="O83" s="41"/>
      <c r="P83" s="41"/>
      <c r="Q83" s="41"/>
      <c r="R83" s="41"/>
      <c r="S83" s="41"/>
    </row>
    <row r="84" spans="1:19" s="1" customFormat="1" ht="30" customHeight="1" thickTop="1" thickBot="1">
      <c r="A84" s="103"/>
      <c r="B84" s="41"/>
      <c r="C84" s="11">
        <v>4587</v>
      </c>
      <c r="D84" s="63"/>
      <c r="E84" s="64"/>
      <c r="F84" s="12" t="str">
        <f t="shared" si="10"/>
        <v/>
      </c>
      <c r="G84" s="41"/>
      <c r="H84" s="41"/>
      <c r="I84" s="41"/>
      <c r="J84" s="41"/>
      <c r="K84" s="41"/>
      <c r="L84" s="41"/>
      <c r="M84" s="41"/>
      <c r="N84" s="41"/>
      <c r="O84" s="41"/>
      <c r="P84" s="41"/>
      <c r="Q84" s="41"/>
      <c r="R84" s="41"/>
      <c r="S84" s="41"/>
    </row>
    <row r="85" spans="1:19" s="1" customFormat="1" ht="30" customHeight="1" thickTop="1" thickBot="1">
      <c r="A85" s="103"/>
      <c r="B85" s="41"/>
      <c r="C85" s="11">
        <v>4588</v>
      </c>
      <c r="D85" s="63"/>
      <c r="E85" s="64"/>
      <c r="F85" s="12" t="str">
        <f t="shared" si="10"/>
        <v/>
      </c>
      <c r="G85" s="41"/>
      <c r="H85" s="41"/>
      <c r="I85" s="41"/>
      <c r="J85" s="41"/>
      <c r="K85" s="41"/>
      <c r="L85" s="41"/>
      <c r="M85" s="41"/>
      <c r="N85" s="41"/>
      <c r="O85" s="41"/>
      <c r="P85" s="41"/>
      <c r="Q85" s="41"/>
      <c r="R85" s="41"/>
      <c r="S85" s="41"/>
    </row>
    <row r="86" spans="1:19" s="1" customFormat="1" ht="30" customHeight="1" thickTop="1" thickBot="1">
      <c r="A86" s="103"/>
      <c r="B86" s="41"/>
      <c r="C86" s="11">
        <v>4589</v>
      </c>
      <c r="D86" s="63"/>
      <c r="E86" s="64"/>
      <c r="F86" s="12" t="str">
        <f>IF(ISERROR(E86/$E$77),"",E86/$E$77)</f>
        <v/>
      </c>
      <c r="G86" s="41"/>
      <c r="H86" s="41"/>
      <c r="I86" s="41"/>
      <c r="J86" s="41"/>
      <c r="K86" s="41"/>
      <c r="L86" s="41"/>
      <c r="M86" s="41"/>
      <c r="N86" s="41"/>
      <c r="O86" s="41"/>
      <c r="P86" s="41"/>
      <c r="Q86" s="41"/>
      <c r="R86" s="41"/>
      <c r="S86" s="41"/>
    </row>
    <row r="87" spans="1:19" s="1" customFormat="1" ht="30" customHeight="1" thickTop="1" thickBot="1">
      <c r="A87" s="103"/>
      <c r="B87" s="41"/>
      <c r="C87" s="10">
        <v>4590</v>
      </c>
      <c r="D87" s="61" t="s">
        <v>383</v>
      </c>
      <c r="E87" s="139">
        <f>IF(ISERROR(SUM(E88:E96)),"",SUM(E88:E96))</f>
        <v>0</v>
      </c>
      <c r="F87" s="144"/>
      <c r="G87" s="41"/>
      <c r="H87" s="41"/>
      <c r="I87" s="41"/>
      <c r="J87" s="41"/>
      <c r="K87" s="41"/>
      <c r="L87" s="41"/>
      <c r="M87" s="41"/>
      <c r="N87" s="41"/>
      <c r="O87" s="41"/>
      <c r="P87" s="41"/>
      <c r="Q87" s="41"/>
      <c r="R87" s="41"/>
      <c r="S87" s="41"/>
    </row>
    <row r="88" spans="1:19" s="1" customFormat="1" ht="30" customHeight="1" thickTop="1" thickBot="1">
      <c r="A88" s="103"/>
      <c r="B88" s="41"/>
      <c r="C88" s="11">
        <v>4591</v>
      </c>
      <c r="D88" s="63"/>
      <c r="E88" s="64"/>
      <c r="F88" s="12" t="str">
        <f>IF(ISERROR(E88/$E$87),"",E88/$E$87)</f>
        <v/>
      </c>
      <c r="G88" s="41"/>
      <c r="H88" s="41"/>
      <c r="I88" s="41"/>
      <c r="J88" s="41"/>
      <c r="K88" s="41"/>
      <c r="L88" s="41"/>
      <c r="M88" s="41"/>
      <c r="N88" s="41"/>
      <c r="O88" s="41"/>
      <c r="P88" s="41"/>
      <c r="Q88" s="41"/>
      <c r="R88" s="41"/>
      <c r="S88" s="41"/>
    </row>
    <row r="89" spans="1:19" s="1" customFormat="1" ht="30" customHeight="1" thickTop="1" thickBot="1">
      <c r="A89" s="103"/>
      <c r="B89" s="41"/>
      <c r="C89" s="11">
        <v>4592</v>
      </c>
      <c r="D89" s="63"/>
      <c r="E89" s="64"/>
      <c r="F89" s="12" t="str">
        <f t="shared" ref="F89:F95" si="11">IF(ISERROR(E89/$E$87),"",E89/$E$87)</f>
        <v/>
      </c>
      <c r="G89" s="41"/>
      <c r="H89" s="41"/>
      <c r="I89" s="41"/>
      <c r="J89" s="41"/>
      <c r="K89" s="41"/>
      <c r="L89" s="41"/>
      <c r="M89" s="41"/>
      <c r="N89" s="41"/>
      <c r="O89" s="41"/>
      <c r="P89" s="41"/>
      <c r="Q89" s="41"/>
      <c r="R89" s="41"/>
      <c r="S89" s="41"/>
    </row>
    <row r="90" spans="1:19" s="1" customFormat="1" ht="30" customHeight="1" thickTop="1" thickBot="1">
      <c r="A90" s="103"/>
      <c r="B90" s="41"/>
      <c r="C90" s="11">
        <v>4593</v>
      </c>
      <c r="D90" s="63"/>
      <c r="E90" s="64"/>
      <c r="F90" s="12" t="str">
        <f t="shared" si="11"/>
        <v/>
      </c>
      <c r="G90" s="41"/>
      <c r="H90" s="41"/>
      <c r="I90" s="41"/>
      <c r="J90" s="41"/>
      <c r="K90" s="41"/>
      <c r="L90" s="41"/>
      <c r="M90" s="41"/>
      <c r="N90" s="41"/>
      <c r="O90" s="41"/>
      <c r="P90" s="41"/>
      <c r="Q90" s="41"/>
      <c r="R90" s="41"/>
      <c r="S90" s="41"/>
    </row>
    <row r="91" spans="1:19" s="1" customFormat="1" ht="30" customHeight="1" thickTop="1" thickBot="1">
      <c r="A91" s="103"/>
      <c r="B91" s="41"/>
      <c r="C91" s="11">
        <v>4594</v>
      </c>
      <c r="D91" s="63"/>
      <c r="E91" s="64"/>
      <c r="F91" s="12" t="str">
        <f t="shared" si="11"/>
        <v/>
      </c>
      <c r="G91" s="41"/>
      <c r="H91" s="41"/>
      <c r="I91" s="41"/>
      <c r="J91" s="41"/>
      <c r="K91" s="41"/>
      <c r="L91" s="41"/>
      <c r="M91" s="41"/>
      <c r="N91" s="41"/>
      <c r="O91" s="41"/>
      <c r="P91" s="41"/>
      <c r="Q91" s="41"/>
      <c r="R91" s="41"/>
      <c r="S91" s="41"/>
    </row>
    <row r="92" spans="1:19" s="1" customFormat="1" ht="30" customHeight="1" thickTop="1" thickBot="1">
      <c r="A92" s="103"/>
      <c r="B92" s="41"/>
      <c r="C92" s="11">
        <v>4595</v>
      </c>
      <c r="D92" s="63"/>
      <c r="E92" s="64"/>
      <c r="F92" s="12" t="str">
        <f t="shared" si="11"/>
        <v/>
      </c>
      <c r="G92" s="41"/>
      <c r="H92" s="41"/>
      <c r="I92" s="41"/>
      <c r="J92" s="41"/>
      <c r="K92" s="41"/>
      <c r="L92" s="41"/>
      <c r="M92" s="41"/>
      <c r="N92" s="41"/>
      <c r="O92" s="41"/>
      <c r="P92" s="41"/>
      <c r="Q92" s="41"/>
      <c r="R92" s="41"/>
      <c r="S92" s="41"/>
    </row>
    <row r="93" spans="1:19" s="1" customFormat="1" ht="30" customHeight="1" thickTop="1" thickBot="1">
      <c r="A93" s="103"/>
      <c r="B93" s="41"/>
      <c r="C93" s="11">
        <v>4596</v>
      </c>
      <c r="D93" s="63"/>
      <c r="E93" s="64"/>
      <c r="F93" s="12" t="str">
        <f t="shared" si="11"/>
        <v/>
      </c>
      <c r="G93" s="41"/>
      <c r="H93" s="41"/>
      <c r="I93" s="41"/>
      <c r="J93" s="41"/>
      <c r="K93" s="41"/>
      <c r="L93" s="41"/>
      <c r="M93" s="41"/>
      <c r="N93" s="41"/>
      <c r="O93" s="41"/>
      <c r="P93" s="41"/>
      <c r="Q93" s="41"/>
      <c r="R93" s="41"/>
      <c r="S93" s="41"/>
    </row>
    <row r="94" spans="1:19" s="1" customFormat="1" ht="30" customHeight="1" thickTop="1" thickBot="1">
      <c r="A94" s="103"/>
      <c r="B94" s="41"/>
      <c r="C94" s="11">
        <v>4597</v>
      </c>
      <c r="D94" s="63"/>
      <c r="E94" s="64"/>
      <c r="F94" s="12" t="str">
        <f t="shared" si="11"/>
        <v/>
      </c>
      <c r="G94" s="41"/>
      <c r="H94" s="41"/>
      <c r="I94" s="41"/>
      <c r="J94" s="41"/>
      <c r="K94" s="41"/>
      <c r="L94" s="41"/>
      <c r="M94" s="41"/>
      <c r="N94" s="41"/>
      <c r="O94" s="41"/>
      <c r="P94" s="41"/>
      <c r="Q94" s="41"/>
      <c r="R94" s="41"/>
      <c r="S94" s="41"/>
    </row>
    <row r="95" spans="1:19" s="1" customFormat="1" ht="30" customHeight="1" thickTop="1" thickBot="1">
      <c r="A95" s="103"/>
      <c r="B95" s="41"/>
      <c r="C95" s="11">
        <v>4598</v>
      </c>
      <c r="D95" s="63"/>
      <c r="E95" s="64"/>
      <c r="F95" s="12" t="str">
        <f t="shared" si="11"/>
        <v/>
      </c>
      <c r="G95" s="41"/>
      <c r="H95" s="41"/>
      <c r="I95" s="41"/>
      <c r="J95" s="41"/>
      <c r="K95" s="41"/>
      <c r="L95" s="41"/>
      <c r="M95" s="41"/>
      <c r="N95" s="41"/>
      <c r="O95" s="41"/>
      <c r="P95" s="41"/>
      <c r="Q95" s="41"/>
      <c r="R95" s="41"/>
      <c r="S95" s="41"/>
    </row>
    <row r="96" spans="1:19" s="1" customFormat="1" ht="30" customHeight="1" thickTop="1" thickBot="1">
      <c r="A96" s="103"/>
      <c r="B96" s="41"/>
      <c r="C96" s="11">
        <v>4599</v>
      </c>
      <c r="D96" s="63" t="s">
        <v>384</v>
      </c>
      <c r="E96" s="64"/>
      <c r="F96" s="12" t="str">
        <f>IF(ISERROR(E96/$E$87),"",E96/$E$87)</f>
        <v/>
      </c>
      <c r="G96" s="41"/>
      <c r="H96" s="41"/>
      <c r="I96" s="41"/>
      <c r="J96" s="41"/>
      <c r="K96" s="41"/>
      <c r="L96" s="41"/>
      <c r="M96" s="41"/>
      <c r="N96" s="41"/>
      <c r="O96" s="41"/>
      <c r="P96" s="41"/>
      <c r="Q96" s="41"/>
      <c r="R96" s="41"/>
      <c r="S96" s="41"/>
    </row>
    <row r="97" spans="1:19" s="1" customFormat="1" ht="30" customHeight="1" thickTop="1" thickBot="1">
      <c r="A97" s="103"/>
      <c r="B97" s="41"/>
      <c r="C97" s="10">
        <v>4610</v>
      </c>
      <c r="D97" s="61" t="s">
        <v>400</v>
      </c>
      <c r="E97" s="139">
        <f>IF(ISERROR(SUM(E98:E106)),"",SUM(E98:E106))</f>
        <v>0</v>
      </c>
      <c r="F97" s="144"/>
      <c r="G97" s="41"/>
      <c r="H97" s="41"/>
      <c r="I97" s="41"/>
      <c r="J97" s="41"/>
      <c r="K97" s="41"/>
      <c r="L97" s="41"/>
      <c r="M97" s="41"/>
      <c r="N97" s="41"/>
      <c r="O97" s="41"/>
      <c r="P97" s="41"/>
      <c r="Q97" s="41"/>
      <c r="R97" s="41"/>
      <c r="S97" s="41"/>
    </row>
    <row r="98" spans="1:19" s="1" customFormat="1" ht="30" customHeight="1" thickTop="1" thickBot="1">
      <c r="A98" s="103"/>
      <c r="B98" s="41"/>
      <c r="C98" s="11">
        <v>4611</v>
      </c>
      <c r="D98" s="63" t="s">
        <v>388</v>
      </c>
      <c r="E98" s="64"/>
      <c r="F98" s="12" t="str">
        <f>IF(ISERROR(E98/$E$97),"",E98/$E$97)</f>
        <v/>
      </c>
      <c r="G98" s="41"/>
      <c r="H98" s="41"/>
      <c r="I98" s="41"/>
      <c r="J98" s="41"/>
      <c r="K98" s="41"/>
      <c r="L98" s="41"/>
      <c r="M98" s="41"/>
      <c r="N98" s="41"/>
      <c r="O98" s="41"/>
      <c r="P98" s="41"/>
      <c r="Q98" s="41"/>
      <c r="R98" s="41"/>
      <c r="S98" s="41"/>
    </row>
    <row r="99" spans="1:19" s="1" customFormat="1" ht="30" customHeight="1" thickTop="1" thickBot="1">
      <c r="A99" s="103"/>
      <c r="B99" s="41"/>
      <c r="C99" s="11">
        <v>4612</v>
      </c>
      <c r="D99" s="63" t="s">
        <v>389</v>
      </c>
      <c r="E99" s="64"/>
      <c r="F99" s="12" t="str">
        <f t="shared" ref="F99:F106" si="12">IF(ISERROR(E99/$E$97),"",E99/$E$97)</f>
        <v/>
      </c>
      <c r="G99" s="41"/>
      <c r="H99" s="41"/>
      <c r="I99" s="41"/>
      <c r="J99" s="41"/>
      <c r="K99" s="41"/>
      <c r="L99" s="41"/>
      <c r="M99" s="41"/>
      <c r="N99" s="41"/>
      <c r="O99" s="41"/>
      <c r="P99" s="41"/>
      <c r="Q99" s="41"/>
      <c r="R99" s="41"/>
      <c r="S99" s="41"/>
    </row>
    <row r="100" spans="1:19" s="1" customFormat="1" ht="30" customHeight="1" thickTop="1" thickBot="1">
      <c r="A100" s="103"/>
      <c r="B100" s="41"/>
      <c r="C100" s="11">
        <v>4613</v>
      </c>
      <c r="D100" s="63" t="s">
        <v>390</v>
      </c>
      <c r="E100" s="64"/>
      <c r="F100" s="12" t="str">
        <f t="shared" si="12"/>
        <v/>
      </c>
      <c r="G100" s="41"/>
      <c r="H100" s="41"/>
      <c r="I100" s="41"/>
      <c r="J100" s="41"/>
      <c r="K100" s="41"/>
      <c r="L100" s="41"/>
      <c r="M100" s="41"/>
      <c r="N100" s="41"/>
      <c r="O100" s="41"/>
      <c r="P100" s="41"/>
      <c r="Q100" s="41"/>
      <c r="R100" s="41"/>
      <c r="S100" s="41"/>
    </row>
    <row r="101" spans="1:19" s="1" customFormat="1" ht="33.950000000000003" customHeight="1" thickTop="1" thickBot="1">
      <c r="A101" s="103"/>
      <c r="B101" s="41"/>
      <c r="C101" s="11">
        <v>4614</v>
      </c>
      <c r="D101" s="63" t="s">
        <v>391</v>
      </c>
      <c r="E101" s="64"/>
      <c r="F101" s="12" t="str">
        <f t="shared" si="12"/>
        <v/>
      </c>
      <c r="G101" s="41"/>
      <c r="H101" s="41"/>
      <c r="I101" s="41"/>
      <c r="J101" s="41"/>
      <c r="K101" s="41"/>
      <c r="L101" s="41"/>
      <c r="M101" s="41"/>
      <c r="N101" s="41"/>
      <c r="O101" s="41"/>
      <c r="P101" s="41"/>
      <c r="Q101" s="41"/>
      <c r="R101" s="41"/>
      <c r="S101" s="41"/>
    </row>
    <row r="102" spans="1:19" s="1" customFormat="1" ht="33.950000000000003" customHeight="1" thickTop="1" thickBot="1">
      <c r="A102" s="103"/>
      <c r="B102" s="41"/>
      <c r="C102" s="11">
        <v>4615</v>
      </c>
      <c r="D102" s="63" t="s">
        <v>392</v>
      </c>
      <c r="E102" s="64"/>
      <c r="F102" s="12" t="str">
        <f t="shared" si="12"/>
        <v/>
      </c>
      <c r="G102" s="41"/>
      <c r="H102" s="41"/>
      <c r="I102" s="41"/>
      <c r="J102" s="41"/>
      <c r="K102" s="41"/>
      <c r="L102" s="41"/>
      <c r="M102" s="41"/>
      <c r="N102" s="41"/>
      <c r="O102" s="41"/>
      <c r="P102" s="41"/>
      <c r="Q102" s="41"/>
      <c r="R102" s="41"/>
      <c r="S102" s="41"/>
    </row>
    <row r="103" spans="1:19" s="1" customFormat="1" ht="33.950000000000003" customHeight="1" thickTop="1" thickBot="1">
      <c r="A103" s="103"/>
      <c r="B103" s="41"/>
      <c r="C103" s="11">
        <v>4616</v>
      </c>
      <c r="D103" s="63"/>
      <c r="E103" s="64"/>
      <c r="F103" s="12" t="str">
        <f t="shared" si="12"/>
        <v/>
      </c>
      <c r="G103" s="41"/>
      <c r="H103" s="41"/>
      <c r="I103" s="41"/>
      <c r="J103" s="41"/>
      <c r="K103" s="41"/>
      <c r="L103" s="41"/>
      <c r="M103" s="41"/>
      <c r="N103" s="41"/>
      <c r="O103" s="41"/>
      <c r="P103" s="41"/>
      <c r="Q103" s="41"/>
      <c r="R103" s="41"/>
      <c r="S103" s="41"/>
    </row>
    <row r="104" spans="1:19" s="1" customFormat="1" ht="33.950000000000003" customHeight="1" thickTop="1" thickBot="1">
      <c r="A104" s="103"/>
      <c r="B104" s="41"/>
      <c r="C104" s="11">
        <v>4617</v>
      </c>
      <c r="D104" s="63"/>
      <c r="E104" s="64"/>
      <c r="F104" s="12" t="str">
        <f t="shared" si="12"/>
        <v/>
      </c>
      <c r="G104" s="41"/>
      <c r="H104" s="41"/>
      <c r="I104" s="41"/>
      <c r="J104" s="41"/>
      <c r="K104" s="41"/>
      <c r="L104" s="41"/>
      <c r="M104" s="41"/>
      <c r="N104" s="41"/>
      <c r="O104" s="41"/>
      <c r="P104" s="41"/>
      <c r="Q104" s="41"/>
      <c r="R104" s="41"/>
      <c r="S104" s="41"/>
    </row>
    <row r="105" spans="1:19" s="1" customFormat="1" ht="33.950000000000003" customHeight="1" thickTop="1" thickBot="1">
      <c r="A105" s="103"/>
      <c r="B105" s="41"/>
      <c r="C105" s="11">
        <v>4618</v>
      </c>
      <c r="D105" s="63"/>
      <c r="E105" s="64"/>
      <c r="F105" s="12" t="str">
        <f t="shared" si="12"/>
        <v/>
      </c>
      <c r="G105" s="41"/>
      <c r="H105" s="41"/>
      <c r="I105" s="41"/>
      <c r="J105" s="41"/>
      <c r="K105" s="41"/>
      <c r="L105" s="41"/>
      <c r="M105" s="41"/>
      <c r="N105" s="41"/>
      <c r="O105" s="41"/>
      <c r="P105" s="41"/>
      <c r="Q105" s="41"/>
      <c r="R105" s="41"/>
      <c r="S105" s="41"/>
    </row>
    <row r="106" spans="1:19" s="1" customFormat="1" ht="33.950000000000003" customHeight="1" thickTop="1" thickBot="1">
      <c r="A106" s="103"/>
      <c r="B106" s="41"/>
      <c r="C106" s="11">
        <v>4619</v>
      </c>
      <c r="D106" s="63" t="s">
        <v>393</v>
      </c>
      <c r="E106" s="64"/>
      <c r="F106" s="12" t="str">
        <f t="shared" si="12"/>
        <v/>
      </c>
      <c r="G106" s="41"/>
      <c r="H106" s="41"/>
      <c r="I106" s="41"/>
      <c r="J106" s="41"/>
      <c r="K106" s="41"/>
      <c r="L106" s="41"/>
      <c r="M106" s="41"/>
      <c r="N106" s="41"/>
      <c r="O106" s="41"/>
      <c r="P106" s="41"/>
      <c r="Q106" s="41"/>
      <c r="R106" s="41"/>
      <c r="S106" s="41"/>
    </row>
    <row r="107" spans="1:19" s="1" customFormat="1" ht="33.950000000000003" customHeight="1" thickTop="1" thickBot="1">
      <c r="A107" s="103"/>
      <c r="B107" s="41"/>
      <c r="C107" s="10">
        <v>4620</v>
      </c>
      <c r="D107" s="61" t="s">
        <v>394</v>
      </c>
      <c r="E107" s="139">
        <f>IF(ISERROR(SUM(E108:E116)),"",SUM(E108:E116))</f>
        <v>0</v>
      </c>
      <c r="F107" s="144"/>
      <c r="G107" s="41"/>
      <c r="H107" s="41"/>
      <c r="I107" s="41"/>
      <c r="J107" s="41"/>
      <c r="K107" s="41"/>
      <c r="L107" s="41"/>
      <c r="M107" s="41"/>
      <c r="N107" s="41"/>
      <c r="O107" s="41"/>
      <c r="P107" s="41"/>
      <c r="Q107" s="41"/>
      <c r="R107" s="41"/>
      <c r="S107" s="41"/>
    </row>
    <row r="108" spans="1:19" s="1" customFormat="1" ht="33.950000000000003" customHeight="1" thickTop="1" thickBot="1">
      <c r="A108" s="103"/>
      <c r="B108" s="41"/>
      <c r="C108" s="11">
        <v>4621</v>
      </c>
      <c r="D108" s="63" t="s">
        <v>395</v>
      </c>
      <c r="E108" s="64"/>
      <c r="F108" s="12" t="str">
        <f>IF(ISERROR(E108/$E$107),"",E108/$E$107)</f>
        <v/>
      </c>
      <c r="G108" s="41"/>
      <c r="H108" s="41"/>
      <c r="I108" s="41"/>
      <c r="J108" s="41"/>
      <c r="K108" s="41"/>
      <c r="L108" s="41"/>
      <c r="M108" s="41"/>
      <c r="N108" s="41"/>
      <c r="O108" s="41"/>
      <c r="P108" s="41"/>
      <c r="Q108" s="41"/>
      <c r="R108" s="41"/>
      <c r="S108" s="41"/>
    </row>
    <row r="109" spans="1:19" s="1" customFormat="1" ht="33.950000000000003" customHeight="1" thickTop="1" thickBot="1">
      <c r="A109" s="103"/>
      <c r="B109" s="41"/>
      <c r="C109" s="11">
        <v>4622</v>
      </c>
      <c r="D109" s="63" t="s">
        <v>396</v>
      </c>
      <c r="E109" s="64"/>
      <c r="F109" s="12" t="str">
        <f t="shared" ref="F109:F116" si="13">IF(ISERROR(E109/$E$107),"",E109/$E$107)</f>
        <v/>
      </c>
      <c r="G109" s="41"/>
      <c r="H109" s="41"/>
      <c r="I109" s="41"/>
      <c r="J109" s="41"/>
      <c r="K109" s="41"/>
      <c r="L109" s="41"/>
      <c r="M109" s="41"/>
      <c r="N109" s="41"/>
      <c r="O109" s="41"/>
      <c r="P109" s="41"/>
      <c r="Q109" s="41"/>
      <c r="R109" s="41"/>
      <c r="S109" s="41"/>
    </row>
    <row r="110" spans="1:19" s="1" customFormat="1" ht="33.950000000000003" customHeight="1" thickTop="1" thickBot="1">
      <c r="A110" s="103"/>
      <c r="B110" s="41"/>
      <c r="C110" s="11">
        <v>4623</v>
      </c>
      <c r="D110" s="63"/>
      <c r="E110" s="64"/>
      <c r="F110" s="12" t="str">
        <f t="shared" si="13"/>
        <v/>
      </c>
      <c r="G110" s="41"/>
      <c r="H110" s="41"/>
      <c r="I110" s="41"/>
      <c r="J110" s="41"/>
      <c r="K110" s="41"/>
      <c r="L110" s="41"/>
      <c r="M110" s="41"/>
      <c r="N110" s="41"/>
      <c r="O110" s="41"/>
      <c r="P110" s="41"/>
      <c r="Q110" s="41"/>
      <c r="R110" s="41"/>
      <c r="S110" s="41"/>
    </row>
    <row r="111" spans="1:19" s="1" customFormat="1" ht="33.950000000000003" customHeight="1" thickTop="1" thickBot="1">
      <c r="A111" s="103"/>
      <c r="B111" s="41"/>
      <c r="C111" s="11">
        <v>4624</v>
      </c>
      <c r="D111" s="63"/>
      <c r="E111" s="64"/>
      <c r="F111" s="12" t="str">
        <f t="shared" si="13"/>
        <v/>
      </c>
      <c r="G111" s="41"/>
      <c r="H111" s="41"/>
      <c r="I111" s="41"/>
      <c r="J111" s="41"/>
      <c r="K111" s="41"/>
      <c r="L111" s="41"/>
      <c r="M111" s="41"/>
      <c r="N111" s="41"/>
      <c r="O111" s="41"/>
      <c r="P111" s="41"/>
      <c r="Q111" s="41"/>
      <c r="R111" s="41"/>
      <c r="S111" s="41"/>
    </row>
    <row r="112" spans="1:19" s="1" customFormat="1" ht="33.950000000000003" customHeight="1" thickTop="1" thickBot="1">
      <c r="A112" s="103"/>
      <c r="B112" s="41"/>
      <c r="C112" s="11">
        <v>4625</v>
      </c>
      <c r="D112" s="63"/>
      <c r="E112" s="64"/>
      <c r="F112" s="12" t="str">
        <f t="shared" si="13"/>
        <v/>
      </c>
      <c r="G112" s="41"/>
      <c r="H112" s="41"/>
      <c r="I112" s="41"/>
      <c r="J112" s="41"/>
      <c r="K112" s="41"/>
      <c r="L112" s="41"/>
      <c r="M112" s="41"/>
      <c r="N112" s="41"/>
      <c r="O112" s="41"/>
      <c r="P112" s="41"/>
      <c r="Q112" s="41"/>
      <c r="R112" s="41"/>
      <c r="S112" s="41"/>
    </row>
    <row r="113" spans="1:19" s="1" customFormat="1" ht="33.950000000000003" customHeight="1" thickTop="1" thickBot="1">
      <c r="A113" s="103"/>
      <c r="B113" s="41"/>
      <c r="C113" s="11">
        <v>4626</v>
      </c>
      <c r="D113" s="63"/>
      <c r="E113" s="64"/>
      <c r="F113" s="12" t="str">
        <f t="shared" si="13"/>
        <v/>
      </c>
      <c r="G113" s="41"/>
      <c r="H113" s="41"/>
      <c r="I113" s="41"/>
      <c r="J113" s="41"/>
      <c r="K113" s="41"/>
      <c r="L113" s="41"/>
      <c r="M113" s="41"/>
      <c r="N113" s="41"/>
      <c r="O113" s="41"/>
      <c r="P113" s="41"/>
      <c r="Q113" s="41"/>
      <c r="R113" s="41"/>
      <c r="S113" s="41"/>
    </row>
    <row r="114" spans="1:19" s="1" customFormat="1" ht="33.950000000000003" customHeight="1" thickTop="1" thickBot="1">
      <c r="A114" s="103"/>
      <c r="B114" s="41"/>
      <c r="C114" s="11">
        <v>4627</v>
      </c>
      <c r="D114" s="63"/>
      <c r="E114" s="64"/>
      <c r="F114" s="12" t="str">
        <f t="shared" si="13"/>
        <v/>
      </c>
      <c r="G114" s="41"/>
      <c r="H114" s="41"/>
      <c r="I114" s="41"/>
      <c r="J114" s="41"/>
      <c r="K114" s="41"/>
      <c r="L114" s="41"/>
      <c r="M114" s="41"/>
      <c r="N114" s="41"/>
      <c r="O114" s="41"/>
      <c r="P114" s="41"/>
      <c r="Q114" s="41"/>
      <c r="R114" s="41"/>
      <c r="S114" s="41"/>
    </row>
    <row r="115" spans="1:19" s="1" customFormat="1" ht="33.950000000000003" customHeight="1" thickTop="1" thickBot="1">
      <c r="A115" s="103"/>
      <c r="B115" s="41"/>
      <c r="C115" s="11">
        <v>4628</v>
      </c>
      <c r="D115" s="63"/>
      <c r="E115" s="64"/>
      <c r="F115" s="12" t="str">
        <f t="shared" si="13"/>
        <v/>
      </c>
      <c r="G115" s="41"/>
      <c r="H115" s="41"/>
      <c r="I115" s="41"/>
      <c r="J115" s="41"/>
      <c r="K115" s="41"/>
      <c r="L115" s="41"/>
      <c r="M115" s="41"/>
      <c r="N115" s="41"/>
      <c r="O115" s="41"/>
      <c r="P115" s="41"/>
      <c r="Q115" s="41"/>
      <c r="R115" s="41"/>
      <c r="S115" s="41"/>
    </row>
    <row r="116" spans="1:19" s="1" customFormat="1" ht="33.950000000000003" customHeight="1" thickTop="1" thickBot="1">
      <c r="A116" s="103"/>
      <c r="B116" s="41"/>
      <c r="C116" s="11">
        <v>4629</v>
      </c>
      <c r="D116" s="63" t="s">
        <v>397</v>
      </c>
      <c r="E116" s="64"/>
      <c r="F116" s="12" t="str">
        <f t="shared" si="13"/>
        <v/>
      </c>
      <c r="G116" s="41"/>
      <c r="H116" s="41"/>
      <c r="I116" s="41"/>
      <c r="J116" s="41"/>
      <c r="K116" s="41"/>
      <c r="L116" s="41"/>
      <c r="M116" s="41"/>
      <c r="N116" s="41"/>
      <c r="O116" s="41"/>
      <c r="P116" s="41"/>
      <c r="Q116" s="41"/>
      <c r="R116" s="41"/>
      <c r="S116" s="41"/>
    </row>
    <row r="117" spans="1:19" s="1" customFormat="1" ht="33.950000000000003" customHeight="1" thickTop="1" thickBot="1">
      <c r="A117" s="103"/>
      <c r="B117" s="41"/>
      <c r="C117" s="10">
        <v>5710</v>
      </c>
      <c r="D117" s="61" t="s">
        <v>401</v>
      </c>
      <c r="E117" s="139">
        <f>IF(ISERROR(SUM(E118:E126)),"",SUM(E118:E126))</f>
        <v>120000</v>
      </c>
      <c r="F117" s="144"/>
      <c r="G117" s="41"/>
      <c r="H117" s="41"/>
      <c r="I117" s="41"/>
      <c r="J117" s="41"/>
      <c r="K117" s="41"/>
      <c r="L117" s="41"/>
      <c r="M117" s="41"/>
      <c r="N117" s="41"/>
      <c r="O117" s="41"/>
      <c r="P117" s="41"/>
      <c r="Q117" s="41"/>
      <c r="R117" s="41"/>
      <c r="S117" s="41"/>
    </row>
    <row r="118" spans="1:19" s="1" customFormat="1" ht="33.950000000000003" customHeight="1" thickTop="1" thickBot="1">
      <c r="A118" s="103"/>
      <c r="B118" s="41"/>
      <c r="C118" s="11">
        <v>5711</v>
      </c>
      <c r="D118" s="63" t="s">
        <v>403</v>
      </c>
      <c r="E118" s="64"/>
      <c r="F118" s="12">
        <f>IF(ISERROR(E118/$E$117),"",E118/$E$117)</f>
        <v>0</v>
      </c>
      <c r="G118" s="41"/>
      <c r="H118" s="41"/>
      <c r="I118" s="41"/>
      <c r="J118" s="41"/>
      <c r="K118" s="41"/>
      <c r="L118" s="41"/>
      <c r="M118" s="41"/>
      <c r="N118" s="41"/>
      <c r="O118" s="41"/>
      <c r="P118" s="41"/>
      <c r="Q118" s="41"/>
      <c r="R118" s="41"/>
      <c r="S118" s="41"/>
    </row>
    <row r="119" spans="1:19" s="1" customFormat="1" ht="33.950000000000003" customHeight="1" thickTop="1" thickBot="1">
      <c r="A119" s="103"/>
      <c r="B119" s="41"/>
      <c r="C119" s="11">
        <v>5712</v>
      </c>
      <c r="D119" s="63" t="s">
        <v>402</v>
      </c>
      <c r="E119" s="64">
        <v>120000</v>
      </c>
      <c r="F119" s="12">
        <f t="shared" ref="F119:F126" si="14">IF(ISERROR(E119/$E$117),"",E119/$E$117)</f>
        <v>1</v>
      </c>
      <c r="G119" s="41"/>
      <c r="H119" s="41"/>
      <c r="I119" s="41"/>
      <c r="J119" s="41"/>
      <c r="K119" s="41"/>
      <c r="L119" s="41"/>
      <c r="M119" s="41"/>
      <c r="N119" s="41"/>
      <c r="O119" s="41"/>
      <c r="P119" s="41"/>
      <c r="Q119" s="41"/>
      <c r="R119" s="41"/>
      <c r="S119" s="41"/>
    </row>
    <row r="120" spans="1:19" s="1" customFormat="1" ht="33.950000000000003" customHeight="1" thickTop="1" thickBot="1">
      <c r="A120" s="103"/>
      <c r="B120" s="41"/>
      <c r="C120" s="11">
        <v>5713</v>
      </c>
      <c r="D120" s="63" t="s">
        <v>404</v>
      </c>
      <c r="E120" s="64"/>
      <c r="F120" s="12">
        <f t="shared" si="14"/>
        <v>0</v>
      </c>
      <c r="G120" s="41"/>
      <c r="H120" s="41"/>
      <c r="I120" s="41"/>
      <c r="J120" s="41"/>
      <c r="K120" s="41"/>
      <c r="L120" s="41"/>
      <c r="M120" s="41"/>
      <c r="N120" s="41"/>
      <c r="O120" s="41"/>
      <c r="P120" s="41"/>
      <c r="Q120" s="41"/>
      <c r="R120" s="41"/>
      <c r="S120" s="41"/>
    </row>
    <row r="121" spans="1:19" s="1" customFormat="1" ht="33.950000000000003" customHeight="1" thickTop="1" thickBot="1">
      <c r="A121" s="103"/>
      <c r="B121" s="41"/>
      <c r="C121" s="11">
        <v>5714</v>
      </c>
      <c r="D121" s="63" t="s">
        <v>405</v>
      </c>
      <c r="E121" s="64"/>
      <c r="F121" s="12">
        <f t="shared" si="14"/>
        <v>0</v>
      </c>
      <c r="G121" s="41"/>
      <c r="H121" s="41"/>
      <c r="I121" s="41"/>
      <c r="J121" s="41"/>
      <c r="K121" s="41"/>
      <c r="L121" s="41"/>
      <c r="M121" s="41"/>
      <c r="N121" s="41"/>
      <c r="O121" s="41"/>
      <c r="P121" s="41"/>
      <c r="Q121" s="41"/>
      <c r="R121" s="41"/>
      <c r="S121" s="41"/>
    </row>
    <row r="122" spans="1:19" s="1" customFormat="1" ht="33.950000000000003" customHeight="1" thickTop="1" thickBot="1">
      <c r="A122" s="103"/>
      <c r="B122" s="41"/>
      <c r="C122" s="11">
        <v>5715</v>
      </c>
      <c r="D122" s="63" t="s">
        <v>406</v>
      </c>
      <c r="E122" s="64"/>
      <c r="F122" s="12">
        <f t="shared" si="14"/>
        <v>0</v>
      </c>
      <c r="G122" s="41"/>
      <c r="H122" s="41"/>
      <c r="I122" s="41"/>
      <c r="J122" s="41"/>
      <c r="K122" s="41"/>
      <c r="L122" s="41"/>
      <c r="M122" s="41"/>
      <c r="N122" s="41"/>
      <c r="O122" s="41"/>
      <c r="P122" s="41"/>
      <c r="Q122" s="41"/>
      <c r="R122" s="41"/>
      <c r="S122" s="41"/>
    </row>
    <row r="123" spans="1:19" s="1" customFormat="1" ht="33.950000000000003" customHeight="1" thickTop="1" thickBot="1">
      <c r="A123" s="103"/>
      <c r="B123" s="41"/>
      <c r="C123" s="11">
        <v>5716</v>
      </c>
      <c r="D123" s="63" t="s">
        <v>407</v>
      </c>
      <c r="E123" s="64"/>
      <c r="F123" s="12">
        <f t="shared" si="14"/>
        <v>0</v>
      </c>
      <c r="G123" s="41"/>
      <c r="H123" s="41"/>
      <c r="I123" s="41"/>
      <c r="J123" s="41"/>
      <c r="K123" s="41"/>
      <c r="L123" s="41"/>
      <c r="M123" s="41"/>
      <c r="N123" s="41"/>
      <c r="O123" s="41"/>
      <c r="P123" s="41"/>
      <c r="Q123" s="41"/>
      <c r="R123" s="41"/>
      <c r="S123" s="41"/>
    </row>
    <row r="124" spans="1:19" s="1" customFormat="1" ht="33.950000000000003" customHeight="1" thickTop="1" thickBot="1">
      <c r="A124" s="103"/>
      <c r="B124" s="41"/>
      <c r="C124" s="11">
        <v>5717</v>
      </c>
      <c r="D124" s="63" t="s">
        <v>408</v>
      </c>
      <c r="E124" s="64"/>
      <c r="F124" s="12">
        <f t="shared" si="14"/>
        <v>0</v>
      </c>
      <c r="G124" s="41"/>
      <c r="H124" s="41"/>
      <c r="I124" s="41"/>
      <c r="J124" s="41"/>
      <c r="K124" s="41"/>
      <c r="L124" s="41"/>
      <c r="M124" s="41"/>
      <c r="N124" s="41"/>
      <c r="O124" s="41"/>
      <c r="P124" s="41"/>
      <c r="Q124" s="41"/>
      <c r="R124" s="41"/>
      <c r="S124" s="41"/>
    </row>
    <row r="125" spans="1:19" s="1" customFormat="1" ht="33.950000000000003" customHeight="1" thickTop="1" thickBot="1">
      <c r="A125" s="103"/>
      <c r="B125" s="41"/>
      <c r="C125" s="11">
        <v>5718</v>
      </c>
      <c r="D125" s="63" t="s">
        <v>409</v>
      </c>
      <c r="E125" s="64"/>
      <c r="F125" s="12">
        <f t="shared" si="14"/>
        <v>0</v>
      </c>
      <c r="G125" s="41"/>
      <c r="H125" s="41"/>
      <c r="I125" s="41"/>
      <c r="J125" s="41"/>
      <c r="K125" s="41"/>
      <c r="L125" s="41"/>
      <c r="M125" s="41"/>
      <c r="N125" s="41"/>
      <c r="O125" s="41"/>
      <c r="P125" s="41"/>
      <c r="Q125" s="41"/>
      <c r="R125" s="41"/>
      <c r="S125" s="41"/>
    </row>
    <row r="126" spans="1:19" s="1" customFormat="1" ht="33.950000000000003" customHeight="1" thickTop="1" thickBot="1">
      <c r="A126" s="103"/>
      <c r="B126" s="41"/>
      <c r="C126" s="11">
        <v>5719</v>
      </c>
      <c r="D126" s="63" t="s">
        <v>410</v>
      </c>
      <c r="E126" s="64"/>
      <c r="F126" s="12">
        <f t="shared" si="14"/>
        <v>0</v>
      </c>
      <c r="G126" s="41"/>
      <c r="H126" s="41"/>
      <c r="I126" s="41"/>
      <c r="J126" s="41"/>
      <c r="K126" s="41"/>
      <c r="L126" s="41"/>
      <c r="M126" s="41"/>
      <c r="N126" s="41"/>
      <c r="O126" s="41"/>
      <c r="P126" s="41"/>
      <c r="Q126" s="41"/>
      <c r="R126" s="41"/>
      <c r="S126" s="41"/>
    </row>
    <row r="127" spans="1:19" s="1" customFormat="1" ht="33.950000000000003" customHeight="1" thickTop="1" thickBot="1">
      <c r="A127" s="103"/>
      <c r="B127" s="41"/>
      <c r="C127" s="10">
        <v>5720</v>
      </c>
      <c r="D127" s="61" t="s">
        <v>411</v>
      </c>
      <c r="E127" s="139">
        <f>IF(ISERROR(SUM(E128:E136)),"",SUM(E128:E136))</f>
        <v>1556</v>
      </c>
      <c r="F127" s="144"/>
      <c r="G127" s="41"/>
      <c r="H127" s="41"/>
      <c r="I127" s="41"/>
      <c r="J127" s="41"/>
      <c r="K127" s="41"/>
      <c r="L127" s="41"/>
      <c r="M127" s="41"/>
      <c r="N127" s="41"/>
      <c r="O127" s="41"/>
      <c r="P127" s="41"/>
      <c r="Q127" s="41"/>
      <c r="R127" s="41"/>
      <c r="S127" s="41"/>
    </row>
    <row r="128" spans="1:19" s="1" customFormat="1" ht="33.950000000000003" customHeight="1" thickTop="1" thickBot="1">
      <c r="A128" s="103"/>
      <c r="B128" s="41"/>
      <c r="C128" s="11">
        <v>5721</v>
      </c>
      <c r="D128" s="63" t="s">
        <v>412</v>
      </c>
      <c r="E128" s="64"/>
      <c r="F128" s="12">
        <f>IF(ISERROR(E128/$E$127),"",E128/$E$127)</f>
        <v>0</v>
      </c>
      <c r="G128" s="41"/>
      <c r="H128" s="41"/>
      <c r="I128" s="41"/>
      <c r="J128" s="41"/>
      <c r="K128" s="41"/>
      <c r="L128" s="41"/>
      <c r="M128" s="41"/>
      <c r="N128" s="41"/>
      <c r="O128" s="41"/>
      <c r="P128" s="41"/>
      <c r="Q128" s="41"/>
      <c r="R128" s="41"/>
      <c r="S128" s="41"/>
    </row>
    <row r="129" spans="1:19" s="1" customFormat="1" ht="33.950000000000003" customHeight="1" thickTop="1" thickBot="1">
      <c r="A129" s="103"/>
      <c r="B129" s="41"/>
      <c r="C129" s="11">
        <v>5722</v>
      </c>
      <c r="D129" s="63" t="s">
        <v>413</v>
      </c>
      <c r="E129" s="64"/>
      <c r="F129" s="12">
        <f t="shared" ref="F129:F136" si="15">IF(ISERROR(E129/$E$127),"",E129/$E$127)</f>
        <v>0</v>
      </c>
      <c r="G129" s="41"/>
      <c r="H129" s="41"/>
      <c r="I129" s="41"/>
      <c r="J129" s="41"/>
      <c r="K129" s="41"/>
      <c r="L129" s="41"/>
      <c r="M129" s="41"/>
      <c r="N129" s="41"/>
      <c r="O129" s="41"/>
      <c r="P129" s="41"/>
      <c r="Q129" s="41"/>
      <c r="R129" s="41"/>
      <c r="S129" s="41"/>
    </row>
    <row r="130" spans="1:19" s="1" customFormat="1" ht="33.950000000000003" customHeight="1" thickTop="1" thickBot="1">
      <c r="A130" s="103"/>
      <c r="B130" s="41"/>
      <c r="C130" s="11">
        <v>5723</v>
      </c>
      <c r="D130" s="63" t="s">
        <v>414</v>
      </c>
      <c r="E130" s="64"/>
      <c r="F130" s="12">
        <f t="shared" si="15"/>
        <v>0</v>
      </c>
      <c r="G130" s="41"/>
      <c r="H130" s="41"/>
      <c r="I130" s="41"/>
      <c r="J130" s="41"/>
      <c r="K130" s="41"/>
      <c r="L130" s="41"/>
      <c r="M130" s="41"/>
      <c r="N130" s="41"/>
      <c r="O130" s="41"/>
      <c r="P130" s="41"/>
      <c r="Q130" s="41"/>
      <c r="R130" s="41"/>
      <c r="S130" s="41"/>
    </row>
    <row r="131" spans="1:19" s="1" customFormat="1" ht="33.950000000000003" customHeight="1" thickTop="1" thickBot="1">
      <c r="A131" s="103"/>
      <c r="B131" s="41"/>
      <c r="C131" s="11">
        <v>5724</v>
      </c>
      <c r="D131" s="63" t="s">
        <v>415</v>
      </c>
      <c r="E131" s="64">
        <v>1556</v>
      </c>
      <c r="F131" s="12">
        <f t="shared" si="15"/>
        <v>1</v>
      </c>
      <c r="G131" s="41"/>
      <c r="H131" s="41"/>
      <c r="I131" s="41"/>
      <c r="J131" s="41"/>
      <c r="K131" s="41"/>
      <c r="L131" s="41"/>
      <c r="M131" s="41"/>
      <c r="N131" s="41"/>
      <c r="O131" s="41"/>
      <c r="P131" s="41"/>
      <c r="Q131" s="41"/>
      <c r="R131" s="41"/>
      <c r="S131" s="41"/>
    </row>
    <row r="132" spans="1:19" s="1" customFormat="1" ht="33.950000000000003" customHeight="1" thickTop="1" thickBot="1">
      <c r="A132" s="103"/>
      <c r="B132" s="41"/>
      <c r="C132" s="11">
        <v>5725</v>
      </c>
      <c r="D132" s="63" t="s">
        <v>416</v>
      </c>
      <c r="E132" s="64"/>
      <c r="F132" s="12">
        <f t="shared" si="15"/>
        <v>0</v>
      </c>
      <c r="G132" s="41"/>
      <c r="H132" s="41"/>
      <c r="I132" s="41"/>
      <c r="J132" s="41"/>
      <c r="K132" s="41"/>
      <c r="L132" s="41"/>
      <c r="M132" s="41"/>
      <c r="N132" s="41"/>
      <c r="O132" s="41"/>
      <c r="P132" s="41"/>
      <c r="Q132" s="41"/>
      <c r="R132" s="41"/>
      <c r="S132" s="41"/>
    </row>
    <row r="133" spans="1:19" s="1" customFormat="1" ht="33.950000000000003" customHeight="1" thickTop="1" thickBot="1">
      <c r="A133" s="103"/>
      <c r="B133" s="41"/>
      <c r="C133" s="11">
        <v>5726</v>
      </c>
      <c r="D133" s="63" t="s">
        <v>417</v>
      </c>
      <c r="E133" s="64"/>
      <c r="F133" s="12">
        <f t="shared" si="15"/>
        <v>0</v>
      </c>
      <c r="G133" s="41"/>
      <c r="H133" s="41"/>
      <c r="I133" s="41"/>
      <c r="J133" s="41"/>
      <c r="K133" s="41"/>
      <c r="L133" s="41"/>
      <c r="M133" s="41"/>
      <c r="N133" s="41"/>
      <c r="O133" s="41"/>
      <c r="P133" s="41"/>
      <c r="Q133" s="41"/>
      <c r="R133" s="41"/>
      <c r="S133" s="41"/>
    </row>
    <row r="134" spans="1:19" s="1" customFormat="1" ht="33.950000000000003" customHeight="1" thickTop="1" thickBot="1">
      <c r="A134" s="103"/>
      <c r="B134" s="41"/>
      <c r="C134" s="11">
        <v>5727</v>
      </c>
      <c r="D134" s="63" t="s">
        <v>418</v>
      </c>
      <c r="E134" s="64"/>
      <c r="F134" s="12">
        <f t="shared" si="15"/>
        <v>0</v>
      </c>
      <c r="G134" s="41"/>
      <c r="H134" s="41"/>
      <c r="I134" s="41"/>
      <c r="J134" s="41"/>
      <c r="K134" s="41"/>
      <c r="L134" s="41"/>
      <c r="M134" s="41"/>
      <c r="N134" s="41"/>
      <c r="O134" s="41"/>
      <c r="P134" s="41"/>
      <c r="Q134" s="41"/>
      <c r="R134" s="41"/>
      <c r="S134" s="41"/>
    </row>
    <row r="135" spans="1:19" s="1" customFormat="1" ht="33.950000000000003" customHeight="1" thickTop="1" thickBot="1">
      <c r="A135" s="103"/>
      <c r="B135" s="41"/>
      <c r="C135" s="11">
        <v>5728</v>
      </c>
      <c r="D135" s="63" t="s">
        <v>419</v>
      </c>
      <c r="E135" s="64"/>
      <c r="F135" s="12">
        <f t="shared" si="15"/>
        <v>0</v>
      </c>
      <c r="G135" s="41"/>
      <c r="H135" s="41"/>
      <c r="I135" s="41"/>
      <c r="J135" s="41"/>
      <c r="K135" s="41"/>
      <c r="L135" s="41"/>
      <c r="M135" s="41"/>
      <c r="N135" s="41"/>
      <c r="O135" s="41"/>
      <c r="P135" s="41"/>
      <c r="Q135" s="41"/>
      <c r="R135" s="41"/>
      <c r="S135" s="41"/>
    </row>
    <row r="136" spans="1:19" s="1" customFormat="1" ht="33.950000000000003" customHeight="1" thickTop="1" thickBot="1">
      <c r="A136" s="103"/>
      <c r="B136" s="41"/>
      <c r="C136" s="11">
        <v>5729</v>
      </c>
      <c r="D136" s="63" t="s">
        <v>420</v>
      </c>
      <c r="E136" s="64"/>
      <c r="F136" s="12">
        <f t="shared" si="15"/>
        <v>0</v>
      </c>
      <c r="G136" s="41"/>
      <c r="H136" s="41"/>
      <c r="I136" s="41"/>
      <c r="J136" s="41"/>
      <c r="K136" s="41"/>
      <c r="L136" s="41"/>
      <c r="M136" s="41"/>
      <c r="N136" s="41"/>
      <c r="O136" s="41"/>
      <c r="P136" s="41"/>
      <c r="Q136" s="41"/>
      <c r="R136" s="41"/>
      <c r="S136" s="41"/>
    </row>
    <row r="137" spans="1:19" s="1" customFormat="1" ht="33.950000000000003" customHeight="1" thickTop="1" thickBot="1">
      <c r="A137" s="103"/>
      <c r="B137" s="41"/>
      <c r="C137" s="10">
        <v>5730</v>
      </c>
      <c r="D137" s="61" t="s">
        <v>421</v>
      </c>
      <c r="E137" s="139">
        <f>IF(ISERROR(SUM(E138:E146)),"",SUM(E138:E146))</f>
        <v>0</v>
      </c>
      <c r="F137" s="144"/>
      <c r="G137" s="41"/>
      <c r="H137" s="41"/>
      <c r="I137" s="41"/>
      <c r="J137" s="41"/>
      <c r="K137" s="41"/>
      <c r="L137" s="41"/>
      <c r="M137" s="41"/>
      <c r="N137" s="41"/>
      <c r="O137" s="41"/>
      <c r="P137" s="41"/>
      <c r="Q137" s="41"/>
      <c r="R137" s="41"/>
      <c r="S137" s="41"/>
    </row>
    <row r="138" spans="1:19" ht="33.950000000000003" customHeight="1" thickTop="1" thickBot="1">
      <c r="A138" s="103"/>
      <c r="B138" s="41"/>
      <c r="C138" s="11">
        <v>5731</v>
      </c>
      <c r="D138" s="63" t="s">
        <v>422</v>
      </c>
      <c r="E138" s="64"/>
      <c r="F138" s="12" t="str">
        <f>IF(ISERROR(E138/$E$137),"",E138/$E$137)</f>
        <v/>
      </c>
      <c r="G138" s="41"/>
      <c r="H138" s="41"/>
      <c r="I138" s="41"/>
      <c r="J138" s="41"/>
      <c r="K138" s="41"/>
      <c r="L138" s="41"/>
      <c r="M138" s="41"/>
      <c r="N138" s="41"/>
      <c r="O138" s="41"/>
      <c r="P138" s="41"/>
      <c r="Q138" s="41"/>
      <c r="R138" s="41"/>
      <c r="S138" s="41"/>
    </row>
    <row r="139" spans="1:19" ht="33.950000000000003" customHeight="1" thickTop="1" thickBot="1">
      <c r="A139" s="103"/>
      <c r="B139" s="41"/>
      <c r="C139" s="11">
        <v>5732</v>
      </c>
      <c r="D139" s="63" t="s">
        <v>423</v>
      </c>
      <c r="E139" s="64"/>
      <c r="F139" s="12" t="str">
        <f t="shared" ref="F139:F146" si="16">IF(ISERROR(E139/$E$137),"",E139/$E$137)</f>
        <v/>
      </c>
      <c r="G139" s="41"/>
      <c r="H139" s="41"/>
      <c r="I139" s="41"/>
      <c r="J139" s="41"/>
      <c r="K139" s="41"/>
      <c r="L139" s="41"/>
      <c r="M139" s="41"/>
      <c r="N139" s="41"/>
      <c r="O139" s="41"/>
      <c r="P139" s="41"/>
      <c r="Q139" s="41"/>
      <c r="R139" s="41"/>
      <c r="S139" s="41"/>
    </row>
    <row r="140" spans="1:19" ht="33.950000000000003" customHeight="1" thickTop="1" thickBot="1">
      <c r="A140" s="103"/>
      <c r="B140" s="41"/>
      <c r="C140" s="11">
        <v>5733</v>
      </c>
      <c r="D140" s="63" t="s">
        <v>424</v>
      </c>
      <c r="E140" s="64"/>
      <c r="F140" s="12" t="str">
        <f t="shared" si="16"/>
        <v/>
      </c>
      <c r="G140" s="41"/>
      <c r="H140" s="41"/>
      <c r="I140" s="41"/>
      <c r="J140" s="41"/>
      <c r="K140" s="41"/>
      <c r="L140" s="41"/>
      <c r="M140" s="41"/>
      <c r="N140" s="41"/>
      <c r="O140" s="41"/>
      <c r="P140" s="41"/>
      <c r="Q140" s="41"/>
      <c r="R140" s="41"/>
      <c r="S140" s="41"/>
    </row>
    <row r="141" spans="1:19" ht="33.950000000000003" customHeight="1" thickTop="1" thickBot="1">
      <c r="A141" s="103"/>
      <c r="B141" s="41"/>
      <c r="C141" s="11">
        <v>5734</v>
      </c>
      <c r="D141" s="63" t="s">
        <v>425</v>
      </c>
      <c r="E141" s="64"/>
      <c r="F141" s="12" t="str">
        <f t="shared" si="16"/>
        <v/>
      </c>
      <c r="G141" s="41"/>
      <c r="H141" s="41"/>
      <c r="I141" s="41"/>
      <c r="J141" s="41"/>
      <c r="K141" s="41"/>
      <c r="L141" s="41"/>
      <c r="M141" s="41"/>
      <c r="N141" s="41"/>
      <c r="O141" s="41"/>
      <c r="P141" s="41"/>
      <c r="Q141" s="41"/>
      <c r="R141" s="41"/>
      <c r="S141" s="41"/>
    </row>
    <row r="142" spans="1:19" ht="33.950000000000003" customHeight="1" thickTop="1" thickBot="1">
      <c r="A142" s="103"/>
      <c r="B142" s="41"/>
      <c r="C142" s="11">
        <v>5735</v>
      </c>
      <c r="D142" s="63" t="s">
        <v>426</v>
      </c>
      <c r="E142" s="64"/>
      <c r="F142" s="12" t="str">
        <f t="shared" si="16"/>
        <v/>
      </c>
      <c r="G142" s="41"/>
      <c r="H142" s="41"/>
      <c r="I142" s="41"/>
      <c r="J142" s="41"/>
      <c r="K142" s="41"/>
      <c r="L142" s="41"/>
      <c r="M142" s="41"/>
      <c r="N142" s="41"/>
      <c r="O142" s="41"/>
      <c r="P142" s="41"/>
      <c r="Q142" s="41"/>
      <c r="R142" s="41"/>
      <c r="S142" s="41"/>
    </row>
    <row r="143" spans="1:19" ht="33.950000000000003" customHeight="1" thickTop="1" thickBot="1">
      <c r="A143" s="103"/>
      <c r="B143" s="41"/>
      <c r="C143" s="11">
        <v>5736</v>
      </c>
      <c r="D143" s="63" t="s">
        <v>427</v>
      </c>
      <c r="E143" s="64"/>
      <c r="F143" s="12" t="str">
        <f t="shared" si="16"/>
        <v/>
      </c>
      <c r="G143" s="41"/>
      <c r="H143" s="41"/>
      <c r="I143" s="41"/>
      <c r="J143" s="41"/>
      <c r="K143" s="41"/>
      <c r="L143" s="41"/>
      <c r="M143" s="41"/>
      <c r="N143" s="41"/>
      <c r="O143" s="41"/>
      <c r="P143" s="41"/>
      <c r="Q143" s="41"/>
      <c r="R143" s="41"/>
      <c r="S143" s="41"/>
    </row>
    <row r="144" spans="1:19" ht="33.950000000000003" customHeight="1" thickTop="1" thickBot="1">
      <c r="A144" s="103"/>
      <c r="B144" s="41"/>
      <c r="C144" s="11">
        <v>5737</v>
      </c>
      <c r="D144" s="63" t="s">
        <v>428</v>
      </c>
      <c r="E144" s="64"/>
      <c r="F144" s="12" t="str">
        <f t="shared" si="16"/>
        <v/>
      </c>
      <c r="G144" s="41"/>
      <c r="H144" s="41"/>
      <c r="I144" s="41"/>
      <c r="J144" s="41"/>
      <c r="K144" s="41"/>
      <c r="L144" s="41"/>
      <c r="M144" s="41"/>
      <c r="N144" s="41"/>
      <c r="O144" s="41"/>
      <c r="P144" s="41"/>
      <c r="Q144" s="41"/>
      <c r="R144" s="41"/>
      <c r="S144" s="41"/>
    </row>
    <row r="145" spans="1:19" ht="33.950000000000003" customHeight="1" thickTop="1" thickBot="1">
      <c r="A145" s="103"/>
      <c r="B145" s="41"/>
      <c r="C145" s="11">
        <v>5738</v>
      </c>
      <c r="D145" s="63" t="s">
        <v>430</v>
      </c>
      <c r="E145" s="64"/>
      <c r="F145" s="12" t="str">
        <f t="shared" si="16"/>
        <v/>
      </c>
      <c r="G145" s="41"/>
      <c r="H145" s="41"/>
      <c r="I145" s="41"/>
      <c r="J145" s="41"/>
      <c r="K145" s="41"/>
      <c r="L145" s="41"/>
      <c r="M145" s="41"/>
      <c r="N145" s="41"/>
      <c r="O145" s="41"/>
      <c r="P145" s="41"/>
      <c r="Q145" s="41"/>
      <c r="R145" s="41"/>
      <c r="S145" s="41"/>
    </row>
    <row r="146" spans="1:19" ht="33.950000000000003" customHeight="1" thickTop="1" thickBot="1">
      <c r="A146" s="103"/>
      <c r="B146" s="41"/>
      <c r="C146" s="11">
        <v>5739</v>
      </c>
      <c r="D146" s="63" t="s">
        <v>429</v>
      </c>
      <c r="E146" s="64"/>
      <c r="F146" s="12" t="str">
        <f t="shared" si="16"/>
        <v/>
      </c>
      <c r="G146" s="41"/>
      <c r="H146" s="41"/>
      <c r="I146" s="41"/>
      <c r="J146" s="41"/>
      <c r="K146" s="41"/>
      <c r="L146" s="41"/>
      <c r="M146" s="41"/>
      <c r="N146" s="41"/>
      <c r="O146" s="41"/>
      <c r="P146" s="41"/>
      <c r="Q146" s="41"/>
      <c r="R146" s="41"/>
      <c r="S146" s="41"/>
    </row>
    <row r="147" spans="1:19" ht="33.950000000000003" customHeight="1" thickTop="1" thickBot="1">
      <c r="A147" s="103"/>
      <c r="B147" s="41"/>
      <c r="C147" s="10">
        <v>5740</v>
      </c>
      <c r="D147" s="61" t="s">
        <v>431</v>
      </c>
      <c r="E147" s="139">
        <f>IF(ISERROR(SUM(E148:E156)),"",SUM(E148:E156))</f>
        <v>0</v>
      </c>
      <c r="F147" s="144"/>
      <c r="G147" s="41"/>
      <c r="H147" s="41"/>
      <c r="I147" s="41"/>
      <c r="J147" s="41"/>
      <c r="K147" s="41"/>
      <c r="L147" s="41"/>
      <c r="M147" s="41"/>
      <c r="N147" s="41"/>
      <c r="O147" s="41"/>
      <c r="P147" s="41"/>
      <c r="Q147" s="41"/>
      <c r="R147" s="41"/>
      <c r="S147" s="41"/>
    </row>
    <row r="148" spans="1:19" ht="33.950000000000003" customHeight="1" thickTop="1" thickBot="1">
      <c r="A148" s="103"/>
      <c r="B148" s="41"/>
      <c r="C148" s="11">
        <v>5741</v>
      </c>
      <c r="D148" s="63" t="s">
        <v>432</v>
      </c>
      <c r="E148" s="64"/>
      <c r="F148" s="12" t="str">
        <f>IF(ISERROR(E148/$E$147),"",E148/$E$147)</f>
        <v/>
      </c>
      <c r="G148" s="41"/>
      <c r="H148" s="41"/>
      <c r="I148" s="41"/>
      <c r="J148" s="41"/>
      <c r="K148" s="41"/>
      <c r="L148" s="41"/>
      <c r="M148" s="41"/>
      <c r="N148" s="41"/>
      <c r="O148" s="41"/>
      <c r="P148" s="41"/>
      <c r="Q148" s="41"/>
      <c r="R148" s="41"/>
      <c r="S148" s="41"/>
    </row>
    <row r="149" spans="1:19" ht="33.950000000000003" customHeight="1" thickTop="1" thickBot="1">
      <c r="A149" s="103"/>
      <c r="B149" s="41"/>
      <c r="C149" s="11">
        <v>5742</v>
      </c>
      <c r="D149" s="63" t="s">
        <v>433</v>
      </c>
      <c r="E149" s="66"/>
      <c r="F149" s="12" t="str">
        <f t="shared" ref="F149:F156" si="17">IF(ISERROR(E149/$E$147),"",E149/$E$147)</f>
        <v/>
      </c>
      <c r="G149" s="41"/>
      <c r="H149" s="41"/>
      <c r="I149" s="41"/>
      <c r="J149" s="41"/>
      <c r="K149" s="41"/>
      <c r="L149" s="41"/>
      <c r="M149" s="41"/>
      <c r="N149" s="41"/>
      <c r="O149" s="41"/>
      <c r="P149" s="41"/>
      <c r="Q149" s="41"/>
      <c r="R149" s="41"/>
      <c r="S149" s="41"/>
    </row>
    <row r="150" spans="1:19" ht="33.950000000000003" customHeight="1" thickTop="1" thickBot="1">
      <c r="A150" s="103"/>
      <c r="B150" s="41"/>
      <c r="C150" s="11">
        <v>5743</v>
      </c>
      <c r="D150" s="63" t="s">
        <v>434</v>
      </c>
      <c r="E150" s="64"/>
      <c r="F150" s="12" t="str">
        <f t="shared" si="17"/>
        <v/>
      </c>
      <c r="G150" s="41"/>
      <c r="H150" s="41"/>
      <c r="I150" s="41"/>
      <c r="J150" s="41"/>
      <c r="K150" s="41"/>
      <c r="L150" s="41"/>
      <c r="M150" s="41"/>
      <c r="N150" s="41"/>
      <c r="O150" s="41"/>
      <c r="P150" s="41"/>
      <c r="Q150" s="41"/>
      <c r="R150" s="41"/>
      <c r="S150" s="41"/>
    </row>
    <row r="151" spans="1:19" ht="33.950000000000003" customHeight="1" thickTop="1" thickBot="1">
      <c r="A151" s="103"/>
      <c r="B151" s="41"/>
      <c r="C151" s="11">
        <v>5744</v>
      </c>
      <c r="D151" s="63" t="s">
        <v>435</v>
      </c>
      <c r="E151" s="64"/>
      <c r="F151" s="12" t="str">
        <f t="shared" si="17"/>
        <v/>
      </c>
      <c r="G151" s="41"/>
      <c r="H151" s="41"/>
      <c r="I151" s="41"/>
      <c r="J151" s="41"/>
      <c r="K151" s="41"/>
      <c r="L151" s="41"/>
      <c r="M151" s="41"/>
      <c r="N151" s="41"/>
      <c r="O151" s="41"/>
      <c r="P151" s="41"/>
      <c r="Q151" s="41"/>
      <c r="R151" s="41"/>
      <c r="S151" s="41"/>
    </row>
    <row r="152" spans="1:19" ht="33.950000000000003" customHeight="1" thickTop="1" thickBot="1">
      <c r="A152" s="103"/>
      <c r="B152" s="41"/>
      <c r="C152" s="11">
        <v>5745</v>
      </c>
      <c r="D152" s="63" t="s">
        <v>436</v>
      </c>
      <c r="E152" s="64"/>
      <c r="F152" s="12" t="str">
        <f t="shared" si="17"/>
        <v/>
      </c>
      <c r="G152" s="41"/>
      <c r="H152" s="41"/>
      <c r="I152" s="41"/>
      <c r="J152" s="41"/>
      <c r="K152" s="41"/>
      <c r="L152" s="41"/>
      <c r="M152" s="41"/>
      <c r="N152" s="41"/>
      <c r="O152" s="41"/>
      <c r="P152" s="41"/>
      <c r="Q152" s="41"/>
      <c r="R152" s="41"/>
      <c r="S152" s="41"/>
    </row>
    <row r="153" spans="1:19" ht="33.950000000000003" customHeight="1" thickTop="1" thickBot="1">
      <c r="A153" s="103"/>
      <c r="B153" s="41"/>
      <c r="C153" s="11">
        <v>5746</v>
      </c>
      <c r="D153" s="63" t="s">
        <v>437</v>
      </c>
      <c r="E153" s="64"/>
      <c r="F153" s="12" t="str">
        <f t="shared" si="17"/>
        <v/>
      </c>
      <c r="G153" s="41"/>
      <c r="H153" s="41"/>
      <c r="I153" s="41"/>
      <c r="J153" s="41"/>
      <c r="K153" s="41"/>
      <c r="L153" s="41"/>
      <c r="M153" s="41"/>
      <c r="N153" s="41"/>
      <c r="O153" s="41"/>
      <c r="P153" s="41"/>
      <c r="Q153" s="41"/>
      <c r="R153" s="41"/>
      <c r="S153" s="41"/>
    </row>
    <row r="154" spans="1:19" ht="33.950000000000003" customHeight="1" thickTop="1" thickBot="1">
      <c r="A154" s="103"/>
      <c r="B154" s="41"/>
      <c r="C154" s="11">
        <v>5747</v>
      </c>
      <c r="D154" s="63"/>
      <c r="E154" s="64"/>
      <c r="F154" s="12" t="str">
        <f t="shared" si="17"/>
        <v/>
      </c>
      <c r="G154" s="41"/>
      <c r="H154" s="41"/>
      <c r="I154" s="41"/>
      <c r="J154" s="41"/>
      <c r="K154" s="41"/>
      <c r="L154" s="41"/>
      <c r="M154" s="41"/>
      <c r="N154" s="41"/>
      <c r="O154" s="41"/>
      <c r="P154" s="41"/>
      <c r="Q154" s="41"/>
      <c r="R154" s="41"/>
      <c r="S154" s="41"/>
    </row>
    <row r="155" spans="1:19" ht="33.950000000000003" customHeight="1" thickTop="1" thickBot="1">
      <c r="A155" s="103"/>
      <c r="B155" s="41"/>
      <c r="C155" s="11">
        <v>5748</v>
      </c>
      <c r="D155" s="63" t="s">
        <v>438</v>
      </c>
      <c r="E155" s="64"/>
      <c r="F155" s="12" t="str">
        <f t="shared" si="17"/>
        <v/>
      </c>
      <c r="G155" s="41"/>
      <c r="H155" s="41"/>
      <c r="I155" s="41"/>
      <c r="J155" s="41"/>
      <c r="K155" s="41"/>
      <c r="L155" s="41"/>
      <c r="M155" s="41"/>
      <c r="N155" s="41"/>
      <c r="O155" s="41"/>
      <c r="P155" s="41"/>
      <c r="Q155" s="41"/>
      <c r="R155" s="41"/>
      <c r="S155" s="41"/>
    </row>
    <row r="156" spans="1:19" ht="33.950000000000003" customHeight="1" thickTop="1" thickBot="1">
      <c r="A156" s="103"/>
      <c r="B156" s="41"/>
      <c r="C156" s="11">
        <v>5749</v>
      </c>
      <c r="D156" s="63" t="s">
        <v>439</v>
      </c>
      <c r="E156" s="64"/>
      <c r="F156" s="12" t="str">
        <f t="shared" si="17"/>
        <v/>
      </c>
      <c r="G156" s="41"/>
      <c r="H156" s="41"/>
      <c r="I156" s="41"/>
      <c r="J156" s="41"/>
      <c r="K156" s="41"/>
      <c r="L156" s="41"/>
      <c r="M156" s="41"/>
      <c r="N156" s="41"/>
      <c r="O156" s="41"/>
      <c r="P156" s="41"/>
      <c r="Q156" s="41"/>
      <c r="R156" s="41"/>
      <c r="S156" s="41"/>
    </row>
    <row r="157" spans="1:19" ht="33.950000000000003" customHeight="1" thickTop="1" thickBot="1">
      <c r="A157" s="103"/>
      <c r="B157" s="41"/>
      <c r="C157" s="10">
        <v>5750</v>
      </c>
      <c r="D157" s="61" t="s">
        <v>440</v>
      </c>
      <c r="E157" s="139">
        <f>IF(ISERROR(SUM(E158:E166)),"",SUM(E158:E166))</f>
        <v>64266</v>
      </c>
      <c r="F157" s="144"/>
      <c r="G157" s="41"/>
      <c r="H157" s="41"/>
      <c r="I157" s="41"/>
      <c r="J157" s="41"/>
      <c r="K157" s="41"/>
      <c r="L157" s="41"/>
      <c r="M157" s="41"/>
      <c r="N157" s="41"/>
      <c r="O157" s="41"/>
      <c r="P157" s="41"/>
      <c r="Q157" s="41"/>
      <c r="R157" s="41"/>
      <c r="S157" s="41"/>
    </row>
    <row r="158" spans="1:19" ht="33.950000000000003" customHeight="1" thickTop="1" thickBot="1">
      <c r="A158" s="103"/>
      <c r="B158" s="41"/>
      <c r="C158" s="11">
        <v>5751</v>
      </c>
      <c r="D158" s="63" t="s">
        <v>441</v>
      </c>
      <c r="E158" s="64"/>
      <c r="F158" s="12">
        <f>IF(ISERROR(E158/$E$157),"",E158/$E$157)</f>
        <v>0</v>
      </c>
      <c r="G158" s="41"/>
      <c r="H158" s="41"/>
      <c r="I158" s="41"/>
      <c r="J158" s="41"/>
      <c r="K158" s="41"/>
      <c r="L158" s="41"/>
      <c r="M158" s="41"/>
      <c r="N158" s="41"/>
      <c r="O158" s="41"/>
      <c r="P158" s="41"/>
      <c r="Q158" s="41"/>
      <c r="R158" s="41"/>
      <c r="S158" s="41"/>
    </row>
    <row r="159" spans="1:19" ht="33.950000000000003" customHeight="1" thickTop="1" thickBot="1">
      <c r="A159" s="103"/>
      <c r="B159" s="41"/>
      <c r="C159" s="11">
        <v>5752</v>
      </c>
      <c r="D159" s="63" t="s">
        <v>442</v>
      </c>
      <c r="E159" s="64"/>
      <c r="F159" s="12">
        <f t="shared" ref="F159:F166" si="18">IF(ISERROR(E159/$E$157),"",E159/$E$157)</f>
        <v>0</v>
      </c>
      <c r="G159" s="41"/>
      <c r="H159" s="41"/>
      <c r="I159" s="41"/>
      <c r="J159" s="41"/>
      <c r="K159" s="41"/>
      <c r="L159" s="41"/>
      <c r="M159" s="41"/>
      <c r="N159" s="41"/>
      <c r="O159" s="41"/>
      <c r="P159" s="41"/>
      <c r="Q159" s="41"/>
      <c r="R159" s="41"/>
      <c r="S159" s="41"/>
    </row>
    <row r="160" spans="1:19" ht="33.950000000000003" customHeight="1" thickTop="1" thickBot="1">
      <c r="A160" s="103"/>
      <c r="B160" s="41"/>
      <c r="C160" s="11">
        <v>5753</v>
      </c>
      <c r="D160" s="63" t="s">
        <v>443</v>
      </c>
      <c r="E160" s="64">
        <v>64266</v>
      </c>
      <c r="F160" s="12">
        <f t="shared" si="18"/>
        <v>1</v>
      </c>
      <c r="G160" s="41"/>
      <c r="H160" s="41"/>
      <c r="I160" s="41"/>
      <c r="J160" s="41"/>
      <c r="K160" s="41"/>
      <c r="L160" s="41"/>
      <c r="M160" s="41"/>
      <c r="N160" s="41"/>
      <c r="O160" s="41"/>
      <c r="P160" s="41"/>
      <c r="Q160" s="41"/>
      <c r="R160" s="41"/>
      <c r="S160" s="41"/>
    </row>
    <row r="161" spans="1:19" ht="33.950000000000003" customHeight="1" thickTop="1" thickBot="1">
      <c r="A161" s="103"/>
      <c r="B161" s="41"/>
      <c r="C161" s="11">
        <v>5754</v>
      </c>
      <c r="D161" s="63" t="s">
        <v>444</v>
      </c>
      <c r="E161" s="64"/>
      <c r="F161" s="12">
        <f t="shared" si="18"/>
        <v>0</v>
      </c>
      <c r="G161" s="41"/>
      <c r="H161" s="41"/>
      <c r="I161" s="41"/>
      <c r="J161" s="41"/>
      <c r="K161" s="41"/>
      <c r="L161" s="41"/>
      <c r="M161" s="41"/>
      <c r="N161" s="41"/>
      <c r="O161" s="41"/>
      <c r="P161" s="41"/>
      <c r="Q161" s="41"/>
      <c r="R161" s="41"/>
      <c r="S161" s="41"/>
    </row>
    <row r="162" spans="1:19" ht="33.950000000000003" customHeight="1" thickTop="1" thickBot="1">
      <c r="A162" s="103"/>
      <c r="B162" s="41"/>
      <c r="C162" s="11">
        <v>5755</v>
      </c>
      <c r="D162" s="63" t="s">
        <v>445</v>
      </c>
      <c r="E162" s="64"/>
      <c r="F162" s="12">
        <f t="shared" si="18"/>
        <v>0</v>
      </c>
      <c r="G162" s="41"/>
      <c r="H162" s="41"/>
      <c r="I162" s="41"/>
      <c r="J162" s="41"/>
      <c r="K162" s="41"/>
      <c r="L162" s="41"/>
      <c r="M162" s="41"/>
      <c r="N162" s="41"/>
      <c r="O162" s="41"/>
      <c r="P162" s="41"/>
      <c r="Q162" s="41"/>
      <c r="R162" s="41"/>
      <c r="S162" s="41"/>
    </row>
    <row r="163" spans="1:19" ht="33.950000000000003" customHeight="1" thickTop="1" thickBot="1">
      <c r="A163" s="103"/>
      <c r="B163" s="41"/>
      <c r="C163" s="11">
        <v>5756</v>
      </c>
      <c r="D163" s="63" t="s">
        <v>446</v>
      </c>
      <c r="E163" s="64"/>
      <c r="F163" s="12">
        <f t="shared" si="18"/>
        <v>0</v>
      </c>
      <c r="G163" s="41"/>
      <c r="H163" s="41"/>
      <c r="I163" s="41"/>
      <c r="J163" s="41"/>
      <c r="K163" s="41"/>
      <c r="L163" s="41"/>
      <c r="M163" s="41"/>
      <c r="N163" s="41"/>
      <c r="O163" s="41"/>
      <c r="P163" s="41"/>
      <c r="Q163" s="41"/>
      <c r="R163" s="41"/>
      <c r="S163" s="41"/>
    </row>
    <row r="164" spans="1:19" ht="33.950000000000003" customHeight="1" thickTop="1" thickBot="1">
      <c r="A164" s="103"/>
      <c r="B164" s="41"/>
      <c r="C164" s="11">
        <v>5757</v>
      </c>
      <c r="D164" s="63" t="s">
        <v>447</v>
      </c>
      <c r="E164" s="64"/>
      <c r="F164" s="12">
        <f t="shared" si="18"/>
        <v>0</v>
      </c>
      <c r="G164" s="41"/>
      <c r="H164" s="41"/>
      <c r="I164" s="41"/>
      <c r="J164" s="41"/>
      <c r="K164" s="41"/>
      <c r="L164" s="41"/>
      <c r="M164" s="41"/>
      <c r="N164" s="41"/>
      <c r="O164" s="41"/>
      <c r="P164" s="41"/>
      <c r="Q164" s="41"/>
      <c r="R164" s="41"/>
      <c r="S164" s="41"/>
    </row>
    <row r="165" spans="1:19" ht="33.950000000000003" customHeight="1" thickTop="1" thickBot="1">
      <c r="A165" s="103"/>
      <c r="B165" s="41"/>
      <c r="C165" s="11">
        <v>5758</v>
      </c>
      <c r="D165" s="63"/>
      <c r="E165" s="64"/>
      <c r="F165" s="12">
        <f t="shared" si="18"/>
        <v>0</v>
      </c>
      <c r="G165" s="41"/>
      <c r="H165" s="41"/>
      <c r="I165" s="41"/>
      <c r="J165" s="41"/>
      <c r="K165" s="41"/>
      <c r="L165" s="41"/>
      <c r="M165" s="41"/>
      <c r="N165" s="41"/>
      <c r="O165" s="41"/>
      <c r="P165" s="41"/>
      <c r="Q165" s="41"/>
      <c r="R165" s="41"/>
      <c r="S165" s="41"/>
    </row>
    <row r="166" spans="1:19" ht="33.950000000000003" customHeight="1" thickTop="1" thickBot="1">
      <c r="A166" s="103"/>
      <c r="B166" s="41"/>
      <c r="C166" s="11">
        <v>5759</v>
      </c>
      <c r="D166" s="63"/>
      <c r="E166" s="64"/>
      <c r="F166" s="12">
        <f t="shared" si="18"/>
        <v>0</v>
      </c>
      <c r="G166" s="41"/>
      <c r="H166" s="41"/>
      <c r="I166" s="41"/>
      <c r="J166" s="41"/>
      <c r="K166" s="41"/>
      <c r="L166" s="41"/>
      <c r="M166" s="41"/>
      <c r="N166" s="41"/>
      <c r="O166" s="41"/>
      <c r="P166" s="41"/>
      <c r="Q166" s="41"/>
      <c r="R166" s="41"/>
      <c r="S166" s="41"/>
    </row>
    <row r="167" spans="1:19" ht="33.950000000000003" customHeight="1" thickTop="1" thickBot="1">
      <c r="A167" s="103"/>
      <c r="B167" s="41"/>
      <c r="C167" s="10">
        <v>5760</v>
      </c>
      <c r="D167" s="61" t="s">
        <v>448</v>
      </c>
      <c r="E167" s="139">
        <f>IF(ISERROR(SUM(E168:E176)),"",SUM(E168:E176))</f>
        <v>0</v>
      </c>
      <c r="F167" s="144"/>
      <c r="G167" s="41"/>
      <c r="H167" s="41"/>
      <c r="I167" s="41"/>
      <c r="J167" s="41"/>
      <c r="K167" s="41"/>
      <c r="L167" s="41"/>
      <c r="M167" s="41"/>
      <c r="N167" s="41"/>
      <c r="O167" s="41"/>
      <c r="P167" s="41"/>
      <c r="Q167" s="41"/>
      <c r="R167" s="41"/>
      <c r="S167" s="41"/>
    </row>
    <row r="168" spans="1:19" ht="33.950000000000003" customHeight="1" thickTop="1" thickBot="1">
      <c r="A168" s="103"/>
      <c r="B168" s="41"/>
      <c r="C168" s="11">
        <v>5761</v>
      </c>
      <c r="D168" s="63" t="s">
        <v>449</v>
      </c>
      <c r="E168" s="64"/>
      <c r="F168" s="12" t="str">
        <f>IF(ISERROR(E168/$E$167),"",E168/$E$167)</f>
        <v/>
      </c>
      <c r="G168" s="41"/>
      <c r="H168" s="41"/>
      <c r="I168" s="41"/>
      <c r="J168" s="41"/>
      <c r="K168" s="41"/>
      <c r="L168" s="41"/>
      <c r="M168" s="41"/>
      <c r="N168" s="41"/>
      <c r="O168" s="41"/>
      <c r="P168" s="41"/>
      <c r="Q168" s="41"/>
      <c r="R168" s="41"/>
      <c r="S168" s="41"/>
    </row>
    <row r="169" spans="1:19" ht="33.950000000000003" customHeight="1" thickTop="1" thickBot="1">
      <c r="A169" s="103"/>
      <c r="B169" s="41"/>
      <c r="C169" s="11">
        <v>5762</v>
      </c>
      <c r="D169" s="63"/>
      <c r="E169" s="64"/>
      <c r="F169" s="12" t="str">
        <f t="shared" ref="F169:F176" si="19">IF(ISERROR(E169/$E$167),"",E169/$E$167)</f>
        <v/>
      </c>
      <c r="G169" s="41"/>
      <c r="H169" s="41"/>
      <c r="I169" s="41"/>
      <c r="J169" s="41"/>
      <c r="K169" s="41"/>
      <c r="L169" s="41"/>
      <c r="M169" s="41"/>
      <c r="N169" s="41"/>
      <c r="O169" s="41"/>
      <c r="P169" s="41"/>
      <c r="Q169" s="41"/>
      <c r="R169" s="41"/>
      <c r="S169" s="41"/>
    </row>
    <row r="170" spans="1:19" ht="33.950000000000003" customHeight="1" thickTop="1" thickBot="1">
      <c r="A170" s="103"/>
      <c r="B170" s="41"/>
      <c r="C170" s="11">
        <v>5763</v>
      </c>
      <c r="D170" s="63"/>
      <c r="E170" s="64"/>
      <c r="F170" s="12" t="str">
        <f t="shared" si="19"/>
        <v/>
      </c>
      <c r="G170" s="41"/>
      <c r="H170" s="41"/>
      <c r="I170" s="41"/>
      <c r="J170" s="41"/>
      <c r="K170" s="41"/>
      <c r="L170" s="41"/>
      <c r="M170" s="41"/>
      <c r="N170" s="41"/>
      <c r="O170" s="41"/>
      <c r="P170" s="41"/>
      <c r="Q170" s="41"/>
      <c r="R170" s="41"/>
      <c r="S170" s="41"/>
    </row>
    <row r="171" spans="1:19" ht="33.950000000000003" customHeight="1" thickTop="1" thickBot="1">
      <c r="A171" s="103"/>
      <c r="B171" s="41"/>
      <c r="C171" s="11">
        <v>5764</v>
      </c>
      <c r="D171" s="63"/>
      <c r="E171" s="64"/>
      <c r="F171" s="12" t="str">
        <f t="shared" si="19"/>
        <v/>
      </c>
      <c r="G171" s="41"/>
      <c r="H171" s="41"/>
      <c r="I171" s="41"/>
      <c r="J171" s="41"/>
      <c r="K171" s="41"/>
      <c r="L171" s="41"/>
      <c r="M171" s="41"/>
      <c r="N171" s="41"/>
      <c r="O171" s="41"/>
      <c r="P171" s="41"/>
      <c r="Q171" s="41"/>
      <c r="R171" s="41"/>
      <c r="S171" s="41"/>
    </row>
    <row r="172" spans="1:19" ht="33.950000000000003" customHeight="1" thickTop="1" thickBot="1">
      <c r="A172" s="103"/>
      <c r="B172" s="41"/>
      <c r="C172" s="11">
        <v>5765</v>
      </c>
      <c r="D172" s="63"/>
      <c r="E172" s="64"/>
      <c r="F172" s="12" t="str">
        <f t="shared" si="19"/>
        <v/>
      </c>
      <c r="G172" s="41"/>
      <c r="H172" s="41"/>
      <c r="I172" s="41"/>
      <c r="J172" s="41"/>
      <c r="K172" s="41"/>
      <c r="L172" s="41"/>
      <c r="M172" s="41"/>
      <c r="N172" s="41"/>
      <c r="O172" s="41"/>
      <c r="P172" s="41"/>
      <c r="Q172" s="41"/>
      <c r="R172" s="41"/>
      <c r="S172" s="41"/>
    </row>
    <row r="173" spans="1:19" ht="33.950000000000003" customHeight="1" thickTop="1" thickBot="1">
      <c r="A173" s="103"/>
      <c r="B173" s="41"/>
      <c r="C173" s="11">
        <v>5766</v>
      </c>
      <c r="D173" s="63"/>
      <c r="E173" s="64"/>
      <c r="F173" s="12" t="str">
        <f t="shared" si="19"/>
        <v/>
      </c>
      <c r="G173" s="41"/>
      <c r="H173" s="41"/>
      <c r="I173" s="41"/>
      <c r="J173" s="41"/>
      <c r="K173" s="41"/>
      <c r="L173" s="41"/>
      <c r="M173" s="41"/>
      <c r="N173" s="41"/>
      <c r="O173" s="41"/>
      <c r="P173" s="41"/>
      <c r="Q173" s="41"/>
      <c r="R173" s="41"/>
      <c r="S173" s="41"/>
    </row>
    <row r="174" spans="1:19" ht="33.950000000000003" customHeight="1" thickTop="1" thickBot="1">
      <c r="A174" s="103"/>
      <c r="B174" s="41"/>
      <c r="C174" s="11">
        <v>5767</v>
      </c>
      <c r="D174" s="63"/>
      <c r="E174" s="64"/>
      <c r="F174" s="12" t="str">
        <f t="shared" si="19"/>
        <v/>
      </c>
      <c r="G174" s="41"/>
      <c r="H174" s="41"/>
      <c r="I174" s="41"/>
      <c r="J174" s="41"/>
      <c r="K174" s="41"/>
      <c r="L174" s="41"/>
      <c r="M174" s="41"/>
      <c r="N174" s="41"/>
      <c r="O174" s="41"/>
      <c r="P174" s="41"/>
      <c r="Q174" s="41"/>
      <c r="R174" s="41"/>
      <c r="S174" s="41"/>
    </row>
    <row r="175" spans="1:19" ht="33.950000000000003" customHeight="1" thickTop="1" thickBot="1">
      <c r="A175" s="103"/>
      <c r="B175" s="41"/>
      <c r="C175" s="11">
        <v>5768</v>
      </c>
      <c r="D175" s="63"/>
      <c r="E175" s="64"/>
      <c r="F175" s="12" t="str">
        <f t="shared" si="19"/>
        <v/>
      </c>
      <c r="G175" s="41"/>
      <c r="H175" s="41"/>
      <c r="I175" s="41"/>
      <c r="J175" s="41"/>
      <c r="K175" s="41"/>
      <c r="L175" s="41"/>
      <c r="M175" s="41"/>
      <c r="N175" s="41"/>
      <c r="O175" s="41"/>
      <c r="P175" s="41"/>
      <c r="Q175" s="41"/>
      <c r="R175" s="41"/>
      <c r="S175" s="41"/>
    </row>
    <row r="176" spans="1:19" ht="33.950000000000003" customHeight="1" thickTop="1" thickBot="1">
      <c r="A176" s="103"/>
      <c r="B176" s="41"/>
      <c r="C176" s="11">
        <v>5769</v>
      </c>
      <c r="D176" s="63"/>
      <c r="E176" s="64"/>
      <c r="F176" s="12" t="str">
        <f t="shared" si="19"/>
        <v/>
      </c>
      <c r="G176" s="41"/>
      <c r="H176" s="41"/>
      <c r="I176" s="41"/>
      <c r="J176" s="41"/>
      <c r="K176" s="41"/>
      <c r="L176" s="41"/>
      <c r="M176" s="41"/>
      <c r="N176" s="41"/>
      <c r="O176" s="41"/>
      <c r="P176" s="41"/>
      <c r="Q176" s="41"/>
      <c r="R176" s="41"/>
      <c r="S176" s="41"/>
    </row>
    <row r="177" spans="1:19" ht="33.950000000000003" customHeight="1" thickTop="1" thickBot="1">
      <c r="A177" s="103"/>
      <c r="B177" s="41"/>
      <c r="C177" s="10">
        <v>5770</v>
      </c>
      <c r="D177" s="61" t="s">
        <v>450</v>
      </c>
      <c r="E177" s="139">
        <f>IF(ISERROR(SUM(E178:E186)),"",SUM(E178:E186))</f>
        <v>0</v>
      </c>
      <c r="F177" s="144"/>
      <c r="G177" s="41"/>
      <c r="H177" s="41"/>
      <c r="I177" s="41"/>
      <c r="J177" s="41"/>
      <c r="K177" s="41"/>
      <c r="L177" s="41"/>
      <c r="M177" s="41"/>
      <c r="N177" s="41"/>
      <c r="O177" s="41"/>
      <c r="P177" s="41"/>
      <c r="Q177" s="41"/>
      <c r="R177" s="41"/>
      <c r="S177" s="41"/>
    </row>
    <row r="178" spans="1:19" ht="33.950000000000003" customHeight="1" thickTop="1" thickBot="1">
      <c r="A178" s="103"/>
      <c r="B178" s="41"/>
      <c r="C178" s="11">
        <v>5771</v>
      </c>
      <c r="D178" s="63"/>
      <c r="E178" s="64"/>
      <c r="F178" s="12" t="str">
        <f>IF(ISERROR(E178/$E$177),"",E178/$E$177)</f>
        <v/>
      </c>
      <c r="G178" s="41"/>
      <c r="H178" s="41"/>
      <c r="I178" s="41"/>
      <c r="J178" s="41"/>
      <c r="K178" s="41"/>
      <c r="L178" s="41"/>
      <c r="M178" s="41"/>
      <c r="N178" s="41"/>
      <c r="O178" s="41"/>
      <c r="P178" s="41"/>
      <c r="Q178" s="41"/>
      <c r="R178" s="41"/>
      <c r="S178" s="41"/>
    </row>
    <row r="179" spans="1:19" ht="33.950000000000003" customHeight="1" thickTop="1" thickBot="1">
      <c r="A179" s="103"/>
      <c r="B179" s="41"/>
      <c r="C179" s="11">
        <v>5772</v>
      </c>
      <c r="D179" s="63"/>
      <c r="E179" s="64"/>
      <c r="F179" s="12" t="str">
        <f t="shared" ref="F179:F186" si="20">IF(ISERROR(E179/$E$177),"",E179/$E$177)</f>
        <v/>
      </c>
      <c r="G179" s="41"/>
      <c r="H179" s="41"/>
      <c r="I179" s="41"/>
      <c r="J179" s="41"/>
      <c r="K179" s="41"/>
      <c r="L179" s="41"/>
      <c r="M179" s="41"/>
      <c r="N179" s="41"/>
      <c r="O179" s="41"/>
      <c r="P179" s="41"/>
      <c r="Q179" s="41"/>
      <c r="R179" s="41"/>
      <c r="S179" s="41"/>
    </row>
    <row r="180" spans="1:19" ht="33.950000000000003" customHeight="1" thickTop="1" thickBot="1">
      <c r="A180" s="103"/>
      <c r="B180" s="41"/>
      <c r="C180" s="11">
        <v>5773</v>
      </c>
      <c r="D180" s="63"/>
      <c r="E180" s="64"/>
      <c r="F180" s="12" t="str">
        <f t="shared" si="20"/>
        <v/>
      </c>
      <c r="G180" s="41"/>
      <c r="H180" s="41"/>
      <c r="I180" s="41"/>
      <c r="J180" s="41"/>
      <c r="K180" s="41"/>
      <c r="L180" s="41"/>
      <c r="M180" s="41"/>
      <c r="N180" s="41"/>
      <c r="O180" s="41"/>
      <c r="P180" s="41"/>
      <c r="Q180" s="41"/>
      <c r="R180" s="41"/>
      <c r="S180" s="41"/>
    </row>
    <row r="181" spans="1:19" ht="33.950000000000003" customHeight="1" thickTop="1" thickBot="1">
      <c r="A181" s="103"/>
      <c r="B181" s="41"/>
      <c r="C181" s="11">
        <v>5774</v>
      </c>
      <c r="D181" s="63"/>
      <c r="E181" s="64"/>
      <c r="F181" s="12" t="str">
        <f t="shared" si="20"/>
        <v/>
      </c>
      <c r="G181" s="41"/>
      <c r="H181" s="41"/>
      <c r="I181" s="41"/>
      <c r="J181" s="41"/>
      <c r="K181" s="41"/>
      <c r="L181" s="41"/>
      <c r="M181" s="41"/>
      <c r="N181" s="41"/>
      <c r="O181" s="41"/>
      <c r="P181" s="41"/>
      <c r="Q181" s="41"/>
      <c r="R181" s="41"/>
      <c r="S181" s="41"/>
    </row>
    <row r="182" spans="1:19" ht="33.950000000000003" customHeight="1" thickTop="1" thickBot="1">
      <c r="A182" s="103"/>
      <c r="B182" s="41"/>
      <c r="C182" s="11">
        <v>5775</v>
      </c>
      <c r="D182" s="63"/>
      <c r="E182" s="64"/>
      <c r="F182" s="12" t="str">
        <f t="shared" si="20"/>
        <v/>
      </c>
      <c r="G182" s="41"/>
      <c r="H182" s="41"/>
      <c r="I182" s="41"/>
      <c r="J182" s="41"/>
      <c r="K182" s="41"/>
      <c r="L182" s="41"/>
      <c r="M182" s="41"/>
      <c r="N182" s="41"/>
      <c r="O182" s="41"/>
      <c r="P182" s="41"/>
      <c r="Q182" s="41"/>
      <c r="R182" s="41"/>
      <c r="S182" s="41"/>
    </row>
    <row r="183" spans="1:19" ht="33.950000000000003" customHeight="1" thickTop="1" thickBot="1">
      <c r="A183" s="103"/>
      <c r="B183" s="41"/>
      <c r="C183" s="11">
        <v>5776</v>
      </c>
      <c r="D183" s="63"/>
      <c r="E183" s="64"/>
      <c r="F183" s="12" t="str">
        <f t="shared" si="20"/>
        <v/>
      </c>
      <c r="G183" s="41"/>
      <c r="H183" s="41"/>
      <c r="I183" s="41"/>
      <c r="J183" s="41"/>
      <c r="K183" s="41"/>
      <c r="L183" s="41"/>
      <c r="M183" s="41"/>
      <c r="N183" s="41"/>
      <c r="O183" s="41"/>
      <c r="P183" s="41"/>
      <c r="Q183" s="41"/>
      <c r="R183" s="41"/>
      <c r="S183" s="41"/>
    </row>
    <row r="184" spans="1:19" ht="33.950000000000003" customHeight="1" thickTop="1" thickBot="1">
      <c r="A184" s="103"/>
      <c r="B184" s="41"/>
      <c r="C184" s="11">
        <v>5777</v>
      </c>
      <c r="D184" s="63"/>
      <c r="E184" s="64"/>
      <c r="F184" s="12" t="str">
        <f t="shared" si="20"/>
        <v/>
      </c>
      <c r="G184" s="41"/>
      <c r="H184" s="41"/>
      <c r="I184" s="41"/>
      <c r="J184" s="41"/>
      <c r="K184" s="41"/>
      <c r="L184" s="41"/>
      <c r="M184" s="41"/>
      <c r="N184" s="41"/>
      <c r="O184" s="41"/>
      <c r="P184" s="41"/>
      <c r="Q184" s="41"/>
      <c r="R184" s="41"/>
      <c r="S184" s="41"/>
    </row>
    <row r="185" spans="1:19" ht="33.950000000000003" customHeight="1" thickTop="1" thickBot="1">
      <c r="A185" s="103"/>
      <c r="B185" s="41"/>
      <c r="C185" s="11">
        <v>5778</v>
      </c>
      <c r="D185" s="63"/>
      <c r="E185" s="64"/>
      <c r="F185" s="12" t="str">
        <f t="shared" si="20"/>
        <v/>
      </c>
      <c r="G185" s="41"/>
      <c r="H185" s="41"/>
      <c r="I185" s="41"/>
      <c r="J185" s="41"/>
      <c r="K185" s="41"/>
      <c r="L185" s="41"/>
      <c r="M185" s="41"/>
      <c r="N185" s="41"/>
      <c r="O185" s="41"/>
      <c r="P185" s="41"/>
      <c r="Q185" s="41"/>
      <c r="R185" s="41"/>
      <c r="S185" s="41"/>
    </row>
    <row r="186" spans="1:19" ht="33.950000000000003" customHeight="1" thickTop="1" thickBot="1">
      <c r="A186" s="103"/>
      <c r="B186" s="41"/>
      <c r="C186" s="11">
        <v>5779</v>
      </c>
      <c r="D186" s="63"/>
      <c r="E186" s="64"/>
      <c r="F186" s="12" t="str">
        <f t="shared" si="20"/>
        <v/>
      </c>
      <c r="G186" s="41"/>
      <c r="H186" s="41"/>
      <c r="I186" s="41"/>
      <c r="J186" s="41"/>
      <c r="K186" s="41"/>
      <c r="L186" s="41"/>
      <c r="M186" s="41"/>
      <c r="N186" s="41"/>
      <c r="O186" s="41"/>
      <c r="P186" s="41"/>
      <c r="Q186" s="41"/>
      <c r="R186" s="41"/>
      <c r="S186" s="41"/>
    </row>
    <row r="187" spans="1:19" ht="33.75" customHeight="1" thickTop="1" thickBot="1">
      <c r="A187" s="103"/>
      <c r="B187" s="41"/>
      <c r="C187" s="10">
        <v>5780</v>
      </c>
      <c r="D187" s="61" t="s">
        <v>451</v>
      </c>
      <c r="E187" s="139">
        <f>IF(ISERROR(SUM(E188:E196)),"",SUM(E188:E196))</f>
        <v>0</v>
      </c>
      <c r="F187" s="144"/>
      <c r="G187" s="41"/>
      <c r="H187" s="41"/>
      <c r="I187" s="41"/>
      <c r="J187" s="41"/>
      <c r="K187" s="41"/>
      <c r="L187" s="41"/>
      <c r="M187" s="41"/>
      <c r="N187" s="41"/>
      <c r="O187" s="41"/>
      <c r="P187" s="41"/>
      <c r="Q187" s="41"/>
      <c r="R187" s="41"/>
      <c r="S187" s="41"/>
    </row>
    <row r="188" spans="1:19" ht="33.75" customHeight="1" thickTop="1" thickBot="1">
      <c r="A188" s="103"/>
      <c r="B188" s="41"/>
      <c r="C188" s="11">
        <v>5781</v>
      </c>
      <c r="D188" s="63" t="s">
        <v>441</v>
      </c>
      <c r="E188" s="64"/>
      <c r="F188" s="12" t="str">
        <f>IF(ISERROR(E188/$E$187),"",E188/$E$187)</f>
        <v/>
      </c>
      <c r="G188" s="41"/>
      <c r="H188" s="41"/>
      <c r="I188" s="41"/>
      <c r="J188" s="41"/>
      <c r="K188" s="41"/>
      <c r="L188" s="41"/>
      <c r="M188" s="41"/>
      <c r="N188" s="41"/>
      <c r="O188" s="41"/>
      <c r="P188" s="41"/>
      <c r="Q188" s="41"/>
      <c r="R188" s="41"/>
      <c r="S188" s="41"/>
    </row>
    <row r="189" spans="1:19" ht="33.75" customHeight="1" thickTop="1" thickBot="1">
      <c r="A189" s="103"/>
      <c r="B189" s="41"/>
      <c r="C189" s="11">
        <v>5782</v>
      </c>
      <c r="D189" s="63" t="s">
        <v>452</v>
      </c>
      <c r="E189" s="64"/>
      <c r="F189" s="12" t="str">
        <f t="shared" ref="F189:F196" si="21">IF(ISERROR(E189/$E$187),"",E189/$E$187)</f>
        <v/>
      </c>
      <c r="G189" s="41"/>
      <c r="H189" s="41"/>
      <c r="I189" s="41"/>
      <c r="J189" s="41"/>
      <c r="K189" s="41"/>
      <c r="L189" s="41"/>
      <c r="M189" s="41"/>
      <c r="N189" s="41"/>
      <c r="O189" s="41"/>
      <c r="P189" s="41"/>
      <c r="Q189" s="41"/>
      <c r="R189" s="41"/>
      <c r="S189" s="41"/>
    </row>
    <row r="190" spans="1:19" ht="33.75" customHeight="1" thickTop="1" thickBot="1">
      <c r="A190" s="103"/>
      <c r="B190" s="41"/>
      <c r="C190" s="11">
        <v>5783</v>
      </c>
      <c r="D190" s="63" t="s">
        <v>453</v>
      </c>
      <c r="E190" s="64"/>
      <c r="F190" s="12" t="str">
        <f t="shared" si="21"/>
        <v/>
      </c>
      <c r="G190" s="41"/>
      <c r="H190" s="41"/>
      <c r="I190" s="41"/>
      <c r="J190" s="41"/>
      <c r="K190" s="41"/>
      <c r="L190" s="41"/>
      <c r="M190" s="41"/>
      <c r="N190" s="41"/>
      <c r="O190" s="41"/>
      <c r="P190" s="41"/>
      <c r="Q190" s="41"/>
      <c r="R190" s="41"/>
      <c r="S190" s="41"/>
    </row>
    <row r="191" spans="1:19" ht="33.75" customHeight="1" thickTop="1" thickBot="1">
      <c r="A191" s="103"/>
      <c r="B191" s="41"/>
      <c r="C191" s="11">
        <v>5784</v>
      </c>
      <c r="D191" s="63"/>
      <c r="E191" s="64"/>
      <c r="F191" s="12" t="str">
        <f t="shared" si="21"/>
        <v/>
      </c>
      <c r="G191" s="41"/>
      <c r="H191" s="41"/>
      <c r="I191" s="41"/>
      <c r="J191" s="41"/>
      <c r="K191" s="41"/>
      <c r="L191" s="41"/>
      <c r="M191" s="41"/>
      <c r="N191" s="41"/>
      <c r="O191" s="41"/>
      <c r="P191" s="41"/>
      <c r="Q191" s="41"/>
      <c r="R191" s="41"/>
      <c r="S191" s="41"/>
    </row>
    <row r="192" spans="1:19" ht="33.75" customHeight="1" thickTop="1" thickBot="1">
      <c r="A192" s="103"/>
      <c r="B192" s="41"/>
      <c r="C192" s="11">
        <v>5785</v>
      </c>
      <c r="D192" s="63"/>
      <c r="E192" s="64"/>
      <c r="F192" s="12" t="str">
        <f t="shared" si="21"/>
        <v/>
      </c>
      <c r="G192" s="41"/>
      <c r="H192" s="41"/>
      <c r="I192" s="41"/>
      <c r="J192" s="41"/>
      <c r="K192" s="41"/>
      <c r="L192" s="41"/>
      <c r="M192" s="41"/>
      <c r="N192" s="41"/>
      <c r="O192" s="41"/>
      <c r="P192" s="41"/>
      <c r="Q192" s="41"/>
      <c r="R192" s="41"/>
      <c r="S192" s="41"/>
    </row>
    <row r="193" spans="1:19" ht="33.75" customHeight="1" thickTop="1" thickBot="1">
      <c r="A193" s="103"/>
      <c r="B193" s="41"/>
      <c r="C193" s="11">
        <v>5786</v>
      </c>
      <c r="D193" s="63"/>
      <c r="E193" s="64"/>
      <c r="F193" s="12" t="str">
        <f t="shared" si="21"/>
        <v/>
      </c>
      <c r="G193" s="41"/>
      <c r="H193" s="41"/>
      <c r="I193" s="41"/>
      <c r="J193" s="41"/>
      <c r="K193" s="41"/>
      <c r="L193" s="41"/>
      <c r="M193" s="41"/>
      <c r="N193" s="41"/>
      <c r="O193" s="41"/>
      <c r="P193" s="41"/>
      <c r="Q193" s="41"/>
      <c r="R193" s="41"/>
      <c r="S193" s="41"/>
    </row>
    <row r="194" spans="1:19" ht="33.75" customHeight="1" thickTop="1" thickBot="1">
      <c r="A194" s="103"/>
      <c r="B194" s="41"/>
      <c r="C194" s="11">
        <v>5787</v>
      </c>
      <c r="D194" s="63"/>
      <c r="E194" s="64"/>
      <c r="F194" s="12" t="str">
        <f t="shared" si="21"/>
        <v/>
      </c>
      <c r="G194" s="41"/>
      <c r="H194" s="41"/>
      <c r="I194" s="41"/>
      <c r="J194" s="41"/>
      <c r="K194" s="41"/>
      <c r="L194" s="41"/>
      <c r="M194" s="41"/>
      <c r="N194" s="41"/>
      <c r="O194" s="41"/>
      <c r="P194" s="41"/>
      <c r="Q194" s="41"/>
      <c r="R194" s="41"/>
      <c r="S194" s="41"/>
    </row>
    <row r="195" spans="1:19" ht="33.75" customHeight="1" thickTop="1" thickBot="1">
      <c r="A195" s="103"/>
      <c r="B195" s="41"/>
      <c r="C195" s="11">
        <v>5788</v>
      </c>
      <c r="D195" s="63"/>
      <c r="E195" s="64"/>
      <c r="F195" s="12" t="str">
        <f t="shared" si="21"/>
        <v/>
      </c>
      <c r="G195" s="41"/>
      <c r="H195" s="41"/>
      <c r="I195" s="41"/>
      <c r="J195" s="41"/>
      <c r="K195" s="41"/>
      <c r="L195" s="41"/>
      <c r="M195" s="41"/>
      <c r="N195" s="41"/>
      <c r="O195" s="41"/>
      <c r="P195" s="41"/>
      <c r="Q195" s="41"/>
      <c r="R195" s="41"/>
      <c r="S195" s="41"/>
    </row>
    <row r="196" spans="1:19" ht="33.75" customHeight="1" thickTop="1" thickBot="1">
      <c r="A196" s="103"/>
      <c r="B196" s="41"/>
      <c r="C196" s="11">
        <v>5789</v>
      </c>
      <c r="D196" s="63" t="s">
        <v>454</v>
      </c>
      <c r="E196" s="64"/>
      <c r="F196" s="12" t="str">
        <f t="shared" si="21"/>
        <v/>
      </c>
      <c r="G196" s="41"/>
      <c r="H196" s="41"/>
      <c r="I196" s="41"/>
      <c r="J196" s="41"/>
      <c r="K196" s="41"/>
      <c r="L196" s="41"/>
      <c r="M196" s="41"/>
      <c r="N196" s="41"/>
      <c r="O196" s="41"/>
      <c r="P196" s="41"/>
      <c r="Q196" s="41"/>
      <c r="R196" s="41"/>
      <c r="S196" s="41"/>
    </row>
    <row r="197" spans="1:19" ht="33.75" customHeight="1" thickTop="1" thickBot="1">
      <c r="A197" s="103"/>
      <c r="B197" s="41"/>
      <c r="C197" s="10">
        <v>5790</v>
      </c>
      <c r="D197" s="52" t="s">
        <v>455</v>
      </c>
      <c r="E197" s="139">
        <f>IF(ISERROR(SUM(E198:E206)),"",SUM(E198:E206))</f>
        <v>0</v>
      </c>
      <c r="F197" s="144"/>
      <c r="G197" s="41"/>
      <c r="H197" s="41"/>
      <c r="I197" s="41"/>
      <c r="J197" s="41"/>
      <c r="K197" s="41"/>
      <c r="L197" s="41"/>
      <c r="M197" s="41"/>
      <c r="N197" s="41"/>
      <c r="O197" s="41"/>
      <c r="P197" s="41"/>
      <c r="Q197" s="41"/>
      <c r="R197" s="41"/>
      <c r="S197" s="41"/>
    </row>
    <row r="198" spans="1:19" ht="33.75" customHeight="1" thickTop="1" thickBot="1">
      <c r="A198" s="103"/>
      <c r="B198" s="41"/>
      <c r="C198" s="11">
        <v>5791</v>
      </c>
      <c r="D198" s="63" t="s">
        <v>456</v>
      </c>
      <c r="E198" s="64"/>
      <c r="F198" s="12" t="str">
        <f>IF(ISERROR(E198/$E$197),"",E198/$E$197)</f>
        <v/>
      </c>
      <c r="G198" s="41"/>
      <c r="H198" s="41"/>
      <c r="I198" s="41"/>
      <c r="J198" s="41"/>
      <c r="K198" s="41"/>
      <c r="L198" s="41"/>
      <c r="M198" s="41"/>
      <c r="N198" s="41"/>
      <c r="O198" s="41"/>
      <c r="P198" s="41"/>
      <c r="Q198" s="41"/>
      <c r="R198" s="41"/>
      <c r="S198" s="41"/>
    </row>
    <row r="199" spans="1:19" ht="33.75" customHeight="1" thickTop="1" thickBot="1">
      <c r="A199" s="103"/>
      <c r="B199" s="41"/>
      <c r="C199" s="11">
        <v>5792</v>
      </c>
      <c r="D199" s="63" t="s">
        <v>461</v>
      </c>
      <c r="E199" s="64"/>
      <c r="F199" s="12" t="str">
        <f t="shared" ref="F199:F206" si="22">IF(ISERROR(E199/$E$197),"",E199/$E$197)</f>
        <v/>
      </c>
      <c r="G199" s="41"/>
      <c r="H199" s="41"/>
      <c r="I199" s="41"/>
      <c r="J199" s="41"/>
      <c r="K199" s="41"/>
      <c r="L199" s="41"/>
      <c r="M199" s="41"/>
      <c r="N199" s="41"/>
      <c r="O199" s="41"/>
      <c r="P199" s="41"/>
      <c r="Q199" s="41"/>
      <c r="R199" s="41"/>
      <c r="S199" s="41"/>
    </row>
    <row r="200" spans="1:19" ht="33.75" customHeight="1" thickTop="1" thickBot="1">
      <c r="A200" s="103"/>
      <c r="B200" s="41"/>
      <c r="C200" s="11">
        <v>5793</v>
      </c>
      <c r="D200" s="63" t="s">
        <v>462</v>
      </c>
      <c r="E200" s="64"/>
      <c r="F200" s="12" t="str">
        <f t="shared" si="22"/>
        <v/>
      </c>
      <c r="G200" s="41"/>
      <c r="H200" s="41"/>
      <c r="I200" s="41"/>
      <c r="J200" s="41"/>
      <c r="K200" s="41"/>
      <c r="L200" s="41"/>
      <c r="M200" s="41"/>
      <c r="N200" s="41"/>
      <c r="O200" s="41"/>
      <c r="P200" s="41"/>
      <c r="Q200" s="41"/>
      <c r="R200" s="41"/>
      <c r="S200" s="41"/>
    </row>
    <row r="201" spans="1:19" ht="33.75" customHeight="1" thickTop="1" thickBot="1">
      <c r="A201" s="103"/>
      <c r="B201" s="41"/>
      <c r="C201" s="11">
        <v>5794</v>
      </c>
      <c r="D201" s="63" t="s">
        <v>457</v>
      </c>
      <c r="E201" s="64"/>
      <c r="F201" s="12" t="str">
        <f t="shared" si="22"/>
        <v/>
      </c>
      <c r="G201" s="41"/>
      <c r="H201" s="41"/>
      <c r="I201" s="41"/>
      <c r="J201" s="41"/>
      <c r="K201" s="41"/>
      <c r="L201" s="41"/>
      <c r="M201" s="41"/>
      <c r="N201" s="41"/>
      <c r="O201" s="41"/>
      <c r="P201" s="41"/>
      <c r="Q201" s="41"/>
      <c r="R201" s="41"/>
      <c r="S201" s="41"/>
    </row>
    <row r="202" spans="1:19" ht="33.75" customHeight="1" thickTop="1" thickBot="1">
      <c r="A202" s="103"/>
      <c r="B202" s="41"/>
      <c r="C202" s="11">
        <v>5795</v>
      </c>
      <c r="D202" s="63" t="s">
        <v>458</v>
      </c>
      <c r="E202" s="64"/>
      <c r="F202" s="12" t="str">
        <f t="shared" si="22"/>
        <v/>
      </c>
      <c r="G202" s="41"/>
      <c r="H202" s="41"/>
      <c r="I202" s="41"/>
      <c r="J202" s="41"/>
      <c r="K202" s="41"/>
      <c r="L202" s="41"/>
      <c r="M202" s="41"/>
      <c r="N202" s="41"/>
      <c r="O202" s="41"/>
      <c r="P202" s="41"/>
      <c r="Q202" s="41"/>
      <c r="R202" s="41"/>
      <c r="S202" s="41"/>
    </row>
    <row r="203" spans="1:19" ht="33.75" customHeight="1" thickTop="1" thickBot="1">
      <c r="A203" s="103"/>
      <c r="B203" s="41"/>
      <c r="C203" s="11">
        <v>5796</v>
      </c>
      <c r="D203" s="63"/>
      <c r="E203" s="64"/>
      <c r="F203" s="12" t="str">
        <f t="shared" si="22"/>
        <v/>
      </c>
      <c r="G203" s="41"/>
      <c r="H203" s="41"/>
      <c r="I203" s="41"/>
      <c r="J203" s="41"/>
      <c r="K203" s="41"/>
      <c r="L203" s="41"/>
      <c r="M203" s="41"/>
      <c r="N203" s="41"/>
      <c r="O203" s="41"/>
      <c r="P203" s="41"/>
      <c r="Q203" s="41"/>
      <c r="R203" s="41"/>
      <c r="S203" s="41"/>
    </row>
    <row r="204" spans="1:19" ht="33.75" customHeight="1" thickTop="1" thickBot="1">
      <c r="A204" s="103"/>
      <c r="B204" s="41"/>
      <c r="C204" s="11">
        <v>5797</v>
      </c>
      <c r="D204" s="63" t="s">
        <v>459</v>
      </c>
      <c r="E204" s="64"/>
      <c r="F204" s="12" t="str">
        <f t="shared" si="22"/>
        <v/>
      </c>
      <c r="G204" s="41"/>
      <c r="H204" s="41"/>
      <c r="I204" s="41"/>
      <c r="J204" s="41"/>
      <c r="K204" s="41"/>
      <c r="L204" s="41"/>
      <c r="M204" s="41"/>
      <c r="N204" s="41"/>
      <c r="O204" s="41"/>
      <c r="P204" s="41"/>
      <c r="Q204" s="41"/>
      <c r="R204" s="41"/>
      <c r="S204" s="41"/>
    </row>
    <row r="205" spans="1:19" ht="33.75" customHeight="1" thickTop="1" thickBot="1">
      <c r="A205" s="103"/>
      <c r="B205" s="41"/>
      <c r="C205" s="11">
        <v>5798</v>
      </c>
      <c r="D205" s="63"/>
      <c r="E205" s="64"/>
      <c r="F205" s="12" t="str">
        <f t="shared" si="22"/>
        <v/>
      </c>
      <c r="G205" s="41"/>
      <c r="H205" s="41"/>
      <c r="I205" s="41"/>
      <c r="J205" s="41"/>
      <c r="K205" s="41"/>
      <c r="L205" s="41"/>
      <c r="M205" s="41"/>
      <c r="N205" s="41"/>
      <c r="O205" s="41"/>
      <c r="P205" s="41"/>
      <c r="Q205" s="41"/>
      <c r="R205" s="41"/>
      <c r="S205" s="41"/>
    </row>
    <row r="206" spans="1:19" ht="33.75" customHeight="1" thickTop="1" thickBot="1">
      <c r="A206" s="103"/>
      <c r="B206" s="41"/>
      <c r="C206" s="11">
        <v>5799</v>
      </c>
      <c r="D206" s="63" t="s">
        <v>460</v>
      </c>
      <c r="E206" s="64"/>
      <c r="F206" s="12" t="str">
        <f t="shared" si="22"/>
        <v/>
      </c>
      <c r="G206" s="41"/>
      <c r="H206" s="41"/>
      <c r="I206" s="41"/>
      <c r="J206" s="41"/>
      <c r="K206" s="41"/>
      <c r="L206" s="41"/>
      <c r="M206" s="41"/>
      <c r="N206" s="41"/>
      <c r="O206" s="41"/>
      <c r="P206" s="41"/>
      <c r="Q206" s="41"/>
      <c r="R206" s="41"/>
      <c r="S206" s="41"/>
    </row>
    <row r="207" spans="1:19" ht="33.75" customHeight="1" thickTop="1">
      <c r="A207" s="103"/>
      <c r="B207" s="41"/>
      <c r="C207" s="41"/>
      <c r="D207" s="41"/>
      <c r="E207" s="41"/>
      <c r="F207" s="41"/>
      <c r="G207" s="41"/>
      <c r="H207" s="41"/>
      <c r="I207" s="41"/>
      <c r="J207" s="41"/>
      <c r="K207" s="41"/>
      <c r="L207" s="41"/>
      <c r="M207" s="41"/>
      <c r="N207" s="41"/>
      <c r="O207" s="41"/>
      <c r="P207" s="41"/>
      <c r="Q207" s="41"/>
      <c r="R207" s="41"/>
      <c r="S207" s="41"/>
    </row>
    <row r="208" spans="1:19" ht="33.75" customHeight="1">
      <c r="A208" s="103"/>
      <c r="B208" s="41"/>
      <c r="C208" s="41"/>
      <c r="D208" s="41"/>
      <c r="E208" s="41"/>
      <c r="F208" s="41"/>
      <c r="G208" s="41"/>
      <c r="H208" s="41"/>
      <c r="I208" s="41"/>
      <c r="J208" s="41"/>
      <c r="K208" s="41"/>
      <c r="L208" s="41"/>
      <c r="M208" s="41"/>
      <c r="N208" s="41"/>
      <c r="O208" s="41"/>
      <c r="P208" s="41"/>
      <c r="Q208" s="41"/>
      <c r="R208" s="41"/>
      <c r="S208" s="41"/>
    </row>
    <row r="209" spans="1:19" ht="33.75" customHeight="1">
      <c r="A209" s="103"/>
      <c r="B209" s="41"/>
      <c r="C209" s="41"/>
      <c r="D209" s="41"/>
      <c r="E209" s="41"/>
      <c r="F209" s="41"/>
      <c r="G209" s="41"/>
      <c r="H209" s="41"/>
      <c r="I209" s="41"/>
      <c r="J209" s="41"/>
      <c r="K209" s="41"/>
      <c r="L209" s="41"/>
      <c r="M209" s="41"/>
      <c r="N209" s="41"/>
      <c r="O209" s="41"/>
      <c r="P209" s="41"/>
      <c r="Q209" s="41"/>
      <c r="R209" s="41"/>
      <c r="S209" s="41"/>
    </row>
    <row r="210" spans="1:19" ht="33.75" customHeight="1">
      <c r="A210" s="103"/>
      <c r="B210" s="41"/>
      <c r="C210" s="41"/>
      <c r="D210" s="41"/>
      <c r="E210" s="41"/>
      <c r="F210" s="41"/>
      <c r="G210" s="41"/>
      <c r="H210" s="41"/>
      <c r="I210" s="41"/>
      <c r="J210" s="41"/>
      <c r="K210" s="41"/>
      <c r="L210" s="41"/>
      <c r="M210" s="41"/>
      <c r="N210" s="41"/>
      <c r="O210" s="41"/>
      <c r="P210" s="41"/>
      <c r="Q210" s="41"/>
      <c r="R210" s="41"/>
      <c r="S210" s="41"/>
    </row>
    <row r="211" spans="1:19" ht="33.75" customHeight="1">
      <c r="A211" s="103"/>
      <c r="B211" s="41"/>
      <c r="C211" s="41"/>
      <c r="D211" s="41"/>
      <c r="E211" s="41"/>
      <c r="F211" s="41"/>
      <c r="G211" s="41"/>
      <c r="H211" s="41"/>
      <c r="I211" s="41"/>
      <c r="J211" s="41"/>
      <c r="K211" s="41"/>
      <c r="L211" s="41"/>
      <c r="M211" s="41"/>
      <c r="N211" s="41"/>
      <c r="O211" s="41"/>
      <c r="P211" s="41"/>
      <c r="Q211" s="41"/>
      <c r="R211" s="41"/>
      <c r="S211" s="41"/>
    </row>
    <row r="212" spans="1:19" ht="33.75" customHeight="1">
      <c r="A212" s="103"/>
      <c r="B212" s="41"/>
      <c r="C212" s="41"/>
      <c r="D212" s="41"/>
      <c r="E212" s="41"/>
      <c r="F212" s="41"/>
      <c r="G212" s="41"/>
      <c r="H212" s="41"/>
      <c r="I212" s="41"/>
      <c r="J212" s="41"/>
      <c r="K212" s="41"/>
      <c r="L212" s="41"/>
      <c r="M212" s="41"/>
      <c r="N212" s="41"/>
      <c r="O212" s="41"/>
      <c r="P212" s="41"/>
      <c r="Q212" s="41"/>
      <c r="R212" s="41"/>
      <c r="S212" s="41"/>
    </row>
    <row r="213" spans="1:19" ht="33.75" customHeight="1">
      <c r="A213" s="103"/>
      <c r="B213" s="41"/>
      <c r="C213" s="41"/>
      <c r="D213" s="41"/>
      <c r="E213" s="41"/>
      <c r="F213" s="41"/>
      <c r="G213" s="41"/>
      <c r="H213" s="41"/>
      <c r="I213" s="41"/>
      <c r="J213" s="41"/>
      <c r="K213" s="41"/>
      <c r="L213" s="41"/>
      <c r="M213" s="41"/>
      <c r="N213" s="41"/>
      <c r="O213" s="41"/>
      <c r="P213" s="41"/>
      <c r="Q213" s="41"/>
      <c r="R213" s="41"/>
      <c r="S213" s="41"/>
    </row>
    <row r="214" spans="1:19" ht="33.75" customHeight="1">
      <c r="A214" s="103"/>
      <c r="B214" s="41"/>
      <c r="C214" s="41"/>
      <c r="D214" s="41"/>
      <c r="E214" s="41"/>
      <c r="F214" s="41"/>
      <c r="G214" s="41"/>
      <c r="H214" s="41"/>
      <c r="I214" s="41"/>
      <c r="J214" s="41"/>
      <c r="K214" s="41"/>
      <c r="L214" s="41"/>
      <c r="M214" s="41"/>
      <c r="N214" s="41"/>
      <c r="O214" s="41"/>
      <c r="P214" s="41"/>
      <c r="Q214" s="41"/>
      <c r="R214" s="41"/>
      <c r="S214" s="41"/>
    </row>
    <row r="215" spans="1:19" ht="33.75" customHeight="1">
      <c r="A215" s="103"/>
      <c r="B215" s="41"/>
      <c r="C215" s="41"/>
      <c r="D215" s="41"/>
      <c r="E215" s="41"/>
      <c r="F215" s="41"/>
      <c r="G215" s="41"/>
      <c r="H215" s="41"/>
      <c r="I215" s="41"/>
      <c r="J215" s="41"/>
      <c r="K215" s="41"/>
      <c r="L215" s="41"/>
      <c r="M215" s="41"/>
      <c r="N215" s="41"/>
      <c r="O215" s="41"/>
      <c r="P215" s="41"/>
      <c r="Q215" s="41"/>
      <c r="R215" s="41"/>
      <c r="S215" s="41"/>
    </row>
    <row r="216" spans="1:19" ht="33.75" customHeight="1">
      <c r="A216" s="103"/>
      <c r="B216" s="41"/>
      <c r="C216" s="41"/>
      <c r="D216" s="41"/>
      <c r="E216" s="41"/>
      <c r="F216" s="41"/>
      <c r="G216" s="41"/>
      <c r="H216" s="41"/>
      <c r="I216" s="41"/>
      <c r="J216" s="41"/>
      <c r="K216" s="41"/>
      <c r="L216" s="41"/>
      <c r="M216" s="41"/>
      <c r="N216" s="41"/>
      <c r="O216" s="41"/>
      <c r="P216" s="41"/>
      <c r="Q216" s="41"/>
      <c r="R216" s="41"/>
      <c r="S216" s="41"/>
    </row>
    <row r="217" spans="1:19" ht="33.75" customHeight="1">
      <c r="A217" s="103"/>
      <c r="B217" s="41"/>
      <c r="C217" s="41"/>
      <c r="D217" s="41"/>
      <c r="E217" s="41"/>
      <c r="F217" s="41"/>
      <c r="G217" s="41"/>
      <c r="H217" s="41"/>
      <c r="I217" s="41"/>
      <c r="J217" s="41"/>
      <c r="K217" s="41"/>
      <c r="L217" s="41"/>
      <c r="M217" s="41"/>
      <c r="N217" s="41"/>
      <c r="O217" s="41"/>
      <c r="P217" s="41"/>
      <c r="Q217" s="41"/>
      <c r="R217" s="41"/>
      <c r="S217" s="41"/>
    </row>
    <row r="218" spans="1:19" ht="33.75" customHeight="1">
      <c r="A218" s="103"/>
      <c r="B218" s="41"/>
      <c r="C218" s="41"/>
      <c r="D218" s="41"/>
      <c r="E218" s="41"/>
      <c r="F218" s="41"/>
      <c r="G218" s="41"/>
      <c r="H218" s="41"/>
      <c r="I218" s="41"/>
      <c r="J218" s="41"/>
      <c r="K218" s="41"/>
      <c r="L218" s="41"/>
      <c r="M218" s="41"/>
      <c r="N218" s="41"/>
      <c r="O218" s="41"/>
      <c r="P218" s="41"/>
      <c r="Q218" s="41"/>
      <c r="R218" s="41"/>
      <c r="S218" s="41"/>
    </row>
    <row r="219" spans="1:19" ht="33.75" customHeight="1">
      <c r="A219" s="103"/>
      <c r="B219" s="41"/>
      <c r="C219" s="41"/>
      <c r="D219" s="41"/>
      <c r="E219" s="41"/>
      <c r="F219" s="41"/>
      <c r="G219" s="41"/>
      <c r="H219" s="41"/>
      <c r="I219" s="41"/>
      <c r="J219" s="41"/>
      <c r="K219" s="41"/>
      <c r="L219" s="41"/>
      <c r="M219" s="41"/>
      <c r="N219" s="41"/>
      <c r="O219" s="41"/>
      <c r="P219" s="41"/>
      <c r="Q219" s="41"/>
      <c r="R219" s="41"/>
      <c r="S219" s="41"/>
    </row>
    <row r="220" spans="1:19" ht="33.75" customHeight="1">
      <c r="A220" s="103"/>
      <c r="B220" s="41"/>
      <c r="C220" s="41"/>
      <c r="D220" s="41"/>
      <c r="E220" s="41"/>
      <c r="F220" s="41"/>
      <c r="G220" s="41"/>
      <c r="H220" s="41"/>
      <c r="I220" s="41"/>
      <c r="J220" s="41"/>
      <c r="K220" s="41"/>
      <c r="L220" s="41"/>
      <c r="M220" s="41"/>
      <c r="N220" s="41"/>
      <c r="O220" s="41"/>
      <c r="P220" s="41"/>
      <c r="Q220" s="41"/>
      <c r="R220" s="41"/>
      <c r="S220" s="41"/>
    </row>
    <row r="221" spans="1:19" ht="33.75" customHeight="1">
      <c r="A221" s="103"/>
      <c r="B221" s="41"/>
      <c r="C221" s="41"/>
      <c r="D221" s="41"/>
      <c r="E221" s="41"/>
      <c r="F221" s="41"/>
      <c r="G221" s="41"/>
      <c r="H221" s="41"/>
      <c r="I221" s="41"/>
      <c r="J221" s="41"/>
      <c r="K221" s="41"/>
      <c r="L221" s="41"/>
      <c r="M221" s="41"/>
      <c r="N221" s="41"/>
      <c r="O221" s="41"/>
      <c r="P221" s="41"/>
      <c r="Q221" s="41"/>
      <c r="R221" s="41"/>
      <c r="S221" s="41"/>
    </row>
    <row r="222" spans="1:19" ht="33.75" customHeight="1">
      <c r="A222" s="103"/>
      <c r="B222" s="41"/>
      <c r="C222" s="41"/>
      <c r="D222" s="41"/>
      <c r="E222" s="41"/>
      <c r="F222" s="41"/>
      <c r="G222" s="41"/>
      <c r="H222" s="41"/>
      <c r="I222" s="41"/>
      <c r="J222" s="41"/>
      <c r="K222" s="41"/>
      <c r="L222" s="41"/>
      <c r="M222" s="41"/>
      <c r="N222" s="41"/>
      <c r="O222" s="41"/>
      <c r="P222" s="41"/>
      <c r="Q222" s="41"/>
      <c r="R222" s="41"/>
      <c r="S222" s="41"/>
    </row>
    <row r="223" spans="1:19" ht="33.75" customHeight="1">
      <c r="A223" s="103"/>
      <c r="B223" s="41"/>
      <c r="C223" s="41"/>
      <c r="D223" s="41"/>
      <c r="E223" s="41"/>
      <c r="F223" s="41"/>
      <c r="G223" s="41"/>
      <c r="H223" s="41"/>
      <c r="I223" s="41"/>
      <c r="J223" s="41"/>
      <c r="K223" s="41"/>
      <c r="L223" s="41"/>
      <c r="M223" s="41"/>
      <c r="N223" s="41"/>
      <c r="O223" s="41"/>
      <c r="P223" s="41"/>
      <c r="Q223" s="41"/>
      <c r="R223" s="41"/>
      <c r="S223" s="41"/>
    </row>
    <row r="224" spans="1:19" ht="33.950000000000003" customHeight="1">
      <c r="A224" s="103"/>
      <c r="B224" s="41"/>
      <c r="C224" s="41"/>
      <c r="D224" s="41"/>
      <c r="E224" s="41"/>
      <c r="F224" s="41"/>
      <c r="G224" s="41"/>
      <c r="H224" s="41"/>
      <c r="I224" s="41"/>
      <c r="J224" s="41"/>
      <c r="K224" s="41"/>
      <c r="L224" s="41"/>
      <c r="M224" s="41"/>
      <c r="N224" s="41"/>
      <c r="O224" s="41"/>
      <c r="P224" s="41"/>
      <c r="Q224" s="41"/>
      <c r="R224" s="41"/>
      <c r="S224" s="41"/>
    </row>
    <row r="225" spans="1:19" ht="33.75" customHeight="1">
      <c r="A225" s="103"/>
      <c r="B225" s="41"/>
      <c r="C225" s="41"/>
      <c r="D225" s="41"/>
      <c r="E225" s="41"/>
      <c r="F225" s="41"/>
      <c r="G225" s="41"/>
      <c r="H225" s="41"/>
      <c r="I225" s="41"/>
      <c r="J225" s="41"/>
      <c r="K225" s="41"/>
      <c r="L225" s="41"/>
      <c r="M225" s="41"/>
      <c r="N225" s="41"/>
      <c r="O225" s="41"/>
      <c r="P225" s="41"/>
      <c r="Q225" s="41"/>
      <c r="R225" s="41"/>
      <c r="S225" s="41"/>
    </row>
    <row r="226" spans="1:19" ht="33.950000000000003" hidden="1" customHeight="1">
      <c r="A226" s="103"/>
      <c r="B226" s="41"/>
      <c r="C226" s="41"/>
      <c r="D226" s="41"/>
      <c r="E226" s="41"/>
      <c r="F226" s="41"/>
      <c r="G226" s="41"/>
      <c r="H226" s="41"/>
      <c r="I226" s="41"/>
      <c r="J226" s="41"/>
      <c r="K226" s="41"/>
      <c r="L226" s="41"/>
      <c r="M226" s="41"/>
      <c r="N226" s="41"/>
      <c r="O226" s="41"/>
      <c r="P226" s="41"/>
      <c r="Q226" s="41"/>
      <c r="R226" s="41"/>
      <c r="S226" s="41"/>
    </row>
    <row r="227" spans="1:19" ht="10.5" customHeight="1">
      <c r="A227" s="103"/>
      <c r="B227" s="41"/>
      <c r="C227" s="41"/>
      <c r="D227" s="41"/>
      <c r="E227" s="41"/>
      <c r="F227" s="41"/>
      <c r="G227" s="41"/>
      <c r="H227" s="41"/>
      <c r="I227" s="41"/>
      <c r="J227" s="41"/>
      <c r="K227" s="41"/>
      <c r="L227" s="41"/>
      <c r="M227" s="41"/>
      <c r="N227" s="41"/>
      <c r="O227" s="41"/>
      <c r="P227" s="41"/>
      <c r="Q227" s="41"/>
      <c r="R227" s="41"/>
      <c r="S227" s="41"/>
    </row>
    <row r="228" spans="1:19" ht="15" customHeight="1">
      <c r="A228" s="103"/>
      <c r="B228" s="41"/>
      <c r="C228" s="41"/>
      <c r="D228" s="41"/>
      <c r="E228" s="41"/>
      <c r="F228" s="41"/>
      <c r="G228" s="41"/>
      <c r="H228" s="41"/>
      <c r="I228" s="41"/>
      <c r="J228" s="41"/>
      <c r="K228" s="41"/>
      <c r="L228" s="41"/>
      <c r="M228" s="41"/>
      <c r="N228" s="41"/>
      <c r="O228" s="41"/>
      <c r="P228" s="41"/>
      <c r="Q228" s="41"/>
      <c r="R228" s="41"/>
      <c r="S228" s="41"/>
    </row>
    <row r="229" spans="1:19" ht="15" hidden="1" customHeight="1">
      <c r="C229" s="11">
        <v>5738</v>
      </c>
      <c r="D229" s="9" t="s">
        <v>430</v>
      </c>
      <c r="E229" s="7">
        <v>467</v>
      </c>
      <c r="F229" s="12" t="str">
        <f t="shared" ref="F229:F230" si="23">IF(ISERROR(E229/$E$137),"",E229/$E$137)</f>
        <v/>
      </c>
    </row>
    <row r="230" spans="1:19" ht="0" hidden="1" customHeight="1">
      <c r="C230" s="11">
        <v>5739</v>
      </c>
      <c r="D230" s="9" t="s">
        <v>429</v>
      </c>
      <c r="E230" s="7">
        <v>45</v>
      </c>
      <c r="F230" s="12" t="str">
        <f t="shared" si="23"/>
        <v/>
      </c>
    </row>
    <row r="231" spans="1:19" ht="0" hidden="1" customHeight="1">
      <c r="C231" s="11">
        <v>5718</v>
      </c>
      <c r="D231" s="9" t="s">
        <v>409</v>
      </c>
      <c r="E231" s="7">
        <v>467</v>
      </c>
      <c r="F231" s="12">
        <f t="shared" ref="F231:F232" si="24">IF(ISERROR(E231/$E$127),"",E231/$E$127)</f>
        <v>0.30012853470437018</v>
      </c>
    </row>
    <row r="232" spans="1:19" ht="0" hidden="1" customHeight="1">
      <c r="C232" s="11">
        <v>5719</v>
      </c>
      <c r="D232" s="9" t="s">
        <v>410</v>
      </c>
      <c r="E232" s="7">
        <v>45</v>
      </c>
      <c r="F232" s="12">
        <f t="shared" si="24"/>
        <v>2.892030848329049E-2</v>
      </c>
    </row>
    <row r="233" spans="1:19" ht="0" hidden="1" customHeight="1"/>
    <row r="234" spans="1:19" ht="0" hidden="1" customHeight="1"/>
    <row r="235" spans="1:19" ht="0" hidden="1" customHeight="1"/>
    <row r="236" spans="1:19" ht="0" hidden="1" customHeight="1"/>
    <row r="237" spans="1:19" ht="0" hidden="1" customHeight="1"/>
    <row r="238" spans="1:19" ht="0" hidden="1" customHeight="1"/>
    <row r="239" spans="1:19" ht="0" hidden="1" customHeight="1"/>
    <row r="240" spans="1:19" ht="0" hidden="1" customHeight="1"/>
    <row r="241" ht="0" hidden="1" customHeight="1"/>
    <row r="242" ht="0" hidden="1" customHeight="1"/>
    <row r="243" ht="0" hidden="1" customHeight="1"/>
    <row r="244" ht="0" hidden="1" customHeight="1"/>
    <row r="245" ht="0" hidden="1" customHeight="1"/>
  </sheetData>
  <sheetProtection algorithmName="SHA-512" hashValue="JK6p/XA3HSLfecXlUbATnllB2ALGupgnpy7i+1t2rK8xyx0YMKEkbAOXZ3rk2f9Gy7abWpf2Yvj8F4SC/9c47g==" saltValue="KJCRtWMoHQBO4jXmroxsIA==" spinCount="100000" sheet="1" objects="1" scenarios="1"/>
  <mergeCells count="34">
    <mergeCell ref="E37:F37"/>
    <mergeCell ref="E47:F47"/>
    <mergeCell ref="E57:F57"/>
    <mergeCell ref="E67:F67"/>
    <mergeCell ref="H55:I55"/>
    <mergeCell ref="J55:K55"/>
    <mergeCell ref="E137:F137"/>
    <mergeCell ref="I6:K6"/>
    <mergeCell ref="I28:K28"/>
    <mergeCell ref="I45:K45"/>
    <mergeCell ref="E27:F27"/>
    <mergeCell ref="E6:F6"/>
    <mergeCell ref="E7:F7"/>
    <mergeCell ref="E17:F17"/>
    <mergeCell ref="E97:F97"/>
    <mergeCell ref="E107:F107"/>
    <mergeCell ref="I40:K40"/>
    <mergeCell ref="J38:K38"/>
    <mergeCell ref="J43:K43"/>
    <mergeCell ref="H38:I38"/>
    <mergeCell ref="H43:I43"/>
    <mergeCell ref="E197:F197"/>
    <mergeCell ref="H57:K57"/>
    <mergeCell ref="H58:I58"/>
    <mergeCell ref="J58:K58"/>
    <mergeCell ref="E147:F147"/>
    <mergeCell ref="E157:F157"/>
    <mergeCell ref="E167:F167"/>
    <mergeCell ref="E177:F177"/>
    <mergeCell ref="E187:F187"/>
    <mergeCell ref="E117:F117"/>
    <mergeCell ref="E127:F127"/>
    <mergeCell ref="E77:F77"/>
    <mergeCell ref="E87:F87"/>
  </mergeCells>
  <pageMargins left="0.511811024" right="0.511811024" top="0.78740157499999996" bottom="0.78740157499999996" header="0.31496062000000002" footer="0.31496062000000002"/>
  <drawing r:id="rId1"/>
  <legacyDrawing r:id="rId2"/>
</worksheet>
</file>

<file path=xl/worksheets/sheet6.xml><?xml version="1.0" encoding="utf-8"?>
<worksheet xmlns="http://schemas.openxmlformats.org/spreadsheetml/2006/main" xmlns:r="http://schemas.openxmlformats.org/officeDocument/2006/relationships">
  <sheetPr codeName="Plan6"/>
  <dimension ref="A1:S162"/>
  <sheetViews>
    <sheetView showGridLines="0" zoomScale="90" zoomScaleNormal="90" workbookViewId="0">
      <pane ySplit="3" topLeftCell="A4" activePane="bottomLeft" state="frozen"/>
      <selection pane="bottomLeft" activeCell="H12" sqref="H12"/>
    </sheetView>
  </sheetViews>
  <sheetFormatPr defaultColWidth="0" defaultRowHeight="0" customHeight="1" zeroHeight="1"/>
  <cols>
    <col min="1" max="1" width="27.7109375" style="104" customWidth="1"/>
    <col min="2" max="2" width="2.7109375" customWidth="1"/>
    <col min="3" max="3" width="9.140625" customWidth="1"/>
    <col min="4" max="4" width="30.7109375" customWidth="1"/>
    <col min="5" max="6" width="15.7109375" customWidth="1"/>
    <col min="7" max="7" width="7.85546875" customWidth="1"/>
    <col min="8" max="8" width="9.140625" customWidth="1"/>
    <col min="9" max="9" width="30.7109375" customWidth="1"/>
    <col min="10" max="11" width="15.7109375" customWidth="1"/>
    <col min="12" max="19" width="20.7109375" customWidth="1"/>
    <col min="20" max="16384" width="9.140625" hidden="1"/>
  </cols>
  <sheetData>
    <row r="1" spans="1:14" s="3" customFormat="1" ht="33.950000000000003" customHeight="1">
      <c r="A1" s="104"/>
      <c r="B1" s="4"/>
      <c r="C1" s="4" t="s">
        <v>18</v>
      </c>
    </row>
    <row r="2" spans="1:14" s="3" customFormat="1" ht="21.6" customHeight="1">
      <c r="A2" s="104"/>
    </row>
    <row r="3" spans="1:14" s="3" customFormat="1" ht="21.6" customHeight="1">
      <c r="A3" s="104"/>
    </row>
    <row r="4" spans="1:14" ht="44.25" customHeight="1">
      <c r="B4" s="26"/>
      <c r="C4" s="26"/>
      <c r="D4" s="26"/>
      <c r="E4" s="26"/>
      <c r="F4" s="26"/>
      <c r="G4" s="26"/>
      <c r="H4" s="26"/>
      <c r="I4" s="26"/>
      <c r="J4" s="26"/>
      <c r="K4" s="26"/>
      <c r="L4" s="26"/>
      <c r="M4" s="26"/>
      <c r="N4" s="26"/>
    </row>
    <row r="5" spans="1:14" ht="15" customHeight="1" thickBot="1"/>
    <row r="6" spans="1:14" ht="30" customHeight="1" thickTop="1" thickBot="1">
      <c r="C6" s="45">
        <v>1000</v>
      </c>
      <c r="D6" s="149" t="s">
        <v>184</v>
      </c>
      <c r="E6" s="149"/>
      <c r="F6" s="149"/>
      <c r="H6" s="45">
        <v>3400</v>
      </c>
      <c r="I6" s="149" t="s">
        <v>341</v>
      </c>
      <c r="J6" s="149"/>
      <c r="K6" s="149"/>
    </row>
    <row r="7" spans="1:14" ht="30" customHeight="1" thickTop="1" thickBot="1">
      <c r="C7" s="10">
        <v>1110</v>
      </c>
      <c r="D7" s="51" t="s">
        <v>26</v>
      </c>
      <c r="E7" s="48">
        <f>IF(ISERROR(Bal!J7),"",Bal!J7)</f>
        <v>57560</v>
      </c>
      <c r="F7" s="12">
        <f>IF(ISERROR(Bal!K7),"",Bal!K7)</f>
        <v>0.37552192066805845</v>
      </c>
      <c r="H7" s="10">
        <v>3410</v>
      </c>
      <c r="I7" s="51" t="s">
        <v>72</v>
      </c>
      <c r="J7" s="48">
        <f>IF(ISERROR(Pas!J7),"",Pas!J7)</f>
        <v>31840</v>
      </c>
      <c r="K7" s="12">
        <f>IF(ISERROR(Pas!K7),"",Pas!K7)</f>
        <v>0.54004545608738419</v>
      </c>
      <c r="L7" s="14">
        <f>IF(ISERROR(SUM($E$7:$E$15)),"",SUM($E$7:$E$15))</f>
        <v>153280</v>
      </c>
    </row>
    <row r="8" spans="1:14" ht="30" customHeight="1" thickTop="1" thickBot="1">
      <c r="C8" s="10">
        <v>1120</v>
      </c>
      <c r="D8" s="51" t="s">
        <v>112</v>
      </c>
      <c r="E8" s="48">
        <f>IF(ISERROR(Bal!J8),"",Bal!J8)</f>
        <v>0</v>
      </c>
      <c r="F8" s="12">
        <f>IF(ISERROR(Bal!K8),"",Bal!K8)</f>
        <v>0</v>
      </c>
      <c r="H8" s="10">
        <v>3410</v>
      </c>
      <c r="I8" s="51" t="s">
        <v>342</v>
      </c>
      <c r="J8" s="48">
        <f>IF(ISERROR(Pas!J8),"",Pas!J8)</f>
        <v>0</v>
      </c>
      <c r="K8" s="12">
        <f>IF(ISERROR(Pas!K8),"",Pas!K8)</f>
        <v>0</v>
      </c>
    </row>
    <row r="9" spans="1:14" ht="30" customHeight="1" thickTop="1" thickBot="1">
      <c r="C9" s="10">
        <v>1130</v>
      </c>
      <c r="D9" s="51" t="s">
        <v>30</v>
      </c>
      <c r="E9" s="48">
        <f>IF(ISERROR(Bal!J9),"",Bal!J9)</f>
        <v>46320</v>
      </c>
      <c r="F9" s="12">
        <f>IF(ISERROR(Bal!K9),"",Bal!K9)</f>
        <v>0.30219206680584554</v>
      </c>
      <c r="H9" s="10">
        <v>3410</v>
      </c>
      <c r="I9" s="51" t="s">
        <v>290</v>
      </c>
      <c r="J9" s="48">
        <f>IF(ISERROR(Pas!J9),"",Pas!J9)</f>
        <v>0</v>
      </c>
      <c r="K9" s="12">
        <f>IF(ISERROR(Pas!K9),"",Pas!K9)</f>
        <v>0</v>
      </c>
    </row>
    <row r="10" spans="1:14" ht="30" customHeight="1" thickTop="1" thickBot="1">
      <c r="C10" s="10">
        <v>1140</v>
      </c>
      <c r="D10" s="51" t="s">
        <v>131</v>
      </c>
      <c r="E10" s="48">
        <f>IF(ISERROR(Bal!J10),"",Bal!J10)</f>
        <v>0</v>
      </c>
      <c r="F10" s="12">
        <f>IF(ISERROR(Bal!K10),"",Bal!K10)</f>
        <v>0</v>
      </c>
      <c r="H10" s="10">
        <v>3410</v>
      </c>
      <c r="I10" s="51" t="s">
        <v>297</v>
      </c>
      <c r="J10" s="48">
        <f>IF(ISERROR(Pas!J10),"",Pas!J10)</f>
        <v>12750</v>
      </c>
      <c r="K10" s="12">
        <f>IF(ISERROR(Pas!K10),"",Pas!K10)</f>
        <v>0.21625563960785643</v>
      </c>
    </row>
    <row r="11" spans="1:14" ht="30" customHeight="1" thickTop="1" thickBot="1">
      <c r="C11" s="10">
        <v>1150</v>
      </c>
      <c r="D11" s="51" t="s">
        <v>182</v>
      </c>
      <c r="E11" s="48">
        <f>IF(ISERROR(Bal!J11),"",Bal!J11)</f>
        <v>49400</v>
      </c>
      <c r="F11" s="12">
        <f>IF(ISERROR(Bal!K11),"",Bal!K11)</f>
        <v>0.32228601252609601</v>
      </c>
      <c r="H11" s="10">
        <v>3410</v>
      </c>
      <c r="I11" s="51" t="s">
        <v>307</v>
      </c>
      <c r="J11" s="48">
        <f>IF(ISERROR(Pas!J11),"",Pas!J11)</f>
        <v>8874</v>
      </c>
      <c r="K11" s="12">
        <f>IF(ISERROR(Pas!K11),"",Pas!K11)</f>
        <v>0.15051392516706807</v>
      </c>
    </row>
    <row r="12" spans="1:14" ht="30" customHeight="1" thickTop="1" thickBot="1">
      <c r="C12" s="10">
        <v>1160</v>
      </c>
      <c r="D12" s="51" t="s">
        <v>147</v>
      </c>
      <c r="E12" s="48">
        <f>IF(ISERROR(Bal!J12),"",Bal!J12)</f>
        <v>0</v>
      </c>
      <c r="F12" s="12">
        <f>IF(ISERROR(Bal!K12),"",Bal!K12)</f>
        <v>0</v>
      </c>
      <c r="H12" s="10">
        <v>3410</v>
      </c>
      <c r="I12" s="51" t="s">
        <v>317</v>
      </c>
      <c r="J12" s="48">
        <f>IF(ISERROR(Pas!J12),"",Pas!J12)</f>
        <v>5494</v>
      </c>
      <c r="K12" s="12">
        <f>IF(ISERROR(Pas!K12),"",Pas!K12)</f>
        <v>9.3184979137691235E-2</v>
      </c>
    </row>
    <row r="13" spans="1:14" ht="30" customHeight="1" thickTop="1" thickBot="1">
      <c r="C13" s="10">
        <v>1170</v>
      </c>
      <c r="D13" s="51" t="s">
        <v>156</v>
      </c>
      <c r="E13" s="48">
        <f>IF(ISERROR(Bal!J13),"",Bal!J13)</f>
        <v>0</v>
      </c>
      <c r="F13" s="12">
        <f>IF(ISERROR(Bal!K13),"",Bal!K13)</f>
        <v>0</v>
      </c>
      <c r="H13" s="10">
        <v>3410</v>
      </c>
      <c r="I13" s="51" t="s">
        <v>343</v>
      </c>
      <c r="J13" s="48">
        <f>IF(ISERROR(Pas!J13),"",Pas!J13)</f>
        <v>0</v>
      </c>
      <c r="K13" s="12">
        <f>IF(ISERROR(Pas!K13),"",Pas!K13)</f>
        <v>0</v>
      </c>
    </row>
    <row r="14" spans="1:14" ht="30" customHeight="1" thickTop="1" thickBot="1">
      <c r="C14" s="10">
        <v>1180</v>
      </c>
      <c r="D14" s="51" t="s">
        <v>163</v>
      </c>
      <c r="E14" s="48">
        <f>IF(ISERROR(Bal!J14),"",Bal!J14)</f>
        <v>0</v>
      </c>
      <c r="F14" s="12">
        <f>IF(ISERROR(Bal!K14),"",Bal!K14)</f>
        <v>0</v>
      </c>
      <c r="H14" s="10">
        <v>3410</v>
      </c>
      <c r="I14" s="51" t="s">
        <v>330</v>
      </c>
      <c r="J14" s="48">
        <f>IF(ISERROR(Pas!J14),"",Pas!J14)</f>
        <v>0</v>
      </c>
      <c r="K14" s="12">
        <f>IF(ISERROR(Pas!K14),"",Pas!K14)</f>
        <v>0</v>
      </c>
    </row>
    <row r="15" spans="1:14" ht="30" customHeight="1" thickTop="1" thickBot="1">
      <c r="C15" s="10">
        <v>1190</v>
      </c>
      <c r="D15" s="51" t="s">
        <v>31</v>
      </c>
      <c r="E15" s="48">
        <f>IF(ISERROR(Bal!J15),"",Bal!J15)</f>
        <v>0</v>
      </c>
      <c r="F15" s="12">
        <f>IF(ISERROR(Bal!K15),"",Bal!K15)</f>
        <v>0</v>
      </c>
      <c r="H15" s="10">
        <v>3410</v>
      </c>
      <c r="I15" s="51" t="s">
        <v>338</v>
      </c>
      <c r="J15" s="48">
        <f>IF(ISERROR(Pas!J15),"",Pas!J15)</f>
        <v>0</v>
      </c>
      <c r="K15" s="12">
        <f>IF(ISERROR(Pas!K15),"",Pas!K15)</f>
        <v>0</v>
      </c>
    </row>
    <row r="16" spans="1:14" ht="30" customHeight="1" thickTop="1" thickBot="1">
      <c r="C16" s="143" t="s">
        <v>34</v>
      </c>
      <c r="D16" s="143"/>
      <c r="E16" s="146">
        <f>IF(ISERROR(SUM(E7:E15)),"",SUM(E7:E15))</f>
        <v>153280</v>
      </c>
      <c r="F16" s="146"/>
      <c r="H16" s="143" t="s">
        <v>34</v>
      </c>
      <c r="I16" s="143"/>
      <c r="J16" s="146">
        <f>IF(ISERROR(SUM(J7:J15)),"",SUM(J7:J15))</f>
        <v>58958</v>
      </c>
      <c r="K16" s="146"/>
    </row>
    <row r="17" spans="3:11" ht="30" customHeight="1" thickTop="1" thickBot="1"/>
    <row r="18" spans="3:11" ht="30" customHeight="1" thickTop="1" thickBot="1">
      <c r="C18" s="45">
        <v>2000</v>
      </c>
      <c r="D18" s="149" t="s">
        <v>222</v>
      </c>
      <c r="E18" s="149"/>
      <c r="F18" s="149"/>
      <c r="H18" s="45">
        <v>4000</v>
      </c>
      <c r="I18" s="149" t="s">
        <v>516</v>
      </c>
      <c r="J18" s="149"/>
      <c r="K18" s="149"/>
    </row>
    <row r="19" spans="3:11" ht="30" customHeight="1" thickTop="1" thickBot="1">
      <c r="C19" s="10">
        <v>2200</v>
      </c>
      <c r="D19" s="51" t="s">
        <v>187</v>
      </c>
      <c r="E19" s="48">
        <f>IF(ISERROR(Atin!J7),"",Atin!J7)</f>
        <v>65000</v>
      </c>
      <c r="F19" s="12">
        <f>IF(ISERROR(Atin!K7),"",Atin!K7)</f>
        <v>0.45936395759717313</v>
      </c>
      <c r="H19" s="10">
        <v>4510</v>
      </c>
      <c r="I19" s="51" t="s">
        <v>72</v>
      </c>
      <c r="J19" s="48">
        <f>IF(ISERROR(Pasn!J7),"",Pasn!J7)</f>
        <v>50000</v>
      </c>
      <c r="K19" s="12">
        <f>IF(ISERROR(Pasn!K7),"",Pasn!K7)</f>
        <v>0.21202432343038394</v>
      </c>
    </row>
    <row r="20" spans="3:11" ht="30" customHeight="1" thickTop="1" thickBot="1">
      <c r="C20" s="10">
        <v>2220</v>
      </c>
      <c r="D20" s="51" t="s">
        <v>195</v>
      </c>
      <c r="E20" s="48">
        <f>IF(ISERROR(Atin!J8),"",Atin!J8)</f>
        <v>0</v>
      </c>
      <c r="F20" s="12">
        <f>IF(ISERROR(Atin!K8),"",Atin!K8)</f>
        <v>0</v>
      </c>
      <c r="H20" s="10">
        <v>4520</v>
      </c>
      <c r="I20" s="51" t="s">
        <v>385</v>
      </c>
      <c r="J20" s="48">
        <f>IF(ISERROR(Pasn!J8),"",Pasn!J8)</f>
        <v>0</v>
      </c>
      <c r="K20" s="12">
        <f>IF(ISERROR(Pasn!K8),"",Pasn!K8)</f>
        <v>0</v>
      </c>
    </row>
    <row r="21" spans="3:11" ht="30" customHeight="1" thickTop="1" thickBot="1">
      <c r="C21" s="10">
        <v>2230</v>
      </c>
      <c r="D21" s="51" t="s">
        <v>201</v>
      </c>
      <c r="E21" s="48">
        <f>IF(ISERROR(Atin!J9),"",Atin!J9)</f>
        <v>0</v>
      </c>
      <c r="F21" s="12">
        <f>IF(ISERROR(Atin!K9),"",Atin!K9)</f>
        <v>0</v>
      </c>
      <c r="H21" s="10">
        <v>4530</v>
      </c>
      <c r="I21" s="17" t="s">
        <v>290</v>
      </c>
      <c r="J21" s="48">
        <f>IF(ISERROR(Pasn!J9),"",Pasn!J9)</f>
        <v>0</v>
      </c>
      <c r="K21" s="12">
        <f>IF(ISERROR(Pasn!K9),"",Pasn!K9)</f>
        <v>0</v>
      </c>
    </row>
    <row r="22" spans="3:11" ht="30" customHeight="1" thickTop="1" thickBot="1">
      <c r="C22" s="10">
        <v>2240</v>
      </c>
      <c r="D22" s="51" t="s">
        <v>33</v>
      </c>
      <c r="E22" s="48">
        <f>IF(ISERROR(Atin!J10),"",Atin!J10)</f>
        <v>0</v>
      </c>
      <c r="F22" s="12">
        <f>IF(ISERROR(Atin!K10),"",Atin!K10)</f>
        <v>0</v>
      </c>
      <c r="H22" s="10">
        <v>4540</v>
      </c>
      <c r="I22" s="51" t="s">
        <v>297</v>
      </c>
      <c r="J22" s="48">
        <f>IF(ISERROR(Pasn!J10),"",Pasn!J10)</f>
        <v>0</v>
      </c>
      <c r="K22" s="12">
        <f>IF(ISERROR(Pasn!K10),"",Pasn!K10)</f>
        <v>0</v>
      </c>
    </row>
    <row r="23" spans="3:11" ht="30" customHeight="1" thickTop="1" thickBot="1">
      <c r="C23" s="10">
        <v>2250</v>
      </c>
      <c r="D23" s="51" t="s">
        <v>209</v>
      </c>
      <c r="E23" s="48">
        <f>IF(ISERROR(Atin!J11),"",Atin!J11)</f>
        <v>0</v>
      </c>
      <c r="F23" s="12">
        <f>IF(ISERROR(Atin!K11),"",Atin!K11)</f>
        <v>0</v>
      </c>
      <c r="H23" s="10">
        <v>4550</v>
      </c>
      <c r="I23" s="51" t="s">
        <v>307</v>
      </c>
      <c r="J23" s="48">
        <f>IF(ISERROR(Pasn!J11),"",Pasn!J11)</f>
        <v>0</v>
      </c>
      <c r="K23" s="12">
        <f>IF(ISERROR(Pasn!K11),"",Pasn!K11)</f>
        <v>0</v>
      </c>
    </row>
    <row r="24" spans="3:11" ht="30" customHeight="1" thickTop="1" thickBot="1">
      <c r="C24" s="10">
        <v>2290</v>
      </c>
      <c r="D24" s="51" t="s">
        <v>216</v>
      </c>
      <c r="E24" s="48">
        <f>IF(ISERROR(Atin!J12),"",Atin!J12)</f>
        <v>0</v>
      </c>
      <c r="F24" s="12">
        <f>IF(ISERROR(Atin!K12),"",Atin!K12)</f>
        <v>0</v>
      </c>
      <c r="H24" s="10">
        <v>4560</v>
      </c>
      <c r="I24" s="51" t="s">
        <v>386</v>
      </c>
      <c r="J24" s="48">
        <f>IF(ISERROR(Pasn!J12),"",Pasn!J12)</f>
        <v>0</v>
      </c>
      <c r="K24" s="12">
        <f>IF(ISERROR(Pasn!K12),"",Pasn!K12)</f>
        <v>0</v>
      </c>
    </row>
    <row r="25" spans="3:11" ht="30" customHeight="1" thickTop="1" thickBot="1">
      <c r="C25" s="10">
        <v>2310</v>
      </c>
      <c r="D25" s="51" t="s">
        <v>223</v>
      </c>
      <c r="E25" s="48">
        <f>IF(ISERROR(Atin!J13),"",Atin!J13)</f>
        <v>0</v>
      </c>
      <c r="F25" s="12">
        <f>IF(ISERROR(Atin!K13),"",Atin!K13)</f>
        <v>0</v>
      </c>
      <c r="H25" s="10">
        <v>4570</v>
      </c>
      <c r="I25" s="51" t="s">
        <v>343</v>
      </c>
      <c r="J25" s="48">
        <f>IF(ISERROR(Pasn!J13),"",Pasn!J13)</f>
        <v>0</v>
      </c>
      <c r="K25" s="12">
        <f>IF(ISERROR(Pasn!K13),"",Pasn!K13)</f>
        <v>0</v>
      </c>
    </row>
    <row r="26" spans="3:11" ht="30" customHeight="1" thickTop="1" thickBot="1">
      <c r="C26" s="10">
        <v>2320</v>
      </c>
      <c r="D26" s="51" t="s">
        <v>56</v>
      </c>
      <c r="E26" s="48">
        <f>IF(ISERROR(Atin!J14),"",Atin!J14)</f>
        <v>50000</v>
      </c>
      <c r="F26" s="12">
        <f>IF(ISERROR(Atin!K14),"",Atin!K14)</f>
        <v>0.35335689045936397</v>
      </c>
      <c r="H26" s="10">
        <v>4580</v>
      </c>
      <c r="I26" s="51" t="s">
        <v>381</v>
      </c>
      <c r="J26" s="48">
        <f>IF(ISERROR(Pasn!J14),"",Pasn!J14)</f>
        <v>0</v>
      </c>
      <c r="K26" s="12">
        <f>IF(ISERROR(Pasn!K14),"",Pasn!K14)</f>
        <v>0</v>
      </c>
    </row>
    <row r="27" spans="3:11" ht="30" customHeight="1" thickTop="1" thickBot="1">
      <c r="C27" s="10">
        <v>2330</v>
      </c>
      <c r="D27" s="51" t="s">
        <v>240</v>
      </c>
      <c r="E27" s="48">
        <f>IF(ISERROR(Atin!J15),"",Atin!J15)</f>
        <v>18500</v>
      </c>
      <c r="F27" s="12">
        <f>IF(ISERROR(Atin!K15),"",Atin!K15)</f>
        <v>0.13074204946996468</v>
      </c>
      <c r="H27" s="10">
        <v>4590</v>
      </c>
      <c r="I27" s="51" t="s">
        <v>338</v>
      </c>
      <c r="J27" s="48">
        <f>IF(ISERROR(Pasn!J15),"",Pasn!J15)</f>
        <v>0</v>
      </c>
      <c r="K27" s="12">
        <f>IF(ISERROR(Pasn!K15),"",Pasn!K15)</f>
        <v>0</v>
      </c>
    </row>
    <row r="28" spans="3:11" ht="30" customHeight="1" thickTop="1" thickBot="1">
      <c r="C28" s="10">
        <v>2340</v>
      </c>
      <c r="D28" s="51" t="s">
        <v>249</v>
      </c>
      <c r="E28" s="48">
        <f>IF(ISERROR(Atin!J16),"",Atin!J16)</f>
        <v>20000</v>
      </c>
      <c r="F28" s="12">
        <f>IF(ISERROR(Atin!K16),"",Atin!K16)</f>
        <v>0.14134275618374559</v>
      </c>
      <c r="H28" s="10">
        <v>4610</v>
      </c>
      <c r="I28" s="51" t="s">
        <v>400</v>
      </c>
      <c r="J28" s="48">
        <f>IF(ISERROR(Pasn!J16),"",Pasn!J16)</f>
        <v>0</v>
      </c>
      <c r="K28" s="12">
        <f>IF(ISERROR(Pasn!K16),"",Pasn!K16)</f>
        <v>0</v>
      </c>
    </row>
    <row r="29" spans="3:11" ht="30" customHeight="1" thickTop="1" thickBot="1">
      <c r="C29" s="10">
        <v>2350</v>
      </c>
      <c r="D29" s="51" t="s">
        <v>257</v>
      </c>
      <c r="E29" s="48">
        <f>IF(ISERROR(Atin!J17),"",Atin!J17)</f>
        <v>0</v>
      </c>
      <c r="F29" s="12">
        <f>IF(ISERROR(Atin!K17),"",Atin!K17)</f>
        <v>0</v>
      </c>
      <c r="H29" s="10">
        <v>4620</v>
      </c>
      <c r="I29" s="51" t="s">
        <v>394</v>
      </c>
      <c r="J29" s="48">
        <f>IF(ISERROR(Pasn!J17),"",Pasn!J17)</f>
        <v>0</v>
      </c>
      <c r="K29" s="12">
        <f>IF(ISERROR(Pasn!K17),"",Pasn!K17)</f>
        <v>0</v>
      </c>
    </row>
    <row r="30" spans="3:11" ht="30" customHeight="1" thickTop="1" thickBot="1">
      <c r="C30" s="10">
        <v>2360</v>
      </c>
      <c r="D30" s="51" t="s">
        <v>264</v>
      </c>
      <c r="E30" s="48">
        <f>IF(ISERROR(Atin!J18),"",Atin!J18)</f>
        <v>0</v>
      </c>
      <c r="F30" s="12">
        <f>IF(ISERROR(Atin!K18),"",Atin!K18)</f>
        <v>0</v>
      </c>
      <c r="H30" s="10">
        <v>5710</v>
      </c>
      <c r="I30" s="51" t="s">
        <v>401</v>
      </c>
      <c r="J30" s="48">
        <f>IF(ISERROR(Pasn!J18),"",Pasn!J18)</f>
        <v>120000</v>
      </c>
      <c r="K30" s="12">
        <f>IF(ISERROR(Pasn!K18),"",Pasn!K18)</f>
        <v>0.50885837623292141</v>
      </c>
    </row>
    <row r="31" spans="3:11" ht="30" customHeight="1" thickTop="1" thickBot="1">
      <c r="C31" s="10">
        <v>2370</v>
      </c>
      <c r="D31" s="51" t="s">
        <v>269</v>
      </c>
      <c r="E31" s="48">
        <f>IF(ISERROR(Atin!J19),"",Atin!J19)</f>
        <v>0</v>
      </c>
      <c r="F31" s="12">
        <f>IF(ISERROR(Atin!K19),"",Atin!K19)</f>
        <v>0</v>
      </c>
      <c r="H31" s="10">
        <v>5720</v>
      </c>
      <c r="I31" s="51" t="s">
        <v>411</v>
      </c>
      <c r="J31" s="48">
        <f>IF(ISERROR(Pasn!J19),"",Pasn!J19)</f>
        <v>1556</v>
      </c>
      <c r="K31" s="12">
        <f>IF(ISERROR(Pasn!K19),"",Pasn!K19)</f>
        <v>6.5981969451535481E-3</v>
      </c>
    </row>
    <row r="32" spans="3:11" ht="30" customHeight="1" thickTop="1" thickBot="1">
      <c r="C32" s="10">
        <v>2380</v>
      </c>
      <c r="D32" s="18" t="s">
        <v>270</v>
      </c>
      <c r="E32" s="48">
        <f>IF(ISERROR(Atin!J20),"",Atin!J20)</f>
        <v>0</v>
      </c>
      <c r="F32" s="12">
        <f>IF(ISERROR(Atin!K20),"",Atin!K20)</f>
        <v>0</v>
      </c>
      <c r="H32" s="10">
        <v>5730</v>
      </c>
      <c r="I32" s="51" t="s">
        <v>421</v>
      </c>
      <c r="J32" s="48">
        <f>IF(ISERROR(Pasn!J20),"",Pasn!J20)</f>
        <v>0</v>
      </c>
      <c r="K32" s="12">
        <f>IF(ISERROR(Pasn!K20),"",Pasn!K20)</f>
        <v>0</v>
      </c>
    </row>
    <row r="33" spans="3:11" ht="30" customHeight="1" thickTop="1" thickBot="1">
      <c r="C33" s="10">
        <v>2390</v>
      </c>
      <c r="D33" s="18" t="s">
        <v>271</v>
      </c>
      <c r="E33" s="48">
        <f>IF(ISERROR(Atin!J21),"",Atin!J21)</f>
        <v>-12000</v>
      </c>
      <c r="F33" s="12">
        <f>IF(ISERROR(Atin!K21),"",Atin!K21)</f>
        <v>-8.4805653710247356E-2</v>
      </c>
      <c r="H33" s="10">
        <v>5740</v>
      </c>
      <c r="I33" s="51" t="s">
        <v>431</v>
      </c>
      <c r="J33" s="48">
        <f>IF(ISERROR(Pasn!J21),"",Pasn!J21)</f>
        <v>0</v>
      </c>
      <c r="K33" s="12">
        <f>IF(ISERROR(Pasn!K21),"",Pasn!K21)</f>
        <v>0</v>
      </c>
    </row>
    <row r="34" spans="3:11" ht="30" customHeight="1" thickTop="1" thickBot="1">
      <c r="C34" s="143" t="s">
        <v>34</v>
      </c>
      <c r="D34" s="143"/>
      <c r="E34" s="146">
        <f>IF(ISERROR(SUM(E19:E33)),"",SUM(E19:E33))</f>
        <v>141500</v>
      </c>
      <c r="F34" s="146"/>
      <c r="H34" s="10">
        <v>5750</v>
      </c>
      <c r="I34" s="51" t="s">
        <v>440</v>
      </c>
      <c r="J34" s="48">
        <f>IF(ISERROR(Pasn!J22),"",Pasn!J22)</f>
        <v>64266</v>
      </c>
      <c r="K34" s="12">
        <f>IF(ISERROR(Pasn!K22),"",Pasn!K22)</f>
        <v>0.27251910339154106</v>
      </c>
    </row>
    <row r="35" spans="3:11" ht="30" customHeight="1" thickTop="1" thickBot="1">
      <c r="H35" s="10">
        <v>5760</v>
      </c>
      <c r="I35" s="51" t="s">
        <v>448</v>
      </c>
      <c r="J35" s="48">
        <f>IF(ISERROR(Pasn!J23),"",Pasn!J23)</f>
        <v>0</v>
      </c>
      <c r="K35" s="12">
        <f>IF(ISERROR(Pasn!K23),"",Pasn!K23)</f>
        <v>0</v>
      </c>
    </row>
    <row r="36" spans="3:11" ht="30" customHeight="1" thickTop="1" thickBot="1">
      <c r="C36" s="147" t="s">
        <v>588</v>
      </c>
      <c r="D36" s="147"/>
      <c r="E36" s="147"/>
      <c r="F36" s="147"/>
      <c r="H36" s="10">
        <v>5770</v>
      </c>
      <c r="I36" s="51" t="s">
        <v>450</v>
      </c>
      <c r="J36" s="48">
        <f>IF(ISERROR(Pasn!J24),"",Pasn!J24)</f>
        <v>0</v>
      </c>
      <c r="K36" s="12">
        <f>IF(ISERROR(Pasn!K24),"",Pasn!K24)</f>
        <v>0</v>
      </c>
    </row>
    <row r="37" spans="3:11" ht="30" customHeight="1" thickTop="1" thickBot="1">
      <c r="C37" s="148" t="s">
        <v>586</v>
      </c>
      <c r="D37" s="148"/>
      <c r="E37" s="137">
        <f>IF(ISERROR(E34+E16),"",E34+E16)</f>
        <v>294780</v>
      </c>
      <c r="F37" s="138"/>
      <c r="H37" s="10">
        <v>5780</v>
      </c>
      <c r="I37" s="51" t="s">
        <v>451</v>
      </c>
      <c r="J37" s="48">
        <f>IF(ISERROR(Pasn!J25),"",Pasn!J25)</f>
        <v>0</v>
      </c>
      <c r="K37" s="12">
        <f>IF(ISERROR(Pasn!K25),"",Pasn!K25)</f>
        <v>0</v>
      </c>
    </row>
    <row r="38" spans="3:11" ht="30" customHeight="1" thickTop="1" thickBot="1">
      <c r="C38" s="148" t="s">
        <v>587</v>
      </c>
      <c r="D38" s="148"/>
      <c r="E38" s="137">
        <f>IF(ISERROR(J16+J39),"",J16+J39)</f>
        <v>294780</v>
      </c>
      <c r="F38" s="138"/>
      <c r="H38" s="10">
        <v>5790</v>
      </c>
      <c r="I38" s="51" t="s">
        <v>463</v>
      </c>
      <c r="J38" s="48">
        <f>IF(ISERROR(Pasn!J26),"",Pasn!J26)</f>
        <v>0</v>
      </c>
      <c r="K38" s="12">
        <f>IF(ISERROR(Pasn!K26),"",Pasn!K26)</f>
        <v>0</v>
      </c>
    </row>
    <row r="39" spans="3:11" ht="30" customHeight="1" thickTop="1" thickBot="1">
      <c r="C39" s="143" t="s">
        <v>34</v>
      </c>
      <c r="D39" s="143"/>
      <c r="E39" s="146">
        <f>IF(ISERROR(E37-E38),"",E37-E38)</f>
        <v>0</v>
      </c>
      <c r="F39" s="146"/>
      <c r="H39" s="143" t="s">
        <v>34</v>
      </c>
      <c r="I39" s="143"/>
      <c r="J39" s="146">
        <f>IF(ISERROR(SUM(J19:J38)),"",SUM(J19:J38))</f>
        <v>235822</v>
      </c>
      <c r="K39" s="146"/>
    </row>
    <row r="40" spans="3:11" ht="30" customHeight="1" thickTop="1"/>
    <row r="41" spans="3:11" ht="30" customHeight="1"/>
    <row r="42" spans="3:11" ht="30" customHeight="1"/>
    <row r="43" spans="3:11" ht="30" customHeight="1"/>
    <row r="44" spans="3:11" ht="30" customHeight="1"/>
    <row r="45" spans="3:11" ht="30" customHeight="1"/>
    <row r="46" spans="3:11" ht="30" customHeight="1"/>
    <row r="47" spans="3:11" ht="30" customHeight="1"/>
    <row r="48" spans="3:11"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3.950000000000003" customHeight="1"/>
    <row r="100" ht="33.950000000000003" customHeight="1"/>
    <row r="101" ht="33.950000000000003" customHeight="1"/>
    <row r="102" ht="33.950000000000003" customHeight="1"/>
    <row r="103" ht="33.950000000000003" customHeight="1"/>
    <row r="104" ht="33.950000000000003" customHeight="1"/>
    <row r="105" ht="33.950000000000003" customHeight="1"/>
    <row r="106" ht="33.950000000000003" customHeight="1"/>
    <row r="107" ht="33.950000000000003" customHeight="1"/>
    <row r="108" ht="33.950000000000003" customHeight="1"/>
    <row r="109" ht="33.950000000000003" customHeight="1"/>
    <row r="110" ht="33.950000000000003" customHeight="1"/>
    <row r="111" ht="33.950000000000003" customHeight="1"/>
    <row r="112" ht="33.950000000000003" customHeight="1"/>
    <row r="113" ht="33.950000000000003" customHeight="1"/>
    <row r="114" ht="33.950000000000003" customHeight="1"/>
    <row r="115" ht="33.950000000000003" customHeight="1"/>
    <row r="116" ht="33.950000000000003" customHeight="1"/>
    <row r="117" ht="33.950000000000003" customHeight="1"/>
    <row r="118" ht="33.950000000000003" customHeight="1"/>
    <row r="119" ht="33.950000000000003" customHeight="1"/>
    <row r="120" ht="33.950000000000003" customHeight="1"/>
    <row r="121" ht="33.950000000000003" customHeight="1"/>
    <row r="122" ht="33.950000000000003" customHeight="1"/>
    <row r="123" ht="33.950000000000003" customHeight="1"/>
    <row r="124" ht="33.950000000000003" customHeight="1"/>
    <row r="125" ht="33.950000000000003" customHeight="1"/>
    <row r="126" ht="33.950000000000003" customHeight="1"/>
    <row r="127" ht="33.950000000000003" hidden="1" customHeight="1"/>
    <row r="128" ht="15" hidden="1"/>
    <row r="129" ht="15" hidden="1"/>
    <row r="130" ht="15" hidden="1"/>
    <row r="131" ht="15" hidden="1"/>
    <row r="132" ht="15" hidden="1"/>
    <row r="133" ht="15" hidden="1"/>
    <row r="134" ht="15" hidden="1"/>
    <row r="135" ht="15" hidden="1"/>
    <row r="136" ht="15" hidden="1"/>
    <row r="137" ht="15" hidden="1"/>
    <row r="138" ht="15" hidden="1"/>
    <row r="139" ht="15" hidden="1"/>
    <row r="140" ht="15" hidden="1"/>
    <row r="141" ht="15" hidden="1"/>
    <row r="142" ht="15" hidden="1"/>
    <row r="143" ht="15" hidden="1"/>
    <row r="144" ht="15"/>
    <row r="145" ht="15"/>
    <row r="146" ht="15"/>
    <row r="147" ht="15"/>
    <row r="148" ht="15" hidden="1"/>
    <row r="149" ht="15" hidden="1"/>
    <row r="150" ht="15"/>
    <row r="151" ht="15" hidden="1"/>
    <row r="152" ht="15" hidden="1"/>
    <row r="153" ht="15"/>
    <row r="154" ht="15"/>
    <row r="155" ht="15" hidden="1"/>
    <row r="156" ht="15" hidden="1"/>
    <row r="157" ht="15" hidden="1"/>
    <row r="158" ht="15" hidden="1"/>
    <row r="159" ht="15" hidden="1"/>
    <row r="160" ht="15" hidden="1"/>
    <row r="161" ht="15" hidden="1"/>
    <row r="162" ht="15"/>
  </sheetData>
  <sheetProtection algorithmName="SHA-512" hashValue="Szh+rKk9n2HKTcESkgd5Lxu1LIlAuTPNdqyzWUnEVCmpzAcdyRDFB2b3xAiEtQY18e0oCTYzBoUQb4yOFF/DTg==" saltValue="FlDAAHCWy7DYVzaYrLRitw==" spinCount="100000" sheet="1" objects="1" scenarios="1"/>
  <mergeCells count="19">
    <mergeCell ref="C36:F36"/>
    <mergeCell ref="D18:F18"/>
    <mergeCell ref="I6:K6"/>
    <mergeCell ref="I18:K18"/>
    <mergeCell ref="H39:I39"/>
    <mergeCell ref="J39:K39"/>
    <mergeCell ref="C34:D34"/>
    <mergeCell ref="D6:F6"/>
    <mergeCell ref="E34:F34"/>
    <mergeCell ref="C16:D16"/>
    <mergeCell ref="E16:F16"/>
    <mergeCell ref="H16:I16"/>
    <mergeCell ref="J16:K16"/>
    <mergeCell ref="C37:D37"/>
    <mergeCell ref="E37:F37"/>
    <mergeCell ref="C38:D38"/>
    <mergeCell ref="E38:F38"/>
    <mergeCell ref="C39:D39"/>
    <mergeCell ref="E39:F39"/>
  </mergeCells>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sheetPr codeName="Plan7"/>
  <dimension ref="A1:S101"/>
  <sheetViews>
    <sheetView showGridLines="0" tabSelected="1" zoomScale="90" zoomScaleNormal="90" workbookViewId="0">
      <pane ySplit="3" topLeftCell="A4" activePane="bottomLeft" state="frozen"/>
      <selection pane="bottomLeft" activeCell="E20" sqref="E20"/>
    </sheetView>
  </sheetViews>
  <sheetFormatPr defaultColWidth="0" defaultRowHeight="15" zeroHeight="1"/>
  <cols>
    <col min="1" max="1" width="27.7109375" style="104" customWidth="1"/>
    <col min="2" max="2" width="2.7109375" customWidth="1"/>
    <col min="3" max="3" width="9.140625" customWidth="1"/>
    <col min="4" max="4" width="50.7109375" customWidth="1"/>
    <col min="5" max="6" width="15.7109375" customWidth="1"/>
    <col min="7" max="7" width="7.85546875" customWidth="1"/>
    <col min="8" max="8" width="9.140625" customWidth="1"/>
    <col min="9" max="9" width="30.7109375" customWidth="1"/>
    <col min="10" max="11" width="15.7109375" customWidth="1"/>
    <col min="12" max="15" width="20.7109375" customWidth="1"/>
    <col min="16" max="19" width="0" hidden="1" customWidth="1"/>
    <col min="20" max="16384" width="9.140625" hidden="1"/>
  </cols>
  <sheetData>
    <row r="1" spans="1:15" s="3" customFormat="1" ht="33.950000000000003" customHeight="1">
      <c r="A1" s="103"/>
      <c r="B1" s="59"/>
      <c r="C1" s="59" t="s">
        <v>19</v>
      </c>
      <c r="D1" s="58"/>
      <c r="E1" s="58"/>
      <c r="F1" s="58"/>
      <c r="G1" s="58"/>
      <c r="H1" s="58"/>
      <c r="I1" s="58"/>
      <c r="J1" s="58"/>
      <c r="K1" s="58"/>
      <c r="L1" s="58"/>
      <c r="M1" s="58"/>
      <c r="N1" s="58"/>
      <c r="O1" s="58"/>
    </row>
    <row r="2" spans="1:15" s="3" customFormat="1" ht="21.6" customHeight="1">
      <c r="A2" s="103"/>
      <c r="B2" s="58"/>
      <c r="C2" s="58"/>
      <c r="D2" s="58"/>
      <c r="E2" s="58"/>
      <c r="F2" s="58"/>
      <c r="G2" s="58"/>
      <c r="H2" s="58"/>
      <c r="I2" s="58"/>
      <c r="J2" s="58"/>
      <c r="K2" s="58"/>
      <c r="L2" s="58"/>
      <c r="M2" s="58"/>
      <c r="N2" s="58"/>
      <c r="O2" s="58"/>
    </row>
    <row r="3" spans="1:15" s="3" customFormat="1" ht="21.6" customHeight="1">
      <c r="A3" s="103"/>
      <c r="B3" s="58"/>
      <c r="C3" s="58"/>
      <c r="D3" s="58"/>
      <c r="E3" s="58"/>
      <c r="F3" s="58"/>
      <c r="G3" s="58"/>
      <c r="H3" s="58"/>
      <c r="I3" s="58"/>
      <c r="J3" s="58"/>
      <c r="K3" s="58"/>
      <c r="L3" s="58"/>
      <c r="M3" s="58"/>
      <c r="N3" s="58"/>
      <c r="O3" s="58"/>
    </row>
    <row r="4" spans="1:15" s="106" customFormat="1" ht="44.25" customHeight="1">
      <c r="A4" s="103"/>
      <c r="B4" s="26"/>
      <c r="C4" s="26"/>
      <c r="D4" s="26"/>
      <c r="E4" s="26"/>
      <c r="F4" s="26"/>
      <c r="G4" s="26"/>
      <c r="H4" s="26"/>
      <c r="I4" s="26"/>
      <c r="J4" s="26"/>
      <c r="K4" s="26"/>
      <c r="L4" s="26"/>
      <c r="M4" s="26"/>
      <c r="N4" s="26"/>
      <c r="O4" s="26"/>
    </row>
    <row r="5" spans="1:15" ht="15" customHeight="1" thickBot="1">
      <c r="A5" s="103"/>
      <c r="B5" s="41"/>
      <c r="C5" s="41"/>
      <c r="D5" s="41"/>
      <c r="E5" s="41"/>
      <c r="F5" s="41"/>
      <c r="G5" s="41"/>
      <c r="H5" s="41"/>
      <c r="I5" s="41"/>
      <c r="J5" s="41"/>
      <c r="K5" s="41"/>
      <c r="L5" s="41"/>
      <c r="M5" s="41"/>
      <c r="N5" s="41"/>
      <c r="O5" s="41"/>
    </row>
    <row r="6" spans="1:15" ht="30" customHeight="1" thickTop="1" thickBot="1">
      <c r="A6" s="103"/>
      <c r="B6" s="41"/>
      <c r="C6" s="45">
        <v>6800</v>
      </c>
      <c r="D6" s="49" t="s">
        <v>488</v>
      </c>
      <c r="E6" s="151">
        <f>IF(ISERROR($E$7+$E$17+$E$27+$E$37+$E$47+$E$57+$E$67+$E$77+$E$87),"",$E$7+$E$17+$E$27+$E$37+$E$47+$E$57+$E$67+$E$77+$E$87)</f>
        <v>408670</v>
      </c>
      <c r="F6" s="151"/>
      <c r="G6" s="41"/>
      <c r="H6" s="45">
        <v>6800</v>
      </c>
      <c r="I6" s="128" t="s">
        <v>489</v>
      </c>
      <c r="J6" s="129"/>
      <c r="K6" s="130"/>
      <c r="L6" s="41"/>
      <c r="M6" s="41"/>
      <c r="N6" s="41"/>
      <c r="O6" s="41"/>
    </row>
    <row r="7" spans="1:15" ht="30" customHeight="1" thickTop="1" thickBot="1">
      <c r="A7" s="103"/>
      <c r="B7" s="41"/>
      <c r="C7" s="10">
        <v>6810</v>
      </c>
      <c r="D7" s="72" t="s">
        <v>464</v>
      </c>
      <c r="E7" s="126">
        <f>IF(ISERROR(SUM(E8:E16)),"",SUM(E8:E16))</f>
        <v>0</v>
      </c>
      <c r="F7" s="150"/>
      <c r="G7" s="41"/>
      <c r="H7" s="10">
        <v>6810</v>
      </c>
      <c r="I7" s="51" t="s">
        <v>464</v>
      </c>
      <c r="J7" s="48">
        <f>IF(ISERROR($E$7),"",$E$7)</f>
        <v>0</v>
      </c>
      <c r="K7" s="12">
        <f>IF(ISERROR(J7/$L$7),"",J7/$L$7)</f>
        <v>0</v>
      </c>
      <c r="L7" s="62">
        <f>IF(ISERROR(SUM($J$7:$J$15)),"",SUM($J$7:$J$15))</f>
        <v>408670</v>
      </c>
      <c r="M7" s="41"/>
      <c r="N7" s="41"/>
      <c r="O7" s="41"/>
    </row>
    <row r="8" spans="1:15" ht="30" customHeight="1" thickTop="1" thickBot="1">
      <c r="A8" s="103"/>
      <c r="B8" s="41"/>
      <c r="C8" s="11">
        <v>6811</v>
      </c>
      <c r="D8" s="63" t="s">
        <v>465</v>
      </c>
      <c r="E8" s="64"/>
      <c r="F8" s="12" t="str">
        <f>IF(ISERROR(E8/$E$7),"",E8/$E$7)</f>
        <v/>
      </c>
      <c r="G8" s="41"/>
      <c r="H8" s="10">
        <v>6820</v>
      </c>
      <c r="I8" s="51" t="s">
        <v>468</v>
      </c>
      <c r="J8" s="48">
        <f>IF(ISERROR($E$17),"",$E$17)</f>
        <v>408670</v>
      </c>
      <c r="K8" s="12">
        <f t="shared" ref="K8:K15" si="0">IF(ISERROR(J8/$L$7),"",J8/$L$7)</f>
        <v>1</v>
      </c>
      <c r="L8" s="41"/>
      <c r="M8" s="41"/>
      <c r="N8" s="41"/>
      <c r="O8" s="41"/>
    </row>
    <row r="9" spans="1:15" ht="30" customHeight="1" thickTop="1" thickBot="1">
      <c r="A9" s="103"/>
      <c r="B9" s="41"/>
      <c r="C9" s="11">
        <v>6812</v>
      </c>
      <c r="D9" s="63" t="s">
        <v>466</v>
      </c>
      <c r="E9" s="64"/>
      <c r="F9" s="12" t="str">
        <f t="shared" ref="F9:F16" si="1">IF(ISERROR(E9/$E$7),"",E9/$E$7)</f>
        <v/>
      </c>
      <c r="G9" s="41"/>
      <c r="H9" s="10">
        <v>6830</v>
      </c>
      <c r="I9" s="51" t="s">
        <v>470</v>
      </c>
      <c r="J9" s="48">
        <f>IF(ISERROR($E$27),"",$E$27)</f>
        <v>0</v>
      </c>
      <c r="K9" s="12">
        <f t="shared" si="0"/>
        <v>0</v>
      </c>
      <c r="L9" s="41"/>
      <c r="M9" s="41"/>
      <c r="N9" s="41"/>
      <c r="O9" s="41"/>
    </row>
    <row r="10" spans="1:15" ht="30" customHeight="1" thickTop="1" thickBot="1">
      <c r="A10" s="103"/>
      <c r="B10" s="41"/>
      <c r="C10" s="11">
        <v>6813</v>
      </c>
      <c r="D10" s="63"/>
      <c r="E10" s="64"/>
      <c r="F10" s="12" t="str">
        <f t="shared" si="1"/>
        <v/>
      </c>
      <c r="G10" s="41"/>
      <c r="H10" s="10">
        <v>6840</v>
      </c>
      <c r="I10" s="51" t="s">
        <v>472</v>
      </c>
      <c r="J10" s="48">
        <f>IF(ISERROR($E$37),"",$E$37)</f>
        <v>0</v>
      </c>
      <c r="K10" s="12">
        <f t="shared" si="0"/>
        <v>0</v>
      </c>
      <c r="L10" s="41"/>
      <c r="M10" s="41"/>
      <c r="N10" s="41"/>
      <c r="O10" s="41"/>
    </row>
    <row r="11" spans="1:15" ht="30" customHeight="1" thickTop="1" thickBot="1">
      <c r="A11" s="103"/>
      <c r="B11" s="41"/>
      <c r="C11" s="11">
        <v>6814</v>
      </c>
      <c r="D11" s="63"/>
      <c r="E11" s="64"/>
      <c r="F11" s="12" t="str">
        <f t="shared" si="1"/>
        <v/>
      </c>
      <c r="G11" s="41"/>
      <c r="H11" s="10">
        <v>6850</v>
      </c>
      <c r="I11" s="51" t="s">
        <v>474</v>
      </c>
      <c r="J11" s="48">
        <f>IF(ISERROR($E$47),"",$E$47)</f>
        <v>0</v>
      </c>
      <c r="K11" s="12">
        <f t="shared" si="0"/>
        <v>0</v>
      </c>
      <c r="L11" s="41"/>
      <c r="M11" s="41"/>
      <c r="N11" s="41"/>
      <c r="O11" s="41"/>
    </row>
    <row r="12" spans="1:15" ht="30" customHeight="1" thickTop="1" thickBot="1">
      <c r="A12" s="103"/>
      <c r="B12" s="41"/>
      <c r="C12" s="11">
        <v>6815</v>
      </c>
      <c r="D12" s="63" t="s">
        <v>38</v>
      </c>
      <c r="E12" s="64"/>
      <c r="F12" s="12" t="str">
        <f t="shared" si="1"/>
        <v/>
      </c>
      <c r="G12" s="41"/>
      <c r="H12" s="10">
        <v>6860</v>
      </c>
      <c r="I12" s="51" t="s">
        <v>477</v>
      </c>
      <c r="J12" s="48">
        <f>IF(ISERROR($E$57),"",$E$57)</f>
        <v>0</v>
      </c>
      <c r="K12" s="12">
        <f t="shared" si="0"/>
        <v>0</v>
      </c>
      <c r="L12" s="41"/>
      <c r="M12" s="41"/>
      <c r="N12" s="41"/>
      <c r="O12" s="41"/>
    </row>
    <row r="13" spans="1:15" ht="30" customHeight="1" thickTop="1" thickBot="1">
      <c r="A13" s="103"/>
      <c r="B13" s="41"/>
      <c r="C13" s="11">
        <v>6816</v>
      </c>
      <c r="D13" s="63" t="s">
        <v>467</v>
      </c>
      <c r="E13" s="64"/>
      <c r="F13" s="12" t="str">
        <f t="shared" si="1"/>
        <v/>
      </c>
      <c r="G13" s="41"/>
      <c r="H13" s="10">
        <v>6870</v>
      </c>
      <c r="I13" s="51" t="s">
        <v>487</v>
      </c>
      <c r="J13" s="48">
        <f>IF(ISERROR($E$67),"",$E$67)</f>
        <v>0</v>
      </c>
      <c r="K13" s="12">
        <f t="shared" si="0"/>
        <v>0</v>
      </c>
      <c r="L13" s="41"/>
      <c r="M13" s="41"/>
      <c r="N13" s="41"/>
      <c r="O13" s="41"/>
    </row>
    <row r="14" spans="1:15" ht="30" customHeight="1" thickTop="1" thickBot="1">
      <c r="A14" s="103"/>
      <c r="B14" s="41"/>
      <c r="C14" s="11">
        <v>6817</v>
      </c>
      <c r="D14" s="63"/>
      <c r="E14" s="64"/>
      <c r="F14" s="12" t="str">
        <f t="shared" si="1"/>
        <v/>
      </c>
      <c r="G14" s="41"/>
      <c r="H14" s="10">
        <v>6880</v>
      </c>
      <c r="I14" s="51" t="s">
        <v>483</v>
      </c>
      <c r="J14" s="48">
        <f>IF(ISERROR($E$77),"",$E$77)</f>
        <v>0</v>
      </c>
      <c r="K14" s="12">
        <f t="shared" si="0"/>
        <v>0</v>
      </c>
      <c r="L14" s="41"/>
      <c r="M14" s="41"/>
      <c r="N14" s="41"/>
      <c r="O14" s="41"/>
    </row>
    <row r="15" spans="1:15" ht="30" customHeight="1" thickTop="1" thickBot="1">
      <c r="A15" s="103"/>
      <c r="B15" s="41"/>
      <c r="C15" s="15">
        <v>6818</v>
      </c>
      <c r="D15" s="63"/>
      <c r="E15" s="64"/>
      <c r="F15" s="12" t="str">
        <f t="shared" si="1"/>
        <v/>
      </c>
      <c r="G15" s="41"/>
      <c r="H15" s="10">
        <v>6890</v>
      </c>
      <c r="I15" s="51" t="s">
        <v>485</v>
      </c>
      <c r="J15" s="48">
        <f>IF(ISERROR($E$87),"",$E$87)</f>
        <v>0</v>
      </c>
      <c r="K15" s="12">
        <f t="shared" si="0"/>
        <v>0</v>
      </c>
      <c r="L15" s="41"/>
      <c r="M15" s="41"/>
      <c r="N15" s="41"/>
      <c r="O15" s="41"/>
    </row>
    <row r="16" spans="1:15" ht="30" customHeight="1" thickTop="1" thickBot="1">
      <c r="A16" s="103"/>
      <c r="B16" s="41"/>
      <c r="C16" s="15">
        <v>6819</v>
      </c>
      <c r="D16" s="63"/>
      <c r="E16" s="64"/>
      <c r="F16" s="12" t="str">
        <f t="shared" si="1"/>
        <v/>
      </c>
      <c r="G16" s="41"/>
      <c r="H16" s="41"/>
      <c r="I16" s="41"/>
      <c r="J16" s="41"/>
      <c r="K16" s="41"/>
      <c r="L16" s="41"/>
      <c r="M16" s="41"/>
      <c r="N16" s="41"/>
      <c r="O16" s="41"/>
    </row>
    <row r="17" spans="1:15" ht="30" customHeight="1" thickTop="1" thickBot="1">
      <c r="A17" s="103"/>
      <c r="B17" s="41"/>
      <c r="C17" s="10">
        <v>6820</v>
      </c>
      <c r="D17" s="72" t="s">
        <v>468</v>
      </c>
      <c r="E17" s="126">
        <f>IF(ISERROR(SUM(E18:E26)),"",SUM(E18:E26))</f>
        <v>408670</v>
      </c>
      <c r="F17" s="150"/>
      <c r="G17" s="41"/>
      <c r="H17" s="128" t="s">
        <v>490</v>
      </c>
      <c r="I17" s="129"/>
      <c r="J17" s="129"/>
      <c r="K17" s="129"/>
      <c r="L17" s="41"/>
      <c r="M17" s="41"/>
      <c r="N17" s="41"/>
      <c r="O17" s="41"/>
    </row>
    <row r="18" spans="1:15" ht="30" customHeight="1" thickTop="1" thickBot="1">
      <c r="A18" s="103"/>
      <c r="B18" s="41"/>
      <c r="C18" s="11">
        <v>6821</v>
      </c>
      <c r="D18" s="63" t="s">
        <v>469</v>
      </c>
      <c r="E18" s="64">
        <v>420120</v>
      </c>
      <c r="F18" s="12">
        <f>IF(ISERROR(E18/$E$17),"",E18/$E$17)</f>
        <v>1.028017716005579</v>
      </c>
      <c r="G18" s="41"/>
      <c r="H18" s="143" t="s">
        <v>34</v>
      </c>
      <c r="I18" s="143"/>
      <c r="J18" s="146">
        <f>IF(ISERROR(SUM($J$7:$J$15)),"",SUM($J$7:$J$15))</f>
        <v>408670</v>
      </c>
      <c r="K18" s="146"/>
      <c r="L18" s="41"/>
      <c r="M18" s="41"/>
      <c r="N18" s="41"/>
      <c r="O18" s="41"/>
    </row>
    <row r="19" spans="1:15" ht="30" customHeight="1" thickTop="1" thickBot="1">
      <c r="A19" s="103"/>
      <c r="B19" s="41"/>
      <c r="C19" s="11">
        <v>6822</v>
      </c>
      <c r="D19" s="63" t="s">
        <v>466</v>
      </c>
      <c r="E19" s="64"/>
      <c r="F19" s="12">
        <f>IF(ISERROR(E19/$E$17),"",E19/$E$17)</f>
        <v>0</v>
      </c>
      <c r="G19" s="41"/>
      <c r="H19" s="41"/>
      <c r="I19" s="41"/>
      <c r="J19" s="41"/>
      <c r="K19" s="41"/>
      <c r="L19" s="41"/>
      <c r="M19" s="41"/>
      <c r="N19" s="41"/>
      <c r="O19" s="41"/>
    </row>
    <row r="20" spans="1:15" ht="30" customHeight="1" thickTop="1" thickBot="1">
      <c r="A20" s="103"/>
      <c r="B20" s="41"/>
      <c r="C20" s="11">
        <v>6823</v>
      </c>
      <c r="D20" s="63" t="s">
        <v>590</v>
      </c>
      <c r="E20" s="64">
        <v>-6580</v>
      </c>
      <c r="F20" s="12">
        <f>IF(ISERROR(E20/$E$17),"",E20/$E$17)</f>
        <v>-1.6101010595345879E-2</v>
      </c>
      <c r="G20" s="41"/>
      <c r="H20" s="41"/>
      <c r="I20" s="41"/>
      <c r="J20" s="41"/>
      <c r="K20" s="41"/>
      <c r="L20" s="41"/>
      <c r="M20" s="41"/>
      <c r="N20" s="41"/>
      <c r="O20" s="41"/>
    </row>
    <row r="21" spans="1:15" ht="30" customHeight="1" thickTop="1" thickBot="1">
      <c r="A21" s="103"/>
      <c r="B21" s="41"/>
      <c r="C21" s="11">
        <v>6824</v>
      </c>
      <c r="D21" s="63" t="s">
        <v>589</v>
      </c>
      <c r="E21" s="64">
        <v>-4870</v>
      </c>
      <c r="F21" s="12">
        <f t="shared" ref="F21:F26" si="2">IF(ISERROR(E21/$E$17),"",E21/$E$17)</f>
        <v>-1.1916705410233196E-2</v>
      </c>
      <c r="G21" s="41"/>
      <c r="H21" s="41"/>
      <c r="I21" s="41"/>
      <c r="J21" s="41"/>
      <c r="K21" s="41"/>
      <c r="L21" s="41"/>
      <c r="M21" s="41"/>
      <c r="N21" s="41"/>
      <c r="O21" s="41"/>
    </row>
    <row r="22" spans="1:15" ht="30" customHeight="1" thickTop="1" thickBot="1">
      <c r="A22" s="103"/>
      <c r="B22" s="41"/>
      <c r="C22" s="11">
        <v>6825</v>
      </c>
      <c r="D22" s="63"/>
      <c r="E22" s="64"/>
      <c r="F22" s="12">
        <f t="shared" si="2"/>
        <v>0</v>
      </c>
      <c r="G22" s="41"/>
      <c r="H22" s="41"/>
      <c r="I22" s="41"/>
      <c r="J22" s="41"/>
      <c r="K22" s="41"/>
      <c r="L22" s="41"/>
      <c r="M22" s="41"/>
      <c r="N22" s="41"/>
      <c r="O22" s="41"/>
    </row>
    <row r="23" spans="1:15" ht="30" customHeight="1" thickTop="1" thickBot="1">
      <c r="A23" s="103"/>
      <c r="B23" s="41"/>
      <c r="C23" s="11">
        <v>6826</v>
      </c>
      <c r="D23" s="63"/>
      <c r="E23" s="64"/>
      <c r="F23" s="12">
        <f t="shared" si="2"/>
        <v>0</v>
      </c>
      <c r="G23" s="41"/>
      <c r="H23" s="41"/>
      <c r="I23" s="41"/>
      <c r="J23" s="41"/>
      <c r="K23" s="41"/>
      <c r="L23" s="41"/>
      <c r="M23" s="41"/>
      <c r="N23" s="41"/>
      <c r="O23" s="41"/>
    </row>
    <row r="24" spans="1:15" ht="30" customHeight="1" thickTop="1" thickBot="1">
      <c r="A24" s="103"/>
      <c r="B24" s="41"/>
      <c r="C24" s="11">
        <v>6827</v>
      </c>
      <c r="D24" s="63"/>
      <c r="E24" s="64"/>
      <c r="F24" s="12">
        <f t="shared" si="2"/>
        <v>0</v>
      </c>
      <c r="G24" s="41"/>
      <c r="H24" s="41"/>
      <c r="I24" s="41"/>
      <c r="J24" s="41"/>
      <c r="K24" s="41"/>
      <c r="L24" s="41"/>
      <c r="M24" s="41"/>
      <c r="N24" s="41"/>
      <c r="O24" s="41"/>
    </row>
    <row r="25" spans="1:15" ht="30" customHeight="1" thickTop="1" thickBot="1">
      <c r="A25" s="103"/>
      <c r="B25" s="41"/>
      <c r="C25" s="15">
        <v>6828</v>
      </c>
      <c r="D25" s="63" t="s">
        <v>38</v>
      </c>
      <c r="E25" s="64"/>
      <c r="F25" s="12">
        <f t="shared" si="2"/>
        <v>0</v>
      </c>
      <c r="G25" s="41"/>
      <c r="H25" s="41"/>
      <c r="I25" s="41"/>
      <c r="J25" s="41"/>
      <c r="K25" s="41"/>
      <c r="L25" s="41"/>
      <c r="M25" s="41"/>
      <c r="N25" s="41"/>
      <c r="O25" s="41"/>
    </row>
    <row r="26" spans="1:15" ht="30" customHeight="1" thickTop="1" thickBot="1">
      <c r="A26" s="103"/>
      <c r="B26" s="41"/>
      <c r="C26" s="15">
        <v>6829</v>
      </c>
      <c r="D26" s="63" t="s">
        <v>467</v>
      </c>
      <c r="E26" s="64"/>
      <c r="F26" s="12">
        <f t="shared" si="2"/>
        <v>0</v>
      </c>
      <c r="G26" s="41"/>
      <c r="H26" s="41"/>
      <c r="I26" s="41"/>
      <c r="J26" s="41"/>
      <c r="K26" s="41"/>
      <c r="L26" s="41"/>
      <c r="M26" s="41"/>
      <c r="N26" s="41"/>
      <c r="O26" s="41"/>
    </row>
    <row r="27" spans="1:15" ht="30" customHeight="1" thickTop="1" thickBot="1">
      <c r="A27" s="103"/>
      <c r="B27" s="41"/>
      <c r="C27" s="10">
        <v>6830</v>
      </c>
      <c r="D27" s="72" t="s">
        <v>470</v>
      </c>
      <c r="E27" s="126">
        <f>IF(ISERROR(SUM(E28:E36)),"",SUM(E28:E36))</f>
        <v>0</v>
      </c>
      <c r="F27" s="150"/>
      <c r="G27" s="41"/>
      <c r="H27" s="41"/>
      <c r="I27" s="41"/>
      <c r="J27" s="41"/>
      <c r="K27" s="41"/>
      <c r="L27" s="41"/>
      <c r="M27" s="41"/>
      <c r="N27" s="41"/>
      <c r="O27" s="41"/>
    </row>
    <row r="28" spans="1:15" ht="30" customHeight="1" thickTop="1" thickBot="1">
      <c r="A28" s="103"/>
      <c r="B28" s="41"/>
      <c r="C28" s="11">
        <v>6831</v>
      </c>
      <c r="D28" s="63" t="s">
        <v>471</v>
      </c>
      <c r="E28" s="64"/>
      <c r="F28" s="12" t="str">
        <f>IF(ISERROR(E28/$E$27),"",E28/$E$27)</f>
        <v/>
      </c>
      <c r="G28" s="41"/>
      <c r="H28" s="41"/>
      <c r="I28" s="41"/>
      <c r="J28" s="41"/>
      <c r="K28" s="41"/>
      <c r="L28" s="41"/>
      <c r="M28" s="41"/>
      <c r="N28" s="41"/>
      <c r="O28" s="41"/>
    </row>
    <row r="29" spans="1:15" ht="30" customHeight="1" thickTop="1" thickBot="1">
      <c r="A29" s="103"/>
      <c r="B29" s="41"/>
      <c r="C29" s="11">
        <v>6832</v>
      </c>
      <c r="D29" s="63"/>
      <c r="E29" s="64"/>
      <c r="F29" s="12" t="str">
        <f t="shared" ref="F29:F36" si="3">IF(ISERROR(E29/$E$27),"",E29/$E$27)</f>
        <v/>
      </c>
      <c r="G29" s="41"/>
      <c r="H29" s="41"/>
      <c r="I29" s="41"/>
      <c r="J29" s="41"/>
      <c r="K29" s="41"/>
      <c r="L29" s="41"/>
      <c r="M29" s="41"/>
      <c r="N29" s="41"/>
      <c r="O29" s="41"/>
    </row>
    <row r="30" spans="1:15" ht="30" customHeight="1" thickTop="1" thickBot="1">
      <c r="A30" s="103"/>
      <c r="B30" s="41"/>
      <c r="C30" s="11">
        <v>6833</v>
      </c>
      <c r="D30" s="63" t="s">
        <v>466</v>
      </c>
      <c r="E30" s="64"/>
      <c r="F30" s="12" t="str">
        <f t="shared" si="3"/>
        <v/>
      </c>
      <c r="G30" s="41"/>
      <c r="H30" s="41"/>
      <c r="I30" s="41"/>
      <c r="J30" s="41"/>
      <c r="K30" s="41"/>
      <c r="L30" s="41"/>
      <c r="M30" s="41"/>
      <c r="N30" s="41"/>
      <c r="O30" s="41"/>
    </row>
    <row r="31" spans="1:15" ht="30" customHeight="1" thickTop="1" thickBot="1">
      <c r="A31" s="103"/>
      <c r="B31" s="41"/>
      <c r="C31" s="11">
        <v>6834</v>
      </c>
      <c r="D31" s="63"/>
      <c r="E31" s="64"/>
      <c r="F31" s="12" t="str">
        <f t="shared" si="3"/>
        <v/>
      </c>
      <c r="G31" s="41"/>
      <c r="H31" s="41"/>
      <c r="I31" s="41"/>
      <c r="J31" s="41"/>
      <c r="K31" s="41"/>
      <c r="L31" s="41"/>
      <c r="M31" s="41"/>
      <c r="N31" s="41"/>
      <c r="O31" s="41"/>
    </row>
    <row r="32" spans="1:15" ht="30" customHeight="1" thickTop="1" thickBot="1">
      <c r="A32" s="103"/>
      <c r="B32" s="41"/>
      <c r="C32" s="11">
        <v>6835</v>
      </c>
      <c r="D32" s="63"/>
      <c r="E32" s="64"/>
      <c r="F32" s="12" t="str">
        <f t="shared" si="3"/>
        <v/>
      </c>
      <c r="G32" s="41"/>
      <c r="H32" s="41"/>
      <c r="I32" s="41"/>
      <c r="J32" s="41"/>
      <c r="K32" s="41"/>
      <c r="L32" s="41"/>
      <c r="M32" s="41"/>
      <c r="N32" s="41"/>
      <c r="O32" s="41"/>
    </row>
    <row r="33" spans="1:15" ht="30" customHeight="1" thickTop="1" thickBot="1">
      <c r="A33" s="103"/>
      <c r="B33" s="41"/>
      <c r="C33" s="11">
        <v>6836</v>
      </c>
      <c r="D33" s="63" t="s">
        <v>38</v>
      </c>
      <c r="E33" s="64"/>
      <c r="F33" s="12" t="str">
        <f t="shared" si="3"/>
        <v/>
      </c>
      <c r="G33" s="41"/>
      <c r="H33" s="41"/>
      <c r="I33" s="41"/>
      <c r="J33" s="41"/>
      <c r="K33" s="41"/>
      <c r="L33" s="41"/>
      <c r="M33" s="41"/>
      <c r="N33" s="41"/>
      <c r="O33" s="41"/>
    </row>
    <row r="34" spans="1:15" ht="30" customHeight="1" thickTop="1" thickBot="1">
      <c r="A34" s="103"/>
      <c r="B34" s="41"/>
      <c r="C34" s="11">
        <v>6837</v>
      </c>
      <c r="D34" s="63"/>
      <c r="E34" s="64"/>
      <c r="F34" s="12" t="str">
        <f t="shared" si="3"/>
        <v/>
      </c>
      <c r="G34" s="41"/>
      <c r="H34" s="41"/>
      <c r="I34" s="41"/>
      <c r="J34" s="41"/>
      <c r="K34" s="41"/>
      <c r="L34" s="41"/>
      <c r="M34" s="41"/>
      <c r="N34" s="41"/>
      <c r="O34" s="41"/>
    </row>
    <row r="35" spans="1:15" ht="30" customHeight="1" thickTop="1" thickBot="1">
      <c r="A35" s="103"/>
      <c r="B35" s="41"/>
      <c r="C35" s="15">
        <v>6838</v>
      </c>
      <c r="D35" s="63"/>
      <c r="E35" s="64"/>
      <c r="F35" s="12" t="str">
        <f t="shared" si="3"/>
        <v/>
      </c>
      <c r="G35" s="41"/>
      <c r="H35" s="41"/>
      <c r="I35" s="41"/>
      <c r="J35" s="41"/>
      <c r="K35" s="41"/>
      <c r="L35" s="41"/>
      <c r="M35" s="41"/>
      <c r="N35" s="41"/>
      <c r="O35" s="41"/>
    </row>
    <row r="36" spans="1:15" ht="30" customHeight="1" thickTop="1" thickBot="1">
      <c r="A36" s="103"/>
      <c r="B36" s="41"/>
      <c r="C36" s="15">
        <v>6839</v>
      </c>
      <c r="D36" s="63" t="s">
        <v>467</v>
      </c>
      <c r="E36" s="64"/>
      <c r="F36" s="12" t="str">
        <f t="shared" si="3"/>
        <v/>
      </c>
      <c r="G36" s="41"/>
      <c r="H36" s="41"/>
      <c r="I36" s="41"/>
      <c r="J36" s="41"/>
      <c r="K36" s="41"/>
      <c r="L36" s="41"/>
      <c r="M36" s="41"/>
      <c r="N36" s="41"/>
      <c r="O36" s="41"/>
    </row>
    <row r="37" spans="1:15" ht="30" customHeight="1" thickTop="1" thickBot="1">
      <c r="A37" s="103"/>
      <c r="B37" s="41"/>
      <c r="C37" s="10">
        <v>6840</v>
      </c>
      <c r="D37" s="72" t="s">
        <v>472</v>
      </c>
      <c r="E37" s="126">
        <f>IF(ISERROR(SUM(E38:E46)),"",SUM(E38:E46))</f>
        <v>0</v>
      </c>
      <c r="F37" s="150"/>
      <c r="G37" s="41"/>
      <c r="H37" s="41"/>
      <c r="I37" s="41"/>
      <c r="J37" s="41"/>
      <c r="K37" s="41"/>
      <c r="L37" s="41"/>
      <c r="M37" s="41"/>
      <c r="N37" s="41"/>
      <c r="O37" s="41"/>
    </row>
    <row r="38" spans="1:15" ht="30" customHeight="1" thickTop="1" thickBot="1">
      <c r="A38" s="103"/>
      <c r="B38" s="41"/>
      <c r="C38" s="11">
        <v>6841</v>
      </c>
      <c r="D38" s="63" t="s">
        <v>473</v>
      </c>
      <c r="E38" s="64"/>
      <c r="F38" s="12" t="str">
        <f>IF(ISERROR(E38/$E$37),"",E38/$E$37)</f>
        <v/>
      </c>
      <c r="G38" s="41"/>
      <c r="H38" s="41"/>
      <c r="I38" s="41"/>
      <c r="J38" s="41"/>
      <c r="K38" s="41"/>
      <c r="L38" s="41"/>
      <c r="M38" s="41"/>
      <c r="N38" s="41"/>
      <c r="O38" s="41"/>
    </row>
    <row r="39" spans="1:15" ht="30" customHeight="1" thickTop="1" thickBot="1">
      <c r="A39" s="103"/>
      <c r="B39" s="41"/>
      <c r="C39" s="11">
        <v>6842</v>
      </c>
      <c r="D39" s="63"/>
      <c r="E39" s="64"/>
      <c r="F39" s="12" t="str">
        <f t="shared" ref="F39:F46" si="4">IF(ISERROR(E39/$E$37),"",E39/$E$37)</f>
        <v/>
      </c>
      <c r="G39" s="41"/>
      <c r="H39" s="41"/>
      <c r="I39" s="41"/>
      <c r="J39" s="41"/>
      <c r="K39" s="41"/>
      <c r="L39" s="41"/>
      <c r="M39" s="41"/>
      <c r="N39" s="41"/>
      <c r="O39" s="41"/>
    </row>
    <row r="40" spans="1:15" ht="30" customHeight="1" thickTop="1" thickBot="1">
      <c r="A40" s="103"/>
      <c r="B40" s="41"/>
      <c r="C40" s="11">
        <v>6843</v>
      </c>
      <c r="D40" s="63"/>
      <c r="E40" s="64"/>
      <c r="F40" s="12" t="str">
        <f t="shared" si="4"/>
        <v/>
      </c>
      <c r="G40" s="41"/>
      <c r="H40" s="41"/>
      <c r="I40" s="41"/>
      <c r="J40" s="41"/>
      <c r="K40" s="41"/>
      <c r="L40" s="41"/>
      <c r="M40" s="41"/>
      <c r="N40" s="41"/>
      <c r="O40" s="41"/>
    </row>
    <row r="41" spans="1:15" ht="30" customHeight="1" thickTop="1" thickBot="1">
      <c r="A41" s="103"/>
      <c r="B41" s="41"/>
      <c r="C41" s="11">
        <v>6844</v>
      </c>
      <c r="D41" s="63"/>
      <c r="E41" s="64"/>
      <c r="F41" s="12" t="str">
        <f t="shared" si="4"/>
        <v/>
      </c>
      <c r="G41" s="41"/>
      <c r="H41" s="41"/>
      <c r="I41" s="41"/>
      <c r="J41" s="41"/>
      <c r="K41" s="41"/>
      <c r="L41" s="41"/>
      <c r="M41" s="41"/>
      <c r="N41" s="41"/>
      <c r="O41" s="41"/>
    </row>
    <row r="42" spans="1:15" ht="30" customHeight="1" thickTop="1" thickBot="1">
      <c r="A42" s="103"/>
      <c r="B42" s="41"/>
      <c r="C42" s="11">
        <v>6845</v>
      </c>
      <c r="D42" s="63"/>
      <c r="E42" s="64"/>
      <c r="F42" s="12" t="str">
        <f t="shared" si="4"/>
        <v/>
      </c>
      <c r="G42" s="41"/>
      <c r="H42" s="41"/>
      <c r="I42" s="41"/>
      <c r="J42" s="41"/>
      <c r="K42" s="41"/>
      <c r="L42" s="41"/>
      <c r="M42" s="41"/>
      <c r="N42" s="41"/>
      <c r="O42" s="41"/>
    </row>
    <row r="43" spans="1:15" ht="30" customHeight="1" thickTop="1" thickBot="1">
      <c r="A43" s="103"/>
      <c r="B43" s="41"/>
      <c r="C43" s="11">
        <v>6846</v>
      </c>
      <c r="D43" s="63"/>
      <c r="E43" s="64"/>
      <c r="F43" s="12" t="str">
        <f t="shared" si="4"/>
        <v/>
      </c>
      <c r="G43" s="41"/>
      <c r="H43" s="41"/>
      <c r="I43" s="41"/>
      <c r="J43" s="41"/>
      <c r="K43" s="41"/>
      <c r="L43" s="41"/>
      <c r="M43" s="41"/>
      <c r="N43" s="41"/>
      <c r="O43" s="41"/>
    </row>
    <row r="44" spans="1:15" ht="30" customHeight="1" thickTop="1" thickBot="1">
      <c r="A44" s="103"/>
      <c r="B44" s="41"/>
      <c r="C44" s="11">
        <v>6847</v>
      </c>
      <c r="D44" s="63" t="s">
        <v>466</v>
      </c>
      <c r="E44" s="64"/>
      <c r="F44" s="12" t="str">
        <f t="shared" si="4"/>
        <v/>
      </c>
      <c r="G44" s="41"/>
      <c r="H44" s="41"/>
      <c r="I44" s="41"/>
      <c r="J44" s="41"/>
      <c r="K44" s="41"/>
      <c r="L44" s="41"/>
      <c r="M44" s="41"/>
      <c r="N44" s="41"/>
      <c r="O44" s="41"/>
    </row>
    <row r="45" spans="1:15" ht="30" customHeight="1" thickTop="1" thickBot="1">
      <c r="A45" s="103"/>
      <c r="B45" s="41"/>
      <c r="C45" s="15">
        <v>6848</v>
      </c>
      <c r="D45" s="63" t="s">
        <v>38</v>
      </c>
      <c r="E45" s="64"/>
      <c r="F45" s="12" t="str">
        <f t="shared" si="4"/>
        <v/>
      </c>
      <c r="G45" s="41"/>
      <c r="H45" s="41"/>
      <c r="I45" s="41"/>
      <c r="J45" s="41"/>
      <c r="K45" s="41"/>
      <c r="L45" s="41"/>
      <c r="M45" s="41"/>
      <c r="N45" s="41"/>
      <c r="O45" s="41"/>
    </row>
    <row r="46" spans="1:15" ht="30" customHeight="1" thickTop="1" thickBot="1">
      <c r="A46" s="103"/>
      <c r="B46" s="41"/>
      <c r="C46" s="15">
        <v>6849</v>
      </c>
      <c r="D46" s="63" t="s">
        <v>467</v>
      </c>
      <c r="E46" s="64"/>
      <c r="F46" s="12" t="str">
        <f t="shared" si="4"/>
        <v/>
      </c>
      <c r="G46" s="41"/>
      <c r="H46" s="41"/>
      <c r="I46" s="41"/>
      <c r="J46" s="41"/>
      <c r="K46" s="41"/>
      <c r="L46" s="41"/>
      <c r="M46" s="41"/>
      <c r="N46" s="41"/>
      <c r="O46" s="41"/>
    </row>
    <row r="47" spans="1:15" ht="30" customHeight="1" thickTop="1" thickBot="1">
      <c r="A47" s="103"/>
      <c r="B47" s="41"/>
      <c r="C47" s="10">
        <v>6850</v>
      </c>
      <c r="D47" s="72" t="s">
        <v>474</v>
      </c>
      <c r="E47" s="126">
        <f>IF(ISERROR(SUM(E48:E56)),"",SUM(E48:E56))</f>
        <v>0</v>
      </c>
      <c r="F47" s="150"/>
      <c r="G47" s="41"/>
      <c r="H47" s="41"/>
      <c r="I47" s="41"/>
      <c r="J47" s="41"/>
      <c r="K47" s="41"/>
      <c r="L47" s="41"/>
      <c r="M47" s="41"/>
      <c r="N47" s="41"/>
      <c r="O47" s="41"/>
    </row>
    <row r="48" spans="1:15" ht="30" customHeight="1" thickTop="1" thickBot="1">
      <c r="A48" s="103"/>
      <c r="B48" s="41"/>
      <c r="C48" s="11">
        <v>6851</v>
      </c>
      <c r="D48" s="63" t="s">
        <v>475</v>
      </c>
      <c r="E48" s="64"/>
      <c r="F48" s="12" t="str">
        <f>IF(ISERROR(E48/$E$47),"",E48/$E$47)</f>
        <v/>
      </c>
      <c r="G48" s="41"/>
      <c r="H48" s="41"/>
      <c r="I48" s="41"/>
      <c r="J48" s="41"/>
      <c r="K48" s="41"/>
      <c r="L48" s="41"/>
      <c r="M48" s="41"/>
      <c r="N48" s="41"/>
      <c r="O48" s="41"/>
    </row>
    <row r="49" spans="1:15" ht="30" customHeight="1" thickTop="1" thickBot="1">
      <c r="A49" s="103"/>
      <c r="B49" s="41"/>
      <c r="C49" s="11">
        <v>6852</v>
      </c>
      <c r="D49" s="63" t="s">
        <v>476</v>
      </c>
      <c r="E49" s="64"/>
      <c r="F49" s="12" t="str">
        <f t="shared" ref="F49:F56" si="5">IF(ISERROR(E49/$E$47),"",E49/$E$47)</f>
        <v/>
      </c>
      <c r="G49" s="41"/>
      <c r="H49" s="41"/>
      <c r="I49" s="41"/>
      <c r="J49" s="41"/>
      <c r="K49" s="41"/>
      <c r="L49" s="41"/>
      <c r="M49" s="41"/>
      <c r="N49" s="41"/>
      <c r="O49" s="41"/>
    </row>
    <row r="50" spans="1:15" ht="30" customHeight="1" thickTop="1" thickBot="1">
      <c r="A50" s="103"/>
      <c r="B50" s="41"/>
      <c r="C50" s="11">
        <v>6853</v>
      </c>
      <c r="D50" s="63"/>
      <c r="E50" s="64"/>
      <c r="F50" s="12" t="str">
        <f t="shared" si="5"/>
        <v/>
      </c>
      <c r="G50" s="41"/>
      <c r="H50" s="41"/>
      <c r="I50" s="41"/>
      <c r="J50" s="41"/>
      <c r="K50" s="41"/>
      <c r="L50" s="41"/>
      <c r="M50" s="41"/>
      <c r="N50" s="41"/>
      <c r="O50" s="41"/>
    </row>
    <row r="51" spans="1:15" ht="30" customHeight="1" thickTop="1" thickBot="1">
      <c r="A51" s="103"/>
      <c r="B51" s="41"/>
      <c r="C51" s="11">
        <v>6854</v>
      </c>
      <c r="D51" s="63"/>
      <c r="E51" s="64"/>
      <c r="F51" s="12" t="str">
        <f t="shared" si="5"/>
        <v/>
      </c>
      <c r="G51" s="41"/>
      <c r="H51" s="41"/>
      <c r="I51" s="41"/>
      <c r="J51" s="41"/>
      <c r="K51" s="41"/>
      <c r="L51" s="41"/>
      <c r="M51" s="41"/>
      <c r="N51" s="41"/>
      <c r="O51" s="41"/>
    </row>
    <row r="52" spans="1:15" ht="30" customHeight="1" thickTop="1" thickBot="1">
      <c r="A52" s="103"/>
      <c r="B52" s="41"/>
      <c r="C52" s="11">
        <v>6855</v>
      </c>
      <c r="D52" s="63"/>
      <c r="E52" s="64"/>
      <c r="F52" s="12" t="str">
        <f t="shared" si="5"/>
        <v/>
      </c>
      <c r="G52" s="41"/>
      <c r="H52" s="41"/>
      <c r="I52" s="41"/>
      <c r="J52" s="41"/>
      <c r="K52" s="41"/>
      <c r="L52" s="41"/>
      <c r="M52" s="41"/>
      <c r="N52" s="41"/>
      <c r="O52" s="41"/>
    </row>
    <row r="53" spans="1:15" ht="30" customHeight="1" thickTop="1" thickBot="1">
      <c r="A53" s="103"/>
      <c r="B53" s="41"/>
      <c r="C53" s="11">
        <v>6856</v>
      </c>
      <c r="D53" s="63"/>
      <c r="E53" s="64"/>
      <c r="F53" s="12" t="str">
        <f t="shared" si="5"/>
        <v/>
      </c>
      <c r="G53" s="41"/>
      <c r="H53" s="41"/>
      <c r="I53" s="41"/>
      <c r="J53" s="41"/>
      <c r="K53" s="41"/>
      <c r="L53" s="41"/>
      <c r="M53" s="41"/>
      <c r="N53" s="41"/>
      <c r="O53" s="41"/>
    </row>
    <row r="54" spans="1:15" ht="30" customHeight="1" thickTop="1" thickBot="1">
      <c r="A54" s="103"/>
      <c r="B54" s="41"/>
      <c r="C54" s="11">
        <v>6857</v>
      </c>
      <c r="D54" s="63" t="s">
        <v>466</v>
      </c>
      <c r="E54" s="64"/>
      <c r="F54" s="12" t="str">
        <f t="shared" si="5"/>
        <v/>
      </c>
      <c r="G54" s="41"/>
      <c r="H54" s="41"/>
      <c r="I54" s="41"/>
      <c r="J54" s="41"/>
      <c r="K54" s="41"/>
      <c r="L54" s="41"/>
      <c r="M54" s="41"/>
      <c r="N54" s="41"/>
      <c r="O54" s="41"/>
    </row>
    <row r="55" spans="1:15" ht="30" customHeight="1" thickTop="1" thickBot="1">
      <c r="A55" s="103"/>
      <c r="B55" s="41"/>
      <c r="C55" s="15">
        <v>6858</v>
      </c>
      <c r="D55" s="63" t="s">
        <v>38</v>
      </c>
      <c r="E55" s="64"/>
      <c r="F55" s="12" t="str">
        <f t="shared" si="5"/>
        <v/>
      </c>
      <c r="G55" s="41"/>
      <c r="H55" s="41"/>
      <c r="I55" s="41"/>
      <c r="J55" s="41"/>
      <c r="K55" s="41"/>
      <c r="L55" s="41"/>
      <c r="M55" s="41"/>
      <c r="N55" s="41"/>
      <c r="O55" s="41"/>
    </row>
    <row r="56" spans="1:15" ht="30" customHeight="1" thickTop="1" thickBot="1">
      <c r="A56" s="103"/>
      <c r="B56" s="41"/>
      <c r="C56" s="15">
        <v>6859</v>
      </c>
      <c r="D56" s="63" t="s">
        <v>467</v>
      </c>
      <c r="E56" s="64"/>
      <c r="F56" s="12" t="str">
        <f t="shared" si="5"/>
        <v/>
      </c>
      <c r="G56" s="41"/>
      <c r="H56" s="41"/>
      <c r="I56" s="41"/>
      <c r="J56" s="41"/>
      <c r="K56" s="41"/>
      <c r="L56" s="41"/>
      <c r="M56" s="41"/>
      <c r="N56" s="41"/>
      <c r="O56" s="41"/>
    </row>
    <row r="57" spans="1:15" ht="30" customHeight="1" thickTop="1" thickBot="1">
      <c r="A57" s="103"/>
      <c r="B57" s="41"/>
      <c r="C57" s="10">
        <v>6860</v>
      </c>
      <c r="D57" s="72" t="s">
        <v>477</v>
      </c>
      <c r="E57" s="126">
        <f>IF(ISERROR(SUM(E58:E66)),"",SUM(E58:E66))</f>
        <v>0</v>
      </c>
      <c r="F57" s="150"/>
      <c r="G57" s="41"/>
      <c r="H57" s="41"/>
      <c r="I57" s="41"/>
      <c r="J57" s="41"/>
      <c r="K57" s="41"/>
      <c r="L57" s="41"/>
      <c r="M57" s="41"/>
      <c r="N57" s="41"/>
      <c r="O57" s="41"/>
    </row>
    <row r="58" spans="1:15" ht="30" customHeight="1" thickTop="1" thickBot="1">
      <c r="A58" s="103"/>
      <c r="B58" s="41"/>
      <c r="C58" s="11">
        <v>6861</v>
      </c>
      <c r="D58" s="63" t="s">
        <v>468</v>
      </c>
      <c r="E58" s="64"/>
      <c r="F58" s="12" t="str">
        <f>IF(ISERROR(E58/$E$57),"",E58/$E$57)</f>
        <v/>
      </c>
      <c r="G58" s="41"/>
      <c r="H58" s="41"/>
      <c r="I58" s="41"/>
      <c r="J58" s="41"/>
      <c r="K58" s="41"/>
      <c r="L58" s="41"/>
      <c r="M58" s="41"/>
      <c r="N58" s="41"/>
      <c r="O58" s="41"/>
    </row>
    <row r="59" spans="1:15" ht="30" customHeight="1" thickTop="1" thickBot="1">
      <c r="A59" s="103"/>
      <c r="B59" s="41"/>
      <c r="C59" s="11">
        <v>6862</v>
      </c>
      <c r="D59" s="63" t="s">
        <v>478</v>
      </c>
      <c r="E59" s="64"/>
      <c r="F59" s="12" t="str">
        <f t="shared" ref="F59:F66" si="6">IF(ISERROR(E59/$E$57),"",E59/$E$57)</f>
        <v/>
      </c>
      <c r="G59" s="41"/>
      <c r="H59" s="41"/>
      <c r="I59" s="41"/>
      <c r="J59" s="41"/>
      <c r="K59" s="41"/>
      <c r="L59" s="41"/>
      <c r="M59" s="41"/>
      <c r="N59" s="41"/>
      <c r="O59" s="41"/>
    </row>
    <row r="60" spans="1:15" ht="30" customHeight="1" thickTop="1" thickBot="1">
      <c r="A60" s="103"/>
      <c r="B60" s="41"/>
      <c r="C60" s="11">
        <v>6863</v>
      </c>
      <c r="D60" s="63" t="s">
        <v>479</v>
      </c>
      <c r="E60" s="64"/>
      <c r="F60" s="12" t="str">
        <f t="shared" si="6"/>
        <v/>
      </c>
      <c r="G60" s="41"/>
      <c r="H60" s="41"/>
      <c r="I60" s="41"/>
      <c r="J60" s="41"/>
      <c r="K60" s="41"/>
      <c r="L60" s="41"/>
      <c r="M60" s="41"/>
      <c r="N60" s="41"/>
      <c r="O60" s="41"/>
    </row>
    <row r="61" spans="1:15" ht="30" customHeight="1" thickTop="1" thickBot="1">
      <c r="A61" s="103"/>
      <c r="B61" s="41"/>
      <c r="C61" s="11">
        <v>6864</v>
      </c>
      <c r="D61" s="63"/>
      <c r="E61" s="64"/>
      <c r="F61" s="12" t="str">
        <f t="shared" si="6"/>
        <v/>
      </c>
      <c r="G61" s="41"/>
      <c r="H61" s="41"/>
      <c r="I61" s="41"/>
      <c r="J61" s="41"/>
      <c r="K61" s="41"/>
      <c r="L61" s="41"/>
      <c r="M61" s="41"/>
      <c r="N61" s="41"/>
      <c r="O61" s="41"/>
    </row>
    <row r="62" spans="1:15" ht="30" customHeight="1" thickTop="1" thickBot="1">
      <c r="A62" s="103"/>
      <c r="B62" s="41"/>
      <c r="C62" s="11">
        <v>6865</v>
      </c>
      <c r="D62" s="63"/>
      <c r="E62" s="64"/>
      <c r="F62" s="12" t="str">
        <f t="shared" si="6"/>
        <v/>
      </c>
      <c r="G62" s="41"/>
      <c r="H62" s="41"/>
      <c r="I62" s="41"/>
      <c r="J62" s="41"/>
      <c r="K62" s="41"/>
      <c r="L62" s="41"/>
      <c r="M62" s="41"/>
      <c r="N62" s="41"/>
      <c r="O62" s="41"/>
    </row>
    <row r="63" spans="1:15" ht="30" customHeight="1" thickTop="1" thickBot="1">
      <c r="A63" s="103"/>
      <c r="B63" s="41"/>
      <c r="C63" s="11">
        <v>6866</v>
      </c>
      <c r="D63" s="63"/>
      <c r="E63" s="64"/>
      <c r="F63" s="12" t="str">
        <f t="shared" si="6"/>
        <v/>
      </c>
      <c r="G63" s="41"/>
      <c r="H63" s="41"/>
      <c r="I63" s="41"/>
      <c r="J63" s="41"/>
      <c r="K63" s="41"/>
      <c r="L63" s="41"/>
      <c r="M63" s="41"/>
      <c r="N63" s="41"/>
      <c r="O63" s="41"/>
    </row>
    <row r="64" spans="1:15" ht="30" customHeight="1" thickTop="1" thickBot="1">
      <c r="A64" s="103"/>
      <c r="B64" s="41"/>
      <c r="C64" s="11">
        <v>6867</v>
      </c>
      <c r="D64" s="63" t="s">
        <v>466</v>
      </c>
      <c r="E64" s="64"/>
      <c r="F64" s="12" t="str">
        <f t="shared" si="6"/>
        <v/>
      </c>
      <c r="G64" s="41"/>
      <c r="H64" s="41"/>
      <c r="I64" s="41"/>
      <c r="J64" s="41"/>
      <c r="K64" s="41"/>
      <c r="L64" s="41"/>
      <c r="M64" s="41"/>
      <c r="N64" s="41"/>
      <c r="O64" s="41"/>
    </row>
    <row r="65" spans="1:15" ht="30" customHeight="1" thickTop="1" thickBot="1">
      <c r="A65" s="103"/>
      <c r="B65" s="41"/>
      <c r="C65" s="15">
        <v>6868</v>
      </c>
      <c r="D65" s="63" t="s">
        <v>38</v>
      </c>
      <c r="E65" s="64"/>
      <c r="F65" s="12" t="str">
        <f t="shared" si="6"/>
        <v/>
      </c>
      <c r="G65" s="41"/>
      <c r="H65" s="41"/>
      <c r="I65" s="41"/>
      <c r="J65" s="41"/>
      <c r="K65" s="41"/>
      <c r="L65" s="41"/>
      <c r="M65" s="41"/>
      <c r="N65" s="41"/>
      <c r="O65" s="41"/>
    </row>
    <row r="66" spans="1:15" ht="30" customHeight="1" thickTop="1" thickBot="1">
      <c r="A66" s="103"/>
      <c r="B66" s="41"/>
      <c r="C66" s="15">
        <v>6869</v>
      </c>
      <c r="D66" s="63" t="s">
        <v>467</v>
      </c>
      <c r="E66" s="64"/>
      <c r="F66" s="12" t="str">
        <f t="shared" si="6"/>
        <v/>
      </c>
      <c r="G66" s="41"/>
      <c r="H66" s="41"/>
      <c r="I66" s="41"/>
      <c r="J66" s="41"/>
      <c r="K66" s="41"/>
      <c r="L66" s="41"/>
      <c r="M66" s="41"/>
      <c r="N66" s="41"/>
      <c r="O66" s="41"/>
    </row>
    <row r="67" spans="1:15" ht="30" customHeight="1" thickTop="1" thickBot="1">
      <c r="A67" s="103"/>
      <c r="B67" s="41"/>
      <c r="C67" s="10">
        <v>6870</v>
      </c>
      <c r="D67" s="72" t="s">
        <v>482</v>
      </c>
      <c r="E67" s="126">
        <f>IF(ISERROR(SUM(E68:E76)),"",SUM(E68:E76))</f>
        <v>0</v>
      </c>
      <c r="F67" s="150"/>
      <c r="G67" s="41"/>
      <c r="H67" s="41"/>
      <c r="I67" s="41"/>
      <c r="J67" s="41"/>
      <c r="K67" s="41"/>
      <c r="L67" s="41"/>
      <c r="M67" s="41"/>
      <c r="N67" s="41"/>
      <c r="O67" s="41"/>
    </row>
    <row r="68" spans="1:15" ht="30" customHeight="1" thickTop="1" thickBot="1">
      <c r="A68" s="103"/>
      <c r="B68" s="41"/>
      <c r="C68" s="11">
        <v>6871</v>
      </c>
      <c r="D68" s="63" t="s">
        <v>468</v>
      </c>
      <c r="E68" s="64"/>
      <c r="F68" s="12" t="str">
        <f>IF(ISERROR(E68/$E$67),"",E68/$E$67)</f>
        <v/>
      </c>
      <c r="G68" s="41"/>
      <c r="H68" s="41"/>
      <c r="I68" s="41"/>
      <c r="J68" s="41"/>
      <c r="K68" s="41"/>
      <c r="L68" s="41"/>
      <c r="M68" s="41"/>
      <c r="N68" s="41"/>
      <c r="O68" s="41"/>
    </row>
    <row r="69" spans="1:15" ht="30" customHeight="1" thickTop="1" thickBot="1">
      <c r="A69" s="103"/>
      <c r="B69" s="41"/>
      <c r="C69" s="11">
        <v>6872</v>
      </c>
      <c r="D69" s="63" t="s">
        <v>480</v>
      </c>
      <c r="E69" s="64"/>
      <c r="F69" s="12" t="str">
        <f t="shared" ref="F69:F76" si="7">IF(ISERROR(E69/$E$67),"",E69/$E$67)</f>
        <v/>
      </c>
      <c r="G69" s="41"/>
      <c r="H69" s="41"/>
      <c r="I69" s="41"/>
      <c r="J69" s="41"/>
      <c r="K69" s="41"/>
      <c r="L69" s="41"/>
      <c r="M69" s="41"/>
      <c r="N69" s="41"/>
      <c r="O69" s="41"/>
    </row>
    <row r="70" spans="1:15" ht="30" customHeight="1" thickTop="1" thickBot="1">
      <c r="A70" s="103"/>
      <c r="B70" s="41"/>
      <c r="C70" s="11">
        <v>6873</v>
      </c>
      <c r="D70" s="63" t="s">
        <v>481</v>
      </c>
      <c r="E70" s="64"/>
      <c r="F70" s="12" t="str">
        <f t="shared" si="7"/>
        <v/>
      </c>
      <c r="G70" s="41"/>
      <c r="H70" s="41"/>
      <c r="I70" s="41"/>
      <c r="J70" s="41"/>
      <c r="K70" s="41"/>
      <c r="L70" s="41"/>
      <c r="M70" s="41"/>
      <c r="N70" s="41"/>
      <c r="O70" s="41"/>
    </row>
    <row r="71" spans="1:15" ht="30" customHeight="1" thickTop="1" thickBot="1">
      <c r="A71" s="103"/>
      <c r="B71" s="41"/>
      <c r="C71" s="11">
        <v>6874</v>
      </c>
      <c r="D71" s="63"/>
      <c r="E71" s="64"/>
      <c r="F71" s="12" t="str">
        <f t="shared" si="7"/>
        <v/>
      </c>
      <c r="G71" s="41"/>
      <c r="H71" s="41"/>
      <c r="I71" s="41"/>
      <c r="J71" s="41"/>
      <c r="K71" s="41"/>
      <c r="L71" s="41"/>
      <c r="M71" s="41"/>
      <c r="N71" s="41"/>
      <c r="O71" s="41"/>
    </row>
    <row r="72" spans="1:15" ht="30" customHeight="1" thickTop="1" thickBot="1">
      <c r="A72" s="103"/>
      <c r="B72" s="41"/>
      <c r="C72" s="11">
        <v>6875</v>
      </c>
      <c r="D72" s="63"/>
      <c r="E72" s="64"/>
      <c r="F72" s="12" t="str">
        <f t="shared" si="7"/>
        <v/>
      </c>
      <c r="G72" s="41"/>
      <c r="H72" s="41"/>
      <c r="I72" s="41"/>
      <c r="J72" s="41"/>
      <c r="K72" s="41"/>
      <c r="L72" s="41"/>
      <c r="M72" s="41"/>
      <c r="N72" s="41"/>
      <c r="O72" s="41"/>
    </row>
    <row r="73" spans="1:15" ht="30" customHeight="1" thickTop="1" thickBot="1">
      <c r="A73" s="103"/>
      <c r="B73" s="41"/>
      <c r="C73" s="11">
        <v>6876</v>
      </c>
      <c r="D73" s="63"/>
      <c r="E73" s="64"/>
      <c r="F73" s="12" t="str">
        <f t="shared" si="7"/>
        <v/>
      </c>
      <c r="G73" s="41"/>
      <c r="H73" s="41"/>
      <c r="I73" s="41"/>
      <c r="J73" s="41"/>
      <c r="K73" s="41"/>
      <c r="L73" s="41"/>
      <c r="M73" s="41"/>
      <c r="N73" s="41"/>
      <c r="O73" s="41"/>
    </row>
    <row r="74" spans="1:15" ht="30" customHeight="1" thickTop="1" thickBot="1">
      <c r="A74" s="103"/>
      <c r="B74" s="41"/>
      <c r="C74" s="11">
        <v>6877</v>
      </c>
      <c r="D74" s="63" t="s">
        <v>466</v>
      </c>
      <c r="E74" s="64"/>
      <c r="F74" s="12" t="str">
        <f t="shared" si="7"/>
        <v/>
      </c>
      <c r="G74" s="41"/>
      <c r="H74" s="41"/>
      <c r="I74" s="41"/>
      <c r="J74" s="41"/>
      <c r="K74" s="41"/>
      <c r="L74" s="41"/>
      <c r="M74" s="41"/>
      <c r="N74" s="41"/>
      <c r="O74" s="41"/>
    </row>
    <row r="75" spans="1:15" ht="30" customHeight="1" thickTop="1" thickBot="1">
      <c r="A75" s="103"/>
      <c r="B75" s="41"/>
      <c r="C75" s="15">
        <v>6878</v>
      </c>
      <c r="D75" s="63" t="s">
        <v>38</v>
      </c>
      <c r="E75" s="64"/>
      <c r="F75" s="12" t="str">
        <f t="shared" si="7"/>
        <v/>
      </c>
      <c r="G75" s="41"/>
      <c r="H75" s="41"/>
      <c r="I75" s="41"/>
      <c r="J75" s="41"/>
      <c r="K75" s="41"/>
      <c r="L75" s="41"/>
      <c r="M75" s="41"/>
      <c r="N75" s="41"/>
      <c r="O75" s="41"/>
    </row>
    <row r="76" spans="1:15" ht="30" customHeight="1" thickTop="1" thickBot="1">
      <c r="A76" s="103"/>
      <c r="B76" s="41"/>
      <c r="C76" s="15">
        <v>6879</v>
      </c>
      <c r="D76" s="63" t="s">
        <v>467</v>
      </c>
      <c r="E76" s="64"/>
      <c r="F76" s="12" t="str">
        <f t="shared" si="7"/>
        <v/>
      </c>
      <c r="G76" s="41"/>
      <c r="H76" s="41"/>
      <c r="I76" s="41"/>
      <c r="J76" s="41"/>
      <c r="K76" s="41"/>
      <c r="L76" s="41"/>
      <c r="M76" s="41"/>
      <c r="N76" s="41"/>
      <c r="O76" s="41"/>
    </row>
    <row r="77" spans="1:15" ht="30" customHeight="1" thickTop="1" thickBot="1">
      <c r="A77" s="103"/>
      <c r="B77" s="41"/>
      <c r="C77" s="10">
        <v>6880</v>
      </c>
      <c r="D77" s="72" t="s">
        <v>483</v>
      </c>
      <c r="E77" s="126">
        <f>IF(ISERROR(SUM(E78:E86)),"",SUM(E78:E86))</f>
        <v>0</v>
      </c>
      <c r="F77" s="150"/>
      <c r="G77" s="41"/>
      <c r="H77" s="41"/>
      <c r="I77" s="41"/>
      <c r="J77" s="41"/>
      <c r="K77" s="41"/>
      <c r="L77" s="41"/>
      <c r="M77" s="41"/>
      <c r="N77" s="41"/>
      <c r="O77" s="41"/>
    </row>
    <row r="78" spans="1:15" ht="30" customHeight="1" thickTop="1" thickBot="1">
      <c r="A78" s="103"/>
      <c r="B78" s="41"/>
      <c r="C78" s="11">
        <v>6881</v>
      </c>
      <c r="D78" s="63" t="s">
        <v>484</v>
      </c>
      <c r="E78" s="64"/>
      <c r="F78" s="12" t="str">
        <f>IF(ISERROR(E78/$E$77),"",E78/$E$77)</f>
        <v/>
      </c>
      <c r="G78" s="41"/>
      <c r="H78" s="41"/>
      <c r="I78" s="41"/>
      <c r="J78" s="41"/>
      <c r="K78" s="41"/>
      <c r="L78" s="41"/>
      <c r="M78" s="41"/>
      <c r="N78" s="41"/>
      <c r="O78" s="41"/>
    </row>
    <row r="79" spans="1:15" ht="30" customHeight="1" thickTop="1" thickBot="1">
      <c r="A79" s="103"/>
      <c r="B79" s="41"/>
      <c r="C79" s="11">
        <v>6882</v>
      </c>
      <c r="D79" s="63" t="s">
        <v>466</v>
      </c>
      <c r="E79" s="64"/>
      <c r="F79" s="12" t="str">
        <f t="shared" ref="F79:F86" si="8">IF(ISERROR(E79/$E$77),"",E79/$E$77)</f>
        <v/>
      </c>
      <c r="G79" s="41"/>
      <c r="H79" s="41"/>
      <c r="I79" s="41"/>
      <c r="J79" s="41"/>
      <c r="K79" s="41"/>
      <c r="L79" s="41"/>
      <c r="M79" s="41"/>
      <c r="N79" s="41"/>
      <c r="O79" s="41"/>
    </row>
    <row r="80" spans="1:15" ht="30" customHeight="1" thickTop="1" thickBot="1">
      <c r="A80" s="103"/>
      <c r="B80" s="41"/>
      <c r="C80" s="11">
        <v>6883</v>
      </c>
      <c r="D80" s="63"/>
      <c r="E80" s="64"/>
      <c r="F80" s="12" t="str">
        <f t="shared" si="8"/>
        <v/>
      </c>
      <c r="G80" s="41"/>
      <c r="H80" s="41"/>
      <c r="I80" s="41"/>
      <c r="J80" s="41"/>
      <c r="K80" s="41"/>
      <c r="L80" s="41"/>
      <c r="M80" s="41"/>
      <c r="N80" s="41"/>
      <c r="O80" s="41"/>
    </row>
    <row r="81" spans="1:15" ht="30" customHeight="1" thickTop="1" thickBot="1">
      <c r="A81" s="103"/>
      <c r="B81" s="41"/>
      <c r="C81" s="11">
        <v>6884</v>
      </c>
      <c r="D81" s="63"/>
      <c r="E81" s="64"/>
      <c r="F81" s="12" t="str">
        <f t="shared" si="8"/>
        <v/>
      </c>
      <c r="G81" s="41"/>
      <c r="H81" s="41"/>
      <c r="I81" s="41"/>
      <c r="J81" s="41"/>
      <c r="K81" s="41"/>
      <c r="L81" s="41"/>
      <c r="M81" s="41"/>
      <c r="N81" s="41"/>
      <c r="O81" s="41"/>
    </row>
    <row r="82" spans="1:15" ht="30" customHeight="1" thickTop="1" thickBot="1">
      <c r="A82" s="103"/>
      <c r="B82" s="41"/>
      <c r="C82" s="11">
        <v>6885</v>
      </c>
      <c r="D82" s="63"/>
      <c r="E82" s="64"/>
      <c r="F82" s="12" t="str">
        <f t="shared" si="8"/>
        <v/>
      </c>
      <c r="G82" s="41"/>
      <c r="H82" s="41"/>
      <c r="I82" s="41"/>
      <c r="J82" s="41"/>
      <c r="K82" s="41"/>
      <c r="L82" s="41"/>
      <c r="M82" s="41"/>
      <c r="N82" s="41"/>
      <c r="O82" s="41"/>
    </row>
    <row r="83" spans="1:15" ht="30" customHeight="1" thickTop="1" thickBot="1">
      <c r="A83" s="103"/>
      <c r="B83" s="41"/>
      <c r="C83" s="11">
        <v>6886</v>
      </c>
      <c r="D83" s="63"/>
      <c r="E83" s="64"/>
      <c r="F83" s="12" t="str">
        <f t="shared" si="8"/>
        <v/>
      </c>
      <c r="G83" s="41"/>
      <c r="H83" s="41"/>
      <c r="I83" s="41"/>
      <c r="J83" s="41"/>
      <c r="K83" s="41"/>
      <c r="L83" s="41"/>
      <c r="M83" s="41"/>
      <c r="N83" s="41"/>
      <c r="O83" s="41"/>
    </row>
    <row r="84" spans="1:15" ht="30" customHeight="1" thickTop="1" thickBot="1">
      <c r="A84" s="103"/>
      <c r="B84" s="41"/>
      <c r="C84" s="11">
        <v>6887</v>
      </c>
      <c r="D84" s="63"/>
      <c r="E84" s="64"/>
      <c r="F84" s="12" t="str">
        <f t="shared" si="8"/>
        <v/>
      </c>
      <c r="G84" s="41"/>
      <c r="H84" s="41"/>
      <c r="I84" s="41"/>
      <c r="J84" s="41"/>
      <c r="K84" s="41"/>
      <c r="L84" s="41"/>
      <c r="M84" s="41"/>
      <c r="N84" s="41"/>
      <c r="O84" s="41"/>
    </row>
    <row r="85" spans="1:15" ht="30" customHeight="1" thickTop="1" thickBot="1">
      <c r="A85" s="103"/>
      <c r="B85" s="41"/>
      <c r="C85" s="15">
        <v>6888</v>
      </c>
      <c r="D85" s="63" t="s">
        <v>38</v>
      </c>
      <c r="E85" s="64"/>
      <c r="F85" s="12" t="str">
        <f t="shared" si="8"/>
        <v/>
      </c>
      <c r="G85" s="41"/>
      <c r="H85" s="41"/>
      <c r="I85" s="41"/>
      <c r="J85" s="41"/>
      <c r="K85" s="41"/>
      <c r="L85" s="41"/>
      <c r="M85" s="41"/>
      <c r="N85" s="41"/>
      <c r="O85" s="41"/>
    </row>
    <row r="86" spans="1:15" ht="30" customHeight="1" thickTop="1" thickBot="1">
      <c r="A86" s="103"/>
      <c r="B86" s="41"/>
      <c r="C86" s="15">
        <v>6889</v>
      </c>
      <c r="D86" s="63" t="s">
        <v>467</v>
      </c>
      <c r="E86" s="64"/>
      <c r="F86" s="12" t="str">
        <f t="shared" si="8"/>
        <v/>
      </c>
      <c r="G86" s="41"/>
      <c r="H86" s="41"/>
      <c r="I86" s="41"/>
      <c r="J86" s="41"/>
      <c r="K86" s="41"/>
      <c r="L86" s="41"/>
      <c r="M86" s="41"/>
      <c r="N86" s="41"/>
      <c r="O86" s="41"/>
    </row>
    <row r="87" spans="1:15" ht="30" customHeight="1" thickTop="1" thickBot="1">
      <c r="A87" s="103"/>
      <c r="B87" s="41"/>
      <c r="C87" s="10">
        <v>6890</v>
      </c>
      <c r="D87" s="72" t="s">
        <v>485</v>
      </c>
      <c r="E87" s="126">
        <f>IF(ISERROR(SUM(E88:E96)),"",SUM(E88:E96))</f>
        <v>0</v>
      </c>
      <c r="F87" s="150"/>
      <c r="G87" s="41"/>
      <c r="H87" s="41"/>
      <c r="I87" s="41"/>
      <c r="J87" s="41"/>
      <c r="K87" s="41"/>
      <c r="L87" s="41"/>
      <c r="M87" s="41"/>
      <c r="N87" s="41"/>
      <c r="O87" s="41"/>
    </row>
    <row r="88" spans="1:15" ht="30" customHeight="1" thickTop="1" thickBot="1">
      <c r="A88" s="103"/>
      <c r="B88" s="41"/>
      <c r="C88" s="11">
        <v>6891</v>
      </c>
      <c r="D88" s="63" t="s">
        <v>486</v>
      </c>
      <c r="E88" s="64"/>
      <c r="F88" s="12" t="str">
        <f>IF(ISERROR(E88/$E$87),"",E88/$E$87)</f>
        <v/>
      </c>
      <c r="G88" s="41"/>
      <c r="H88" s="41"/>
      <c r="I88" s="41"/>
      <c r="J88" s="41"/>
      <c r="K88" s="41"/>
      <c r="L88" s="41"/>
      <c r="M88" s="41"/>
      <c r="N88" s="41"/>
      <c r="O88" s="41"/>
    </row>
    <row r="89" spans="1:15" ht="30" customHeight="1" thickTop="1" thickBot="1">
      <c r="A89" s="103"/>
      <c r="B89" s="41"/>
      <c r="C89" s="11">
        <v>6892</v>
      </c>
      <c r="D89" s="63" t="s">
        <v>466</v>
      </c>
      <c r="E89" s="64"/>
      <c r="F89" s="12" t="str">
        <f t="shared" ref="F89:F96" si="9">IF(ISERROR(E89/$E$87),"",E89/$E$87)</f>
        <v/>
      </c>
      <c r="G89" s="41"/>
      <c r="H89" s="41"/>
      <c r="I89" s="41"/>
      <c r="J89" s="41"/>
      <c r="K89" s="41"/>
      <c r="L89" s="41"/>
      <c r="M89" s="41"/>
      <c r="N89" s="41"/>
      <c r="O89" s="41"/>
    </row>
    <row r="90" spans="1:15" ht="30" customHeight="1" thickTop="1" thickBot="1">
      <c r="A90" s="103"/>
      <c r="B90" s="41"/>
      <c r="C90" s="11">
        <v>6893</v>
      </c>
      <c r="D90" s="63"/>
      <c r="E90" s="64"/>
      <c r="F90" s="12" t="str">
        <f t="shared" si="9"/>
        <v/>
      </c>
      <c r="G90" s="41"/>
      <c r="H90" s="41"/>
      <c r="I90" s="41"/>
      <c r="J90" s="41"/>
      <c r="K90" s="41"/>
      <c r="L90" s="41"/>
      <c r="M90" s="41"/>
      <c r="N90" s="41"/>
      <c r="O90" s="41"/>
    </row>
    <row r="91" spans="1:15" ht="30" customHeight="1" thickTop="1" thickBot="1">
      <c r="A91" s="103"/>
      <c r="B91" s="41"/>
      <c r="C91" s="11">
        <v>6894</v>
      </c>
      <c r="D91" s="63"/>
      <c r="E91" s="64"/>
      <c r="F91" s="12" t="str">
        <f t="shared" si="9"/>
        <v/>
      </c>
      <c r="G91" s="41"/>
      <c r="H91" s="41"/>
      <c r="I91" s="41"/>
      <c r="J91" s="41"/>
      <c r="K91" s="41"/>
      <c r="L91" s="41"/>
      <c r="M91" s="41"/>
      <c r="N91" s="41"/>
      <c r="O91" s="41"/>
    </row>
    <row r="92" spans="1:15" ht="30" customHeight="1" thickTop="1" thickBot="1">
      <c r="A92" s="103"/>
      <c r="B92" s="41"/>
      <c r="C92" s="11">
        <v>6895</v>
      </c>
      <c r="D92" s="63"/>
      <c r="E92" s="64"/>
      <c r="F92" s="12" t="str">
        <f t="shared" si="9"/>
        <v/>
      </c>
      <c r="G92" s="41"/>
      <c r="H92" s="41"/>
      <c r="I92" s="41"/>
      <c r="J92" s="41"/>
      <c r="K92" s="41"/>
      <c r="L92" s="41"/>
      <c r="M92" s="41"/>
      <c r="N92" s="41"/>
      <c r="O92" s="41"/>
    </row>
    <row r="93" spans="1:15" ht="30" customHeight="1" thickTop="1" thickBot="1">
      <c r="A93" s="103"/>
      <c r="B93" s="41"/>
      <c r="C93" s="11">
        <v>6896</v>
      </c>
      <c r="D93" s="63"/>
      <c r="E93" s="64"/>
      <c r="F93" s="12" t="str">
        <f t="shared" si="9"/>
        <v/>
      </c>
      <c r="G93" s="41"/>
      <c r="H93" s="41"/>
      <c r="I93" s="41"/>
      <c r="J93" s="41"/>
      <c r="K93" s="41"/>
      <c r="L93" s="41"/>
      <c r="M93" s="41"/>
      <c r="N93" s="41"/>
      <c r="O93" s="41"/>
    </row>
    <row r="94" spans="1:15" ht="30" customHeight="1" thickTop="1" thickBot="1">
      <c r="A94" s="103"/>
      <c r="B94" s="41"/>
      <c r="C94" s="11">
        <v>6897</v>
      </c>
      <c r="D94" s="63"/>
      <c r="E94" s="64"/>
      <c r="F94" s="12" t="str">
        <f t="shared" si="9"/>
        <v/>
      </c>
      <c r="G94" s="41"/>
      <c r="H94" s="41"/>
      <c r="I94" s="41"/>
      <c r="J94" s="41"/>
      <c r="K94" s="41"/>
      <c r="L94" s="41"/>
      <c r="M94" s="41"/>
      <c r="N94" s="41"/>
      <c r="O94" s="41"/>
    </row>
    <row r="95" spans="1:15" ht="30" customHeight="1" thickTop="1" thickBot="1">
      <c r="A95" s="103"/>
      <c r="B95" s="41"/>
      <c r="C95" s="15">
        <v>6898</v>
      </c>
      <c r="D95" s="63" t="s">
        <v>38</v>
      </c>
      <c r="E95" s="64"/>
      <c r="F95" s="12" t="str">
        <f t="shared" si="9"/>
        <v/>
      </c>
      <c r="G95" s="41"/>
      <c r="H95" s="41"/>
      <c r="I95" s="41"/>
      <c r="J95" s="41"/>
      <c r="K95" s="41"/>
      <c r="L95" s="41"/>
      <c r="M95" s="41"/>
      <c r="N95" s="41"/>
      <c r="O95" s="41"/>
    </row>
    <row r="96" spans="1:15" ht="30" customHeight="1" thickTop="1" thickBot="1">
      <c r="A96" s="103"/>
      <c r="B96" s="41"/>
      <c r="C96" s="15">
        <v>6899</v>
      </c>
      <c r="D96" s="63" t="s">
        <v>467</v>
      </c>
      <c r="E96" s="64"/>
      <c r="F96" s="12" t="str">
        <f t="shared" si="9"/>
        <v/>
      </c>
      <c r="G96" s="41"/>
      <c r="H96" s="41"/>
      <c r="I96" s="41"/>
      <c r="J96" s="41"/>
      <c r="K96" s="41"/>
      <c r="L96" s="41"/>
      <c r="M96" s="41"/>
      <c r="N96" s="41"/>
      <c r="O96" s="41"/>
    </row>
    <row r="97" spans="1:15" ht="30" customHeight="1" thickTop="1">
      <c r="A97" s="103"/>
      <c r="B97" s="41"/>
      <c r="C97" s="41"/>
      <c r="D97" s="41"/>
      <c r="E97" s="41"/>
      <c r="F97" s="41"/>
      <c r="G97" s="41"/>
      <c r="H97" s="41"/>
      <c r="I97" s="41"/>
      <c r="J97" s="41"/>
      <c r="K97" s="41"/>
      <c r="L97" s="41"/>
      <c r="M97" s="41"/>
      <c r="N97" s="41"/>
      <c r="O97" s="41"/>
    </row>
    <row r="98" spans="1:15" ht="30" customHeight="1">
      <c r="A98" s="103"/>
      <c r="B98" s="41"/>
      <c r="C98" s="41"/>
      <c r="D98" s="41"/>
      <c r="E98" s="41"/>
      <c r="F98" s="41"/>
      <c r="G98" s="41"/>
      <c r="H98" s="41"/>
      <c r="I98" s="41"/>
      <c r="J98" s="41"/>
      <c r="K98" s="41"/>
      <c r="L98" s="41"/>
      <c r="M98" s="41"/>
      <c r="N98" s="41"/>
      <c r="O98" s="41"/>
    </row>
    <row r="99" spans="1:15" ht="30" customHeight="1">
      <c r="A99" s="103"/>
      <c r="B99" s="41"/>
      <c r="C99" s="41"/>
      <c r="D99" s="41"/>
      <c r="E99" s="41"/>
      <c r="F99" s="41"/>
      <c r="G99" s="41"/>
      <c r="H99" s="41"/>
      <c r="I99" s="41"/>
      <c r="J99" s="41"/>
      <c r="K99" s="41"/>
      <c r="L99" s="41"/>
      <c r="M99" s="41"/>
      <c r="N99" s="41"/>
      <c r="O99" s="41"/>
    </row>
    <row r="100" spans="1:15" ht="30" customHeight="1">
      <c r="A100" s="103"/>
      <c r="B100" s="41"/>
      <c r="C100" s="41"/>
      <c r="D100" s="41"/>
      <c r="E100" s="41"/>
      <c r="F100" s="41"/>
      <c r="G100" s="41"/>
      <c r="H100" s="41"/>
      <c r="I100" s="41"/>
      <c r="J100" s="41"/>
      <c r="K100" s="41"/>
      <c r="L100" s="41"/>
      <c r="M100" s="41"/>
      <c r="N100" s="41"/>
      <c r="O100" s="41"/>
    </row>
    <row r="101" spans="1:15">
      <c r="A101" s="103"/>
      <c r="B101" s="41"/>
      <c r="C101" s="41"/>
      <c r="D101" s="41"/>
      <c r="E101" s="41"/>
      <c r="F101" s="41"/>
      <c r="G101" s="41"/>
      <c r="H101" s="41"/>
      <c r="I101" s="41"/>
      <c r="J101" s="41"/>
      <c r="K101" s="41"/>
      <c r="L101" s="41"/>
      <c r="M101" s="41"/>
      <c r="N101" s="41"/>
      <c r="O101" s="41"/>
    </row>
  </sheetData>
  <sheetProtection algorithmName="SHA-512" hashValue="SVx+b/6VZXQS8WpAkiYX2JaVHLot4hnG6aI990rkrLTdqnEFelk4DGcDQdnom0Krs5rXcnES+Izhc2QJ864o/w==" saltValue="PNzJ2gnBzdoSDF3VWVyeNQ==" spinCount="100000" sheet="1" objects="1" scenarios="1"/>
  <mergeCells count="14">
    <mergeCell ref="E77:F77"/>
    <mergeCell ref="E87:F87"/>
    <mergeCell ref="I6:K6"/>
    <mergeCell ref="E6:F6"/>
    <mergeCell ref="H17:K17"/>
    <mergeCell ref="H18:I18"/>
    <mergeCell ref="J18:K18"/>
    <mergeCell ref="E27:F27"/>
    <mergeCell ref="E37:F37"/>
    <mergeCell ref="E47:F47"/>
    <mergeCell ref="E57:F57"/>
    <mergeCell ref="E67:F67"/>
    <mergeCell ref="E7:F7"/>
    <mergeCell ref="E17:F17"/>
  </mergeCells>
  <pageMargins left="0.511811024" right="0.511811024" top="0.78740157499999996" bottom="0.78740157499999996" header="0.31496062000000002" footer="0.31496062000000002"/>
  <pageSetup paperSize="9" orientation="portrait" r:id="rId1"/>
  <drawing r:id="rId2"/>
</worksheet>
</file>

<file path=xl/worksheets/sheet8.xml><?xml version="1.0" encoding="utf-8"?>
<worksheet xmlns="http://schemas.openxmlformats.org/spreadsheetml/2006/main" xmlns:r="http://schemas.openxmlformats.org/officeDocument/2006/relationships">
  <sheetPr codeName="Plan8"/>
  <dimension ref="A1:S101"/>
  <sheetViews>
    <sheetView showGridLines="0" zoomScale="90" zoomScaleNormal="90" workbookViewId="0">
      <pane ySplit="3" topLeftCell="A4" activePane="bottomLeft" state="frozen"/>
      <selection pane="bottomLeft" sqref="A1:XFD1048576"/>
    </sheetView>
  </sheetViews>
  <sheetFormatPr defaultColWidth="0" defaultRowHeight="15" customHeight="1" zeroHeight="1"/>
  <cols>
    <col min="1" max="1" width="27.7109375" style="104" customWidth="1"/>
    <col min="2" max="2" width="2.7109375" customWidth="1"/>
    <col min="3" max="3" width="9.140625" customWidth="1"/>
    <col min="4" max="4" width="50.7109375" customWidth="1"/>
    <col min="5" max="6" width="15.7109375" customWidth="1"/>
    <col min="7" max="7" width="7.85546875" customWidth="1"/>
    <col min="8" max="8" width="9.140625" customWidth="1"/>
    <col min="9" max="9" width="30.7109375" customWidth="1"/>
    <col min="10" max="11" width="15.7109375" customWidth="1"/>
    <col min="12" max="15" width="20.7109375" customWidth="1"/>
    <col min="16" max="19" width="0" hidden="1" customWidth="1"/>
    <col min="20" max="16384" width="9.140625" hidden="1"/>
  </cols>
  <sheetData>
    <row r="1" spans="1:15" s="3" customFormat="1" ht="33.950000000000003" customHeight="1">
      <c r="A1" s="103"/>
      <c r="B1" s="59"/>
      <c r="C1" s="59" t="s">
        <v>19</v>
      </c>
      <c r="D1" s="58"/>
      <c r="E1" s="58"/>
      <c r="F1" s="58"/>
      <c r="G1" s="58"/>
      <c r="H1" s="58"/>
      <c r="I1" s="58"/>
      <c r="J1" s="58"/>
      <c r="K1" s="58"/>
      <c r="L1" s="58"/>
      <c r="M1" s="58"/>
      <c r="N1" s="58"/>
      <c r="O1" s="58"/>
    </row>
    <row r="2" spans="1:15" s="3" customFormat="1" ht="21.6" customHeight="1">
      <c r="A2" s="103"/>
      <c r="B2" s="58"/>
      <c r="C2" s="58"/>
      <c r="D2" s="58"/>
      <c r="E2" s="58"/>
      <c r="F2" s="58"/>
      <c r="G2" s="58"/>
      <c r="H2" s="58"/>
      <c r="I2" s="58"/>
      <c r="J2" s="58"/>
      <c r="K2" s="58"/>
      <c r="L2" s="58"/>
      <c r="M2" s="58"/>
      <c r="N2" s="58"/>
      <c r="O2" s="58"/>
    </row>
    <row r="3" spans="1:15" s="3" customFormat="1" ht="21.6" customHeight="1">
      <c r="A3" s="103"/>
      <c r="B3" s="58"/>
      <c r="C3" s="58"/>
      <c r="D3" s="58"/>
      <c r="E3" s="58"/>
      <c r="F3" s="58"/>
      <c r="G3" s="58"/>
      <c r="H3" s="58"/>
      <c r="I3" s="58"/>
      <c r="J3" s="58"/>
      <c r="K3" s="58"/>
      <c r="L3" s="58"/>
      <c r="M3" s="58"/>
      <c r="N3" s="58"/>
      <c r="O3" s="58"/>
    </row>
    <row r="4" spans="1:15" ht="44.25" customHeight="1">
      <c r="A4" s="103"/>
      <c r="B4" s="26"/>
      <c r="C4" s="26"/>
      <c r="D4" s="26"/>
      <c r="E4" s="26"/>
      <c r="F4" s="26"/>
      <c r="G4" s="26"/>
      <c r="H4" s="26"/>
      <c r="I4" s="26"/>
      <c r="J4" s="26"/>
      <c r="K4" s="26"/>
      <c r="L4" s="26"/>
      <c r="M4" s="26"/>
      <c r="N4" s="26"/>
      <c r="O4" s="26"/>
    </row>
    <row r="5" spans="1:15" ht="15" customHeight="1" thickBot="1">
      <c r="A5" s="103"/>
      <c r="B5" s="41"/>
      <c r="C5" s="41"/>
      <c r="D5" s="41"/>
      <c r="E5" s="41"/>
      <c r="F5" s="41"/>
      <c r="G5" s="41"/>
      <c r="H5" s="41"/>
      <c r="I5" s="41"/>
      <c r="J5" s="41"/>
      <c r="K5" s="41"/>
      <c r="L5" s="41"/>
      <c r="M5" s="41"/>
      <c r="N5" s="41"/>
      <c r="O5" s="41"/>
    </row>
    <row r="6" spans="1:15" ht="30" customHeight="1" thickTop="1" thickBot="1">
      <c r="A6" s="103"/>
      <c r="B6" s="41"/>
      <c r="C6" s="45">
        <v>6900</v>
      </c>
      <c r="D6" s="49" t="s">
        <v>491</v>
      </c>
      <c r="E6" s="151">
        <f>IF(ISERROR($E$7+$E$17+$E$27+$E$37+$E$47+$E$57+$E$67+$E$77+$E$87),"",$E$7+$E$17+$E$27+$E$37+$E$47+$E$57+$E$67+$E$77+$E$87)</f>
        <v>377534</v>
      </c>
      <c r="F6" s="151"/>
      <c r="G6" s="41"/>
      <c r="H6" s="45">
        <v>6900</v>
      </c>
      <c r="I6" s="128" t="s">
        <v>514</v>
      </c>
      <c r="J6" s="129"/>
      <c r="K6" s="130"/>
      <c r="L6" s="41"/>
      <c r="M6" s="41"/>
      <c r="N6" s="41"/>
      <c r="O6" s="41"/>
    </row>
    <row r="7" spans="1:15" ht="30" customHeight="1" thickTop="1" thickBot="1">
      <c r="A7" s="103"/>
      <c r="B7" s="41"/>
      <c r="C7" s="10">
        <v>6910</v>
      </c>
      <c r="D7" s="72" t="s">
        <v>492</v>
      </c>
      <c r="E7" s="126">
        <f>IF(ISERROR(SUM(E8:E16)),"",SUM(E8:E16))</f>
        <v>350640</v>
      </c>
      <c r="F7" s="150"/>
      <c r="G7" s="41"/>
      <c r="H7" s="10">
        <v>6910</v>
      </c>
      <c r="I7" s="51" t="s">
        <v>500</v>
      </c>
      <c r="J7" s="48">
        <f>IF(ISERROR($E$7),"",$E$7)</f>
        <v>350640</v>
      </c>
      <c r="K7" s="12">
        <f>IF(ISERROR(J7/$L$7),"",J7/$L$7)</f>
        <v>0.92876403184878709</v>
      </c>
      <c r="L7" s="62">
        <f>IF(ISERROR(SUM($J$7:$J$15)),"",SUM($J$7:$J$15))</f>
        <v>377534</v>
      </c>
      <c r="M7" s="41"/>
      <c r="N7" s="41"/>
      <c r="O7" s="41"/>
    </row>
    <row r="8" spans="1:15" ht="30" customHeight="1" thickTop="1" thickBot="1">
      <c r="A8" s="103"/>
      <c r="B8" s="41"/>
      <c r="C8" s="11">
        <v>6191</v>
      </c>
      <c r="D8" s="63" t="s">
        <v>501</v>
      </c>
      <c r="E8" s="64">
        <v>350640</v>
      </c>
      <c r="F8" s="12">
        <f>IF(ISERROR(E8/$E$7),"",E8/$E$7)</f>
        <v>1</v>
      </c>
      <c r="G8" s="41"/>
      <c r="H8" s="10">
        <v>6920</v>
      </c>
      <c r="I8" s="51" t="s">
        <v>502</v>
      </c>
      <c r="J8" s="48">
        <f>IF(ISERROR($E$17),"",$E$17)</f>
        <v>10500</v>
      </c>
      <c r="K8" s="12">
        <f t="shared" ref="K8:K15" si="0">IF(ISERROR(J8/$L$7),"",J8/$L$7)</f>
        <v>2.7812064608750471E-2</v>
      </c>
      <c r="L8" s="41"/>
      <c r="M8" s="41"/>
      <c r="N8" s="41"/>
      <c r="O8" s="41"/>
    </row>
    <row r="9" spans="1:15" ht="30" customHeight="1" thickTop="1" thickBot="1">
      <c r="A9" s="103"/>
      <c r="B9" s="41"/>
      <c r="C9" s="11">
        <v>6912</v>
      </c>
      <c r="D9" s="63"/>
      <c r="E9" s="64"/>
      <c r="F9" s="12">
        <f t="shared" ref="F9:F16" si="1">IF(ISERROR(E9/$E$7),"",E9/$E$7)</f>
        <v>0</v>
      </c>
      <c r="G9" s="41"/>
      <c r="H9" s="10">
        <v>6930</v>
      </c>
      <c r="I9" s="51" t="s">
        <v>507</v>
      </c>
      <c r="J9" s="48">
        <f>IF(ISERROR($E$27),"",$E$27)</f>
        <v>0</v>
      </c>
      <c r="K9" s="12">
        <f t="shared" si="0"/>
        <v>0</v>
      </c>
      <c r="L9" s="41"/>
      <c r="M9" s="41"/>
      <c r="N9" s="41"/>
      <c r="O9" s="41"/>
    </row>
    <row r="10" spans="1:15" ht="30" customHeight="1" thickTop="1" thickBot="1">
      <c r="A10" s="103"/>
      <c r="B10" s="41"/>
      <c r="C10" s="11">
        <v>6913</v>
      </c>
      <c r="D10" s="63" t="s">
        <v>493</v>
      </c>
      <c r="E10" s="64"/>
      <c r="F10" s="12">
        <f t="shared" si="1"/>
        <v>0</v>
      </c>
      <c r="G10" s="41"/>
      <c r="H10" s="10">
        <v>6940</v>
      </c>
      <c r="I10" s="51" t="s">
        <v>508</v>
      </c>
      <c r="J10" s="48">
        <f>IF(ISERROR($E$37),"",$E$37)</f>
        <v>0</v>
      </c>
      <c r="K10" s="12">
        <f t="shared" si="0"/>
        <v>0</v>
      </c>
      <c r="L10" s="41"/>
      <c r="M10" s="41"/>
      <c r="N10" s="41"/>
      <c r="O10" s="41"/>
    </row>
    <row r="11" spans="1:15" ht="30" customHeight="1" thickTop="1" thickBot="1">
      <c r="A11" s="103"/>
      <c r="B11" s="41"/>
      <c r="C11" s="11">
        <v>6914</v>
      </c>
      <c r="D11" s="63" t="s">
        <v>494</v>
      </c>
      <c r="E11" s="64"/>
      <c r="F11" s="12">
        <f t="shared" si="1"/>
        <v>0</v>
      </c>
      <c r="G11" s="41"/>
      <c r="H11" s="10">
        <v>6950</v>
      </c>
      <c r="I11" s="51" t="s">
        <v>509</v>
      </c>
      <c r="J11" s="48">
        <f>IF(ISERROR($E$47),"",$E$47)</f>
        <v>0</v>
      </c>
      <c r="K11" s="12">
        <f t="shared" si="0"/>
        <v>0</v>
      </c>
      <c r="L11" s="41"/>
      <c r="M11" s="41"/>
      <c r="N11" s="41"/>
      <c r="O11" s="41"/>
    </row>
    <row r="12" spans="1:15" ht="30" customHeight="1" thickTop="1" thickBot="1">
      <c r="A12" s="103"/>
      <c r="B12" s="41"/>
      <c r="C12" s="11">
        <v>6915</v>
      </c>
      <c r="D12" s="63" t="s">
        <v>495</v>
      </c>
      <c r="E12" s="64"/>
      <c r="F12" s="12">
        <f t="shared" si="1"/>
        <v>0</v>
      </c>
      <c r="G12" s="41"/>
      <c r="H12" s="10">
        <v>6960</v>
      </c>
      <c r="I12" s="51" t="s">
        <v>510</v>
      </c>
      <c r="J12" s="48">
        <f>IF(ISERROR($E$57),"",$E$57)</f>
        <v>0</v>
      </c>
      <c r="K12" s="12">
        <f t="shared" si="0"/>
        <v>0</v>
      </c>
      <c r="L12" s="41"/>
      <c r="M12" s="41"/>
      <c r="N12" s="41"/>
      <c r="O12" s="41"/>
    </row>
    <row r="13" spans="1:15" ht="30" customHeight="1" thickTop="1" thickBot="1">
      <c r="A13" s="103"/>
      <c r="B13" s="41"/>
      <c r="C13" s="11">
        <v>6916</v>
      </c>
      <c r="D13" s="63" t="s">
        <v>496</v>
      </c>
      <c r="E13" s="64"/>
      <c r="F13" s="12">
        <f t="shared" si="1"/>
        <v>0</v>
      </c>
      <c r="G13" s="41"/>
      <c r="H13" s="10">
        <v>6970</v>
      </c>
      <c r="I13" s="51" t="s">
        <v>511</v>
      </c>
      <c r="J13" s="48">
        <f>IF(ISERROR($E$67),"",$E$67)</f>
        <v>0</v>
      </c>
      <c r="K13" s="12">
        <f t="shared" si="0"/>
        <v>0</v>
      </c>
      <c r="L13" s="41"/>
      <c r="M13" s="41"/>
      <c r="N13" s="41"/>
      <c r="O13" s="41"/>
    </row>
    <row r="14" spans="1:15" ht="30" customHeight="1" thickTop="1" thickBot="1">
      <c r="A14" s="103"/>
      <c r="B14" s="41"/>
      <c r="C14" s="11">
        <v>6917</v>
      </c>
      <c r="D14" s="63" t="s">
        <v>497</v>
      </c>
      <c r="E14" s="64"/>
      <c r="F14" s="12">
        <f t="shared" si="1"/>
        <v>0</v>
      </c>
      <c r="G14" s="41"/>
      <c r="H14" s="10">
        <v>6980</v>
      </c>
      <c r="I14" s="51" t="s">
        <v>512</v>
      </c>
      <c r="J14" s="48">
        <f>IF(ISERROR($E$77),"",$E$77)</f>
        <v>0</v>
      </c>
      <c r="K14" s="12">
        <f t="shared" si="0"/>
        <v>0</v>
      </c>
      <c r="L14" s="41"/>
      <c r="M14" s="41"/>
      <c r="N14" s="41"/>
      <c r="O14" s="41"/>
    </row>
    <row r="15" spans="1:15" ht="30" customHeight="1" thickTop="1" thickBot="1">
      <c r="A15" s="103"/>
      <c r="B15" s="41"/>
      <c r="C15" s="15">
        <v>6918</v>
      </c>
      <c r="D15" s="63" t="s">
        <v>498</v>
      </c>
      <c r="E15" s="64"/>
      <c r="F15" s="12">
        <f t="shared" si="1"/>
        <v>0</v>
      </c>
      <c r="G15" s="41"/>
      <c r="H15" s="10">
        <v>6990</v>
      </c>
      <c r="I15" s="51" t="s">
        <v>513</v>
      </c>
      <c r="J15" s="48">
        <f>IF(ISERROR($E$87),"",$E$87)</f>
        <v>16394</v>
      </c>
      <c r="K15" s="12">
        <f t="shared" si="0"/>
        <v>4.3423903542462401E-2</v>
      </c>
      <c r="L15" s="41"/>
      <c r="M15" s="41"/>
      <c r="N15" s="41"/>
      <c r="O15" s="41"/>
    </row>
    <row r="16" spans="1:15" ht="30" customHeight="1" thickTop="1" thickBot="1">
      <c r="A16" s="103"/>
      <c r="B16" s="41"/>
      <c r="C16" s="15">
        <v>6919</v>
      </c>
      <c r="D16" s="63" t="s">
        <v>499</v>
      </c>
      <c r="E16" s="64"/>
      <c r="F16" s="12">
        <f t="shared" si="1"/>
        <v>0</v>
      </c>
      <c r="G16" s="41"/>
      <c r="H16" s="41"/>
      <c r="I16" s="41"/>
      <c r="J16" s="41"/>
      <c r="K16" s="41"/>
      <c r="L16" s="41"/>
      <c r="M16" s="41"/>
      <c r="N16" s="41"/>
      <c r="O16" s="41"/>
    </row>
    <row r="17" spans="1:15" ht="30" customHeight="1" thickTop="1" thickBot="1">
      <c r="A17" s="103"/>
      <c r="B17" s="41"/>
      <c r="C17" s="10">
        <v>6920</v>
      </c>
      <c r="D17" s="72" t="s">
        <v>502</v>
      </c>
      <c r="E17" s="126">
        <f>IF(ISERROR(SUM(E18:E26)),"",SUM(E18:E26))</f>
        <v>10500</v>
      </c>
      <c r="F17" s="150"/>
      <c r="G17" s="41"/>
      <c r="H17" s="128" t="s">
        <v>491</v>
      </c>
      <c r="I17" s="129"/>
      <c r="J17" s="129"/>
      <c r="K17" s="129"/>
      <c r="L17" s="41"/>
      <c r="M17" s="41"/>
      <c r="N17" s="41"/>
      <c r="O17" s="41"/>
    </row>
    <row r="18" spans="1:15" ht="30" customHeight="1" thickTop="1" thickBot="1">
      <c r="A18" s="103"/>
      <c r="B18" s="41"/>
      <c r="C18" s="11">
        <v>6921</v>
      </c>
      <c r="D18" s="63" t="s">
        <v>39</v>
      </c>
      <c r="E18" s="64">
        <v>10500</v>
      </c>
      <c r="F18" s="12">
        <f>IF(ISERROR(E18/$E$17),"",E18/$E$17)</f>
        <v>1</v>
      </c>
      <c r="G18" s="41"/>
      <c r="H18" s="143" t="s">
        <v>34</v>
      </c>
      <c r="I18" s="143"/>
      <c r="J18" s="146">
        <f>IF(ISERROR(SUM($J$7:$J$15)),"",SUM($J$7:$J$15))</f>
        <v>377534</v>
      </c>
      <c r="K18" s="146"/>
      <c r="L18" s="41"/>
      <c r="M18" s="41"/>
      <c r="N18" s="41"/>
      <c r="O18" s="41"/>
    </row>
    <row r="19" spans="1:15" ht="30" customHeight="1" thickTop="1" thickBot="1">
      <c r="A19" s="103"/>
      <c r="B19" s="41"/>
      <c r="C19" s="11">
        <v>6922</v>
      </c>
      <c r="D19" s="63"/>
      <c r="E19" s="64"/>
      <c r="F19" s="12">
        <f t="shared" ref="F19:F26" si="2">IF(ISERROR(E19/$E$17),"",E19/$E$17)</f>
        <v>0</v>
      </c>
      <c r="G19" s="41"/>
      <c r="H19" s="41"/>
      <c r="I19" s="41"/>
      <c r="J19" s="41"/>
      <c r="K19" s="41"/>
      <c r="L19" s="41"/>
      <c r="M19" s="41"/>
      <c r="N19" s="41"/>
      <c r="O19" s="41"/>
    </row>
    <row r="20" spans="1:15" ht="30" customHeight="1" thickTop="1" thickBot="1">
      <c r="A20" s="103"/>
      <c r="B20" s="41"/>
      <c r="C20" s="11">
        <v>6923</v>
      </c>
      <c r="D20" s="63"/>
      <c r="E20" s="64"/>
      <c r="F20" s="12">
        <f t="shared" si="2"/>
        <v>0</v>
      </c>
      <c r="G20" s="41"/>
      <c r="H20" s="41"/>
      <c r="I20" s="41"/>
      <c r="J20" s="41"/>
      <c r="K20" s="41"/>
      <c r="L20" s="41"/>
      <c r="M20" s="41"/>
      <c r="N20" s="41"/>
      <c r="O20" s="41"/>
    </row>
    <row r="21" spans="1:15" ht="30" customHeight="1" thickTop="1" thickBot="1">
      <c r="A21" s="103"/>
      <c r="B21" s="41"/>
      <c r="C21" s="11">
        <v>6924</v>
      </c>
      <c r="D21" s="63" t="s">
        <v>503</v>
      </c>
      <c r="E21" s="64"/>
      <c r="F21" s="12">
        <f t="shared" si="2"/>
        <v>0</v>
      </c>
      <c r="G21" s="41"/>
      <c r="H21" s="41"/>
      <c r="I21" s="41"/>
      <c r="J21" s="41"/>
      <c r="K21" s="41"/>
      <c r="L21" s="41"/>
      <c r="M21" s="41"/>
      <c r="N21" s="41"/>
      <c r="O21" s="41"/>
    </row>
    <row r="22" spans="1:15" ht="30" customHeight="1" thickTop="1" thickBot="1">
      <c r="A22" s="103"/>
      <c r="B22" s="41"/>
      <c r="C22" s="11">
        <v>6925</v>
      </c>
      <c r="D22" s="63" t="s">
        <v>40</v>
      </c>
      <c r="E22" s="64"/>
      <c r="F22" s="12">
        <f t="shared" si="2"/>
        <v>0</v>
      </c>
      <c r="G22" s="41"/>
      <c r="H22" s="41"/>
      <c r="I22" s="41"/>
      <c r="J22" s="41"/>
      <c r="K22" s="41"/>
      <c r="L22" s="41"/>
      <c r="M22" s="41"/>
      <c r="N22" s="41"/>
      <c r="O22" s="41"/>
    </row>
    <row r="23" spans="1:15" ht="30" customHeight="1" thickTop="1" thickBot="1">
      <c r="A23" s="103"/>
      <c r="B23" s="41"/>
      <c r="C23" s="11">
        <v>6926</v>
      </c>
      <c r="D23" s="63" t="s">
        <v>504</v>
      </c>
      <c r="E23" s="64"/>
      <c r="F23" s="12">
        <f t="shared" si="2"/>
        <v>0</v>
      </c>
      <c r="G23" s="41"/>
      <c r="H23" s="41"/>
      <c r="I23" s="41"/>
      <c r="J23" s="41"/>
      <c r="K23" s="41"/>
      <c r="L23" s="41"/>
      <c r="M23" s="41"/>
      <c r="N23" s="41"/>
      <c r="O23" s="41"/>
    </row>
    <row r="24" spans="1:15" ht="30" customHeight="1" thickTop="1" thickBot="1">
      <c r="A24" s="103"/>
      <c r="B24" s="41"/>
      <c r="C24" s="11">
        <v>6927</v>
      </c>
      <c r="D24" s="63" t="s">
        <v>505</v>
      </c>
      <c r="E24" s="64"/>
      <c r="F24" s="12">
        <f t="shared" si="2"/>
        <v>0</v>
      </c>
      <c r="G24" s="41"/>
      <c r="H24" s="41"/>
      <c r="I24" s="41"/>
      <c r="J24" s="41"/>
      <c r="K24" s="41"/>
      <c r="L24" s="41"/>
      <c r="M24" s="41"/>
      <c r="N24" s="41"/>
      <c r="O24" s="41"/>
    </row>
    <row r="25" spans="1:15" ht="30" customHeight="1" thickTop="1" thickBot="1">
      <c r="A25" s="103"/>
      <c r="B25" s="41"/>
      <c r="C25" s="15">
        <v>6928</v>
      </c>
      <c r="D25" s="63"/>
      <c r="E25" s="64"/>
      <c r="F25" s="12">
        <f t="shared" si="2"/>
        <v>0</v>
      </c>
      <c r="G25" s="41"/>
      <c r="H25" s="41"/>
      <c r="I25" s="41"/>
      <c r="J25" s="41"/>
      <c r="K25" s="41"/>
      <c r="L25" s="41"/>
      <c r="M25" s="41"/>
      <c r="N25" s="41"/>
      <c r="O25" s="41"/>
    </row>
    <row r="26" spans="1:15" ht="30" customHeight="1" thickTop="1" thickBot="1">
      <c r="A26" s="103"/>
      <c r="B26" s="41"/>
      <c r="C26" s="15">
        <v>6929</v>
      </c>
      <c r="D26" s="63" t="s">
        <v>506</v>
      </c>
      <c r="E26" s="64"/>
      <c r="F26" s="12">
        <f t="shared" si="2"/>
        <v>0</v>
      </c>
      <c r="G26" s="41"/>
      <c r="H26" s="41"/>
      <c r="I26" s="41"/>
      <c r="J26" s="41"/>
      <c r="K26" s="41"/>
      <c r="L26" s="41"/>
      <c r="M26" s="41"/>
      <c r="N26" s="41"/>
      <c r="O26" s="41"/>
    </row>
    <row r="27" spans="1:15" ht="30" customHeight="1" thickTop="1" thickBot="1">
      <c r="A27" s="103"/>
      <c r="B27" s="41"/>
      <c r="C27" s="10">
        <v>6930</v>
      </c>
      <c r="D27" s="72" t="s">
        <v>507</v>
      </c>
      <c r="E27" s="126">
        <f>IF(ISERROR(SUM(E28:E36)),"",SUM(E28:E36))</f>
        <v>0</v>
      </c>
      <c r="F27" s="150"/>
      <c r="G27" s="41"/>
      <c r="H27" s="41"/>
      <c r="I27" s="41"/>
      <c r="J27" s="41"/>
      <c r="K27" s="41"/>
      <c r="L27" s="41"/>
      <c r="M27" s="41"/>
      <c r="N27" s="41"/>
      <c r="O27" s="41"/>
    </row>
    <row r="28" spans="1:15" ht="30" customHeight="1" thickTop="1" thickBot="1">
      <c r="A28" s="103"/>
      <c r="B28" s="41"/>
      <c r="C28" s="11">
        <v>6931</v>
      </c>
      <c r="D28" s="63" t="s">
        <v>39</v>
      </c>
      <c r="E28" s="64"/>
      <c r="F28" s="12" t="str">
        <f>IF(ISERROR(E28/$E$27),"",E28/$E$27)</f>
        <v/>
      </c>
      <c r="G28" s="41"/>
      <c r="H28" s="41"/>
      <c r="I28" s="41"/>
      <c r="J28" s="41"/>
      <c r="K28" s="41"/>
      <c r="L28" s="41"/>
      <c r="M28" s="41"/>
      <c r="N28" s="41"/>
      <c r="O28" s="41"/>
    </row>
    <row r="29" spans="1:15" ht="30" customHeight="1" thickTop="1" thickBot="1">
      <c r="A29" s="103"/>
      <c r="B29" s="41"/>
      <c r="C29" s="11">
        <v>6932</v>
      </c>
      <c r="D29" s="63"/>
      <c r="E29" s="64"/>
      <c r="F29" s="12" t="str">
        <f t="shared" ref="F29:F36" si="3">IF(ISERROR(E29/$E$27),"",E29/$E$27)</f>
        <v/>
      </c>
      <c r="G29" s="41"/>
      <c r="H29" s="41"/>
      <c r="I29" s="41"/>
      <c r="J29" s="41"/>
      <c r="K29" s="41"/>
      <c r="L29" s="41"/>
      <c r="M29" s="41"/>
      <c r="N29" s="41"/>
      <c r="O29" s="41"/>
    </row>
    <row r="30" spans="1:15" ht="30" customHeight="1" thickTop="1" thickBot="1">
      <c r="A30" s="103"/>
      <c r="B30" s="41"/>
      <c r="C30" s="11">
        <v>6933</v>
      </c>
      <c r="D30" s="63" t="s">
        <v>503</v>
      </c>
      <c r="E30" s="64"/>
      <c r="F30" s="12" t="str">
        <f t="shared" si="3"/>
        <v/>
      </c>
      <c r="G30" s="41"/>
      <c r="H30" s="41"/>
      <c r="I30" s="41"/>
      <c r="J30" s="41"/>
      <c r="K30" s="41"/>
      <c r="L30" s="41"/>
      <c r="M30" s="41"/>
      <c r="N30" s="41"/>
      <c r="O30" s="41"/>
    </row>
    <row r="31" spans="1:15" ht="30" customHeight="1" thickTop="1" thickBot="1">
      <c r="A31" s="103"/>
      <c r="B31" s="41"/>
      <c r="C31" s="11">
        <v>6934</v>
      </c>
      <c r="D31" s="63" t="s">
        <v>40</v>
      </c>
      <c r="E31" s="64"/>
      <c r="F31" s="12" t="str">
        <f t="shared" si="3"/>
        <v/>
      </c>
      <c r="G31" s="41"/>
      <c r="H31" s="41"/>
      <c r="I31" s="41"/>
      <c r="J31" s="41"/>
      <c r="K31" s="41"/>
      <c r="L31" s="41"/>
      <c r="M31" s="41"/>
      <c r="N31" s="41"/>
      <c r="O31" s="41"/>
    </row>
    <row r="32" spans="1:15" ht="30" customHeight="1" thickTop="1" thickBot="1">
      <c r="A32" s="103"/>
      <c r="B32" s="41"/>
      <c r="C32" s="11">
        <v>6935</v>
      </c>
      <c r="D32" s="63"/>
      <c r="E32" s="64"/>
      <c r="F32" s="12" t="str">
        <f t="shared" si="3"/>
        <v/>
      </c>
      <c r="G32" s="41"/>
      <c r="H32" s="41"/>
      <c r="I32" s="41"/>
      <c r="J32" s="41"/>
      <c r="K32" s="41"/>
      <c r="L32" s="41"/>
      <c r="M32" s="41"/>
      <c r="N32" s="41"/>
      <c r="O32" s="41"/>
    </row>
    <row r="33" spans="1:15" ht="30" customHeight="1" thickTop="1" thickBot="1">
      <c r="A33" s="103"/>
      <c r="B33" s="41"/>
      <c r="C33" s="11">
        <v>6936</v>
      </c>
      <c r="D33" s="63" t="s">
        <v>504</v>
      </c>
      <c r="E33" s="64"/>
      <c r="F33" s="12" t="str">
        <f t="shared" si="3"/>
        <v/>
      </c>
      <c r="G33" s="41"/>
      <c r="H33" s="41"/>
      <c r="I33" s="41"/>
      <c r="J33" s="41"/>
      <c r="K33" s="41"/>
      <c r="L33" s="41"/>
      <c r="M33" s="41"/>
      <c r="N33" s="41"/>
      <c r="O33" s="41"/>
    </row>
    <row r="34" spans="1:15" ht="30" customHeight="1" thickTop="1" thickBot="1">
      <c r="A34" s="103"/>
      <c r="B34" s="41"/>
      <c r="C34" s="11">
        <v>6937</v>
      </c>
      <c r="D34" s="63" t="s">
        <v>505</v>
      </c>
      <c r="E34" s="64"/>
      <c r="F34" s="12" t="str">
        <f t="shared" si="3"/>
        <v/>
      </c>
      <c r="G34" s="41"/>
      <c r="H34" s="41"/>
      <c r="I34" s="41"/>
      <c r="J34" s="41"/>
      <c r="K34" s="41"/>
      <c r="L34" s="41"/>
      <c r="M34" s="41"/>
      <c r="N34" s="41"/>
      <c r="O34" s="41"/>
    </row>
    <row r="35" spans="1:15" ht="30" customHeight="1" thickTop="1" thickBot="1">
      <c r="A35" s="103"/>
      <c r="B35" s="41"/>
      <c r="C35" s="15">
        <v>6938</v>
      </c>
      <c r="D35" s="63"/>
      <c r="E35" s="64"/>
      <c r="F35" s="12" t="str">
        <f t="shared" si="3"/>
        <v/>
      </c>
      <c r="G35" s="41"/>
      <c r="H35" s="41"/>
      <c r="I35" s="41"/>
      <c r="J35" s="41"/>
      <c r="K35" s="41"/>
      <c r="L35" s="41"/>
      <c r="M35" s="41"/>
      <c r="N35" s="41"/>
      <c r="O35" s="41"/>
    </row>
    <row r="36" spans="1:15" ht="30" customHeight="1" thickTop="1" thickBot="1">
      <c r="A36" s="103"/>
      <c r="B36" s="41"/>
      <c r="C36" s="15">
        <v>6939</v>
      </c>
      <c r="D36" s="63" t="s">
        <v>506</v>
      </c>
      <c r="E36" s="64"/>
      <c r="F36" s="12" t="str">
        <f t="shared" si="3"/>
        <v/>
      </c>
      <c r="G36" s="41"/>
      <c r="H36" s="41"/>
      <c r="I36" s="41"/>
      <c r="J36" s="41"/>
      <c r="K36" s="41"/>
      <c r="L36" s="41"/>
      <c r="M36" s="41"/>
      <c r="N36" s="41"/>
      <c r="O36" s="41"/>
    </row>
    <row r="37" spans="1:15" ht="30" customHeight="1" thickTop="1" thickBot="1">
      <c r="A37" s="103"/>
      <c r="B37" s="41"/>
      <c r="C37" s="10">
        <v>6940</v>
      </c>
      <c r="D37" s="72" t="s">
        <v>508</v>
      </c>
      <c r="E37" s="126">
        <f>IF(ISERROR(SUM(E38:E46)),"",SUM(E38:E46))</f>
        <v>0</v>
      </c>
      <c r="F37" s="150"/>
      <c r="G37" s="41"/>
      <c r="H37" s="41"/>
      <c r="I37" s="41"/>
      <c r="J37" s="41"/>
      <c r="K37" s="41"/>
      <c r="L37" s="41"/>
      <c r="M37" s="41"/>
      <c r="N37" s="41"/>
      <c r="O37" s="41"/>
    </row>
    <row r="38" spans="1:15" ht="30" customHeight="1" thickTop="1" thickBot="1">
      <c r="A38" s="103"/>
      <c r="B38" s="41"/>
      <c r="C38" s="11">
        <v>6941</v>
      </c>
      <c r="D38" s="63" t="s">
        <v>39</v>
      </c>
      <c r="E38" s="64"/>
      <c r="F38" s="12" t="str">
        <f>IF(ISERROR(E38/$E$37),"",E38/$E$37)</f>
        <v/>
      </c>
      <c r="G38" s="41"/>
      <c r="H38" s="41"/>
      <c r="I38" s="41"/>
      <c r="J38" s="41"/>
      <c r="K38" s="41"/>
      <c r="L38" s="41"/>
      <c r="M38" s="41"/>
      <c r="N38" s="41"/>
      <c r="O38" s="41"/>
    </row>
    <row r="39" spans="1:15" ht="30" customHeight="1" thickTop="1" thickBot="1">
      <c r="A39" s="103"/>
      <c r="B39" s="41"/>
      <c r="C39" s="11">
        <v>6942</v>
      </c>
      <c r="D39" s="63"/>
      <c r="E39" s="64"/>
      <c r="F39" s="12" t="str">
        <f t="shared" ref="F39:F46" si="4">IF(ISERROR(E39/$E$37),"",E39/$E$37)</f>
        <v/>
      </c>
      <c r="G39" s="41"/>
      <c r="H39" s="41"/>
      <c r="I39" s="41"/>
      <c r="J39" s="41"/>
      <c r="K39" s="41"/>
      <c r="L39" s="41"/>
      <c r="M39" s="41"/>
      <c r="N39" s="41"/>
      <c r="O39" s="41"/>
    </row>
    <row r="40" spans="1:15" ht="30" customHeight="1" thickTop="1" thickBot="1">
      <c r="A40" s="103"/>
      <c r="B40" s="41"/>
      <c r="C40" s="11">
        <v>6943</v>
      </c>
      <c r="D40" s="63" t="s">
        <v>503</v>
      </c>
      <c r="E40" s="64"/>
      <c r="F40" s="12" t="str">
        <f t="shared" si="4"/>
        <v/>
      </c>
      <c r="G40" s="41"/>
      <c r="H40" s="41"/>
      <c r="I40" s="41"/>
      <c r="J40" s="41"/>
      <c r="K40" s="41"/>
      <c r="L40" s="41"/>
      <c r="M40" s="41"/>
      <c r="N40" s="41"/>
      <c r="O40" s="41"/>
    </row>
    <row r="41" spans="1:15" ht="30" customHeight="1" thickTop="1" thickBot="1">
      <c r="A41" s="103"/>
      <c r="B41" s="41"/>
      <c r="C41" s="11">
        <v>6944</v>
      </c>
      <c r="D41" s="63"/>
      <c r="E41" s="64"/>
      <c r="F41" s="12" t="str">
        <f t="shared" si="4"/>
        <v/>
      </c>
      <c r="G41" s="41"/>
      <c r="H41" s="41"/>
      <c r="I41" s="41"/>
      <c r="J41" s="41"/>
      <c r="K41" s="41"/>
      <c r="L41" s="41"/>
      <c r="M41" s="41"/>
      <c r="N41" s="41"/>
      <c r="O41" s="41"/>
    </row>
    <row r="42" spans="1:15" ht="30" customHeight="1" thickTop="1" thickBot="1">
      <c r="A42" s="103"/>
      <c r="B42" s="41"/>
      <c r="C42" s="11">
        <v>6945</v>
      </c>
      <c r="D42" s="63" t="s">
        <v>40</v>
      </c>
      <c r="E42" s="64"/>
      <c r="F42" s="12" t="str">
        <f t="shared" si="4"/>
        <v/>
      </c>
      <c r="G42" s="41"/>
      <c r="H42" s="41"/>
      <c r="I42" s="41"/>
      <c r="J42" s="41"/>
      <c r="K42" s="41"/>
      <c r="L42" s="41"/>
      <c r="M42" s="41"/>
      <c r="N42" s="41"/>
      <c r="O42" s="41"/>
    </row>
    <row r="43" spans="1:15" ht="30" customHeight="1" thickTop="1" thickBot="1">
      <c r="A43" s="103"/>
      <c r="B43" s="41"/>
      <c r="C43" s="11">
        <v>6946</v>
      </c>
      <c r="D43" s="63" t="s">
        <v>504</v>
      </c>
      <c r="E43" s="64"/>
      <c r="F43" s="12" t="str">
        <f t="shared" si="4"/>
        <v/>
      </c>
      <c r="G43" s="41"/>
      <c r="H43" s="41"/>
      <c r="I43" s="41"/>
      <c r="J43" s="41"/>
      <c r="K43" s="41"/>
      <c r="L43" s="41"/>
      <c r="M43" s="41"/>
      <c r="N43" s="41"/>
      <c r="O43" s="41"/>
    </row>
    <row r="44" spans="1:15" ht="30" customHeight="1" thickTop="1" thickBot="1">
      <c r="A44" s="103"/>
      <c r="B44" s="41"/>
      <c r="C44" s="11">
        <v>6947</v>
      </c>
      <c r="D44" s="63" t="s">
        <v>505</v>
      </c>
      <c r="E44" s="64"/>
      <c r="F44" s="12" t="str">
        <f t="shared" si="4"/>
        <v/>
      </c>
      <c r="G44" s="41"/>
      <c r="H44" s="41"/>
      <c r="I44" s="41"/>
      <c r="J44" s="41"/>
      <c r="K44" s="41"/>
      <c r="L44" s="41"/>
      <c r="M44" s="41"/>
      <c r="N44" s="41"/>
      <c r="O44" s="41"/>
    </row>
    <row r="45" spans="1:15" ht="30" customHeight="1" thickTop="1" thickBot="1">
      <c r="A45" s="103"/>
      <c r="B45" s="41"/>
      <c r="C45" s="15">
        <v>6948</v>
      </c>
      <c r="D45" s="63"/>
      <c r="E45" s="64"/>
      <c r="F45" s="12" t="str">
        <f t="shared" si="4"/>
        <v/>
      </c>
      <c r="G45" s="41"/>
      <c r="H45" s="41"/>
      <c r="I45" s="41"/>
      <c r="J45" s="41"/>
      <c r="K45" s="41"/>
      <c r="L45" s="41"/>
      <c r="M45" s="41"/>
      <c r="N45" s="41"/>
      <c r="O45" s="41"/>
    </row>
    <row r="46" spans="1:15" ht="30" customHeight="1" thickTop="1" thickBot="1">
      <c r="A46" s="103"/>
      <c r="B46" s="41"/>
      <c r="C46" s="15">
        <v>6949</v>
      </c>
      <c r="D46" s="63" t="s">
        <v>506</v>
      </c>
      <c r="E46" s="64"/>
      <c r="F46" s="12" t="str">
        <f t="shared" si="4"/>
        <v/>
      </c>
      <c r="G46" s="41"/>
      <c r="H46" s="41"/>
      <c r="I46" s="41"/>
      <c r="J46" s="41"/>
      <c r="K46" s="41"/>
      <c r="L46" s="41"/>
      <c r="M46" s="41"/>
      <c r="N46" s="41"/>
      <c r="O46" s="41"/>
    </row>
    <row r="47" spans="1:15" ht="30" customHeight="1" thickTop="1" thickBot="1">
      <c r="A47" s="103"/>
      <c r="B47" s="41"/>
      <c r="C47" s="10">
        <v>6950</v>
      </c>
      <c r="D47" s="72" t="s">
        <v>509</v>
      </c>
      <c r="E47" s="126">
        <f>IF(ISERROR(SUM(E48:E56)),"",SUM(E48:E56))</f>
        <v>0</v>
      </c>
      <c r="F47" s="150"/>
      <c r="G47" s="41"/>
      <c r="H47" s="41"/>
      <c r="I47" s="41"/>
      <c r="J47" s="41"/>
      <c r="K47" s="41"/>
      <c r="L47" s="41"/>
      <c r="M47" s="41"/>
      <c r="N47" s="41"/>
      <c r="O47" s="41"/>
    </row>
    <row r="48" spans="1:15" ht="30" customHeight="1" thickTop="1" thickBot="1">
      <c r="A48" s="103"/>
      <c r="B48" s="41"/>
      <c r="C48" s="11">
        <v>6951</v>
      </c>
      <c r="D48" s="63" t="s">
        <v>39</v>
      </c>
      <c r="E48" s="64"/>
      <c r="F48" s="12" t="str">
        <f>IF(ISERROR(E48/$E$47),"",E48/$E$47)</f>
        <v/>
      </c>
      <c r="G48" s="41"/>
      <c r="H48" s="41"/>
      <c r="I48" s="41"/>
      <c r="J48" s="41"/>
      <c r="K48" s="41"/>
      <c r="L48" s="41"/>
      <c r="M48" s="41"/>
      <c r="N48" s="41"/>
      <c r="O48" s="41"/>
    </row>
    <row r="49" spans="1:15" ht="30" customHeight="1" thickTop="1" thickBot="1">
      <c r="A49" s="103"/>
      <c r="B49" s="41"/>
      <c r="C49" s="11">
        <v>6952</v>
      </c>
      <c r="D49" s="63"/>
      <c r="E49" s="64"/>
      <c r="F49" s="12" t="str">
        <f t="shared" ref="F49:F56" si="5">IF(ISERROR(E49/$E$47),"",E49/$E$47)</f>
        <v/>
      </c>
      <c r="G49" s="41"/>
      <c r="H49" s="41"/>
      <c r="I49" s="41"/>
      <c r="J49" s="41"/>
      <c r="K49" s="41"/>
      <c r="L49" s="41"/>
      <c r="M49" s="41"/>
      <c r="N49" s="41"/>
      <c r="O49" s="41"/>
    </row>
    <row r="50" spans="1:15" ht="30" customHeight="1" thickTop="1" thickBot="1">
      <c r="A50" s="103"/>
      <c r="B50" s="41"/>
      <c r="C50" s="11">
        <v>6953</v>
      </c>
      <c r="D50" s="63"/>
      <c r="E50" s="64"/>
      <c r="F50" s="12" t="str">
        <f t="shared" si="5"/>
        <v/>
      </c>
      <c r="G50" s="41"/>
      <c r="H50" s="41"/>
      <c r="I50" s="41"/>
      <c r="J50" s="41"/>
      <c r="K50" s="41"/>
      <c r="L50" s="41"/>
      <c r="M50" s="41"/>
      <c r="N50" s="41"/>
      <c r="O50" s="41"/>
    </row>
    <row r="51" spans="1:15" ht="30" customHeight="1" thickTop="1" thickBot="1">
      <c r="A51" s="103"/>
      <c r="B51" s="41"/>
      <c r="C51" s="11">
        <v>6954</v>
      </c>
      <c r="D51" s="63" t="s">
        <v>503</v>
      </c>
      <c r="E51" s="64"/>
      <c r="F51" s="12" t="str">
        <f t="shared" si="5"/>
        <v/>
      </c>
      <c r="G51" s="41"/>
      <c r="H51" s="41"/>
      <c r="I51" s="41"/>
      <c r="J51" s="41"/>
      <c r="K51" s="41"/>
      <c r="L51" s="41"/>
      <c r="M51" s="41"/>
      <c r="N51" s="41"/>
      <c r="O51" s="41"/>
    </row>
    <row r="52" spans="1:15" ht="30" customHeight="1" thickTop="1" thickBot="1">
      <c r="A52" s="103"/>
      <c r="B52" s="41"/>
      <c r="C52" s="11">
        <v>6955</v>
      </c>
      <c r="D52" s="63" t="s">
        <v>40</v>
      </c>
      <c r="E52" s="64"/>
      <c r="F52" s="12" t="str">
        <f t="shared" si="5"/>
        <v/>
      </c>
      <c r="G52" s="41"/>
      <c r="H52" s="41"/>
      <c r="I52" s="41"/>
      <c r="J52" s="41"/>
      <c r="K52" s="41"/>
      <c r="L52" s="41"/>
      <c r="M52" s="41"/>
      <c r="N52" s="41"/>
      <c r="O52" s="41"/>
    </row>
    <row r="53" spans="1:15" ht="30" customHeight="1" thickTop="1" thickBot="1">
      <c r="A53" s="103"/>
      <c r="B53" s="41"/>
      <c r="C53" s="11">
        <v>6956</v>
      </c>
      <c r="D53" s="63" t="s">
        <v>504</v>
      </c>
      <c r="E53" s="64"/>
      <c r="F53" s="12" t="str">
        <f t="shared" si="5"/>
        <v/>
      </c>
      <c r="G53" s="41"/>
      <c r="H53" s="41"/>
      <c r="I53" s="41"/>
      <c r="J53" s="41"/>
      <c r="K53" s="41"/>
      <c r="L53" s="41"/>
      <c r="M53" s="41"/>
      <c r="N53" s="41"/>
      <c r="O53" s="41"/>
    </row>
    <row r="54" spans="1:15" ht="30" customHeight="1" thickTop="1" thickBot="1">
      <c r="A54" s="103"/>
      <c r="B54" s="41"/>
      <c r="C54" s="11">
        <v>6957</v>
      </c>
      <c r="D54" s="63" t="s">
        <v>505</v>
      </c>
      <c r="E54" s="64"/>
      <c r="F54" s="12" t="str">
        <f t="shared" si="5"/>
        <v/>
      </c>
      <c r="G54" s="41"/>
      <c r="H54" s="41"/>
      <c r="I54" s="41"/>
      <c r="J54" s="41"/>
      <c r="K54" s="41"/>
      <c r="L54" s="41"/>
      <c r="M54" s="41"/>
      <c r="N54" s="41"/>
      <c r="O54" s="41"/>
    </row>
    <row r="55" spans="1:15" ht="30" customHeight="1" thickTop="1" thickBot="1">
      <c r="A55" s="103"/>
      <c r="B55" s="41"/>
      <c r="C55" s="15">
        <v>6958</v>
      </c>
      <c r="D55" s="63"/>
      <c r="E55" s="64"/>
      <c r="F55" s="12" t="str">
        <f t="shared" si="5"/>
        <v/>
      </c>
      <c r="G55" s="41"/>
      <c r="H55" s="41"/>
      <c r="I55" s="41"/>
      <c r="J55" s="41"/>
      <c r="K55" s="41"/>
      <c r="L55" s="41"/>
      <c r="M55" s="41"/>
      <c r="N55" s="41"/>
      <c r="O55" s="41"/>
    </row>
    <row r="56" spans="1:15" ht="30" customHeight="1" thickTop="1" thickBot="1">
      <c r="A56" s="103"/>
      <c r="B56" s="41"/>
      <c r="C56" s="15">
        <v>6959</v>
      </c>
      <c r="D56" s="63" t="s">
        <v>506</v>
      </c>
      <c r="E56" s="64"/>
      <c r="F56" s="12" t="str">
        <f t="shared" si="5"/>
        <v/>
      </c>
      <c r="G56" s="41"/>
      <c r="H56" s="41"/>
      <c r="I56" s="41"/>
      <c r="J56" s="41"/>
      <c r="K56" s="41"/>
      <c r="L56" s="41"/>
      <c r="M56" s="41"/>
      <c r="N56" s="41"/>
      <c r="O56" s="41"/>
    </row>
    <row r="57" spans="1:15" ht="30" customHeight="1" thickTop="1" thickBot="1">
      <c r="A57" s="103"/>
      <c r="B57" s="41"/>
      <c r="C57" s="10">
        <v>6960</v>
      </c>
      <c r="D57" s="72" t="s">
        <v>510</v>
      </c>
      <c r="E57" s="126">
        <f>IF(ISERROR(SUM(E58:E66)),"",SUM(E58:E66))</f>
        <v>0</v>
      </c>
      <c r="F57" s="150"/>
      <c r="G57" s="41"/>
      <c r="H57" s="41"/>
      <c r="I57" s="41"/>
      <c r="J57" s="41"/>
      <c r="K57" s="41"/>
      <c r="L57" s="41"/>
      <c r="M57" s="41"/>
      <c r="N57" s="41"/>
      <c r="O57" s="41"/>
    </row>
    <row r="58" spans="1:15" ht="30" customHeight="1" thickTop="1" thickBot="1">
      <c r="A58" s="103"/>
      <c r="B58" s="41"/>
      <c r="C58" s="11">
        <v>6961</v>
      </c>
      <c r="D58" s="63" t="s">
        <v>39</v>
      </c>
      <c r="E58" s="64"/>
      <c r="F58" s="12" t="str">
        <f>IF(ISERROR(E58/$E$57),"",E58/$E$57)</f>
        <v/>
      </c>
      <c r="G58" s="41"/>
      <c r="H58" s="41"/>
      <c r="I58" s="41"/>
      <c r="J58" s="41"/>
      <c r="K58" s="41"/>
      <c r="L58" s="41"/>
      <c r="M58" s="41"/>
      <c r="N58" s="41"/>
      <c r="O58" s="41"/>
    </row>
    <row r="59" spans="1:15" ht="30" customHeight="1" thickTop="1" thickBot="1">
      <c r="A59" s="103"/>
      <c r="B59" s="41"/>
      <c r="C59" s="11">
        <v>6962</v>
      </c>
      <c r="D59" s="63"/>
      <c r="E59" s="64"/>
      <c r="F59" s="12" t="str">
        <f t="shared" ref="F59:F66" si="6">IF(ISERROR(E59/$E$57),"",E59/$E$57)</f>
        <v/>
      </c>
      <c r="G59" s="41"/>
      <c r="H59" s="41"/>
      <c r="I59" s="41"/>
      <c r="J59" s="41"/>
      <c r="K59" s="41"/>
      <c r="L59" s="41"/>
      <c r="M59" s="41"/>
      <c r="N59" s="41"/>
      <c r="O59" s="41"/>
    </row>
    <row r="60" spans="1:15" ht="30" customHeight="1" thickTop="1" thickBot="1">
      <c r="A60" s="103"/>
      <c r="B60" s="41"/>
      <c r="C60" s="11">
        <v>6963</v>
      </c>
      <c r="D60" s="63"/>
      <c r="E60" s="64"/>
      <c r="F60" s="12" t="str">
        <f t="shared" si="6"/>
        <v/>
      </c>
      <c r="G60" s="41"/>
      <c r="H60" s="41"/>
      <c r="I60" s="41"/>
      <c r="J60" s="41"/>
      <c r="K60" s="41"/>
      <c r="L60" s="41"/>
      <c r="M60" s="41"/>
      <c r="N60" s="41"/>
      <c r="O60" s="41"/>
    </row>
    <row r="61" spans="1:15" ht="30" customHeight="1" thickTop="1" thickBot="1">
      <c r="A61" s="103"/>
      <c r="B61" s="41"/>
      <c r="C61" s="11">
        <v>6964</v>
      </c>
      <c r="D61" s="63" t="s">
        <v>503</v>
      </c>
      <c r="E61" s="64"/>
      <c r="F61" s="12" t="str">
        <f t="shared" si="6"/>
        <v/>
      </c>
      <c r="G61" s="41"/>
      <c r="H61" s="41"/>
      <c r="I61" s="41"/>
      <c r="J61" s="41"/>
      <c r="K61" s="41"/>
      <c r="L61" s="41"/>
      <c r="M61" s="41"/>
      <c r="N61" s="41"/>
      <c r="O61" s="41"/>
    </row>
    <row r="62" spans="1:15" ht="30" customHeight="1" thickTop="1" thickBot="1">
      <c r="A62" s="103"/>
      <c r="B62" s="41"/>
      <c r="C62" s="11">
        <v>6965</v>
      </c>
      <c r="D62" s="63" t="s">
        <v>40</v>
      </c>
      <c r="E62" s="64"/>
      <c r="F62" s="12" t="str">
        <f t="shared" si="6"/>
        <v/>
      </c>
      <c r="G62" s="41"/>
      <c r="H62" s="41"/>
      <c r="I62" s="41"/>
      <c r="J62" s="41"/>
      <c r="K62" s="41"/>
      <c r="L62" s="41"/>
      <c r="M62" s="41"/>
      <c r="N62" s="41"/>
      <c r="O62" s="41"/>
    </row>
    <row r="63" spans="1:15" ht="30" customHeight="1" thickTop="1" thickBot="1">
      <c r="A63" s="103"/>
      <c r="B63" s="41"/>
      <c r="C63" s="11">
        <v>6966</v>
      </c>
      <c r="D63" s="63" t="s">
        <v>504</v>
      </c>
      <c r="E63" s="64"/>
      <c r="F63" s="12" t="str">
        <f t="shared" si="6"/>
        <v/>
      </c>
      <c r="G63" s="41"/>
      <c r="H63" s="41"/>
      <c r="I63" s="41"/>
      <c r="J63" s="41"/>
      <c r="K63" s="41"/>
      <c r="L63" s="41"/>
      <c r="M63" s="41"/>
      <c r="N63" s="41"/>
      <c r="O63" s="41"/>
    </row>
    <row r="64" spans="1:15" ht="30" customHeight="1" thickTop="1" thickBot="1">
      <c r="A64" s="103"/>
      <c r="B64" s="41"/>
      <c r="C64" s="11">
        <v>6967</v>
      </c>
      <c r="D64" s="63" t="s">
        <v>505</v>
      </c>
      <c r="E64" s="64"/>
      <c r="F64" s="12" t="str">
        <f t="shared" si="6"/>
        <v/>
      </c>
      <c r="G64" s="41"/>
      <c r="H64" s="41"/>
      <c r="I64" s="41"/>
      <c r="J64" s="41"/>
      <c r="K64" s="41"/>
      <c r="L64" s="41"/>
      <c r="M64" s="41"/>
      <c r="N64" s="41"/>
      <c r="O64" s="41"/>
    </row>
    <row r="65" spans="1:15" ht="30" customHeight="1" thickTop="1" thickBot="1">
      <c r="A65" s="103"/>
      <c r="B65" s="41"/>
      <c r="C65" s="15">
        <v>6968</v>
      </c>
      <c r="D65" s="63"/>
      <c r="E65" s="64"/>
      <c r="F65" s="12" t="str">
        <f t="shared" si="6"/>
        <v/>
      </c>
      <c r="G65" s="41"/>
      <c r="H65" s="41"/>
      <c r="I65" s="41"/>
      <c r="J65" s="41"/>
      <c r="K65" s="41"/>
      <c r="L65" s="41"/>
      <c r="M65" s="41"/>
      <c r="N65" s="41"/>
      <c r="O65" s="41"/>
    </row>
    <row r="66" spans="1:15" ht="30" customHeight="1" thickTop="1" thickBot="1">
      <c r="A66" s="103"/>
      <c r="B66" s="41"/>
      <c r="C66" s="15">
        <v>6969</v>
      </c>
      <c r="D66" s="63" t="s">
        <v>506</v>
      </c>
      <c r="E66" s="64"/>
      <c r="F66" s="12" t="str">
        <f t="shared" si="6"/>
        <v/>
      </c>
      <c r="G66" s="41"/>
      <c r="H66" s="41"/>
      <c r="I66" s="41"/>
      <c r="J66" s="41"/>
      <c r="K66" s="41"/>
      <c r="L66" s="41"/>
      <c r="M66" s="41"/>
      <c r="N66" s="41"/>
      <c r="O66" s="41"/>
    </row>
    <row r="67" spans="1:15" ht="30" customHeight="1" thickTop="1" thickBot="1">
      <c r="A67" s="103"/>
      <c r="B67" s="41"/>
      <c r="C67" s="10">
        <v>6970</v>
      </c>
      <c r="D67" s="72" t="s">
        <v>511</v>
      </c>
      <c r="E67" s="126">
        <f>IF(ISERROR(SUM(E68:E76)),"",SUM(E68:E76))</f>
        <v>0</v>
      </c>
      <c r="F67" s="150"/>
      <c r="G67" s="41"/>
      <c r="H67" s="41"/>
      <c r="I67" s="41"/>
      <c r="J67" s="41"/>
      <c r="K67" s="41"/>
      <c r="L67" s="41"/>
      <c r="M67" s="41"/>
      <c r="N67" s="41"/>
      <c r="O67" s="41"/>
    </row>
    <row r="68" spans="1:15" ht="30" customHeight="1" thickTop="1" thickBot="1">
      <c r="A68" s="103"/>
      <c r="B68" s="41"/>
      <c r="C68" s="11">
        <v>6971</v>
      </c>
      <c r="D68" s="63" t="s">
        <v>39</v>
      </c>
      <c r="E68" s="64"/>
      <c r="F68" s="12" t="str">
        <f>IF(ISERROR(E68/$E$67),"",E68/$E$67)</f>
        <v/>
      </c>
      <c r="G68" s="41"/>
      <c r="H68" s="41"/>
      <c r="I68" s="41"/>
      <c r="J68" s="41"/>
      <c r="K68" s="41"/>
      <c r="L68" s="41"/>
      <c r="M68" s="41"/>
      <c r="N68" s="41"/>
      <c r="O68" s="41"/>
    </row>
    <row r="69" spans="1:15" ht="30" customHeight="1" thickTop="1" thickBot="1">
      <c r="A69" s="103"/>
      <c r="B69" s="41"/>
      <c r="C69" s="11">
        <v>6972</v>
      </c>
      <c r="D69" s="63"/>
      <c r="E69" s="64"/>
      <c r="F69" s="12" t="str">
        <f t="shared" ref="F69:F76" si="7">IF(ISERROR(E69/$E$67),"",E69/$E$67)</f>
        <v/>
      </c>
      <c r="G69" s="41"/>
      <c r="H69" s="41"/>
      <c r="I69" s="41"/>
      <c r="J69" s="41"/>
      <c r="K69" s="41"/>
      <c r="L69" s="41"/>
      <c r="M69" s="41"/>
      <c r="N69" s="41"/>
      <c r="O69" s="41"/>
    </row>
    <row r="70" spans="1:15" ht="30" customHeight="1" thickTop="1" thickBot="1">
      <c r="A70" s="103"/>
      <c r="B70" s="41"/>
      <c r="C70" s="11">
        <v>6973</v>
      </c>
      <c r="D70" s="63"/>
      <c r="E70" s="64"/>
      <c r="F70" s="12" t="str">
        <f t="shared" si="7"/>
        <v/>
      </c>
      <c r="G70" s="41"/>
      <c r="H70" s="41"/>
      <c r="I70" s="41"/>
      <c r="J70" s="41"/>
      <c r="K70" s="41"/>
      <c r="L70" s="41"/>
      <c r="M70" s="41"/>
      <c r="N70" s="41"/>
      <c r="O70" s="41"/>
    </row>
    <row r="71" spans="1:15" ht="30" customHeight="1" thickTop="1" thickBot="1">
      <c r="A71" s="103"/>
      <c r="B71" s="41"/>
      <c r="C71" s="11">
        <v>6974</v>
      </c>
      <c r="D71" s="63" t="s">
        <v>503</v>
      </c>
      <c r="E71" s="64"/>
      <c r="F71" s="12" t="str">
        <f t="shared" si="7"/>
        <v/>
      </c>
      <c r="G71" s="41"/>
      <c r="H71" s="41"/>
      <c r="I71" s="41"/>
      <c r="J71" s="41"/>
      <c r="K71" s="41"/>
      <c r="L71" s="41"/>
      <c r="M71" s="41"/>
      <c r="N71" s="41"/>
      <c r="O71" s="41"/>
    </row>
    <row r="72" spans="1:15" ht="30" customHeight="1" thickTop="1" thickBot="1">
      <c r="A72" s="103"/>
      <c r="B72" s="41"/>
      <c r="C72" s="11">
        <v>6975</v>
      </c>
      <c r="D72" s="63" t="s">
        <v>40</v>
      </c>
      <c r="E72" s="64"/>
      <c r="F72" s="12" t="str">
        <f t="shared" si="7"/>
        <v/>
      </c>
      <c r="G72" s="41"/>
      <c r="H72" s="41"/>
      <c r="I72" s="41"/>
      <c r="J72" s="41"/>
      <c r="K72" s="41"/>
      <c r="L72" s="41"/>
      <c r="M72" s="41"/>
      <c r="N72" s="41"/>
      <c r="O72" s="41"/>
    </row>
    <row r="73" spans="1:15" ht="30" customHeight="1" thickTop="1" thickBot="1">
      <c r="A73" s="103"/>
      <c r="B73" s="41"/>
      <c r="C73" s="11">
        <v>6976</v>
      </c>
      <c r="D73" s="63" t="s">
        <v>504</v>
      </c>
      <c r="E73" s="64"/>
      <c r="F73" s="12" t="str">
        <f t="shared" si="7"/>
        <v/>
      </c>
      <c r="G73" s="41"/>
      <c r="H73" s="41"/>
      <c r="I73" s="41"/>
      <c r="J73" s="41"/>
      <c r="K73" s="41"/>
      <c r="L73" s="41"/>
      <c r="M73" s="41"/>
      <c r="N73" s="41"/>
      <c r="O73" s="41"/>
    </row>
    <row r="74" spans="1:15" ht="30" customHeight="1" thickTop="1" thickBot="1">
      <c r="A74" s="103"/>
      <c r="B74" s="41"/>
      <c r="C74" s="11">
        <v>6977</v>
      </c>
      <c r="D74" s="63"/>
      <c r="E74" s="64"/>
      <c r="F74" s="12" t="str">
        <f t="shared" si="7"/>
        <v/>
      </c>
      <c r="G74" s="41"/>
      <c r="H74" s="41"/>
      <c r="I74" s="41"/>
      <c r="J74" s="41"/>
      <c r="K74" s="41"/>
      <c r="L74" s="41"/>
      <c r="M74" s="41"/>
      <c r="N74" s="41"/>
      <c r="O74" s="41"/>
    </row>
    <row r="75" spans="1:15" ht="30" customHeight="1" thickTop="1" thickBot="1">
      <c r="A75" s="103"/>
      <c r="B75" s="41"/>
      <c r="C75" s="15">
        <v>6978</v>
      </c>
      <c r="D75" s="63"/>
      <c r="E75" s="64"/>
      <c r="F75" s="12" t="str">
        <f t="shared" si="7"/>
        <v/>
      </c>
      <c r="G75" s="41"/>
      <c r="H75" s="41"/>
      <c r="I75" s="41"/>
      <c r="J75" s="41"/>
      <c r="K75" s="41"/>
      <c r="L75" s="41"/>
      <c r="M75" s="41"/>
      <c r="N75" s="41"/>
      <c r="O75" s="41"/>
    </row>
    <row r="76" spans="1:15" ht="30" customHeight="1" thickTop="1" thickBot="1">
      <c r="A76" s="103"/>
      <c r="B76" s="41"/>
      <c r="C76" s="15">
        <v>6979</v>
      </c>
      <c r="D76" s="63" t="s">
        <v>506</v>
      </c>
      <c r="E76" s="64"/>
      <c r="F76" s="12" t="str">
        <f t="shared" si="7"/>
        <v/>
      </c>
      <c r="G76" s="41"/>
      <c r="H76" s="41"/>
      <c r="I76" s="41"/>
      <c r="J76" s="41"/>
      <c r="K76" s="41"/>
      <c r="L76" s="41"/>
      <c r="M76" s="41"/>
      <c r="N76" s="41"/>
      <c r="O76" s="41"/>
    </row>
    <row r="77" spans="1:15" ht="30" customHeight="1" thickTop="1" thickBot="1">
      <c r="A77" s="103"/>
      <c r="B77" s="41"/>
      <c r="C77" s="10">
        <v>6980</v>
      </c>
      <c r="D77" s="72" t="s">
        <v>512</v>
      </c>
      <c r="E77" s="126">
        <f>IF(ISERROR(SUM(E78:E86)),"",SUM(E78:E86))</f>
        <v>0</v>
      </c>
      <c r="F77" s="150"/>
      <c r="G77" s="41"/>
      <c r="H77" s="41"/>
      <c r="I77" s="41"/>
      <c r="J77" s="41"/>
      <c r="K77" s="41"/>
      <c r="L77" s="41"/>
      <c r="M77" s="41"/>
      <c r="N77" s="41"/>
      <c r="O77" s="41"/>
    </row>
    <row r="78" spans="1:15" ht="30" customHeight="1" thickTop="1" thickBot="1">
      <c r="A78" s="103"/>
      <c r="B78" s="41"/>
      <c r="C78" s="11">
        <v>6981</v>
      </c>
      <c r="D78" s="63" t="s">
        <v>39</v>
      </c>
      <c r="E78" s="64"/>
      <c r="F78" s="12" t="str">
        <f>IF(ISERROR(E78/$E$77),"",E78/$E$77)</f>
        <v/>
      </c>
      <c r="G78" s="41"/>
      <c r="H78" s="41"/>
      <c r="I78" s="41"/>
      <c r="J78" s="41"/>
      <c r="K78" s="41"/>
      <c r="L78" s="41"/>
      <c r="M78" s="41"/>
      <c r="N78" s="41"/>
      <c r="O78" s="41"/>
    </row>
    <row r="79" spans="1:15" ht="30" customHeight="1" thickTop="1" thickBot="1">
      <c r="A79" s="103"/>
      <c r="B79" s="41"/>
      <c r="C79" s="11">
        <v>6982</v>
      </c>
      <c r="D79" s="63"/>
      <c r="E79" s="64"/>
      <c r="F79" s="12" t="str">
        <f t="shared" ref="F79:F86" si="8">IF(ISERROR(E79/$E$77),"",E79/$E$77)</f>
        <v/>
      </c>
      <c r="G79" s="41"/>
      <c r="H79" s="41"/>
      <c r="I79" s="41"/>
      <c r="J79" s="41"/>
      <c r="K79" s="41"/>
      <c r="L79" s="41"/>
      <c r="M79" s="41"/>
      <c r="N79" s="41"/>
      <c r="O79" s="41"/>
    </row>
    <row r="80" spans="1:15" ht="30" customHeight="1" thickTop="1" thickBot="1">
      <c r="A80" s="103"/>
      <c r="B80" s="41"/>
      <c r="C80" s="11">
        <v>6983</v>
      </c>
      <c r="D80" s="63" t="s">
        <v>503</v>
      </c>
      <c r="E80" s="64"/>
      <c r="F80" s="12" t="str">
        <f t="shared" si="8"/>
        <v/>
      </c>
      <c r="G80" s="41"/>
      <c r="H80" s="41"/>
      <c r="I80" s="41"/>
      <c r="J80" s="41"/>
      <c r="K80" s="41"/>
      <c r="L80" s="41"/>
      <c r="M80" s="41"/>
      <c r="N80" s="41"/>
      <c r="O80" s="41"/>
    </row>
    <row r="81" spans="1:15" ht="30" customHeight="1" thickTop="1" thickBot="1">
      <c r="A81" s="103"/>
      <c r="B81" s="41"/>
      <c r="C81" s="11">
        <v>6984</v>
      </c>
      <c r="D81" s="63" t="s">
        <v>40</v>
      </c>
      <c r="E81" s="64"/>
      <c r="F81" s="12" t="str">
        <f t="shared" si="8"/>
        <v/>
      </c>
      <c r="G81" s="41"/>
      <c r="H81" s="41"/>
      <c r="I81" s="41"/>
      <c r="J81" s="41"/>
      <c r="K81" s="41"/>
      <c r="L81" s="41"/>
      <c r="M81" s="41"/>
      <c r="N81" s="41"/>
      <c r="O81" s="41"/>
    </row>
    <row r="82" spans="1:15" ht="30" customHeight="1" thickTop="1" thickBot="1">
      <c r="A82" s="103"/>
      <c r="B82" s="41"/>
      <c r="C82" s="11">
        <v>6985</v>
      </c>
      <c r="D82" s="63"/>
      <c r="E82" s="64"/>
      <c r="F82" s="12" t="str">
        <f t="shared" si="8"/>
        <v/>
      </c>
      <c r="G82" s="41"/>
      <c r="H82" s="41"/>
      <c r="I82" s="41"/>
      <c r="J82" s="41"/>
      <c r="K82" s="41"/>
      <c r="L82" s="41"/>
      <c r="M82" s="41"/>
      <c r="N82" s="41"/>
      <c r="O82" s="41"/>
    </row>
    <row r="83" spans="1:15" ht="30" customHeight="1" thickTop="1" thickBot="1">
      <c r="A83" s="103"/>
      <c r="B83" s="41"/>
      <c r="C83" s="11">
        <v>6986</v>
      </c>
      <c r="D83" s="63" t="s">
        <v>504</v>
      </c>
      <c r="E83" s="64"/>
      <c r="F83" s="12" t="str">
        <f t="shared" si="8"/>
        <v/>
      </c>
      <c r="G83" s="41"/>
      <c r="H83" s="41"/>
      <c r="I83" s="41"/>
      <c r="J83" s="41"/>
      <c r="K83" s="41"/>
      <c r="L83" s="41"/>
      <c r="M83" s="41"/>
      <c r="N83" s="41"/>
      <c r="O83" s="41"/>
    </row>
    <row r="84" spans="1:15" ht="30" customHeight="1" thickTop="1" thickBot="1">
      <c r="A84" s="103"/>
      <c r="B84" s="41"/>
      <c r="C84" s="11">
        <v>6987</v>
      </c>
      <c r="D84" s="63" t="s">
        <v>505</v>
      </c>
      <c r="E84" s="64"/>
      <c r="F84" s="12" t="str">
        <f t="shared" si="8"/>
        <v/>
      </c>
      <c r="G84" s="41"/>
      <c r="H84" s="41"/>
      <c r="I84" s="41"/>
      <c r="J84" s="41"/>
      <c r="K84" s="41"/>
      <c r="L84" s="41"/>
      <c r="M84" s="41"/>
      <c r="N84" s="41"/>
      <c r="O84" s="41"/>
    </row>
    <row r="85" spans="1:15" ht="30" customHeight="1" thickTop="1" thickBot="1">
      <c r="A85" s="103"/>
      <c r="B85" s="41"/>
      <c r="C85" s="15">
        <v>6988</v>
      </c>
      <c r="D85" s="63"/>
      <c r="E85" s="64"/>
      <c r="F85" s="12" t="str">
        <f t="shared" si="8"/>
        <v/>
      </c>
      <c r="G85" s="41"/>
      <c r="H85" s="41"/>
      <c r="I85" s="41"/>
      <c r="J85" s="41"/>
      <c r="K85" s="41"/>
      <c r="L85" s="41"/>
      <c r="M85" s="41"/>
      <c r="N85" s="41"/>
      <c r="O85" s="41"/>
    </row>
    <row r="86" spans="1:15" ht="30" customHeight="1" thickTop="1" thickBot="1">
      <c r="A86" s="103"/>
      <c r="B86" s="41"/>
      <c r="C86" s="15">
        <v>6989</v>
      </c>
      <c r="D86" s="63" t="s">
        <v>506</v>
      </c>
      <c r="E86" s="64"/>
      <c r="F86" s="12" t="str">
        <f t="shared" si="8"/>
        <v/>
      </c>
      <c r="G86" s="41"/>
      <c r="H86" s="41"/>
      <c r="I86" s="41"/>
      <c r="J86" s="41"/>
      <c r="K86" s="41"/>
      <c r="L86" s="41"/>
      <c r="M86" s="41"/>
      <c r="N86" s="41"/>
      <c r="O86" s="41"/>
    </row>
    <row r="87" spans="1:15" ht="30" customHeight="1" thickTop="1" thickBot="1">
      <c r="A87" s="103"/>
      <c r="B87" s="41"/>
      <c r="C87" s="10">
        <v>6990</v>
      </c>
      <c r="D87" s="72" t="s">
        <v>513</v>
      </c>
      <c r="E87" s="126">
        <f>IF(ISERROR(SUM(E88:E96)),"",SUM(E88:E96))</f>
        <v>16394</v>
      </c>
      <c r="F87" s="150"/>
      <c r="G87" s="41"/>
      <c r="H87" s="41"/>
      <c r="I87" s="41"/>
      <c r="J87" s="41"/>
      <c r="K87" s="41"/>
      <c r="L87" s="41"/>
      <c r="M87" s="41"/>
      <c r="N87" s="41"/>
      <c r="O87" s="41"/>
    </row>
    <row r="88" spans="1:15" ht="30" customHeight="1" thickTop="1" thickBot="1">
      <c r="A88" s="103"/>
      <c r="B88" s="41"/>
      <c r="C88" s="11">
        <v>6991</v>
      </c>
      <c r="D88" s="63" t="s">
        <v>39</v>
      </c>
      <c r="E88" s="64"/>
      <c r="F88" s="12">
        <f>IF(ISERROR(E88/$E$87),"",E88/$E$87)</f>
        <v>0</v>
      </c>
      <c r="G88" s="41"/>
      <c r="H88" s="41"/>
      <c r="I88" s="41"/>
      <c r="J88" s="41"/>
      <c r="K88" s="41"/>
      <c r="L88" s="41"/>
      <c r="M88" s="41"/>
      <c r="N88" s="41"/>
      <c r="O88" s="41"/>
    </row>
    <row r="89" spans="1:15" ht="30" customHeight="1" thickTop="1" thickBot="1">
      <c r="A89" s="103"/>
      <c r="B89" s="41"/>
      <c r="C89" s="11">
        <v>6992</v>
      </c>
      <c r="D89" s="63" t="s">
        <v>503</v>
      </c>
      <c r="E89" s="64"/>
      <c r="F89" s="12">
        <f t="shared" ref="F89:F96" si="9">IF(ISERROR(E89/$E$87),"",E89/$E$87)</f>
        <v>0</v>
      </c>
      <c r="G89" s="41"/>
      <c r="H89" s="41"/>
      <c r="I89" s="41"/>
      <c r="J89" s="41"/>
      <c r="K89" s="41"/>
      <c r="L89" s="41"/>
      <c r="M89" s="41"/>
      <c r="N89" s="41"/>
      <c r="O89" s="41"/>
    </row>
    <row r="90" spans="1:15" ht="30" customHeight="1" thickTop="1" thickBot="1">
      <c r="A90" s="103"/>
      <c r="B90" s="41"/>
      <c r="C90" s="11">
        <v>6993</v>
      </c>
      <c r="D90" s="63" t="s">
        <v>591</v>
      </c>
      <c r="E90" s="64">
        <v>4800</v>
      </c>
      <c r="F90" s="12">
        <f t="shared" si="9"/>
        <v>0.29279004513846529</v>
      </c>
      <c r="G90" s="41"/>
      <c r="H90" s="41"/>
      <c r="I90" s="41"/>
      <c r="J90" s="41"/>
      <c r="K90" s="41"/>
      <c r="L90" s="41"/>
      <c r="M90" s="41"/>
      <c r="N90" s="41"/>
      <c r="O90" s="41"/>
    </row>
    <row r="91" spans="1:15" ht="30" customHeight="1" thickTop="1" thickBot="1">
      <c r="A91" s="103"/>
      <c r="B91" s="41"/>
      <c r="C91" s="11">
        <v>6894</v>
      </c>
      <c r="D91" s="63" t="s">
        <v>592</v>
      </c>
      <c r="E91" s="64">
        <v>6100</v>
      </c>
      <c r="F91" s="12">
        <f t="shared" si="9"/>
        <v>0.37208734903013296</v>
      </c>
      <c r="G91" s="41"/>
      <c r="H91" s="41"/>
      <c r="I91" s="41"/>
      <c r="J91" s="41"/>
      <c r="K91" s="41"/>
      <c r="L91" s="41"/>
      <c r="M91" s="41"/>
      <c r="N91" s="41"/>
      <c r="O91" s="41"/>
    </row>
    <row r="92" spans="1:15" ht="30" customHeight="1" thickTop="1" thickBot="1">
      <c r="A92" s="103"/>
      <c r="B92" s="41"/>
      <c r="C92" s="11">
        <v>6895</v>
      </c>
      <c r="D92" s="63" t="s">
        <v>40</v>
      </c>
      <c r="E92" s="64"/>
      <c r="F92" s="12">
        <f t="shared" si="9"/>
        <v>0</v>
      </c>
      <c r="G92" s="41"/>
      <c r="H92" s="41"/>
      <c r="I92" s="41"/>
      <c r="J92" s="41"/>
      <c r="K92" s="41"/>
      <c r="L92" s="41"/>
      <c r="M92" s="41"/>
      <c r="N92" s="41"/>
      <c r="O92" s="41"/>
    </row>
    <row r="93" spans="1:15" ht="30" customHeight="1" thickTop="1" thickBot="1">
      <c r="A93" s="103"/>
      <c r="B93" s="41"/>
      <c r="C93" s="11">
        <v>6896</v>
      </c>
      <c r="D93" s="63" t="s">
        <v>504</v>
      </c>
      <c r="E93" s="64"/>
      <c r="F93" s="12">
        <f t="shared" si="9"/>
        <v>0</v>
      </c>
      <c r="G93" s="41"/>
      <c r="H93" s="41"/>
      <c r="I93" s="41"/>
      <c r="J93" s="41"/>
      <c r="K93" s="41"/>
      <c r="L93" s="41"/>
      <c r="M93" s="41"/>
      <c r="N93" s="41"/>
      <c r="O93" s="41"/>
    </row>
    <row r="94" spans="1:15" ht="30" customHeight="1" thickTop="1" thickBot="1">
      <c r="A94" s="103"/>
      <c r="B94" s="41"/>
      <c r="C94" s="11">
        <v>6897</v>
      </c>
      <c r="D94" s="63" t="s">
        <v>505</v>
      </c>
      <c r="E94" s="64"/>
      <c r="F94" s="12">
        <f t="shared" si="9"/>
        <v>0</v>
      </c>
      <c r="G94" s="41"/>
      <c r="H94" s="41"/>
      <c r="I94" s="41"/>
      <c r="J94" s="41"/>
      <c r="K94" s="41"/>
      <c r="L94" s="41"/>
      <c r="M94" s="41"/>
      <c r="N94" s="41"/>
      <c r="O94" s="41"/>
    </row>
    <row r="95" spans="1:15" ht="30" customHeight="1" thickTop="1" thickBot="1">
      <c r="A95" s="103"/>
      <c r="B95" s="41"/>
      <c r="C95" s="15">
        <v>6898</v>
      </c>
      <c r="D95" s="63"/>
      <c r="E95" s="64"/>
      <c r="F95" s="12">
        <f t="shared" si="9"/>
        <v>0</v>
      </c>
      <c r="G95" s="41"/>
      <c r="H95" s="41"/>
      <c r="I95" s="41"/>
      <c r="J95" s="41"/>
      <c r="K95" s="41"/>
      <c r="L95" s="41"/>
      <c r="M95" s="41"/>
      <c r="N95" s="41"/>
      <c r="O95" s="41"/>
    </row>
    <row r="96" spans="1:15" ht="30" customHeight="1" thickTop="1" thickBot="1">
      <c r="A96" s="103"/>
      <c r="B96" s="41"/>
      <c r="C96" s="15">
        <v>6899</v>
      </c>
      <c r="D96" s="63" t="s">
        <v>506</v>
      </c>
      <c r="E96" s="64">
        <v>5494</v>
      </c>
      <c r="F96" s="12">
        <f t="shared" si="9"/>
        <v>0.33512260583140174</v>
      </c>
      <c r="G96" s="41"/>
      <c r="H96" s="41"/>
      <c r="I96" s="41"/>
      <c r="J96" s="41"/>
      <c r="K96" s="41"/>
      <c r="L96" s="41"/>
      <c r="M96" s="41"/>
      <c r="N96" s="41"/>
      <c r="O96" s="41"/>
    </row>
    <row r="97" spans="1:15" ht="30" customHeight="1" thickTop="1">
      <c r="A97" s="103"/>
      <c r="B97" s="41"/>
      <c r="C97" s="41"/>
      <c r="D97" s="41"/>
      <c r="E97" s="41"/>
      <c r="F97" s="41"/>
      <c r="G97" s="41"/>
      <c r="H97" s="41"/>
      <c r="I97" s="41"/>
      <c r="J97" s="41"/>
      <c r="K97" s="41"/>
      <c r="L97" s="41"/>
      <c r="M97" s="41"/>
      <c r="N97" s="41"/>
      <c r="O97" s="41"/>
    </row>
    <row r="98" spans="1:15" ht="30" customHeight="1">
      <c r="A98" s="103"/>
      <c r="B98" s="41"/>
      <c r="C98" s="41"/>
      <c r="D98" s="41"/>
      <c r="E98" s="41"/>
      <c r="F98" s="41"/>
      <c r="G98" s="41"/>
      <c r="H98" s="41"/>
      <c r="I98" s="41"/>
      <c r="J98" s="41"/>
      <c r="K98" s="41"/>
      <c r="L98" s="41"/>
      <c r="M98" s="41"/>
      <c r="N98" s="41"/>
      <c r="O98" s="41"/>
    </row>
    <row r="99" spans="1:15" ht="30" customHeight="1">
      <c r="A99" s="103"/>
      <c r="B99" s="41"/>
      <c r="C99" s="41"/>
      <c r="D99" s="41"/>
      <c r="E99" s="41"/>
      <c r="F99" s="41"/>
      <c r="G99" s="41"/>
      <c r="H99" s="41"/>
      <c r="I99" s="41"/>
      <c r="J99" s="41"/>
      <c r="K99" s="41"/>
      <c r="L99" s="41"/>
      <c r="M99" s="41"/>
      <c r="N99" s="41"/>
      <c r="O99" s="41"/>
    </row>
    <row r="100" spans="1:15" ht="30" customHeight="1">
      <c r="A100" s="103"/>
      <c r="B100" s="41"/>
      <c r="C100" s="41"/>
      <c r="D100" s="41"/>
      <c r="E100" s="41"/>
      <c r="F100" s="41"/>
      <c r="G100" s="41"/>
      <c r="H100" s="41"/>
      <c r="I100" s="41"/>
      <c r="J100" s="41"/>
      <c r="K100" s="41"/>
      <c r="L100" s="41"/>
      <c r="M100" s="41"/>
      <c r="N100" s="41"/>
      <c r="O100" s="41"/>
    </row>
    <row r="101" spans="1:15">
      <c r="A101" s="103"/>
      <c r="B101" s="41"/>
      <c r="C101" s="41"/>
      <c r="D101" s="41"/>
      <c r="E101" s="41"/>
      <c r="F101" s="41"/>
      <c r="G101" s="41"/>
      <c r="H101" s="41"/>
      <c r="I101" s="41"/>
      <c r="J101" s="41"/>
      <c r="K101" s="41"/>
      <c r="L101" s="41"/>
      <c r="M101" s="41"/>
      <c r="N101" s="41"/>
      <c r="O101" s="41"/>
    </row>
  </sheetData>
  <sheetProtection algorithmName="SHA-512" hashValue="VB2bEQtTp4pBSzI3rfxLVraI5z73+Wi45qA+mXlmN/JNwRS//TCnhxBDn963ryFr49NduN+uMi+AHTImd+OULQ==" saltValue="fauSaw94xZ0YH3NOC1SNNw==" spinCount="100000" sheet="1" objects="1" scenarios="1"/>
  <mergeCells count="14">
    <mergeCell ref="E87:F87"/>
    <mergeCell ref="E27:F27"/>
    <mergeCell ref="E37:F37"/>
    <mergeCell ref="E47:F47"/>
    <mergeCell ref="E57:F57"/>
    <mergeCell ref="E67:F67"/>
    <mergeCell ref="E77:F77"/>
    <mergeCell ref="H18:I18"/>
    <mergeCell ref="J18:K18"/>
    <mergeCell ref="E6:F6"/>
    <mergeCell ref="I6:K6"/>
    <mergeCell ref="E7:F7"/>
    <mergeCell ref="E17:F17"/>
    <mergeCell ref="H17:K17"/>
  </mergeCells>
  <pageMargins left="0.511811024" right="0.511811024" top="0.78740157499999996" bottom="0.78740157499999996" header="0.31496062000000002" footer="0.31496062000000002"/>
  <pageSetup paperSize="9" orientation="portrait" r:id="rId1"/>
  <drawing r:id="rId2"/>
</worksheet>
</file>

<file path=xl/worksheets/sheet9.xml><?xml version="1.0" encoding="utf-8"?>
<worksheet xmlns="http://schemas.openxmlformats.org/spreadsheetml/2006/main" xmlns:r="http://schemas.openxmlformats.org/officeDocument/2006/relationships">
  <sheetPr codeName="Plan9"/>
  <dimension ref="A1:S101"/>
  <sheetViews>
    <sheetView showGridLines="0" zoomScale="90" zoomScaleNormal="90" workbookViewId="0">
      <pane ySplit="3" topLeftCell="A4" activePane="bottomLeft" state="frozen"/>
      <selection pane="bottomLeft" activeCell="D7" sqref="D7"/>
    </sheetView>
  </sheetViews>
  <sheetFormatPr defaultColWidth="0" defaultRowHeight="15" customHeight="1" zeroHeight="1"/>
  <cols>
    <col min="1" max="1" width="27.7109375" style="104" customWidth="1"/>
    <col min="2" max="2" width="2.7109375" customWidth="1"/>
    <col min="3" max="3" width="9.140625" customWidth="1"/>
    <col min="4" max="4" width="30.7109375" customWidth="1"/>
    <col min="5" max="6" width="15.7109375" customWidth="1"/>
    <col min="7" max="7" width="7.85546875" customWidth="1"/>
    <col min="8" max="8" width="9.140625" customWidth="1"/>
    <col min="9" max="9" width="30.7109375" customWidth="1"/>
    <col min="10" max="11" width="15.7109375" customWidth="1"/>
    <col min="12" max="15" width="20.7109375" customWidth="1"/>
    <col min="16" max="19" width="0" hidden="1" customWidth="1"/>
    <col min="20" max="16384" width="9.140625" hidden="1"/>
  </cols>
  <sheetData>
    <row r="1" spans="1:15" s="3" customFormat="1" ht="33.950000000000003" customHeight="1">
      <c r="A1" s="104"/>
      <c r="B1" s="4"/>
      <c r="C1" s="4" t="s">
        <v>19</v>
      </c>
    </row>
    <row r="2" spans="1:15" s="3" customFormat="1" ht="21.6" customHeight="1">
      <c r="A2" s="104"/>
    </row>
    <row r="3" spans="1:15" s="3" customFormat="1" ht="21.6" customHeight="1">
      <c r="A3" s="104"/>
    </row>
    <row r="4" spans="1:15" ht="44.25" customHeight="1">
      <c r="B4" s="26"/>
      <c r="C4" s="26"/>
      <c r="D4" s="26"/>
      <c r="E4" s="26"/>
      <c r="F4" s="26"/>
      <c r="G4" s="26"/>
      <c r="H4" s="26"/>
      <c r="I4" s="26"/>
      <c r="J4" s="26"/>
      <c r="K4" s="26"/>
      <c r="L4" s="26"/>
      <c r="M4" s="26"/>
      <c r="N4" s="26"/>
      <c r="O4" s="26"/>
    </row>
    <row r="5" spans="1:15" ht="15" customHeight="1" thickBot="1"/>
    <row r="6" spans="1:15" ht="39.950000000000003" customHeight="1" thickTop="1" thickBot="1">
      <c r="C6" s="45">
        <v>6800</v>
      </c>
      <c r="D6" s="156" t="s">
        <v>489</v>
      </c>
      <c r="E6" s="157"/>
      <c r="F6" s="158"/>
      <c r="H6" s="45">
        <v>6900</v>
      </c>
      <c r="I6" s="156" t="s">
        <v>514</v>
      </c>
      <c r="J6" s="157"/>
      <c r="K6" s="158"/>
    </row>
    <row r="7" spans="1:15" ht="39.950000000000003" customHeight="1" thickTop="1" thickBot="1">
      <c r="C7" s="10">
        <v>6810</v>
      </c>
      <c r="D7" s="51" t="s">
        <v>464</v>
      </c>
      <c r="E7" s="48">
        <f>IF(ISERROR(Dre!J7),"",Dre!J7)</f>
        <v>0</v>
      </c>
      <c r="F7" s="12">
        <f>IF(ISERROR(E7/$E$16),"",E7/$E$16)</f>
        <v>0</v>
      </c>
      <c r="H7" s="10">
        <v>6910</v>
      </c>
      <c r="I7" s="51" t="s">
        <v>500</v>
      </c>
      <c r="J7" s="48">
        <f>IF(ISERROR(Des!J7),"",Des!J7)</f>
        <v>350640</v>
      </c>
      <c r="K7" s="12">
        <f>IF(ISERROR(J7/$J$16),"",J7/$J$16)</f>
        <v>0.92876403184878709</v>
      </c>
      <c r="L7" s="14"/>
    </row>
    <row r="8" spans="1:15" ht="39.950000000000003" customHeight="1" thickTop="1" thickBot="1">
      <c r="C8" s="10">
        <v>6820</v>
      </c>
      <c r="D8" s="51" t="s">
        <v>468</v>
      </c>
      <c r="E8" s="48">
        <f>IF(ISERROR(Dre!J8),"",Dre!J8)</f>
        <v>408670</v>
      </c>
      <c r="F8" s="12">
        <f t="shared" ref="F8:F15" si="0">IF(ISERROR(E8/$E$16),"",E8/$E$16)</f>
        <v>1</v>
      </c>
      <c r="H8" s="10">
        <v>6920</v>
      </c>
      <c r="I8" s="51" t="s">
        <v>502</v>
      </c>
      <c r="J8" s="48">
        <f>IF(ISERROR(Des!J8),"",Des!J8)</f>
        <v>10500</v>
      </c>
      <c r="K8" s="12">
        <f t="shared" ref="K8:K15" si="1">IF(ISERROR(J8/$J$16),"",J8/$J$16)</f>
        <v>2.7812064608750471E-2</v>
      </c>
    </row>
    <row r="9" spans="1:15" ht="39.950000000000003" customHeight="1" thickTop="1" thickBot="1">
      <c r="C9" s="10">
        <v>6830</v>
      </c>
      <c r="D9" s="16" t="s">
        <v>470</v>
      </c>
      <c r="E9" s="48">
        <f>IF(ISERROR(Dre!J9),"",Dre!J9)</f>
        <v>0</v>
      </c>
      <c r="F9" s="12">
        <f t="shared" si="0"/>
        <v>0</v>
      </c>
      <c r="H9" s="10">
        <v>6930</v>
      </c>
      <c r="I9" s="16" t="s">
        <v>507</v>
      </c>
      <c r="J9" s="48">
        <f>IF(ISERROR(Des!J9),"",Des!J9)</f>
        <v>0</v>
      </c>
      <c r="K9" s="12">
        <f t="shared" si="1"/>
        <v>0</v>
      </c>
    </row>
    <row r="10" spans="1:15" ht="39.950000000000003" customHeight="1" thickTop="1" thickBot="1">
      <c r="C10" s="10">
        <v>6840</v>
      </c>
      <c r="D10" s="51" t="s">
        <v>472</v>
      </c>
      <c r="E10" s="48">
        <f>IF(ISERROR(Dre!J10),"",Dre!J10)</f>
        <v>0</v>
      </c>
      <c r="F10" s="12">
        <f t="shared" si="0"/>
        <v>0</v>
      </c>
      <c r="H10" s="10">
        <v>6940</v>
      </c>
      <c r="I10" s="51" t="s">
        <v>508</v>
      </c>
      <c r="J10" s="48">
        <f>IF(ISERROR(Des!J10),"",Des!J10)</f>
        <v>0</v>
      </c>
      <c r="K10" s="12">
        <f t="shared" si="1"/>
        <v>0</v>
      </c>
    </row>
    <row r="11" spans="1:15" ht="39.950000000000003" customHeight="1" thickTop="1" thickBot="1">
      <c r="C11" s="10">
        <v>6850</v>
      </c>
      <c r="D11" s="51" t="s">
        <v>474</v>
      </c>
      <c r="E11" s="48">
        <f>IF(ISERROR(Dre!J11),"",Dre!J11)</f>
        <v>0</v>
      </c>
      <c r="F11" s="12">
        <f t="shared" si="0"/>
        <v>0</v>
      </c>
      <c r="H11" s="10">
        <v>6950</v>
      </c>
      <c r="I11" s="51" t="s">
        <v>509</v>
      </c>
      <c r="J11" s="48">
        <f>IF(ISERROR(Des!J11),"",Des!J11)</f>
        <v>0</v>
      </c>
      <c r="K11" s="12">
        <f t="shared" si="1"/>
        <v>0</v>
      </c>
    </row>
    <row r="12" spans="1:15" ht="39.950000000000003" customHeight="1" thickTop="1" thickBot="1">
      <c r="C12" s="10">
        <v>6860</v>
      </c>
      <c r="D12" s="51" t="s">
        <v>477</v>
      </c>
      <c r="E12" s="48">
        <f>IF(ISERROR(Dre!J12),"",Dre!J12)</f>
        <v>0</v>
      </c>
      <c r="F12" s="12">
        <f t="shared" si="0"/>
        <v>0</v>
      </c>
      <c r="H12" s="10">
        <v>6960</v>
      </c>
      <c r="I12" s="51" t="s">
        <v>510</v>
      </c>
      <c r="J12" s="48">
        <f>IF(ISERROR(Des!J12),"",Des!J12)</f>
        <v>0</v>
      </c>
      <c r="K12" s="12">
        <f t="shared" si="1"/>
        <v>0</v>
      </c>
    </row>
    <row r="13" spans="1:15" ht="39.950000000000003" customHeight="1" thickTop="1" thickBot="1">
      <c r="C13" s="10">
        <v>6870</v>
      </c>
      <c r="D13" s="51" t="s">
        <v>487</v>
      </c>
      <c r="E13" s="48">
        <f>IF(ISERROR(Dre!J13),"",Dre!J13)</f>
        <v>0</v>
      </c>
      <c r="F13" s="12">
        <f t="shared" si="0"/>
        <v>0</v>
      </c>
      <c r="H13" s="10">
        <v>6970</v>
      </c>
      <c r="I13" s="51" t="s">
        <v>511</v>
      </c>
      <c r="J13" s="48">
        <f>IF(ISERROR(Des!J13),"",Des!J13)</f>
        <v>0</v>
      </c>
      <c r="K13" s="12">
        <f t="shared" si="1"/>
        <v>0</v>
      </c>
    </row>
    <row r="14" spans="1:15" ht="39.950000000000003" customHeight="1" thickTop="1" thickBot="1">
      <c r="C14" s="10">
        <v>6880</v>
      </c>
      <c r="D14" s="51" t="s">
        <v>483</v>
      </c>
      <c r="E14" s="48">
        <f>IF(ISERROR(Dre!J14),"",Dre!J14)</f>
        <v>0</v>
      </c>
      <c r="F14" s="12">
        <f t="shared" si="0"/>
        <v>0</v>
      </c>
      <c r="H14" s="10">
        <v>6980</v>
      </c>
      <c r="I14" s="51" t="s">
        <v>512</v>
      </c>
      <c r="J14" s="48">
        <f>IF(ISERROR(Des!J14),"",Des!J14)</f>
        <v>0</v>
      </c>
      <c r="K14" s="12">
        <f t="shared" si="1"/>
        <v>0</v>
      </c>
    </row>
    <row r="15" spans="1:15" ht="39.950000000000003" customHeight="1" thickTop="1" thickBot="1">
      <c r="C15" s="10">
        <v>6890</v>
      </c>
      <c r="D15" s="51" t="s">
        <v>485</v>
      </c>
      <c r="E15" s="48">
        <f>IF(ISERROR(Dre!J15),"",Dre!J15)</f>
        <v>0</v>
      </c>
      <c r="F15" s="12">
        <f t="shared" si="0"/>
        <v>0</v>
      </c>
      <c r="H15" s="10">
        <v>6990</v>
      </c>
      <c r="I15" s="51" t="s">
        <v>513</v>
      </c>
      <c r="J15" s="48">
        <f>IF(ISERROR(Des!J15),"",Des!J15)</f>
        <v>16394</v>
      </c>
      <c r="K15" s="12">
        <f t="shared" si="1"/>
        <v>4.3423903542462401E-2</v>
      </c>
    </row>
    <row r="16" spans="1:15" ht="39.950000000000003" customHeight="1" thickTop="1" thickBot="1">
      <c r="C16" s="159" t="s">
        <v>489</v>
      </c>
      <c r="D16" s="159"/>
      <c r="E16" s="137">
        <f>IF(ISERROR(SUM(E7:E15)),"",SUM(E7:E15))</f>
        <v>408670</v>
      </c>
      <c r="F16" s="138"/>
      <c r="H16" s="154" t="s">
        <v>514</v>
      </c>
      <c r="I16" s="155"/>
      <c r="J16" s="137">
        <f>IF(ISERROR(SUM(J7:J15)),"",SUM(J7:J15))</f>
        <v>377534</v>
      </c>
      <c r="K16" s="138"/>
    </row>
    <row r="17" spans="3:7" ht="39.950000000000003" customHeight="1" thickTop="1" thickBot="1"/>
    <row r="18" spans="3:7" ht="39.950000000000003" customHeight="1" thickTop="1" thickBot="1">
      <c r="C18" s="132" t="s">
        <v>515</v>
      </c>
      <c r="D18" s="133"/>
      <c r="E18" s="133"/>
      <c r="F18" s="134"/>
    </row>
    <row r="19" spans="3:7" ht="39.950000000000003" customHeight="1" thickTop="1" thickBot="1">
      <c r="C19" s="152" t="s">
        <v>488</v>
      </c>
      <c r="D19" s="153"/>
      <c r="E19" s="46">
        <f>IF(ISERROR($E$16),"",$E$16)</f>
        <v>408670</v>
      </c>
      <c r="F19" s="12">
        <f>IF(ISERROR($E$19/$G$19),"",$E$19/$G$19)</f>
        <v>0.51980147646157993</v>
      </c>
      <c r="G19" s="14">
        <f>IF(ISERROR(SUM(E19:E20)),"",SUM(E19:E20))</f>
        <v>786204</v>
      </c>
    </row>
    <row r="20" spans="3:7" ht="39.950000000000003" customHeight="1" thickTop="1" thickBot="1">
      <c r="C20" s="152" t="s">
        <v>491</v>
      </c>
      <c r="D20" s="153"/>
      <c r="E20" s="46">
        <f>IF(ISERROR($J$16),"",$J$16)</f>
        <v>377534</v>
      </c>
      <c r="F20" s="12">
        <f>IF(ISERROR($E$19/$G$19),"",$E$19/$G$19)</f>
        <v>0.51980147646157993</v>
      </c>
    </row>
    <row r="21" spans="3:7" ht="39.950000000000003" customHeight="1" thickTop="1" thickBot="1">
      <c r="C21" s="152" t="s">
        <v>593</v>
      </c>
      <c r="D21" s="153"/>
      <c r="E21" s="146">
        <f>IF(ISERROR(E19-E20),"",E19-E20)</f>
        <v>31136</v>
      </c>
      <c r="F21" s="146"/>
    </row>
    <row r="22" spans="3:7" ht="30" customHeight="1" thickTop="1"/>
    <row r="23" spans="3:7" ht="30" customHeight="1"/>
    <row r="24" spans="3:7" ht="30" customHeight="1"/>
    <row r="25" spans="3:7" ht="30" customHeight="1"/>
    <row r="26" spans="3:7" ht="30" customHeight="1"/>
    <row r="27" spans="3:7" ht="30" customHeight="1"/>
    <row r="28" spans="3:7" ht="30" customHeight="1"/>
    <row r="29" spans="3:7" ht="30" customHeight="1"/>
    <row r="30" spans="3:7" ht="30" customHeight="1"/>
    <row r="31" spans="3:7" ht="30" customHeight="1"/>
    <row r="32" spans="3:7"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sheetData>
  <sheetProtection algorithmName="SHA-512" hashValue="oNnPkDaTQnftf8w66md/MmcVgKXu0ab3ydHIlrX46ZFm9rGvAPFvwXBhNtDBIkyPFq8XiwXNcCQcTxw/AYCDaA==" saltValue="IpuZYlYBdHShYZi2OLXS/g==" spinCount="100000" sheet="1" objects="1" scenarios="1"/>
  <mergeCells count="11">
    <mergeCell ref="I6:K6"/>
    <mergeCell ref="J16:K16"/>
    <mergeCell ref="C20:D20"/>
    <mergeCell ref="D6:F6"/>
    <mergeCell ref="E16:F16"/>
    <mergeCell ref="C16:D16"/>
    <mergeCell ref="C21:D21"/>
    <mergeCell ref="E21:F21"/>
    <mergeCell ref="H16:I16"/>
    <mergeCell ref="C18:F18"/>
    <mergeCell ref="C19:D19"/>
  </mergeCells>
  <pageMargins left="0.511811024" right="0.511811024" top="0.78740157499999996" bottom="0.78740157499999996" header="0.31496062000000002" footer="0.31496062000000002"/>
  <pageSetup paperSize="9" orientation="portrait" r:id="rId1"/>
  <drawing r:id="rId2"/>
</worksheet>
</file>

<file path=xl/worksheets/sheet10.xml><?xml version="1.0" encoding="utf-8"?>
<worksheet xmlns="http://schemas.openxmlformats.org/spreadsheetml/2006/main" xmlns:r="http://schemas.openxmlformats.org/officeDocument/2006/relationships">
  <sheetPr codeName="Plan10"/>
  <dimension ref="A1:R531"/>
  <sheetViews>
    <sheetView showGridLines="0" zoomScale="90" zoomScaleNormal="90" workbookViewId="0">
      <pane ySplit="3" topLeftCell="A4" activePane="bottomLeft" state="frozen"/>
      <selection pane="bottomLeft" activeCell="F4" sqref="F4"/>
    </sheetView>
  </sheetViews>
  <sheetFormatPr defaultColWidth="0" defaultRowHeight="15" zeroHeight="1"/>
  <cols>
    <col min="1" max="1" width="27.7109375" style="104" customWidth="1"/>
    <col min="2" max="2" width="2.7109375" style="19" customWidth="1"/>
    <col min="3" max="3" width="9.140625" customWidth="1"/>
    <col min="4" max="18" width="20.7109375" customWidth="1"/>
    <col min="19" max="16384" width="9.140625" hidden="1"/>
  </cols>
  <sheetData>
    <row r="1" spans="1:18" s="3" customFormat="1" ht="33.950000000000003" customHeight="1">
      <c r="A1" s="104"/>
      <c r="B1" s="25"/>
      <c r="C1" s="4" t="s">
        <v>20</v>
      </c>
    </row>
    <row r="2" spans="1:18" s="3" customFormat="1" ht="21.6" customHeight="1">
      <c r="A2" s="104"/>
      <c r="B2" s="25"/>
    </row>
    <row r="3" spans="1:18" s="3" customFormat="1" ht="21.6" customHeight="1">
      <c r="A3" s="104"/>
      <c r="B3" s="25"/>
    </row>
    <row r="4" spans="1:18" s="3" customFormat="1" ht="44.25" customHeight="1">
      <c r="A4" s="104"/>
      <c r="B4" s="26"/>
      <c r="C4" s="26"/>
      <c r="D4" s="26"/>
      <c r="E4" s="26"/>
      <c r="F4" s="26"/>
      <c r="G4" s="26"/>
      <c r="H4" s="26"/>
      <c r="I4" s="26"/>
      <c r="J4" s="26"/>
      <c r="K4" s="26"/>
      <c r="L4" s="26"/>
      <c r="M4" s="26"/>
      <c r="N4" s="26"/>
      <c r="O4" s="26"/>
      <c r="P4" s="26"/>
      <c r="Q4" s="26"/>
      <c r="R4" s="26"/>
    </row>
    <row r="5" spans="1:18" ht="30" customHeight="1"/>
    <row r="6" spans="1:18" ht="30" customHeight="1">
      <c r="C6" s="21" t="s">
        <v>524</v>
      </c>
      <c r="D6" s="21"/>
      <c r="E6" s="21"/>
      <c r="F6" s="21"/>
      <c r="G6" s="20"/>
      <c r="H6" s="20"/>
      <c r="I6" s="20"/>
      <c r="J6" s="20"/>
      <c r="K6" s="20"/>
    </row>
    <row r="7" spans="1:18" s="19" customFormat="1" ht="30" customHeight="1">
      <c r="A7" s="107"/>
    </row>
    <row r="8" spans="1:18" ht="30" customHeight="1"/>
    <row r="9" spans="1:18" ht="30" customHeight="1"/>
    <row r="10" spans="1:18" ht="30" customHeight="1"/>
    <row r="11" spans="1:18" ht="30" customHeight="1"/>
    <row r="12" spans="1:18" s="19" customFormat="1" ht="30" customHeight="1">
      <c r="A12" s="107"/>
    </row>
    <row r="13" spans="1:18" s="19" customFormat="1" ht="30" customHeight="1">
      <c r="A13" s="107"/>
    </row>
    <row r="14" spans="1:18" ht="30" customHeight="1">
      <c r="L14" s="22"/>
    </row>
    <row r="15" spans="1:18" ht="30" customHeight="1">
      <c r="C15" s="21"/>
      <c r="D15" s="21"/>
      <c r="E15" s="21"/>
      <c r="F15" s="21"/>
    </row>
    <row r="16" spans="1:18" s="19" customFormat="1" ht="30" customHeight="1">
      <c r="A16" s="107"/>
      <c r="C16" s="23" t="s">
        <v>523</v>
      </c>
      <c r="D16" s="23"/>
      <c r="E16" s="23"/>
      <c r="F16" s="23"/>
    </row>
    <row r="17" spans="3:6" ht="30" customHeight="1"/>
    <row r="18" spans="3:6" ht="30" customHeight="1"/>
    <row r="19" spans="3:6" ht="30" customHeight="1"/>
    <row r="20" spans="3:6" ht="30" customHeight="1"/>
    <row r="21" spans="3:6" ht="30" customHeight="1"/>
    <row r="22" spans="3:6" ht="30" customHeight="1"/>
    <row r="23" spans="3:6" ht="30" customHeight="1"/>
    <row r="24" spans="3:6" ht="30" customHeight="1"/>
    <row r="25" spans="3:6" ht="30" customHeight="1"/>
    <row r="26" spans="3:6" ht="30" customHeight="1">
      <c r="C26" s="23" t="s">
        <v>522</v>
      </c>
      <c r="D26" s="23"/>
      <c r="E26" s="23"/>
      <c r="F26" s="23"/>
    </row>
    <row r="27" spans="3:6" ht="30" customHeight="1"/>
    <row r="28" spans="3:6" ht="30" customHeight="1"/>
    <row r="29" spans="3:6" ht="30" customHeight="1"/>
    <row r="30" spans="3:6" ht="30" customHeight="1"/>
    <row r="31" spans="3:6" ht="30" customHeight="1"/>
    <row r="32" spans="3:6" ht="30" customHeight="1"/>
    <row r="33" spans="3:14" ht="30" customHeight="1"/>
    <row r="34" spans="3:14" ht="30" customHeight="1"/>
    <row r="35" spans="3:14" ht="30" customHeight="1"/>
    <row r="36" spans="3:14" ht="30" customHeight="1">
      <c r="C36" s="23" t="s">
        <v>521</v>
      </c>
      <c r="D36" s="23"/>
      <c r="E36" s="23"/>
      <c r="F36" s="23"/>
    </row>
    <row r="37" spans="3:14" ht="30" customHeight="1">
      <c r="L37" s="2" t="s">
        <v>16</v>
      </c>
      <c r="M37" s="2"/>
      <c r="N37" s="2"/>
    </row>
    <row r="38" spans="3:14" ht="30" customHeight="1">
      <c r="L38" s="2" t="str">
        <f>IF(ISERROR(Bal!$D$6),"",Bal!$D$6)</f>
        <v>Ativo Circulante (Bens e Direitos)</v>
      </c>
      <c r="M38" s="14">
        <f>IF(ISERROR(Bal!$E$6),"",Bal!$E$6)</f>
        <v>153280</v>
      </c>
      <c r="N38" s="24">
        <f>IF(ISERROR($M$38/$M$42),"",$M$38/$M$42)</f>
        <v>0.25999050139086777</v>
      </c>
    </row>
    <row r="39" spans="3:14" ht="30" customHeight="1">
      <c r="L39" s="2" t="str">
        <f>IF(ISERROR(Atin!$D$6),"",Atin!$D$6)</f>
        <v>Ativo Não Circulante (Bens e Direitos)</v>
      </c>
      <c r="M39" s="14">
        <f>IF(ISERROR(Atin!$E$6),"",Atin!$E$6)</f>
        <v>141500</v>
      </c>
      <c r="N39" s="24">
        <f>IF(ISERROR($M$39/$M$42),"",$M$39/$M$42)</f>
        <v>0.24000949860913223</v>
      </c>
    </row>
    <row r="40" spans="3:14" ht="30" customHeight="1">
      <c r="L40" s="2" t="str">
        <f>IF(ISERROR(Pas!$D$6),"",Pas!$D$6)</f>
        <v>Passivo Circulante (Deveres e Obrigações)</v>
      </c>
      <c r="M40" s="14">
        <f>IF(ISERROR(Pas!$E$6),"",Pas!$E$6)</f>
        <v>58958</v>
      </c>
      <c r="N40" s="24">
        <f>IF(ISERROR($M$40/$M$42),"",$M$40/$M$42)</f>
        <v>0.10000339236040437</v>
      </c>
    </row>
    <row r="41" spans="3:14" ht="30" customHeight="1">
      <c r="L41" s="2" t="str">
        <f>IF(ISERROR(Pasn!$D$6),"",Pasn!$D$6)</f>
        <v>Passivo Não Circulante (Deveres e Obrigações)</v>
      </c>
      <c r="M41" s="14">
        <f>IF(ISERROR(Pasn!$E$6),"",Pasn!$E$6)</f>
        <v>235822</v>
      </c>
      <c r="N41" s="24">
        <f>IF(ISERROR($M$41/$M$42),"",$M$41/$M$42)</f>
        <v>0.39999660763959566</v>
      </c>
    </row>
    <row r="42" spans="3:14" ht="30" customHeight="1">
      <c r="L42" s="2"/>
      <c r="M42" s="14">
        <f>IF(ISERROR(SUM($M$38:$M$41)),"",SUM($M$38:$M$41))</f>
        <v>589560</v>
      </c>
      <c r="N42" s="2"/>
    </row>
    <row r="43" spans="3:14" ht="30" customHeight="1"/>
    <row r="44" spans="3:14" ht="30" customHeight="1"/>
    <row r="45" spans="3:14" ht="30" customHeight="1"/>
    <row r="46" spans="3:14" ht="30" customHeight="1">
      <c r="C46" s="23" t="s">
        <v>520</v>
      </c>
      <c r="D46" s="23"/>
      <c r="E46" s="23"/>
      <c r="F46" s="23"/>
    </row>
    <row r="47" spans="3:14" ht="30" customHeight="1"/>
    <row r="48" spans="3:14" ht="30" customHeight="1"/>
    <row r="49" spans="3:7" ht="30" customHeight="1"/>
    <row r="50" spans="3:7" ht="30" customHeight="1"/>
    <row r="51" spans="3:7" ht="30" customHeight="1"/>
    <row r="52" spans="3:7" ht="30" customHeight="1"/>
    <row r="53" spans="3:7" ht="30" customHeight="1"/>
    <row r="54" spans="3:7" ht="30" customHeight="1"/>
    <row r="55" spans="3:7" ht="30" customHeight="1"/>
    <row r="56" spans="3:7" ht="30" customHeight="1">
      <c r="C56" s="23" t="s">
        <v>517</v>
      </c>
      <c r="D56" s="23"/>
      <c r="E56" s="23"/>
      <c r="F56" s="23"/>
      <c r="G56" s="23"/>
    </row>
    <row r="57" spans="3:7" ht="30" customHeight="1"/>
    <row r="58" spans="3:7" ht="30" customHeight="1"/>
    <row r="59" spans="3:7" ht="30" customHeight="1"/>
    <row r="60" spans="3:7" ht="30" customHeight="1"/>
    <row r="61" spans="3:7" ht="30" customHeight="1"/>
    <row r="62" spans="3:7" ht="30" customHeight="1"/>
    <row r="63" spans="3:7" ht="30" customHeight="1"/>
    <row r="64" spans="3:7" ht="30" customHeight="1"/>
    <row r="65" spans="3:3" ht="30" customHeight="1"/>
    <row r="66" spans="3:3" ht="30" customHeight="1">
      <c r="C66" s="23" t="s">
        <v>518</v>
      </c>
    </row>
    <row r="67" spans="3:3" ht="30" customHeight="1"/>
    <row r="68" spans="3:3" ht="30" customHeight="1"/>
    <row r="69" spans="3:3" ht="30" customHeight="1"/>
    <row r="70" spans="3:3" ht="30" customHeight="1"/>
    <row r="71" spans="3:3" ht="30" customHeight="1"/>
    <row r="72" spans="3:3" ht="30" customHeight="1"/>
    <row r="73" spans="3:3" ht="30" customHeight="1"/>
    <row r="74" spans="3:3" ht="30" customHeight="1"/>
    <row r="75" spans="3:3" ht="30" customHeight="1"/>
    <row r="76" spans="3:3" ht="30" customHeight="1">
      <c r="C76" s="23" t="s">
        <v>519</v>
      </c>
    </row>
    <row r="77" spans="3:3" ht="30" customHeight="1"/>
    <row r="78" spans="3:3" ht="30" customHeight="1"/>
    <row r="79" spans="3:3" ht="30" customHeight="1"/>
    <row r="80" spans="3:3"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3.950000000000003" customHeight="1"/>
    <row r="103" ht="33.950000000000003" customHeight="1"/>
    <row r="104" ht="33.950000000000003" customHeight="1"/>
    <row r="105" ht="33.950000000000003" customHeight="1"/>
    <row r="106" ht="33.950000000000003" customHeight="1"/>
    <row r="107" ht="33.950000000000003" customHeight="1"/>
    <row r="108" ht="33.950000000000003" customHeight="1"/>
    <row r="109" ht="33.950000000000003" customHeight="1"/>
    <row r="110" ht="33.950000000000003" customHeight="1"/>
    <row r="111" ht="33.950000000000003" customHeight="1"/>
    <row r="112" ht="33.950000000000003" customHeight="1"/>
    <row r="113" ht="33.950000000000003" customHeight="1"/>
    <row r="114" ht="33.950000000000003" customHeight="1"/>
    <row r="115" ht="33.950000000000003" customHeight="1"/>
    <row r="116" ht="33.950000000000003" customHeight="1"/>
    <row r="117" ht="33.950000000000003" customHeight="1"/>
    <row r="118" ht="33.950000000000003" customHeight="1"/>
    <row r="119" ht="33.950000000000003" customHeight="1"/>
    <row r="120" ht="33.950000000000003" customHeight="1"/>
    <row r="121" ht="33.950000000000003" customHeight="1"/>
    <row r="122" ht="33.950000000000003" customHeight="1"/>
    <row r="123" ht="33.950000000000003" customHeight="1"/>
    <row r="124" ht="33.950000000000003" customHeight="1"/>
    <row r="125" ht="33.950000000000003" customHeight="1"/>
    <row r="126" ht="33.950000000000003" customHeight="1"/>
    <row r="127" ht="33.950000000000003" customHeight="1"/>
    <row r="128" ht="33.950000000000003" customHeight="1"/>
    <row r="129" ht="33.950000000000003" customHeight="1"/>
    <row r="130" ht="33.950000000000003" customHeight="1"/>
    <row r="131" ht="33.950000000000003" customHeight="1"/>
    <row r="132" ht="33.950000000000003" customHeight="1"/>
    <row r="133" ht="33.950000000000003" customHeight="1"/>
    <row r="134" ht="33.950000000000003" customHeight="1"/>
    <row r="135" ht="33.950000000000003" customHeight="1"/>
    <row r="136" ht="33.950000000000003" customHeight="1"/>
    <row r="137" ht="33.950000000000003" customHeight="1"/>
    <row r="138" ht="33.950000000000003" customHeight="1"/>
    <row r="139" ht="33.950000000000003" customHeight="1"/>
    <row r="140" ht="33.950000000000003" customHeight="1"/>
    <row r="141" ht="33.950000000000003" customHeight="1"/>
    <row r="142" ht="33.950000000000003" customHeight="1"/>
    <row r="143" ht="33.950000000000003" customHeight="1"/>
    <row r="144" ht="33.950000000000003" customHeight="1"/>
    <row r="145" ht="33.950000000000003" customHeight="1"/>
    <row r="146" ht="33.950000000000003" customHeight="1"/>
    <row r="147" ht="33.950000000000003" customHeight="1"/>
    <row r="148" ht="33.950000000000003" customHeight="1"/>
    <row r="149" ht="33.950000000000003" customHeight="1"/>
    <row r="150" ht="33.950000000000003" customHeight="1"/>
    <row r="151" ht="33.950000000000003" customHeight="1"/>
    <row r="152" ht="33.950000000000003" customHeight="1"/>
    <row r="153" ht="33.950000000000003" customHeight="1"/>
    <row r="154" ht="33.950000000000003" customHeight="1"/>
    <row r="155" ht="33.950000000000003" customHeight="1"/>
    <row r="156" ht="33.950000000000003" customHeight="1"/>
    <row r="157" ht="33.950000000000003" customHeight="1"/>
    <row r="158" ht="33.950000000000003" customHeight="1"/>
    <row r="159" ht="33.950000000000003" customHeight="1"/>
    <row r="160" ht="33.950000000000003" customHeight="1"/>
    <row r="161" ht="33.950000000000003" customHeight="1"/>
    <row r="162" ht="33.950000000000003" customHeight="1"/>
    <row r="163" ht="33.950000000000003" customHeight="1"/>
    <row r="164" ht="33.950000000000003" customHeight="1"/>
    <row r="165" ht="33.950000000000003" customHeight="1"/>
    <row r="166" ht="33.950000000000003" customHeight="1"/>
    <row r="167" ht="33.950000000000003" customHeight="1"/>
    <row r="168" ht="33.950000000000003" customHeight="1"/>
    <row r="169" ht="33.950000000000003" customHeight="1"/>
    <row r="170" ht="33.950000000000003" customHeight="1"/>
    <row r="171" ht="33.950000000000003" customHeight="1"/>
    <row r="172" ht="33.950000000000003" customHeight="1"/>
    <row r="173" ht="33.950000000000003" customHeight="1"/>
    <row r="174" ht="33.950000000000003" customHeight="1"/>
    <row r="175" ht="33.950000000000003" customHeight="1"/>
    <row r="176" ht="33.950000000000003" customHeight="1"/>
    <row r="177" ht="33.950000000000003" customHeight="1"/>
    <row r="178" ht="33.950000000000003" customHeight="1"/>
    <row r="179" ht="33.950000000000003" customHeight="1"/>
    <row r="180" ht="33.950000000000003" customHeight="1"/>
    <row r="181" ht="33.950000000000003" customHeight="1"/>
    <row r="182" ht="33.950000000000003" customHeight="1"/>
    <row r="183" ht="33.950000000000003" customHeight="1"/>
    <row r="184" ht="33.950000000000003" customHeight="1"/>
    <row r="185" ht="33.950000000000003" customHeight="1"/>
    <row r="186" ht="33.950000000000003" customHeight="1"/>
    <row r="187" ht="33.950000000000003" customHeight="1"/>
    <row r="188" ht="33.950000000000003" customHeight="1"/>
    <row r="189" ht="33.950000000000003" customHeight="1"/>
    <row r="190" ht="33.950000000000003" customHeight="1"/>
    <row r="191" ht="33.950000000000003" customHeight="1"/>
    <row r="192" ht="33.950000000000003" customHeight="1"/>
    <row r="193" ht="33.950000000000003" customHeight="1"/>
    <row r="194" ht="33.950000000000003" customHeight="1"/>
    <row r="195" ht="33.950000000000003" customHeight="1"/>
    <row r="196" ht="33.950000000000003" customHeight="1"/>
    <row r="197" ht="33.950000000000003" customHeight="1"/>
    <row r="198" ht="33.950000000000003" customHeight="1"/>
    <row r="199" ht="33.950000000000003" customHeight="1"/>
    <row r="200" ht="33.950000000000003" customHeight="1"/>
    <row r="201" ht="33.950000000000003" customHeight="1"/>
    <row r="202" ht="33.950000000000003" customHeight="1"/>
    <row r="203" ht="33.950000000000003" customHeight="1"/>
    <row r="204" ht="33.950000000000003" customHeight="1"/>
    <row r="205" ht="33.950000000000003" customHeight="1"/>
    <row r="206" ht="33.950000000000003" customHeight="1"/>
    <row r="207" ht="33.950000000000003" customHeight="1"/>
    <row r="208" ht="33.950000000000003" customHeight="1"/>
    <row r="209" ht="33.950000000000003" customHeight="1"/>
    <row r="210" ht="33.950000000000003" customHeight="1"/>
    <row r="211" ht="33.950000000000003" customHeight="1"/>
    <row r="212" ht="33.950000000000003" customHeight="1"/>
    <row r="213" ht="33.950000000000003" customHeight="1"/>
    <row r="214" ht="33.950000000000003" customHeight="1"/>
    <row r="215" ht="33.950000000000003" customHeight="1"/>
    <row r="216" ht="33.950000000000003" customHeight="1"/>
    <row r="217" ht="33.950000000000003" customHeight="1"/>
    <row r="218" ht="33.950000000000003" customHeight="1"/>
    <row r="219" ht="33.950000000000003" customHeight="1"/>
    <row r="220" ht="33.950000000000003" customHeight="1"/>
    <row r="221" ht="33.950000000000003" customHeight="1"/>
    <row r="222" ht="33.950000000000003" customHeight="1"/>
    <row r="223" ht="33.950000000000003" customHeight="1"/>
    <row r="224" ht="33.950000000000003" customHeight="1"/>
    <row r="225" ht="33.950000000000003" customHeight="1"/>
    <row r="226" ht="33.950000000000003" customHeight="1"/>
    <row r="227" ht="33.950000000000003" customHeight="1"/>
    <row r="228" ht="33.950000000000003" customHeight="1"/>
    <row r="229" ht="33.950000000000003" customHeight="1"/>
    <row r="230" ht="33.950000000000003" customHeight="1"/>
    <row r="231" ht="33.950000000000003" customHeight="1"/>
    <row r="232" ht="33.950000000000003" customHeight="1"/>
    <row r="233" ht="33.950000000000003" customHeight="1"/>
    <row r="234" ht="33.950000000000003" customHeight="1"/>
    <row r="235" ht="33.950000000000003" customHeight="1"/>
    <row r="236" ht="33.950000000000003" customHeight="1"/>
    <row r="237" ht="33.950000000000003" customHeight="1"/>
    <row r="238" ht="33.950000000000003" customHeight="1"/>
    <row r="239" ht="33.950000000000003" customHeight="1"/>
    <row r="240" ht="33.950000000000003" customHeight="1"/>
    <row r="241" ht="33.950000000000003" customHeight="1"/>
    <row r="242" ht="33.950000000000003" customHeight="1"/>
    <row r="243" ht="33.950000000000003" customHeight="1"/>
    <row r="244" ht="33.950000000000003" customHeight="1"/>
    <row r="245" ht="33.950000000000003" customHeight="1"/>
    <row r="246" ht="33.950000000000003" customHeight="1"/>
    <row r="247" ht="33.950000000000003" customHeight="1"/>
    <row r="248" ht="33.950000000000003" customHeight="1"/>
    <row r="249" ht="33.950000000000003" customHeight="1"/>
    <row r="250" ht="33.950000000000003" customHeight="1"/>
    <row r="251" ht="33.950000000000003" customHeight="1"/>
    <row r="252" ht="33.950000000000003" customHeight="1"/>
    <row r="253" ht="33.950000000000003" customHeight="1"/>
    <row r="254" ht="33.950000000000003" customHeight="1"/>
    <row r="255" ht="33.950000000000003" customHeight="1"/>
    <row r="256" ht="33.950000000000003" customHeight="1"/>
    <row r="257" ht="33.950000000000003" customHeight="1"/>
    <row r="258" ht="33.950000000000003" customHeight="1"/>
    <row r="259" ht="33.950000000000003" customHeight="1"/>
    <row r="260" ht="33.950000000000003" customHeight="1"/>
    <row r="261" ht="33.950000000000003" customHeight="1"/>
    <row r="262" ht="33.950000000000003" customHeight="1"/>
    <row r="263" ht="33.950000000000003" customHeight="1"/>
    <row r="264" ht="33.950000000000003" customHeight="1"/>
    <row r="265" ht="33.950000000000003" customHeight="1"/>
    <row r="266" ht="33.950000000000003" customHeight="1"/>
    <row r="267" ht="33.950000000000003" customHeight="1"/>
    <row r="268" ht="33.950000000000003" customHeight="1"/>
    <row r="269" ht="33.950000000000003" customHeight="1"/>
    <row r="270" ht="33.950000000000003" customHeight="1"/>
    <row r="271" ht="33.950000000000003" customHeight="1"/>
    <row r="272" ht="33.950000000000003" customHeight="1"/>
    <row r="273" ht="33.950000000000003" customHeight="1"/>
    <row r="274" ht="33.950000000000003" customHeight="1"/>
    <row r="275" ht="33.950000000000003" customHeight="1"/>
    <row r="276" ht="33.950000000000003" customHeight="1"/>
    <row r="277" ht="33.950000000000003" customHeight="1"/>
    <row r="278" ht="33.950000000000003" customHeight="1"/>
    <row r="279" ht="33.950000000000003" customHeight="1"/>
    <row r="280" ht="33.950000000000003" customHeight="1"/>
    <row r="281" ht="33.950000000000003" customHeight="1"/>
    <row r="282" ht="33.950000000000003" customHeight="1"/>
    <row r="283" ht="33.950000000000003" customHeight="1"/>
    <row r="284" ht="33.950000000000003" customHeight="1"/>
    <row r="285" ht="33.950000000000003" customHeight="1"/>
    <row r="286" ht="33.950000000000003" customHeight="1"/>
    <row r="287" ht="33.950000000000003" customHeight="1"/>
    <row r="288" ht="33.950000000000003" customHeight="1"/>
    <row r="289" ht="33.950000000000003" customHeight="1"/>
    <row r="290" ht="33.950000000000003" customHeight="1"/>
    <row r="291" ht="33.950000000000003" customHeight="1"/>
    <row r="292" ht="33.950000000000003" customHeight="1"/>
    <row r="293" ht="33.950000000000003" customHeight="1"/>
    <row r="294" ht="33.950000000000003" customHeight="1"/>
    <row r="295" ht="33.950000000000003" customHeight="1"/>
    <row r="296" ht="33.950000000000003" customHeight="1"/>
    <row r="297" ht="33.950000000000003" customHeight="1"/>
    <row r="298" ht="33.950000000000003" customHeight="1"/>
    <row r="299" ht="33.950000000000003" customHeight="1"/>
    <row r="300" ht="33.950000000000003" customHeight="1"/>
    <row r="301" ht="33.950000000000003" customHeight="1"/>
    <row r="302" ht="33.950000000000003" customHeight="1"/>
    <row r="303" ht="33.950000000000003" customHeight="1"/>
    <row r="304" ht="33.950000000000003" customHeight="1"/>
    <row r="305" ht="33.950000000000003" customHeight="1"/>
    <row r="306" ht="33.950000000000003" customHeight="1"/>
    <row r="307" ht="33.950000000000003" customHeight="1"/>
    <row r="308" ht="33.950000000000003" customHeight="1"/>
    <row r="309" ht="33.950000000000003" customHeight="1"/>
    <row r="310" ht="33.950000000000003" customHeight="1"/>
    <row r="311" ht="33.950000000000003" customHeight="1"/>
    <row r="312" ht="33.950000000000003" customHeight="1"/>
    <row r="313" ht="33.950000000000003" customHeight="1"/>
    <row r="314" ht="33.950000000000003" customHeight="1"/>
    <row r="315" ht="33.950000000000003" customHeight="1"/>
    <row r="316" ht="33.950000000000003" customHeight="1"/>
    <row r="317" ht="33.950000000000003" customHeight="1"/>
    <row r="318" ht="33.950000000000003" customHeight="1"/>
    <row r="319" ht="33.950000000000003" customHeight="1"/>
    <row r="320" ht="33.950000000000003" customHeight="1"/>
    <row r="321" ht="33.950000000000003" customHeight="1"/>
    <row r="322" ht="33.950000000000003" customHeight="1"/>
    <row r="323" ht="33.950000000000003" customHeight="1"/>
    <row r="324" ht="33.950000000000003" customHeight="1"/>
    <row r="325" ht="33.950000000000003" customHeight="1"/>
    <row r="326" ht="33.950000000000003" customHeight="1"/>
    <row r="327" ht="33.950000000000003" customHeight="1"/>
    <row r="328" ht="33.950000000000003" customHeight="1"/>
    <row r="329" ht="33.950000000000003" customHeight="1"/>
    <row r="330" ht="33.950000000000003" customHeight="1"/>
    <row r="331" ht="33.950000000000003" customHeight="1"/>
    <row r="332" ht="33.950000000000003" customHeight="1"/>
    <row r="333" ht="33.950000000000003" customHeight="1"/>
    <row r="334" ht="33.950000000000003" customHeight="1"/>
    <row r="335" ht="33.950000000000003" customHeight="1"/>
    <row r="336" ht="33.950000000000003" customHeight="1"/>
    <row r="337" ht="33.950000000000003" customHeight="1"/>
    <row r="338" ht="33.950000000000003" customHeight="1"/>
    <row r="339" ht="33.950000000000003" customHeight="1"/>
    <row r="340" ht="33.950000000000003" customHeight="1"/>
    <row r="341" ht="33.950000000000003" customHeight="1"/>
    <row r="342" ht="33.950000000000003" customHeight="1"/>
    <row r="343" ht="33.950000000000003" customHeight="1"/>
    <row r="344" ht="33.950000000000003" customHeight="1"/>
    <row r="345" ht="33.950000000000003" customHeight="1"/>
    <row r="346" ht="33.950000000000003" customHeight="1"/>
    <row r="347" ht="33.950000000000003" customHeight="1"/>
    <row r="348" ht="33.950000000000003" customHeight="1"/>
    <row r="349" ht="33.950000000000003" customHeight="1"/>
    <row r="350" ht="33.950000000000003" customHeight="1"/>
    <row r="351" ht="33.950000000000003" customHeight="1"/>
    <row r="352" ht="33.950000000000003" customHeight="1"/>
    <row r="353" ht="33.950000000000003" customHeight="1"/>
    <row r="354" ht="33.950000000000003" customHeight="1"/>
    <row r="355" ht="33.950000000000003" customHeight="1"/>
    <row r="356" ht="33.950000000000003" customHeight="1"/>
    <row r="357" ht="33.950000000000003" customHeight="1"/>
    <row r="358" ht="33.950000000000003" customHeight="1"/>
    <row r="359" ht="33.950000000000003" customHeight="1"/>
    <row r="360" ht="33.950000000000003" customHeight="1"/>
    <row r="361" ht="33.950000000000003" customHeight="1"/>
    <row r="362" ht="33.950000000000003" customHeight="1"/>
    <row r="363" ht="33.950000000000003" customHeight="1"/>
    <row r="364" ht="33.950000000000003" customHeight="1"/>
    <row r="365" ht="33.950000000000003" customHeight="1"/>
    <row r="366" ht="33.950000000000003" customHeight="1"/>
    <row r="367" ht="33.950000000000003" customHeight="1"/>
    <row r="368" ht="33.950000000000003" customHeight="1"/>
    <row r="369" ht="33.950000000000003" customHeight="1"/>
    <row r="370" ht="33.950000000000003" customHeight="1"/>
    <row r="371" ht="33.950000000000003" customHeight="1"/>
    <row r="372" ht="33.950000000000003" customHeight="1"/>
    <row r="373" ht="33.950000000000003" customHeight="1"/>
    <row r="374" ht="33.950000000000003" customHeight="1"/>
    <row r="375" ht="33.950000000000003" customHeight="1"/>
    <row r="376" ht="33.950000000000003" customHeight="1"/>
    <row r="377" ht="33.950000000000003" customHeight="1"/>
    <row r="378" ht="33.950000000000003" customHeight="1"/>
    <row r="379" ht="33.950000000000003" customHeight="1"/>
    <row r="380" ht="33.950000000000003" customHeight="1"/>
    <row r="381" ht="33.950000000000003" customHeight="1"/>
    <row r="382" ht="33.950000000000003" customHeight="1"/>
    <row r="383" ht="33.950000000000003" customHeight="1"/>
    <row r="384" ht="33.950000000000003" customHeight="1"/>
    <row r="385" ht="33.950000000000003" customHeight="1"/>
    <row r="386" ht="33.950000000000003" customHeight="1"/>
    <row r="387" ht="33.950000000000003" customHeight="1"/>
    <row r="388" ht="33.950000000000003" customHeight="1"/>
    <row r="389" ht="33.950000000000003" customHeight="1"/>
    <row r="390" ht="33.950000000000003" customHeight="1"/>
    <row r="391" ht="33.950000000000003" customHeight="1"/>
    <row r="392" ht="33.950000000000003" customHeight="1"/>
    <row r="393" ht="33.950000000000003" customHeight="1"/>
    <row r="394" ht="33.950000000000003" customHeight="1"/>
    <row r="395" ht="33.950000000000003" customHeight="1"/>
    <row r="396" ht="33.950000000000003" customHeight="1"/>
    <row r="397" ht="33.950000000000003" customHeight="1"/>
    <row r="398" ht="33.950000000000003" customHeight="1"/>
    <row r="399" ht="33.950000000000003" customHeight="1"/>
    <row r="400" ht="33.950000000000003" customHeight="1"/>
    <row r="401" ht="33.950000000000003" customHeight="1"/>
    <row r="402" ht="33.950000000000003" customHeight="1"/>
    <row r="403" ht="33.950000000000003" customHeight="1"/>
    <row r="404" ht="33.950000000000003" customHeight="1"/>
    <row r="405" ht="33.950000000000003" customHeight="1"/>
    <row r="406" ht="33.950000000000003" customHeight="1"/>
    <row r="407" ht="33.950000000000003" customHeight="1"/>
    <row r="408" ht="33.950000000000003" customHeight="1"/>
    <row r="409" ht="33.950000000000003" customHeight="1"/>
    <row r="410" ht="33.950000000000003" customHeight="1"/>
    <row r="411" ht="33.950000000000003" customHeight="1"/>
    <row r="412" ht="33.950000000000003" customHeight="1"/>
    <row r="413" ht="33.950000000000003" customHeight="1"/>
    <row r="414" ht="33.950000000000003" customHeight="1"/>
    <row r="415" ht="33.950000000000003" customHeight="1"/>
    <row r="416" ht="33.950000000000003" customHeight="1"/>
    <row r="417" ht="33.950000000000003" customHeight="1"/>
    <row r="418" ht="33.950000000000003" customHeight="1"/>
    <row r="419" ht="33.950000000000003" customHeight="1"/>
    <row r="420" ht="33.950000000000003" customHeight="1"/>
    <row r="421" ht="33.950000000000003" customHeight="1"/>
    <row r="422" ht="33.950000000000003" customHeight="1"/>
    <row r="423" ht="33.950000000000003" customHeight="1"/>
    <row r="424" ht="33.950000000000003" customHeight="1"/>
    <row r="425" ht="33.950000000000003" customHeight="1"/>
    <row r="426" ht="33.950000000000003" customHeight="1"/>
    <row r="427" ht="33.950000000000003" customHeight="1"/>
    <row r="428" ht="33.950000000000003" customHeight="1"/>
    <row r="429" ht="33.950000000000003" customHeight="1"/>
    <row r="430" ht="33.950000000000003" customHeight="1"/>
    <row r="431" ht="33.950000000000003" customHeight="1"/>
    <row r="432" ht="33.950000000000003" customHeight="1"/>
    <row r="433" ht="33.950000000000003" customHeight="1"/>
    <row r="434" ht="33.950000000000003" customHeight="1"/>
    <row r="435" ht="33.950000000000003" customHeight="1"/>
    <row r="436" ht="33.950000000000003" customHeight="1"/>
    <row r="437" ht="33.950000000000003" customHeight="1"/>
    <row r="438" ht="33.950000000000003" customHeight="1"/>
    <row r="439" ht="33.950000000000003" customHeight="1"/>
    <row r="440" ht="33.950000000000003" customHeight="1"/>
    <row r="441" ht="33.950000000000003" customHeight="1"/>
    <row r="442" ht="33.950000000000003" customHeight="1"/>
    <row r="443" ht="33.950000000000003" customHeight="1"/>
    <row r="444" ht="33.950000000000003" customHeight="1"/>
    <row r="445" ht="33.950000000000003" customHeight="1"/>
    <row r="446" ht="33.950000000000003" customHeight="1"/>
    <row r="447" ht="33.950000000000003" customHeight="1"/>
    <row r="448" ht="33.950000000000003" customHeight="1"/>
    <row r="449" ht="33.950000000000003" customHeight="1"/>
    <row r="450" ht="33.950000000000003" customHeight="1"/>
    <row r="451" ht="33.950000000000003" customHeight="1"/>
    <row r="452" ht="33.950000000000003" customHeight="1"/>
    <row r="453" ht="33.950000000000003" customHeight="1"/>
    <row r="454" ht="33.950000000000003" customHeight="1"/>
    <row r="455" ht="33.950000000000003" customHeight="1"/>
    <row r="456" ht="33.950000000000003" customHeight="1"/>
    <row r="457" ht="33.950000000000003" customHeight="1"/>
    <row r="458" ht="33.950000000000003" customHeight="1"/>
    <row r="459" ht="33.950000000000003" customHeight="1"/>
    <row r="460" ht="33.950000000000003" customHeight="1"/>
    <row r="461" ht="33.950000000000003" customHeight="1"/>
    <row r="462" ht="33.950000000000003" customHeight="1"/>
    <row r="463" ht="33.950000000000003" customHeight="1"/>
    <row r="464" ht="33.950000000000003" customHeight="1"/>
    <row r="465" ht="33.950000000000003" customHeight="1"/>
    <row r="466" ht="33.950000000000003" customHeight="1"/>
    <row r="467" ht="33.950000000000003" customHeight="1"/>
    <row r="468" ht="33.950000000000003" customHeight="1"/>
    <row r="469" ht="33.950000000000003" customHeight="1"/>
    <row r="470" ht="33.950000000000003" customHeight="1"/>
    <row r="471" ht="33.950000000000003" customHeight="1"/>
    <row r="472" ht="33.950000000000003" customHeight="1"/>
    <row r="473" ht="33.950000000000003" customHeight="1"/>
    <row r="474" ht="33.950000000000003" customHeight="1"/>
    <row r="475" ht="33.950000000000003" customHeight="1"/>
    <row r="476" ht="33.950000000000003" customHeight="1"/>
    <row r="477" ht="33.950000000000003" customHeight="1"/>
    <row r="478" ht="33.950000000000003" customHeight="1"/>
    <row r="479" ht="33.950000000000003" customHeight="1"/>
    <row r="480" ht="33.950000000000003" customHeight="1"/>
    <row r="481" ht="33.950000000000003" customHeight="1"/>
    <row r="482" ht="33.950000000000003" customHeight="1"/>
    <row r="483" ht="33.950000000000003" customHeight="1"/>
    <row r="484" ht="33.950000000000003" customHeight="1"/>
    <row r="485" ht="33.950000000000003" customHeight="1"/>
    <row r="486" ht="33.950000000000003" customHeight="1"/>
    <row r="487" ht="33.950000000000003" customHeight="1"/>
    <row r="488" ht="33.950000000000003" customHeight="1"/>
    <row r="489" ht="33.950000000000003" customHeight="1"/>
    <row r="490" ht="33.950000000000003" customHeight="1"/>
    <row r="491" ht="33.950000000000003" customHeight="1"/>
    <row r="492" ht="33.950000000000003" customHeight="1"/>
    <row r="493" ht="33.950000000000003" customHeight="1"/>
    <row r="494" ht="33.950000000000003" customHeight="1"/>
    <row r="495" ht="33.950000000000003" customHeight="1"/>
    <row r="496" ht="33.950000000000003" customHeight="1"/>
    <row r="497" ht="33.950000000000003" customHeight="1"/>
    <row r="498" ht="33.950000000000003" customHeight="1"/>
    <row r="499" ht="33.950000000000003" customHeight="1"/>
    <row r="500" ht="33.950000000000003" customHeight="1"/>
    <row r="501" ht="33.950000000000003" customHeight="1"/>
    <row r="502" ht="33.950000000000003" customHeight="1"/>
    <row r="503" ht="33.950000000000003" customHeight="1"/>
    <row r="504" ht="33.950000000000003" customHeight="1"/>
    <row r="505" ht="33.950000000000003" customHeight="1"/>
    <row r="506" ht="33.950000000000003" customHeight="1"/>
    <row r="507" ht="33.950000000000003" customHeight="1"/>
    <row r="508" ht="33.950000000000003" customHeight="1"/>
    <row r="509" ht="33.950000000000003" customHeight="1"/>
    <row r="510" ht="33.950000000000003" customHeight="1"/>
    <row r="511" ht="33.950000000000003" customHeight="1"/>
    <row r="512" ht="33.950000000000003" customHeight="1"/>
    <row r="513" ht="33.950000000000003" customHeight="1"/>
    <row r="514" ht="33.950000000000003" customHeight="1"/>
    <row r="515" ht="33.950000000000003" customHeight="1"/>
    <row r="516" ht="33.950000000000003" customHeight="1"/>
    <row r="517" ht="33.950000000000003" customHeight="1"/>
    <row r="518" ht="33.950000000000003" customHeight="1"/>
    <row r="519" ht="33.950000000000003" customHeight="1"/>
    <row r="520" ht="33.950000000000003" customHeight="1"/>
    <row r="521" ht="33.950000000000003" customHeight="1"/>
    <row r="522" ht="33.950000000000003" customHeight="1"/>
    <row r="523" ht="33.950000000000003" customHeight="1"/>
    <row r="524" ht="33.950000000000003" customHeight="1"/>
    <row r="525" ht="33.950000000000003" customHeight="1"/>
    <row r="526" ht="33.950000000000003" customHeight="1"/>
    <row r="527" ht="33.950000000000003" customHeight="1"/>
    <row r="528" ht="33.950000000000003" customHeight="1"/>
    <row r="529" ht="33.950000000000003" customHeight="1"/>
    <row r="530" ht="33.950000000000003" customHeight="1"/>
    <row r="531" ht="33.950000000000003" hidden="1" customHeight="1"/>
  </sheetData>
  <sheetProtection algorithmName="SHA-512" hashValue="A48FJoODb1gNTWNh6jaQIipPhndI+SU2TOeTrCvTdTHt1BJ2ntsZzNmCtBMCcxTjPiXaKV/LID7dN4US5Xh7jA==" saltValue="otfYKkdExOz4F3N6SpRK9Q==" spinCount="100000" sheet="1" objects="1" scenarios="1"/>
  <pageMargins left="0.511811024" right="0.511811024" top="0.78740157499999996" bottom="0.78740157499999996" header="0.31496062000000002" footer="0.31496062000000002"/>
  <drawing r:id="rId1"/>
</worksheet>
</file>

<file path=xl/worksheets/sheet11.xml><?xml version="1.0" encoding="utf-8"?>
<worksheet xmlns="http://schemas.openxmlformats.org/spreadsheetml/2006/main" xmlns:r="http://schemas.openxmlformats.org/officeDocument/2006/relationships">
  <sheetPr codeName="Plan11"/>
  <dimension ref="A1:V123"/>
  <sheetViews>
    <sheetView showGridLines="0" zoomScale="90" zoomScaleNormal="90" workbookViewId="0">
      <pane ySplit="3" topLeftCell="A4" activePane="bottomLeft" state="frozen"/>
      <selection pane="bottomLeft" activeCell="D4" sqref="D4"/>
    </sheetView>
  </sheetViews>
  <sheetFormatPr defaultColWidth="8.85546875" defaultRowHeight="0" customHeight="1" zeroHeight="1"/>
  <cols>
    <col min="1" max="1" width="27.7109375" style="104" customWidth="1"/>
    <col min="2" max="2" width="2.7109375" customWidth="1"/>
    <col min="3" max="3" width="40.7109375" customWidth="1"/>
    <col min="4" max="5" width="15.7109375" customWidth="1"/>
    <col min="6" max="6" width="0.85546875" style="2" customWidth="1"/>
    <col min="7" max="7" width="40.7109375" customWidth="1"/>
    <col min="8" max="9" width="15.7109375" customWidth="1"/>
    <col min="10" max="10" width="13.85546875" style="2" bestFit="1" customWidth="1"/>
  </cols>
  <sheetData>
    <row r="1" spans="1:22" s="58" customFormat="1" ht="33.950000000000003" customHeight="1">
      <c r="A1" s="103"/>
      <c r="C1" s="59" t="s">
        <v>527</v>
      </c>
      <c r="F1" s="74"/>
      <c r="J1" s="74"/>
    </row>
    <row r="2" spans="1:22" s="58" customFormat="1" ht="21.6" customHeight="1">
      <c r="A2" s="103"/>
      <c r="F2" s="74"/>
      <c r="J2" s="74"/>
    </row>
    <row r="3" spans="1:22" s="58" customFormat="1" ht="21.6" customHeight="1">
      <c r="A3" s="103"/>
      <c r="F3" s="74"/>
      <c r="J3" s="74"/>
    </row>
    <row r="4" spans="1:22" s="41" customFormat="1" ht="44.25" customHeight="1">
      <c r="A4" s="103"/>
      <c r="B4" s="26"/>
      <c r="C4" s="26"/>
      <c r="D4" s="26"/>
      <c r="E4" s="26"/>
      <c r="F4" s="26"/>
      <c r="G4" s="26"/>
      <c r="H4" s="26"/>
      <c r="I4" s="26"/>
      <c r="J4" s="26"/>
      <c r="K4" s="26"/>
      <c r="L4" s="26"/>
      <c r="M4" s="26"/>
      <c r="N4" s="26"/>
      <c r="O4" s="26"/>
      <c r="P4" s="26"/>
      <c r="Q4" s="26"/>
      <c r="R4" s="26"/>
      <c r="S4" s="26"/>
      <c r="T4" s="26"/>
    </row>
    <row r="5" spans="1:22" s="41" customFormat="1" ht="15" customHeight="1" thickBot="1">
      <c r="A5" s="103"/>
      <c r="F5" s="75"/>
      <c r="J5" s="75"/>
    </row>
    <row r="6" spans="1:22" s="41" customFormat="1" ht="30" customHeight="1" thickTop="1" thickBot="1">
      <c r="A6" s="103"/>
      <c r="C6" s="147" t="s">
        <v>41</v>
      </c>
      <c r="D6" s="147"/>
      <c r="E6" s="147"/>
      <c r="F6" s="76">
        <f>IF(ISERROR(SUM(F7:F9)),"",SUM(F7:F9))</f>
        <v>294780</v>
      </c>
      <c r="G6" s="147" t="s">
        <v>525</v>
      </c>
      <c r="H6" s="147"/>
      <c r="J6" s="75"/>
      <c r="V6" s="77">
        <f>IF(ISERROR(SUM(V7:V8)),"",SUM(V7:V8))</f>
        <v>244780</v>
      </c>
    </row>
    <row r="7" spans="1:22" s="41" customFormat="1" ht="30" customHeight="1" thickTop="1" thickBot="1">
      <c r="A7" s="103"/>
      <c r="C7" s="78" t="s">
        <v>35</v>
      </c>
      <c r="D7" s="79">
        <f>IF(ISERROR(Pas!$E$6),"",Pas!$E$6)</f>
        <v>58958</v>
      </c>
      <c r="E7" s="12">
        <f>IF(ISERROR($D$7/$F$6),"",$D$7/$F$6)</f>
        <v>0.20000678472080874</v>
      </c>
      <c r="F7" s="76">
        <f>IF(ISERROR(D7),"",D7)</f>
        <v>58958</v>
      </c>
      <c r="G7" s="166" t="str">
        <f>IF($D$10&lt;=1,"O PATRIMÔNIO LÍQUIDO será suficiente para a liquidação do Passivo","O PATRIMÔNIO LÍQUIDO não será suficiente para pagamento ou liquidação do Passivo")</f>
        <v>O PATRIMÔNIO LÍQUIDO será suficiente para a liquidação do Passivo</v>
      </c>
      <c r="H7" s="166"/>
      <c r="J7" s="75"/>
      <c r="V7" s="77">
        <f>IF(ISERROR(D19),"",D19)</f>
        <v>58958</v>
      </c>
    </row>
    <row r="8" spans="1:22" s="41" customFormat="1" ht="30" customHeight="1" thickTop="1" thickBot="1">
      <c r="A8" s="103"/>
      <c r="C8" s="78" t="s">
        <v>43</v>
      </c>
      <c r="D8" s="79">
        <f>IF(ISERROR(Pasn!$J$38),"",Pasn!$J$38)</f>
        <v>50000</v>
      </c>
      <c r="E8" s="12">
        <f>IF(ISERROR($D$8/$F$6),"",$D$8/$F$6)</f>
        <v>0.169618020218468</v>
      </c>
      <c r="F8" s="76">
        <f>IF(ISERROR(D8),"",D8)</f>
        <v>50000</v>
      </c>
      <c r="G8" s="166"/>
      <c r="H8" s="166"/>
      <c r="J8" s="80"/>
      <c r="K8" s="80"/>
      <c r="V8" s="77">
        <f>IF(ISERROR(D20),"",D20)</f>
        <v>185822</v>
      </c>
    </row>
    <row r="9" spans="1:22" s="41" customFormat="1" ht="30" customHeight="1" thickTop="1" thickBot="1">
      <c r="A9" s="103"/>
      <c r="C9" s="78" t="s">
        <v>45</v>
      </c>
      <c r="D9" s="79">
        <f>IF(ISERROR(Pasn!$J$55),"",Pasn!$J$55)</f>
        <v>185822</v>
      </c>
      <c r="E9" s="12">
        <f>IF(ISERROR($D$9/$F$6),"",$D$9/$F$6)</f>
        <v>0.63037519506072326</v>
      </c>
      <c r="F9" s="76">
        <f>IF(ISERROR(D9),"",D9)</f>
        <v>185822</v>
      </c>
      <c r="G9" s="166"/>
      <c r="H9" s="166"/>
      <c r="J9" s="80"/>
      <c r="V9" s="75"/>
    </row>
    <row r="10" spans="1:22" s="41" customFormat="1" ht="30" customHeight="1" thickTop="1" thickBot="1">
      <c r="A10" s="103"/>
      <c r="C10" s="65" t="s">
        <v>34</v>
      </c>
      <c r="D10" s="167">
        <f>IF(ISERROR(ROUND($F$10/$F$9,2)),"",ROUND($F$10/$F$9,2))</f>
        <v>0.59</v>
      </c>
      <c r="E10" s="168"/>
      <c r="F10" s="76">
        <f>IF(ISERROR(SUM(F7:F8)),"",SUM(F7:F8))</f>
        <v>108958</v>
      </c>
      <c r="G10" s="166"/>
      <c r="H10" s="166"/>
      <c r="J10" s="75"/>
    </row>
    <row r="11" spans="1:22" s="41" customFormat="1" ht="30" customHeight="1" thickTop="1" thickBot="1">
      <c r="A11" s="103"/>
      <c r="F11" s="76"/>
      <c r="J11" s="76"/>
    </row>
    <row r="12" spans="1:22" s="41" customFormat="1" ht="30" customHeight="1" thickTop="1" thickBot="1">
      <c r="A12" s="103"/>
      <c r="C12" s="147" t="s">
        <v>47</v>
      </c>
      <c r="D12" s="147"/>
      <c r="E12" s="147"/>
      <c r="F12" s="76">
        <f>IF(ISERROR(SUM(F13:F15)),"",SUM(F13:F15))</f>
        <v>217916</v>
      </c>
      <c r="G12" s="147" t="s">
        <v>525</v>
      </c>
      <c r="H12" s="147"/>
      <c r="J12" s="76"/>
    </row>
    <row r="13" spans="1:22" s="41" customFormat="1" ht="30" customHeight="1" thickTop="1" thickBot="1">
      <c r="A13" s="103"/>
      <c r="C13" s="78" t="s">
        <v>48</v>
      </c>
      <c r="D13" s="79">
        <f>IF(ISERROR(Pas!$E$6+Pasn!$J$38),"",Pas!$E$6+Pasn!$J$38)</f>
        <v>108958</v>
      </c>
      <c r="E13" s="12">
        <f>IF(ISERROR(D13/$F$12),"",D13/$F$12)</f>
        <v>0.5</v>
      </c>
      <c r="F13" s="76">
        <f>IF(ISERROR($D$13),"",$D$13)</f>
        <v>108958</v>
      </c>
      <c r="G13" s="169" t="str">
        <f>IF(ISERROR("Seu percentual de Passivo referente a dívidadas com estabelecimentos bancários no país e no exterior é de " &amp; ($D$16)),"","Seu percentual de Passivo referente a dívidadas com estabelecimentos bancários no país e no exterior é de " &amp; ($D$16))</f>
        <v>Seu percentual de Passivo referente a dívidadas com estabelecimentos bancários no país e no exterior é de 1%</v>
      </c>
      <c r="H13" s="169"/>
      <c r="J13" s="76"/>
    </row>
    <row r="14" spans="1:22" s="41" customFormat="1" ht="30" customHeight="1" thickTop="1" thickBot="1">
      <c r="A14" s="103"/>
      <c r="C14" s="78" t="s">
        <v>35</v>
      </c>
      <c r="D14" s="79">
        <f>IF(ISERROR(Pas!$E$6),"",Pas!$E$6)</f>
        <v>58958</v>
      </c>
      <c r="E14" s="12">
        <f>IF(ISERROR(D14/$F$12),"",D14/$F$12)</f>
        <v>0.27055379136915142</v>
      </c>
      <c r="F14" s="76">
        <f>IF(ISERROR($D$14),"",$D$14)</f>
        <v>58958</v>
      </c>
      <c r="G14" s="169"/>
      <c r="H14" s="169"/>
      <c r="J14" s="76"/>
    </row>
    <row r="15" spans="1:22" s="41" customFormat="1" ht="30" customHeight="1" thickTop="1" thickBot="1">
      <c r="A15" s="103"/>
      <c r="C15" s="78" t="s">
        <v>43</v>
      </c>
      <c r="D15" s="79">
        <f>IF(ISERROR(Pasn!$J$38),"",Pasn!$J$38)</f>
        <v>50000</v>
      </c>
      <c r="E15" s="12">
        <f>IF(ISERROR(D15/$F$12),"",D15/$F$12)</f>
        <v>0.22944620863084858</v>
      </c>
      <c r="F15" s="76">
        <f>IF(ISERROR($D$15),"",$D$15)</f>
        <v>50000</v>
      </c>
      <c r="G15" s="169"/>
      <c r="H15" s="169"/>
      <c r="J15" s="76"/>
    </row>
    <row r="16" spans="1:22" s="41" customFormat="1" ht="30" customHeight="1" thickTop="1" thickBot="1">
      <c r="A16" s="103"/>
      <c r="C16" s="78" t="s">
        <v>34</v>
      </c>
      <c r="D16" s="162" t="str">
        <f>IF(ISERROR(ROUND($F$13/$F$16,2)&amp;"%"),"",ROUND($F$13/$F$16,2)&amp;"%")</f>
        <v>1%</v>
      </c>
      <c r="E16" s="163"/>
      <c r="F16" s="76">
        <f>IF(ISERROR(SUM($F$14:$F$15)),"",SUM($F$14:$F$15))</f>
        <v>108958</v>
      </c>
      <c r="G16" s="169"/>
      <c r="H16" s="169"/>
      <c r="J16" s="76"/>
    </row>
    <row r="17" spans="1:10" s="41" customFormat="1" ht="30" customHeight="1" thickTop="1" thickBot="1">
      <c r="A17" s="103"/>
      <c r="F17" s="75"/>
      <c r="J17" s="75"/>
    </row>
    <row r="18" spans="1:10" s="41" customFormat="1" ht="30" customHeight="1" thickTop="1" thickBot="1">
      <c r="A18" s="103"/>
      <c r="C18" s="147" t="s">
        <v>42</v>
      </c>
      <c r="D18" s="147"/>
      <c r="E18" s="147"/>
      <c r="F18" s="75"/>
      <c r="G18" s="147" t="s">
        <v>525</v>
      </c>
      <c r="H18" s="147"/>
      <c r="J18" s="75"/>
    </row>
    <row r="19" spans="1:10" s="41" customFormat="1" ht="30" customHeight="1" thickTop="1" thickBot="1">
      <c r="A19" s="103"/>
      <c r="C19" s="78" t="s">
        <v>35</v>
      </c>
      <c r="D19" s="79">
        <f>IF(ISERROR(Pas!$E$6),"",Pas!$E$6)</f>
        <v>58958</v>
      </c>
      <c r="E19" s="12">
        <f>IF(ISERROR($D$19/$V$6),"",$D$19/$V$6)</f>
        <v>0.24086118146907426</v>
      </c>
      <c r="F19" s="62">
        <f>IF(ISERROR($D$19),"",$D$19)</f>
        <v>58958</v>
      </c>
      <c r="G19" s="166" t="str">
        <f>IF($D$21&lt;=1,"O PATRIMÔNIO LÍQUIDO será suficiente para a liquidação do Passivo Circulante; mediante o índice de ENDIVIDAMENTO GERAL poderá será apurada como ficará o nível de endividamento se houver saldo a pagar no grupamento EXIGÍVEL DE LONGO PRAZO","O PATRIMÔNIO LÍQUIDO será suficiente para pagamento ou liquidação do Passivo Circulante, ficando parte dele a descoberto; o eventual EXIGÍVEL DE LONGO PRAZO existente também ficará sem pagamento")</f>
        <v>O PATRIMÔNIO LÍQUIDO será suficiente para a liquidação do Passivo Circulante; mediante o índice de ENDIVIDAMENTO GERAL poderá será apurada como ficará o nível de endividamento se houver saldo a pagar no grupamento EXIGÍVEL DE LONGO PRAZO</v>
      </c>
      <c r="H19" s="166"/>
      <c r="J19" s="75"/>
    </row>
    <row r="20" spans="1:10" s="41" customFormat="1" ht="30" customHeight="1" thickTop="1" thickBot="1">
      <c r="A20" s="103"/>
      <c r="C20" s="78" t="s">
        <v>44</v>
      </c>
      <c r="D20" s="79">
        <f>IF(ISERROR(Pasn!$J$55),"",Pasn!$J$55)</f>
        <v>185822</v>
      </c>
      <c r="E20" s="12">
        <f>IF(ISERROR($D$20/$V$6),"",$D$20/$V$6)</f>
        <v>0.75913881853092569</v>
      </c>
      <c r="F20" s="62">
        <f>IF(ISERROR($D$20),"",$D$20)</f>
        <v>185822</v>
      </c>
      <c r="G20" s="166"/>
      <c r="H20" s="166"/>
      <c r="J20" s="75"/>
    </row>
    <row r="21" spans="1:10" s="41" customFormat="1" ht="30" customHeight="1" thickTop="1" thickBot="1">
      <c r="A21" s="103"/>
      <c r="C21" s="65" t="s">
        <v>34</v>
      </c>
      <c r="D21" s="164">
        <f>IF(ISERROR(ROUND($F$19/$F$20,2)),"",ROUND($F$19/$F$20,2))</f>
        <v>0.32</v>
      </c>
      <c r="E21" s="165"/>
      <c r="F21" s="75"/>
      <c r="G21" s="166"/>
      <c r="H21" s="166"/>
      <c r="J21" s="75"/>
    </row>
    <row r="22" spans="1:10" s="41" customFormat="1" ht="30" customHeight="1" thickTop="1" thickBot="1">
      <c r="A22" s="103"/>
      <c r="F22" s="75"/>
      <c r="J22" s="77"/>
    </row>
    <row r="23" spans="1:10" s="41" customFormat="1" ht="30" customHeight="1" thickTop="1" thickBot="1">
      <c r="A23" s="103"/>
      <c r="C23" s="147" t="s">
        <v>46</v>
      </c>
      <c r="D23" s="147"/>
      <c r="E23" s="147"/>
      <c r="F23" s="77">
        <f>IF(ISERROR(SUM(F24:F25)),"",SUM(F24:F25))</f>
        <v>294780</v>
      </c>
      <c r="G23" s="147" t="s">
        <v>525</v>
      </c>
      <c r="H23" s="147"/>
      <c r="J23" s="77"/>
    </row>
    <row r="24" spans="1:10" s="41" customFormat="1" ht="30" customHeight="1" thickTop="1" thickBot="1">
      <c r="A24" s="103"/>
      <c r="C24" s="78" t="s">
        <v>48</v>
      </c>
      <c r="D24" s="79">
        <f>IF(ISERROR(Pas!$E$6+Pasn!$J$38),"",Pas!$E$6+Pasn!$J$38)</f>
        <v>108958</v>
      </c>
      <c r="E24" s="12">
        <f>IF(ISERROR($D$24/$F$23),"",$D$24/$F$23)</f>
        <v>0.36962480493927674</v>
      </c>
      <c r="F24" s="77">
        <f>IF(ISERROR($D$24),"",$D$24)</f>
        <v>108958</v>
      </c>
      <c r="G24" s="166" t="str">
        <f>IF($D$26&lt;=1,"O PATRIMÔNIO LÍQUIDO será suficiente para pagamento ou liquidação das Obrigações Financeiras","O PATRIMÔNIO LÍQUIDO (capital próprio) não será suficiente para pagamento ou liquidação das Obrigações Financeiras")</f>
        <v>O PATRIMÔNIO LÍQUIDO será suficiente para pagamento ou liquidação das Obrigações Financeiras</v>
      </c>
      <c r="H24" s="166"/>
      <c r="J24" s="77"/>
    </row>
    <row r="25" spans="1:10" s="41" customFormat="1" ht="30" customHeight="1" thickTop="1" thickBot="1">
      <c r="A25" s="103"/>
      <c r="C25" s="78" t="s">
        <v>44</v>
      </c>
      <c r="D25" s="79">
        <f>IF(ISERROR(Pasn!$J$55),"",Pasn!$J$55)</f>
        <v>185822</v>
      </c>
      <c r="E25" s="12">
        <f>IF(ISERROR($D$25/$F$23),"",$D$25/$F$23)</f>
        <v>0.63037519506072326</v>
      </c>
      <c r="F25" s="77">
        <f>IF(ISERROR($D$25),"",$D$25)</f>
        <v>185822</v>
      </c>
      <c r="G25" s="166"/>
      <c r="H25" s="166"/>
      <c r="J25" s="77"/>
    </row>
    <row r="26" spans="1:10" s="41" customFormat="1" ht="30" customHeight="1" thickTop="1" thickBot="1">
      <c r="A26" s="103"/>
      <c r="C26" s="65" t="s">
        <v>34</v>
      </c>
      <c r="D26" s="164">
        <f>IF(ISERROR(ROUND($F$24/$F$25,2)),"",ROUND($F$24/$F$25,2))</f>
        <v>0.59</v>
      </c>
      <c r="E26" s="165"/>
      <c r="F26" s="77"/>
      <c r="G26" s="166"/>
      <c r="H26" s="166"/>
      <c r="J26" s="77"/>
    </row>
    <row r="27" spans="1:10" s="41" customFormat="1" ht="30" customHeight="1" thickTop="1" thickBot="1">
      <c r="A27" s="103"/>
      <c r="F27" s="75"/>
      <c r="J27" s="75"/>
    </row>
    <row r="28" spans="1:10" s="41" customFormat="1" ht="30" customHeight="1" thickTop="1" thickBot="1">
      <c r="A28" s="103"/>
      <c r="C28" s="147" t="s">
        <v>51</v>
      </c>
      <c r="D28" s="147"/>
      <c r="E28" s="147"/>
      <c r="F28" s="77">
        <f>IF(ISERROR(SUM(F29:F30)),"",SUM(F29:F30))</f>
        <v>212238</v>
      </c>
      <c r="G28" s="147" t="s">
        <v>525</v>
      </c>
      <c r="H28" s="147"/>
      <c r="J28" s="75"/>
    </row>
    <row r="29" spans="1:10" s="41" customFormat="1" ht="30" customHeight="1" thickTop="1" thickBot="1">
      <c r="A29" s="103"/>
      <c r="C29" s="78" t="s">
        <v>52</v>
      </c>
      <c r="D29" s="79">
        <f>IF(ISERROR(Pas!$E$6),"",Pas!$E$6)</f>
        <v>58958</v>
      </c>
      <c r="E29" s="12">
        <f>IF(ISERROR($D$29/$F$28),"",$D$29/$F$28)</f>
        <v>0.27779191285255234</v>
      </c>
      <c r="F29" s="77">
        <f>IF(ISERROR($D$29),"",$D$29)</f>
        <v>58958</v>
      </c>
      <c r="G29" s="166" t="str">
        <f>IF($D$31&lt;=1,"O ATIVO CIRCULANTE será suficiente para pagamento ou liquidação das Obrigações Financeiras","O ATIVO CIRCULANTE (recebíveis de curto prazo) não será suficiente para pagamento ou liquidação das Obrigações Financeiras")</f>
        <v>O ATIVO CIRCULANTE será suficiente para pagamento ou liquidação das Obrigações Financeiras</v>
      </c>
      <c r="H29" s="166"/>
      <c r="J29" s="75"/>
    </row>
    <row r="30" spans="1:10" s="41" customFormat="1" ht="30" customHeight="1" thickTop="1" thickBot="1">
      <c r="A30" s="103"/>
      <c r="C30" s="78" t="s">
        <v>53</v>
      </c>
      <c r="D30" s="79">
        <f>IF(ISERROR(Bal!$E$6),"",Bal!$E$6)</f>
        <v>153280</v>
      </c>
      <c r="E30" s="12">
        <f>IF(ISERROR($D$30/$F$28),"",$D$30/$F$28)</f>
        <v>0.72220808714744766</v>
      </c>
      <c r="F30" s="77">
        <f>IF(ISERROR($D$30),"",$D$30)</f>
        <v>153280</v>
      </c>
      <c r="G30" s="166"/>
      <c r="H30" s="166"/>
      <c r="J30" s="75"/>
    </row>
    <row r="31" spans="1:10" s="41" customFormat="1" ht="30" customHeight="1" thickTop="1" thickBot="1">
      <c r="A31" s="103"/>
      <c r="C31" s="78" t="s">
        <v>34</v>
      </c>
      <c r="D31" s="164">
        <f>IF(ISERROR(ROUND($F$29/$F$30,2)),"",ROUND($F$29/$F$30,2))</f>
        <v>0.38</v>
      </c>
      <c r="E31" s="165"/>
      <c r="F31" s="76"/>
      <c r="G31" s="166"/>
      <c r="H31" s="166"/>
      <c r="J31" s="75"/>
    </row>
    <row r="32" spans="1:10" s="41" customFormat="1" ht="30" customHeight="1" thickTop="1" thickBot="1">
      <c r="A32" s="103"/>
      <c r="J32" s="75"/>
    </row>
    <row r="33" spans="1:10" s="41" customFormat="1" ht="30" customHeight="1" thickTop="1" thickBot="1">
      <c r="A33" s="103"/>
      <c r="C33" s="147" t="s">
        <v>49</v>
      </c>
      <c r="D33" s="147"/>
      <c r="E33" s="147"/>
      <c r="F33" s="77">
        <f>IF(ISERROR(SUM(F34:F35)),"",SUM(F34:F35))</f>
        <v>81240</v>
      </c>
      <c r="G33" s="147" t="s">
        <v>525</v>
      </c>
      <c r="H33" s="147"/>
      <c r="J33" s="75"/>
    </row>
    <row r="34" spans="1:10" s="41" customFormat="1" ht="30" customHeight="1" thickTop="1" thickBot="1">
      <c r="A34" s="103"/>
      <c r="C34" s="78" t="s">
        <v>50</v>
      </c>
      <c r="D34" s="79">
        <f>IF(ISERROR(Pas!$J$7),"",(Pas!$J$7))</f>
        <v>31840</v>
      </c>
      <c r="E34" s="12">
        <f>IF(ISERROR(D34/$F$33),"",D34/$F$33)</f>
        <v>0.39192516001969474</v>
      </c>
      <c r="F34" s="77">
        <f>IF(ISERROR(D34),"",D34)</f>
        <v>31840</v>
      </c>
      <c r="G34" s="166" t="str">
        <f>IF($D$31&lt;=1,"O ATIVO CIRCULANTE será suficiente para pagamento ou liquidação das Obrigações Financeiras","O ATIVO CIRCULANTE (recebíveis de curto prazo) não será suficiente para pagamento ou liquidação das Obrigações Financeiras")</f>
        <v>O ATIVO CIRCULANTE será suficiente para pagamento ou liquidação das Obrigações Financeiras</v>
      </c>
      <c r="H34" s="166"/>
      <c r="J34" s="75"/>
    </row>
    <row r="35" spans="1:10" s="41" customFormat="1" ht="30" customHeight="1" thickTop="1" thickBot="1">
      <c r="A35" s="103"/>
      <c r="C35" s="78" t="s">
        <v>28</v>
      </c>
      <c r="D35" s="79">
        <f>IF(ISERROR(Bal!J11),"",Bal!J11)</f>
        <v>49400</v>
      </c>
      <c r="E35" s="12">
        <f>IF(ISERROR(D35/$F$33),"",D35/$F$33)</f>
        <v>0.60807483998030532</v>
      </c>
      <c r="F35" s="77">
        <f>IF(ISERROR(D35),"",D35)</f>
        <v>49400</v>
      </c>
      <c r="G35" s="166"/>
      <c r="H35" s="166"/>
      <c r="J35" s="75"/>
    </row>
    <row r="36" spans="1:10" s="41" customFormat="1" ht="30" customHeight="1" thickTop="1" thickBot="1">
      <c r="A36" s="103"/>
      <c r="C36" s="78" t="s">
        <v>34</v>
      </c>
      <c r="D36" s="164">
        <f>IF(ISERROR(ROUND(F34/F35,2)),"",ROUND(F34/F35,2))</f>
        <v>0.64</v>
      </c>
      <c r="E36" s="165"/>
      <c r="F36" s="75"/>
      <c r="G36" s="166"/>
      <c r="H36" s="166"/>
      <c r="J36" s="75"/>
    </row>
    <row r="37" spans="1:10" s="41" customFormat="1" ht="30" customHeight="1" thickTop="1" thickBot="1">
      <c r="A37" s="103"/>
      <c r="F37" s="75"/>
      <c r="J37" s="75"/>
    </row>
    <row r="38" spans="1:10" s="41" customFormat="1" ht="30" customHeight="1" thickTop="1" thickBot="1">
      <c r="A38" s="103"/>
      <c r="C38" s="147" t="s">
        <v>55</v>
      </c>
      <c r="D38" s="147"/>
      <c r="E38" s="147"/>
      <c r="F38" s="77">
        <f>IF(ISERROR(SUM($F$39:$F$40)),"",SUM($F$39:$F$40))</f>
        <v>262322</v>
      </c>
      <c r="G38" s="147" t="s">
        <v>525</v>
      </c>
      <c r="H38" s="147"/>
      <c r="J38" s="75"/>
    </row>
    <row r="39" spans="1:10" s="41" customFormat="1" ht="30" customHeight="1" thickTop="1" thickBot="1">
      <c r="A39" s="103"/>
      <c r="C39" s="78" t="s">
        <v>54</v>
      </c>
      <c r="D39" s="79">
        <f>IF(ISERROR(Atin!$J$42),"",Atin!$J$42)</f>
        <v>76500</v>
      </c>
      <c r="E39" s="12">
        <f>IF(ISERROR($D$39/$F$38),"",$D$39/$F$38)</f>
        <v>0.29162632184872028</v>
      </c>
      <c r="F39" s="77">
        <f>IF(ISERROR($D$39),"",$D$39)</f>
        <v>76500</v>
      </c>
      <c r="G39" s="170" t="str">
        <f>IF(ISERROR("O percentual do Patrimônio Líquido que se encontra aplicado no Ativo Permanente é de " &amp; ($D$41)),"","O percentual do Patrimônio Líquido que se encontra aplicado no Ativo Permanente é de " &amp; ($D$41))</f>
        <v>O percentual do Patrimônio Líquido que se encontra aplicado no Ativo Permanente é de 0,41%</v>
      </c>
      <c r="H39" s="170"/>
      <c r="J39" s="75"/>
    </row>
    <row r="40" spans="1:10" s="41" customFormat="1" ht="30" customHeight="1" thickTop="1" thickBot="1">
      <c r="A40" s="103"/>
      <c r="C40" s="78" t="s">
        <v>44</v>
      </c>
      <c r="D40" s="79">
        <f>IF(ISERROR(Pasn!$J$55),"",Pasn!$J$55)</f>
        <v>185822</v>
      </c>
      <c r="E40" s="12">
        <f>IF(ISERROR($D$40/$F$38),"",$D$40/$F$38)</f>
        <v>0.70837367815127972</v>
      </c>
      <c r="F40" s="77">
        <f>IF(ISERROR($D$40),"",$D$40)</f>
        <v>185822</v>
      </c>
      <c r="G40" s="170"/>
      <c r="H40" s="170"/>
      <c r="J40" s="75"/>
    </row>
    <row r="41" spans="1:10" s="41" customFormat="1" ht="30" customHeight="1" thickTop="1" thickBot="1">
      <c r="A41" s="103"/>
      <c r="C41" s="78" t="s">
        <v>34</v>
      </c>
      <c r="D41" s="160" t="str">
        <f>IF(ISERROR(ROUND($F$39/$F$40,2) &amp;"%"),"",ROUND($F$39/$F$40,2) &amp;"%")</f>
        <v>0,41%</v>
      </c>
      <c r="E41" s="161"/>
      <c r="F41" s="76"/>
      <c r="G41" s="170"/>
      <c r="H41" s="170"/>
      <c r="J41" s="75"/>
    </row>
    <row r="42" spans="1:10" s="41" customFormat="1" ht="30" customHeight="1" thickTop="1">
      <c r="A42" s="103"/>
      <c r="F42" s="75"/>
      <c r="J42" s="75"/>
    </row>
    <row r="43" spans="1:10" s="41" customFormat="1" ht="30" customHeight="1">
      <c r="A43" s="103"/>
      <c r="J43" s="75"/>
    </row>
    <row r="44" spans="1:10" s="41" customFormat="1" ht="30" customHeight="1">
      <c r="A44" s="103"/>
      <c r="J44" s="75"/>
    </row>
    <row r="45" spans="1:10" s="41" customFormat="1" ht="30" customHeight="1">
      <c r="A45" s="103"/>
      <c r="J45" s="75"/>
    </row>
    <row r="46" spans="1:10" s="41" customFormat="1" ht="30" customHeight="1">
      <c r="A46" s="103"/>
      <c r="J46" s="75"/>
    </row>
    <row r="47" spans="1:10" s="41" customFormat="1" ht="30" customHeight="1">
      <c r="A47" s="103"/>
      <c r="F47" s="75"/>
      <c r="J47" s="75"/>
    </row>
    <row r="48" spans="1:10" s="41" customFormat="1" ht="30" customHeight="1">
      <c r="A48" s="103"/>
      <c r="F48" s="75"/>
      <c r="J48" s="75"/>
    </row>
    <row r="49" spans="1:10" s="41" customFormat="1" ht="30" customHeight="1">
      <c r="A49" s="103"/>
      <c r="F49" s="75"/>
      <c r="J49" s="75"/>
    </row>
    <row r="50" spans="1:10" s="41" customFormat="1" ht="30" customHeight="1">
      <c r="A50" s="103"/>
      <c r="F50" s="75"/>
      <c r="J50" s="75"/>
    </row>
    <row r="51" spans="1:10" s="41" customFormat="1" ht="30" customHeight="1">
      <c r="A51" s="103"/>
      <c r="F51" s="75"/>
      <c r="J51" s="75"/>
    </row>
    <row r="52" spans="1:10" s="41" customFormat="1" ht="30" customHeight="1">
      <c r="A52" s="103"/>
      <c r="F52" s="75"/>
      <c r="J52" s="75"/>
    </row>
    <row r="53" spans="1:10" s="41" customFormat="1" ht="30" customHeight="1">
      <c r="A53" s="103"/>
      <c r="F53" s="75"/>
      <c r="J53" s="75"/>
    </row>
    <row r="54" spans="1:10" s="41" customFormat="1" ht="30" customHeight="1">
      <c r="A54" s="103"/>
      <c r="F54" s="75"/>
      <c r="J54" s="75"/>
    </row>
    <row r="55" spans="1:10" s="41" customFormat="1" ht="30" customHeight="1">
      <c r="A55" s="103"/>
      <c r="F55" s="75"/>
      <c r="J55" s="75"/>
    </row>
    <row r="56" spans="1:10" s="41" customFormat="1" ht="30" customHeight="1">
      <c r="A56" s="103"/>
      <c r="F56" s="75"/>
      <c r="J56" s="75"/>
    </row>
    <row r="57" spans="1:10" s="41" customFormat="1" ht="30" customHeight="1">
      <c r="A57" s="103"/>
      <c r="F57" s="75"/>
      <c r="J57" s="75"/>
    </row>
    <row r="58" spans="1:10" s="41" customFormat="1" ht="30" customHeight="1">
      <c r="A58" s="103"/>
      <c r="F58" s="75"/>
      <c r="J58" s="75"/>
    </row>
    <row r="59" spans="1:10" s="41" customFormat="1" ht="30" customHeight="1">
      <c r="A59" s="103"/>
      <c r="F59" s="75"/>
      <c r="J59" s="75"/>
    </row>
    <row r="60" spans="1:10" s="41" customFormat="1" ht="30" customHeight="1">
      <c r="A60" s="103"/>
      <c r="F60" s="75"/>
      <c r="J60" s="75"/>
    </row>
    <row r="61" spans="1:10" s="41" customFormat="1" ht="30" customHeight="1">
      <c r="A61" s="103"/>
      <c r="F61" s="75"/>
      <c r="J61" s="75"/>
    </row>
    <row r="62" spans="1:10" s="41" customFormat="1" ht="30" customHeight="1">
      <c r="A62" s="103"/>
      <c r="F62" s="75"/>
      <c r="J62" s="75"/>
    </row>
    <row r="63" spans="1:10" s="41" customFormat="1" ht="30" customHeight="1">
      <c r="A63" s="103"/>
      <c r="F63" s="75"/>
      <c r="J63" s="75"/>
    </row>
    <row r="64" spans="1:10" s="41" customFormat="1" ht="30" customHeight="1">
      <c r="A64" s="103"/>
      <c r="F64" s="75"/>
      <c r="J64" s="75"/>
    </row>
    <row r="65" spans="1:10" s="41" customFormat="1" ht="30" customHeight="1">
      <c r="A65" s="103"/>
      <c r="F65" s="75"/>
      <c r="J65" s="75"/>
    </row>
    <row r="66" spans="1:10" s="41" customFormat="1" ht="30" customHeight="1">
      <c r="A66" s="103"/>
      <c r="F66" s="75"/>
      <c r="J66" s="75"/>
    </row>
    <row r="67" spans="1:10" s="41" customFormat="1" ht="30" customHeight="1">
      <c r="A67" s="103"/>
      <c r="F67" s="75"/>
      <c r="J67" s="75"/>
    </row>
    <row r="68" spans="1:10" s="41" customFormat="1" ht="30" customHeight="1">
      <c r="A68" s="103"/>
      <c r="F68" s="75"/>
      <c r="J68" s="75"/>
    </row>
    <row r="69" spans="1:10" s="41" customFormat="1" ht="30" customHeight="1">
      <c r="A69" s="103"/>
      <c r="F69" s="75"/>
      <c r="J69" s="75"/>
    </row>
    <row r="70" spans="1:10" s="41" customFormat="1" ht="30" customHeight="1">
      <c r="A70" s="103"/>
      <c r="F70" s="75"/>
      <c r="J70" s="75"/>
    </row>
    <row r="71" spans="1:10" s="41" customFormat="1" ht="30" customHeight="1">
      <c r="A71" s="103"/>
      <c r="F71" s="75"/>
      <c r="J71" s="75"/>
    </row>
    <row r="72" spans="1:10" s="41" customFormat="1" ht="30" customHeight="1">
      <c r="A72" s="103"/>
      <c r="F72" s="75"/>
      <c r="J72" s="75"/>
    </row>
    <row r="73" spans="1:10" s="41" customFormat="1" ht="30" customHeight="1">
      <c r="A73" s="103"/>
      <c r="F73" s="75"/>
      <c r="J73" s="75"/>
    </row>
    <row r="74" spans="1:10" s="41" customFormat="1" ht="30" customHeight="1">
      <c r="A74" s="103"/>
      <c r="F74" s="75"/>
      <c r="J74" s="75"/>
    </row>
    <row r="75" spans="1:10" s="41" customFormat="1" ht="30" customHeight="1">
      <c r="A75" s="103"/>
      <c r="F75" s="75"/>
      <c r="J75" s="75"/>
    </row>
    <row r="76" spans="1:10" s="41" customFormat="1" ht="30" customHeight="1">
      <c r="A76" s="103"/>
      <c r="F76" s="75"/>
      <c r="J76" s="75"/>
    </row>
    <row r="77" spans="1:10" s="41" customFormat="1" ht="30" customHeight="1">
      <c r="A77" s="103"/>
      <c r="F77" s="75"/>
      <c r="J77" s="75"/>
    </row>
    <row r="78" spans="1:10" s="41" customFormat="1" ht="30" customHeight="1">
      <c r="A78" s="103"/>
      <c r="F78" s="75"/>
      <c r="J78" s="75"/>
    </row>
    <row r="79" spans="1:10" s="41" customFormat="1" ht="30" customHeight="1">
      <c r="A79" s="103"/>
      <c r="F79" s="75"/>
      <c r="J79" s="75"/>
    </row>
    <row r="80" spans="1:10" s="41" customFormat="1" ht="30" customHeight="1">
      <c r="A80" s="103"/>
      <c r="F80" s="75"/>
      <c r="J80" s="75"/>
    </row>
    <row r="81" spans="1:10" s="41" customFormat="1" ht="30" customHeight="1">
      <c r="A81" s="103"/>
      <c r="F81" s="75"/>
      <c r="J81" s="75"/>
    </row>
    <row r="82" spans="1:10" s="41" customFormat="1" ht="30" customHeight="1">
      <c r="A82" s="103"/>
      <c r="F82" s="75"/>
      <c r="J82" s="75"/>
    </row>
    <row r="83" spans="1:10" s="41" customFormat="1" ht="30" customHeight="1">
      <c r="A83" s="103"/>
      <c r="F83" s="75"/>
      <c r="J83" s="75"/>
    </row>
    <row r="84" spans="1:10" s="41" customFormat="1" ht="30" customHeight="1">
      <c r="A84" s="103"/>
      <c r="F84" s="75"/>
      <c r="J84" s="75"/>
    </row>
    <row r="85" spans="1:10" s="41" customFormat="1" ht="30" customHeight="1">
      <c r="A85" s="103"/>
      <c r="F85" s="75"/>
      <c r="J85" s="75"/>
    </row>
    <row r="86" spans="1:10" s="41" customFormat="1" ht="30" customHeight="1">
      <c r="A86" s="103"/>
      <c r="F86" s="75"/>
      <c r="J86" s="75"/>
    </row>
    <row r="87" spans="1:10" s="41" customFormat="1" ht="30" customHeight="1">
      <c r="A87" s="103"/>
      <c r="F87" s="75"/>
      <c r="J87" s="75"/>
    </row>
    <row r="88" spans="1:10" s="41" customFormat="1" ht="30" customHeight="1">
      <c r="A88" s="103"/>
      <c r="F88" s="75"/>
      <c r="J88" s="75"/>
    </row>
    <row r="89" spans="1:10" s="41" customFormat="1" ht="30" customHeight="1">
      <c r="A89" s="103"/>
      <c r="F89" s="75"/>
      <c r="J89" s="75"/>
    </row>
    <row r="90" spans="1:10" s="41" customFormat="1" ht="30" customHeight="1">
      <c r="A90" s="103"/>
      <c r="F90" s="75"/>
      <c r="J90" s="75"/>
    </row>
    <row r="91" spans="1:10" s="41" customFormat="1" ht="30" customHeight="1">
      <c r="A91" s="103"/>
      <c r="F91" s="75"/>
      <c r="J91" s="75"/>
    </row>
    <row r="92" spans="1:10" s="41" customFormat="1" ht="30" customHeight="1">
      <c r="A92" s="103"/>
      <c r="F92" s="75"/>
      <c r="J92" s="75"/>
    </row>
    <row r="93" spans="1:10" s="41" customFormat="1" ht="30" customHeight="1">
      <c r="A93" s="103"/>
      <c r="F93" s="75"/>
      <c r="J93" s="75"/>
    </row>
    <row r="94" spans="1:10" s="41" customFormat="1" ht="30" customHeight="1">
      <c r="A94" s="103"/>
      <c r="F94" s="75"/>
      <c r="J94" s="75"/>
    </row>
    <row r="95" spans="1:10" s="41" customFormat="1" ht="30" customHeight="1">
      <c r="A95" s="103"/>
      <c r="F95" s="75"/>
      <c r="J95" s="75"/>
    </row>
    <row r="96" spans="1:10" s="41" customFormat="1" ht="30" customHeight="1">
      <c r="A96" s="103"/>
      <c r="F96" s="75"/>
      <c r="J96" s="75"/>
    </row>
    <row r="97" spans="1:10" s="41" customFormat="1" ht="30" customHeight="1">
      <c r="A97" s="103"/>
      <c r="F97" s="75"/>
      <c r="J97" s="75"/>
    </row>
    <row r="98" spans="1:10" s="41" customFormat="1" ht="30" customHeight="1">
      <c r="A98" s="103"/>
      <c r="F98" s="75"/>
      <c r="J98" s="75"/>
    </row>
    <row r="99" spans="1:10" s="41" customFormat="1" ht="30" customHeight="1">
      <c r="A99" s="103"/>
      <c r="F99" s="75"/>
      <c r="J99" s="75"/>
    </row>
    <row r="100" spans="1:10" s="41" customFormat="1" ht="30" customHeight="1">
      <c r="A100" s="103"/>
      <c r="F100" s="75"/>
      <c r="J100" s="75"/>
    </row>
    <row r="101" spans="1:10" s="41" customFormat="1" ht="30" customHeight="1">
      <c r="A101" s="103"/>
      <c r="F101" s="75"/>
      <c r="J101" s="75"/>
    </row>
    <row r="102" spans="1:10" s="41" customFormat="1" ht="30" customHeight="1">
      <c r="A102" s="103"/>
      <c r="F102" s="75"/>
      <c r="J102" s="75"/>
    </row>
    <row r="103" spans="1:10" s="41" customFormat="1" ht="30" customHeight="1">
      <c r="A103" s="103"/>
      <c r="F103" s="75"/>
      <c r="J103" s="75"/>
    </row>
    <row r="104" spans="1:10" s="41" customFormat="1" ht="30" customHeight="1">
      <c r="A104" s="103"/>
      <c r="F104" s="75"/>
      <c r="J104" s="75"/>
    </row>
    <row r="105" spans="1:10" s="41" customFormat="1" ht="30" customHeight="1">
      <c r="A105" s="103"/>
      <c r="F105" s="75"/>
      <c r="J105" s="75"/>
    </row>
    <row r="106" spans="1:10" s="41" customFormat="1" ht="30" customHeight="1">
      <c r="A106" s="103"/>
      <c r="F106" s="75"/>
      <c r="J106" s="75"/>
    </row>
    <row r="107" spans="1:10" s="41" customFormat="1" ht="30" customHeight="1">
      <c r="A107" s="103"/>
      <c r="F107" s="75"/>
      <c r="J107" s="75"/>
    </row>
    <row r="108" spans="1:10" s="41" customFormat="1" ht="30" customHeight="1">
      <c r="A108" s="103"/>
      <c r="F108" s="75"/>
      <c r="J108" s="75"/>
    </row>
    <row r="109" spans="1:10" s="41" customFormat="1" ht="30" customHeight="1">
      <c r="A109" s="103"/>
      <c r="F109" s="75"/>
      <c r="J109" s="75"/>
    </row>
    <row r="110" spans="1:10" s="41" customFormat="1" ht="30" customHeight="1">
      <c r="A110" s="103"/>
      <c r="F110" s="75"/>
      <c r="J110" s="75"/>
    </row>
    <row r="111" spans="1:10" s="41" customFormat="1" ht="30" customHeight="1">
      <c r="A111" s="103"/>
      <c r="F111" s="75"/>
      <c r="J111" s="75"/>
    </row>
    <row r="112" spans="1:10" s="41" customFormat="1" ht="30" customHeight="1">
      <c r="A112" s="103"/>
      <c r="F112" s="75"/>
      <c r="J112" s="75"/>
    </row>
    <row r="113" spans="1:10" s="41" customFormat="1" ht="30" customHeight="1">
      <c r="A113" s="103"/>
      <c r="F113" s="75"/>
      <c r="J113" s="75"/>
    </row>
    <row r="114" spans="1:10" s="41" customFormat="1" ht="30" customHeight="1">
      <c r="A114" s="103"/>
      <c r="F114" s="75"/>
      <c r="J114" s="75"/>
    </row>
    <row r="115" spans="1:10" s="41" customFormat="1" ht="30" customHeight="1">
      <c r="A115" s="103"/>
      <c r="F115" s="75"/>
      <c r="J115" s="75"/>
    </row>
    <row r="116" spans="1:10" ht="0" hidden="1" customHeight="1"/>
    <row r="117" spans="1:10" ht="0" hidden="1" customHeight="1"/>
    <row r="118" spans="1:10" ht="0" hidden="1" customHeight="1"/>
    <row r="119" spans="1:10" ht="0" hidden="1" customHeight="1"/>
    <row r="120" spans="1:10" ht="0" hidden="1" customHeight="1"/>
    <row r="121" spans="1:10" ht="0" hidden="1" customHeight="1"/>
    <row r="122" spans="1:10" ht="0" hidden="1" customHeight="1"/>
    <row r="123" spans="1:10" ht="0" hidden="1" customHeight="1"/>
  </sheetData>
  <sheetProtection algorithmName="SHA-512" hashValue="KshY2oQFDg+JSNgcaqhV9y+WlumSruetvLqS6wvZixE4YN5g/B+q9+TNXznzSl/1MD7Z6D7XHP0LelKwxV+8sg==" saltValue="heywdZ2tNJgj4FmNRNBheQ==" spinCount="100000" sheet="1" objects="1" scenarios="1"/>
  <mergeCells count="28">
    <mergeCell ref="G34:H36"/>
    <mergeCell ref="G39:H41"/>
    <mergeCell ref="G38:H38"/>
    <mergeCell ref="G23:H23"/>
    <mergeCell ref="G24:H26"/>
    <mergeCell ref="G28:H28"/>
    <mergeCell ref="G29:H31"/>
    <mergeCell ref="G33:H33"/>
    <mergeCell ref="G19:H21"/>
    <mergeCell ref="C12:E12"/>
    <mergeCell ref="C6:E6"/>
    <mergeCell ref="C18:E18"/>
    <mergeCell ref="D21:E21"/>
    <mergeCell ref="D10:E10"/>
    <mergeCell ref="G7:H10"/>
    <mergeCell ref="G6:H6"/>
    <mergeCell ref="G12:H12"/>
    <mergeCell ref="G13:H16"/>
    <mergeCell ref="G18:H18"/>
    <mergeCell ref="D41:E41"/>
    <mergeCell ref="C33:E33"/>
    <mergeCell ref="D16:E16"/>
    <mergeCell ref="C28:E28"/>
    <mergeCell ref="D36:E36"/>
    <mergeCell ref="D31:E31"/>
    <mergeCell ref="C38:E38"/>
    <mergeCell ref="D26:E26"/>
    <mergeCell ref="C23:E23"/>
  </mergeCells>
  <conditionalFormatting sqref="D10:E10">
    <cfRule type="cellIs" dxfId="35" priority="27" operator="greaterThan">
      <formula>1</formula>
    </cfRule>
    <cfRule type="cellIs" dxfId="34" priority="28" operator="lessThanOrEqual">
      <formula>" =1"</formula>
    </cfRule>
  </conditionalFormatting>
  <conditionalFormatting sqref="G7">
    <cfRule type="containsText" dxfId="33" priority="25" operator="containsText" text="O PATRIMÔNIO LÍQUIDO não será suficiente para pagamento ou liquidação do Passivo">
      <formula>NOT(ISERROR(SEARCH("O PATRIMÔNIO LÍQUIDO não será suficiente para pagamento ou liquidação do Passivo",G7)))</formula>
    </cfRule>
    <cfRule type="containsText" dxfId="32" priority="26" operator="containsText" text="O PATRIMÔNIO LÍQUIDO será suficiente para a liquidação do Passivo">
      <formula>NOT(ISERROR(SEARCH("O PATRIMÔNIO LÍQUIDO será suficiente para a liquidação do Passivo",G7)))</formula>
    </cfRule>
  </conditionalFormatting>
  <conditionalFormatting sqref="D21:E21">
    <cfRule type="cellIs" dxfId="31" priority="19" operator="greaterThan">
      <formula>1</formula>
    </cfRule>
    <cfRule type="cellIs" dxfId="30" priority="20" operator="lessThanOrEqual">
      <formula>" =1"</formula>
    </cfRule>
  </conditionalFormatting>
  <conditionalFormatting sqref="G19">
    <cfRule type="containsText" dxfId="29" priority="17" operator="containsText" text="o PATRIMÔNIO LÍQUIDO será suficiente para pagamento ou liquidação do Passivo Circulante, ficando parte dele a descoberto; o eventual EXIGÍVEL DE LONGO PRAZO existente também ficará sem pagamento">
      <formula>NOT(ISERROR(SEARCH("o PATRIMÔNIO LÍQUIDO será suficiente para pagamento ou liquidação do Passivo Circulante, ficando parte dele a descoberto; o eventual EXIGÍVEL DE LONGO PRAZO existente também ficará sem pagamento",G19)))</formula>
    </cfRule>
    <cfRule type="containsText" dxfId="28" priority="18" operator="containsText" text="o PATRIMÔNIO LÍQUIDO será suficiente para a liquidação do Passivo Circulante; mediante o índice de ENDIVIDAMENTO GERAL poderá será apurada como ficará o nível de endividamento se houver saldo a pagar no grupamento EXIGÍVEL DE LONGO PRAZO">
      <formula>NOT(ISERROR(SEARCH("o PATRIMÔNIO LÍQUIDO será suficiente para a liquidação do Passivo Circulante; mediante o índice de ENDIVIDAMENTO GERAL poderá será apurada como ficará o nível de endividamento se houver saldo a pagar no grupamento EXIGÍVEL DE LONGO PRAZO",G19)))</formula>
    </cfRule>
  </conditionalFormatting>
  <conditionalFormatting sqref="G24">
    <cfRule type="containsText" dxfId="27" priority="15" operator="containsText" text="o PATRIMÔNIO LÍQUIDO (capital próprio) não será suficiente para pagamento ou liquidação das Obrigações Financeiras">
      <formula>NOT(ISERROR(SEARCH("o PATRIMÔNIO LÍQUIDO (capital próprio) não será suficiente para pagamento ou liquidação das Obrigações Financeiras",G24)))</formula>
    </cfRule>
    <cfRule type="containsText" dxfId="26" priority="16" operator="containsText" text="o PATRIMÔNIO LÍQUIDO será suficiente para pagamento ou liquidação das Obrigações Financeiras">
      <formula>NOT(ISERROR(SEARCH("o PATRIMÔNIO LÍQUIDO será suficiente para pagamento ou liquidação das Obrigações Financeiras",G24)))</formula>
    </cfRule>
  </conditionalFormatting>
  <conditionalFormatting sqref="D26:E26">
    <cfRule type="cellIs" dxfId="25" priority="13" operator="greaterThan">
      <formula>1</formula>
    </cfRule>
    <cfRule type="cellIs" dxfId="24" priority="14" operator="lessThanOrEqual">
      <formula>" =1"</formula>
    </cfRule>
  </conditionalFormatting>
  <conditionalFormatting sqref="G29">
    <cfRule type="containsText" dxfId="23" priority="7" operator="containsText" text="o ATIVO CIRCULANTE (recebíveis de curto prazo) não será suficiente para pagamento ou liquidação das Obrigações Financeiras">
      <formula>NOT(ISERROR(SEARCH("o ATIVO CIRCULANTE (recebíveis de curto prazo) não será suficiente para pagamento ou liquidação das Obrigações Financeiras",G29)))</formula>
    </cfRule>
    <cfRule type="containsText" dxfId="22" priority="8" operator="containsText" text="o ATIVO CIRCULANTE será suficiente para pagamento ou liquidação das Obrigações Financeiras">
      <formula>NOT(ISERROR(SEARCH("o ATIVO CIRCULANTE será suficiente para pagamento ou liquidação das Obrigações Financeiras",G29)))</formula>
    </cfRule>
  </conditionalFormatting>
  <conditionalFormatting sqref="D31:E31">
    <cfRule type="cellIs" dxfId="21" priority="5" operator="greaterThan">
      <formula>1</formula>
    </cfRule>
    <cfRule type="cellIs" dxfId="20" priority="6" operator="lessThanOrEqual">
      <formula>" =1"</formula>
    </cfRule>
  </conditionalFormatting>
  <conditionalFormatting sqref="G34">
    <cfRule type="containsText" dxfId="19" priority="3" operator="containsText" text="o ATIVO CIRCULANTE (recebíveis de curto prazo) não será suficiente para pagamento ou liquidação das Obrigações Financeiras">
      <formula>NOT(ISERROR(SEARCH("o ATIVO CIRCULANTE (recebíveis de curto prazo) não será suficiente para pagamento ou liquidação das Obrigações Financeiras",G34)))</formula>
    </cfRule>
    <cfRule type="containsText" dxfId="18" priority="4" operator="containsText" text="o ATIVO CIRCULANTE será suficiente para pagamento ou liquidação das Obrigações Financeiras">
      <formula>NOT(ISERROR(SEARCH("o ATIVO CIRCULANTE será suficiente para pagamento ou liquidação das Obrigações Financeiras",G34)))</formula>
    </cfRule>
  </conditionalFormatting>
  <conditionalFormatting sqref="D36:E36">
    <cfRule type="cellIs" dxfId="17" priority="1" operator="greaterThan">
      <formula>1</formula>
    </cfRule>
    <cfRule type="cellIs" dxfId="16" priority="2" operator="lessThanOrEqual">
      <formula>" =1"</formula>
    </cfRule>
  </conditionalFormatting>
  <pageMargins left="0.511811024" right="0.511811024" top="0.78740157499999996" bottom="0.78740157499999996" header="0.31496062000000002" footer="0.31496062000000002"/>
  <pageSetup paperSize="9" orientation="portrait" r:id="rId1"/>
  <drawing r:id="rId2"/>
  <legacyDrawing r:id="rId3"/>
</worksheet>
</file>

<file path=xl/worksheets/sheet12.xml><?xml version="1.0" encoding="utf-8"?>
<worksheet xmlns="http://schemas.openxmlformats.org/spreadsheetml/2006/main" xmlns:r="http://schemas.openxmlformats.org/officeDocument/2006/relationships">
  <sheetPr codeName="Plan12"/>
  <dimension ref="A1:S109"/>
  <sheetViews>
    <sheetView showGridLines="0" zoomScale="90" zoomScaleNormal="90" workbookViewId="0">
      <pane ySplit="3" topLeftCell="A4" activePane="bottomLeft" state="frozen"/>
      <selection pane="bottomLeft" activeCell="G4" sqref="G4"/>
    </sheetView>
  </sheetViews>
  <sheetFormatPr defaultColWidth="8.85546875" defaultRowHeight="15" zeroHeight="1"/>
  <cols>
    <col min="1" max="1" width="27.7109375" style="104" customWidth="1"/>
    <col min="2" max="2" width="2.7109375" customWidth="1"/>
    <col min="3" max="3" width="40.7109375" customWidth="1"/>
    <col min="4" max="5" width="15.7109375" customWidth="1"/>
    <col min="6" max="6" width="0.85546875" customWidth="1"/>
    <col min="7" max="7" width="40.7109375" customWidth="1"/>
    <col min="8" max="9" width="15.7109375" customWidth="1"/>
    <col min="10" max="11" width="11" bestFit="1" customWidth="1"/>
  </cols>
  <sheetData>
    <row r="1" spans="1:19" s="58" customFormat="1" ht="33.950000000000003" customHeight="1">
      <c r="A1" s="103"/>
      <c r="C1" s="59" t="s">
        <v>527</v>
      </c>
    </row>
    <row r="2" spans="1:19" s="58" customFormat="1" ht="21.6" customHeight="1">
      <c r="A2" s="103"/>
    </row>
    <row r="3" spans="1:19" s="58" customFormat="1" ht="21.6" customHeight="1">
      <c r="A3" s="103"/>
    </row>
    <row r="4" spans="1:19" s="41" customFormat="1" ht="44.25" customHeight="1">
      <c r="A4" s="103"/>
      <c r="B4" s="26"/>
      <c r="C4" s="26"/>
      <c r="D4" s="26"/>
      <c r="E4" s="26"/>
      <c r="F4" s="26"/>
      <c r="G4" s="26"/>
      <c r="H4" s="26"/>
      <c r="I4" s="26"/>
      <c r="J4" s="26"/>
      <c r="K4" s="26"/>
      <c r="L4" s="26"/>
      <c r="M4" s="26"/>
      <c r="N4" s="26"/>
      <c r="O4" s="26"/>
      <c r="P4" s="26"/>
      <c r="Q4" s="26"/>
      <c r="R4" s="26"/>
      <c r="S4" s="26"/>
    </row>
    <row r="5" spans="1:19" s="41" customFormat="1" ht="15" customHeight="1" thickBot="1">
      <c r="A5" s="103"/>
    </row>
    <row r="6" spans="1:19" s="41" customFormat="1" ht="30" customHeight="1" thickTop="1" thickBot="1">
      <c r="A6" s="103"/>
      <c r="C6" s="147" t="s">
        <v>57</v>
      </c>
      <c r="D6" s="147"/>
      <c r="E6" s="147"/>
      <c r="F6" s="77">
        <f>IF(ISERROR(SUM(F7:F8)),"",SUM(F7:F8))</f>
        <v>212238</v>
      </c>
      <c r="G6" s="147" t="s">
        <v>525</v>
      </c>
      <c r="H6" s="147"/>
    </row>
    <row r="7" spans="1:19" s="41" customFormat="1" ht="30" customHeight="1" thickTop="1" thickBot="1">
      <c r="A7" s="103"/>
      <c r="C7" s="78" t="s">
        <v>53</v>
      </c>
      <c r="D7" s="79">
        <f>IF(ISERROR(Bal!$J$24),"",Bal!$J$24)</f>
        <v>153280</v>
      </c>
      <c r="E7" s="12">
        <f>IF(ISERROR(F7/$F$6),"",F7/$F$6)</f>
        <v>0.72220808714744766</v>
      </c>
      <c r="F7" s="77">
        <f>IF(ISERROR(D7),"",D7)</f>
        <v>153280</v>
      </c>
      <c r="G7" s="166" t="str">
        <f>IF($D$9&gt;=1,"Significa que a entidade tem ou terá recursos financeiros suficientes para honrar seus compromissos de curto prazo (até um ano)","Significa que a entidade não tem ou não terá recursos financeiros para honrar seus compromissos de curto prazo (até um ano)")</f>
        <v>Significa que a entidade tem ou terá recursos financeiros suficientes para honrar seus compromissos de curto prazo (até um ano)</v>
      </c>
      <c r="H7" s="166"/>
    </row>
    <row r="8" spans="1:19" s="41" customFormat="1" ht="30" customHeight="1" thickTop="1" thickBot="1">
      <c r="A8" s="103"/>
      <c r="C8" s="78" t="s">
        <v>35</v>
      </c>
      <c r="D8" s="79">
        <f>IF(ISERROR(Pas!$J$27),"",Pas!$J$27)</f>
        <v>58958</v>
      </c>
      <c r="E8" s="12">
        <f>IF(ISERROR(F8/$F$6),"",F8/$F$6)</f>
        <v>0.27779191285255234</v>
      </c>
      <c r="F8" s="77">
        <f>IF(ISERROR(D8),"",D8)</f>
        <v>58958</v>
      </c>
      <c r="G8" s="166"/>
      <c r="H8" s="166"/>
    </row>
    <row r="9" spans="1:19" s="41" customFormat="1" ht="30" customHeight="1" thickTop="1" thickBot="1">
      <c r="A9" s="103"/>
      <c r="C9" s="65" t="s">
        <v>60</v>
      </c>
      <c r="D9" s="164">
        <f>IF(ISERROR(ROUND(F7/F8,2)),"",ROUND(F7/F8,2))</f>
        <v>2.6</v>
      </c>
      <c r="E9" s="165"/>
      <c r="F9" s="75"/>
      <c r="G9" s="166"/>
      <c r="H9" s="166"/>
    </row>
    <row r="10" spans="1:19" s="41" customFormat="1" ht="30" customHeight="1" thickTop="1" thickBot="1">
      <c r="A10" s="103"/>
      <c r="K10" s="75"/>
    </row>
    <row r="11" spans="1:19" s="41" customFormat="1" ht="30" customHeight="1" thickTop="1" thickBot="1">
      <c r="A11" s="103"/>
      <c r="C11" s="147" t="s">
        <v>58</v>
      </c>
      <c r="D11" s="147"/>
      <c r="E11" s="147"/>
      <c r="F11" s="77">
        <f>IF(ISERROR(SUM(F12:F13)),"",SUM(F12:F13))</f>
        <v>116518</v>
      </c>
      <c r="G11" s="147" t="s">
        <v>525</v>
      </c>
      <c r="H11" s="147"/>
      <c r="J11" s="75"/>
      <c r="K11" s="75"/>
    </row>
    <row r="12" spans="1:19" s="41" customFormat="1" ht="30" customHeight="1" thickTop="1" thickBot="1">
      <c r="A12" s="103"/>
      <c r="C12" s="78" t="s">
        <v>59</v>
      </c>
      <c r="D12" s="79">
        <f>IF(ISERROR(Bal!$J$7),"",Bal!$J$7)</f>
        <v>57560</v>
      </c>
      <c r="E12" s="12">
        <f>IF(ISERROR(D12/$F$11),"",D12/$F$11)</f>
        <v>0.4940009268954153</v>
      </c>
      <c r="F12" s="77">
        <f>IF(ISERROR(D12),"",D12)</f>
        <v>57560</v>
      </c>
      <c r="G12" s="166" t="str">
        <f>IF($D$14&gt;=1,"A empresa terá condições de pagar seu Passivo Circulante no dia seguinte ao da apuração","A empresa terá condições de pagar parte do seu Passivo Circulante no dia seguinte ao da apuração")</f>
        <v>A empresa terá condições de pagar parte do seu Passivo Circulante no dia seguinte ao da apuração</v>
      </c>
      <c r="H12" s="166"/>
      <c r="J12" s="75"/>
      <c r="K12" s="75"/>
    </row>
    <row r="13" spans="1:19" s="41" customFormat="1" ht="30" customHeight="1" thickTop="1" thickBot="1">
      <c r="A13" s="103"/>
      <c r="C13" s="78" t="s">
        <v>35</v>
      </c>
      <c r="D13" s="79">
        <f>IF(ISERROR(Pas!$J$27),"",Pas!$J$27)</f>
        <v>58958</v>
      </c>
      <c r="E13" s="12">
        <f>IF(ISERROR(D13/$F$11),"",D13/$F$11)</f>
        <v>0.5059990731045847</v>
      </c>
      <c r="F13" s="77">
        <f>IF(ISERROR(D13),"",D13)</f>
        <v>58958</v>
      </c>
      <c r="G13" s="166"/>
      <c r="H13" s="166"/>
      <c r="J13" s="75"/>
      <c r="K13" s="75"/>
    </row>
    <row r="14" spans="1:19" s="41" customFormat="1" ht="30" customHeight="1" thickTop="1" thickBot="1">
      <c r="A14" s="103"/>
      <c r="C14" s="65" t="s">
        <v>61</v>
      </c>
      <c r="D14" s="164">
        <f>IF(ISERROR(ROUND(F12/F13,2)),"",ROUND(F12/F13,2))</f>
        <v>0.98</v>
      </c>
      <c r="E14" s="165"/>
      <c r="F14" s="75"/>
      <c r="G14" s="166"/>
      <c r="H14" s="166"/>
      <c r="J14" s="75"/>
      <c r="K14" s="75"/>
    </row>
    <row r="15" spans="1:19" s="41" customFormat="1" ht="30" customHeight="1" thickTop="1" thickBot="1">
      <c r="A15" s="103"/>
      <c r="F15" s="75"/>
      <c r="J15" s="75"/>
      <c r="K15" s="75"/>
    </row>
    <row r="16" spans="1:19" s="41" customFormat="1" ht="30" customHeight="1" thickTop="1" thickBot="1">
      <c r="A16" s="103"/>
      <c r="C16" s="147" t="s">
        <v>62</v>
      </c>
      <c r="D16" s="147"/>
      <c r="E16" s="147"/>
      <c r="F16" s="77">
        <f>IF(ISERROR(SUM(F17:F19)),"",SUM(F17:F19))</f>
        <v>258558</v>
      </c>
      <c r="G16" s="147" t="s">
        <v>525</v>
      </c>
      <c r="H16" s="147"/>
    </row>
    <row r="17" spans="1:8" s="41" customFormat="1" ht="30" customHeight="1" thickTop="1" thickBot="1">
      <c r="A17" s="103"/>
      <c r="C17" s="78" t="s">
        <v>53</v>
      </c>
      <c r="D17" s="79">
        <f>IF(ISERROR(Bal!$J$24),"",Bal!$J$24)</f>
        <v>153280</v>
      </c>
      <c r="E17" s="12">
        <f>IF(ISERROR(D17/$F$16),"",D17/$F$16)</f>
        <v>0.59282636777821607</v>
      </c>
      <c r="F17" s="77">
        <f>IF(ISERROR(D17),"",D17)</f>
        <v>153280</v>
      </c>
      <c r="G17" s="166" t="str">
        <f>IF($D$20&gt;=1,"Significa que a entidade tem ou terá recursos financeiros em curto prazo para honrar seus compromissos de curto prazo (até um ano), independente de conseguir vender seus estoques","Significa que a entidade tem ou terá em curto prazo somente uma parte dos recursos financeiros necessários a liquidação do Passivo Circulante")</f>
        <v>Significa que a entidade tem ou terá recursos financeiros em curto prazo para honrar seus compromissos de curto prazo (até um ano), independente de conseguir vender seus estoques</v>
      </c>
      <c r="H17" s="166"/>
    </row>
    <row r="18" spans="1:8" s="41" customFormat="1" ht="30" customHeight="1" thickTop="1" thickBot="1">
      <c r="A18" s="103"/>
      <c r="C18" s="78" t="s">
        <v>30</v>
      </c>
      <c r="D18" s="79">
        <f>IF(ISERROR(Bal!$J$9),"",Bal!$J$9)</f>
        <v>46320</v>
      </c>
      <c r="E18" s="12">
        <f t="shared" ref="E18:E19" si="0">IF(ISERROR(D18/$F$16),"",D18/$F$16)</f>
        <v>0.17914742533590142</v>
      </c>
      <c r="F18" s="77">
        <f t="shared" ref="F18:F19" si="1">IF(ISERROR(D18),"",D18)</f>
        <v>46320</v>
      </c>
      <c r="G18" s="166"/>
      <c r="H18" s="166"/>
    </row>
    <row r="19" spans="1:8" s="41" customFormat="1" ht="30" customHeight="1" thickTop="1" thickBot="1">
      <c r="A19" s="103"/>
      <c r="C19" s="78" t="s">
        <v>35</v>
      </c>
      <c r="D19" s="79">
        <f>IF(ISERROR(Pas!$J$27),"",Pas!$J$27)</f>
        <v>58958</v>
      </c>
      <c r="E19" s="12">
        <f t="shared" si="0"/>
        <v>0.22802620688588246</v>
      </c>
      <c r="F19" s="77">
        <f t="shared" si="1"/>
        <v>58958</v>
      </c>
      <c r="G19" s="166"/>
      <c r="H19" s="166"/>
    </row>
    <row r="20" spans="1:8" s="41" customFormat="1" ht="30" customHeight="1" thickTop="1" thickBot="1">
      <c r="A20" s="103"/>
      <c r="C20" s="78" t="s">
        <v>65</v>
      </c>
      <c r="D20" s="164">
        <f>IF(ISERROR(ROUND(F20/F19,2)),"",ROUND(F20/F19,2))</f>
        <v>1.81</v>
      </c>
      <c r="E20" s="165"/>
      <c r="F20" s="62">
        <f>IF(ISERROR(F17-F18),"",F17-F18)</f>
        <v>106960</v>
      </c>
      <c r="G20" s="166"/>
      <c r="H20" s="166"/>
    </row>
    <row r="21" spans="1:8" s="41" customFormat="1" ht="30" customHeight="1" thickTop="1" thickBot="1">
      <c r="A21" s="103"/>
    </row>
    <row r="22" spans="1:8" s="41" customFormat="1" ht="30" customHeight="1" thickTop="1" thickBot="1">
      <c r="A22" s="103"/>
      <c r="C22" s="147" t="s">
        <v>63</v>
      </c>
      <c r="D22" s="147"/>
      <c r="E22" s="147"/>
      <c r="F22" s="77">
        <f>IF(ISERROR(SUM($F$23:$F$26)),"",SUM($F$23:$F$26))</f>
        <v>513060</v>
      </c>
      <c r="G22" s="147" t="s">
        <v>525</v>
      </c>
      <c r="H22" s="147"/>
    </row>
    <row r="23" spans="1:8" s="41" customFormat="1" ht="30" customHeight="1" thickTop="1" thickBot="1">
      <c r="A23" s="103"/>
      <c r="C23" s="78" t="s">
        <v>53</v>
      </c>
      <c r="D23" s="79">
        <f>IF(ISERROR(Bal!$J$24),"",Bal!$J$24)</f>
        <v>153280</v>
      </c>
      <c r="E23" s="12">
        <f>IF(ISERROR(F23/$F$22),"",F23/$F$22)</f>
        <v>0.29875648072350214</v>
      </c>
      <c r="F23" s="77">
        <f>IF(ISERROR($D$23),"",$D$23)</f>
        <v>153280</v>
      </c>
      <c r="G23" s="166" t="str">
        <f>IF($D$27&gt;=1,"Significa que a entidade terá recursos financeiros suficientes para honrar seus compromissos","Significa que a entidade não terá recursos financeiros para honrar seus compromissos")</f>
        <v>Significa que a entidade não terá recursos financeiros para honrar seus compromissos</v>
      </c>
      <c r="H23" s="166"/>
    </row>
    <row r="24" spans="1:8" s="41" customFormat="1" ht="30" customHeight="1" thickTop="1" thickBot="1">
      <c r="A24" s="103"/>
      <c r="C24" s="78" t="s">
        <v>64</v>
      </c>
      <c r="D24" s="79">
        <f>IF(ISERROR(Atin!$J$30),"",Atin!$J$30)</f>
        <v>65000</v>
      </c>
      <c r="E24" s="12">
        <f>IF(ISERROR(F24/$F$22),"",F24/$F$22)</f>
        <v>0.1266908353798776</v>
      </c>
      <c r="F24" s="77">
        <f>IF(ISERROR($D$24),"",$D$24)</f>
        <v>65000</v>
      </c>
      <c r="G24" s="166"/>
      <c r="H24" s="166"/>
    </row>
    <row r="25" spans="1:8" s="41" customFormat="1" ht="30" customHeight="1" thickTop="1" thickBot="1">
      <c r="A25" s="103"/>
      <c r="C25" s="78" t="s">
        <v>35</v>
      </c>
      <c r="D25" s="79">
        <f>IF(ISERROR(Pas!$J$27),"",Pas!$J$27)</f>
        <v>58958</v>
      </c>
      <c r="E25" s="12">
        <f>IF(ISERROR(F25/$F$22),"",F25/$F$22)</f>
        <v>0.11491443495887421</v>
      </c>
      <c r="F25" s="77">
        <f>IF(ISERROR($D$25),"",$D$25)</f>
        <v>58958</v>
      </c>
      <c r="G25" s="166"/>
      <c r="H25" s="166"/>
    </row>
    <row r="26" spans="1:8" s="41" customFormat="1" ht="30" customHeight="1" thickTop="1" thickBot="1">
      <c r="A26" s="103"/>
      <c r="C26" s="78" t="s">
        <v>37</v>
      </c>
      <c r="D26" s="79">
        <f>IF(ISERROR(Pasn!$J$58),"",Pasn!$J$58)</f>
        <v>235822</v>
      </c>
      <c r="E26" s="12">
        <f>IF(ISERROR(F26/$F$22),"",F26/$F$22)</f>
        <v>0.45963824893774607</v>
      </c>
      <c r="F26" s="77">
        <f>IF(ISERROR($D$26),"",$D$26)</f>
        <v>235822</v>
      </c>
      <c r="G26" s="166"/>
      <c r="H26" s="166"/>
    </row>
    <row r="27" spans="1:8" s="41" customFormat="1" ht="30" customHeight="1" thickTop="1" thickBot="1">
      <c r="A27" s="103"/>
      <c r="C27" s="81" t="s">
        <v>60</v>
      </c>
      <c r="D27" s="164">
        <f>IF(ISERROR(ROUND($D$28/$E$28,2)),"",ROUND($D$28/$E$28,2))</f>
        <v>0.74</v>
      </c>
      <c r="E27" s="165"/>
      <c r="F27" s="77"/>
      <c r="G27" s="166"/>
      <c r="H27" s="166"/>
    </row>
    <row r="28" spans="1:8" s="41" customFormat="1" ht="30" customHeight="1" thickTop="1">
      <c r="A28" s="103"/>
      <c r="D28" s="62">
        <f>IF(ISERROR($F$23+$F$24),"",$F$23+$F$24)</f>
        <v>218280</v>
      </c>
      <c r="E28" s="62">
        <f>IF(ISERROR($F$25+$F$26),"",$F$25+$F$26)</f>
        <v>294780</v>
      </c>
    </row>
    <row r="29" spans="1:8" s="41" customFormat="1" ht="30" customHeight="1">
      <c r="A29" s="103"/>
    </row>
    <row r="30" spans="1:8" s="41" customFormat="1" ht="30" customHeight="1">
      <c r="A30" s="103"/>
    </row>
    <row r="31" spans="1:8" s="41" customFormat="1" ht="30" customHeight="1">
      <c r="A31" s="103"/>
    </row>
    <row r="32" spans="1:8" s="41" customFormat="1" ht="30" customHeight="1">
      <c r="A32" s="103"/>
    </row>
    <row r="33" spans="1:1" s="41" customFormat="1" ht="30" customHeight="1">
      <c r="A33" s="103"/>
    </row>
    <row r="34" spans="1:1" s="41" customFormat="1" ht="30" customHeight="1">
      <c r="A34" s="103"/>
    </row>
    <row r="35" spans="1:1" s="41" customFormat="1" ht="30" customHeight="1">
      <c r="A35" s="103"/>
    </row>
    <row r="36" spans="1:1" s="41" customFormat="1" ht="30" customHeight="1">
      <c r="A36" s="103"/>
    </row>
    <row r="37" spans="1:1" s="41" customFormat="1" ht="30" customHeight="1">
      <c r="A37" s="103"/>
    </row>
    <row r="38" spans="1:1" s="41" customFormat="1" ht="30" customHeight="1">
      <c r="A38" s="103"/>
    </row>
    <row r="39" spans="1:1" s="41" customFormat="1" ht="30" customHeight="1">
      <c r="A39" s="103"/>
    </row>
    <row r="40" spans="1:1" s="41" customFormat="1" ht="30" customHeight="1">
      <c r="A40" s="103"/>
    </row>
    <row r="41" spans="1:1" s="41" customFormat="1" ht="30" customHeight="1">
      <c r="A41" s="103"/>
    </row>
    <row r="42" spans="1:1" s="41" customFormat="1" ht="30" customHeight="1">
      <c r="A42" s="103"/>
    </row>
    <row r="43" spans="1:1" s="41" customFormat="1" ht="30" customHeight="1">
      <c r="A43" s="103"/>
    </row>
    <row r="44" spans="1:1" s="41" customFormat="1" ht="30" customHeight="1">
      <c r="A44" s="103"/>
    </row>
    <row r="45" spans="1:1" s="41" customFormat="1" ht="30" customHeight="1">
      <c r="A45" s="103"/>
    </row>
    <row r="46" spans="1:1" s="41" customFormat="1" ht="30" customHeight="1">
      <c r="A46" s="103"/>
    </row>
    <row r="47" spans="1:1" s="41" customFormat="1" ht="30" customHeight="1">
      <c r="A47" s="103"/>
    </row>
    <row r="48" spans="1:1" s="41" customFormat="1" ht="30" customHeight="1">
      <c r="A48" s="103"/>
    </row>
    <row r="49" spans="1:1" s="41" customFormat="1" ht="30" customHeight="1">
      <c r="A49" s="103"/>
    </row>
    <row r="50" spans="1:1" s="41" customFormat="1" ht="30" customHeight="1">
      <c r="A50" s="103"/>
    </row>
    <row r="51" spans="1:1" s="41" customFormat="1" ht="30" customHeight="1">
      <c r="A51" s="103"/>
    </row>
    <row r="52" spans="1:1" s="41" customFormat="1" ht="30" customHeight="1">
      <c r="A52" s="103"/>
    </row>
    <row r="53" spans="1:1" s="41" customFormat="1" ht="30" customHeight="1">
      <c r="A53" s="103"/>
    </row>
    <row r="54" spans="1:1" s="41" customFormat="1" ht="30" customHeight="1">
      <c r="A54" s="103"/>
    </row>
    <row r="55" spans="1:1" s="41" customFormat="1" ht="30" customHeight="1">
      <c r="A55" s="103"/>
    </row>
    <row r="56" spans="1:1" s="41" customFormat="1" ht="30" customHeight="1">
      <c r="A56" s="103"/>
    </row>
    <row r="57" spans="1:1" s="41" customFormat="1" ht="30" customHeight="1">
      <c r="A57" s="103"/>
    </row>
    <row r="58" spans="1:1" s="41" customFormat="1" ht="30" customHeight="1">
      <c r="A58" s="103"/>
    </row>
    <row r="59" spans="1:1" s="41" customFormat="1" ht="30" customHeight="1">
      <c r="A59" s="103"/>
    </row>
    <row r="60" spans="1:1" s="41" customFormat="1" ht="30" customHeight="1">
      <c r="A60" s="103"/>
    </row>
    <row r="61" spans="1:1" s="41" customFormat="1" ht="30" customHeight="1">
      <c r="A61" s="103"/>
    </row>
    <row r="62" spans="1:1" s="41" customFormat="1" ht="30" customHeight="1">
      <c r="A62" s="103"/>
    </row>
    <row r="63" spans="1:1" s="41" customFormat="1" ht="30" customHeight="1">
      <c r="A63" s="103"/>
    </row>
    <row r="64" spans="1:1" s="41" customFormat="1" ht="30" customHeight="1">
      <c r="A64" s="103"/>
    </row>
    <row r="65" spans="1:1" s="41" customFormat="1" ht="30" customHeight="1">
      <c r="A65" s="103"/>
    </row>
    <row r="66" spans="1:1" s="41" customFormat="1" ht="30" customHeight="1">
      <c r="A66" s="103"/>
    </row>
    <row r="67" spans="1:1" s="41" customFormat="1" ht="30" customHeight="1">
      <c r="A67" s="103"/>
    </row>
    <row r="68" spans="1:1" s="41" customFormat="1" ht="30" customHeight="1">
      <c r="A68" s="103"/>
    </row>
    <row r="69" spans="1:1" s="41" customFormat="1" ht="30" customHeight="1">
      <c r="A69" s="103"/>
    </row>
    <row r="70" spans="1:1" s="41" customFormat="1" ht="30" customHeight="1">
      <c r="A70" s="103"/>
    </row>
    <row r="71" spans="1:1" s="41" customFormat="1" ht="30" customHeight="1">
      <c r="A71" s="103"/>
    </row>
    <row r="72" spans="1:1" s="41" customFormat="1" ht="30" customHeight="1">
      <c r="A72" s="103"/>
    </row>
    <row r="73" spans="1:1" s="41" customFormat="1" ht="30" customHeight="1">
      <c r="A73" s="103"/>
    </row>
    <row r="74" spans="1:1" s="41" customFormat="1" ht="30" customHeight="1">
      <c r="A74" s="103"/>
    </row>
    <row r="75" spans="1:1" s="41" customFormat="1" ht="30" customHeight="1">
      <c r="A75" s="103"/>
    </row>
    <row r="76" spans="1:1" s="41" customFormat="1" ht="30" customHeight="1">
      <c r="A76" s="103"/>
    </row>
    <row r="77" spans="1:1" s="41" customFormat="1" ht="30" customHeight="1">
      <c r="A77" s="103"/>
    </row>
    <row r="78" spans="1:1" s="41" customFormat="1" ht="30" customHeight="1">
      <c r="A78" s="103"/>
    </row>
    <row r="79" spans="1:1" s="41" customFormat="1" ht="30" customHeight="1">
      <c r="A79" s="103"/>
    </row>
    <row r="80" spans="1:1" s="41" customFormat="1" ht="30" customHeight="1">
      <c r="A80" s="103"/>
    </row>
    <row r="81" spans="1:1" s="41" customFormat="1" ht="30" customHeight="1">
      <c r="A81" s="103"/>
    </row>
    <row r="82" spans="1:1" s="41" customFormat="1" ht="30" customHeight="1">
      <c r="A82" s="103"/>
    </row>
    <row r="83" spans="1:1" s="41" customFormat="1" ht="30" customHeight="1">
      <c r="A83" s="103"/>
    </row>
    <row r="84" spans="1:1" s="41" customFormat="1" ht="30" customHeight="1">
      <c r="A84" s="103"/>
    </row>
    <row r="85" spans="1:1" s="41" customFormat="1" ht="30" customHeight="1">
      <c r="A85" s="103"/>
    </row>
    <row r="86" spans="1:1" s="41" customFormat="1" ht="30" customHeight="1">
      <c r="A86" s="103"/>
    </row>
    <row r="87" spans="1:1" s="41" customFormat="1" ht="30" customHeight="1">
      <c r="A87" s="103"/>
    </row>
    <row r="88" spans="1:1" s="41" customFormat="1" ht="30" customHeight="1">
      <c r="A88" s="103"/>
    </row>
    <row r="89" spans="1:1" s="41" customFormat="1" ht="30" customHeight="1">
      <c r="A89" s="103"/>
    </row>
    <row r="90" spans="1:1" s="41" customFormat="1" ht="30" customHeight="1">
      <c r="A90" s="103"/>
    </row>
    <row r="91" spans="1:1" s="41" customFormat="1" ht="30" customHeight="1">
      <c r="A91" s="103"/>
    </row>
    <row r="92" spans="1:1" s="41" customFormat="1" ht="30" customHeight="1">
      <c r="A92" s="103"/>
    </row>
    <row r="93" spans="1:1" s="41" customFormat="1" ht="30" customHeight="1">
      <c r="A93" s="103"/>
    </row>
    <row r="94" spans="1:1" s="41" customFormat="1" ht="30" customHeight="1">
      <c r="A94" s="103"/>
    </row>
    <row r="95" spans="1:1" s="41" customFormat="1" ht="30" customHeight="1">
      <c r="A95" s="103"/>
    </row>
    <row r="96" spans="1:1" s="41" customFormat="1" ht="30" customHeight="1">
      <c r="A96" s="103"/>
    </row>
    <row r="97" spans="1:1" s="41" customFormat="1" ht="30" customHeight="1">
      <c r="A97" s="103"/>
    </row>
    <row r="98" spans="1:1" s="41" customFormat="1" ht="30" customHeight="1">
      <c r="A98" s="103"/>
    </row>
    <row r="99" spans="1:1" s="41" customFormat="1" ht="30" customHeight="1">
      <c r="A99" s="103"/>
    </row>
    <row r="100" spans="1:1" s="41" customFormat="1" ht="30" customHeight="1">
      <c r="A100" s="103"/>
    </row>
    <row r="101" spans="1:1" s="41" customFormat="1" ht="30" customHeight="1">
      <c r="A101" s="103"/>
    </row>
    <row r="102" spans="1:1" s="41" customFormat="1" ht="30" customHeight="1">
      <c r="A102" s="103"/>
    </row>
    <row r="103" spans="1:1" s="41" customFormat="1" ht="30" customHeight="1">
      <c r="A103" s="103"/>
    </row>
    <row r="104" spans="1:1" s="41" customFormat="1" ht="30" customHeight="1">
      <c r="A104" s="103"/>
    </row>
    <row r="105" spans="1:1" s="41" customFormat="1" ht="30" customHeight="1">
      <c r="A105" s="103"/>
    </row>
    <row r="106" spans="1:1" s="41" customFormat="1" hidden="1">
      <c r="A106" s="103"/>
    </row>
    <row r="107" spans="1:1" s="41" customFormat="1" hidden="1">
      <c r="A107" s="103"/>
    </row>
    <row r="108" spans="1:1" s="41" customFormat="1">
      <c r="A108" s="103"/>
    </row>
    <row r="109" spans="1:1" s="41" customFormat="1">
      <c r="A109" s="103"/>
    </row>
  </sheetData>
  <sheetProtection algorithmName="SHA-512" hashValue="ZQ880wfY9rFka+T73teo04S59YYn3QodlFddfrUACTFvI9yDZN6QRyXOVZlLLtsxID6DIUnHPGYJoe7N1AQong==" saltValue="s6uKpodAK1afwpifnfeV6Q==" spinCount="100000" sheet="1" objects="1" scenarios="1"/>
  <mergeCells count="16">
    <mergeCell ref="G17:H20"/>
    <mergeCell ref="G22:H22"/>
    <mergeCell ref="G23:H27"/>
    <mergeCell ref="G6:H6"/>
    <mergeCell ref="G7:H9"/>
    <mergeCell ref="G11:H11"/>
    <mergeCell ref="G12:H14"/>
    <mergeCell ref="G16:H16"/>
    <mergeCell ref="D9:E9"/>
    <mergeCell ref="C16:E16"/>
    <mergeCell ref="D20:E20"/>
    <mergeCell ref="D27:E27"/>
    <mergeCell ref="C6:E6"/>
    <mergeCell ref="C11:E11"/>
    <mergeCell ref="D14:E14"/>
    <mergeCell ref="C22:E22"/>
  </mergeCells>
  <conditionalFormatting sqref="G7">
    <cfRule type="containsText" dxfId="15" priority="15" operator="containsText" text="significa que a entidade não tem ou não terá recursos financeiros para honrar seus compromissos de curto prazo (até um ano)">
      <formula>NOT(ISERROR(SEARCH("significa que a entidade não tem ou não terá recursos financeiros para honrar seus compromissos de curto prazo (até um ano)",G7)))</formula>
    </cfRule>
    <cfRule type="containsText" dxfId="14" priority="16" operator="containsText" text="significa que a entidade tem ou terá recursos financeiros suficientes para honrar seus compromissos de curto prazo (até um ano)">
      <formula>NOT(ISERROR(SEARCH("significa que a entidade tem ou terá recursos financeiros suficientes para honrar seus compromissos de curto prazo (até um ano)",G7)))</formula>
    </cfRule>
  </conditionalFormatting>
  <conditionalFormatting sqref="D9:E9">
    <cfRule type="cellIs" dxfId="13" priority="13" operator="lessThan">
      <formula>1</formula>
    </cfRule>
    <cfRule type="cellIs" dxfId="12" priority="14" operator="greaterThanOrEqual">
      <formula>1</formula>
    </cfRule>
  </conditionalFormatting>
  <conditionalFormatting sqref="G12">
    <cfRule type="containsText" dxfId="11" priority="11" operator="containsText" text="a empresa terá condições de pagar parte do seu Passivo Circulante no dia seguinte ao da apuração">
      <formula>NOT(ISERROR(SEARCH("a empresa terá condições de pagar parte do seu Passivo Circulante no dia seguinte ao da apuração",G12)))</formula>
    </cfRule>
    <cfRule type="containsText" dxfId="10" priority="12" operator="containsText" text="a empresa terá condições de pagar seu Passivo Circulante no dia seguinte ao da apuração">
      <formula>NOT(ISERROR(SEARCH("a empresa terá condições de pagar seu Passivo Circulante no dia seguinte ao da apuração",G12)))</formula>
    </cfRule>
  </conditionalFormatting>
  <conditionalFormatting sqref="D14:E14">
    <cfRule type="cellIs" dxfId="9" priority="9" operator="lessThan">
      <formula>1</formula>
    </cfRule>
    <cfRule type="cellIs" dxfId="8" priority="10" operator="greaterThanOrEqual">
      <formula>1</formula>
    </cfRule>
  </conditionalFormatting>
  <conditionalFormatting sqref="G17">
    <cfRule type="containsText" dxfId="7" priority="7" operator="containsText" text="significa que a entidade tem ou terá em curto prazo somente uma parte dos recursos financeiros necessários a liquidação do Passivo Circulante">
      <formula>NOT(ISERROR(SEARCH("significa que a entidade tem ou terá em curto prazo somente uma parte dos recursos financeiros necessários a liquidação do Passivo Circulante",G17)))</formula>
    </cfRule>
    <cfRule type="containsText" dxfId="6" priority="8" operator="containsText" text="significa que a entidade tem ou terá recursos financeiros em curto prazo para honrar seus compromissos de curto prazo (até um ano), independente de conseguir vender seus estoques">
      <formula>NOT(ISERROR(SEARCH("significa que a entidade tem ou terá recursos financeiros em curto prazo para honrar seus compromissos de curto prazo (até um ano), independente de conseguir vender seus estoques",G17)))</formula>
    </cfRule>
  </conditionalFormatting>
  <conditionalFormatting sqref="D20:E20">
    <cfRule type="cellIs" dxfId="5" priority="5" operator="lessThan">
      <formula>1</formula>
    </cfRule>
    <cfRule type="cellIs" dxfId="4" priority="6" operator="greaterThanOrEqual">
      <formula>1</formula>
    </cfRule>
  </conditionalFormatting>
  <conditionalFormatting sqref="G23">
    <cfRule type="containsText" dxfId="3" priority="3" operator="containsText" text="significa que a entidade não terá recursos financeiros para honrar seus compromissos">
      <formula>NOT(ISERROR(SEARCH("significa que a entidade não terá recursos financeiros para honrar seus compromissos",G23)))</formula>
    </cfRule>
    <cfRule type="containsText" dxfId="2" priority="4" operator="containsText" text="significa que a entidade terá recursos financeiros suficientes para honrar seus compromissos">
      <formula>NOT(ISERROR(SEARCH("significa que a entidade terá recursos financeiros suficientes para honrar seus compromissos",G23)))</formula>
    </cfRule>
  </conditionalFormatting>
  <conditionalFormatting sqref="D27:E27">
    <cfRule type="cellIs" dxfId="1" priority="1" operator="lessThan">
      <formula>1</formula>
    </cfRule>
    <cfRule type="cellIs" dxfId="0" priority="2" operator="greaterThanOrEqual">
      <formula>1</formula>
    </cfRule>
  </conditionalFormatting>
  <pageMargins left="0.511811024" right="0.511811024" top="0.78740157499999996" bottom="0.78740157499999996" header="0.31496062000000002" footer="0.31496062000000002"/>
  <drawing r:id="rId1"/>
  <legacyDrawing r:id="rId2"/>
</worksheet>
</file>

<file path=xl/worksheets/sheet13.xml><?xml version="1.0" encoding="utf-8"?>
<worksheet xmlns="http://schemas.openxmlformats.org/spreadsheetml/2006/main" xmlns:r="http://schemas.openxmlformats.org/officeDocument/2006/relationships">
  <sheetPr codeName="Plan13"/>
  <dimension ref="A1:Q109"/>
  <sheetViews>
    <sheetView showGridLines="0" zoomScale="90" zoomScaleNormal="90" workbookViewId="0">
      <pane ySplit="3" topLeftCell="A4" activePane="bottomLeft" state="frozen"/>
      <selection pane="bottomLeft" activeCell="J7" sqref="J7"/>
    </sheetView>
  </sheetViews>
  <sheetFormatPr defaultColWidth="8.85546875" defaultRowHeight="0" customHeight="1" zeroHeight="1"/>
  <cols>
    <col min="1" max="1" width="27.7109375" style="104" customWidth="1"/>
    <col min="2" max="2" width="2.7109375" customWidth="1"/>
    <col min="3" max="3" width="40.7109375" customWidth="1"/>
    <col min="4" max="5" width="15.7109375" customWidth="1"/>
    <col min="6" max="6" width="0.85546875" style="5" customWidth="1"/>
    <col min="7" max="7" width="40.7109375" customWidth="1"/>
    <col min="8" max="9" width="15.7109375" customWidth="1"/>
    <col min="10" max="10" width="15" bestFit="1" customWidth="1"/>
    <col min="11" max="11" width="11" bestFit="1" customWidth="1"/>
  </cols>
  <sheetData>
    <row r="1" spans="1:17" s="58" customFormat="1" ht="33.950000000000003" customHeight="1">
      <c r="A1" s="103"/>
      <c r="C1" s="59" t="s">
        <v>527</v>
      </c>
      <c r="F1" s="82"/>
    </row>
    <row r="2" spans="1:17" s="58" customFormat="1" ht="21.6" customHeight="1">
      <c r="A2" s="103"/>
      <c r="F2" s="82"/>
    </row>
    <row r="3" spans="1:17" s="58" customFormat="1" ht="21.6" customHeight="1">
      <c r="A3" s="103"/>
      <c r="F3" s="82"/>
    </row>
    <row r="4" spans="1:17" s="41" customFormat="1" ht="44.25" customHeight="1">
      <c r="A4" s="103"/>
      <c r="B4" s="26"/>
      <c r="C4" s="26"/>
      <c r="D4" s="26"/>
      <c r="E4" s="26"/>
      <c r="F4" s="26"/>
      <c r="G4" s="26"/>
      <c r="H4" s="26"/>
      <c r="I4" s="26"/>
      <c r="J4" s="26"/>
      <c r="K4" s="26"/>
      <c r="L4" s="26"/>
      <c r="M4" s="26"/>
      <c r="N4" s="26"/>
      <c r="O4" s="26"/>
      <c r="P4" s="26"/>
      <c r="Q4" s="26"/>
    </row>
    <row r="5" spans="1:17" s="41" customFormat="1" ht="15" customHeight="1" thickBot="1">
      <c r="A5" s="103"/>
      <c r="F5" s="83"/>
    </row>
    <row r="6" spans="1:17" s="41" customFormat="1" ht="30" customHeight="1" thickTop="1" thickBot="1">
      <c r="A6" s="103"/>
      <c r="C6" s="147" t="s">
        <v>66</v>
      </c>
      <c r="D6" s="147"/>
      <c r="E6" s="147"/>
      <c r="F6" s="76">
        <f>IF(ISERROR(SUM(F7:F8)),"",SUM(F7:F8))</f>
        <v>458070</v>
      </c>
      <c r="G6" s="147" t="s">
        <v>525</v>
      </c>
      <c r="H6" s="147"/>
    </row>
    <row r="7" spans="1:17" s="41" customFormat="1" ht="30" customHeight="1" thickTop="1" thickBot="1">
      <c r="A7" s="103"/>
      <c r="C7" s="78" t="s">
        <v>28</v>
      </c>
      <c r="D7" s="79">
        <f>IF(ISERROR(Bal!$J$11),"",Bal!$J$11)</f>
        <v>49400</v>
      </c>
      <c r="E7" s="12">
        <f>IF(ISERROR(D7/$F$6),"",D7/$F$6)</f>
        <v>0.10784377933503612</v>
      </c>
      <c r="F7" s="76">
        <f>IF(ISERROR(D7),"",D7)</f>
        <v>49400</v>
      </c>
      <c r="G7" s="171" t="str">
        <f>IF(ISERROR("O prazo médio de recebimento do valor das vendas praticas ao longo do ano é de " &amp;ROUND($D$9,2) &amp; " dias"),"","O prazo médio de recebimento do valor das vendas praticas ao longo do ano é de " &amp;ROUND($D$9,2) &amp; " dias")</f>
        <v>O prazo médio de recebimento do valor das vendas praticas ao longo do ano é de 44,12 dias</v>
      </c>
      <c r="H7" s="171"/>
    </row>
    <row r="8" spans="1:17" s="41" customFormat="1" ht="30" customHeight="1" thickTop="1" thickBot="1">
      <c r="A8" s="103"/>
      <c r="C8" s="78" t="s">
        <v>76</v>
      </c>
      <c r="D8" s="79">
        <f>IF(ISERROR(Dre!$J$8),"",Dre!$J$8)</f>
        <v>408670</v>
      </c>
      <c r="E8" s="12">
        <f>IF(ISERROR(D8/$F$6),"",D8/$F$6)</f>
        <v>0.89215622066496392</v>
      </c>
      <c r="F8" s="76">
        <f>IF(ISERROR(D8),"",D8)</f>
        <v>408670</v>
      </c>
      <c r="G8" s="171"/>
      <c r="H8" s="171"/>
    </row>
    <row r="9" spans="1:17" s="41" customFormat="1" ht="30" customHeight="1" thickTop="1" thickBot="1">
      <c r="A9" s="103"/>
      <c r="C9" s="65" t="s">
        <v>34</v>
      </c>
      <c r="D9" s="162">
        <f>IF(ISERROR(ROUND(F9/F8,2)),"",ROUND(F9/F8,2))</f>
        <v>44.12</v>
      </c>
      <c r="E9" s="163"/>
      <c r="F9" s="76">
        <f>IF(ISERROR(F7*365),"",F7*365)</f>
        <v>18031000</v>
      </c>
      <c r="G9" s="171"/>
      <c r="H9" s="171"/>
    </row>
    <row r="10" spans="1:17" s="41" customFormat="1" ht="30" customHeight="1" thickTop="1" thickBot="1">
      <c r="A10" s="103"/>
      <c r="F10" s="76"/>
      <c r="J10" s="76"/>
    </row>
    <row r="11" spans="1:17" s="41" customFormat="1" ht="30" customHeight="1" thickTop="1" thickBot="1">
      <c r="A11" s="103"/>
      <c r="C11" s="147" t="s">
        <v>67</v>
      </c>
      <c r="D11" s="147"/>
      <c r="E11" s="147"/>
      <c r="F11" s="76">
        <f>IF(ISERROR(SUM(F12:F13)),"",SUM(F12:F13))</f>
        <v>56820</v>
      </c>
      <c r="G11" s="147" t="s">
        <v>525</v>
      </c>
      <c r="H11" s="147"/>
      <c r="J11" s="76"/>
    </row>
    <row r="12" spans="1:17" s="41" customFormat="1" ht="30" customHeight="1" thickTop="1" thickBot="1">
      <c r="A12" s="103"/>
      <c r="C12" s="78" t="s">
        <v>68</v>
      </c>
      <c r="D12" s="79">
        <f>IF(ISERROR(Bal!$J$9),"",Bal!$J$9)</f>
        <v>46320</v>
      </c>
      <c r="E12" s="12">
        <f>IF(ISERROR(D12/F11),"",D12/F11)</f>
        <v>0.81520591341077087</v>
      </c>
      <c r="F12" s="76">
        <f>IF(ISERROR(D12),"",D12)</f>
        <v>46320</v>
      </c>
      <c r="G12" s="171" t="str">
        <f>IF(ISERROR("O prazo médio da rotatividade da estoque ao longo do ano é de " &amp; ROUND($D$14,2) &amp; " dias"),"","O prazo médio da rotatividade da estoque ao longo do ano é de " &amp; ROUND($D$14,2) &amp; " dias")</f>
        <v>O prazo médio da rotatividade da estoque ao longo do ano é de 1610,17 dias</v>
      </c>
      <c r="H12" s="171"/>
      <c r="J12" s="76"/>
    </row>
    <row r="13" spans="1:17" s="41" customFormat="1" ht="30" customHeight="1" thickTop="1" thickBot="1">
      <c r="A13" s="103"/>
      <c r="C13" s="78" t="s">
        <v>69</v>
      </c>
      <c r="D13" s="79">
        <f>IF(ISERROR(Des!$J$8),"",Des!$J$8)</f>
        <v>10500</v>
      </c>
      <c r="E13" s="12">
        <f>IF(ISERROR(D13/F11),"",D13/F11)</f>
        <v>0.18479408658922913</v>
      </c>
      <c r="F13" s="76">
        <f>IF(ISERROR(D13),"",D13)</f>
        <v>10500</v>
      </c>
      <c r="G13" s="171"/>
      <c r="H13" s="171"/>
      <c r="J13" s="76"/>
    </row>
    <row r="14" spans="1:17" s="41" customFormat="1" ht="30" customHeight="1" thickTop="1" thickBot="1">
      <c r="A14" s="103"/>
      <c r="C14" s="65" t="s">
        <v>34</v>
      </c>
      <c r="D14" s="162">
        <f>IF(ISERROR(ROUND(F14/F13,2)),"",ROUND(F14/F13,2))</f>
        <v>1610.17</v>
      </c>
      <c r="E14" s="163"/>
      <c r="F14" s="76">
        <f>IF(ISERROR(F12*365),"",F12*365)</f>
        <v>16906800</v>
      </c>
      <c r="G14" s="171"/>
      <c r="H14" s="171"/>
      <c r="J14" s="76"/>
    </row>
    <row r="15" spans="1:17" s="41" customFormat="1" ht="30" customHeight="1" thickTop="1" thickBot="1">
      <c r="A15" s="103"/>
      <c r="F15" s="76"/>
      <c r="J15" s="75"/>
    </row>
    <row r="16" spans="1:17" s="41" customFormat="1" ht="30" customHeight="1" thickTop="1" thickBot="1">
      <c r="A16" s="103"/>
      <c r="C16" s="147" t="s">
        <v>70</v>
      </c>
      <c r="D16" s="147"/>
      <c r="E16" s="147"/>
      <c r="F16" s="76">
        <f>IF(ISERROR(SUM(F17:F18)),"",SUM(F17:F18))</f>
        <v>382480</v>
      </c>
      <c r="G16" s="147" t="s">
        <v>525</v>
      </c>
      <c r="H16" s="147"/>
    </row>
    <row r="17" spans="1:8" s="41" customFormat="1" ht="30" customHeight="1" thickTop="1" thickBot="1">
      <c r="A17" s="103"/>
      <c r="C17" s="78" t="s">
        <v>72</v>
      </c>
      <c r="D17" s="79">
        <f>IF(ISERROR(Pas!$J$7),"",Pas!$J$7)</f>
        <v>31840</v>
      </c>
      <c r="E17" s="12">
        <f>IF(ISERROR(D17/$F$16),"",D17/$F$16)</f>
        <v>8.3246182806944152E-2</v>
      </c>
      <c r="F17" s="76">
        <f>IF(ISERROR(D17),"",D17)</f>
        <v>31840</v>
      </c>
      <c r="G17" s="171" t="str">
        <f>IF(ISERROR("O prazo médio de pagamento das compras efutuadas junto aos fornecedores ao longo do ano é de " &amp; ROUND($D$19,2) &amp; " dias"),"","O prazo médio de pagamento das compras efutuadas junto aos fornecedores ao longo do ano é de " &amp; ROUND($D$19,2) &amp; " dias")</f>
        <v>O prazo médio de pagamento das compras efutuadas junto aos fornecedores ao longo do ano é de 33,14 dias</v>
      </c>
      <c r="H17" s="171"/>
    </row>
    <row r="18" spans="1:8" s="41" customFormat="1" ht="30" customHeight="1" thickTop="1" thickBot="1">
      <c r="A18" s="103"/>
      <c r="C18" s="78" t="s">
        <v>73</v>
      </c>
      <c r="D18" s="79">
        <f>IF(ISERROR(Res!$J$7),"",Res!$J$7)</f>
        <v>350640</v>
      </c>
      <c r="E18" s="12">
        <f>IF(ISERROR(D18/$F$16),"",D18/$F$16)</f>
        <v>0.91675381719305582</v>
      </c>
      <c r="F18" s="76">
        <f>IF(ISERROR(D18),"",D18)</f>
        <v>350640</v>
      </c>
      <c r="G18" s="171"/>
      <c r="H18" s="171"/>
    </row>
    <row r="19" spans="1:8" s="41" customFormat="1" ht="30" customHeight="1" thickTop="1" thickBot="1">
      <c r="A19" s="103"/>
      <c r="C19" s="65" t="s">
        <v>34</v>
      </c>
      <c r="D19" s="162">
        <f>IF(ISERROR(ROUND(F19/F18,2)),"",ROUND(F19/F18,2))</f>
        <v>33.14</v>
      </c>
      <c r="E19" s="163"/>
      <c r="F19" s="76">
        <f>IF(ISERROR(F17*365),"",F17*365)</f>
        <v>11621600</v>
      </c>
      <c r="G19" s="171"/>
      <c r="H19" s="171"/>
    </row>
    <row r="20" spans="1:8" s="41" customFormat="1" ht="30" customHeight="1" thickTop="1" thickBot="1">
      <c r="A20" s="103"/>
      <c r="F20" s="83"/>
    </row>
    <row r="21" spans="1:8" s="41" customFormat="1" ht="30" customHeight="1" thickTop="1" thickBot="1">
      <c r="A21" s="103"/>
      <c r="C21" s="147" t="s">
        <v>71</v>
      </c>
      <c r="D21" s="147"/>
      <c r="E21" s="147"/>
      <c r="F21" s="76">
        <f>IF(ISERROR(SUM(F22:F24)),"",SUM(F22:F24))</f>
        <v>1687.43</v>
      </c>
      <c r="G21" s="147" t="s">
        <v>525</v>
      </c>
      <c r="H21" s="147"/>
    </row>
    <row r="22" spans="1:8" s="41" customFormat="1" ht="30" customHeight="1" thickTop="1" thickBot="1">
      <c r="A22" s="103"/>
      <c r="C22" s="78" t="s">
        <v>66</v>
      </c>
      <c r="D22" s="84">
        <f>IF(ISERROR($D$9),"",$D$9)</f>
        <v>44.12</v>
      </c>
      <c r="E22" s="12">
        <f>IF(ISERROR(D22/$F$21),"",D22/$F$21)</f>
        <v>2.6146269771190507E-2</v>
      </c>
      <c r="F22" s="85">
        <f>IF(ISERROR(D22),"",D22)</f>
        <v>44.12</v>
      </c>
      <c r="G22" s="171" t="str">
        <f>IF(ISERROR("A quantidade de faturamento estável que a empresa necessita para atender seues compromissos operacionais é de " &amp; ROUND($D$25,2) &amp; " dias"),"","A quantidade de faturamento estável que a empresa necessita para atender seues compromissos operacionais é de " &amp; ROUND($D$25,2) &amp; " dias")</f>
        <v>A quantidade de faturamento estável que a empresa necessita para atender seues compromissos operacionais é de 1621,15 dias</v>
      </c>
      <c r="H22" s="171"/>
    </row>
    <row r="23" spans="1:8" s="41" customFormat="1" ht="30" customHeight="1" thickTop="1" thickBot="1">
      <c r="A23" s="103"/>
      <c r="C23" s="78" t="s">
        <v>74</v>
      </c>
      <c r="D23" s="84">
        <f>IF(ISERROR($D$14),"",$D$14)</f>
        <v>1610.17</v>
      </c>
      <c r="E23" s="12">
        <f>IF(ISERROR(D23/$F$21),"",D23/$F$21)</f>
        <v>0.95421439704165512</v>
      </c>
      <c r="F23" s="85">
        <f t="shared" ref="F23:F24" si="0">IF(ISERROR(D23),"",D23)</f>
        <v>1610.17</v>
      </c>
      <c r="G23" s="171"/>
      <c r="H23" s="171"/>
    </row>
    <row r="24" spans="1:8" s="41" customFormat="1" ht="30" customHeight="1" thickTop="1" thickBot="1">
      <c r="A24" s="103"/>
      <c r="C24" s="78" t="s">
        <v>75</v>
      </c>
      <c r="D24" s="84">
        <f>IF(ISERROR($D$19),"",$D$19)</f>
        <v>33.14</v>
      </c>
      <c r="E24" s="12">
        <f>IF(ISERROR(D24/$F$21),"",D24/$F$21)</f>
        <v>1.9639333187154429E-2</v>
      </c>
      <c r="F24" s="85">
        <f t="shared" si="0"/>
        <v>33.14</v>
      </c>
      <c r="G24" s="171"/>
      <c r="H24" s="171"/>
    </row>
    <row r="25" spans="1:8" s="41" customFormat="1" ht="30" customHeight="1" thickTop="1" thickBot="1">
      <c r="A25" s="103"/>
      <c r="C25" s="65" t="s">
        <v>34</v>
      </c>
      <c r="D25" s="162">
        <f>IF(ISERROR(F22+F23-F24),"",F22+F23-F24)</f>
        <v>1621.1499999999999</v>
      </c>
      <c r="E25" s="163"/>
      <c r="F25" s="76"/>
      <c r="G25" s="171"/>
      <c r="H25" s="171"/>
    </row>
    <row r="26" spans="1:8" s="41" customFormat="1" ht="30" customHeight="1" thickTop="1">
      <c r="A26" s="103"/>
      <c r="F26" s="83"/>
    </row>
    <row r="27" spans="1:8" s="41" customFormat="1" ht="30" customHeight="1">
      <c r="A27" s="103"/>
      <c r="F27" s="83"/>
    </row>
    <row r="28" spans="1:8" s="41" customFormat="1" ht="30" customHeight="1">
      <c r="A28" s="103"/>
      <c r="F28" s="83"/>
    </row>
    <row r="29" spans="1:8" s="41" customFormat="1" ht="30" customHeight="1">
      <c r="A29" s="103"/>
      <c r="F29" s="83"/>
    </row>
    <row r="30" spans="1:8" s="41" customFormat="1" ht="30" customHeight="1">
      <c r="A30" s="103"/>
      <c r="F30" s="83"/>
    </row>
    <row r="31" spans="1:8" s="41" customFormat="1" ht="30" customHeight="1">
      <c r="A31" s="103"/>
      <c r="F31" s="83"/>
    </row>
    <row r="32" spans="1:8" s="41" customFormat="1" ht="30" customHeight="1">
      <c r="A32" s="103"/>
      <c r="F32" s="83"/>
    </row>
    <row r="33" spans="1:6" s="41" customFormat="1" ht="30" customHeight="1">
      <c r="A33" s="103"/>
      <c r="F33" s="83"/>
    </row>
    <row r="34" spans="1:6" s="41" customFormat="1" ht="30" customHeight="1">
      <c r="A34" s="103"/>
      <c r="F34" s="83"/>
    </row>
    <row r="35" spans="1:6" s="41" customFormat="1" ht="30" customHeight="1">
      <c r="A35" s="103"/>
      <c r="F35" s="83"/>
    </row>
    <row r="36" spans="1:6" s="41" customFormat="1" ht="30" customHeight="1">
      <c r="A36" s="103"/>
      <c r="F36" s="83"/>
    </row>
    <row r="37" spans="1:6" s="41" customFormat="1" ht="30" customHeight="1">
      <c r="A37" s="103"/>
      <c r="F37" s="83"/>
    </row>
    <row r="38" spans="1:6" s="41" customFormat="1" ht="30" customHeight="1">
      <c r="A38" s="103"/>
      <c r="F38" s="83"/>
    </row>
    <row r="39" spans="1:6" s="41" customFormat="1" ht="30" customHeight="1">
      <c r="A39" s="103"/>
      <c r="F39" s="83"/>
    </row>
    <row r="40" spans="1:6" s="41" customFormat="1" ht="30" customHeight="1">
      <c r="A40" s="103"/>
      <c r="F40" s="83"/>
    </row>
    <row r="41" spans="1:6" s="41" customFormat="1" ht="30" customHeight="1">
      <c r="A41" s="103"/>
      <c r="F41" s="83"/>
    </row>
    <row r="42" spans="1:6" s="41" customFormat="1" ht="30" customHeight="1">
      <c r="A42" s="103"/>
      <c r="F42" s="83"/>
    </row>
    <row r="43" spans="1:6" s="41" customFormat="1" ht="30" customHeight="1">
      <c r="A43" s="103"/>
      <c r="F43" s="83"/>
    </row>
    <row r="44" spans="1:6" s="41" customFormat="1" ht="30" customHeight="1">
      <c r="A44" s="103"/>
      <c r="F44" s="83"/>
    </row>
    <row r="45" spans="1:6" s="41" customFormat="1" ht="30" customHeight="1">
      <c r="A45" s="103"/>
      <c r="F45" s="83"/>
    </row>
    <row r="46" spans="1:6" s="41" customFormat="1" ht="30" customHeight="1">
      <c r="A46" s="103"/>
      <c r="F46" s="83"/>
    </row>
    <row r="47" spans="1:6" s="41" customFormat="1" ht="30" customHeight="1">
      <c r="A47" s="103"/>
      <c r="F47" s="83"/>
    </row>
    <row r="48" spans="1:6" s="41" customFormat="1" ht="30" customHeight="1">
      <c r="A48" s="103"/>
      <c r="F48" s="83"/>
    </row>
    <row r="49" spans="1:6" s="41" customFormat="1" ht="30" customHeight="1">
      <c r="A49" s="103"/>
      <c r="F49" s="83"/>
    </row>
    <row r="50" spans="1:6" s="41" customFormat="1" ht="30" customHeight="1">
      <c r="A50" s="103"/>
      <c r="F50" s="83"/>
    </row>
    <row r="51" spans="1:6" s="41" customFormat="1" ht="30" customHeight="1">
      <c r="A51" s="103"/>
      <c r="F51" s="83"/>
    </row>
    <row r="52" spans="1:6" s="41" customFormat="1" ht="30" customHeight="1">
      <c r="A52" s="103"/>
      <c r="F52" s="83"/>
    </row>
    <row r="53" spans="1:6" s="41" customFormat="1" ht="30" customHeight="1">
      <c r="A53" s="103"/>
      <c r="F53" s="83"/>
    </row>
    <row r="54" spans="1:6" s="41" customFormat="1" ht="30" customHeight="1">
      <c r="A54" s="103"/>
      <c r="F54" s="83"/>
    </row>
    <row r="55" spans="1:6" s="41" customFormat="1" ht="30" customHeight="1">
      <c r="A55" s="103"/>
      <c r="F55" s="83"/>
    </row>
    <row r="56" spans="1:6" s="41" customFormat="1" ht="30" customHeight="1">
      <c r="A56" s="103"/>
      <c r="F56" s="83"/>
    </row>
    <row r="57" spans="1:6" s="41" customFormat="1" ht="30" customHeight="1">
      <c r="A57" s="103"/>
      <c r="F57" s="83"/>
    </row>
    <row r="58" spans="1:6" s="41" customFormat="1" ht="30" customHeight="1">
      <c r="A58" s="103"/>
      <c r="F58" s="83"/>
    </row>
    <row r="59" spans="1:6" s="41" customFormat="1" ht="30" customHeight="1">
      <c r="A59" s="103"/>
      <c r="F59" s="83"/>
    </row>
    <row r="60" spans="1:6" s="41" customFormat="1" ht="30" customHeight="1">
      <c r="A60" s="103"/>
      <c r="F60" s="83"/>
    </row>
    <row r="61" spans="1:6" s="41" customFormat="1" ht="30" customHeight="1">
      <c r="A61" s="103"/>
      <c r="F61" s="83"/>
    </row>
    <row r="62" spans="1:6" s="41" customFormat="1" ht="30" customHeight="1">
      <c r="A62" s="103"/>
      <c r="F62" s="83"/>
    </row>
    <row r="63" spans="1:6" s="41" customFormat="1" ht="30" customHeight="1">
      <c r="A63" s="103"/>
      <c r="F63" s="83"/>
    </row>
    <row r="64" spans="1:6" s="41" customFormat="1" ht="30" customHeight="1">
      <c r="A64" s="103"/>
      <c r="F64" s="83"/>
    </row>
    <row r="65" spans="1:6" s="41" customFormat="1" ht="30" customHeight="1">
      <c r="A65" s="103"/>
      <c r="F65" s="83"/>
    </row>
    <row r="66" spans="1:6" s="41" customFormat="1" ht="30" customHeight="1">
      <c r="A66" s="103"/>
      <c r="F66" s="83"/>
    </row>
    <row r="67" spans="1:6" s="41" customFormat="1" ht="30" customHeight="1">
      <c r="A67" s="103"/>
      <c r="F67" s="83"/>
    </row>
    <row r="68" spans="1:6" s="41" customFormat="1" ht="30" customHeight="1">
      <c r="A68" s="103"/>
      <c r="F68" s="83"/>
    </row>
    <row r="69" spans="1:6" s="41" customFormat="1" ht="30" customHeight="1">
      <c r="A69" s="103"/>
      <c r="F69" s="83"/>
    </row>
    <row r="70" spans="1:6" s="41" customFormat="1" ht="30" customHeight="1">
      <c r="A70" s="103"/>
      <c r="F70" s="83"/>
    </row>
    <row r="71" spans="1:6" s="41" customFormat="1" ht="30" customHeight="1">
      <c r="A71" s="103"/>
      <c r="F71" s="83"/>
    </row>
    <row r="72" spans="1:6" s="41" customFormat="1" ht="30" customHeight="1">
      <c r="A72" s="103"/>
      <c r="F72" s="83"/>
    </row>
    <row r="73" spans="1:6" s="41" customFormat="1" ht="30" customHeight="1">
      <c r="A73" s="103"/>
      <c r="F73" s="83"/>
    </row>
    <row r="74" spans="1:6" s="41" customFormat="1" ht="30" customHeight="1">
      <c r="A74" s="103"/>
      <c r="F74" s="83"/>
    </row>
    <row r="75" spans="1:6" s="41" customFormat="1" ht="30" customHeight="1">
      <c r="A75" s="103"/>
      <c r="F75" s="83"/>
    </row>
    <row r="76" spans="1:6" s="41" customFormat="1" ht="30" customHeight="1">
      <c r="A76" s="103"/>
      <c r="F76" s="83"/>
    </row>
    <row r="77" spans="1:6" s="41" customFormat="1" ht="30" customHeight="1">
      <c r="A77" s="103"/>
      <c r="F77" s="83"/>
    </row>
    <row r="78" spans="1:6" s="41" customFormat="1" ht="30" customHeight="1">
      <c r="A78" s="103"/>
      <c r="F78" s="83"/>
    </row>
    <row r="79" spans="1:6" s="41" customFormat="1" ht="30" customHeight="1">
      <c r="A79" s="103"/>
      <c r="F79" s="83"/>
    </row>
    <row r="80" spans="1:6" s="41" customFormat="1" ht="30" customHeight="1">
      <c r="A80" s="103"/>
      <c r="F80" s="83"/>
    </row>
    <row r="81" spans="1:6" s="41" customFormat="1" ht="30" customHeight="1">
      <c r="A81" s="103"/>
      <c r="F81" s="83"/>
    </row>
    <row r="82" spans="1:6" s="41" customFormat="1" ht="30" customHeight="1">
      <c r="A82" s="103"/>
      <c r="F82" s="83"/>
    </row>
    <row r="83" spans="1:6" s="41" customFormat="1" ht="30" customHeight="1">
      <c r="A83" s="103"/>
      <c r="F83" s="83"/>
    </row>
    <row r="84" spans="1:6" s="41" customFormat="1" ht="30" customHeight="1">
      <c r="A84" s="103"/>
      <c r="F84" s="83"/>
    </row>
    <row r="85" spans="1:6" s="41" customFormat="1" ht="30" customHeight="1">
      <c r="A85" s="103"/>
      <c r="F85" s="83"/>
    </row>
    <row r="86" spans="1:6" s="41" customFormat="1" ht="30" customHeight="1">
      <c r="A86" s="103"/>
      <c r="F86" s="83"/>
    </row>
    <row r="87" spans="1:6" s="41" customFormat="1" ht="30" customHeight="1">
      <c r="A87" s="103"/>
      <c r="F87" s="83"/>
    </row>
    <row r="88" spans="1:6" s="41" customFormat="1" ht="30" customHeight="1">
      <c r="A88" s="103"/>
      <c r="F88" s="83"/>
    </row>
    <row r="89" spans="1:6" s="41" customFormat="1" ht="30" customHeight="1">
      <c r="A89" s="103"/>
      <c r="F89" s="83"/>
    </row>
    <row r="90" spans="1:6" s="41" customFormat="1" ht="30" customHeight="1">
      <c r="A90" s="103"/>
      <c r="F90" s="83"/>
    </row>
    <row r="91" spans="1:6" s="41" customFormat="1" ht="30" customHeight="1">
      <c r="A91" s="103"/>
      <c r="F91" s="83"/>
    </row>
    <row r="92" spans="1:6" s="41" customFormat="1" ht="30" customHeight="1">
      <c r="A92" s="103"/>
      <c r="F92" s="83"/>
    </row>
    <row r="93" spans="1:6" s="41" customFormat="1" ht="30" customHeight="1">
      <c r="A93" s="103"/>
      <c r="F93" s="83"/>
    </row>
    <row r="94" spans="1:6" s="41" customFormat="1" ht="30" customHeight="1">
      <c r="A94" s="103"/>
      <c r="F94" s="83"/>
    </row>
    <row r="95" spans="1:6" s="41" customFormat="1" ht="30" customHeight="1">
      <c r="A95" s="103"/>
      <c r="F95" s="83"/>
    </row>
    <row r="96" spans="1:6" s="41" customFormat="1" ht="30" customHeight="1">
      <c r="A96" s="103"/>
      <c r="F96" s="83"/>
    </row>
    <row r="97" spans="1:10" s="41" customFormat="1" ht="30" customHeight="1">
      <c r="A97" s="103"/>
      <c r="F97" s="83"/>
    </row>
    <row r="98" spans="1:10" s="41" customFormat="1" ht="30" customHeight="1">
      <c r="A98" s="103"/>
      <c r="F98" s="83"/>
    </row>
    <row r="99" spans="1:10" s="41" customFormat="1" ht="30" customHeight="1">
      <c r="A99" s="103"/>
      <c r="F99" s="83"/>
    </row>
    <row r="100" spans="1:10" s="41" customFormat="1" ht="30" customHeight="1">
      <c r="A100" s="103"/>
      <c r="F100" s="83"/>
    </row>
    <row r="101" spans="1:10" s="41" customFormat="1" ht="30" customHeight="1">
      <c r="A101" s="103"/>
      <c r="F101" s="83"/>
    </row>
    <row r="102" spans="1:10" s="41" customFormat="1" ht="30" customHeight="1">
      <c r="A102" s="103"/>
      <c r="F102" s="83"/>
    </row>
    <row r="103" spans="1:10" s="41" customFormat="1" ht="30" customHeight="1">
      <c r="A103" s="103"/>
      <c r="F103" s="83"/>
    </row>
    <row r="104" spans="1:10" s="41" customFormat="1" ht="30" customHeight="1">
      <c r="A104" s="103"/>
      <c r="F104" s="83"/>
    </row>
    <row r="105" spans="1:10" s="41" customFormat="1" ht="30" customHeight="1">
      <c r="A105" s="103"/>
      <c r="F105" s="83"/>
    </row>
    <row r="106" spans="1:10" s="1" customFormat="1" ht="15" hidden="1">
      <c r="A106" s="104"/>
      <c r="B106"/>
      <c r="C106"/>
      <c r="D106"/>
      <c r="E106"/>
      <c r="F106" s="5"/>
      <c r="G106"/>
      <c r="H106"/>
      <c r="I106"/>
      <c r="J106"/>
    </row>
    <row r="107" spans="1:10" s="1" customFormat="1" ht="15" hidden="1">
      <c r="A107" s="104"/>
      <c r="B107"/>
      <c r="C107"/>
      <c r="D107"/>
      <c r="E107"/>
      <c r="F107" s="5"/>
      <c r="G107"/>
      <c r="H107"/>
      <c r="I107"/>
      <c r="J107"/>
    </row>
    <row r="108" spans="1:10" ht="15" hidden="1" customHeight="1"/>
    <row r="109" spans="1:10" ht="0" hidden="1" customHeight="1"/>
  </sheetData>
  <sheetProtection algorithmName="SHA-512" hashValue="OKmvo3rLxOBpPZ0IO7HspDWeo6np2jlYoEFp6H/+J/+0DyFIi5OE0TeIs4VV+cAQlTyTm8Db8MRRwUNqoKdCkA==" saltValue="0ngZQPs/Qswnz8NXHi5cbw==" spinCount="100000" sheet="1" objects="1" scenarios="1"/>
  <mergeCells count="16">
    <mergeCell ref="G17:H19"/>
    <mergeCell ref="G21:H21"/>
    <mergeCell ref="G22:H25"/>
    <mergeCell ref="G6:H6"/>
    <mergeCell ref="G7:H9"/>
    <mergeCell ref="G11:H11"/>
    <mergeCell ref="G12:H14"/>
    <mergeCell ref="G16:H16"/>
    <mergeCell ref="C16:E16"/>
    <mergeCell ref="C21:E21"/>
    <mergeCell ref="D19:E19"/>
    <mergeCell ref="D25:E25"/>
    <mergeCell ref="C6:E6"/>
    <mergeCell ref="C11:E11"/>
    <mergeCell ref="D9:E9"/>
    <mergeCell ref="D14:E14"/>
  </mergeCells>
  <pageMargins left="0.511811024" right="0.511811024" top="0.78740157499999996" bottom="0.78740157499999996" header="0.31496062000000002" footer="0.31496062000000002"/>
  <pageSetup paperSize="9" orientation="portrait" r:id="rId1"/>
  <drawing r:id="rId2"/>
  <legacyDrawing r:id="rId3"/>
</worksheet>
</file>

<file path=xl/worksheets/sheet14.xml><?xml version="1.0" encoding="utf-8"?>
<worksheet xmlns="http://schemas.openxmlformats.org/spreadsheetml/2006/main" xmlns:r="http://schemas.openxmlformats.org/officeDocument/2006/relationships">
  <sheetPr codeName="Plan14"/>
  <dimension ref="A1:O117"/>
  <sheetViews>
    <sheetView showGridLines="0" zoomScale="90" zoomScaleNormal="90" workbookViewId="0">
      <pane ySplit="3" topLeftCell="A4" activePane="bottomLeft" state="frozen"/>
      <selection pane="bottomLeft" activeCell="G7" sqref="G7:H9"/>
    </sheetView>
  </sheetViews>
  <sheetFormatPr defaultColWidth="8.85546875" defaultRowHeight="0" customHeight="1" zeroHeight="1"/>
  <cols>
    <col min="1" max="1" width="27.7109375" style="104" customWidth="1"/>
    <col min="2" max="2" width="2.7109375" customWidth="1"/>
    <col min="3" max="3" width="40.7109375" customWidth="1"/>
    <col min="4" max="5" width="15.7109375" customWidth="1"/>
    <col min="6" max="6" width="0.85546875" style="5" customWidth="1"/>
    <col min="7" max="7" width="40.7109375" customWidth="1"/>
    <col min="8" max="9" width="15.7109375" customWidth="1"/>
    <col min="10" max="10" width="15" bestFit="1" customWidth="1"/>
    <col min="11" max="11" width="11" bestFit="1" customWidth="1"/>
  </cols>
  <sheetData>
    <row r="1" spans="1:15" s="58" customFormat="1" ht="33.950000000000003" customHeight="1">
      <c r="A1" s="103"/>
      <c r="C1" s="59" t="s">
        <v>527</v>
      </c>
      <c r="F1" s="82"/>
    </row>
    <row r="2" spans="1:15" s="58" customFormat="1" ht="21.6" customHeight="1">
      <c r="A2" s="103"/>
      <c r="F2" s="82"/>
    </row>
    <row r="3" spans="1:15" s="58" customFormat="1" ht="21.6" customHeight="1">
      <c r="A3" s="103"/>
      <c r="F3" s="82"/>
    </row>
    <row r="4" spans="1:15" s="41" customFormat="1" ht="44.25" customHeight="1">
      <c r="A4" s="103"/>
      <c r="B4" s="26"/>
      <c r="C4" s="26"/>
      <c r="D4" s="26"/>
      <c r="E4" s="26"/>
      <c r="F4" s="26"/>
      <c r="G4" s="26"/>
      <c r="H4" s="26"/>
      <c r="I4" s="26"/>
      <c r="J4" s="26"/>
      <c r="K4" s="26"/>
      <c r="L4" s="26"/>
      <c r="M4" s="26"/>
      <c r="N4" s="26"/>
      <c r="O4" s="26"/>
    </row>
    <row r="5" spans="1:15" s="41" customFormat="1" ht="15" customHeight="1" thickBot="1">
      <c r="A5" s="103"/>
      <c r="F5" s="83"/>
    </row>
    <row r="6" spans="1:15" s="41" customFormat="1" ht="30" customHeight="1" thickTop="1" thickBot="1">
      <c r="A6" s="103"/>
      <c r="C6" s="147" t="s">
        <v>77</v>
      </c>
      <c r="D6" s="147"/>
      <c r="E6" s="147"/>
      <c r="F6" s="77">
        <f>IF(ISERROR(SUM(F7:F8)),"",SUM(F7:F8))</f>
        <v>216958</v>
      </c>
      <c r="G6" s="147" t="s">
        <v>525</v>
      </c>
      <c r="H6" s="147"/>
    </row>
    <row r="7" spans="1:15" s="41" customFormat="1" ht="30" customHeight="1" thickTop="1" thickBot="1">
      <c r="A7" s="103"/>
      <c r="C7" s="78" t="s">
        <v>79</v>
      </c>
      <c r="D7" s="79">
        <f>IF(ISERROR(Res!$E$21),"",Res!$E$21)</f>
        <v>31136</v>
      </c>
      <c r="E7" s="12">
        <f>IF(ISERROR(F7/$F$6),"",F7/$F$6)</f>
        <v>0.14351164741562883</v>
      </c>
      <c r="F7" s="77">
        <f>IF(ISERROR(D7),"",D7)</f>
        <v>31136</v>
      </c>
      <c r="G7" s="174" t="str">
        <f>IF(ISERROR("Seu retorno de Capital Próprio Investido é de R$ " &amp; $D$9),"","Seu retorno de Capital Próprio Investido é de R$ " &amp; $D$9)</f>
        <v>Seu retorno de Capital Próprio Investido é de R$ 16,76%</v>
      </c>
      <c r="H7" s="174"/>
    </row>
    <row r="8" spans="1:15" s="41" customFormat="1" ht="30" customHeight="1" thickTop="1" thickBot="1">
      <c r="A8" s="103"/>
      <c r="C8" s="78" t="s">
        <v>81</v>
      </c>
      <c r="D8" s="79">
        <f>IF(ISERROR(Pasn!$J$55),"",Pasn!$J$55)</f>
        <v>185822</v>
      </c>
      <c r="E8" s="12">
        <f>IF(ISERROR(F8/$F$6),"",F8/$F$6)</f>
        <v>0.85648835258437117</v>
      </c>
      <c r="F8" s="77">
        <f>IF(ISERROR(D8),"",D8)</f>
        <v>185822</v>
      </c>
      <c r="G8" s="174"/>
      <c r="H8" s="174"/>
    </row>
    <row r="9" spans="1:15" s="41" customFormat="1" ht="30" customHeight="1" thickTop="1" thickBot="1">
      <c r="A9" s="103"/>
      <c r="C9" s="65" t="s">
        <v>34</v>
      </c>
      <c r="D9" s="137" t="str">
        <f>IF(ISERROR(ROUND($F$9/$F$8,2)&amp;"%"),"",ROUND($F$9/$F$8,2)&amp;"%")</f>
        <v>16,76%</v>
      </c>
      <c r="E9" s="138"/>
      <c r="F9" s="62">
        <f>IF(ISERROR(F7*100),"",F7*100)</f>
        <v>3113600</v>
      </c>
      <c r="G9" s="174"/>
      <c r="H9" s="174"/>
    </row>
    <row r="10" spans="1:15" s="41" customFormat="1" ht="30" customHeight="1" thickTop="1" thickBot="1">
      <c r="A10" s="103"/>
      <c r="J10" s="76"/>
    </row>
    <row r="11" spans="1:15" s="41" customFormat="1" ht="30" customHeight="1" thickTop="1" thickBot="1">
      <c r="A11" s="103"/>
      <c r="C11" s="147" t="s">
        <v>78</v>
      </c>
      <c r="D11" s="147"/>
      <c r="E11" s="147"/>
      <c r="F11" s="76">
        <f>IF(ISERROR(SUM(D12:D13)),"",SUM(D12:D13))</f>
        <v>325916</v>
      </c>
      <c r="G11" s="147" t="s">
        <v>525</v>
      </c>
      <c r="H11" s="147"/>
      <c r="J11" s="76"/>
    </row>
    <row r="12" spans="1:15" s="41" customFormat="1" ht="30" customHeight="1" thickTop="1" thickBot="1">
      <c r="A12" s="103"/>
      <c r="C12" s="78" t="s">
        <v>80</v>
      </c>
      <c r="D12" s="79">
        <f>IF(ISERROR(Res!$E$21),"",Res!$E$21)</f>
        <v>31136</v>
      </c>
      <c r="E12" s="12">
        <f>IF(ISERROR(F12/$F$11),"",F12/$F$11)</f>
        <v>9.5533818529927955E-2</v>
      </c>
      <c r="F12" s="76">
        <f>IF(ISERROR(D12),"",D12)</f>
        <v>31136</v>
      </c>
      <c r="G12" s="174" t="str">
        <f>IF(ISERROR("Sua rentabilidade total de recursos administrados pela empresa é de " &amp; ($D$14)),"","Sua rentabilidade total de recursos administrados pela empresa é de " &amp; ($D$14))</f>
        <v>Sua rentabilidade total de recursos administrados pela empresa é de 10,56%</v>
      </c>
      <c r="H12" s="174"/>
      <c r="J12" s="76"/>
    </row>
    <row r="13" spans="1:15" s="41" customFormat="1" ht="30" customHeight="1" thickTop="1" thickBot="1">
      <c r="A13" s="103"/>
      <c r="C13" s="78" t="s">
        <v>82</v>
      </c>
      <c r="D13" s="79">
        <f>IF(ISERROR(Bal!$J$24+Atin!$J$45),"",Bal!$J$24+Atin!$J$45)</f>
        <v>294780</v>
      </c>
      <c r="E13" s="12">
        <f>IF(ISERROR(F13/$F$11),"",F13/$F$11)</f>
        <v>0.90446618147007207</v>
      </c>
      <c r="F13" s="76">
        <f>IF(ISERROR(D13),"",D13)</f>
        <v>294780</v>
      </c>
      <c r="G13" s="174"/>
      <c r="H13" s="174"/>
      <c r="J13" s="76"/>
    </row>
    <row r="14" spans="1:15" s="41" customFormat="1" ht="30" customHeight="1" thickTop="1" thickBot="1">
      <c r="A14" s="103"/>
      <c r="C14" s="65" t="s">
        <v>34</v>
      </c>
      <c r="D14" s="172" t="str">
        <f>IF(ISERROR((ROUND(F14/F13,2))&amp;"%"),"",((ROUND(F14/F13,2)&amp;"%")))</f>
        <v>10,56%</v>
      </c>
      <c r="E14" s="173"/>
      <c r="F14" s="76">
        <f>IF(ISERROR(F12*100),"",F12*100)</f>
        <v>3113600</v>
      </c>
      <c r="G14" s="174"/>
      <c r="H14" s="174"/>
      <c r="J14" s="76"/>
    </row>
    <row r="15" spans="1:15" s="41" customFormat="1" ht="30" customHeight="1" thickTop="1" thickBot="1">
      <c r="A15" s="103"/>
      <c r="F15" s="75"/>
      <c r="J15" s="75"/>
    </row>
    <row r="16" spans="1:15" s="41" customFormat="1" ht="30" customHeight="1" thickTop="1" thickBot="1">
      <c r="A16" s="103"/>
      <c r="C16" s="147" t="s">
        <v>83</v>
      </c>
      <c r="D16" s="147"/>
      <c r="E16" s="147"/>
      <c r="F16" s="77">
        <f>IF(ISERROR(SUM(F17:F18)),"",SUM(F17:F18))</f>
        <v>692950</v>
      </c>
      <c r="G16" s="147" t="s">
        <v>525</v>
      </c>
      <c r="H16" s="147"/>
    </row>
    <row r="17" spans="1:10" s="41" customFormat="1" ht="30" customHeight="1" thickTop="1" thickBot="1">
      <c r="A17" s="103"/>
      <c r="C17" s="78" t="s">
        <v>85</v>
      </c>
      <c r="D17" s="79">
        <f>IF(ISERROR(Res!$E$8-Res!$J$8),"",Res!$E$8-Res!$J$8)</f>
        <v>398170</v>
      </c>
      <c r="E17" s="12">
        <f>IF(ISERROR(F17/$F$16),"",F17/$F$16)</f>
        <v>0.57460134208817371</v>
      </c>
      <c r="F17" s="77">
        <f>IF(ISERROR(D17),"",D17)</f>
        <v>398170</v>
      </c>
      <c r="G17" s="174" t="str">
        <f>IF(ISERROR("A cada R$ 1,00 de Ativo foi produzido de receita R$ "&amp;ROUND($D$19,2)),"","A cada R$ 1,00 de Ativo foi produzido de receita R$ "&amp;ROUND($D$19,2))</f>
        <v>A cada R$ 1,00 de Ativo foi produzido de receita R$ 1,35</v>
      </c>
      <c r="H17" s="174"/>
    </row>
    <row r="18" spans="1:10" s="41" customFormat="1" ht="30" customHeight="1" thickTop="1" thickBot="1">
      <c r="A18" s="103"/>
      <c r="C18" s="78" t="s">
        <v>82</v>
      </c>
      <c r="D18" s="79">
        <f>IF(ISERROR(Bal!$J$24+Atin!$J$45),"",Bal!$J$24+Atin!$J$45)</f>
        <v>294780</v>
      </c>
      <c r="E18" s="12">
        <f>IF(ISERROR(F18/$F$16),"",F18/$F$16)</f>
        <v>0.42539865791182624</v>
      </c>
      <c r="F18" s="77">
        <f>IF(ISERROR(D18),"",D18)</f>
        <v>294780</v>
      </c>
      <c r="G18" s="174"/>
      <c r="H18" s="174"/>
    </row>
    <row r="19" spans="1:10" s="41" customFormat="1" ht="30" customHeight="1" thickTop="1" thickBot="1">
      <c r="A19" s="103"/>
      <c r="C19" s="65" t="s">
        <v>34</v>
      </c>
      <c r="D19" s="137">
        <f>IF(ISERROR(F17/F18),"",F17/F18)</f>
        <v>1.3507361422077482</v>
      </c>
      <c r="E19" s="138"/>
      <c r="F19" s="75"/>
      <c r="G19" s="174"/>
      <c r="H19" s="174"/>
    </row>
    <row r="20" spans="1:10" s="41" customFormat="1" ht="30" customHeight="1" thickTop="1" thickBot="1">
      <c r="A20" s="103"/>
      <c r="J20" s="76"/>
    </row>
    <row r="21" spans="1:10" s="41" customFormat="1" ht="30" customHeight="1" thickTop="1" thickBot="1">
      <c r="A21" s="103"/>
      <c r="C21" s="147" t="s">
        <v>84</v>
      </c>
      <c r="D21" s="147"/>
      <c r="E21" s="147"/>
      <c r="F21" s="76">
        <f>IF(ISERROR(SUM(F22:F23)),"",SUM(F22:F23))</f>
        <v>439806</v>
      </c>
      <c r="G21" s="147" t="s">
        <v>525</v>
      </c>
      <c r="H21" s="147"/>
      <c r="J21" s="76"/>
    </row>
    <row r="22" spans="1:10" s="41" customFormat="1" ht="30" customHeight="1" thickTop="1" thickBot="1">
      <c r="A22" s="103"/>
      <c r="C22" s="78" t="s">
        <v>80</v>
      </c>
      <c r="D22" s="79">
        <f>IF(ISERROR(Res!$E$21),"",Res!$E$21)</f>
        <v>31136</v>
      </c>
      <c r="E22" s="12">
        <f>IF(ISERROR(F22/$F$21),"",F22/$F$21)</f>
        <v>7.0794850456792319E-2</v>
      </c>
      <c r="F22" s="76">
        <f>IF(ISERROR(D22),"",D22)</f>
        <v>31136</v>
      </c>
      <c r="G22" s="175" t="str">
        <f>IF(ISERROR("A capacidade da Empresa em gerar lucro comparativamente à Receita Líquida é de " &amp; ($D$24)),"","A capacidade da Empresa em gerar lucro comparativamente à Receita Líquida é de R$ " &amp; ($D$24))</f>
        <v>A capacidade da Empresa em gerar lucro comparativamente à Receita Líquida é de R$ 7,62%</v>
      </c>
      <c r="H22" s="175"/>
      <c r="J22" s="76"/>
    </row>
    <row r="23" spans="1:10" s="41" customFormat="1" ht="30" customHeight="1" thickTop="1" thickBot="1">
      <c r="A23" s="103"/>
      <c r="C23" s="78" t="s">
        <v>86</v>
      </c>
      <c r="D23" s="79">
        <f>IF(ISERROR(Dre!$J$18),"",Dre!$J$18)</f>
        <v>408670</v>
      </c>
      <c r="E23" s="12">
        <f>IF(ISERROR(F23/$F$21),"",F23/$F$21)</f>
        <v>0.92920514954320765</v>
      </c>
      <c r="F23" s="76">
        <f>IF(ISERROR(D23),"",D23)</f>
        <v>408670</v>
      </c>
      <c r="G23" s="175"/>
      <c r="H23" s="175"/>
      <c r="J23" s="76"/>
    </row>
    <row r="24" spans="1:10" s="41" customFormat="1" ht="30" customHeight="1" thickTop="1" thickBot="1">
      <c r="A24" s="103"/>
      <c r="C24" s="65" t="s">
        <v>34</v>
      </c>
      <c r="D24" s="137" t="str">
        <f>IF(ISERROR(ROUND(F24/F23,2)&amp;"%"),"",ROUND(F24/F23,2)&amp;"%")</f>
        <v>7,62%</v>
      </c>
      <c r="E24" s="138"/>
      <c r="F24" s="76">
        <f>IF(ISERROR(F22*100),"",F22*100)</f>
        <v>3113600</v>
      </c>
      <c r="G24" s="175"/>
      <c r="H24" s="175"/>
      <c r="J24" s="76"/>
    </row>
    <row r="25" spans="1:10" s="41" customFormat="1" ht="30" customHeight="1" thickTop="1">
      <c r="A25" s="103"/>
      <c r="F25" s="75"/>
      <c r="J25" s="76"/>
    </row>
    <row r="26" spans="1:10" s="41" customFormat="1" ht="30" customHeight="1">
      <c r="A26" s="103"/>
      <c r="J26" s="83"/>
    </row>
    <row r="27" spans="1:10" s="41" customFormat="1" ht="30" customHeight="1">
      <c r="A27" s="103"/>
      <c r="J27" s="83"/>
    </row>
    <row r="28" spans="1:10" s="41" customFormat="1" ht="30" customHeight="1">
      <c r="A28" s="103"/>
      <c r="J28" s="83"/>
    </row>
    <row r="29" spans="1:10" s="41" customFormat="1" ht="30" customHeight="1">
      <c r="A29" s="103"/>
      <c r="J29" s="83"/>
    </row>
    <row r="30" spans="1:10" s="41" customFormat="1" ht="30" customHeight="1">
      <c r="A30" s="103"/>
      <c r="F30" s="86">
        <f>F27-1</f>
        <v>-1</v>
      </c>
      <c r="J30" s="83"/>
    </row>
    <row r="31" spans="1:10" s="41" customFormat="1" ht="30" customHeight="1">
      <c r="A31" s="103"/>
      <c r="F31" s="75"/>
    </row>
    <row r="32" spans="1:10" s="41" customFormat="1" ht="30" customHeight="1">
      <c r="A32" s="103"/>
    </row>
    <row r="33" spans="1:1" s="41" customFormat="1" ht="30" customHeight="1">
      <c r="A33" s="103"/>
    </row>
    <row r="34" spans="1:1" s="41" customFormat="1" ht="30" customHeight="1">
      <c r="A34" s="103"/>
    </row>
    <row r="35" spans="1:1" s="41" customFormat="1" ht="30" customHeight="1">
      <c r="A35" s="103"/>
    </row>
    <row r="36" spans="1:1" s="41" customFormat="1" ht="30" customHeight="1">
      <c r="A36" s="103"/>
    </row>
    <row r="37" spans="1:1" s="41" customFormat="1" ht="30" customHeight="1">
      <c r="A37" s="103"/>
    </row>
    <row r="38" spans="1:1" s="41" customFormat="1" ht="30" customHeight="1">
      <c r="A38" s="103"/>
    </row>
    <row r="39" spans="1:1" s="41" customFormat="1" ht="30" customHeight="1">
      <c r="A39" s="103"/>
    </row>
    <row r="40" spans="1:1" s="41" customFormat="1" ht="30" customHeight="1">
      <c r="A40" s="103"/>
    </row>
    <row r="41" spans="1:1" s="41" customFormat="1" ht="30" customHeight="1">
      <c r="A41" s="103"/>
    </row>
    <row r="42" spans="1:1" s="41" customFormat="1" ht="30" customHeight="1">
      <c r="A42" s="103"/>
    </row>
    <row r="43" spans="1:1" s="41" customFormat="1" ht="30" customHeight="1">
      <c r="A43" s="103"/>
    </row>
    <row r="44" spans="1:1" s="41" customFormat="1" ht="30" customHeight="1">
      <c r="A44" s="103"/>
    </row>
    <row r="45" spans="1:1" s="41" customFormat="1" ht="30" customHeight="1">
      <c r="A45" s="103"/>
    </row>
    <row r="46" spans="1:1" s="41" customFormat="1" ht="30" customHeight="1">
      <c r="A46" s="103"/>
    </row>
    <row r="47" spans="1:1" s="41" customFormat="1" ht="30" customHeight="1">
      <c r="A47" s="103"/>
    </row>
    <row r="48" spans="1:1" s="41" customFormat="1" ht="30" customHeight="1">
      <c r="A48" s="103"/>
    </row>
    <row r="49" spans="1:1" s="41" customFormat="1" ht="30" customHeight="1">
      <c r="A49" s="103"/>
    </row>
    <row r="50" spans="1:1" s="41" customFormat="1" ht="30" customHeight="1">
      <c r="A50" s="103"/>
    </row>
    <row r="51" spans="1:1" s="41" customFormat="1" ht="30" customHeight="1">
      <c r="A51" s="103"/>
    </row>
    <row r="52" spans="1:1" s="41" customFormat="1" ht="30" customHeight="1">
      <c r="A52" s="103"/>
    </row>
    <row r="53" spans="1:1" s="41" customFormat="1" ht="30" customHeight="1">
      <c r="A53" s="103"/>
    </row>
    <row r="54" spans="1:1" s="41" customFormat="1" ht="30" customHeight="1">
      <c r="A54" s="103"/>
    </row>
    <row r="55" spans="1:1" s="41" customFormat="1" ht="30" customHeight="1">
      <c r="A55" s="103"/>
    </row>
    <row r="56" spans="1:1" s="41" customFormat="1" ht="30" customHeight="1">
      <c r="A56" s="103"/>
    </row>
    <row r="57" spans="1:1" s="41" customFormat="1" ht="30" customHeight="1">
      <c r="A57" s="103"/>
    </row>
    <row r="58" spans="1:1" s="41" customFormat="1" ht="30" customHeight="1">
      <c r="A58" s="103"/>
    </row>
    <row r="59" spans="1:1" s="41" customFormat="1" ht="30" customHeight="1">
      <c r="A59" s="103"/>
    </row>
    <row r="60" spans="1:1" s="41" customFormat="1" ht="30" customHeight="1">
      <c r="A60" s="103"/>
    </row>
    <row r="61" spans="1:1" s="41" customFormat="1" ht="30" customHeight="1">
      <c r="A61" s="103"/>
    </row>
    <row r="62" spans="1:1" s="41" customFormat="1" ht="30" customHeight="1">
      <c r="A62" s="103"/>
    </row>
    <row r="63" spans="1:1" s="41" customFormat="1" ht="30" customHeight="1">
      <c r="A63" s="103"/>
    </row>
    <row r="64" spans="1:1" s="41" customFormat="1" ht="30" customHeight="1">
      <c r="A64" s="103"/>
    </row>
    <row r="65" spans="1:1" s="41" customFormat="1" ht="30" customHeight="1">
      <c r="A65" s="103"/>
    </row>
    <row r="66" spans="1:1" s="41" customFormat="1" ht="30" customHeight="1">
      <c r="A66" s="103"/>
    </row>
    <row r="67" spans="1:1" s="41" customFormat="1" ht="30" customHeight="1">
      <c r="A67" s="103"/>
    </row>
    <row r="68" spans="1:1" s="41" customFormat="1" ht="30" customHeight="1">
      <c r="A68" s="103"/>
    </row>
    <row r="69" spans="1:1" s="41" customFormat="1" ht="30" customHeight="1">
      <c r="A69" s="103"/>
    </row>
    <row r="70" spans="1:1" s="41" customFormat="1" ht="30" customHeight="1">
      <c r="A70" s="103"/>
    </row>
    <row r="71" spans="1:1" s="41" customFormat="1" ht="30" customHeight="1">
      <c r="A71" s="103"/>
    </row>
    <row r="72" spans="1:1" s="41" customFormat="1" ht="30" customHeight="1">
      <c r="A72" s="103"/>
    </row>
    <row r="73" spans="1:1" s="41" customFormat="1" ht="30" customHeight="1">
      <c r="A73" s="103"/>
    </row>
    <row r="74" spans="1:1" s="41" customFormat="1" ht="30" customHeight="1">
      <c r="A74" s="103"/>
    </row>
    <row r="75" spans="1:1" s="41" customFormat="1" ht="30" customHeight="1">
      <c r="A75" s="103"/>
    </row>
    <row r="76" spans="1:1" s="41" customFormat="1" ht="30" customHeight="1">
      <c r="A76" s="103"/>
    </row>
    <row r="77" spans="1:1" s="41" customFormat="1" ht="30" customHeight="1">
      <c r="A77" s="103"/>
    </row>
    <row r="78" spans="1:1" s="41" customFormat="1" ht="30" customHeight="1">
      <c r="A78" s="103"/>
    </row>
    <row r="79" spans="1:1" s="41" customFormat="1" ht="30" customHeight="1">
      <c r="A79" s="103"/>
    </row>
    <row r="80" spans="1:1" s="41" customFormat="1" ht="30" customHeight="1">
      <c r="A80" s="103"/>
    </row>
    <row r="81" spans="1:1" s="41" customFormat="1" ht="30" customHeight="1">
      <c r="A81" s="103"/>
    </row>
    <row r="82" spans="1:1" s="41" customFormat="1" ht="30" customHeight="1">
      <c r="A82" s="103"/>
    </row>
    <row r="83" spans="1:1" s="41" customFormat="1" ht="30" customHeight="1">
      <c r="A83" s="103"/>
    </row>
    <row r="84" spans="1:1" s="41" customFormat="1" ht="30" customHeight="1">
      <c r="A84" s="103"/>
    </row>
    <row r="85" spans="1:1" s="41" customFormat="1" ht="30" customHeight="1">
      <c r="A85" s="103"/>
    </row>
    <row r="86" spans="1:1" s="41" customFormat="1" ht="30" customHeight="1">
      <c r="A86" s="103"/>
    </row>
    <row r="87" spans="1:1" s="41" customFormat="1" ht="30" customHeight="1">
      <c r="A87" s="103"/>
    </row>
    <row r="88" spans="1:1" s="41" customFormat="1" ht="30" customHeight="1">
      <c r="A88" s="103"/>
    </row>
    <row r="89" spans="1:1" s="41" customFormat="1" ht="30" customHeight="1">
      <c r="A89" s="103"/>
    </row>
    <row r="90" spans="1:1" s="41" customFormat="1" ht="30" customHeight="1">
      <c r="A90" s="103"/>
    </row>
    <row r="91" spans="1:1" s="41" customFormat="1" ht="30" customHeight="1">
      <c r="A91" s="103"/>
    </row>
    <row r="92" spans="1:1" s="41" customFormat="1" ht="30" customHeight="1">
      <c r="A92" s="103"/>
    </row>
    <row r="93" spans="1:1" s="41" customFormat="1" ht="30" customHeight="1">
      <c r="A93" s="103"/>
    </row>
    <row r="94" spans="1:1" s="41" customFormat="1" ht="30" customHeight="1">
      <c r="A94" s="103"/>
    </row>
    <row r="95" spans="1:1" s="41" customFormat="1" ht="30" customHeight="1">
      <c r="A95" s="103"/>
    </row>
    <row r="96" spans="1:1" s="41" customFormat="1" ht="30" customHeight="1">
      <c r="A96" s="103"/>
    </row>
    <row r="97" spans="1:10" s="41" customFormat="1" ht="30" customHeight="1">
      <c r="A97" s="103"/>
    </row>
    <row r="98" spans="1:10" s="41" customFormat="1" ht="30" customHeight="1">
      <c r="A98" s="103"/>
    </row>
    <row r="99" spans="1:10" s="41" customFormat="1" ht="30" customHeight="1">
      <c r="A99" s="103"/>
    </row>
    <row r="100" spans="1:10" s="41" customFormat="1" ht="30" customHeight="1">
      <c r="A100" s="103"/>
    </row>
    <row r="101" spans="1:10" s="41" customFormat="1" ht="30" customHeight="1">
      <c r="A101" s="103"/>
    </row>
    <row r="102" spans="1:10" s="41" customFormat="1" ht="30" customHeight="1">
      <c r="A102" s="103"/>
    </row>
    <row r="103" spans="1:10" s="41" customFormat="1" ht="30" customHeight="1">
      <c r="A103" s="103"/>
    </row>
    <row r="104" spans="1:10" s="41" customFormat="1" ht="30" customHeight="1">
      <c r="A104" s="103"/>
    </row>
    <row r="105" spans="1:10" s="41" customFormat="1" ht="30" customHeight="1">
      <c r="A105" s="103"/>
    </row>
    <row r="106" spans="1:10" s="41" customFormat="1" ht="30" customHeight="1">
      <c r="A106" s="103"/>
    </row>
    <row r="107" spans="1:10" s="41" customFormat="1" ht="30" customHeight="1">
      <c r="A107" s="103"/>
    </row>
    <row r="108" spans="1:10" s="41" customFormat="1" ht="30" customHeight="1">
      <c r="A108" s="103"/>
    </row>
    <row r="109" spans="1:10" s="41" customFormat="1" ht="30" customHeight="1">
      <c r="A109" s="103"/>
    </row>
    <row r="110" spans="1:10" s="41" customFormat="1" ht="30" customHeight="1">
      <c r="A110" s="103"/>
    </row>
    <row r="111" spans="1:10" s="1" customFormat="1" ht="15" hidden="1">
      <c r="A111" s="104"/>
      <c r="B111"/>
      <c r="C111"/>
      <c r="D111"/>
      <c r="E111"/>
      <c r="F111"/>
      <c r="G111"/>
      <c r="H111"/>
      <c r="I111"/>
      <c r="J111"/>
    </row>
    <row r="112" spans="1:10" s="1" customFormat="1" ht="15" hidden="1">
      <c r="A112" s="104"/>
      <c r="B112"/>
      <c r="C112"/>
      <c r="D112"/>
      <c r="E112"/>
      <c r="F112"/>
      <c r="G112"/>
      <c r="H112"/>
      <c r="I112"/>
      <c r="J112"/>
    </row>
    <row r="113" spans="1:10" s="1" customFormat="1" ht="15" hidden="1" customHeight="1">
      <c r="A113" s="104"/>
      <c r="B113"/>
      <c r="C113"/>
      <c r="D113"/>
      <c r="E113"/>
      <c r="F113" s="5"/>
      <c r="G113"/>
      <c r="H113"/>
      <c r="I113"/>
      <c r="J113"/>
    </row>
    <row r="114" spans="1:10" s="1" customFormat="1" ht="0" hidden="1" customHeight="1">
      <c r="A114" s="104"/>
      <c r="B114"/>
      <c r="C114"/>
      <c r="D114"/>
      <c r="E114"/>
      <c r="F114" s="5"/>
      <c r="G114"/>
      <c r="H114"/>
      <c r="I114"/>
      <c r="J114"/>
    </row>
    <row r="115" spans="1:10" ht="0" hidden="1" customHeight="1"/>
    <row r="116" spans="1:10" ht="0" hidden="1" customHeight="1"/>
    <row r="117" spans="1:10" ht="0" hidden="1" customHeight="1"/>
  </sheetData>
  <sheetProtection algorithmName="SHA-512" hashValue="J/9/cvPv6Tm1eR1xbNmOKc6Bz2D76bx/mjBAbpf7BCQTzyaOajBENw+2uZIn6u8Drpu2FMnIqsy1ege95ICAhQ==" saltValue="oxRcGkYMFsrHjNkQ51y4Fw==" spinCount="100000" sheet="1" objects="1" scenarios="1"/>
  <mergeCells count="16">
    <mergeCell ref="G17:H19"/>
    <mergeCell ref="G21:H21"/>
    <mergeCell ref="G22:H24"/>
    <mergeCell ref="G6:H6"/>
    <mergeCell ref="G7:H9"/>
    <mergeCell ref="G11:H11"/>
    <mergeCell ref="G12:H14"/>
    <mergeCell ref="G16:H16"/>
    <mergeCell ref="C21:E21"/>
    <mergeCell ref="D19:E19"/>
    <mergeCell ref="D24:E24"/>
    <mergeCell ref="C6:E6"/>
    <mergeCell ref="C11:E11"/>
    <mergeCell ref="D9:E9"/>
    <mergeCell ref="D14:E14"/>
    <mergeCell ref="C16:E16"/>
  </mergeCells>
  <pageMargins left="0.511811024" right="0.511811024" top="0.78740157499999996" bottom="0.78740157499999996" header="0.31496062000000002" footer="0.31496062000000002"/>
  <drawing r:id="rId1"/>
  <legacyDrawing r:id="rId2"/>
</worksheet>
</file>

<file path=xl/worksheets/sheet15.xml><?xml version="1.0" encoding="utf-8"?>
<worksheet xmlns="http://schemas.openxmlformats.org/spreadsheetml/2006/main" xmlns:r="http://schemas.openxmlformats.org/officeDocument/2006/relationships">
  <sheetPr codeName="Plan15"/>
  <dimension ref="A1:S128"/>
  <sheetViews>
    <sheetView showGridLines="0" zoomScale="90" zoomScaleNormal="90" workbookViewId="0">
      <pane ySplit="3" topLeftCell="A4" activePane="bottomLeft" state="frozen"/>
      <selection pane="bottomLeft" activeCell="J6" sqref="J6"/>
    </sheetView>
  </sheetViews>
  <sheetFormatPr defaultColWidth="8.85546875" defaultRowHeight="0" customHeight="1" zeroHeight="1"/>
  <cols>
    <col min="1" max="1" width="27.7109375" style="104" customWidth="1"/>
    <col min="2" max="2" width="2.7109375" customWidth="1"/>
    <col min="3" max="3" width="40.7109375" customWidth="1"/>
    <col min="4" max="5" width="15.7109375" customWidth="1"/>
    <col min="6" max="6" width="0.85546875" style="5" customWidth="1"/>
    <col min="7" max="7" width="40.7109375" customWidth="1"/>
    <col min="8" max="9" width="15.7109375" customWidth="1"/>
    <col min="10" max="10" width="15" bestFit="1" customWidth="1"/>
    <col min="11" max="11" width="11" bestFit="1" customWidth="1"/>
  </cols>
  <sheetData>
    <row r="1" spans="1:19" s="58" customFormat="1" ht="33.950000000000003" customHeight="1">
      <c r="A1" s="103"/>
      <c r="C1" s="59" t="s">
        <v>527</v>
      </c>
      <c r="F1" s="82"/>
    </row>
    <row r="2" spans="1:19" s="58" customFormat="1" ht="21.6" customHeight="1">
      <c r="A2" s="103"/>
      <c r="F2" s="82"/>
    </row>
    <row r="3" spans="1:19" s="58" customFormat="1" ht="21.6" customHeight="1">
      <c r="A3" s="103"/>
      <c r="F3" s="82"/>
    </row>
    <row r="4" spans="1:19" s="41" customFormat="1" ht="44.25" customHeight="1">
      <c r="A4" s="103"/>
      <c r="B4" s="26"/>
      <c r="C4" s="26"/>
      <c r="D4" s="26"/>
      <c r="E4" s="26"/>
      <c r="F4" s="26"/>
      <c r="G4" s="26"/>
      <c r="H4" s="26"/>
      <c r="I4" s="26"/>
      <c r="J4" s="26"/>
      <c r="K4" s="26"/>
      <c r="L4" s="26"/>
      <c r="M4" s="26"/>
      <c r="N4" s="26"/>
      <c r="O4" s="26"/>
      <c r="P4" s="26"/>
      <c r="Q4" s="26"/>
      <c r="R4" s="26"/>
      <c r="S4" s="26"/>
    </row>
    <row r="5" spans="1:19" s="41" customFormat="1" ht="15" customHeight="1" thickBot="1">
      <c r="A5" s="103"/>
      <c r="F5" s="83"/>
    </row>
    <row r="6" spans="1:19" s="41" customFormat="1" ht="30" customHeight="1" thickTop="1" thickBot="1">
      <c r="A6" s="103"/>
      <c r="C6" s="147" t="s">
        <v>87</v>
      </c>
      <c r="D6" s="147"/>
      <c r="E6" s="147"/>
      <c r="F6" s="77">
        <f>IF(ISERROR(SUM(F7:F8)),"",SUM(F7:F8))</f>
        <v>700</v>
      </c>
      <c r="G6" s="147" t="s">
        <v>525</v>
      </c>
      <c r="H6" s="147"/>
    </row>
    <row r="7" spans="1:19" s="41" customFormat="1" ht="30" customHeight="1" thickTop="1" thickBot="1">
      <c r="A7" s="103"/>
      <c r="C7" s="78" t="s">
        <v>89</v>
      </c>
      <c r="D7" s="79">
        <v>300</v>
      </c>
      <c r="E7" s="12">
        <f>IF(ISERROR(D3/$F$6),"",F7/$F$6)</f>
        <v>0.42857142857142855</v>
      </c>
      <c r="F7" s="77">
        <f>IF(ISERROR(D7),"",D7)</f>
        <v>300</v>
      </c>
      <c r="G7" s="174" t="str">
        <f>IF(ISERROR("Sua capacidade em gerar caixa comparativamente à Receita Líquida de Vendas é de " &amp; ($D$9)),"","Sua capacidade em gerar caixa comparativamente à Receita Líquida de Vendas é de " &amp; ($D$9))</f>
        <v>Sua capacidade em gerar caixa comparativamente à Receita Líquida de Vendas é de 75%</v>
      </c>
      <c r="H7" s="174"/>
    </row>
    <row r="8" spans="1:19" s="41" customFormat="1" ht="30" customHeight="1" thickTop="1" thickBot="1">
      <c r="A8" s="103"/>
      <c r="C8" s="78" t="s">
        <v>85</v>
      </c>
      <c r="D8" s="79">
        <v>400</v>
      </c>
      <c r="E8" s="12">
        <f>IF(ISERROR(D4/$F$6),"",F8/$F$6)</f>
        <v>0.5714285714285714</v>
      </c>
      <c r="F8" s="77">
        <f>IF(ISERROR(D8),"",D8)</f>
        <v>400</v>
      </c>
      <c r="G8" s="174"/>
      <c r="H8" s="174"/>
    </row>
    <row r="9" spans="1:19" s="41" customFormat="1" ht="30" customHeight="1" thickTop="1" thickBot="1">
      <c r="A9" s="103"/>
      <c r="C9" s="65" t="s">
        <v>34</v>
      </c>
      <c r="D9" s="137" t="str">
        <f>IF(ISERROR(ROUND(F9/F8,2)&amp;"%"),"",ROUND(F9/F8,2)&amp;"%")</f>
        <v>75%</v>
      </c>
      <c r="E9" s="138"/>
      <c r="F9" s="62">
        <f>IF(ISERROR(F7*100),"",F7*100)</f>
        <v>30000</v>
      </c>
      <c r="G9" s="174"/>
      <c r="H9" s="174"/>
    </row>
    <row r="10" spans="1:19" s="41" customFormat="1" ht="30" customHeight="1" thickTop="1" thickBot="1">
      <c r="A10" s="103"/>
      <c r="J10" s="76"/>
    </row>
    <row r="11" spans="1:19" s="41" customFormat="1" ht="30" customHeight="1" thickTop="1" thickBot="1">
      <c r="A11" s="103"/>
      <c r="C11" s="147" t="s">
        <v>88</v>
      </c>
      <c r="D11" s="147"/>
      <c r="E11" s="147"/>
      <c r="F11" s="76">
        <f>IF(ISERROR(SUM(F12:F13)),"",SUM(F12:F13))</f>
        <v>800</v>
      </c>
      <c r="G11" s="147" t="s">
        <v>525</v>
      </c>
      <c r="H11" s="147"/>
      <c r="J11" s="76"/>
    </row>
    <row r="12" spans="1:19" s="41" customFormat="1" ht="30" customHeight="1" thickTop="1" thickBot="1">
      <c r="A12" s="103"/>
      <c r="C12" s="78" t="s">
        <v>90</v>
      </c>
      <c r="D12" s="79">
        <v>500</v>
      </c>
      <c r="E12" s="12">
        <f>IF(ISERROR(F12/$F$11),"",F12/$F$11)</f>
        <v>0.625</v>
      </c>
      <c r="F12" s="76">
        <f>IF(ISERROR(D12),"",D12)</f>
        <v>500</v>
      </c>
      <c r="G12" s="174" t="str">
        <f>IF(ISERROR("Sua capacidade de pagar o custo dos recursoso onerosos é de "&amp;($D$14)),"","Sua capacidade de pagar o custo dos recursoso onerosos é de "&amp;($D$14))</f>
        <v>Sua capacidade de pagar o custo dos recursoso onerosos é de 166,67%</v>
      </c>
      <c r="H12" s="174"/>
      <c r="J12" s="76"/>
    </row>
    <row r="13" spans="1:19" s="41" customFormat="1" ht="30" customHeight="1" thickTop="1" thickBot="1">
      <c r="A13" s="103"/>
      <c r="C13" s="78" t="s">
        <v>85</v>
      </c>
      <c r="D13" s="79">
        <v>300</v>
      </c>
      <c r="E13" s="12">
        <f>IF(ISERROR(F13/$F$11),"",F13/$F$11)</f>
        <v>0.375</v>
      </c>
      <c r="F13" s="76">
        <f>IF(ISERROR(D13),"",D13)</f>
        <v>300</v>
      </c>
      <c r="G13" s="174"/>
      <c r="H13" s="174"/>
      <c r="J13" s="76"/>
    </row>
    <row r="14" spans="1:19" s="41" customFormat="1" ht="30" customHeight="1" thickTop="1" thickBot="1">
      <c r="A14" s="103"/>
      <c r="C14" s="65" t="s">
        <v>34</v>
      </c>
      <c r="D14" s="137" t="str">
        <f>IF(ISERROR(ROUND(F14/F13,2)&amp;"%"),"",ROUND(F14/F13,2)&amp;"%")</f>
        <v>166,67%</v>
      </c>
      <c r="E14" s="138"/>
      <c r="F14" s="76">
        <f>IF(ISERROR(F12*100),"",F12*100)</f>
        <v>50000</v>
      </c>
      <c r="G14" s="174"/>
      <c r="H14" s="174"/>
      <c r="J14" s="76"/>
    </row>
    <row r="15" spans="1:19" s="41" customFormat="1" ht="30" customHeight="1" thickTop="1" thickBot="1">
      <c r="A15" s="103"/>
      <c r="F15" s="75"/>
      <c r="J15" s="75"/>
    </row>
    <row r="16" spans="1:19" s="41" customFormat="1" ht="30" customHeight="1" thickTop="1" thickBot="1">
      <c r="A16" s="103"/>
      <c r="C16" s="147" t="s">
        <v>91</v>
      </c>
      <c r="D16" s="147"/>
      <c r="E16" s="147"/>
      <c r="F16" s="77">
        <f>IF(ISERROR(SUM(F17:F18)),"",SUM(F17:F18))</f>
        <v>600</v>
      </c>
      <c r="G16" s="147" t="s">
        <v>525</v>
      </c>
      <c r="H16" s="147"/>
    </row>
    <row r="17" spans="1:10" s="41" customFormat="1" ht="30" customHeight="1" thickTop="1" thickBot="1">
      <c r="A17" s="103"/>
      <c r="C17" s="78" t="s">
        <v>93</v>
      </c>
      <c r="D17" s="79">
        <v>200</v>
      </c>
      <c r="E17" s="12">
        <f>IF(ISERROR(F17/$F$16),"",F17/$F$16)</f>
        <v>0.33333333333333331</v>
      </c>
      <c r="F17" s="77">
        <f>IF(ISERROR(D17),"",D17)</f>
        <v>200</v>
      </c>
      <c r="G17" s="174" t="str">
        <f>IF(ISERROR("Sua capacidade de pagar suas dívidads totais com a geração de lucro da atividade é de "&amp;ROUND($D$19,2) &amp; " meses"),"","Sua capacidade de pagar suas dívidads totais com a geração de lucro da atividade é de "&amp;ROUND($D$19,2) &amp; " meses")</f>
        <v>Sua capacidade de pagar suas dívidads totais com a geração de lucro da atividade é de 6 meses</v>
      </c>
      <c r="H17" s="174"/>
    </row>
    <row r="18" spans="1:10" s="41" customFormat="1" ht="30" customHeight="1" thickTop="1" thickBot="1">
      <c r="A18" s="103"/>
      <c r="C18" s="78" t="s">
        <v>90</v>
      </c>
      <c r="D18" s="79">
        <v>400</v>
      </c>
      <c r="E18" s="12">
        <f>IF(ISERROR(F18/$F$16),"",F18/$F$16)</f>
        <v>0.66666666666666663</v>
      </c>
      <c r="F18" s="77">
        <f>IF(ISERROR(D18),"",D18)</f>
        <v>400</v>
      </c>
      <c r="G18" s="174"/>
      <c r="H18" s="174"/>
    </row>
    <row r="19" spans="1:10" s="41" customFormat="1" ht="30" customHeight="1" thickTop="1" thickBot="1">
      <c r="A19" s="103"/>
      <c r="C19" s="65" t="s">
        <v>34</v>
      </c>
      <c r="D19" s="172">
        <f>IF(ISERROR(F17/F19),"",F17/F19)</f>
        <v>6</v>
      </c>
      <c r="E19" s="173"/>
      <c r="F19" s="62">
        <f>IF(ISERROR(F18/12),"",F18/12)</f>
        <v>33.333333333333336</v>
      </c>
      <c r="G19" s="174"/>
      <c r="H19" s="174"/>
    </row>
    <row r="20" spans="1:10" s="41" customFormat="1" ht="30" customHeight="1" thickTop="1" thickBot="1">
      <c r="A20" s="103"/>
      <c r="F20" s="62"/>
      <c r="J20" s="76"/>
    </row>
    <row r="21" spans="1:10" s="41" customFormat="1" ht="30" customHeight="1" thickTop="1" thickBot="1">
      <c r="A21" s="103"/>
      <c r="C21" s="147" t="s">
        <v>92</v>
      </c>
      <c r="D21" s="147"/>
      <c r="E21" s="147"/>
      <c r="F21" s="76">
        <f>IF(ISERROR(SUM(F22:F23)),"",SUM(F22:F23))</f>
        <v>500</v>
      </c>
      <c r="G21" s="147" t="s">
        <v>525</v>
      </c>
      <c r="H21" s="147"/>
      <c r="J21" s="76"/>
    </row>
    <row r="22" spans="1:10" s="41" customFormat="1" ht="30" customHeight="1" thickTop="1" thickBot="1">
      <c r="A22" s="103"/>
      <c r="C22" s="78" t="s">
        <v>94</v>
      </c>
      <c r="D22" s="79">
        <v>200</v>
      </c>
      <c r="E22" s="12">
        <f>IF(ISERROR(F22/$F$21),"",F22/$F$21)</f>
        <v>0.4</v>
      </c>
      <c r="F22" s="76">
        <f>IF(ISERROR(D22),"",D22)</f>
        <v>200</v>
      </c>
      <c r="G22" s="174" t="str">
        <f>IF(ISERROR("Suas despesas financeiras absorvidas do EBTIDA são de  " &amp; ($D$24)),"","Suas despesas financeiras absorvidas do EBTIDA são de " &amp; ($D$24))</f>
        <v>Suas despesas financeiras absorvidas do EBTIDA são de 66,67%</v>
      </c>
      <c r="H22" s="174"/>
      <c r="J22" s="76"/>
    </row>
    <row r="23" spans="1:10" s="41" customFormat="1" ht="30" customHeight="1" thickTop="1" thickBot="1">
      <c r="A23" s="103"/>
      <c r="C23" s="78" t="s">
        <v>90</v>
      </c>
      <c r="D23" s="79">
        <v>300</v>
      </c>
      <c r="E23" s="12">
        <f>IF(ISERROR($F$23/$F$21),"",$F$23/$F$21)</f>
        <v>0.6</v>
      </c>
      <c r="F23" s="76">
        <f>IF(ISERROR(D23),"",D23)</f>
        <v>300</v>
      </c>
      <c r="G23" s="174"/>
      <c r="H23" s="174"/>
      <c r="J23" s="76"/>
    </row>
    <row r="24" spans="1:10" s="41" customFormat="1" ht="30" customHeight="1" thickTop="1" thickBot="1">
      <c r="A24" s="103"/>
      <c r="C24" s="65" t="s">
        <v>34</v>
      </c>
      <c r="D24" s="137" t="str">
        <f>IF(ISERROR(ROUND($F$24/$F$23,2) &amp;"%"),"",ROUND($F$24/$F$23,2) &amp;"%")</f>
        <v>66,67%</v>
      </c>
      <c r="E24" s="138"/>
      <c r="F24" s="76">
        <f>IF(ISERROR(F22*100),"",F22*100)</f>
        <v>20000</v>
      </c>
      <c r="G24" s="174"/>
      <c r="H24" s="174"/>
      <c r="J24" s="76"/>
    </row>
    <row r="25" spans="1:10" s="41" customFormat="1" ht="30" customHeight="1" thickTop="1" thickBot="1">
      <c r="A25" s="103"/>
      <c r="F25" s="75"/>
      <c r="J25" s="75"/>
    </row>
    <row r="26" spans="1:10" s="41" customFormat="1" ht="30" customHeight="1" thickTop="1" thickBot="1">
      <c r="A26" s="103"/>
      <c r="C26" s="147" t="s">
        <v>95</v>
      </c>
      <c r="D26" s="147"/>
      <c r="E26" s="147"/>
      <c r="F26" s="77">
        <f>IF(ISERROR(SUM(F27:F28)),"",SUM(F27:F28))</f>
        <v>220</v>
      </c>
      <c r="G26" s="147" t="s">
        <v>525</v>
      </c>
      <c r="H26" s="147"/>
    </row>
    <row r="27" spans="1:10" s="41" customFormat="1" ht="30" customHeight="1" thickTop="1" thickBot="1">
      <c r="A27" s="103"/>
      <c r="C27" s="72" t="s">
        <v>97</v>
      </c>
      <c r="D27" s="79">
        <v>20</v>
      </c>
      <c r="E27" s="12">
        <f>IF(ISERROR(F27/$F$26),"",F27/$F$26)</f>
        <v>9.0909090909090912E-2</v>
      </c>
      <c r="F27" s="77">
        <f>IF(ISERROR(D27),"",D27)</f>
        <v>20</v>
      </c>
      <c r="G27" s="174" t="str">
        <f>IF(ISERROR("A quantidade de dias de faturamento necessários para amortizar  os recursoso onerosos da empresas é de " &amp;ROUND($D$29,2) &amp; " dias"),"","A quantidade de dias de faturamento necessários para amortizar  os recursoso onerosos da empresas é de " &amp;ROUND($D$29,2) &amp; " dias")</f>
        <v>A quantidade de dias de faturamento necessários para amortizar  os recursoso onerosos da empresas é de 36,5 dias</v>
      </c>
      <c r="H27" s="174"/>
    </row>
    <row r="28" spans="1:10" s="41" customFormat="1" ht="30" customHeight="1" thickTop="1" thickBot="1">
      <c r="A28" s="103"/>
      <c r="C28" s="72" t="s">
        <v>85</v>
      </c>
      <c r="D28" s="79">
        <v>200</v>
      </c>
      <c r="E28" s="12">
        <f>IF(ISERROR(F28/$F$26),"",F28/$F$26)</f>
        <v>0.90909090909090906</v>
      </c>
      <c r="F28" s="77">
        <f>IF(ISERROR(D28),"",D28)</f>
        <v>200</v>
      </c>
      <c r="G28" s="174"/>
      <c r="H28" s="174"/>
    </row>
    <row r="29" spans="1:10" s="41" customFormat="1" ht="30" customHeight="1" thickTop="1" thickBot="1">
      <c r="A29" s="103"/>
      <c r="C29" s="61" t="s">
        <v>34</v>
      </c>
      <c r="D29" s="176">
        <f>IF(ISERROR(F29/F28),"",F29/F28)</f>
        <v>36.5</v>
      </c>
      <c r="E29" s="177"/>
      <c r="F29" s="62">
        <f>IF(ISERROR(F27*365),"",F27*365)</f>
        <v>7300</v>
      </c>
      <c r="G29" s="174"/>
      <c r="H29" s="174"/>
    </row>
    <row r="30" spans="1:10" s="41" customFormat="1" ht="30" customHeight="1" thickTop="1" thickBot="1">
      <c r="A30" s="103"/>
      <c r="J30" s="62"/>
    </row>
    <row r="31" spans="1:10" s="41" customFormat="1" ht="30" customHeight="1" thickTop="1" thickBot="1">
      <c r="A31" s="103"/>
      <c r="C31" s="147" t="s">
        <v>96</v>
      </c>
      <c r="D31" s="147"/>
      <c r="E31" s="147"/>
      <c r="F31" s="77">
        <f>IF(ISERROR(SUM(F32:F33)),"",SUM(F32:F33))</f>
        <v>700</v>
      </c>
      <c r="G31" s="147" t="s">
        <v>525</v>
      </c>
      <c r="H31" s="147"/>
      <c r="J31" s="62"/>
    </row>
    <row r="32" spans="1:10" s="41" customFormat="1" ht="30" customHeight="1" thickTop="1" thickBot="1">
      <c r="A32" s="103"/>
      <c r="C32" s="72" t="s">
        <v>98</v>
      </c>
      <c r="D32" s="79">
        <v>300</v>
      </c>
      <c r="E32" s="12">
        <f>IF(ISERROR(F32/$F$31),"",F32/$F$31)</f>
        <v>0.42857142857142855</v>
      </c>
      <c r="F32" s="77">
        <f>IF(ISERROR(D32),"",D32)</f>
        <v>300</v>
      </c>
      <c r="G32" s="174" t="str">
        <f>IF(ISERROR("O prazo médio que os Ativos Opreracionais demorarão para serem transformados em caixa são de " &amp;ROUND($D$34,2) &amp; " dias"),"","O prazo médio que os Ativos Opreracionais demorarão para serem transformados em caixa são de " &amp;ROUND($D$34,2) &amp; " dias")</f>
        <v>O prazo médio que os Ativos Opreracionais demorarão para serem transformados em caixa são de 273,75 dias</v>
      </c>
      <c r="H32" s="174"/>
      <c r="J32" s="62"/>
    </row>
    <row r="33" spans="1:10" s="41" customFormat="1" ht="30" customHeight="1" thickTop="1" thickBot="1">
      <c r="A33" s="103"/>
      <c r="C33" s="72" t="s">
        <v>85</v>
      </c>
      <c r="D33" s="79">
        <v>400</v>
      </c>
      <c r="E33" s="12">
        <f>IF(ISERROR(F33/$F$31),"",F33/$F$31)</f>
        <v>0.5714285714285714</v>
      </c>
      <c r="F33" s="77">
        <f>IF(ISERROR(D33),"",D33)</f>
        <v>400</v>
      </c>
      <c r="G33" s="174"/>
      <c r="H33" s="174"/>
      <c r="J33" s="62"/>
    </row>
    <row r="34" spans="1:10" s="41" customFormat="1" ht="30" customHeight="1" thickTop="1" thickBot="1">
      <c r="A34" s="103"/>
      <c r="C34" s="61" t="s">
        <v>34</v>
      </c>
      <c r="D34" s="172">
        <f>IF(ISERROR(F34/F33),"",F34/F33)</f>
        <v>273.75</v>
      </c>
      <c r="E34" s="173"/>
      <c r="F34" s="62">
        <f>IF(ISERROR(F32*365),"",F32*365)</f>
        <v>109500</v>
      </c>
      <c r="G34" s="174"/>
      <c r="H34" s="174"/>
      <c r="J34" s="62"/>
    </row>
    <row r="35" spans="1:10" s="41" customFormat="1" ht="30" customHeight="1" thickTop="1" thickBot="1">
      <c r="A35" s="103"/>
      <c r="F35" s="75"/>
      <c r="J35" s="75"/>
    </row>
    <row r="36" spans="1:10" s="41" customFormat="1" ht="30" customHeight="1" thickTop="1" thickBot="1">
      <c r="A36" s="103"/>
      <c r="C36" s="147" t="s">
        <v>99</v>
      </c>
      <c r="D36" s="147"/>
      <c r="E36" s="147"/>
      <c r="F36" s="77">
        <f>IF(ISERROR(SUM(F37:F38)),"",SUM(F37:F38))</f>
        <v>700</v>
      </c>
      <c r="G36" s="147" t="s">
        <v>525</v>
      </c>
      <c r="H36" s="147"/>
    </row>
    <row r="37" spans="1:10" s="41" customFormat="1" ht="30" customHeight="1" thickTop="1" thickBot="1">
      <c r="A37" s="103"/>
      <c r="C37" s="72" t="s">
        <v>101</v>
      </c>
      <c r="D37" s="79">
        <v>300</v>
      </c>
      <c r="E37" s="12">
        <f>IF(ISERROR(F37/$F$36),"",F37/$F$36)</f>
        <v>0.42857142857142855</v>
      </c>
      <c r="F37" s="77">
        <f>IF(ISERROR(D37),"",D37)</f>
        <v>300</v>
      </c>
      <c r="G37" s="174" t="str">
        <f>IF(ISERROR("O prazo de médio de vencimento dos Passivos Operacionais em dias são de " &amp;ROUND($D$39,2) &amp; " dias"),"","O prazo de médio de vencimento dos Passivos Operacionais em dias são de " &amp;ROUND($D$39,2) &amp; " dias")</f>
        <v>O prazo de médio de vencimento dos Passivos Operacionais em dias são de 273,75 dias</v>
      </c>
      <c r="H37" s="174"/>
    </row>
    <row r="38" spans="1:10" s="41" customFormat="1" ht="30" customHeight="1" thickTop="1" thickBot="1">
      <c r="A38" s="103"/>
      <c r="C38" s="72" t="s">
        <v>85</v>
      </c>
      <c r="D38" s="79">
        <v>400</v>
      </c>
      <c r="E38" s="12">
        <f>IF(ISERROR(F38/$F$36),"",F38/$F$36)</f>
        <v>0.5714285714285714</v>
      </c>
      <c r="F38" s="77">
        <f>IF(ISERROR(D38),"",D38)</f>
        <v>400</v>
      </c>
      <c r="G38" s="174"/>
      <c r="H38" s="174"/>
    </row>
    <row r="39" spans="1:10" s="41" customFormat="1" ht="30" customHeight="1" thickTop="1" thickBot="1">
      <c r="A39" s="103"/>
      <c r="C39" s="61" t="s">
        <v>34</v>
      </c>
      <c r="D39" s="172">
        <f>IF(ISERROR(F39/F38),"",F39/F38)</f>
        <v>273.75</v>
      </c>
      <c r="E39" s="173"/>
      <c r="F39" s="62">
        <f>IF(ISERROR(F37*365),"",F37*365)</f>
        <v>109500</v>
      </c>
      <c r="G39" s="174"/>
      <c r="H39" s="174"/>
    </row>
    <row r="40" spans="1:10" s="41" customFormat="1" ht="30" customHeight="1" thickTop="1" thickBot="1">
      <c r="A40" s="103"/>
    </row>
    <row r="41" spans="1:10" s="41" customFormat="1" ht="30" customHeight="1" thickTop="1" thickBot="1">
      <c r="A41" s="103"/>
      <c r="C41" s="147" t="s">
        <v>100</v>
      </c>
      <c r="D41" s="147"/>
      <c r="E41" s="147"/>
      <c r="F41" s="77">
        <f>IF(ISERROR(SUM(F42:F43)),"",SUM(F42:F43))</f>
        <v>850</v>
      </c>
      <c r="G41" s="147" t="s">
        <v>525</v>
      </c>
      <c r="H41" s="147"/>
    </row>
    <row r="42" spans="1:10" s="41" customFormat="1" ht="30" customHeight="1" thickTop="1" thickBot="1">
      <c r="A42" s="103"/>
      <c r="C42" s="72" t="s">
        <v>102</v>
      </c>
      <c r="D42" s="79">
        <v>500</v>
      </c>
      <c r="E42" s="12">
        <f>IF(ISERROR(F42/$F$41),"",F42/$F$41)</f>
        <v>0.58823529411764708</v>
      </c>
      <c r="F42" s="77">
        <f>IF(ISERROR(D42),"",D42)</f>
        <v>500</v>
      </c>
      <c r="G42" s="174" t="str">
        <f>IF(ISERROR("A quantidade de dias que a empresa necessita de financiamento de capital de giro são de " &amp;ROUND($D$44,2) &amp; " dias"),"","A quantidade de dias que a empresa necessita de financiamento de capital de giro são de " &amp;ROUND($D$44,2) &amp; " dias")</f>
        <v>A quantidade de dias que a empresa necessita de financiamento de capital de giro são de 150 dias</v>
      </c>
      <c r="H42" s="174"/>
    </row>
    <row r="43" spans="1:10" s="41" customFormat="1" ht="30" customHeight="1" thickTop="1" thickBot="1">
      <c r="A43" s="103"/>
      <c r="C43" s="72" t="s">
        <v>103</v>
      </c>
      <c r="D43" s="79">
        <v>350</v>
      </c>
      <c r="E43" s="12">
        <f>IF(ISERROR(F43/$F$41),"",F43/$F$41)</f>
        <v>0.41176470588235292</v>
      </c>
      <c r="F43" s="77">
        <f>IF(ISERROR(D43),"",D43)</f>
        <v>350</v>
      </c>
      <c r="G43" s="174"/>
      <c r="H43" s="174"/>
    </row>
    <row r="44" spans="1:10" s="41" customFormat="1" ht="30" customHeight="1" thickTop="1" thickBot="1">
      <c r="A44" s="103"/>
      <c r="C44" s="61" t="s">
        <v>34</v>
      </c>
      <c r="D44" s="172">
        <f>IF(ISERROR(F42-F43),"",F42-F43)</f>
        <v>150</v>
      </c>
      <c r="E44" s="173"/>
      <c r="F44" s="62"/>
      <c r="G44" s="174"/>
      <c r="H44" s="174"/>
    </row>
    <row r="45" spans="1:10" s="41" customFormat="1" ht="30" customHeight="1" thickTop="1">
      <c r="A45" s="103"/>
    </row>
    <row r="46" spans="1:10" s="41" customFormat="1" ht="30" customHeight="1">
      <c r="A46" s="103"/>
    </row>
    <row r="47" spans="1:10" s="41" customFormat="1" ht="30" customHeight="1">
      <c r="A47" s="103"/>
    </row>
    <row r="48" spans="1:10" s="41" customFormat="1" ht="30" customHeight="1">
      <c r="A48" s="103"/>
    </row>
    <row r="49" spans="1:1" s="41" customFormat="1" ht="30" customHeight="1">
      <c r="A49" s="103"/>
    </row>
    <row r="50" spans="1:1" s="41" customFormat="1" ht="30" customHeight="1">
      <c r="A50" s="103"/>
    </row>
    <row r="51" spans="1:1" s="41" customFormat="1" ht="30" customHeight="1">
      <c r="A51" s="103"/>
    </row>
    <row r="52" spans="1:1" s="41" customFormat="1" ht="30" customHeight="1">
      <c r="A52" s="103"/>
    </row>
    <row r="53" spans="1:1" s="41" customFormat="1" ht="30" customHeight="1">
      <c r="A53" s="103"/>
    </row>
    <row r="54" spans="1:1" s="41" customFormat="1" ht="30" customHeight="1">
      <c r="A54" s="103"/>
    </row>
    <row r="55" spans="1:1" s="41" customFormat="1" ht="30" customHeight="1">
      <c r="A55" s="103"/>
    </row>
    <row r="56" spans="1:1" s="41" customFormat="1" ht="30" customHeight="1">
      <c r="A56" s="103"/>
    </row>
    <row r="57" spans="1:1" s="41" customFormat="1" ht="30" customHeight="1">
      <c r="A57" s="103"/>
    </row>
    <row r="58" spans="1:1" s="41" customFormat="1" ht="30" customHeight="1">
      <c r="A58" s="103"/>
    </row>
    <row r="59" spans="1:1" s="41" customFormat="1" ht="30" customHeight="1">
      <c r="A59" s="103"/>
    </row>
    <row r="60" spans="1:1" s="41" customFormat="1" ht="30" customHeight="1">
      <c r="A60" s="103"/>
    </row>
    <row r="61" spans="1:1" s="41" customFormat="1" ht="30" customHeight="1">
      <c r="A61" s="103"/>
    </row>
    <row r="62" spans="1:1" s="41" customFormat="1" ht="30" customHeight="1">
      <c r="A62" s="103"/>
    </row>
    <row r="63" spans="1:1" s="41" customFormat="1" ht="30" customHeight="1">
      <c r="A63" s="103"/>
    </row>
    <row r="64" spans="1:1" s="41" customFormat="1" ht="30" customHeight="1">
      <c r="A64" s="103"/>
    </row>
    <row r="65" spans="1:1" s="41" customFormat="1" ht="30" customHeight="1">
      <c r="A65" s="103"/>
    </row>
    <row r="66" spans="1:1" s="41" customFormat="1" ht="30" customHeight="1">
      <c r="A66" s="103"/>
    </row>
    <row r="67" spans="1:1" s="41" customFormat="1" ht="30" customHeight="1">
      <c r="A67" s="103"/>
    </row>
    <row r="68" spans="1:1" s="41" customFormat="1" ht="30" customHeight="1">
      <c r="A68" s="103"/>
    </row>
    <row r="69" spans="1:1" s="41" customFormat="1" ht="30" customHeight="1">
      <c r="A69" s="103"/>
    </row>
    <row r="70" spans="1:1" s="41" customFormat="1" ht="30" customHeight="1">
      <c r="A70" s="103"/>
    </row>
    <row r="71" spans="1:1" s="41" customFormat="1" ht="30" customHeight="1">
      <c r="A71" s="103"/>
    </row>
    <row r="72" spans="1:1" s="41" customFormat="1" ht="30" customHeight="1">
      <c r="A72" s="103"/>
    </row>
    <row r="73" spans="1:1" s="41" customFormat="1" ht="30" customHeight="1">
      <c r="A73" s="103"/>
    </row>
    <row r="74" spans="1:1" s="41" customFormat="1" ht="30" customHeight="1">
      <c r="A74" s="103"/>
    </row>
    <row r="75" spans="1:1" s="41" customFormat="1" ht="30" customHeight="1">
      <c r="A75" s="103"/>
    </row>
    <row r="76" spans="1:1" s="41" customFormat="1" ht="30" customHeight="1">
      <c r="A76" s="103"/>
    </row>
    <row r="77" spans="1:1" s="41" customFormat="1" ht="30" customHeight="1">
      <c r="A77" s="103"/>
    </row>
    <row r="78" spans="1:1" s="41" customFormat="1" ht="30" customHeight="1">
      <c r="A78" s="103"/>
    </row>
    <row r="79" spans="1:1" s="41" customFormat="1" ht="30" customHeight="1">
      <c r="A79" s="103"/>
    </row>
    <row r="80" spans="1:1" s="41" customFormat="1" ht="30" customHeight="1">
      <c r="A80" s="103"/>
    </row>
    <row r="81" spans="1:1" s="41" customFormat="1" ht="30" customHeight="1">
      <c r="A81" s="103"/>
    </row>
    <row r="82" spans="1:1" s="41" customFormat="1" ht="30" customHeight="1">
      <c r="A82" s="103"/>
    </row>
    <row r="83" spans="1:1" s="41" customFormat="1" ht="30" customHeight="1">
      <c r="A83" s="103"/>
    </row>
    <row r="84" spans="1:1" s="41" customFormat="1" ht="30" customHeight="1">
      <c r="A84" s="103"/>
    </row>
    <row r="85" spans="1:1" s="41" customFormat="1" ht="30" customHeight="1">
      <c r="A85" s="103"/>
    </row>
    <row r="86" spans="1:1" s="41" customFormat="1" ht="30" customHeight="1">
      <c r="A86" s="103"/>
    </row>
    <row r="87" spans="1:1" s="41" customFormat="1" ht="30" customHeight="1">
      <c r="A87" s="103"/>
    </row>
    <row r="88" spans="1:1" s="41" customFormat="1" ht="30" customHeight="1">
      <c r="A88" s="103"/>
    </row>
    <row r="89" spans="1:1" s="41" customFormat="1" ht="30" customHeight="1">
      <c r="A89" s="103"/>
    </row>
    <row r="90" spans="1:1" s="41" customFormat="1" ht="30" customHeight="1">
      <c r="A90" s="103"/>
    </row>
    <row r="91" spans="1:1" s="41" customFormat="1" ht="30" customHeight="1">
      <c r="A91" s="103"/>
    </row>
    <row r="92" spans="1:1" s="41" customFormat="1" ht="30" customHeight="1">
      <c r="A92" s="103"/>
    </row>
    <row r="93" spans="1:1" s="41" customFormat="1" ht="30" customHeight="1">
      <c r="A93" s="103"/>
    </row>
    <row r="94" spans="1:1" s="41" customFormat="1" ht="30" customHeight="1">
      <c r="A94" s="103"/>
    </row>
    <row r="95" spans="1:1" s="41" customFormat="1" ht="30" customHeight="1">
      <c r="A95" s="103"/>
    </row>
    <row r="96" spans="1:1" s="41" customFormat="1" ht="30" customHeight="1">
      <c r="A96" s="103"/>
    </row>
    <row r="97" spans="1:1" s="41" customFormat="1" ht="30" customHeight="1">
      <c r="A97" s="103"/>
    </row>
    <row r="98" spans="1:1" s="41" customFormat="1" ht="30" customHeight="1">
      <c r="A98" s="103"/>
    </row>
    <row r="99" spans="1:1" s="41" customFormat="1" ht="30" customHeight="1">
      <c r="A99" s="103"/>
    </row>
    <row r="100" spans="1:1" s="41" customFormat="1" ht="30" customHeight="1">
      <c r="A100" s="103"/>
    </row>
    <row r="101" spans="1:1" s="41" customFormat="1" ht="30" customHeight="1">
      <c r="A101" s="103"/>
    </row>
    <row r="102" spans="1:1" s="41" customFormat="1" ht="30" customHeight="1">
      <c r="A102" s="103"/>
    </row>
    <row r="103" spans="1:1" s="41" customFormat="1" ht="30" customHeight="1">
      <c r="A103" s="103"/>
    </row>
    <row r="104" spans="1:1" s="41" customFormat="1" ht="30" customHeight="1">
      <c r="A104" s="103"/>
    </row>
    <row r="105" spans="1:1" s="41" customFormat="1" ht="30" customHeight="1">
      <c r="A105" s="103"/>
    </row>
    <row r="106" spans="1:1" s="41" customFormat="1" ht="30" customHeight="1">
      <c r="A106" s="103"/>
    </row>
    <row r="107" spans="1:1" s="41" customFormat="1" ht="30" customHeight="1">
      <c r="A107" s="103"/>
    </row>
    <row r="108" spans="1:1" s="41" customFormat="1" ht="30" customHeight="1">
      <c r="A108" s="103"/>
    </row>
    <row r="109" spans="1:1" s="41" customFormat="1" ht="30" customHeight="1">
      <c r="A109" s="103"/>
    </row>
    <row r="110" spans="1:1" s="41" customFormat="1" ht="30" customHeight="1">
      <c r="A110" s="103"/>
    </row>
    <row r="111" spans="1:1" s="41" customFormat="1" ht="30" customHeight="1">
      <c r="A111" s="103"/>
    </row>
    <row r="112" spans="1:1" s="41" customFormat="1" ht="30" customHeight="1">
      <c r="A112" s="103"/>
    </row>
    <row r="113" spans="1:6" s="41" customFormat="1" ht="30" customHeight="1">
      <c r="A113" s="103"/>
    </row>
    <row r="114" spans="1:6" s="41" customFormat="1" ht="30" customHeight="1">
      <c r="A114" s="103"/>
    </row>
    <row r="115" spans="1:6" s="41" customFormat="1" ht="30" customHeight="1">
      <c r="A115" s="103"/>
    </row>
    <row r="116" spans="1:6" ht="15" hidden="1">
      <c r="F116"/>
    </row>
    <row r="117" spans="1:6" ht="15" hidden="1">
      <c r="F117"/>
    </row>
    <row r="118" spans="1:6" ht="15" hidden="1" customHeight="1">
      <c r="F118"/>
    </row>
    <row r="119" spans="1:6" ht="0" hidden="1" customHeight="1">
      <c r="F119"/>
    </row>
    <row r="120" spans="1:6" ht="0" hidden="1" customHeight="1">
      <c r="F120"/>
    </row>
    <row r="121" spans="1:6" ht="0" hidden="1" customHeight="1"/>
    <row r="122" spans="1:6" ht="0" hidden="1" customHeight="1"/>
    <row r="123" spans="1:6" ht="0" hidden="1" customHeight="1"/>
    <row r="124" spans="1:6" ht="0" hidden="1" customHeight="1"/>
    <row r="125" spans="1:6" ht="0" hidden="1" customHeight="1"/>
    <row r="126" spans="1:6" ht="0" hidden="1" customHeight="1"/>
    <row r="127" spans="1:6" ht="0" hidden="1" customHeight="1"/>
    <row r="128" spans="1:6" ht="0" hidden="1" customHeight="1"/>
  </sheetData>
  <sheetProtection algorithmName="SHA-512" hashValue="pwU+jv9Wfs1EUWP6PdzFkBT5XZ0vBEGdovGGvgUaiGtC9j2LCbrNj7A/5SVnU4fTh5aArZEr6M52AeQDGsXtdg==" saltValue="aNysfaIq0/jLjN+Bd5Klaw==" spinCount="100000" sheet="1" objects="1" scenarios="1"/>
  <mergeCells count="32">
    <mergeCell ref="G42:H44"/>
    <mergeCell ref="G31:H31"/>
    <mergeCell ref="G32:H34"/>
    <mergeCell ref="G36:H36"/>
    <mergeCell ref="G37:H39"/>
    <mergeCell ref="G41:H41"/>
    <mergeCell ref="G17:H19"/>
    <mergeCell ref="G21:H21"/>
    <mergeCell ref="G22:H24"/>
    <mergeCell ref="G26:H26"/>
    <mergeCell ref="G27:H29"/>
    <mergeCell ref="G6:H6"/>
    <mergeCell ref="G7:H9"/>
    <mergeCell ref="G11:H11"/>
    <mergeCell ref="G12:H14"/>
    <mergeCell ref="G16:H16"/>
    <mergeCell ref="C6:E6"/>
    <mergeCell ref="C11:E11"/>
    <mergeCell ref="D9:E9"/>
    <mergeCell ref="D14:E14"/>
    <mergeCell ref="C16:E16"/>
    <mergeCell ref="C36:E36"/>
    <mergeCell ref="C41:E41"/>
    <mergeCell ref="D39:E39"/>
    <mergeCell ref="D44:E44"/>
    <mergeCell ref="D34:E34"/>
    <mergeCell ref="D19:E19"/>
    <mergeCell ref="D24:E24"/>
    <mergeCell ref="C26:E26"/>
    <mergeCell ref="C31:E31"/>
    <mergeCell ref="D29:E29"/>
    <mergeCell ref="C21:E21"/>
  </mergeCells>
  <pageMargins left="0.511811024" right="0.511811024" top="0.78740157499999996" bottom="0.78740157499999996" header="0.31496062000000002" footer="0.31496062000000002"/>
  <drawing r:id="rId1"/>
  <legacyDrawing r:id="rId2"/>
</worksheet>
</file>

<file path=xl/worksheets/sheet16.xml><?xml version="1.0" encoding="utf-8"?>
<worksheet xmlns="http://schemas.openxmlformats.org/spreadsheetml/2006/main" xmlns:r="http://schemas.openxmlformats.org/officeDocument/2006/relationships">
  <sheetPr codeName="Plan16"/>
  <dimension ref="A1:R337"/>
  <sheetViews>
    <sheetView showGridLines="0" zoomScale="90" zoomScaleNormal="90" workbookViewId="0">
      <selection activeCell="F18" sqref="F18"/>
    </sheetView>
  </sheetViews>
  <sheetFormatPr defaultColWidth="8.85546875" defaultRowHeight="15" zeroHeight="1"/>
  <cols>
    <col min="1" max="1" width="27.7109375" style="104" customWidth="1"/>
    <col min="2" max="2" width="3.85546875" customWidth="1"/>
    <col min="4" max="4" width="30.7109375" customWidth="1"/>
    <col min="5" max="5" width="15.7109375" customWidth="1"/>
    <col min="6" max="6" width="12.7109375" customWidth="1"/>
    <col min="8" max="8" width="30.7109375" customWidth="1"/>
    <col min="9" max="9" width="15.7109375" customWidth="1"/>
    <col min="10" max="10" width="12.7109375" customWidth="1"/>
    <col min="11" max="11" width="9.140625" style="19" customWidth="1"/>
    <col min="12" max="12" width="0.28515625" customWidth="1"/>
    <col min="13" max="13" width="8.85546875" style="19"/>
  </cols>
  <sheetData>
    <row r="1" spans="1:18" s="3" customFormat="1" ht="33.950000000000003" customHeight="1">
      <c r="A1" s="104"/>
      <c r="C1" s="4" t="s">
        <v>526</v>
      </c>
      <c r="K1" s="25"/>
    </row>
    <row r="2" spans="1:18" s="3" customFormat="1" ht="21.6" customHeight="1">
      <c r="A2" s="104"/>
      <c r="K2" s="25"/>
    </row>
    <row r="3" spans="1:18" s="3" customFormat="1" ht="21.6" customHeight="1">
      <c r="A3" s="104"/>
      <c r="K3" s="25"/>
    </row>
    <row r="4" spans="1:18" s="106" customFormat="1" ht="44.25" customHeight="1">
      <c r="A4" s="104"/>
      <c r="B4" s="26"/>
      <c r="C4" s="26"/>
      <c r="D4" s="26"/>
      <c r="E4" s="26"/>
      <c r="F4" s="26"/>
      <c r="G4" s="26"/>
      <c r="H4" s="26"/>
      <c r="I4" s="26"/>
      <c r="J4" s="26"/>
      <c r="K4" s="26"/>
      <c r="L4" s="26"/>
      <c r="M4" s="26"/>
      <c r="N4" s="26"/>
      <c r="O4" s="26"/>
      <c r="P4" s="26"/>
      <c r="Q4" s="26"/>
      <c r="R4" s="26"/>
    </row>
    <row r="5" spans="1:18" ht="44.25" customHeight="1">
      <c r="C5" s="32" t="s">
        <v>542</v>
      </c>
      <c r="D5" s="31"/>
      <c r="E5" s="31"/>
      <c r="F5" s="31"/>
      <c r="G5" s="31"/>
      <c r="H5" s="31"/>
      <c r="I5" s="31"/>
      <c r="J5" s="31"/>
      <c r="K5" s="38"/>
      <c r="L5" s="31"/>
      <c r="M5" s="31"/>
      <c r="N5" s="26"/>
      <c r="O5" s="26"/>
      <c r="P5" s="26"/>
    </row>
    <row r="6" spans="1:18" s="35" customFormat="1" ht="19.5" customHeight="1">
      <c r="A6" s="109"/>
      <c r="C6" s="180" t="s">
        <v>551</v>
      </c>
      <c r="D6" s="180"/>
      <c r="E6" s="180"/>
      <c r="F6" s="180"/>
      <c r="G6" s="180"/>
      <c r="H6" s="180"/>
      <c r="I6" s="180"/>
      <c r="J6" s="180"/>
      <c r="K6" s="34"/>
      <c r="L6" s="34"/>
      <c r="M6" s="36"/>
      <c r="N6" s="36"/>
      <c r="O6" s="36"/>
      <c r="P6" s="36"/>
    </row>
    <row r="7" spans="1:18" s="35" customFormat="1" ht="27.75" customHeight="1">
      <c r="A7" s="109"/>
      <c r="C7" s="180"/>
      <c r="D7" s="180"/>
      <c r="E7" s="180"/>
      <c r="F7" s="180"/>
      <c r="G7" s="180"/>
      <c r="H7" s="180"/>
      <c r="I7" s="180"/>
      <c r="J7" s="180"/>
      <c r="K7" s="34"/>
      <c r="L7" s="34"/>
      <c r="M7" s="36"/>
      <c r="N7" s="36"/>
      <c r="O7" s="36"/>
      <c r="P7" s="36"/>
    </row>
    <row r="8" spans="1:18" s="35" customFormat="1" ht="27.75" customHeight="1">
      <c r="A8" s="109"/>
      <c r="C8" s="180"/>
      <c r="D8" s="180"/>
      <c r="E8" s="180"/>
      <c r="F8" s="180"/>
      <c r="G8" s="180"/>
      <c r="H8" s="180"/>
      <c r="I8" s="180"/>
      <c r="J8" s="180"/>
      <c r="K8" s="34"/>
      <c r="L8" s="34"/>
      <c r="M8" s="36"/>
      <c r="N8" s="36"/>
      <c r="O8" s="36"/>
      <c r="P8" s="36"/>
    </row>
    <row r="9" spans="1:18" ht="39.950000000000003" customHeight="1">
      <c r="C9" s="33" t="s">
        <v>543</v>
      </c>
      <c r="D9" s="33"/>
      <c r="E9" s="27"/>
      <c r="F9" s="27"/>
      <c r="G9" s="27"/>
      <c r="H9" s="27"/>
      <c r="I9" s="27"/>
      <c r="J9" s="27"/>
      <c r="K9" s="27"/>
      <c r="L9" s="27"/>
      <c r="M9" s="27"/>
      <c r="N9" s="27"/>
      <c r="O9" s="27"/>
      <c r="P9" s="27"/>
    </row>
    <row r="10" spans="1:18" ht="39.950000000000003" customHeight="1">
      <c r="C10" s="29" t="s">
        <v>544</v>
      </c>
      <c r="D10" s="33"/>
      <c r="E10" s="27"/>
      <c r="F10" s="27"/>
      <c r="G10" s="27"/>
      <c r="H10" s="27"/>
      <c r="I10" s="27"/>
      <c r="J10" s="27"/>
      <c r="K10" s="27"/>
      <c r="L10" s="27"/>
      <c r="M10" s="27"/>
      <c r="N10" s="27"/>
      <c r="O10" s="27"/>
      <c r="P10" s="27"/>
    </row>
    <row r="11" spans="1:18" ht="39.950000000000003" customHeight="1">
      <c r="C11" s="29" t="s">
        <v>545</v>
      </c>
      <c r="D11" s="33"/>
      <c r="E11" s="27"/>
      <c r="F11" s="27"/>
      <c r="G11" s="27"/>
      <c r="H11" s="27"/>
      <c r="I11" s="27"/>
      <c r="J11" s="27"/>
      <c r="K11" s="27"/>
      <c r="L11" s="27"/>
      <c r="M11" s="27"/>
      <c r="N11" s="27"/>
      <c r="O11" s="27"/>
      <c r="P11" s="27"/>
    </row>
    <row r="12" spans="1:18" ht="39.950000000000003" customHeight="1">
      <c r="C12" s="29" t="s">
        <v>546</v>
      </c>
      <c r="D12" s="33"/>
      <c r="E12" s="27"/>
      <c r="F12" s="27"/>
      <c r="G12" s="27"/>
      <c r="H12" s="27"/>
      <c r="I12" s="27"/>
      <c r="J12" s="27"/>
      <c r="K12" s="27"/>
      <c r="L12" s="27"/>
      <c r="M12" s="27"/>
      <c r="N12" s="27"/>
      <c r="O12" s="27"/>
      <c r="P12" s="27"/>
    </row>
    <row r="13" spans="1:18" ht="39.950000000000003" customHeight="1">
      <c r="C13" s="29" t="s">
        <v>547</v>
      </c>
      <c r="D13" s="33"/>
      <c r="E13" s="27"/>
      <c r="F13" s="27"/>
      <c r="G13" s="27"/>
      <c r="H13" s="27"/>
      <c r="I13" s="27"/>
      <c r="J13" s="27"/>
      <c r="K13" s="27"/>
      <c r="L13" s="27"/>
      <c r="M13" s="27"/>
      <c r="N13" s="27"/>
      <c r="O13" s="27"/>
      <c r="P13" s="27"/>
    </row>
    <row r="14" spans="1:18" ht="39.950000000000003" customHeight="1">
      <c r="C14" s="29" t="s">
        <v>548</v>
      </c>
      <c r="D14" s="33"/>
      <c r="E14" s="27"/>
      <c r="F14" s="27"/>
      <c r="G14" s="27"/>
      <c r="H14" s="27"/>
      <c r="I14" s="27"/>
      <c r="J14" s="27"/>
      <c r="K14" s="27"/>
      <c r="L14" s="27"/>
      <c r="M14" s="27"/>
      <c r="N14" s="27"/>
      <c r="O14" s="27"/>
      <c r="P14" s="27"/>
    </row>
    <row r="15" spans="1:18" ht="39.950000000000003" customHeight="1">
      <c r="C15" s="29" t="s">
        <v>549</v>
      </c>
      <c r="D15" s="33"/>
      <c r="E15" s="27"/>
      <c r="F15" s="27"/>
      <c r="G15" s="27"/>
      <c r="H15" s="27"/>
      <c r="I15" s="27"/>
      <c r="J15" s="27"/>
      <c r="K15" s="27"/>
      <c r="L15" s="27"/>
      <c r="M15" s="27"/>
      <c r="N15" s="27"/>
      <c r="O15" s="27"/>
      <c r="P15" s="27"/>
    </row>
    <row r="16" spans="1:18" ht="39.950000000000003" customHeight="1">
      <c r="C16" s="29" t="s">
        <v>550</v>
      </c>
      <c r="D16" s="33"/>
      <c r="E16" s="27"/>
      <c r="F16" s="27"/>
      <c r="G16" s="27"/>
      <c r="H16" s="27"/>
      <c r="I16" s="27"/>
      <c r="J16" s="27"/>
      <c r="K16" s="27"/>
      <c r="L16" s="27"/>
      <c r="M16" s="27"/>
      <c r="N16" s="27"/>
      <c r="O16" s="27"/>
      <c r="P16" s="27"/>
    </row>
    <row r="17" spans="3:16" ht="39.950000000000003" customHeight="1">
      <c r="C17" s="29" t="s">
        <v>557</v>
      </c>
      <c r="D17" s="33"/>
      <c r="E17" s="27"/>
      <c r="F17" s="27"/>
      <c r="G17" s="27"/>
      <c r="H17" s="27"/>
      <c r="I17" s="27"/>
      <c r="J17" s="27"/>
      <c r="K17" s="27"/>
      <c r="L17" s="27"/>
      <c r="M17" s="27"/>
      <c r="N17" s="27"/>
      <c r="O17" s="27"/>
      <c r="P17" s="27"/>
    </row>
    <row r="18" spans="3:16" ht="23.25" customHeight="1"/>
    <row r="19" spans="3:16" ht="30" customHeight="1" thickBot="1">
      <c r="C19" s="28" t="s">
        <v>524</v>
      </c>
    </row>
    <row r="20" spans="3:16" ht="30" customHeight="1" thickTop="1" thickBot="1">
      <c r="C20" s="45">
        <v>1000</v>
      </c>
      <c r="D20" s="181" t="s">
        <v>184</v>
      </c>
      <c r="E20" s="182"/>
      <c r="F20" s="182"/>
      <c r="G20" s="182"/>
      <c r="H20" s="182"/>
      <c r="I20" s="182"/>
      <c r="J20" s="182"/>
    </row>
    <row r="21" spans="3:16" ht="30" customHeight="1" thickTop="1" thickBot="1">
      <c r="C21" s="10">
        <v>1110</v>
      </c>
      <c r="D21" s="51" t="s">
        <v>26</v>
      </c>
      <c r="E21" s="48">
        <f>IF(ISERROR(Bal!J7),"",Bal!J7)</f>
        <v>57560</v>
      </c>
      <c r="F21" s="12">
        <f>IF(ISERROR(Bal!K7),"",Bal!K7)</f>
        <v>0.37552192066805845</v>
      </c>
      <c r="G21" s="10">
        <v>1160</v>
      </c>
      <c r="H21" s="51" t="s">
        <v>147</v>
      </c>
      <c r="I21" s="48">
        <f>IF(ISERROR(Bal!J12),"",Bal!J12)</f>
        <v>0</v>
      </c>
      <c r="J21" s="37">
        <f>IF(ISERROR(Bal!K12),"",Bal!K12)</f>
        <v>0</v>
      </c>
    </row>
    <row r="22" spans="3:16" ht="30" customHeight="1" thickTop="1" thickBot="1">
      <c r="C22" s="10">
        <v>1120</v>
      </c>
      <c r="D22" s="51" t="s">
        <v>112</v>
      </c>
      <c r="E22" s="48">
        <f>IF(ISERROR(Bal!J8),"",Bal!J8)</f>
        <v>0</v>
      </c>
      <c r="F22" s="12">
        <f>IF(ISERROR(Bal!K8),"",Bal!K8)</f>
        <v>0</v>
      </c>
      <c r="G22" s="10">
        <v>1170</v>
      </c>
      <c r="H22" s="51" t="s">
        <v>156</v>
      </c>
      <c r="I22" s="48">
        <f>IF(ISERROR(Bal!J13),"",Bal!J13)</f>
        <v>0</v>
      </c>
      <c r="J22" s="37">
        <f>IF(ISERROR(Bal!K13),"",Bal!K13)</f>
        <v>0</v>
      </c>
    </row>
    <row r="23" spans="3:16" ht="30" customHeight="1" thickTop="1" thickBot="1">
      <c r="C23" s="10">
        <v>1130</v>
      </c>
      <c r="D23" s="51" t="s">
        <v>30</v>
      </c>
      <c r="E23" s="48">
        <f>IF(ISERROR(Bal!J9),"",Bal!J9)</f>
        <v>46320</v>
      </c>
      <c r="F23" s="12">
        <f>IF(ISERROR(Bal!K9),"",Bal!K9)</f>
        <v>0.30219206680584554</v>
      </c>
      <c r="G23" s="10">
        <v>1180</v>
      </c>
      <c r="H23" s="51" t="s">
        <v>163</v>
      </c>
      <c r="I23" s="48">
        <f>IF(ISERROR(Bal!J14),"",Bal!J14)</f>
        <v>0</v>
      </c>
      <c r="J23" s="37">
        <f>IF(ISERROR(Bal!K14),"",Bal!K14)</f>
        <v>0</v>
      </c>
    </row>
    <row r="24" spans="3:16" ht="30" customHeight="1" thickTop="1" thickBot="1">
      <c r="C24" s="10">
        <v>1140</v>
      </c>
      <c r="D24" s="51" t="s">
        <v>131</v>
      </c>
      <c r="E24" s="48">
        <f>IF(ISERROR(Bal!J10),"",Bal!J10)</f>
        <v>0</v>
      </c>
      <c r="F24" s="12">
        <f>IF(ISERROR(Bal!K10),"",Bal!K10)</f>
        <v>0</v>
      </c>
      <c r="G24" s="10">
        <v>1190</v>
      </c>
      <c r="H24" s="51" t="s">
        <v>31</v>
      </c>
      <c r="I24" s="48">
        <f>IF(ISERROR(Bal!J15),"",Bal!J15)</f>
        <v>0</v>
      </c>
      <c r="J24" s="37">
        <f>IF(ISERROR(Bal!K15),"",Bal!K15)</f>
        <v>0</v>
      </c>
    </row>
    <row r="25" spans="3:16" ht="30" customHeight="1" thickTop="1" thickBot="1">
      <c r="C25" s="10">
        <v>1150</v>
      </c>
      <c r="D25" s="51" t="s">
        <v>182</v>
      </c>
      <c r="E25" s="48">
        <f>IF(ISERROR(Bal!J11),"",Bal!J11)</f>
        <v>49400</v>
      </c>
      <c r="F25" s="12">
        <f>IF(ISERROR(Bal!K11),"",Bal!K11)</f>
        <v>0.32228601252609601</v>
      </c>
      <c r="G25" s="124" t="s">
        <v>34</v>
      </c>
      <c r="H25" s="125"/>
      <c r="I25" s="137">
        <f>IF(ISERROR(Bal!J24),"",Bal!J24)</f>
        <v>153280</v>
      </c>
      <c r="J25" s="138"/>
    </row>
    <row r="26" spans="3:16" ht="30" customHeight="1" thickTop="1">
      <c r="C26" s="39"/>
      <c r="D26" s="39"/>
      <c r="E26" s="39"/>
      <c r="F26" s="39"/>
      <c r="G26" s="39"/>
      <c r="H26" s="39"/>
      <c r="I26" s="39"/>
      <c r="J26" s="39"/>
    </row>
    <row r="27" spans="3:16" ht="30" customHeight="1" thickBot="1">
      <c r="C27" s="30" t="s">
        <v>523</v>
      </c>
    </row>
    <row r="28" spans="3:16" ht="30" customHeight="1" thickTop="1" thickBot="1">
      <c r="C28" s="45">
        <v>2000</v>
      </c>
      <c r="D28" s="181" t="s">
        <v>222</v>
      </c>
      <c r="E28" s="182"/>
      <c r="F28" s="182"/>
      <c r="G28" s="182"/>
      <c r="H28" s="182"/>
      <c r="I28" s="182"/>
      <c r="J28" s="182"/>
    </row>
    <row r="29" spans="3:16" ht="30" customHeight="1" thickTop="1" thickBot="1">
      <c r="C29" s="10">
        <v>2200</v>
      </c>
      <c r="D29" s="51" t="s">
        <v>187</v>
      </c>
      <c r="E29" s="48">
        <f>IF(ISERROR(Atin!J7),"",Atin!J7)</f>
        <v>65000</v>
      </c>
      <c r="F29" s="12">
        <f>IF(ISERROR(Atin!K7),"",Atin!K7)</f>
        <v>0.45936395759717313</v>
      </c>
      <c r="G29" s="47">
        <v>2330</v>
      </c>
      <c r="H29" s="18" t="s">
        <v>240</v>
      </c>
      <c r="I29" s="48">
        <f>IF(ISERROR(Atin!J15),"",Atin!J15)</f>
        <v>18500</v>
      </c>
      <c r="J29" s="12">
        <f>IF(ISERROR(Atin!K15),"",Atin!K15)</f>
        <v>0.13074204946996468</v>
      </c>
    </row>
    <row r="30" spans="3:16" ht="30" customHeight="1" thickTop="1" thickBot="1">
      <c r="C30" s="10">
        <v>2220</v>
      </c>
      <c r="D30" s="51" t="s">
        <v>195</v>
      </c>
      <c r="E30" s="48">
        <f>IF(ISERROR(Atin!J8),"",Atin!J8)</f>
        <v>0</v>
      </c>
      <c r="F30" s="12">
        <f>IF(ISERROR(Atin!K8),"",Atin!K8)</f>
        <v>0</v>
      </c>
      <c r="G30" s="47">
        <v>2340</v>
      </c>
      <c r="H30" s="18" t="s">
        <v>249</v>
      </c>
      <c r="I30" s="48">
        <f>IF(ISERROR(Atin!J16),"",Atin!J16)</f>
        <v>20000</v>
      </c>
      <c r="J30" s="12">
        <f>IF(ISERROR(Atin!K16),"",Atin!K16)</f>
        <v>0.14134275618374559</v>
      </c>
    </row>
    <row r="31" spans="3:16" ht="30" customHeight="1" thickTop="1" thickBot="1">
      <c r="C31" s="10">
        <v>2230</v>
      </c>
      <c r="D31" s="51" t="s">
        <v>201</v>
      </c>
      <c r="E31" s="48">
        <f>IF(ISERROR(Atin!J9),"",Atin!J9)</f>
        <v>0</v>
      </c>
      <c r="F31" s="12">
        <f>IF(ISERROR(Atin!K9),"",Atin!K9)</f>
        <v>0</v>
      </c>
      <c r="G31" s="47">
        <v>2350</v>
      </c>
      <c r="H31" s="18" t="s">
        <v>257</v>
      </c>
      <c r="I31" s="48">
        <f>IF(ISERROR(Atin!J17),"",Atin!J17)</f>
        <v>0</v>
      </c>
      <c r="J31" s="12">
        <f>IF(ISERROR(Atin!K17),"",Atin!K17)</f>
        <v>0</v>
      </c>
    </row>
    <row r="32" spans="3:16" ht="30" customHeight="1" thickTop="1" thickBot="1">
      <c r="C32" s="10">
        <v>2240</v>
      </c>
      <c r="D32" s="51" t="s">
        <v>33</v>
      </c>
      <c r="E32" s="48">
        <f>IF(ISERROR(Atin!J10),"",Atin!J10)</f>
        <v>0</v>
      </c>
      <c r="F32" s="12">
        <f>IF(ISERROR(Atin!K10),"",Atin!K10)</f>
        <v>0</v>
      </c>
      <c r="G32" s="47">
        <v>2360</v>
      </c>
      <c r="H32" s="18" t="s">
        <v>264</v>
      </c>
      <c r="I32" s="48">
        <f>IF(ISERROR(Atin!J18),"",Atin!J18)</f>
        <v>0</v>
      </c>
      <c r="J32" s="12">
        <f>IF(ISERROR(Atin!K18),"",Atin!K18)</f>
        <v>0</v>
      </c>
    </row>
    <row r="33" spans="1:10" s="19" customFormat="1" ht="30" customHeight="1" thickTop="1" thickBot="1">
      <c r="A33" s="107"/>
      <c r="C33" s="10">
        <v>2250</v>
      </c>
      <c r="D33" s="51" t="s">
        <v>209</v>
      </c>
      <c r="E33" s="48">
        <f>IF(ISERROR(Atin!J11),"",Atin!J11)</f>
        <v>0</v>
      </c>
      <c r="F33" s="12">
        <f>IF(ISERROR(Atin!K11),"",Atin!K11)</f>
        <v>0</v>
      </c>
      <c r="G33" s="47">
        <v>2370</v>
      </c>
      <c r="H33" s="18" t="s">
        <v>269</v>
      </c>
      <c r="I33" s="48">
        <f>IF(ISERROR(Atin!J19),"",Atin!J19)</f>
        <v>0</v>
      </c>
      <c r="J33" s="12">
        <f>IF(ISERROR(Atin!K19),"",Atin!K19)</f>
        <v>0</v>
      </c>
    </row>
    <row r="34" spans="1:10" ht="30" customHeight="1" thickTop="1" thickBot="1">
      <c r="C34" s="10">
        <v>2290</v>
      </c>
      <c r="D34" s="51" t="s">
        <v>216</v>
      </c>
      <c r="E34" s="48">
        <f>IF(ISERROR(Atin!J12),"",Atin!J12)</f>
        <v>0</v>
      </c>
      <c r="F34" s="12">
        <f>IF(ISERROR(Atin!K12),"",Atin!K12)</f>
        <v>0</v>
      </c>
      <c r="G34" s="47">
        <v>2380</v>
      </c>
      <c r="H34" s="18" t="s">
        <v>270</v>
      </c>
      <c r="I34" s="48">
        <f>IF(ISERROR(Atin!J20),"",Atin!J20)</f>
        <v>0</v>
      </c>
      <c r="J34" s="12">
        <f>IF(ISERROR(Atin!K20),"",Atin!K20)</f>
        <v>0</v>
      </c>
    </row>
    <row r="35" spans="1:10" ht="30" customHeight="1" thickTop="1" thickBot="1">
      <c r="C35" s="10">
        <v>2310</v>
      </c>
      <c r="D35" s="51" t="s">
        <v>223</v>
      </c>
      <c r="E35" s="48">
        <f>IF(ISERROR(Atin!J13),"",Atin!J13)</f>
        <v>0</v>
      </c>
      <c r="F35" s="12">
        <f>IF(ISERROR(Atin!K13),"",Atin!K13)</f>
        <v>0</v>
      </c>
      <c r="G35" s="47">
        <v>2390</v>
      </c>
      <c r="H35" s="18" t="s">
        <v>271</v>
      </c>
      <c r="I35" s="48">
        <f>IF(ISERROR(Atin!J21),"",Atin!J21)</f>
        <v>-12000</v>
      </c>
      <c r="J35" s="12">
        <f>IF(ISERROR(Atin!K21),"",Atin!K21)</f>
        <v>-8.4805653710247356E-2</v>
      </c>
    </row>
    <row r="36" spans="1:10" ht="30" customHeight="1" thickTop="1" thickBot="1">
      <c r="C36" s="10">
        <v>2320</v>
      </c>
      <c r="D36" s="51" t="s">
        <v>56</v>
      </c>
      <c r="E36" s="48">
        <f>IF(ISERROR(Atin!J14),"",Atin!J14)</f>
        <v>50000</v>
      </c>
      <c r="F36" s="12">
        <f>IF(ISERROR(Atin!K14),"",Atin!K14)</f>
        <v>0.35335689045936397</v>
      </c>
      <c r="G36" s="178" t="s">
        <v>34</v>
      </c>
      <c r="H36" s="179"/>
      <c r="I36" s="137">
        <f>IF(ISERROR(Atin!J45),"",Atin!J45)</f>
        <v>141500</v>
      </c>
      <c r="J36" s="138"/>
    </row>
    <row r="37" spans="1:10" ht="30" customHeight="1" thickTop="1"/>
    <row r="38" spans="1:10" ht="30" customHeight="1" thickBot="1">
      <c r="C38" s="30" t="s">
        <v>522</v>
      </c>
    </row>
    <row r="39" spans="1:10" ht="30" customHeight="1" thickTop="1" thickBot="1">
      <c r="C39" s="45">
        <v>3400</v>
      </c>
      <c r="D39" s="181" t="s">
        <v>341</v>
      </c>
      <c r="E39" s="182"/>
      <c r="F39" s="182"/>
      <c r="G39" s="182"/>
      <c r="H39" s="182"/>
      <c r="I39" s="182"/>
      <c r="J39" s="182"/>
    </row>
    <row r="40" spans="1:10" ht="30" customHeight="1" thickTop="1" thickBot="1">
      <c r="C40" s="10">
        <v>3410</v>
      </c>
      <c r="D40" s="51" t="s">
        <v>72</v>
      </c>
      <c r="E40" s="48">
        <f>IF(ISERROR(Pas!J7),"",Pas!J7)</f>
        <v>31840</v>
      </c>
      <c r="F40" s="12">
        <f>IF(ISERROR(Pas!K7),"",Pas!K7)</f>
        <v>0.54004545608738419</v>
      </c>
      <c r="G40" s="47">
        <v>3410</v>
      </c>
      <c r="H40" s="18" t="s">
        <v>317</v>
      </c>
      <c r="I40" s="48">
        <f>IF(ISERROR(Pas!J12),"",Pas!J12)</f>
        <v>5494</v>
      </c>
      <c r="J40" s="12">
        <f>IF(ISERROR(Pas!K12),"",Pas!K12)</f>
        <v>9.3184979137691235E-2</v>
      </c>
    </row>
    <row r="41" spans="1:10" ht="30" customHeight="1" thickTop="1" thickBot="1">
      <c r="C41" s="10">
        <v>3410</v>
      </c>
      <c r="D41" s="51" t="s">
        <v>342</v>
      </c>
      <c r="E41" s="48">
        <f>IF(ISERROR(Pas!J8),"",Pas!J8)</f>
        <v>0</v>
      </c>
      <c r="F41" s="12">
        <f>IF(ISERROR(Pas!K8),"",Pas!K8)</f>
        <v>0</v>
      </c>
      <c r="G41" s="47">
        <v>3410</v>
      </c>
      <c r="H41" s="18" t="s">
        <v>343</v>
      </c>
      <c r="I41" s="48">
        <f>IF(ISERROR(Pas!J13),"",Pas!J13)</f>
        <v>0</v>
      </c>
      <c r="J41" s="12">
        <f>IF(ISERROR(Pas!K13),"",Pas!K13)</f>
        <v>0</v>
      </c>
    </row>
    <row r="42" spans="1:10" ht="30" customHeight="1" thickTop="1" thickBot="1">
      <c r="C42" s="10">
        <v>3410</v>
      </c>
      <c r="D42" s="51" t="s">
        <v>290</v>
      </c>
      <c r="E42" s="48">
        <f>IF(ISERROR(Pas!J9),"",Pas!J9)</f>
        <v>0</v>
      </c>
      <c r="F42" s="12">
        <f>IF(ISERROR(Pas!K9),"",Pas!K9)</f>
        <v>0</v>
      </c>
      <c r="G42" s="47">
        <v>3410</v>
      </c>
      <c r="H42" s="18" t="s">
        <v>330</v>
      </c>
      <c r="I42" s="48">
        <f>IF(ISERROR(Pas!J14),"",Pas!J14)</f>
        <v>0</v>
      </c>
      <c r="J42" s="12">
        <f>IF(ISERROR(Pas!K14),"",Pas!K14)</f>
        <v>0</v>
      </c>
    </row>
    <row r="43" spans="1:10" ht="30" customHeight="1" thickTop="1" thickBot="1">
      <c r="C43" s="10">
        <v>3410</v>
      </c>
      <c r="D43" s="51" t="s">
        <v>297</v>
      </c>
      <c r="E43" s="48">
        <f>IF(ISERROR(Pas!J10),"",Pas!J10)</f>
        <v>12750</v>
      </c>
      <c r="F43" s="12">
        <f>IF(ISERROR(Pas!K10),"",Pas!K10)</f>
        <v>0.21625563960785643</v>
      </c>
      <c r="G43" s="47">
        <v>3410</v>
      </c>
      <c r="H43" s="18" t="s">
        <v>338</v>
      </c>
      <c r="I43" s="48">
        <f>IF(ISERROR(Pas!J15),"",Pas!J15)</f>
        <v>0</v>
      </c>
      <c r="J43" s="12">
        <f>IF(ISERROR(Pas!K15),"",Pas!K15)</f>
        <v>0</v>
      </c>
    </row>
    <row r="44" spans="1:10" ht="30" customHeight="1" thickTop="1" thickBot="1">
      <c r="C44" s="10">
        <v>3410</v>
      </c>
      <c r="D44" s="51" t="s">
        <v>307</v>
      </c>
      <c r="E44" s="48">
        <f>IF(ISERROR(Pas!J11),"",Pas!J11)</f>
        <v>8874</v>
      </c>
      <c r="F44" s="12">
        <f>IF(ISERROR(Pas!K11),"",Pas!K11)</f>
        <v>0.15051392516706807</v>
      </c>
      <c r="G44" s="178" t="s">
        <v>34</v>
      </c>
      <c r="H44" s="179"/>
      <c r="I44" s="137">
        <f>IF(ISERROR(Pas!J27),"",Pas!J27)</f>
        <v>58958</v>
      </c>
      <c r="J44" s="138"/>
    </row>
    <row r="45" spans="1:10" ht="30" customHeight="1" thickTop="1"/>
    <row r="46" spans="1:10" ht="30" customHeight="1" thickBot="1">
      <c r="C46" s="30" t="s">
        <v>521</v>
      </c>
    </row>
    <row r="47" spans="1:10" ht="30" customHeight="1" thickTop="1" thickBot="1">
      <c r="C47" s="45">
        <v>4000</v>
      </c>
      <c r="D47" s="181" t="s">
        <v>516</v>
      </c>
      <c r="E47" s="182"/>
      <c r="F47" s="182"/>
      <c r="G47" s="182"/>
      <c r="H47" s="182"/>
      <c r="I47" s="182"/>
      <c r="J47" s="182"/>
    </row>
    <row r="48" spans="1:10" ht="30" customHeight="1" thickTop="1" thickBot="1">
      <c r="C48" s="10">
        <v>4510</v>
      </c>
      <c r="D48" s="51" t="s">
        <v>72</v>
      </c>
      <c r="E48" s="48">
        <f>IF(ISERROR(Pasn!J7),"",Pasn!J7)</f>
        <v>50000</v>
      </c>
      <c r="F48" s="12">
        <f>IF(ISERROR(Pasn!K7),"",Pasn!K7)</f>
        <v>0.21202432343038394</v>
      </c>
      <c r="G48" s="47">
        <v>5710</v>
      </c>
      <c r="H48" s="18" t="s">
        <v>401</v>
      </c>
      <c r="I48" s="48">
        <f>IF(ISERROR(Pasn!J18),"",Pasn!J18)</f>
        <v>120000</v>
      </c>
      <c r="J48" s="12">
        <f>IF(ISERROR(Pasn!K18),"",Pasn!K18)</f>
        <v>0.50885837623292141</v>
      </c>
    </row>
    <row r="49" spans="3:10" ht="30" customHeight="1" thickTop="1" thickBot="1">
      <c r="C49" s="10">
        <v>4520</v>
      </c>
      <c r="D49" s="51" t="s">
        <v>385</v>
      </c>
      <c r="E49" s="48">
        <f>IF(ISERROR(Pasn!J8),"",Pasn!J8)</f>
        <v>0</v>
      </c>
      <c r="F49" s="12">
        <f>IF(ISERROR(Pasn!K8),"",Pasn!K8)</f>
        <v>0</v>
      </c>
      <c r="G49" s="47">
        <v>5720</v>
      </c>
      <c r="H49" s="18" t="s">
        <v>411</v>
      </c>
      <c r="I49" s="48">
        <f>IF(ISERROR(Pasn!J19),"",Pasn!J19)</f>
        <v>1556</v>
      </c>
      <c r="J49" s="12">
        <f>IF(ISERROR(Pasn!K19),"",Pasn!K19)</f>
        <v>6.5981969451535481E-3</v>
      </c>
    </row>
    <row r="50" spans="3:10" ht="30" customHeight="1" thickTop="1" thickBot="1">
      <c r="C50" s="10">
        <v>4530</v>
      </c>
      <c r="D50" s="17" t="s">
        <v>290</v>
      </c>
      <c r="E50" s="48">
        <f>IF(ISERROR(Pasn!J9),"",Pasn!J9)</f>
        <v>0</v>
      </c>
      <c r="F50" s="12">
        <f>IF(ISERROR(Pasn!K9),"",Pasn!K9)</f>
        <v>0</v>
      </c>
      <c r="G50" s="47">
        <v>5730</v>
      </c>
      <c r="H50" s="18" t="s">
        <v>421</v>
      </c>
      <c r="I50" s="48">
        <f>IF(ISERROR(Pasn!J20),"",Pasn!J20)</f>
        <v>0</v>
      </c>
      <c r="J50" s="12">
        <f>IF(ISERROR(Pasn!K20),"",Pasn!K20)</f>
        <v>0</v>
      </c>
    </row>
    <row r="51" spans="3:10" ht="30" customHeight="1" thickTop="1" thickBot="1">
      <c r="C51" s="10">
        <v>4540</v>
      </c>
      <c r="D51" s="51" t="s">
        <v>297</v>
      </c>
      <c r="E51" s="48">
        <f>IF(ISERROR(Pasn!J10),"",Pasn!J10)</f>
        <v>0</v>
      </c>
      <c r="F51" s="12">
        <f>IF(ISERROR(Pasn!K10),"",Pasn!K10)</f>
        <v>0</v>
      </c>
      <c r="G51" s="47">
        <v>5740</v>
      </c>
      <c r="H51" s="18" t="s">
        <v>431</v>
      </c>
      <c r="I51" s="48">
        <f>IF(ISERROR(Pasn!J21),"",Pasn!J21)</f>
        <v>0</v>
      </c>
      <c r="J51" s="12">
        <f>IF(ISERROR(Pasn!K21),"",Pasn!K21)</f>
        <v>0</v>
      </c>
    </row>
    <row r="52" spans="3:10" ht="30" customHeight="1" thickTop="1" thickBot="1">
      <c r="C52" s="10">
        <v>4550</v>
      </c>
      <c r="D52" s="51" t="s">
        <v>307</v>
      </c>
      <c r="E52" s="48">
        <f>IF(ISERROR(Pasn!J11),"",Pasn!J11)</f>
        <v>0</v>
      </c>
      <c r="F52" s="12">
        <f>IF(ISERROR(Pasn!K11),"",Pasn!K11)</f>
        <v>0</v>
      </c>
      <c r="G52" s="47">
        <v>5750</v>
      </c>
      <c r="H52" s="18" t="s">
        <v>440</v>
      </c>
      <c r="I52" s="48">
        <f>IF(ISERROR(Pasn!J22),"",Pasn!J22)</f>
        <v>64266</v>
      </c>
      <c r="J52" s="12">
        <f>IF(ISERROR(Pasn!K22),"",Pasn!K22)</f>
        <v>0.27251910339154106</v>
      </c>
    </row>
    <row r="53" spans="3:10" ht="30" customHeight="1" thickTop="1" thickBot="1">
      <c r="C53" s="10">
        <v>4560</v>
      </c>
      <c r="D53" s="51" t="s">
        <v>386</v>
      </c>
      <c r="E53" s="48">
        <f>IF(ISERROR(Pasn!J12),"",Pasn!J12)</f>
        <v>0</v>
      </c>
      <c r="F53" s="12">
        <f>IF(ISERROR(Pasn!K12),"",Pasn!K12)</f>
        <v>0</v>
      </c>
      <c r="G53" s="47">
        <v>5760</v>
      </c>
      <c r="H53" s="18" t="s">
        <v>448</v>
      </c>
      <c r="I53" s="48">
        <f>IF(ISERROR(Pasn!J23),"",Pasn!J23)</f>
        <v>0</v>
      </c>
      <c r="J53" s="12">
        <f>IF(ISERROR(Pasn!K23),"",Pasn!K23)</f>
        <v>0</v>
      </c>
    </row>
    <row r="54" spans="3:10" ht="30" customHeight="1" thickTop="1" thickBot="1">
      <c r="C54" s="10">
        <v>4570</v>
      </c>
      <c r="D54" s="51" t="s">
        <v>343</v>
      </c>
      <c r="E54" s="48">
        <f>IF(ISERROR(Pasn!J13),"",Pasn!J13)</f>
        <v>0</v>
      </c>
      <c r="F54" s="12">
        <f>IF(ISERROR(Pasn!K13),"",Pasn!K13)</f>
        <v>0</v>
      </c>
      <c r="G54" s="47">
        <v>5770</v>
      </c>
      <c r="H54" s="18" t="s">
        <v>450</v>
      </c>
      <c r="I54" s="48">
        <f>IF(ISERROR(Pasn!J24),"",Pasn!J24)</f>
        <v>0</v>
      </c>
      <c r="J54" s="12">
        <f>IF(ISERROR(Pasn!K24),"",Pasn!K24)</f>
        <v>0</v>
      </c>
    </row>
    <row r="55" spans="3:10" ht="30" customHeight="1" thickTop="1" thickBot="1">
      <c r="C55" s="10">
        <v>4580</v>
      </c>
      <c r="D55" s="51" t="s">
        <v>381</v>
      </c>
      <c r="E55" s="48">
        <f>IF(ISERROR(Pasn!J14),"",Pasn!J14)</f>
        <v>0</v>
      </c>
      <c r="F55" s="12">
        <f>IF(ISERROR(Pasn!K14),"",Pasn!K14)</f>
        <v>0</v>
      </c>
      <c r="G55" s="47">
        <v>5780</v>
      </c>
      <c r="H55" s="18" t="s">
        <v>451</v>
      </c>
      <c r="I55" s="48">
        <f>IF(ISERROR(Pasn!J25),"",Pasn!J25)</f>
        <v>0</v>
      </c>
      <c r="J55" s="12">
        <f>IF(ISERROR(Pasn!K25),"",Pasn!K25)</f>
        <v>0</v>
      </c>
    </row>
    <row r="56" spans="3:10" ht="30" customHeight="1" thickTop="1" thickBot="1">
      <c r="C56" s="10">
        <v>4590</v>
      </c>
      <c r="D56" s="51" t="s">
        <v>338</v>
      </c>
      <c r="E56" s="48">
        <f>IF(ISERROR(Pasn!J15),"",Pasn!J15)</f>
        <v>0</v>
      </c>
      <c r="F56" s="12">
        <f>IF(ISERROR(Pasn!K15),"",Pasn!K15)</f>
        <v>0</v>
      </c>
      <c r="G56" s="47">
        <v>5790</v>
      </c>
      <c r="H56" s="18" t="s">
        <v>463</v>
      </c>
      <c r="I56" s="48">
        <f>IF(ISERROR(Pasn!J26),"",Pasn!J26)</f>
        <v>0</v>
      </c>
      <c r="J56" s="12">
        <f>IF(ISERROR(Pasn!K26),"",Pasn!K26)</f>
        <v>0</v>
      </c>
    </row>
    <row r="57" spans="3:10" ht="30" customHeight="1" thickTop="1" thickBot="1">
      <c r="C57" s="10">
        <v>4610</v>
      </c>
      <c r="D57" s="51" t="s">
        <v>400</v>
      </c>
      <c r="E57" s="48">
        <f>IF(ISERROR(Pasn!J16),"",Pasn!J16)</f>
        <v>0</v>
      </c>
      <c r="F57" s="12">
        <f>IF(ISERROR(Pasn!K16),"",Pasn!K16)</f>
        <v>0</v>
      </c>
      <c r="G57" s="148" t="s">
        <v>34</v>
      </c>
      <c r="H57" s="148"/>
      <c r="I57" s="146">
        <f>IF(ISERROR(Pasn!J58),"",Pasn!J58)</f>
        <v>235822</v>
      </c>
      <c r="J57" s="146"/>
    </row>
    <row r="58" spans="3:10" ht="30" customHeight="1" thickTop="1" thickBot="1">
      <c r="C58" s="10">
        <v>4620</v>
      </c>
      <c r="D58" s="51" t="s">
        <v>394</v>
      </c>
      <c r="E58" s="48">
        <f>IF(ISERROR(Pasn!J17),"",Pasn!J17)</f>
        <v>0</v>
      </c>
      <c r="F58" s="12">
        <f>IF(ISERROR(Pasn!K17),"",Pasn!K17)</f>
        <v>0</v>
      </c>
    </row>
    <row r="59" spans="3:10" ht="30" customHeight="1" thickTop="1"/>
    <row r="60" spans="3:10" ht="30" customHeight="1" thickBot="1">
      <c r="C60" s="30" t="s">
        <v>520</v>
      </c>
    </row>
    <row r="61" spans="3:10" ht="30" customHeight="1" thickTop="1" thickBot="1">
      <c r="C61" s="147" t="s">
        <v>588</v>
      </c>
      <c r="D61" s="147"/>
      <c r="E61" s="147"/>
      <c r="F61" s="147"/>
    </row>
    <row r="62" spans="3:10" ht="30" customHeight="1" thickTop="1" thickBot="1">
      <c r="C62" s="148" t="s">
        <v>586</v>
      </c>
      <c r="D62" s="148"/>
      <c r="E62" s="137">
        <f>'Res Bp'!E37:F37</f>
        <v>294780</v>
      </c>
      <c r="F62" s="138"/>
    </row>
    <row r="63" spans="3:10" ht="30" customHeight="1" thickTop="1" thickBot="1">
      <c r="C63" s="148" t="s">
        <v>587</v>
      </c>
      <c r="D63" s="148"/>
      <c r="E63" s="137">
        <f>'Res Bp'!E38:F38</f>
        <v>294780</v>
      </c>
      <c r="F63" s="138"/>
    </row>
    <row r="64" spans="3:10" ht="30" customHeight="1" thickTop="1" thickBot="1">
      <c r="C64" s="143" t="s">
        <v>34</v>
      </c>
      <c r="D64" s="143"/>
      <c r="E64" s="137">
        <f>'Res Bp'!E39:F39</f>
        <v>0</v>
      </c>
      <c r="F64" s="138"/>
    </row>
    <row r="65" spans="3:10" ht="30" customHeight="1" thickTop="1"/>
    <row r="66" spans="3:10" ht="30" customHeight="1" thickBot="1">
      <c r="C66" s="30" t="s">
        <v>517</v>
      </c>
    </row>
    <row r="67" spans="3:10" ht="30" customHeight="1" thickTop="1" thickBot="1">
      <c r="C67" s="45">
        <v>6800</v>
      </c>
      <c r="D67" s="181" t="s">
        <v>489</v>
      </c>
      <c r="E67" s="182"/>
      <c r="F67" s="182"/>
      <c r="G67" s="182"/>
      <c r="H67" s="182"/>
      <c r="I67" s="182"/>
      <c r="J67" s="182"/>
    </row>
    <row r="68" spans="3:10" ht="30" customHeight="1" thickTop="1" thickBot="1">
      <c r="C68" s="10">
        <v>6810</v>
      </c>
      <c r="D68" s="51" t="s">
        <v>464</v>
      </c>
      <c r="E68" s="48">
        <f>IF(ISERROR(Dre!J7),"",Dre!J7)</f>
        <v>0</v>
      </c>
      <c r="F68" s="12">
        <f>IF(ISERROR(Dre!K7),"",Dre!K7)</f>
        <v>0</v>
      </c>
      <c r="G68" s="47">
        <v>6860</v>
      </c>
      <c r="H68" s="18" t="s">
        <v>477</v>
      </c>
      <c r="I68" s="48">
        <f>IF(ISERROR(Dre!J12),"",Dre!J12)</f>
        <v>0</v>
      </c>
      <c r="J68" s="12">
        <f>IF(ISERROR(Dre!K12),"",Dre!K12)</f>
        <v>0</v>
      </c>
    </row>
    <row r="69" spans="3:10" ht="30" customHeight="1" thickTop="1" thickBot="1">
      <c r="C69" s="10">
        <v>6820</v>
      </c>
      <c r="D69" s="51" t="s">
        <v>468</v>
      </c>
      <c r="E69" s="48">
        <f>IF(ISERROR(Dre!J8),"",Dre!J8)</f>
        <v>408670</v>
      </c>
      <c r="F69" s="12">
        <f>IF(ISERROR(Dre!K8),"",Dre!K8)</f>
        <v>1</v>
      </c>
      <c r="G69" s="47">
        <v>6870</v>
      </c>
      <c r="H69" s="18" t="s">
        <v>487</v>
      </c>
      <c r="I69" s="48">
        <f>IF(ISERROR(Dre!J13),"",Dre!J13)</f>
        <v>0</v>
      </c>
      <c r="J69" s="12">
        <f>IF(ISERROR(Dre!K13),"",Dre!K13)</f>
        <v>0</v>
      </c>
    </row>
    <row r="70" spans="3:10" ht="30" customHeight="1" thickTop="1" thickBot="1">
      <c r="C70" s="10">
        <v>6830</v>
      </c>
      <c r="D70" s="16" t="s">
        <v>470</v>
      </c>
      <c r="E70" s="48">
        <f>IF(ISERROR(Dre!J9),"",Dre!J9)</f>
        <v>0</v>
      </c>
      <c r="F70" s="12">
        <f>IF(ISERROR(Dre!K9),"",Dre!K9)</f>
        <v>0</v>
      </c>
      <c r="G70" s="47">
        <v>6880</v>
      </c>
      <c r="H70" s="18" t="s">
        <v>483</v>
      </c>
      <c r="I70" s="48">
        <f>IF(ISERROR(Dre!J14),"",Dre!J14)</f>
        <v>0</v>
      </c>
      <c r="J70" s="12">
        <f>IF(ISERROR(Dre!K14),"",Dre!K14)</f>
        <v>0</v>
      </c>
    </row>
    <row r="71" spans="3:10" ht="30" customHeight="1" thickTop="1" thickBot="1">
      <c r="C71" s="10">
        <v>6840</v>
      </c>
      <c r="D71" s="51" t="s">
        <v>472</v>
      </c>
      <c r="E71" s="48">
        <f>IF(ISERROR(Dre!J10),"",Dre!J10)</f>
        <v>0</v>
      </c>
      <c r="F71" s="12">
        <f>IF(ISERROR(Dre!K10),"",Dre!K10)</f>
        <v>0</v>
      </c>
      <c r="G71" s="47">
        <v>6890</v>
      </c>
      <c r="H71" s="18" t="s">
        <v>485</v>
      </c>
      <c r="I71" s="48">
        <f>IF(ISERROR(Dre!J15),"",Dre!J15)</f>
        <v>0</v>
      </c>
      <c r="J71" s="12">
        <f>IF(ISERROR(Dre!K15),"",Dre!K15)</f>
        <v>0</v>
      </c>
    </row>
    <row r="72" spans="3:10" ht="30" customHeight="1" thickTop="1" thickBot="1">
      <c r="C72" s="10">
        <v>6850</v>
      </c>
      <c r="D72" s="51" t="s">
        <v>474</v>
      </c>
      <c r="E72" s="48">
        <f>IF(ISERROR(Dre!J11),"",Dre!J11)</f>
        <v>0</v>
      </c>
      <c r="F72" s="12">
        <f>IF(ISERROR(Dre!K11),"",Dre!K11)</f>
        <v>0</v>
      </c>
      <c r="G72" s="178" t="s">
        <v>34</v>
      </c>
      <c r="H72" s="179"/>
      <c r="I72" s="137">
        <f>IF(ISERROR(Dre!J18),"",Dre!J18)</f>
        <v>408670</v>
      </c>
      <c r="J72" s="138"/>
    </row>
    <row r="73" spans="3:10" ht="30" customHeight="1" thickTop="1"/>
    <row r="74" spans="3:10" ht="30" customHeight="1" thickBot="1">
      <c r="C74" s="30" t="s">
        <v>518</v>
      </c>
    </row>
    <row r="75" spans="3:10" ht="30" customHeight="1" thickTop="1" thickBot="1">
      <c r="C75" s="45">
        <v>6900</v>
      </c>
      <c r="D75" s="183" t="s">
        <v>514</v>
      </c>
      <c r="E75" s="184"/>
      <c r="F75" s="184"/>
      <c r="G75" s="184"/>
      <c r="H75" s="184"/>
      <c r="I75" s="184"/>
      <c r="J75" s="184"/>
    </row>
    <row r="76" spans="3:10" ht="30" customHeight="1" thickTop="1" thickBot="1">
      <c r="C76" s="10">
        <v>6910</v>
      </c>
      <c r="D76" s="51" t="s">
        <v>500</v>
      </c>
      <c r="E76" s="48">
        <f>IF(ISERROR(Des!J7),"",Des!J7)</f>
        <v>350640</v>
      </c>
      <c r="F76" s="12">
        <f>IF(ISERROR(Des!K7),"",Des!K7)</f>
        <v>0.92876403184878709</v>
      </c>
      <c r="G76" s="47">
        <v>6960</v>
      </c>
      <c r="H76" s="18" t="s">
        <v>510</v>
      </c>
      <c r="I76" s="48">
        <f>IF(ISERROR(Des!J12),"",Des!J12)</f>
        <v>0</v>
      </c>
      <c r="J76" s="12">
        <f>IF(ISERROR(Des!K12),"",Des!K12)</f>
        <v>0</v>
      </c>
    </row>
    <row r="77" spans="3:10" ht="30" customHeight="1" thickTop="1" thickBot="1">
      <c r="C77" s="10">
        <v>6920</v>
      </c>
      <c r="D77" s="51" t="s">
        <v>502</v>
      </c>
      <c r="E77" s="48">
        <f>IF(ISERROR(Des!J8),"",Des!J8)</f>
        <v>10500</v>
      </c>
      <c r="F77" s="12">
        <f>IF(ISERROR(Des!K8),"",Des!K8)</f>
        <v>2.7812064608750471E-2</v>
      </c>
      <c r="G77" s="47">
        <v>6970</v>
      </c>
      <c r="H77" s="18" t="s">
        <v>511</v>
      </c>
      <c r="I77" s="48">
        <f>IF(ISERROR(Des!J13),"",Des!J13)</f>
        <v>0</v>
      </c>
      <c r="J77" s="12">
        <f>IF(ISERROR(Des!K13),"",Des!K13)</f>
        <v>0</v>
      </c>
    </row>
    <row r="78" spans="3:10" ht="30" customHeight="1" thickTop="1" thickBot="1">
      <c r="C78" s="10">
        <v>6930</v>
      </c>
      <c r="D78" s="16" t="s">
        <v>507</v>
      </c>
      <c r="E78" s="48">
        <f>IF(ISERROR(Des!J9),"",Des!J9)</f>
        <v>0</v>
      </c>
      <c r="F78" s="12">
        <f>IF(ISERROR(Des!K9),"",Des!K9)</f>
        <v>0</v>
      </c>
      <c r="G78" s="47">
        <v>6980</v>
      </c>
      <c r="H78" s="18" t="s">
        <v>512</v>
      </c>
      <c r="I78" s="48">
        <f>IF(ISERROR(Des!J14),"",Des!J14)</f>
        <v>0</v>
      </c>
      <c r="J78" s="12">
        <f>IF(ISERROR(Des!K14),"",Des!K14)</f>
        <v>0</v>
      </c>
    </row>
    <row r="79" spans="3:10" ht="30" customHeight="1" thickTop="1" thickBot="1">
      <c r="C79" s="10">
        <v>6940</v>
      </c>
      <c r="D79" s="51" t="s">
        <v>508</v>
      </c>
      <c r="E79" s="48">
        <f>IF(ISERROR(Des!J10),"",Des!J10)</f>
        <v>0</v>
      </c>
      <c r="F79" s="12">
        <f>IF(ISERROR(Des!K10),"",Des!K10)</f>
        <v>0</v>
      </c>
      <c r="G79" s="47">
        <v>6990</v>
      </c>
      <c r="H79" s="18" t="s">
        <v>513</v>
      </c>
      <c r="I79" s="48">
        <f>IF(ISERROR(Des!J15),"",Des!J15)</f>
        <v>16394</v>
      </c>
      <c r="J79" s="12">
        <f>IF(ISERROR(Des!K15),"",Des!K15)</f>
        <v>4.3423903542462401E-2</v>
      </c>
    </row>
    <row r="80" spans="3:10" ht="30" customHeight="1" thickTop="1" thickBot="1">
      <c r="C80" s="10">
        <v>6950</v>
      </c>
      <c r="D80" s="51" t="s">
        <v>509</v>
      </c>
      <c r="E80" s="48">
        <f>IF(ISERROR(Des!J11),"",Des!J11)</f>
        <v>0</v>
      </c>
      <c r="F80" s="12">
        <f>IF(ISERROR(Des!K11),"",Des!K11)</f>
        <v>0</v>
      </c>
      <c r="G80" s="148" t="s">
        <v>34</v>
      </c>
      <c r="H80" s="148"/>
      <c r="I80" s="146">
        <f>IF(ISERROR(Des!J18),"",Des!J18)</f>
        <v>377534</v>
      </c>
      <c r="J80" s="146"/>
    </row>
    <row r="81" spans="3:6" ht="30" customHeight="1" thickTop="1"/>
    <row r="82" spans="3:6" ht="30" customHeight="1" thickBot="1">
      <c r="C82" s="30" t="s">
        <v>519</v>
      </c>
    </row>
    <row r="83" spans="3:6" ht="30" customHeight="1" thickTop="1" thickBot="1">
      <c r="C83" s="132" t="s">
        <v>515</v>
      </c>
      <c r="D83" s="133"/>
      <c r="E83" s="133"/>
      <c r="F83" s="134"/>
    </row>
    <row r="84" spans="3:6" ht="30" customHeight="1" thickTop="1" thickBot="1">
      <c r="C84" s="152" t="s">
        <v>488</v>
      </c>
      <c r="D84" s="153"/>
      <c r="E84" s="46">
        <f>IF(ISERROR(Res!E19),"",Res!E19)</f>
        <v>408670</v>
      </c>
      <c r="F84" s="12">
        <f>IF(ISERROR(Res!F19),"",Res!F19)</f>
        <v>0.51980147646157993</v>
      </c>
    </row>
    <row r="85" spans="3:6" ht="30" customHeight="1" thickTop="1" thickBot="1">
      <c r="C85" s="152" t="s">
        <v>491</v>
      </c>
      <c r="D85" s="153"/>
      <c r="E85" s="46">
        <f>IF(ISERROR(Res!E20),"",Res!E20)</f>
        <v>377534</v>
      </c>
      <c r="F85" s="12">
        <f>IF(ISERROR(Res!F20),"",Res!F20)</f>
        <v>0.51980147646157993</v>
      </c>
    </row>
    <row r="86" spans="3:6" ht="30" customHeight="1" thickTop="1" thickBot="1">
      <c r="C86" s="152" t="s">
        <v>593</v>
      </c>
      <c r="D86" s="153"/>
      <c r="E86" s="146">
        <f>IF(ISERROR(Res!E21),"",Res!E21)</f>
        <v>31136</v>
      </c>
      <c r="F86" s="146"/>
    </row>
    <row r="87" spans="3:6" ht="30" customHeight="1" thickTop="1"/>
    <row r="88" spans="3:6" ht="30" customHeight="1">
      <c r="C88" s="30" t="s">
        <v>552</v>
      </c>
    </row>
    <row r="89" spans="3:6" ht="30" customHeight="1">
      <c r="C89" s="40" t="s">
        <v>53</v>
      </c>
    </row>
    <row r="90" spans="3:6" ht="30" customHeight="1"/>
    <row r="91" spans="3:6" ht="30" customHeight="1"/>
    <row r="92" spans="3:6" ht="30" customHeight="1"/>
    <row r="93" spans="3:6" ht="30" customHeight="1"/>
    <row r="94" spans="3:6" ht="30" customHeight="1"/>
    <row r="95" spans="3:6" ht="30" customHeight="1"/>
    <row r="96" spans="3:6" ht="30" customHeight="1"/>
    <row r="97" spans="3:3" ht="30" customHeight="1"/>
    <row r="98" spans="3:3" ht="30" customHeight="1"/>
    <row r="99" spans="3:3" ht="30" customHeight="1"/>
    <row r="100" spans="3:3" ht="30" customHeight="1"/>
    <row r="101" spans="3:3" ht="30" customHeight="1"/>
    <row r="102" spans="3:3" ht="30" customHeight="1">
      <c r="C102" s="40" t="s">
        <v>553</v>
      </c>
    </row>
    <row r="103" spans="3:3" ht="30" customHeight="1"/>
    <row r="104" spans="3:3" ht="30" customHeight="1"/>
    <row r="105" spans="3:3" ht="30" customHeight="1"/>
    <row r="106" spans="3:3" ht="30" customHeight="1"/>
    <row r="107" spans="3:3" ht="30" customHeight="1"/>
    <row r="108" spans="3:3" ht="30" customHeight="1"/>
    <row r="109" spans="3:3" ht="30" customHeight="1"/>
    <row r="110" spans="3:3" ht="30" customHeight="1"/>
    <row r="111" spans="3:3" ht="30" customHeight="1"/>
    <row r="112" spans="3:3" ht="30" customHeight="1"/>
    <row r="113" spans="3:3" ht="30" customHeight="1"/>
    <row r="114" spans="3:3" ht="30" customHeight="1"/>
    <row r="115" spans="3:3" ht="30" customHeight="1">
      <c r="C115" s="40" t="s">
        <v>554</v>
      </c>
    </row>
    <row r="116" spans="3:3" ht="30" customHeight="1"/>
    <row r="117" spans="3:3" ht="30" customHeight="1">
      <c r="C117" s="30"/>
    </row>
    <row r="118" spans="3:3" ht="30" customHeight="1"/>
    <row r="119" spans="3:3" ht="30" customHeight="1"/>
    <row r="120" spans="3:3" ht="30" customHeight="1"/>
    <row r="121" spans="3:3" ht="30" customHeight="1"/>
    <row r="122" spans="3:3" ht="30" customHeight="1"/>
    <row r="123" spans="3:3" ht="30" customHeight="1"/>
    <row r="124" spans="3:3" ht="30" customHeight="1"/>
    <row r="125" spans="3:3" ht="30" customHeight="1"/>
    <row r="126" spans="3:3" ht="30" customHeight="1"/>
    <row r="127" spans="3:3" ht="30" customHeight="1"/>
    <row r="128" spans="3:3" ht="30" customHeight="1">
      <c r="C128" s="40" t="s">
        <v>37</v>
      </c>
    </row>
    <row r="129" spans="3:11" ht="30" customHeight="1"/>
    <row r="130" spans="3:11" ht="30" customHeight="1"/>
    <row r="131" spans="3:11" ht="30" customHeight="1"/>
    <row r="132" spans="3:11" ht="30" customHeight="1"/>
    <row r="133" spans="3:11" ht="30" customHeight="1"/>
    <row r="134" spans="3:11" ht="30" customHeight="1"/>
    <row r="135" spans="3:11" ht="30" customHeight="1">
      <c r="K135"/>
    </row>
    <row r="136" spans="3:11" ht="30" customHeight="1"/>
    <row r="137" spans="3:11" ht="30" customHeight="1"/>
    <row r="138" spans="3:11" ht="30" customHeight="1"/>
    <row r="139" spans="3:11" ht="30" customHeight="1"/>
    <row r="140" spans="3:11" ht="30" customHeight="1"/>
    <row r="141" spans="3:11" ht="30" customHeight="1">
      <c r="C141" s="40" t="s">
        <v>16</v>
      </c>
    </row>
    <row r="142" spans="3:11" ht="30" customHeight="1"/>
    <row r="143" spans="3:11" ht="30" customHeight="1"/>
    <row r="144" spans="3:11" ht="30" customHeight="1"/>
    <row r="145" spans="3:3" ht="33.950000000000003" customHeight="1"/>
    <row r="146" spans="3:3" ht="33.950000000000003" customHeight="1"/>
    <row r="147" spans="3:3" ht="33.950000000000003" customHeight="1"/>
    <row r="148" spans="3:3" ht="33.950000000000003" customHeight="1"/>
    <row r="149" spans="3:3" ht="33.950000000000003" customHeight="1"/>
    <row r="150" spans="3:3" ht="33.950000000000003" customHeight="1"/>
    <row r="151" spans="3:3" ht="33.950000000000003" customHeight="1">
      <c r="C151" s="40" t="s">
        <v>16</v>
      </c>
    </row>
    <row r="152" spans="3:3" ht="33.950000000000003" customHeight="1"/>
    <row r="153" spans="3:3" ht="33.950000000000003" customHeight="1"/>
    <row r="154" spans="3:3" ht="33.950000000000003" customHeight="1"/>
    <row r="155" spans="3:3" ht="33.950000000000003" customHeight="1"/>
    <row r="156" spans="3:3" ht="33.950000000000003" customHeight="1"/>
    <row r="157" spans="3:3" ht="33.950000000000003" customHeight="1"/>
    <row r="158" spans="3:3" ht="33.950000000000003" customHeight="1"/>
    <row r="159" spans="3:3" ht="33.950000000000003" customHeight="1"/>
    <row r="160" spans="3:3" ht="33.950000000000003" customHeight="1">
      <c r="C160" s="40" t="s">
        <v>555</v>
      </c>
    </row>
    <row r="161" spans="3:3" ht="33.950000000000003" customHeight="1"/>
    <row r="162" spans="3:3" ht="33.950000000000003" customHeight="1"/>
    <row r="163" spans="3:3" ht="33.950000000000003" customHeight="1"/>
    <row r="164" spans="3:3" ht="33.950000000000003" customHeight="1"/>
    <row r="165" spans="3:3" ht="33.950000000000003" customHeight="1"/>
    <row r="166" spans="3:3" ht="33.950000000000003" customHeight="1"/>
    <row r="167" spans="3:3" ht="33.950000000000003" customHeight="1"/>
    <row r="168" spans="3:3" ht="33.950000000000003" customHeight="1"/>
    <row r="169" spans="3:3" ht="33.950000000000003" customHeight="1"/>
    <row r="170" spans="3:3" ht="33.950000000000003" customHeight="1"/>
    <row r="171" spans="3:3" ht="33.950000000000003" customHeight="1"/>
    <row r="172" spans="3:3" ht="33.950000000000003" customHeight="1"/>
    <row r="173" spans="3:3" ht="33.950000000000003" customHeight="1">
      <c r="C173" s="40" t="s">
        <v>556</v>
      </c>
    </row>
    <row r="174" spans="3:3" ht="33.950000000000003" customHeight="1"/>
    <row r="175" spans="3:3" ht="33.950000000000003" customHeight="1"/>
    <row r="176" spans="3:3" ht="33.950000000000003" customHeight="1"/>
    <row r="177" spans="3:10" ht="33.950000000000003" customHeight="1"/>
    <row r="178" spans="3:10" ht="33.950000000000003" customHeight="1"/>
    <row r="179" spans="3:10" ht="33.950000000000003" customHeight="1"/>
    <row r="180" spans="3:10" ht="33.950000000000003" customHeight="1"/>
    <row r="181" spans="3:10" ht="33.950000000000003" customHeight="1"/>
    <row r="182" spans="3:10" ht="33.950000000000003" customHeight="1"/>
    <row r="183" spans="3:10" ht="33.950000000000003" customHeight="1"/>
    <row r="184" spans="3:10" ht="33.950000000000003" customHeight="1"/>
    <row r="185" spans="3:10" ht="33.950000000000003" customHeight="1"/>
    <row r="186" spans="3:10" ht="33.950000000000003" customHeight="1">
      <c r="C186" s="40" t="s">
        <v>17</v>
      </c>
      <c r="D186" s="40"/>
      <c r="E186" s="40"/>
      <c r="F186" s="40"/>
      <c r="G186" s="40"/>
      <c r="H186" s="40"/>
      <c r="I186" s="40"/>
      <c r="J186" s="40"/>
    </row>
    <row r="187" spans="3:10" ht="33.950000000000003" customHeight="1"/>
    <row r="188" spans="3:10" ht="33.950000000000003" customHeight="1"/>
    <row r="189" spans="3:10" ht="33.950000000000003" customHeight="1"/>
    <row r="190" spans="3:10" ht="33.950000000000003" customHeight="1"/>
    <row r="191" spans="3:10" ht="33.950000000000003" customHeight="1"/>
    <row r="192" spans="3:10" ht="33.950000000000003" customHeight="1"/>
    <row r="193" spans="3:3" ht="33.950000000000003" customHeight="1"/>
    <row r="194" spans="3:3" ht="33.950000000000003" customHeight="1"/>
    <row r="195" spans="3:3" ht="33.950000000000003" customHeight="1">
      <c r="C195" s="40" t="s">
        <v>17</v>
      </c>
    </row>
    <row r="196" spans="3:3" ht="33.950000000000003" customHeight="1"/>
    <row r="197" spans="3:3" ht="33.950000000000003" customHeight="1"/>
    <row r="198" spans="3:3" ht="33.950000000000003" customHeight="1"/>
    <row r="199" spans="3:3" ht="33.950000000000003" customHeight="1"/>
    <row r="200" spans="3:3" ht="33.950000000000003" customHeight="1"/>
    <row r="201" spans="3:3" ht="33.950000000000003" customHeight="1"/>
    <row r="202" spans="3:3" ht="33.950000000000003" customHeight="1"/>
    <row r="203" spans="3:3" ht="33.950000000000003" customHeight="1"/>
    <row r="204" spans="3:3" ht="33.950000000000003" customHeight="1"/>
    <row r="205" spans="3:3" ht="33.950000000000003" customHeight="1"/>
    <row r="206" spans="3:3" ht="33.950000000000003" customHeight="1"/>
    <row r="207" spans="3:3" ht="33.950000000000003" customHeight="1"/>
    <row r="208" spans="3:3" ht="33.950000000000003" customHeight="1"/>
    <row r="209" ht="33.950000000000003" customHeight="1"/>
    <row r="210" ht="33.950000000000003" customHeight="1"/>
    <row r="211" ht="33.950000000000003" customHeight="1"/>
    <row r="212" ht="33.950000000000003" customHeight="1"/>
    <row r="213" ht="33.950000000000003" customHeight="1"/>
    <row r="214" ht="33.950000000000003" customHeight="1"/>
    <row r="215" ht="33.950000000000003" customHeight="1"/>
    <row r="216" ht="33.950000000000003" customHeight="1"/>
    <row r="217" ht="33.950000000000003" customHeight="1"/>
    <row r="218" ht="33.950000000000003" customHeight="1"/>
    <row r="219" ht="33.950000000000003" customHeight="1"/>
    <row r="220" ht="33.950000000000003" customHeight="1"/>
    <row r="221" ht="33.950000000000003" customHeight="1"/>
    <row r="222" ht="33.950000000000003" customHeight="1"/>
    <row r="223" ht="33.950000000000003" customHeight="1"/>
    <row r="224" ht="33.950000000000003" customHeight="1"/>
    <row r="225" ht="33.950000000000003" customHeight="1"/>
    <row r="226" ht="33.950000000000003" customHeight="1"/>
    <row r="227" ht="33.950000000000003" customHeight="1"/>
    <row r="228" ht="33.950000000000003" customHeight="1"/>
    <row r="229" ht="33.950000000000003" customHeight="1"/>
    <row r="230" ht="33.950000000000003" customHeight="1"/>
    <row r="231" ht="33.950000000000003" customHeight="1"/>
    <row r="232" ht="33.950000000000003" customHeight="1"/>
    <row r="233" ht="33.950000000000003" customHeight="1"/>
    <row r="234" ht="33.950000000000003" customHeight="1"/>
    <row r="235" ht="33.950000000000003" customHeight="1"/>
    <row r="236" ht="33.950000000000003" customHeight="1"/>
    <row r="237" ht="33.950000000000003" customHeight="1"/>
    <row r="238" ht="33.950000000000003" customHeight="1"/>
    <row r="239" ht="33.950000000000003" customHeight="1"/>
    <row r="240" ht="33.950000000000003" customHeight="1"/>
    <row r="241" ht="33.950000000000003" customHeight="1"/>
    <row r="242" ht="33.950000000000003" customHeight="1"/>
    <row r="243" ht="33.950000000000003" customHeight="1"/>
    <row r="244" ht="33.950000000000003" customHeight="1"/>
    <row r="245" ht="33.950000000000003" customHeight="1"/>
    <row r="246" ht="33.950000000000003" customHeight="1"/>
    <row r="247" ht="33.950000000000003" customHeight="1"/>
    <row r="248" ht="33.950000000000003" customHeight="1"/>
    <row r="249" ht="33.950000000000003" customHeight="1"/>
    <row r="250" ht="33.950000000000003" customHeight="1"/>
    <row r="251" ht="33.950000000000003" customHeight="1"/>
    <row r="252" ht="33.950000000000003" customHeight="1"/>
    <row r="253" ht="33.950000000000003" customHeight="1"/>
    <row r="254" ht="33.950000000000003" customHeight="1"/>
    <row r="255" ht="33.950000000000003" customHeight="1"/>
    <row r="256" ht="33.950000000000003" customHeight="1"/>
    <row r="257" ht="33.950000000000003" customHeight="1"/>
    <row r="258" ht="33.950000000000003" customHeight="1"/>
    <row r="259" ht="33.950000000000003" customHeight="1"/>
    <row r="260" ht="33.950000000000003" customHeight="1"/>
    <row r="261" ht="33.950000000000003" customHeight="1"/>
    <row r="262" ht="33.950000000000003" customHeight="1"/>
    <row r="263" ht="33.950000000000003" customHeight="1"/>
    <row r="264" ht="33.950000000000003" customHeight="1"/>
    <row r="265" ht="33.950000000000003" customHeight="1"/>
    <row r="266" ht="33.950000000000003" customHeight="1"/>
    <row r="267" ht="33.950000000000003" customHeight="1"/>
    <row r="268" ht="33.950000000000003" customHeight="1"/>
    <row r="269" ht="33.950000000000003" customHeight="1"/>
    <row r="270" ht="33.950000000000003" customHeight="1"/>
    <row r="271" ht="33.950000000000003" customHeight="1"/>
    <row r="272" ht="33.950000000000003" customHeight="1"/>
    <row r="273" ht="33.950000000000003" customHeight="1"/>
    <row r="274" ht="33.950000000000003" customHeight="1"/>
    <row r="275" ht="33.950000000000003" customHeight="1"/>
    <row r="276" ht="33.950000000000003" customHeight="1"/>
    <row r="277" ht="33.950000000000003" customHeight="1"/>
    <row r="278" ht="33.950000000000003" customHeight="1"/>
    <row r="279" ht="33.950000000000003" customHeight="1"/>
    <row r="280" ht="33.950000000000003" customHeight="1"/>
    <row r="281" ht="33.950000000000003" customHeight="1"/>
    <row r="282" ht="33.950000000000003" hidden="1" customHeight="1"/>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hidden="1"/>
    <row r="334"/>
    <row r="335"/>
    <row r="336"/>
    <row r="337"/>
  </sheetData>
  <sheetProtection algorithmName="SHA-512" hashValue="f9R6tPdOBKgZli7XSP25UifCzDw6zsIsKGnQuXvOVYTXWvuzfi+WH6Y7FcHuDU4XQivK70wLr33iJn929slmBw==" saltValue="9zHrL9391JIhme+9ynsRLQ==" spinCount="100000" sheet="1" objects="1" scenarios="1"/>
  <mergeCells count="31">
    <mergeCell ref="D39:J39"/>
    <mergeCell ref="G44:H44"/>
    <mergeCell ref="I44:J44"/>
    <mergeCell ref="D47:J47"/>
    <mergeCell ref="D67:J67"/>
    <mergeCell ref="G57:H57"/>
    <mergeCell ref="I57:J57"/>
    <mergeCell ref="C86:D86"/>
    <mergeCell ref="E86:F86"/>
    <mergeCell ref="G80:H80"/>
    <mergeCell ref="I80:J80"/>
    <mergeCell ref="D75:J75"/>
    <mergeCell ref="C83:F83"/>
    <mergeCell ref="C84:D84"/>
    <mergeCell ref="C85:D85"/>
    <mergeCell ref="G72:H72"/>
    <mergeCell ref="I72:J72"/>
    <mergeCell ref="C6:J8"/>
    <mergeCell ref="D20:J20"/>
    <mergeCell ref="C61:F61"/>
    <mergeCell ref="C62:D62"/>
    <mergeCell ref="E62:F62"/>
    <mergeCell ref="C63:D63"/>
    <mergeCell ref="E63:F63"/>
    <mergeCell ref="C64:D64"/>
    <mergeCell ref="E64:F64"/>
    <mergeCell ref="G25:H25"/>
    <mergeCell ref="I25:J25"/>
    <mergeCell ref="G36:H36"/>
    <mergeCell ref="I36:J36"/>
    <mergeCell ref="D28:J28"/>
  </mergeCells>
  <pageMargins left="0.25" right="0.25" top="0.75" bottom="0.75" header="0.3" footer="0.3"/>
  <pageSetup paperSize="9" orientation="landscape" r:id="rId1"/>
  <rowBreaks count="19" manualBreakCount="19">
    <brk id="18" max="16383" man="1"/>
    <brk id="25" max="16383" man="1"/>
    <brk id="36" min="2" max="9" man="1"/>
    <brk id="44" min="2" max="9" man="1"/>
    <brk id="58" min="2" max="9" man="1"/>
    <brk id="65" min="2" max="9" man="1"/>
    <brk id="72" min="2" max="9" man="1"/>
    <brk id="80" min="2" max="9" man="1"/>
    <brk id="87" max="16383" man="1"/>
    <brk id="101" min="2" max="9" man="1"/>
    <brk id="114" min="2" max="9" man="1"/>
    <brk id="127" min="2" max="9" man="1"/>
    <brk id="140" min="2" max="9" man="1"/>
    <brk id="150" min="2" max="9" man="1"/>
    <brk id="159" min="2" max="9" man="1"/>
    <brk id="172" min="2" max="9" man="1"/>
    <brk id="185" min="2" max="9" man="1"/>
    <brk id="194" min="2" max="9" man="1"/>
    <brk id="203" max="16383" man="1"/>
  </rowBreaks>
  <colBreaks count="2" manualBreakCount="2">
    <brk id="2" max="1048575" man="1"/>
    <brk id="10" max="1048575" man="1"/>
  </colBreaks>
  <drawing r:id="rId2"/>
</worksheet>
</file>

<file path=xl/worksheets/sheet17.xml><?xml version="1.0" encoding="utf-8"?>
<worksheet xmlns="http://schemas.openxmlformats.org/spreadsheetml/2006/main" xmlns:r="http://schemas.openxmlformats.org/officeDocument/2006/relationships">
  <sheetPr codeName="Plan17"/>
  <dimension ref="A1:AE74"/>
  <sheetViews>
    <sheetView showGridLines="0" zoomScale="90" zoomScaleNormal="90" workbookViewId="0">
      <selection sqref="A1:XFD1048576"/>
    </sheetView>
  </sheetViews>
  <sheetFormatPr defaultColWidth="8.85546875" defaultRowHeight="4.5" customHeight="1"/>
  <cols>
    <col min="1" max="1" width="27.7109375" style="110" customWidth="1"/>
    <col min="2" max="2" width="3.85546875" style="2" customWidth="1"/>
    <col min="3" max="16384" width="8.85546875" style="2"/>
  </cols>
  <sheetData>
    <row r="1" spans="1:31" s="3" customFormat="1" ht="33.950000000000003" customHeight="1">
      <c r="A1" s="108"/>
      <c r="C1" s="4" t="s">
        <v>21</v>
      </c>
    </row>
    <row r="2" spans="1:31" s="3" customFormat="1" ht="21.6" customHeight="1">
      <c r="A2" s="108"/>
    </row>
    <row r="3" spans="1:31" s="3" customFormat="1" ht="21.6" customHeight="1">
      <c r="A3" s="108"/>
    </row>
    <row r="4" spans="1:31" s="106" customFormat="1" ht="44.25" customHeight="1">
      <c r="A4" s="108"/>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row>
    <row r="5" spans="1:31" customFormat="1" ht="30" customHeight="1">
      <c r="A5" s="108"/>
      <c r="C5" s="189" t="s">
        <v>24</v>
      </c>
      <c r="D5" s="189"/>
      <c r="E5" s="189"/>
      <c r="F5" s="189"/>
      <c r="G5" s="189"/>
      <c r="H5" s="189"/>
      <c r="I5" s="189"/>
      <c r="J5" s="189"/>
      <c r="K5" s="189"/>
    </row>
    <row r="6" spans="1:31" customFormat="1" ht="30" customHeight="1">
      <c r="A6" s="108"/>
      <c r="C6" s="185" t="s">
        <v>598</v>
      </c>
      <c r="D6" s="186"/>
      <c r="E6" s="186"/>
      <c r="F6" s="186"/>
      <c r="G6" s="186"/>
      <c r="H6" s="186"/>
      <c r="I6" s="186"/>
      <c r="J6" s="186"/>
      <c r="K6" s="187"/>
    </row>
    <row r="7" spans="1:31" customFormat="1" ht="30" customHeight="1">
      <c r="A7" s="108"/>
      <c r="C7" s="190" t="s">
        <v>25</v>
      </c>
      <c r="D7" s="190"/>
      <c r="E7" s="190"/>
      <c r="F7" s="190"/>
      <c r="G7" s="190"/>
      <c r="H7" s="190"/>
      <c r="I7" s="190"/>
      <c r="J7" s="190"/>
      <c r="K7" s="190"/>
    </row>
    <row r="8" spans="1:31" customFormat="1" ht="30" customHeight="1">
      <c r="A8" s="108"/>
      <c r="C8" s="188" t="str">
        <f>IFERROR(VLOOKUP(C6,C60:J74,8,FALSE),"")</f>
        <v xml:space="preserve">Nós recomendamos fortemente que você utilize a estrutura pronta apresentada, pois existem diversas fórmulas que podem ser afetadas pela adição de linhas e colunas. Além disso, para facilitar o preenchimento mantemos a planilha desbloqueada apenas nos locais para preenchimento. </v>
      </c>
      <c r="D8" s="188"/>
      <c r="E8" s="188"/>
      <c r="F8" s="188"/>
      <c r="G8" s="188"/>
      <c r="H8" s="188"/>
      <c r="I8" s="188"/>
      <c r="J8" s="188"/>
      <c r="K8" s="188"/>
    </row>
    <row r="9" spans="1:31" customFormat="1" ht="30" customHeight="1">
      <c r="A9" s="108"/>
      <c r="C9" s="188"/>
      <c r="D9" s="188"/>
      <c r="E9" s="188"/>
      <c r="F9" s="188"/>
      <c r="G9" s="188"/>
      <c r="H9" s="188"/>
      <c r="I9" s="188"/>
      <c r="J9" s="188"/>
      <c r="K9" s="188"/>
    </row>
    <row r="10" spans="1:31" customFormat="1" ht="30" customHeight="1">
      <c r="A10" s="108"/>
      <c r="C10" s="188"/>
      <c r="D10" s="188"/>
      <c r="E10" s="188"/>
      <c r="F10" s="188"/>
      <c r="G10" s="188"/>
      <c r="H10" s="188"/>
      <c r="I10" s="188"/>
      <c r="J10" s="188"/>
      <c r="K10" s="188"/>
    </row>
    <row r="11" spans="1:31" customFormat="1" ht="30" customHeight="1">
      <c r="A11" s="108"/>
      <c r="C11" s="188"/>
      <c r="D11" s="188"/>
      <c r="E11" s="188"/>
      <c r="F11" s="188"/>
      <c r="G11" s="188"/>
      <c r="H11" s="188"/>
      <c r="I11" s="188"/>
      <c r="J11" s="188"/>
      <c r="K11" s="188"/>
    </row>
    <row r="12" spans="1:31" customFormat="1" ht="30" customHeight="1">
      <c r="A12" s="108"/>
      <c r="C12" s="188"/>
      <c r="D12" s="188"/>
      <c r="E12" s="188"/>
      <c r="F12" s="188"/>
      <c r="G12" s="188"/>
      <c r="H12" s="188"/>
      <c r="I12" s="188"/>
      <c r="J12" s="188"/>
      <c r="K12" s="188"/>
    </row>
    <row r="13" spans="1:31" customFormat="1" ht="30" customHeight="1">
      <c r="A13" s="108"/>
    </row>
    <row r="14" spans="1:31" customFormat="1" ht="30" customHeight="1">
      <c r="A14" s="108"/>
    </row>
    <row r="15" spans="1:31" customFormat="1" ht="30" customHeight="1">
      <c r="A15" s="108"/>
    </row>
    <row r="16" spans="1:31" customFormat="1" ht="30" customHeight="1">
      <c r="A16" s="108"/>
    </row>
    <row r="17" spans="1:1" customFormat="1" ht="30" customHeight="1">
      <c r="A17" s="108"/>
    </row>
    <row r="18" spans="1:1" customFormat="1" ht="30" customHeight="1">
      <c r="A18" s="108"/>
    </row>
    <row r="19" spans="1:1" customFormat="1" ht="30" customHeight="1">
      <c r="A19" s="108"/>
    </row>
    <row r="20" spans="1:1" customFormat="1" ht="30" customHeight="1">
      <c r="A20" s="108"/>
    </row>
    <row r="21" spans="1:1" customFormat="1" ht="30" customHeight="1">
      <c r="A21" s="108"/>
    </row>
    <row r="22" spans="1:1" customFormat="1" ht="30" customHeight="1">
      <c r="A22" s="108"/>
    </row>
    <row r="23" spans="1:1" customFormat="1" ht="30" customHeight="1">
      <c r="A23" s="108"/>
    </row>
    <row r="24" spans="1:1" customFormat="1" ht="30" customHeight="1">
      <c r="A24" s="108"/>
    </row>
    <row r="25" spans="1:1" customFormat="1" ht="30" customHeight="1">
      <c r="A25" s="108"/>
    </row>
    <row r="26" spans="1:1" customFormat="1" ht="30" customHeight="1">
      <c r="A26" s="108"/>
    </row>
    <row r="27" spans="1:1" customFormat="1" ht="30" customHeight="1">
      <c r="A27" s="108"/>
    </row>
    <row r="28" spans="1:1" customFormat="1" ht="30" customHeight="1">
      <c r="A28" s="108"/>
    </row>
    <row r="29" spans="1:1" customFormat="1" ht="30" customHeight="1">
      <c r="A29" s="108"/>
    </row>
    <row r="30" spans="1:1" customFormat="1" ht="30" customHeight="1">
      <c r="A30" s="108"/>
    </row>
    <row r="31" spans="1:1" customFormat="1" ht="30" customHeight="1">
      <c r="A31" s="108"/>
    </row>
    <row r="32" spans="1:1" customFormat="1" ht="30" customHeight="1">
      <c r="A32" s="108"/>
    </row>
    <row r="33" spans="1:1" customFormat="1" ht="30" customHeight="1">
      <c r="A33" s="108"/>
    </row>
    <row r="34" spans="1:1" customFormat="1" ht="30" customHeight="1">
      <c r="A34" s="108"/>
    </row>
    <row r="35" spans="1:1" customFormat="1" ht="30" customHeight="1">
      <c r="A35" s="108"/>
    </row>
    <row r="36" spans="1:1" customFormat="1" ht="30" customHeight="1">
      <c r="A36" s="108"/>
    </row>
    <row r="37" spans="1:1" customFormat="1" ht="30" customHeight="1">
      <c r="A37" s="108"/>
    </row>
    <row r="38" spans="1:1" customFormat="1" ht="30" customHeight="1">
      <c r="A38" s="108"/>
    </row>
    <row r="39" spans="1:1" customFormat="1" ht="30" customHeight="1">
      <c r="A39" s="108"/>
    </row>
    <row r="40" spans="1:1" customFormat="1" ht="30" customHeight="1">
      <c r="A40" s="108"/>
    </row>
    <row r="41" spans="1:1" customFormat="1" ht="30" customHeight="1">
      <c r="A41" s="108"/>
    </row>
    <row r="42" spans="1:1" customFormat="1" ht="30" customHeight="1">
      <c r="A42" s="108"/>
    </row>
    <row r="43" spans="1:1" customFormat="1" ht="30" customHeight="1">
      <c r="A43" s="108"/>
    </row>
    <row r="44" spans="1:1" customFormat="1" ht="30" customHeight="1">
      <c r="A44" s="108"/>
    </row>
    <row r="45" spans="1:1" customFormat="1" ht="30" customHeight="1">
      <c r="A45" s="108"/>
    </row>
    <row r="46" spans="1:1" customFormat="1" ht="30" customHeight="1">
      <c r="A46" s="108"/>
    </row>
    <row r="47" spans="1:1" customFormat="1" ht="30" customHeight="1">
      <c r="A47" s="108"/>
    </row>
    <row r="48" spans="1:1" customFormat="1" ht="30" customHeight="1">
      <c r="A48" s="108"/>
    </row>
    <row r="49" spans="1:10" customFormat="1" ht="30" customHeight="1">
      <c r="A49" s="108"/>
    </row>
    <row r="50" spans="1:10" customFormat="1" ht="30" customHeight="1">
      <c r="A50" s="108"/>
    </row>
    <row r="51" spans="1:10" customFormat="1" ht="30" customHeight="1">
      <c r="A51" s="108"/>
    </row>
    <row r="52" spans="1:10" customFormat="1" ht="30" customHeight="1">
      <c r="A52" s="108"/>
    </row>
    <row r="53" spans="1:10" customFormat="1" ht="30" customHeight="1">
      <c r="A53" s="108"/>
    </row>
    <row r="54" spans="1:10" customFormat="1" ht="30" customHeight="1">
      <c r="A54" s="108"/>
    </row>
    <row r="55" spans="1:10" customFormat="1" ht="30" customHeight="1">
      <c r="A55" s="108"/>
    </row>
    <row r="56" spans="1:10" customFormat="1" ht="30" customHeight="1">
      <c r="A56" s="108"/>
    </row>
    <row r="57" spans="1:10" customFormat="1" ht="30" customHeight="1">
      <c r="A57" s="108"/>
    </row>
    <row r="58" spans="1:10" customFormat="1" ht="27.75" customHeight="1">
      <c r="A58" s="108"/>
    </row>
    <row r="60" spans="1:10" ht="4.5" customHeight="1">
      <c r="C60" s="2" t="str">
        <f>IF(E60="","",D60&amp;". "&amp;E60)</f>
        <v>1. Posso adicionar mais linhas e colunas na planilha?</v>
      </c>
      <c r="D60" s="2">
        <v>1</v>
      </c>
      <c r="E60" s="2" t="s">
        <v>1</v>
      </c>
      <c r="J60" s="2" t="s">
        <v>2</v>
      </c>
    </row>
    <row r="61" spans="1:10" ht="4.5" customHeight="1">
      <c r="C61" s="2" t="str">
        <f t="shared" ref="C61:C74" si="0">IF(E61="","",D61&amp;". "&amp;E61)</f>
        <v>2. Posso remover linhas?</v>
      </c>
      <c r="D61" s="2">
        <v>2</v>
      </c>
      <c r="E61" s="2" t="s">
        <v>3</v>
      </c>
      <c r="J61" s="2" t="s">
        <v>2</v>
      </c>
    </row>
    <row r="62" spans="1:10" ht="4.5" customHeight="1">
      <c r="C62" s="2" t="str">
        <f t="shared" si="0"/>
        <v>3. Para que servem os alertas?</v>
      </c>
      <c r="D62" s="2">
        <v>3</v>
      </c>
      <c r="E62" s="2" t="s">
        <v>5</v>
      </c>
      <c r="J62" s="2" t="s">
        <v>4</v>
      </c>
    </row>
    <row r="63" spans="1:10" ht="4.5" customHeight="1">
      <c r="C63" s="2" t="str">
        <f t="shared" si="0"/>
        <v>4. Essa planilha pode ser apresentada para instituições financeiras?</v>
      </c>
      <c r="D63" s="2">
        <v>4</v>
      </c>
      <c r="E63" s="2" t="s">
        <v>8</v>
      </c>
      <c r="J63" s="2" t="s">
        <v>9</v>
      </c>
    </row>
    <row r="64" spans="1:10" ht="4.5" customHeight="1">
      <c r="C64" s="2" t="str">
        <f t="shared" si="0"/>
        <v>5. Como desbloquear a planilha?</v>
      </c>
      <c r="D64" s="2">
        <v>5</v>
      </c>
      <c r="E64" s="2" t="s">
        <v>6</v>
      </c>
      <c r="J64" s="2" t="s">
        <v>7</v>
      </c>
    </row>
    <row r="65" spans="3:10" ht="4.5" customHeight="1">
      <c r="C65" s="2" t="str">
        <f t="shared" si="0"/>
        <v>6. Como redimensiono uma coluna ou linha da planilha?</v>
      </c>
      <c r="D65" s="2">
        <v>6</v>
      </c>
      <c r="E65" s="2" t="s">
        <v>10</v>
      </c>
      <c r="J65" s="2" t="s">
        <v>11</v>
      </c>
    </row>
    <row r="66" spans="3:10" ht="4.5" customHeight="1">
      <c r="C66" s="2" t="str">
        <f t="shared" si="0"/>
        <v>7. Como faço para imprimir uma planilha?</v>
      </c>
      <c r="D66" s="2">
        <v>7</v>
      </c>
      <c r="E66" s="2" t="s">
        <v>12</v>
      </c>
      <c r="J66" s="2" t="s">
        <v>14</v>
      </c>
    </row>
    <row r="67" spans="3:10" ht="4.5" customHeight="1">
      <c r="C67" s="2" t="str">
        <f t="shared" si="0"/>
        <v>8. Como mudo a moeda da planilha?</v>
      </c>
      <c r="D67" s="2">
        <v>8</v>
      </c>
      <c r="E67" s="2" t="s">
        <v>13</v>
      </c>
      <c r="J67" s="2" t="s">
        <v>15</v>
      </c>
    </row>
    <row r="68" spans="3:10" ht="4.5" customHeight="1">
      <c r="C68" s="2" t="str">
        <f t="shared" si="0"/>
        <v>9. O que é Balanço Patrmônial?</v>
      </c>
      <c r="D68" s="2">
        <v>9</v>
      </c>
      <c r="E68" s="2" t="s">
        <v>558</v>
      </c>
      <c r="J68" s="2" t="s">
        <v>559</v>
      </c>
    </row>
    <row r="69" spans="3:10" ht="4.5" customHeight="1">
      <c r="C69" s="2" t="str">
        <f t="shared" si="0"/>
        <v>10. O que é Ativo Circulante?</v>
      </c>
      <c r="D69" s="2">
        <v>10</v>
      </c>
      <c r="E69" s="2" t="s">
        <v>561</v>
      </c>
      <c r="J69" s="2" t="s">
        <v>560</v>
      </c>
    </row>
    <row r="70" spans="3:10" ht="4.5" customHeight="1">
      <c r="C70" s="2" t="str">
        <f t="shared" si="0"/>
        <v>11. O que é Ativo Não Circulante?</v>
      </c>
      <c r="D70" s="2">
        <v>11</v>
      </c>
      <c r="E70" s="2" t="s">
        <v>562</v>
      </c>
      <c r="J70" s="2" t="s">
        <v>563</v>
      </c>
    </row>
    <row r="71" spans="3:10" ht="4.5" customHeight="1">
      <c r="C71" s="2" t="str">
        <f t="shared" si="0"/>
        <v>12. O que é Passivo Circulante?</v>
      </c>
      <c r="D71" s="2">
        <v>12</v>
      </c>
      <c r="E71" s="2" t="s">
        <v>564</v>
      </c>
      <c r="J71" s="2" t="s">
        <v>566</v>
      </c>
    </row>
    <row r="72" spans="3:10" ht="4.5" customHeight="1">
      <c r="C72" s="2" t="str">
        <f t="shared" si="0"/>
        <v>13. O que é Passivo Não Circulante?</v>
      </c>
      <c r="D72" s="2">
        <v>13</v>
      </c>
      <c r="E72" s="2" t="s">
        <v>565</v>
      </c>
      <c r="J72" s="2" t="s">
        <v>567</v>
      </c>
    </row>
    <row r="73" spans="3:10" ht="4.5" customHeight="1">
      <c r="C73" s="2" t="str">
        <f t="shared" si="0"/>
        <v>14. O que é DRE?</v>
      </c>
      <c r="D73" s="2">
        <v>14</v>
      </c>
      <c r="E73" s="2" t="s">
        <v>568</v>
      </c>
      <c r="J73" s="2" t="s">
        <v>569</v>
      </c>
    </row>
    <row r="74" spans="3:10" ht="4.5" customHeight="1">
      <c r="C74" s="2" t="str">
        <f t="shared" si="0"/>
        <v>15. O que é Análise de Balanço?</v>
      </c>
      <c r="D74" s="2">
        <v>15</v>
      </c>
      <c r="E74" s="2" t="s">
        <v>570</v>
      </c>
      <c r="J74" s="2" t="s">
        <v>571</v>
      </c>
    </row>
  </sheetData>
  <sheetProtection algorithmName="SHA-512" hashValue="Jrjk2wBbHNv2V5r+9Zyud6H86s61g8AlLDtmWJdRqdB1IfholbyIBfK6v1FFgYV1Qv0Mqin1vY3tsm6PSNepFw==" saltValue="RkaN+HSoo+IcOHkwKal0mQ==" spinCount="100000" sheet="1" objects="1" scenarios="1"/>
  <mergeCells count="4">
    <mergeCell ref="C6:K6"/>
    <mergeCell ref="C8:K12"/>
    <mergeCell ref="C5:K5"/>
    <mergeCell ref="C7:K7"/>
  </mergeCells>
  <dataValidations count="1">
    <dataValidation type="list" allowBlank="1" showInputMessage="1" showErrorMessage="1" sqref="C6:K6">
      <formula1>$C$60:$C$74</formula1>
    </dataValidation>
  </dataValidations>
  <pageMargins left="0.511811024" right="0.511811024" top="0.78740157499999996" bottom="0.78740157499999996" header="0.31496062000000002" footer="0.31496062000000002"/>
  <drawing r:id="rId1"/>
</worksheet>
</file>

<file path=xl/worksheets/sheet18.xml><?xml version="1.0" encoding="utf-8"?>
<worksheet xmlns="http://schemas.openxmlformats.org/spreadsheetml/2006/main" xmlns:r="http://schemas.openxmlformats.org/officeDocument/2006/relationships">
  <sheetPr codeName="Plan18"/>
  <dimension ref="A1:X99"/>
  <sheetViews>
    <sheetView showGridLines="0" zoomScale="90" zoomScaleNormal="90" workbookViewId="0">
      <selection activeCell="I17" sqref="I17"/>
    </sheetView>
  </sheetViews>
  <sheetFormatPr defaultColWidth="8.85546875" defaultRowHeight="15"/>
  <cols>
    <col min="1" max="1" width="27.7109375" style="105" customWidth="1"/>
    <col min="2" max="2" width="3.85546875" style="41" customWidth="1"/>
    <col min="3" max="3" width="7.140625" style="41" customWidth="1"/>
    <col min="4" max="4" width="61.42578125" style="41" customWidth="1"/>
    <col min="5" max="5" width="4.42578125" style="41" customWidth="1"/>
    <col min="6" max="6" width="8.7109375" style="41" customWidth="1"/>
    <col min="7" max="7" width="8.42578125" style="41" customWidth="1"/>
    <col min="8" max="8" width="2.7109375" style="41" customWidth="1"/>
    <col min="9" max="13" width="8.85546875" style="41"/>
    <col min="14" max="14" width="22.28515625" style="41" customWidth="1"/>
    <col min="15" max="16384" width="8.85546875" style="41"/>
  </cols>
  <sheetData>
    <row r="1" spans="1:24" s="58" customFormat="1" ht="33.950000000000003" customHeight="1">
      <c r="A1" s="105"/>
      <c r="C1" s="59" t="s">
        <v>22</v>
      </c>
    </row>
    <row r="2" spans="1:24" s="58" customFormat="1" ht="21.6" customHeight="1">
      <c r="A2" s="105"/>
    </row>
    <row r="3" spans="1:24" s="58" customFormat="1" ht="21.6" customHeight="1">
      <c r="A3" s="105"/>
      <c r="C3" s="87"/>
    </row>
    <row r="4" spans="1:24" ht="44.25" customHeight="1">
      <c r="B4" s="26"/>
      <c r="C4" s="26"/>
      <c r="D4" s="26"/>
      <c r="E4" s="26"/>
      <c r="F4" s="26"/>
      <c r="G4" s="26"/>
      <c r="H4" s="26"/>
      <c r="I4" s="26"/>
      <c r="J4" s="26"/>
      <c r="K4" s="26"/>
      <c r="L4" s="26"/>
      <c r="M4" s="26"/>
      <c r="N4" s="26"/>
      <c r="O4" s="26"/>
      <c r="P4" s="26"/>
      <c r="Q4" s="26"/>
      <c r="R4" s="26"/>
      <c r="S4" s="26"/>
      <c r="T4" s="26"/>
      <c r="U4" s="26"/>
      <c r="V4" s="26"/>
      <c r="W4" s="26"/>
      <c r="X4" s="26"/>
    </row>
    <row r="5" spans="1:24" ht="15" customHeight="1"/>
    <row r="6" spans="1:24" ht="18" customHeight="1">
      <c r="C6" s="191" t="s">
        <v>585</v>
      </c>
      <c r="D6" s="191"/>
      <c r="E6" s="191"/>
      <c r="F6" s="191"/>
      <c r="G6" s="191"/>
      <c r="H6" s="191"/>
      <c r="I6" s="191"/>
      <c r="J6" s="191"/>
      <c r="K6" s="191"/>
      <c r="L6" s="191"/>
      <c r="M6" s="191"/>
      <c r="N6" s="191"/>
      <c r="O6" s="191"/>
      <c r="P6" s="191"/>
      <c r="Q6" s="191"/>
      <c r="R6" s="191"/>
      <c r="S6" s="191"/>
      <c r="T6" s="191"/>
    </row>
    <row r="7" spans="1:24" ht="30" customHeight="1"/>
    <row r="8" spans="1:24" ht="18" customHeight="1">
      <c r="C8" s="194">
        <v>1</v>
      </c>
      <c r="D8" s="112" t="s">
        <v>572</v>
      </c>
      <c r="E8" s="101"/>
      <c r="F8" s="101"/>
      <c r="G8" s="194">
        <v>6</v>
      </c>
      <c r="H8" s="197" t="s">
        <v>582</v>
      </c>
      <c r="I8" s="197"/>
      <c r="J8" s="197"/>
      <c r="K8" s="197"/>
      <c r="L8" s="197"/>
      <c r="M8" s="197"/>
      <c r="N8" s="197"/>
      <c r="O8" s="88"/>
      <c r="Q8" s="89"/>
      <c r="R8" s="89"/>
      <c r="S8" s="89"/>
      <c r="T8" s="89"/>
    </row>
    <row r="9" spans="1:24" ht="39.950000000000003" customHeight="1">
      <c r="C9" s="194"/>
      <c r="D9" s="100" t="s">
        <v>573</v>
      </c>
      <c r="E9" s="100"/>
      <c r="F9" s="100"/>
      <c r="G9" s="194"/>
      <c r="H9" s="116" t="s">
        <v>583</v>
      </c>
      <c r="I9" s="116"/>
      <c r="J9" s="116"/>
      <c r="K9" s="116"/>
      <c r="L9" s="116"/>
      <c r="M9" s="116"/>
      <c r="N9" s="116"/>
      <c r="O9" s="116"/>
      <c r="Q9" s="54"/>
      <c r="R9" s="54"/>
      <c r="S9" s="54"/>
      <c r="T9" s="42"/>
    </row>
    <row r="10" spans="1:24" ht="18" customHeight="1">
      <c r="C10" s="194"/>
      <c r="G10" s="194"/>
      <c r="H10" s="192"/>
      <c r="I10" s="192"/>
      <c r="J10" s="192"/>
      <c r="K10" s="193"/>
      <c r="L10" s="193"/>
      <c r="M10" s="43"/>
      <c r="O10" s="91"/>
      <c r="P10" s="90"/>
      <c r="Q10" s="43"/>
      <c r="R10" s="43"/>
      <c r="S10" s="43"/>
    </row>
    <row r="11" spans="1:24" ht="12" customHeight="1"/>
    <row r="12" spans="1:24" ht="18" customHeight="1">
      <c r="C12" s="194">
        <v>2</v>
      </c>
      <c r="D12" s="114" t="s">
        <v>574</v>
      </c>
      <c r="E12" s="101"/>
      <c r="F12" s="101"/>
      <c r="G12" s="194">
        <v>7</v>
      </c>
      <c r="H12" s="197" t="s">
        <v>0</v>
      </c>
      <c r="I12" s="197"/>
      <c r="J12" s="197"/>
      <c r="K12" s="197"/>
      <c r="L12" s="197"/>
      <c r="M12" s="197"/>
      <c r="N12" s="197"/>
      <c r="O12" s="88"/>
      <c r="Q12" s="89"/>
      <c r="R12" s="89"/>
      <c r="S12" s="89"/>
      <c r="T12" s="89"/>
    </row>
    <row r="13" spans="1:24" ht="39.950000000000003" customHeight="1">
      <c r="C13" s="194"/>
      <c r="D13" s="97" t="s">
        <v>575</v>
      </c>
      <c r="E13" s="97"/>
      <c r="F13" s="97"/>
      <c r="G13" s="194"/>
      <c r="H13" s="196" t="s">
        <v>584</v>
      </c>
      <c r="I13" s="196"/>
      <c r="J13" s="196"/>
      <c r="K13" s="196"/>
      <c r="L13" s="196"/>
      <c r="M13" s="196"/>
      <c r="N13" s="196"/>
      <c r="O13" s="196"/>
      <c r="Q13" s="53"/>
      <c r="R13" s="53"/>
      <c r="S13" s="53"/>
      <c r="T13" s="44"/>
    </row>
    <row r="14" spans="1:24" ht="18" customHeight="1">
      <c r="C14" s="194"/>
      <c r="G14" s="194"/>
      <c r="H14" s="192"/>
      <c r="I14" s="192"/>
      <c r="J14" s="192"/>
      <c r="K14" s="193"/>
      <c r="L14" s="193"/>
      <c r="M14" s="43"/>
      <c r="O14" s="91"/>
      <c r="P14" s="91"/>
      <c r="Q14" s="91"/>
      <c r="R14" s="91"/>
      <c r="S14" s="43"/>
    </row>
    <row r="15" spans="1:24" ht="12" customHeight="1"/>
    <row r="16" spans="1:24" ht="18" customHeight="1">
      <c r="C16" s="194">
        <v>3</v>
      </c>
      <c r="D16" s="113" t="s">
        <v>576</v>
      </c>
      <c r="E16" s="101"/>
      <c r="F16" s="101"/>
      <c r="G16" s="101"/>
      <c r="H16" s="101"/>
      <c r="I16" s="101"/>
      <c r="J16" s="101"/>
      <c r="K16" s="88"/>
      <c r="Q16" s="89"/>
      <c r="R16" s="89"/>
      <c r="S16" s="89"/>
    </row>
    <row r="17" spans="3:20" ht="39.950000000000003" customHeight="1">
      <c r="C17" s="194"/>
      <c r="D17" s="100" t="s">
        <v>577</v>
      </c>
      <c r="E17" s="100"/>
      <c r="F17" s="100"/>
      <c r="G17" s="100"/>
      <c r="H17" s="100"/>
      <c r="I17" s="100"/>
      <c r="J17" s="100"/>
      <c r="K17" s="100"/>
      <c r="Q17" s="54"/>
      <c r="R17" s="54"/>
      <c r="S17" s="54"/>
      <c r="T17" s="42"/>
    </row>
    <row r="18" spans="3:20" ht="18" customHeight="1">
      <c r="C18" s="194"/>
      <c r="I18" s="192"/>
      <c r="J18" s="192"/>
      <c r="K18" s="192"/>
      <c r="L18" s="193"/>
      <c r="M18" s="193"/>
      <c r="N18" s="43"/>
      <c r="P18" s="91"/>
      <c r="Q18" s="91"/>
      <c r="R18" s="91"/>
      <c r="S18" s="43"/>
    </row>
    <row r="19" spans="3:20" ht="12" customHeight="1">
      <c r="I19" s="195"/>
      <c r="J19" s="195"/>
      <c r="K19" s="195"/>
      <c r="P19" s="90"/>
    </row>
    <row r="20" spans="3:20" ht="18" customHeight="1">
      <c r="C20" s="194">
        <v>4</v>
      </c>
      <c r="D20" s="114" t="s">
        <v>578</v>
      </c>
      <c r="E20" s="101"/>
      <c r="F20" s="101"/>
      <c r="G20" s="101"/>
      <c r="H20" s="101"/>
      <c r="I20" s="101"/>
      <c r="J20" s="101"/>
      <c r="K20" s="88"/>
      <c r="Q20" s="89"/>
      <c r="R20" s="89"/>
      <c r="S20" s="89"/>
      <c r="T20" s="92"/>
    </row>
    <row r="21" spans="3:20" ht="39.950000000000003" customHeight="1">
      <c r="C21" s="194"/>
      <c r="D21" s="97" t="s">
        <v>579</v>
      </c>
      <c r="E21" s="97"/>
      <c r="F21" s="97"/>
      <c r="G21" s="97"/>
      <c r="H21" s="97"/>
      <c r="I21" s="97"/>
      <c r="J21" s="97"/>
      <c r="K21" s="97"/>
      <c r="Q21" s="53"/>
      <c r="R21" s="53"/>
      <c r="S21" s="53"/>
      <c r="T21" s="42"/>
    </row>
    <row r="22" spans="3:20" ht="18" customHeight="1">
      <c r="C22" s="194"/>
      <c r="D22" s="98"/>
      <c r="E22" s="98"/>
      <c r="F22" s="98"/>
      <c r="G22" s="99"/>
      <c r="H22" s="99"/>
      <c r="I22" s="43"/>
      <c r="K22" s="99"/>
      <c r="Q22" s="91"/>
      <c r="R22" s="91"/>
      <c r="S22" s="43"/>
    </row>
    <row r="23" spans="3:20" ht="12" customHeight="1"/>
    <row r="24" spans="3:20" ht="18" customHeight="1">
      <c r="C24" s="194">
        <v>5</v>
      </c>
      <c r="D24" s="113" t="s">
        <v>580</v>
      </c>
      <c r="E24" s="101"/>
      <c r="F24" s="101"/>
      <c r="G24" s="101"/>
      <c r="H24" s="101"/>
      <c r="I24" s="101"/>
      <c r="J24" s="101"/>
      <c r="K24" s="88"/>
      <c r="Q24" s="89"/>
      <c r="R24" s="89"/>
      <c r="S24" s="89"/>
      <c r="T24" s="92"/>
    </row>
    <row r="25" spans="3:20" ht="39.950000000000003" customHeight="1">
      <c r="C25" s="194"/>
      <c r="D25" s="97" t="s">
        <v>581</v>
      </c>
      <c r="E25" s="97"/>
      <c r="F25" s="97"/>
      <c r="G25" s="97"/>
      <c r="H25" s="97"/>
      <c r="I25" s="97"/>
      <c r="J25" s="97"/>
      <c r="K25" s="97"/>
      <c r="Q25" s="53"/>
      <c r="R25" s="53"/>
      <c r="S25" s="53"/>
      <c r="T25" s="42"/>
    </row>
    <row r="26" spans="3:20" ht="18" customHeight="1">
      <c r="C26" s="194"/>
      <c r="D26" s="98"/>
      <c r="E26" s="98"/>
      <c r="F26" s="98"/>
      <c r="G26" s="99"/>
      <c r="H26" s="99"/>
      <c r="I26" s="43"/>
      <c r="K26" s="99"/>
      <c r="Q26" s="91"/>
      <c r="R26" s="91"/>
      <c r="S26" s="43"/>
    </row>
    <row r="27" spans="3:20" ht="12" customHeight="1"/>
    <row r="28" spans="3:20" ht="18" customHeight="1">
      <c r="Q28" s="89"/>
      <c r="R28" s="89"/>
      <c r="S28" s="89"/>
    </row>
    <row r="29" spans="3:20" ht="39.950000000000003" customHeight="1">
      <c r="Q29" s="53"/>
      <c r="R29" s="53"/>
      <c r="S29" s="53"/>
    </row>
    <row r="30" spans="3:20" ht="18" customHeight="1">
      <c r="Q30" s="91"/>
      <c r="R30" s="91"/>
      <c r="S30" s="43"/>
    </row>
    <row r="31" spans="3:20" ht="12" customHeight="1"/>
    <row r="32" spans="3:20" ht="18" customHeight="1">
      <c r="Q32" s="89"/>
      <c r="R32" s="89"/>
      <c r="S32" s="89"/>
    </row>
    <row r="33" spans="1:24" ht="39.950000000000003" customHeight="1">
      <c r="Q33" s="54"/>
      <c r="R33" s="54"/>
      <c r="S33" s="54"/>
    </row>
    <row r="34" spans="1:24" s="75" customFormat="1" ht="18" customHeight="1">
      <c r="A34" s="111"/>
      <c r="C34" s="41"/>
      <c r="D34" s="41"/>
      <c r="E34" s="41"/>
      <c r="F34" s="41"/>
      <c r="H34" s="41"/>
      <c r="Q34" s="91"/>
      <c r="R34" s="91"/>
      <c r="S34" s="43"/>
      <c r="T34" s="41"/>
      <c r="X34" s="75" t="s">
        <v>23</v>
      </c>
    </row>
    <row r="35" spans="1:24" ht="30" customHeight="1">
      <c r="P35" s="93"/>
    </row>
    <row r="36" spans="1:24" ht="30" customHeight="1"/>
    <row r="37" spans="1:24" ht="30" customHeight="1"/>
    <row r="38" spans="1:24" ht="30" customHeight="1"/>
    <row r="39" spans="1:24" ht="30" customHeight="1"/>
    <row r="40" spans="1:24" ht="30" customHeight="1"/>
    <row r="41" spans="1:24" ht="30" customHeight="1"/>
    <row r="42" spans="1:24" ht="30" customHeight="1"/>
    <row r="43" spans="1:24" ht="30" customHeight="1"/>
    <row r="44" spans="1:24" ht="30" customHeight="1"/>
    <row r="45" spans="1:24" ht="30" customHeight="1"/>
    <row r="46" spans="1:24" ht="30" customHeight="1"/>
    <row r="47" spans="1:24" ht="30" customHeight="1"/>
    <row r="48" spans="1:24"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sheetData>
  <sheetProtection algorithmName="SHA-512" hashValue="9FkztoGBvBpPM0eZadHEr5NCQaDlnLh6Qt6sD+5cEGDqIQwOHqO55pkThy453MO62AJu/NmQadbIYdP9lFjgVQ==" saltValue="rrrkVNe8MYf8DW6UewY+LQ==" spinCount="100000" sheet="1" objects="1" scenarios="1"/>
  <mergeCells count="19">
    <mergeCell ref="C20:C22"/>
    <mergeCell ref="C24:C26"/>
    <mergeCell ref="I19:K19"/>
    <mergeCell ref="C16:C18"/>
    <mergeCell ref="G8:G10"/>
    <mergeCell ref="G12:G14"/>
    <mergeCell ref="H9:O9"/>
    <mergeCell ref="H13:O13"/>
    <mergeCell ref="H10:J10"/>
    <mergeCell ref="K10:L10"/>
    <mergeCell ref="H14:J14"/>
    <mergeCell ref="K14:L14"/>
    <mergeCell ref="H8:N8"/>
    <mergeCell ref="H12:N12"/>
    <mergeCell ref="C6:T6"/>
    <mergeCell ref="I18:K18"/>
    <mergeCell ref="L18:M18"/>
    <mergeCell ref="C8:C10"/>
    <mergeCell ref="C12:C14"/>
  </mergeCells>
  <hyperlinks>
    <hyperlink ref="D24:H24" r:id="rId1" display="Planilha de Avaliação de Desempenho por Competências"/>
    <hyperlink ref="P10" r:id="rId2" display="Veja mais sobre esse produto"/>
    <hyperlink ref="P12:T12" r:id="rId3" display="Pacote de Planilhas com Apostila: Controle Financeiro"/>
    <hyperlink ref="P14:R14" r:id="rId4" display="Veja mais sobre esse produto"/>
    <hyperlink ref="I16:S16" r:id="rId5" display="Planilha de Formação de Preços para Serviços"/>
    <hyperlink ref="N34:R34" r:id="rId6" display="Veja mais sobre esse produto"/>
    <hyperlink ref="D8" r:id="rId7"/>
    <hyperlink ref="D12:G12" r:id="rId8" display="Pacote de Planilhas com Apostila: Controle Financeiro"/>
    <hyperlink ref="D16:I16" r:id="rId9" display="Planilha de Formação de Preços para Serviços"/>
    <hyperlink ref="D20:I20" r:id="rId10" display="Planilha de Estudo de Viabilidade Econômica 3.0"/>
    <hyperlink ref="D24:I24" r:id="rId11" display="Planilha de Folha de Pagamento 2.0"/>
    <hyperlink ref="H8:M8" r:id="rId12" display="Pacote de Planilhas para Departamento Pessoal"/>
    <hyperlink ref="H12:M12" r:id="rId13" display="Apresentação de Resultados Financeiros"/>
    <hyperlink ref="C8:C10" r:id="rId14" display="http://luz.vc/ferramentas/pacotes/pacote-de-planilhas-de-financas-empresariais/?utm_source=produtos&amp;utm_medium=referral&amp;utm_campaign=fcanalisebanc3&amp;utm_source=produto&amp;utm_medium=referral&amp;utm_campaign=avaliacao-eco-fin"/>
    <hyperlink ref="D12" r:id="rId15"/>
    <hyperlink ref="C12:C14" r:id="rId16" display="http://luz.vc/ferramentas/pacotes/controle-financeiro/?utm_source=produto&amp;utm_medium=referral&amp;utm_campaign=fcanalisebanc3&amp;utm_source=produto&amp;utm_medium=referral&amp;utm_campaign=avaliacao-eco-fin"/>
    <hyperlink ref="C16:C18" r:id="rId17" display="http://luz.vc/ferramentas/planilhas-prontas/planilha-de-formacao-de-precos-para-servicos/?utm_source=produto&amp;utm_medium=referral&amp;utm_campaign=fcanalisebanc3&amp;utm_source=produto&amp;utm_medium=referral&amp;utm_campaign=avaliacao-eco-fin"/>
    <hyperlink ref="C20:C22" r:id="rId18" display="http://luz.vc/ferramentas/planilhas-prontas/planilha-de-estudo-de-viabilidade-economica/?utm_source=produto&amp;utm_medium=referral&amp;utm_campaign=fcanalisebanc3&amp;utm_source=produto&amp;utm_medium=referral&amp;utm_campaign=avaliacao-eco-fin"/>
    <hyperlink ref="C24:C26" r:id="rId19" display="http://luz.vc/ferramentas/planilhas-prontas/planilha-de-folha-de-pagamento/?utm_source=produto&amp;utm_medium=referral&amp;utm_campaign=fcanalisebanc3&amp;utm_source=produto&amp;utm_medium=referral&amp;utm_campaign=avaliacao-eco-fin"/>
    <hyperlink ref="G8:G10" r:id="rId20" display="http://luz.vc/ferramentas/pacotes/pacote-de-planilhas-para-departamento-pessoal/?utm_source=produto&amp;utm_medium=referral&amp;utm_campaign=fcanalisebanc3&amp;utm_source=produto&amp;utm_medium=referral&amp;utm_campaign=avaliacao-eco-fin"/>
    <hyperlink ref="G12:G14" r:id="rId21" display="http://luz.vc/ferramentas/apresentacoes/apresentacao-financeira/?utm_source=produto&amp;utm_medium=referral&amp;utm_campaign=fcanalisebanc3&amp;utm_source=produto&amp;utm_medium=referral&amp;utm_campaign=avaliacao-eco-fin"/>
    <hyperlink ref="D16" r:id="rId22"/>
    <hyperlink ref="D20" r:id="rId23"/>
    <hyperlink ref="D24" r:id="rId24"/>
    <hyperlink ref="H8:N8" r:id="rId25" display="Pacote de Planilhas para Departamento Pessoal"/>
    <hyperlink ref="H12:N12" r:id="rId26" display="Apresentação de Resultados Financeiros"/>
  </hyperlinks>
  <pageMargins left="0.511811024" right="0.511811024" top="0.78740157499999996" bottom="0.78740157499999996" header="0.31496062000000002" footer="0.31496062000000002"/>
  <pageSetup paperSize="9" orientation="portrait" r:id="rId27"/>
  <drawing r:id="rId28"/>
</worksheet>
</file>

<file path=xl/worksheets/sheet19.xml><?xml version="1.0" encoding="utf-8"?>
<worksheet xmlns="http://schemas.openxmlformats.org/spreadsheetml/2006/main" xmlns:r="http://schemas.openxmlformats.org/officeDocument/2006/relationships">
  <sheetPr codeName="Plan19"/>
  <dimension ref="A1:C100"/>
  <sheetViews>
    <sheetView showGridLines="0" zoomScale="90" zoomScaleNormal="90" workbookViewId="0">
      <selection activeCell="D10" sqref="D10"/>
    </sheetView>
  </sheetViews>
  <sheetFormatPr defaultColWidth="8.85546875" defaultRowHeight="15"/>
  <cols>
    <col min="1" max="1" width="27.7109375" style="104" customWidth="1"/>
    <col min="2" max="2" width="3.85546875" customWidth="1"/>
    <col min="11" max="11" width="13.28515625" customWidth="1"/>
  </cols>
  <sheetData>
    <row r="1" spans="1:3" s="3" customFormat="1" ht="33.950000000000003" customHeight="1">
      <c r="A1" s="104"/>
      <c r="C1" s="4" t="s">
        <v>597</v>
      </c>
    </row>
    <row r="2" spans="1:3" s="3" customFormat="1" ht="21.6" customHeight="1">
      <c r="A2" s="104"/>
    </row>
    <row r="3" spans="1:3" s="3" customFormat="1" ht="48.75" customHeight="1">
      <c r="A3" s="104"/>
    </row>
    <row r="4" spans="1:3" ht="30" customHeight="1"/>
    <row r="5" spans="1:3" ht="30" customHeight="1"/>
    <row r="6" spans="1:3" ht="30" customHeight="1"/>
    <row r="7" spans="1:3" ht="30" customHeight="1"/>
    <row r="8" spans="1:3" ht="30" customHeight="1"/>
    <row r="9" spans="1:3" ht="30" customHeight="1"/>
    <row r="10" spans="1:3" ht="30" customHeight="1"/>
    <row r="11" spans="1:3" ht="30" customHeight="1"/>
    <row r="12" spans="1:3" ht="30" customHeight="1"/>
    <row r="13" spans="1:3" ht="30" customHeight="1"/>
    <row r="14" spans="1:3" ht="30" customHeight="1"/>
    <row r="15" spans="1:3" ht="30" customHeight="1"/>
    <row r="16" spans="1:3" ht="30" customHeight="1"/>
    <row r="17" ht="30" customHeight="1"/>
    <row r="18" ht="30" customHeight="1"/>
    <row r="19" ht="30" customHeight="1"/>
    <row r="20" ht="30" customHeight="1"/>
    <row r="21" ht="30" customHeight="1"/>
    <row r="22" ht="30" customHeight="1"/>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sheetData>
  <sheetProtection algorithmName="SHA-512" hashValue="zsWKyWliZqa3vy6yz6LRrwzX04n0j+ZsAListZ5helkquGKM2yD3IEdFb+RTXtFWdiltleEGHdScwEpSjKAAZw==" saltValue="NCjR9VYhWS3pomreGVdBVQ==" spinCount="100000" sheet="1" objects="1" scenarios="1"/>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19</vt:i4>
      </vt:variant>
      <vt:variant>
        <vt:lpstr>Intervalos nomeados</vt:lpstr>
      </vt:variant>
      <vt:variant>
        <vt:i4>1</vt:i4>
      </vt:variant>
    </vt:vector>
  </HeadingPairs>
  <TitlesOfParts>
    <vt:vector size="20" baseType="lpstr">
      <vt:lpstr>Ini</vt:lpstr>
      <vt:lpstr>Bal</vt:lpstr>
      <vt:lpstr>Atin</vt:lpstr>
      <vt:lpstr>Pas</vt:lpstr>
      <vt:lpstr>Pasn</vt:lpstr>
      <vt:lpstr>Res Bp</vt:lpstr>
      <vt:lpstr>Dre</vt:lpstr>
      <vt:lpstr>Des</vt:lpstr>
      <vt:lpstr>Res</vt:lpstr>
      <vt:lpstr>Gra</vt:lpstr>
      <vt:lpstr>Ana</vt:lpstr>
      <vt:lpstr>Cpd</vt:lpstr>
      <vt:lpstr>Ato</vt:lpstr>
      <vt:lpstr>Ren</vt:lpstr>
      <vt:lpstr>Gcg</vt:lpstr>
      <vt:lpstr>Rel</vt:lpstr>
      <vt:lpstr>Dúvidas</vt:lpstr>
      <vt:lpstr>Sugestões</vt:lpstr>
      <vt:lpstr>Sobre a LUZ</vt:lpstr>
      <vt:lpstr>Rel!Area_de_impressao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Fernand6</dc:creator>
  <cp:lastModifiedBy>cliente</cp:lastModifiedBy>
  <cp:lastPrinted>2014-11-05T03:54:21Z</cp:lastPrinted>
  <dcterms:created xsi:type="dcterms:W3CDTF">2014-08-23T07:21:08Z</dcterms:created>
  <dcterms:modified xsi:type="dcterms:W3CDTF">2018-04-24T13:14:21Z</dcterms:modified>
</cp:coreProperties>
</file>