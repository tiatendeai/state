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705" yWindow="465" windowWidth="26235" windowHeight="17535"/>
  </bookViews>
  <sheets>
    <sheet name="PlanejamentoTributário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6" l="1"/>
  <c r="G22" i="6" l="1"/>
  <c r="K22" i="6"/>
  <c r="K14" i="6" l="1"/>
  <c r="G14" i="6"/>
  <c r="G10" i="6"/>
  <c r="G11" i="6"/>
  <c r="K12" i="6" l="1"/>
  <c r="K11" i="6"/>
  <c r="K19" i="6" s="1"/>
  <c r="K7" i="6"/>
  <c r="G7" i="6"/>
  <c r="K25" i="6" l="1"/>
  <c r="G19" i="6"/>
  <c r="K16" i="6"/>
  <c r="K20" i="6" s="1"/>
  <c r="C7" i="6"/>
  <c r="C8" i="6" s="1"/>
  <c r="G16" i="6" l="1"/>
  <c r="G25" i="6"/>
  <c r="C12" i="6"/>
  <c r="C11" i="6"/>
  <c r="G20" i="6" l="1"/>
  <c r="G18" i="6" s="1"/>
  <c r="C16" i="6"/>
  <c r="C19" i="6" s="1"/>
  <c r="C24" i="6" s="1"/>
  <c r="C25" i="6" s="1"/>
  <c r="K24" i="6"/>
  <c r="K18" i="6"/>
  <c r="G24" i="6" l="1"/>
</calcChain>
</file>

<file path=xl/sharedStrings.xml><?xml version="1.0" encoding="utf-8"?>
<sst xmlns="http://schemas.openxmlformats.org/spreadsheetml/2006/main" count="58" uniqueCount="35">
  <si>
    <t>Total Custo</t>
  </si>
  <si>
    <t>Contabilidade</t>
  </si>
  <si>
    <t>ISS Autonomo - mês</t>
  </si>
  <si>
    <t>INSS Autonomo</t>
  </si>
  <si>
    <t>Carnê Leão</t>
  </si>
  <si>
    <t>Outros</t>
  </si>
  <si>
    <t>Base de Cálculo IRRP</t>
  </si>
  <si>
    <t>Receita</t>
  </si>
  <si>
    <t>AUTÔNOMO</t>
  </si>
  <si>
    <t>Certificado Digital</t>
  </si>
  <si>
    <t>Despesas Deduteiveis Carnê Leão</t>
  </si>
  <si>
    <t>Receita Mensal</t>
  </si>
  <si>
    <t>Informações para Realização do Cálculo</t>
  </si>
  <si>
    <t>SIMPLES NACIONAL - ANEXO III</t>
  </si>
  <si>
    <t>Pro-Labore</t>
  </si>
  <si>
    <t>Simples Nacional</t>
  </si>
  <si>
    <t>INSS Pro-Labore</t>
  </si>
  <si>
    <t>Cert Digital (mês)</t>
  </si>
  <si>
    <t>LUCRO PRESUMIDO</t>
  </si>
  <si>
    <t>Lucro Presumido</t>
  </si>
  <si>
    <t>INSS Patronal</t>
  </si>
  <si>
    <t>IRPF Pro-Labore</t>
  </si>
  <si>
    <t>LÍQUIDO PF</t>
  </si>
  <si>
    <t>LÍQUIDO EMPRESA</t>
  </si>
  <si>
    <t>DIST LUCRO</t>
  </si>
  <si>
    <t>TOTAL RECEBIDO PESSOA FÍSICA</t>
  </si>
  <si>
    <t>BASE IMPOSTO DE RENDA</t>
  </si>
  <si>
    <t>* se houver despesas legais que possam deduzir pode não ocorrer imposto a pagar</t>
  </si>
  <si>
    <t>* Isento de imposto de renda pessoal física</t>
  </si>
  <si>
    <t>* Isendo de imposto de renda pessoa física</t>
  </si>
  <si>
    <t>IMPOSTO PAGO PELA PJ</t>
  </si>
  <si>
    <t>Distribuição de Lucros</t>
  </si>
  <si>
    <t>PLANEJAMENTO TRIBUTÁRIO</t>
  </si>
  <si>
    <t xml:space="preserve">Nome: </t>
  </si>
  <si>
    <t xml:space="preserve">Profissão: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</si>
</sst>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3" fillId="0" borderId="0" xfId="2" applyFont="1"/>
    <xf numFmtId="0" fontId="3" fillId="2" borderId="0" xfId="2" applyFont="1" applyFill="1"/>
    <xf numFmtId="0" fontId="3" fillId="4" borderId="0" xfId="2" applyFont="1" applyFill="1"/>
    <xf numFmtId="4" fontId="3" fillId="4" borderId="0" xfId="2" applyNumberFormat="1" applyFont="1" applyFill="1"/>
    <xf numFmtId="0" fontId="3" fillId="6" borderId="0" xfId="2" applyFont="1" applyFill="1"/>
    <xf numFmtId="4" fontId="3" fillId="6" borderId="0" xfId="2" applyNumberFormat="1" applyFont="1" applyFill="1"/>
    <xf numFmtId="0" fontId="3" fillId="8" borderId="0" xfId="2" applyFont="1" applyFill="1"/>
    <xf numFmtId="4" fontId="3" fillId="8" borderId="0" xfId="2" applyNumberFormat="1" applyFont="1" applyFill="1"/>
    <xf numFmtId="0" fontId="4" fillId="4" borderId="0" xfId="2" applyFont="1" applyFill="1"/>
    <xf numFmtId="0" fontId="4" fillId="6" borderId="0" xfId="2" applyFont="1" applyFill="1"/>
    <xf numFmtId="0" fontId="4" fillId="8" borderId="0" xfId="2" applyFont="1" applyFill="1"/>
    <xf numFmtId="9" fontId="3" fillId="4" borderId="0" xfId="2" applyNumberFormat="1" applyFont="1" applyFill="1"/>
    <xf numFmtId="9" fontId="3" fillId="6" borderId="0" xfId="2" applyNumberFormat="1" applyFont="1" applyFill="1"/>
    <xf numFmtId="10" fontId="3" fillId="8" borderId="0" xfId="2" applyNumberFormat="1" applyFont="1" applyFill="1"/>
    <xf numFmtId="9" fontId="3" fillId="8" borderId="0" xfId="2" applyNumberFormat="1" applyFont="1" applyFill="1"/>
    <xf numFmtId="2" fontId="3" fillId="6" borderId="0" xfId="2" applyNumberFormat="1" applyFont="1" applyFill="1"/>
    <xf numFmtId="4" fontId="3" fillId="9" borderId="0" xfId="2" applyNumberFormat="1" applyFont="1" applyFill="1"/>
    <xf numFmtId="4" fontId="3" fillId="3" borderId="0" xfId="2" applyNumberFormat="1" applyFont="1" applyFill="1"/>
    <xf numFmtId="4" fontId="3" fillId="5" borderId="0" xfId="2" applyNumberFormat="1" applyFont="1" applyFill="1"/>
    <xf numFmtId="4" fontId="3" fillId="7" borderId="0" xfId="2" applyNumberFormat="1" applyFont="1" applyFill="1"/>
    <xf numFmtId="9" fontId="3" fillId="9" borderId="0" xfId="1" applyFont="1" applyFill="1"/>
    <xf numFmtId="4" fontId="5" fillId="3" borderId="0" xfId="2" applyNumberFormat="1" applyFont="1" applyFill="1"/>
    <xf numFmtId="4" fontId="5" fillId="5" borderId="0" xfId="2" applyNumberFormat="1" applyFont="1" applyFill="1"/>
    <xf numFmtId="4" fontId="5" fillId="7" borderId="0" xfId="2" applyNumberFormat="1" applyFont="1" applyFill="1"/>
    <xf numFmtId="4" fontId="3" fillId="0" borderId="0" xfId="2" applyNumberFormat="1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 wrapText="1"/>
    </xf>
    <xf numFmtId="0" fontId="3" fillId="3" borderId="0" xfId="2" applyFont="1" applyFill="1"/>
    <xf numFmtId="0" fontId="3" fillId="5" borderId="0" xfId="2" applyFont="1" applyFill="1"/>
    <xf numFmtId="0" fontId="3" fillId="7" borderId="0" xfId="2" applyFont="1" applyFill="1"/>
    <xf numFmtId="0" fontId="3" fillId="2" borderId="0" xfId="2" applyFont="1" applyFill="1" applyAlignment="1">
      <alignment horizontal="center"/>
    </xf>
    <xf numFmtId="0" fontId="3" fillId="2" borderId="0" xfId="2" applyFont="1" applyFill="1"/>
    <xf numFmtId="0" fontId="3" fillId="3" borderId="0" xfId="2" applyFont="1" applyFill="1" applyAlignment="1">
      <alignment horizontal="center"/>
    </xf>
    <xf numFmtId="0" fontId="3" fillId="5" borderId="0" xfId="2" applyFont="1" applyFill="1" applyAlignment="1">
      <alignment horizontal="center"/>
    </xf>
    <xf numFmtId="0" fontId="3" fillId="7" borderId="0" xfId="2" applyFont="1" applyFill="1" applyAlignment="1">
      <alignment horizontal="center"/>
    </xf>
  </cellXfs>
  <cellStyles count="3">
    <cellStyle name="Normal" xfId="0" builtinId="0"/>
    <cellStyle name="Normal 2" xfId="2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L22" sqref="L22"/>
    </sheetView>
  </sheetViews>
  <sheetFormatPr defaultColWidth="10.85546875" defaultRowHeight="12.75" x14ac:dyDescent="0.2"/>
  <cols>
    <col min="1" max="1" width="24" style="1" customWidth="1"/>
    <col min="2" max="2" width="8.7109375" style="1" customWidth="1"/>
    <col min="3" max="3" width="10.85546875" style="1"/>
    <col min="4" max="4" width="1.7109375" style="1" customWidth="1"/>
    <col min="5" max="5" width="24" style="1" customWidth="1"/>
    <col min="6" max="6" width="8.7109375" style="1" customWidth="1"/>
    <col min="7" max="7" width="10.85546875" style="1"/>
    <col min="8" max="8" width="1.7109375" style="1" customWidth="1"/>
    <col min="9" max="9" width="24" style="1" customWidth="1"/>
    <col min="10" max="10" width="8.7109375" style="1" customWidth="1"/>
    <col min="11" max="16384" width="10.85546875" style="1"/>
  </cols>
  <sheetData>
    <row r="1" spans="1:11" x14ac:dyDescent="0.2">
      <c r="A1" s="26" t="s">
        <v>32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">
      <c r="A2" s="1" t="s">
        <v>33</v>
      </c>
      <c r="E2" s="31" t="s">
        <v>12</v>
      </c>
      <c r="F2" s="31"/>
      <c r="G2" s="31"/>
      <c r="H2" s="31"/>
      <c r="I2" s="31"/>
      <c r="J2" s="31"/>
      <c r="K2" s="31"/>
    </row>
    <row r="3" spans="1:11" x14ac:dyDescent="0.2">
      <c r="A3" s="1" t="s">
        <v>34</v>
      </c>
      <c r="E3" s="32" t="s">
        <v>11</v>
      </c>
      <c r="F3" s="32"/>
      <c r="G3" s="17">
        <v>5000</v>
      </c>
      <c r="H3" s="2"/>
      <c r="I3" s="32" t="s">
        <v>9</v>
      </c>
      <c r="J3" s="32"/>
      <c r="K3" s="17">
        <v>175</v>
      </c>
    </row>
    <row r="4" spans="1:11" x14ac:dyDescent="0.2">
      <c r="E4" s="32" t="s">
        <v>10</v>
      </c>
      <c r="F4" s="32"/>
      <c r="G4" s="17">
        <v>500</v>
      </c>
      <c r="H4" s="2"/>
      <c r="I4" s="32" t="s">
        <v>31</v>
      </c>
      <c r="J4" s="32"/>
      <c r="K4" s="21">
        <v>0.8</v>
      </c>
    </row>
    <row r="6" spans="1:11" x14ac:dyDescent="0.2">
      <c r="A6" s="33" t="s">
        <v>8</v>
      </c>
      <c r="B6" s="33"/>
      <c r="C6" s="33"/>
      <c r="E6" s="34" t="s">
        <v>13</v>
      </c>
      <c r="F6" s="34"/>
      <c r="G6" s="34"/>
      <c r="I6" s="35" t="s">
        <v>18</v>
      </c>
      <c r="J6" s="35"/>
      <c r="K6" s="35"/>
    </row>
    <row r="7" spans="1:11" x14ac:dyDescent="0.2">
      <c r="A7" s="3" t="s">
        <v>7</v>
      </c>
      <c r="B7" s="3"/>
      <c r="C7" s="4">
        <f>G3</f>
        <v>5000</v>
      </c>
      <c r="E7" s="5" t="s">
        <v>7</v>
      </c>
      <c r="F7" s="5"/>
      <c r="G7" s="6">
        <f>G3</f>
        <v>5000</v>
      </c>
      <c r="I7" s="7" t="s">
        <v>7</v>
      </c>
      <c r="J7" s="7"/>
      <c r="K7" s="8">
        <f>G3</f>
        <v>5000</v>
      </c>
    </row>
    <row r="8" spans="1:11" x14ac:dyDescent="0.2">
      <c r="A8" s="3" t="s">
        <v>6</v>
      </c>
      <c r="B8" s="3"/>
      <c r="C8" s="4">
        <f>C7</f>
        <v>5000</v>
      </c>
      <c r="E8" s="5" t="s">
        <v>14</v>
      </c>
      <c r="F8" s="5"/>
      <c r="G8" s="6">
        <v>1500</v>
      </c>
      <c r="I8" s="7" t="s">
        <v>14</v>
      </c>
      <c r="J8" s="7"/>
      <c r="K8" s="17">
        <v>1045</v>
      </c>
    </row>
    <row r="9" spans="1:11" x14ac:dyDescent="0.2">
      <c r="A9" s="9" t="s">
        <v>5</v>
      </c>
      <c r="B9" s="3"/>
      <c r="C9" s="4"/>
      <c r="E9" s="10" t="s">
        <v>5</v>
      </c>
      <c r="F9" s="5"/>
      <c r="G9" s="6"/>
      <c r="I9" s="11" t="s">
        <v>5</v>
      </c>
      <c r="J9" s="7"/>
      <c r="K9" s="8"/>
    </row>
    <row r="10" spans="1:11" x14ac:dyDescent="0.2">
      <c r="A10" s="3" t="s">
        <v>4</v>
      </c>
      <c r="B10" s="12">
        <v>0.15</v>
      </c>
      <c r="C10" s="4">
        <v>0</v>
      </c>
      <c r="E10" s="5" t="s">
        <v>15</v>
      </c>
      <c r="F10" s="13">
        <v>0.06</v>
      </c>
      <c r="G10" s="6">
        <f>G7*F10</f>
        <v>300</v>
      </c>
      <c r="I10" s="7" t="s">
        <v>19</v>
      </c>
      <c r="J10" s="14">
        <v>0.10929999999999999</v>
      </c>
      <c r="K10" s="8">
        <f>K7*J10</f>
        <v>546.5</v>
      </c>
    </row>
    <row r="11" spans="1:11" x14ac:dyDescent="0.2">
      <c r="A11" s="3" t="s">
        <v>3</v>
      </c>
      <c r="B11" s="12">
        <v>0.2</v>
      </c>
      <c r="C11" s="4">
        <f>C7*B11</f>
        <v>1000</v>
      </c>
      <c r="E11" s="5" t="s">
        <v>16</v>
      </c>
      <c r="F11" s="13">
        <v>0.11</v>
      </c>
      <c r="G11" s="6">
        <f>G8*F11</f>
        <v>165</v>
      </c>
      <c r="I11" s="7" t="s">
        <v>16</v>
      </c>
      <c r="J11" s="15">
        <v>0.11</v>
      </c>
      <c r="K11" s="8">
        <f>K8*J11</f>
        <v>114.95</v>
      </c>
    </row>
    <row r="12" spans="1:11" x14ac:dyDescent="0.2">
      <c r="A12" s="3" t="s">
        <v>2</v>
      </c>
      <c r="B12" s="12">
        <v>0.05</v>
      </c>
      <c r="C12" s="4">
        <f>C7*5%</f>
        <v>250</v>
      </c>
      <c r="E12" s="5" t="s">
        <v>21</v>
      </c>
      <c r="F12" s="13">
        <v>0</v>
      </c>
      <c r="G12" s="16">
        <v>0</v>
      </c>
      <c r="I12" s="7" t="s">
        <v>20</v>
      </c>
      <c r="J12" s="15">
        <v>0.2</v>
      </c>
      <c r="K12" s="8">
        <f>K8*J12</f>
        <v>209</v>
      </c>
    </row>
    <row r="13" spans="1:11" x14ac:dyDescent="0.2">
      <c r="A13" s="3" t="s">
        <v>1</v>
      </c>
      <c r="B13" s="3"/>
      <c r="C13" s="17">
        <v>150</v>
      </c>
      <c r="E13" s="5" t="s">
        <v>1</v>
      </c>
      <c r="F13" s="5"/>
      <c r="G13" s="17">
        <v>150</v>
      </c>
      <c r="I13" s="7" t="s">
        <v>21</v>
      </c>
      <c r="J13" s="15">
        <v>0</v>
      </c>
      <c r="K13" s="8">
        <v>0</v>
      </c>
    </row>
    <row r="14" spans="1:11" x14ac:dyDescent="0.2">
      <c r="A14" s="3"/>
      <c r="B14" s="3"/>
      <c r="C14" s="4"/>
      <c r="E14" s="5" t="s">
        <v>17</v>
      </c>
      <c r="F14" s="5"/>
      <c r="G14" s="6">
        <f>K3/12</f>
        <v>14.583333333333334</v>
      </c>
      <c r="I14" s="7" t="s">
        <v>17</v>
      </c>
      <c r="J14" s="7"/>
      <c r="K14" s="8">
        <f>K3/12</f>
        <v>14.583333333333334</v>
      </c>
    </row>
    <row r="15" spans="1:11" x14ac:dyDescent="0.2">
      <c r="A15" s="3"/>
      <c r="B15" s="3"/>
      <c r="C15" s="4"/>
      <c r="E15" s="5"/>
      <c r="F15" s="5"/>
      <c r="G15" s="6"/>
      <c r="I15" s="7" t="s">
        <v>1</v>
      </c>
      <c r="J15" s="15"/>
      <c r="K15" s="17">
        <v>500</v>
      </c>
    </row>
    <row r="16" spans="1:11" x14ac:dyDescent="0.2">
      <c r="A16" s="28" t="s">
        <v>0</v>
      </c>
      <c r="B16" s="28"/>
      <c r="C16" s="18">
        <f>SUM(C10:C13)</f>
        <v>1400</v>
      </c>
      <c r="E16" s="29" t="s">
        <v>0</v>
      </c>
      <c r="F16" s="29"/>
      <c r="G16" s="19">
        <f>SUM(G12:G15,G10)</f>
        <v>464.58333333333337</v>
      </c>
      <c r="I16" s="30" t="s">
        <v>0</v>
      </c>
      <c r="J16" s="30"/>
      <c r="K16" s="20">
        <f>SUM(K12:K15,K10)</f>
        <v>1270.0833333333335</v>
      </c>
    </row>
    <row r="18" spans="1:13" x14ac:dyDescent="0.2">
      <c r="A18" s="28" t="s">
        <v>23</v>
      </c>
      <c r="B18" s="28"/>
      <c r="C18" s="18"/>
      <c r="E18" s="29" t="s">
        <v>23</v>
      </c>
      <c r="F18" s="29"/>
      <c r="G18" s="19">
        <f>G7-G8-G16-G20</f>
        <v>607.08333333333303</v>
      </c>
      <c r="I18" s="30" t="s">
        <v>23</v>
      </c>
      <c r="J18" s="30"/>
      <c r="K18" s="20">
        <f>K7-K8-K16-K20</f>
        <v>536.98333333333312</v>
      </c>
    </row>
    <row r="19" spans="1:13" x14ac:dyDescent="0.2">
      <c r="A19" s="28" t="s">
        <v>22</v>
      </c>
      <c r="B19" s="28"/>
      <c r="C19" s="18">
        <f>C7-C16</f>
        <v>3600</v>
      </c>
      <c r="E19" s="29" t="s">
        <v>22</v>
      </c>
      <c r="F19" s="29"/>
      <c r="G19" s="19">
        <f>G8-G11</f>
        <v>1335</v>
      </c>
      <c r="I19" s="30" t="s">
        <v>22</v>
      </c>
      <c r="J19" s="30"/>
      <c r="K19" s="20">
        <f>K8-K11</f>
        <v>930.05</v>
      </c>
    </row>
    <row r="20" spans="1:13" x14ac:dyDescent="0.2">
      <c r="A20" s="28"/>
      <c r="B20" s="28"/>
      <c r="C20" s="18"/>
      <c r="E20" s="29" t="s">
        <v>24</v>
      </c>
      <c r="F20" s="29"/>
      <c r="G20" s="19">
        <f>(G7-G8-G16)*K4</f>
        <v>2428.3333333333335</v>
      </c>
      <c r="I20" s="30" t="s">
        <v>24</v>
      </c>
      <c r="J20" s="30"/>
      <c r="K20" s="20">
        <f>(K7-K8-K16)*K4</f>
        <v>2147.9333333333334</v>
      </c>
      <c r="L20" s="25"/>
      <c r="M20" s="25"/>
    </row>
    <row r="22" spans="1:13" x14ac:dyDescent="0.2">
      <c r="A22" s="28" t="s">
        <v>30</v>
      </c>
      <c r="B22" s="28"/>
      <c r="C22" s="18">
        <v>0</v>
      </c>
      <c r="E22" s="29" t="s">
        <v>30</v>
      </c>
      <c r="F22" s="29"/>
      <c r="G22" s="19">
        <f>G10</f>
        <v>300</v>
      </c>
      <c r="I22" s="30" t="s">
        <v>30</v>
      </c>
      <c r="J22" s="30"/>
      <c r="K22" s="20">
        <f>K10+K12</f>
        <v>755.5</v>
      </c>
    </row>
    <row r="24" spans="1:13" x14ac:dyDescent="0.2">
      <c r="A24" s="28" t="s">
        <v>25</v>
      </c>
      <c r="B24" s="28"/>
      <c r="C24" s="22">
        <f>SUM(C19:C20)</f>
        <v>3600</v>
      </c>
      <c r="E24" s="29" t="s">
        <v>25</v>
      </c>
      <c r="F24" s="29"/>
      <c r="G24" s="23">
        <f>SUM(G19:G20)</f>
        <v>3763.3333333333335</v>
      </c>
      <c r="I24" s="30" t="s">
        <v>25</v>
      </c>
      <c r="J24" s="30"/>
      <c r="K24" s="24">
        <f>SUM(K19:K20)</f>
        <v>3077.9833333333336</v>
      </c>
    </row>
    <row r="25" spans="1:13" x14ac:dyDescent="0.2">
      <c r="A25" s="28" t="s">
        <v>26</v>
      </c>
      <c r="B25" s="28"/>
      <c r="C25" s="18">
        <f>C24*12</f>
        <v>43200</v>
      </c>
      <c r="E25" s="29" t="s">
        <v>26</v>
      </c>
      <c r="F25" s="29"/>
      <c r="G25" s="19">
        <f>G19*12</f>
        <v>16020</v>
      </c>
      <c r="I25" s="30" t="s">
        <v>26</v>
      </c>
      <c r="J25" s="30"/>
      <c r="K25" s="20">
        <f>K19*12</f>
        <v>11160.599999999999</v>
      </c>
    </row>
    <row r="26" spans="1:13" x14ac:dyDescent="0.2">
      <c r="A26" s="27" t="s">
        <v>27</v>
      </c>
      <c r="B26" s="27"/>
      <c r="C26" s="27"/>
      <c r="E26" s="1" t="s">
        <v>28</v>
      </c>
      <c r="I26" s="1" t="s">
        <v>29</v>
      </c>
    </row>
    <row r="27" spans="1:13" x14ac:dyDescent="0.2">
      <c r="A27" s="27"/>
      <c r="B27" s="27"/>
      <c r="C27" s="27"/>
    </row>
  </sheetData>
  <mergeCells count="31">
    <mergeCell ref="A6:C6"/>
    <mergeCell ref="E6:G6"/>
    <mergeCell ref="I6:K6"/>
    <mergeCell ref="E2:K2"/>
    <mergeCell ref="E3:F3"/>
    <mergeCell ref="E4:F4"/>
    <mergeCell ref="I3:J3"/>
    <mergeCell ref="I4:J4"/>
    <mergeCell ref="I20:J20"/>
    <mergeCell ref="I24:J24"/>
    <mergeCell ref="I25:J25"/>
    <mergeCell ref="I22:J22"/>
    <mergeCell ref="A16:B16"/>
    <mergeCell ref="E16:F16"/>
    <mergeCell ref="I16:J16"/>
    <mergeCell ref="A1:K1"/>
    <mergeCell ref="A26:C27"/>
    <mergeCell ref="A18:B18"/>
    <mergeCell ref="A19:B19"/>
    <mergeCell ref="A20:B20"/>
    <mergeCell ref="E18:F18"/>
    <mergeCell ref="E19:F19"/>
    <mergeCell ref="E20:F20"/>
    <mergeCell ref="E24:F24"/>
    <mergeCell ref="E25:F25"/>
    <mergeCell ref="E22:F22"/>
    <mergeCell ref="A22:B22"/>
    <mergeCell ref="A24:B24"/>
    <mergeCell ref="A25:B25"/>
    <mergeCell ref="I18:J18"/>
    <mergeCell ref="I19:J1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PlanejamentoTributário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S. Silva</dc:creator>
  <cp:lastModifiedBy>admin</cp:lastModifiedBy>
  <dcterms:created xsi:type="dcterms:W3CDTF">2018-01-22T17:37:17Z</dcterms:created>
  <dcterms:modified xsi:type="dcterms:W3CDTF">2020-02-12T16:41:25Z</dcterms:modified>
</cp:coreProperties>
</file>