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 activeTab="1"/>
  </bookViews>
  <sheets>
    <sheet name="Introdução" sheetId="2" r:id="rId1"/>
    <sheet name="Cálculo custo fixo diário" sheetId="1" r:id="rId2"/>
  </sheets>
  <calcPr calcId="124519"/>
</workbook>
</file>

<file path=xl/calcChain.xml><?xml version="1.0" encoding="utf-8"?>
<calcChain xmlns="http://schemas.openxmlformats.org/spreadsheetml/2006/main">
  <c r="C27" i="1"/>
  <c r="C30" s="1"/>
  <c r="C31" s="1"/>
  <c r="F26" l="1"/>
  <c r="D26"/>
  <c r="F25"/>
  <c r="D25"/>
  <c r="D24"/>
  <c r="D23"/>
  <c r="D22"/>
  <c r="D21"/>
  <c r="D20"/>
  <c r="D19"/>
  <c r="D18"/>
  <c r="D17"/>
  <c r="D16"/>
  <c r="D15"/>
  <c r="D14"/>
  <c r="D13"/>
  <c r="D12"/>
  <c r="D11" l="1"/>
  <c r="D10" s="1"/>
</calcChain>
</file>

<file path=xl/comments1.xml><?xml version="1.0" encoding="utf-8"?>
<comments xmlns="http://schemas.openxmlformats.org/spreadsheetml/2006/main">
  <authors>
    <author>Autor</author>
  </authors>
  <commentList>
    <comment ref="C6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Aqui será indicado quantos dias no mês sua empresa esta ativa.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C7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Aqui você indica as horas totais trabalhas por dia, desde a hora de inicio ao fim, contando horário de almoço.</t>
        </r>
      </text>
    </comment>
    <comment ref="B9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planilha você deve inserir as despesas fixas da sua empresa, aquelas que mesmo com sua empresa de porta fechada serão geradas, como energia, salários, impostos, etc.</t>
        </r>
      </text>
    </comment>
    <comment ref="D9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coluna indica o percentual de cada despesa em relação ao total, facilitando a analise e possível corte de gastos.
</t>
        </r>
      </text>
    </comment>
    <comment ref="B29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planilha fica indicado as despesas diárias e p/hrs, dando uma base de quanto sua empresa tem de faturar diariamente para pagar suas obrigações
</t>
        </r>
      </text>
    </comment>
  </commentList>
</comments>
</file>

<file path=xl/sharedStrings.xml><?xml version="1.0" encoding="utf-8"?>
<sst xmlns="http://schemas.openxmlformats.org/spreadsheetml/2006/main" count="23" uniqueCount="22">
  <si>
    <t>Hrs/Dia</t>
  </si>
  <si>
    <t>Aluguel</t>
  </si>
  <si>
    <t>Energia</t>
  </si>
  <si>
    <t>Internet</t>
  </si>
  <si>
    <t>Despesas fixas mensais</t>
  </si>
  <si>
    <t>Financiamento</t>
  </si>
  <si>
    <t>Fornecedores a Pagar</t>
  </si>
  <si>
    <t>Despesas Rateadas</t>
  </si>
  <si>
    <t>Perc %</t>
  </si>
  <si>
    <t>Dias trabalhados</t>
  </si>
  <si>
    <t>Diária</t>
  </si>
  <si>
    <t>Tel.: (11) 3522-9234</t>
  </si>
  <si>
    <t>Total Mensal</t>
  </si>
  <si>
    <t>CÁLCULO CUSTOS FIXO</t>
  </si>
  <si>
    <t>Água</t>
  </si>
  <si>
    <t>Salário + Encargos</t>
  </si>
  <si>
    <t>Carga horária do exercício</t>
  </si>
  <si>
    <t>Bem vindo a este material totalmente GRATUITO.</t>
  </si>
  <si>
    <t>O seu propósito é auxiliar você empresário a alcançar seus objetivos, e alavancar sua empresa, através de ferramentas auxiliares de gestão.</t>
  </si>
  <si>
    <t xml:space="preserve">Antes, uma pequena dica! </t>
  </si>
  <si>
    <t xml:space="preserve">Algumas colunas possuem dicas ou informações que auxiliam no seu entendimento. Basta parar o cursor do mouse sobre as células que possuem setinha vermelha no canto superior direito. Como este: </t>
  </si>
  <si>
    <t>Depois de ler as instruções, clique aqui para acessar a planilha na integra</t>
  </si>
</sst>
</file>

<file path=xl/styles.xml><?xml version="1.0" encoding="utf-8"?>
<styleSheet xmlns="http://schemas.openxmlformats.org/spreadsheetml/2006/main">
  <numFmts count="2">
    <numFmt numFmtId="44" formatCode="_(&quot;R$ &quot;* #,##0.00_);_(&quot;R$ &quot;* \(#,##0.00\);_(&quot;R$ &quot;* &quot;-&quot;??_);_(@_)"/>
    <numFmt numFmtId="164" formatCode="#,##0.00;\(#,##0.00\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color theme="1"/>
      <name val="Verdana"/>
      <family val="2"/>
    </font>
    <font>
      <b/>
      <sz val="24"/>
      <color theme="0"/>
      <name val="Verdana"/>
      <family val="2"/>
    </font>
    <font>
      <b/>
      <sz val="14"/>
      <color theme="0"/>
      <name val="Verdana"/>
      <family val="2"/>
    </font>
    <font>
      <b/>
      <sz val="12"/>
      <color rgb="FF2C6983"/>
      <name val="Verdana"/>
      <family val="2"/>
    </font>
    <font>
      <sz val="12"/>
      <color theme="1"/>
      <name val="Verdana"/>
      <family val="2"/>
    </font>
    <font>
      <u/>
      <sz val="11"/>
      <color rgb="FF0000FF"/>
      <name val="Verdana"/>
      <family val="2"/>
    </font>
    <font>
      <u/>
      <sz val="11"/>
      <color theme="10"/>
      <name val="Verdana"/>
      <family val="2"/>
    </font>
    <font>
      <sz val="11"/>
      <color rgb="FF000000"/>
      <name val="Verdana"/>
      <family val="2"/>
    </font>
    <font>
      <u/>
      <sz val="11"/>
      <color theme="1"/>
      <name val="Verdana"/>
      <family val="2"/>
    </font>
    <font>
      <b/>
      <sz val="12"/>
      <color theme="0"/>
      <name val="Verdana"/>
      <family val="2"/>
    </font>
    <font>
      <sz val="10"/>
      <color theme="1"/>
      <name val="Verdana"/>
      <family val="2"/>
    </font>
    <font>
      <b/>
      <sz val="16"/>
      <color rgb="FFEA8239"/>
      <name val="Verdana"/>
      <family val="2"/>
    </font>
    <font>
      <b/>
      <sz val="11"/>
      <color rgb="FF000000"/>
      <name val="Verdana"/>
      <family val="2"/>
    </font>
    <font>
      <b/>
      <sz val="12"/>
      <color rgb="FFEA8239"/>
      <name val="Verdana"/>
      <family val="2"/>
    </font>
    <font>
      <b/>
      <sz val="28"/>
      <color rgb="FF3B8BAF"/>
      <name val="Arial Rounded MT Bold"/>
      <family val="2"/>
    </font>
    <font>
      <b/>
      <sz val="48"/>
      <color rgb="FF3B8BAF"/>
      <name val="Arial Rounded MT Bold"/>
      <family val="2"/>
    </font>
    <font>
      <sz val="12"/>
      <color theme="1" tint="0.249977111117893"/>
      <name val="Arial Rounded MT"/>
    </font>
    <font>
      <b/>
      <sz val="16"/>
      <color rgb="FFFF4F4F"/>
      <name val="Arial Rounded MT"/>
    </font>
    <font>
      <sz val="12"/>
      <color theme="1" tint="0.14999847407452621"/>
      <name val="Arial Rounded MT"/>
    </font>
    <font>
      <sz val="12"/>
      <color theme="1" tint="0.14999847407452621"/>
      <name val="Calibri"/>
      <family val="2"/>
      <scheme val="minor"/>
    </font>
    <font>
      <sz val="12"/>
      <color theme="1"/>
      <name val="Arial Rounded MT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B8BAF"/>
        <bgColor indexed="64"/>
      </patternFill>
    </fill>
    <fill>
      <patternFill patternType="solid">
        <fgColor rgb="FF2C6983"/>
        <bgColor indexed="64"/>
      </patternFill>
    </fill>
    <fill>
      <patternFill patternType="solid">
        <fgColor rgb="FFAFD1E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823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ck">
        <color rgb="FF2C6983"/>
      </left>
      <right/>
      <top style="thick">
        <color rgb="FF2C6983"/>
      </top>
      <bottom/>
      <diagonal/>
    </border>
    <border>
      <left/>
      <right/>
      <top style="thick">
        <color rgb="FF2C6983"/>
      </top>
      <bottom/>
      <diagonal/>
    </border>
    <border>
      <left/>
      <right style="thick">
        <color rgb="FF2C6983"/>
      </right>
      <top style="thick">
        <color rgb="FF2C6983"/>
      </top>
      <bottom/>
      <diagonal/>
    </border>
    <border>
      <left style="thick">
        <color rgb="FF2C6983"/>
      </left>
      <right/>
      <top/>
      <bottom/>
      <diagonal/>
    </border>
    <border>
      <left/>
      <right style="thick">
        <color rgb="FF2C6983"/>
      </right>
      <top/>
      <bottom/>
      <diagonal/>
    </border>
    <border>
      <left style="thick">
        <color rgb="FF2C6983"/>
      </left>
      <right/>
      <top/>
      <bottom style="thick">
        <color rgb="FF2C6983"/>
      </bottom>
      <diagonal/>
    </border>
    <border>
      <left/>
      <right/>
      <top/>
      <bottom style="thick">
        <color rgb="FF2C6983"/>
      </bottom>
      <diagonal/>
    </border>
    <border>
      <left/>
      <right style="thick">
        <color rgb="FF2C6983"/>
      </right>
      <top/>
      <bottom style="thick">
        <color rgb="FF2C6983"/>
      </bottom>
      <diagonal/>
    </border>
    <border>
      <left style="medium">
        <color rgb="FF3B8BAF"/>
      </left>
      <right/>
      <top style="medium">
        <color rgb="FF3B8BAF"/>
      </top>
      <bottom/>
      <diagonal/>
    </border>
    <border>
      <left/>
      <right/>
      <top style="medium">
        <color rgb="FF3B8BAF"/>
      </top>
      <bottom/>
      <diagonal/>
    </border>
    <border>
      <left/>
      <right style="medium">
        <color rgb="FF3B8BAF"/>
      </right>
      <top style="medium">
        <color rgb="FF3B8BAF"/>
      </top>
      <bottom/>
      <diagonal/>
    </border>
    <border>
      <left style="medium">
        <color rgb="FF3B8BAF"/>
      </left>
      <right/>
      <top/>
      <bottom style="medium">
        <color rgb="FF3B8BAF"/>
      </bottom>
      <diagonal/>
    </border>
    <border>
      <left/>
      <right/>
      <top/>
      <bottom style="medium">
        <color rgb="FF3B8BAF"/>
      </bottom>
      <diagonal/>
    </border>
    <border>
      <left/>
      <right style="medium">
        <color rgb="FF3B8BAF"/>
      </right>
      <top/>
      <bottom style="medium">
        <color rgb="FF3B8BAF"/>
      </bottom>
      <diagonal/>
    </border>
    <border>
      <left style="medium">
        <color rgb="FFFF4F4F"/>
      </left>
      <right/>
      <top style="medium">
        <color rgb="FFFF4F4F"/>
      </top>
      <bottom/>
      <diagonal/>
    </border>
    <border>
      <left/>
      <right/>
      <top style="medium">
        <color rgb="FFFF4F4F"/>
      </top>
      <bottom/>
      <diagonal/>
    </border>
    <border>
      <left/>
      <right style="medium">
        <color rgb="FFFF4F4F"/>
      </right>
      <top style="medium">
        <color rgb="FFFF4F4F"/>
      </top>
      <bottom/>
      <diagonal/>
    </border>
    <border>
      <left style="medium">
        <color rgb="FFFF4F4F"/>
      </left>
      <right/>
      <top/>
      <bottom/>
      <diagonal/>
    </border>
    <border>
      <left/>
      <right style="medium">
        <color rgb="FFFF4F4F"/>
      </right>
      <top/>
      <bottom/>
      <diagonal/>
    </border>
    <border>
      <left style="medium">
        <color rgb="FFFF4F4F"/>
      </left>
      <right/>
      <top/>
      <bottom style="medium">
        <color rgb="FFFF4F4F"/>
      </bottom>
      <diagonal/>
    </border>
    <border>
      <left/>
      <right/>
      <top/>
      <bottom style="medium">
        <color rgb="FFFF4F4F"/>
      </bottom>
      <diagonal/>
    </border>
    <border>
      <left/>
      <right style="medium">
        <color rgb="FFFF4F4F"/>
      </right>
      <top/>
      <bottom style="medium">
        <color rgb="FFFF4F4F"/>
      </bottom>
      <diagonal/>
    </border>
    <border>
      <left style="medium">
        <color rgb="FFFF4F4F"/>
      </left>
      <right/>
      <top style="medium">
        <color rgb="FFFF4F4F"/>
      </top>
      <bottom style="medium">
        <color rgb="FFFF4F4F"/>
      </bottom>
      <diagonal/>
    </border>
    <border>
      <left/>
      <right/>
      <top style="medium">
        <color rgb="FFFF4F4F"/>
      </top>
      <bottom style="medium">
        <color rgb="FFFF4F4F"/>
      </bottom>
      <diagonal/>
    </border>
    <border>
      <left/>
      <right style="medium">
        <color rgb="FFFF4F4F"/>
      </right>
      <top style="medium">
        <color rgb="FFFF4F4F"/>
      </top>
      <bottom style="medium">
        <color rgb="FFFF4F4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0" xfId="0" applyFont="1" applyFill="1"/>
    <xf numFmtId="0" fontId="6" fillId="0" borderId="0" xfId="0" applyFont="1"/>
    <xf numFmtId="0" fontId="6" fillId="2" borderId="4" xfId="0" applyFont="1" applyFill="1" applyBorder="1"/>
    <xf numFmtId="0" fontId="6" fillId="2" borderId="0" xfId="0" applyFont="1" applyFill="1" applyBorder="1" applyAlignment="1"/>
    <xf numFmtId="0" fontId="6" fillId="2" borderId="5" xfId="0" applyFont="1" applyFill="1" applyBorder="1" applyAlignment="1"/>
    <xf numFmtId="0" fontId="6" fillId="2" borderId="0" xfId="0" applyFont="1" applyFill="1" applyBorder="1"/>
    <xf numFmtId="0" fontId="6" fillId="2" borderId="5" xfId="0" applyFont="1" applyFill="1" applyBorder="1"/>
    <xf numFmtId="0" fontId="9" fillId="5" borderId="0" xfId="0" applyFont="1" applyFill="1" applyBorder="1"/>
    <xf numFmtId="0" fontId="10" fillId="2" borderId="0" xfId="0" applyFont="1" applyFill="1" applyBorder="1" applyAlignment="1" applyProtection="1">
      <alignment horizontal="center"/>
      <protection locked="0"/>
    </xf>
    <xf numFmtId="164" fontId="11" fillId="2" borderId="0" xfId="0" applyNumberFormat="1" applyFont="1" applyFill="1" applyAlignment="1">
      <alignment horizontal="center"/>
    </xf>
    <xf numFmtId="164" fontId="12" fillId="2" borderId="0" xfId="3" applyNumberFormat="1" applyFont="1" applyFill="1" applyAlignment="1" applyProtection="1">
      <alignment horizontal="center"/>
    </xf>
    <xf numFmtId="164" fontId="13" fillId="2" borderId="0" xfId="0" applyNumberFormat="1" applyFont="1" applyFill="1" applyAlignment="1">
      <alignment horizontal="center"/>
    </xf>
    <xf numFmtId="0" fontId="14" fillId="2" borderId="0" xfId="0" applyFont="1" applyFill="1"/>
    <xf numFmtId="0" fontId="15" fillId="7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/>
    <xf numFmtId="44" fontId="10" fillId="6" borderId="0" xfId="1" applyFont="1" applyFill="1" applyBorder="1" applyAlignment="1" applyProtection="1">
      <alignment horizontal="center" vertical="center"/>
      <protection locked="0"/>
    </xf>
    <xf numFmtId="44" fontId="6" fillId="2" borderId="0" xfId="1" applyFont="1" applyFill="1" applyBorder="1" applyAlignment="1"/>
    <xf numFmtId="44" fontId="10" fillId="2" borderId="0" xfId="1" applyFont="1" applyFill="1" applyBorder="1" applyAlignment="1" applyProtection="1">
      <alignment horizontal="center" vertical="center"/>
      <protection locked="0"/>
    </xf>
    <xf numFmtId="164" fontId="12" fillId="2" borderId="5" xfId="3" applyNumberFormat="1" applyFont="1" applyFill="1" applyBorder="1" applyAlignment="1" applyProtection="1"/>
    <xf numFmtId="164" fontId="13" fillId="2" borderId="5" xfId="0" applyNumberFormat="1" applyFont="1" applyFill="1" applyBorder="1" applyAlignment="1"/>
    <xf numFmtId="0" fontId="17" fillId="0" borderId="0" xfId="0" applyFont="1" applyFill="1" applyBorder="1" applyAlignment="1"/>
    <xf numFmtId="44" fontId="17" fillId="0" borderId="0" xfId="1" applyFont="1" applyBorder="1" applyAlignment="1">
      <alignment horizontal="center" vertical="center"/>
    </xf>
    <xf numFmtId="164" fontId="11" fillId="2" borderId="5" xfId="0" applyNumberFormat="1" applyFont="1" applyFill="1" applyBorder="1" applyAlignment="1"/>
    <xf numFmtId="164" fontId="11" fillId="2" borderId="5" xfId="0" applyNumberFormat="1" applyFont="1" applyFill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44" fontId="10" fillId="2" borderId="0" xfId="0" applyNumberFormat="1" applyFont="1" applyFill="1" applyBorder="1"/>
    <xf numFmtId="0" fontId="9" fillId="9" borderId="0" xfId="0" applyFont="1" applyFill="1" applyBorder="1"/>
    <xf numFmtId="0" fontId="9" fillId="5" borderId="0" xfId="0" applyFont="1" applyFill="1" applyBorder="1" applyAlignment="1" applyProtection="1">
      <protection locked="0"/>
    </xf>
    <xf numFmtId="0" fontId="9" fillId="8" borderId="0" xfId="0" applyFont="1" applyFill="1" applyBorder="1" applyAlignment="1" applyProtection="1">
      <protection locked="0"/>
    </xf>
    <xf numFmtId="9" fontId="19" fillId="6" borderId="0" xfId="2" applyNumberFormat="1" applyFont="1" applyFill="1" applyBorder="1" applyAlignment="1">
      <alignment horizontal="center"/>
    </xf>
    <xf numFmtId="9" fontId="19" fillId="2" borderId="0" xfId="2" applyNumberFormat="1" applyFont="1" applyFill="1" applyBorder="1" applyAlignment="1">
      <alignment horizontal="center"/>
    </xf>
    <xf numFmtId="44" fontId="10" fillId="0" borderId="0" xfId="0" applyNumberFormat="1" applyFont="1" applyBorder="1" applyAlignment="1">
      <alignment horizontal="right"/>
    </xf>
    <xf numFmtId="0" fontId="0" fillId="2" borderId="0" xfId="0" applyFill="1"/>
    <xf numFmtId="0" fontId="21" fillId="2" borderId="0" xfId="0" applyFont="1" applyFill="1" applyAlignment="1">
      <alignment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center" wrapText="1"/>
    </xf>
    <xf numFmtId="0" fontId="20" fillId="2" borderId="0" xfId="0" applyFont="1" applyFill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/>
    </xf>
    <xf numFmtId="164" fontId="12" fillId="2" borderId="0" xfId="3" applyNumberFormat="1" applyFont="1" applyFill="1" applyBorder="1" applyAlignment="1" applyProtection="1">
      <alignment horizontal="center"/>
    </xf>
    <xf numFmtId="164" fontId="11" fillId="2" borderId="0" xfId="0" applyNumberFormat="1" applyFont="1" applyFill="1" applyBorder="1" applyAlignment="1">
      <alignment horizontal="center"/>
    </xf>
    <xf numFmtId="164" fontId="18" fillId="2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</cellXfs>
  <cellStyles count="4">
    <cellStyle name="Hy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EA8239"/>
      <color rgb="FF2C6983"/>
      <color rgb="FFAFD1E0"/>
      <color rgb="FF3B8BAF"/>
      <color rgb="FF85A24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  <a:latin typeface="Verdana" pitchFamily="34" charset="0"/>
              </a:defRPr>
            </a:pPr>
            <a:r>
              <a:rPr lang="pt-BR">
                <a:solidFill>
                  <a:schemeClr val="tx1">
                    <a:lumMod val="50000"/>
                    <a:lumOff val="50000"/>
                  </a:schemeClr>
                </a:solidFill>
                <a:latin typeface="Verdana" pitchFamily="34" charset="0"/>
              </a:rPr>
              <a:t>Cálculo</a:t>
            </a:r>
            <a:r>
              <a:rPr lang="pt-BR" baseline="0">
                <a:solidFill>
                  <a:schemeClr val="tx1">
                    <a:lumMod val="50000"/>
                    <a:lumOff val="50000"/>
                  </a:schemeClr>
                </a:solidFill>
                <a:latin typeface="Verdana" pitchFamily="34" charset="0"/>
              </a:rPr>
              <a:t> custos fixos</a:t>
            </a:r>
            <a:endParaRPr lang="pt-BR">
              <a:solidFill>
                <a:schemeClr val="tx1">
                  <a:lumMod val="50000"/>
                  <a:lumOff val="50000"/>
                </a:schemeClr>
              </a:solidFill>
              <a:latin typeface="Verdana" pitchFamily="34" charset="0"/>
            </a:endParaRPr>
          </a:p>
        </c:rich>
      </c:tx>
      <c:layout/>
    </c:title>
    <c:plotArea>
      <c:layout/>
      <c:pieChart>
        <c:varyColors val="1"/>
        <c:ser>
          <c:idx val="0"/>
          <c:order val="0"/>
          <c:dLbls>
            <c:txPr>
              <a:bodyPr/>
              <a:lstStyle/>
              <a:p>
                <a:pPr>
                  <a:defRPr sz="1200">
                    <a:latin typeface="Verdana" pitchFamily="34" charset="0"/>
                  </a:defRPr>
                </a:pPr>
                <a:endParaRPr lang="pt-BR"/>
              </a:p>
            </c:txPr>
            <c:dLblPos val="bestFit"/>
            <c:showCatName val="1"/>
            <c:showPercent val="1"/>
          </c:dLbls>
          <c:cat>
            <c:strRef>
              <c:f>'Cálculo custo fixo diário'!$B$10:$B$16</c:f>
              <c:strCache>
                <c:ptCount val="7"/>
                <c:pt idx="0">
                  <c:v>Aluguel</c:v>
                </c:pt>
                <c:pt idx="1">
                  <c:v>Água</c:v>
                </c:pt>
                <c:pt idx="2">
                  <c:v>Energia</c:v>
                </c:pt>
                <c:pt idx="3">
                  <c:v>Internet</c:v>
                </c:pt>
                <c:pt idx="4">
                  <c:v>Fornecedores a Pagar</c:v>
                </c:pt>
                <c:pt idx="5">
                  <c:v>Financiamento</c:v>
                </c:pt>
                <c:pt idx="6">
                  <c:v>Salário + Encargos</c:v>
                </c:pt>
              </c:strCache>
            </c:strRef>
          </c:cat>
          <c:val>
            <c:numRef>
              <c:f>'Cálculo custo fixo diário'!$D$10:$D$16</c:f>
              <c:numCache>
                <c:formatCode>0%</c:formatCode>
                <c:ptCount val="7"/>
                <c:pt idx="0">
                  <c:v>0.22443890274314215</c:v>
                </c:pt>
                <c:pt idx="1">
                  <c:v>7.481296758104738E-3</c:v>
                </c:pt>
                <c:pt idx="2">
                  <c:v>4.488778054862843E-2</c:v>
                </c:pt>
                <c:pt idx="3">
                  <c:v>2.4937655860349128E-2</c:v>
                </c:pt>
                <c:pt idx="4">
                  <c:v>7.4812967581047385E-2</c:v>
                </c:pt>
                <c:pt idx="5">
                  <c:v>0.1745635910224439</c:v>
                </c:pt>
                <c:pt idx="6">
                  <c:v>0.44887780548628431</c:v>
                </c:pt>
              </c:numCache>
            </c:numRef>
          </c:val>
        </c:ser>
        <c:ser>
          <c:idx val="1"/>
          <c:order val="1"/>
          <c:dLbls>
            <c:showCatName val="1"/>
            <c:showPercent val="1"/>
          </c:dLbls>
          <c:cat>
            <c:strRef>
              <c:f>'Cálculo custo fixo diário'!$B$10:$B$16</c:f>
              <c:strCache>
                <c:ptCount val="7"/>
                <c:pt idx="0">
                  <c:v>Aluguel</c:v>
                </c:pt>
                <c:pt idx="1">
                  <c:v>Água</c:v>
                </c:pt>
                <c:pt idx="2">
                  <c:v>Energia</c:v>
                </c:pt>
                <c:pt idx="3">
                  <c:v>Internet</c:v>
                </c:pt>
                <c:pt idx="4">
                  <c:v>Fornecedores a Pagar</c:v>
                </c:pt>
                <c:pt idx="5">
                  <c:v>Financiamento</c:v>
                </c:pt>
                <c:pt idx="6">
                  <c:v>Salário + Encargos</c:v>
                </c:pt>
              </c:strCache>
            </c:strRef>
          </c:cat>
          <c:val>
            <c:numRef>
              <c:f>'Cálculo custo fixo diário'!$B$10:$B$16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398808</xdr:colOff>
      <xdr:row>12</xdr:row>
      <xdr:rowOff>135167</xdr:rowOff>
    </xdr:from>
    <xdr:to>
      <xdr:col>8</xdr:col>
      <xdr:colOff>506208</xdr:colOff>
      <xdr:row>13</xdr:row>
      <xdr:rowOff>66675</xdr:rowOff>
    </xdr:to>
    <xdr:sp macro="" textlink="">
      <xdr:nvSpPr>
        <xdr:cNvPr id="2" name="Triângulo retângulo 1"/>
        <xdr:cNvSpPr/>
      </xdr:nvSpPr>
      <xdr:spPr>
        <a:xfrm rot="5400000" flipV="1">
          <a:off x="4925404" y="3228571"/>
          <a:ext cx="122008" cy="107400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8</xdr:col>
      <xdr:colOff>486834</xdr:colOff>
      <xdr:row>6</xdr:row>
      <xdr:rowOff>16933</xdr:rowOff>
    </xdr:from>
    <xdr:to>
      <xdr:col>8</xdr:col>
      <xdr:colOff>486834</xdr:colOff>
      <xdr:row>20</xdr:row>
      <xdr:rowOff>38099</xdr:rowOff>
    </xdr:to>
    <xdr:pic>
      <xdr:nvPicPr>
        <xdr:cNvPr id="3" name="Imagem 2" descr="ORSFZJ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5020734" y="1521883"/>
          <a:ext cx="3142973" cy="3802591"/>
        </a:xfrm>
        <a:prstGeom prst="rect">
          <a:avLst/>
        </a:prstGeom>
      </xdr:spPr>
    </xdr:pic>
    <xdr:clientData/>
  </xdr:twoCellAnchor>
  <xdr:twoCellAnchor>
    <xdr:from>
      <xdr:col>3</xdr:col>
      <xdr:colOff>63501</xdr:colOff>
      <xdr:row>16</xdr:row>
      <xdr:rowOff>722843</xdr:rowOff>
    </xdr:from>
    <xdr:to>
      <xdr:col>3</xdr:col>
      <xdr:colOff>459318</xdr:colOff>
      <xdr:row>19</xdr:row>
      <xdr:rowOff>118534</xdr:rowOff>
    </xdr:to>
    <xdr:sp macro="" textlink="">
      <xdr:nvSpPr>
        <xdr:cNvPr id="4" name="Seta para baixo 3"/>
        <xdr:cNvSpPr/>
      </xdr:nvSpPr>
      <xdr:spPr>
        <a:xfrm>
          <a:off x="1549401" y="4485218"/>
          <a:ext cx="395817" cy="729191"/>
        </a:xfrm>
        <a:prstGeom prst="downArrow">
          <a:avLst>
            <a:gd name="adj1" fmla="val 50000"/>
            <a:gd name="adj2" fmla="val 76087"/>
          </a:avLst>
        </a:prstGeom>
        <a:solidFill>
          <a:srgbClr val="FF4F4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8</xdr:col>
      <xdr:colOff>485775</xdr:colOff>
      <xdr:row>6</xdr:row>
      <xdr:rowOff>169334</xdr:rowOff>
    </xdr:from>
    <xdr:to>
      <xdr:col>13</xdr:col>
      <xdr:colOff>580748</xdr:colOff>
      <xdr:row>20</xdr:row>
      <xdr:rowOff>190499</xdr:rowOff>
    </xdr:to>
    <xdr:pic>
      <xdr:nvPicPr>
        <xdr:cNvPr id="9" name="Imagem 8" descr="ORSFZJ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5019675" y="1674284"/>
          <a:ext cx="3142973" cy="38025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197760</xdr:colOff>
      <xdr:row>19</xdr:row>
      <xdr:rowOff>166682</xdr:rowOff>
    </xdr:from>
    <xdr:to>
      <xdr:col>7</xdr:col>
      <xdr:colOff>669399</xdr:colOff>
      <xdr:row>23</xdr:row>
      <xdr:rowOff>106357</xdr:rowOff>
    </xdr:to>
    <xdr:pic>
      <xdr:nvPicPr>
        <xdr:cNvPr id="2" name="image0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2291" y="4393401"/>
          <a:ext cx="1686077" cy="701675"/>
        </a:xfrm>
        <a:prstGeom prst="rect">
          <a:avLst/>
        </a:prstGeom>
        <a:noFill/>
      </xdr:spPr>
    </xdr:pic>
    <xdr:clientData fLocksWithSheet="0"/>
  </xdr:twoCellAnchor>
  <xdr:oneCellAnchor>
    <xdr:from>
      <xdr:col>4</xdr:col>
      <xdr:colOff>550061</xdr:colOff>
      <xdr:row>6</xdr:row>
      <xdr:rowOff>154778</xdr:rowOff>
    </xdr:from>
    <xdr:ext cx="3400425" cy="2336794"/>
    <xdr:sp macro="" textlink="">
      <xdr:nvSpPr>
        <xdr:cNvPr id="4" name="CaixaDeTexto 3"/>
        <xdr:cNvSpPr txBox="1"/>
      </xdr:nvSpPr>
      <xdr:spPr>
        <a:xfrm>
          <a:off x="5586405" y="1702591"/>
          <a:ext cx="3400425" cy="23367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lvl="0" algn="l"/>
          <a:r>
            <a:rPr lang="pt-BR" sz="1200" b="0">
              <a:solidFill>
                <a:srgbClr val="2C6983"/>
              </a:solidFill>
              <a:latin typeface="Verdana" pitchFamily="34" charset="0"/>
              <a:cs typeface="Arial" pitchFamily="34" charset="0"/>
            </a:rPr>
            <a:t>A planilha ao lado auxilia você empresário a saber quanto sua empresa gera de custo diário, estando de portas fechadas ou não.</a:t>
          </a:r>
        </a:p>
        <a:p>
          <a:pPr lvl="0" algn="l"/>
          <a:endParaRPr lang="pt-BR" sz="1200" b="0" baseline="0">
            <a:latin typeface="Verdana" pitchFamily="34" charset="0"/>
            <a:cs typeface="Arial" pitchFamily="34" charset="0"/>
          </a:endParaRPr>
        </a:p>
        <a:p>
          <a:pPr lvl="0" algn="l"/>
          <a:r>
            <a:rPr lang="pt-BR" sz="1200" b="0" baseline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E</a:t>
          </a:r>
          <a:r>
            <a:rPr lang="pt-BR" sz="12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também lhe da uma ideia precisa de quanto esses gastos representam por</a:t>
          </a:r>
          <a:r>
            <a:rPr lang="pt-BR" sz="1200" b="0" baseline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hora.</a:t>
          </a:r>
          <a:r>
            <a:rPr lang="pt-BR" sz="12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Auxiliando-o na definições de metas, lhe mostrando o</a:t>
          </a:r>
          <a:r>
            <a:rPr lang="pt-BR" sz="1200" b="0" baseline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peso que cada gasto representa em seu dia a dia e facilitando na definição do</a:t>
          </a:r>
          <a:r>
            <a:rPr lang="pt-BR" sz="12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que podem ser cortados ou reduzidos</a:t>
          </a:r>
          <a:r>
            <a:rPr lang="pt-BR" sz="11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. </a:t>
          </a:r>
        </a:p>
      </xdr:txBody>
    </xdr:sp>
    <xdr:clientData/>
  </xdr:oneCellAnchor>
  <xdr:twoCellAnchor>
    <xdr:from>
      <xdr:col>11</xdr:col>
      <xdr:colOff>108857</xdr:colOff>
      <xdr:row>2</xdr:row>
      <xdr:rowOff>326571</xdr:rowOff>
    </xdr:from>
    <xdr:to>
      <xdr:col>22</xdr:col>
      <xdr:colOff>176893</xdr:colOff>
      <xdr:row>27</xdr:row>
      <xdr:rowOff>108857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9"/>
  <sheetViews>
    <sheetView workbookViewId="0">
      <selection activeCell="G19" sqref="G19"/>
    </sheetView>
  </sheetViews>
  <sheetFormatPr defaultColWidth="0" defaultRowHeight="15" customHeight="1" zeroHeight="1"/>
  <cols>
    <col min="1" max="1" width="4" customWidth="1"/>
    <col min="2" max="15" width="9.140625" customWidth="1"/>
    <col min="16" max="28" width="0" hidden="1" customWidth="1"/>
    <col min="29" max="16384" width="9.140625" hidden="1"/>
  </cols>
  <sheetData>
    <row r="1" spans="1:28" ht="6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6" customHeight="1">
      <c r="A2" s="38"/>
      <c r="B2" s="43" t="s">
        <v>17</v>
      </c>
      <c r="C2" s="43"/>
      <c r="D2" s="43"/>
      <c r="E2" s="43"/>
      <c r="F2" s="43"/>
      <c r="G2" s="43"/>
      <c r="H2" s="43"/>
      <c r="I2" s="43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>
      <c r="A3" s="38"/>
      <c r="B3" s="43"/>
      <c r="C3" s="43"/>
      <c r="D3" s="43"/>
      <c r="E3" s="43"/>
      <c r="F3" s="43"/>
      <c r="G3" s="43"/>
      <c r="H3" s="43"/>
      <c r="I3" s="43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28" ht="52.5" customHeight="1">
      <c r="A4" s="38"/>
      <c r="B4" s="43"/>
      <c r="C4" s="43"/>
      <c r="D4" s="43"/>
      <c r="E4" s="43"/>
      <c r="F4" s="43"/>
      <c r="G4" s="43"/>
      <c r="H4" s="43"/>
      <c r="I4" s="43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28" ht="15" customHeight="1" thickBot="1">
      <c r="A5" s="38"/>
      <c r="B5" s="39"/>
      <c r="C5" s="39"/>
      <c r="D5" s="39"/>
      <c r="E5" s="39"/>
      <c r="F5" s="39"/>
      <c r="G5" s="39"/>
      <c r="H5" s="39"/>
      <c r="I5" s="39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 ht="24" customHeight="1">
      <c r="A6" s="38"/>
      <c r="B6" s="44" t="s">
        <v>18</v>
      </c>
      <c r="C6" s="45"/>
      <c r="D6" s="45"/>
      <c r="E6" s="45"/>
      <c r="F6" s="45"/>
      <c r="G6" s="45"/>
      <c r="H6" s="45"/>
      <c r="I6" s="46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spans="1:28" ht="43.5" customHeight="1" thickBot="1">
      <c r="A7" s="38"/>
      <c r="B7" s="47"/>
      <c r="C7" s="48"/>
      <c r="D7" s="48"/>
      <c r="E7" s="48"/>
      <c r="F7" s="48"/>
      <c r="G7" s="48"/>
      <c r="H7" s="48"/>
      <c r="I7" s="49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28">
      <c r="A8" s="38"/>
      <c r="B8" s="40"/>
      <c r="C8" s="40"/>
      <c r="D8" s="40"/>
      <c r="E8" s="40"/>
      <c r="F8" s="40"/>
      <c r="G8" s="40"/>
      <c r="H8" s="40"/>
      <c r="I8" s="40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spans="1:28" ht="20.25">
      <c r="A9" s="38"/>
      <c r="B9" s="50" t="s">
        <v>19</v>
      </c>
      <c r="C9" s="50"/>
      <c r="D9" s="50"/>
      <c r="E9" s="50"/>
      <c r="F9" s="50"/>
      <c r="G9" s="50"/>
      <c r="H9" s="50"/>
      <c r="I9" s="50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spans="1:28" ht="15.75" thickBot="1">
      <c r="A10" s="38"/>
      <c r="B10" s="41"/>
      <c r="C10" s="41"/>
      <c r="D10" s="41"/>
      <c r="E10" s="41"/>
      <c r="F10" s="41"/>
      <c r="G10" s="41"/>
      <c r="H10" s="41"/>
      <c r="I10" s="41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spans="1:28">
      <c r="A11" s="38"/>
      <c r="B11" s="51" t="s">
        <v>20</v>
      </c>
      <c r="C11" s="52"/>
      <c r="D11" s="52"/>
      <c r="E11" s="52"/>
      <c r="F11" s="52"/>
      <c r="G11" s="52"/>
      <c r="H11" s="52"/>
      <c r="I11" s="53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spans="1:28">
      <c r="A12" s="38"/>
      <c r="B12" s="54"/>
      <c r="C12" s="55"/>
      <c r="D12" s="55"/>
      <c r="E12" s="55"/>
      <c r="F12" s="55"/>
      <c r="G12" s="55"/>
      <c r="H12" s="55"/>
      <c r="I12" s="56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spans="1:28">
      <c r="A13" s="38"/>
      <c r="B13" s="54"/>
      <c r="C13" s="55"/>
      <c r="D13" s="55"/>
      <c r="E13" s="55"/>
      <c r="F13" s="55"/>
      <c r="G13" s="55"/>
      <c r="H13" s="55"/>
      <c r="I13" s="56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spans="1:28" ht="15.75" thickBot="1">
      <c r="A14" s="38"/>
      <c r="B14" s="57"/>
      <c r="C14" s="58"/>
      <c r="D14" s="58"/>
      <c r="E14" s="58"/>
      <c r="F14" s="58"/>
      <c r="G14" s="58"/>
      <c r="H14" s="58"/>
      <c r="I14" s="59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>
      <c r="A15" s="38"/>
      <c r="B15" s="42"/>
      <c r="C15" s="42"/>
      <c r="D15" s="42"/>
      <c r="E15" s="42"/>
      <c r="F15" s="42"/>
      <c r="G15" s="42"/>
      <c r="H15" s="42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spans="1:28" ht="7.5" customHeight="1" thickBot="1">
      <c r="A16" s="38"/>
      <c r="B16" s="42"/>
      <c r="C16" s="42"/>
      <c r="D16" s="42"/>
      <c r="E16" s="42"/>
      <c r="F16" s="42"/>
      <c r="G16" s="42"/>
      <c r="H16" s="42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pans="1:28" ht="75" customHeight="1" thickBot="1">
      <c r="A17" s="38"/>
      <c r="B17" s="60" t="s">
        <v>21</v>
      </c>
      <c r="C17" s="61"/>
      <c r="D17" s="62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spans="1:2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pans="1:28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spans="1:28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28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1:28" hidden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idden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hidden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idden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1:28" hidden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1:28" hidden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pans="1:28" hidden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8" hidden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</sheetData>
  <sheetProtection password="CB9A" sheet="1" objects="1" scenarios="1"/>
  <mergeCells count="5">
    <mergeCell ref="B2:I4"/>
    <mergeCell ref="B6:I7"/>
    <mergeCell ref="B9:I9"/>
    <mergeCell ref="B11:I14"/>
    <mergeCell ref="B17:D1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68"/>
  <sheetViews>
    <sheetView tabSelected="1" zoomScale="70" zoomScaleNormal="70" workbookViewId="0">
      <selection activeCell="C10" sqref="C10:C26"/>
    </sheetView>
  </sheetViews>
  <sheetFormatPr defaultColWidth="0" defaultRowHeight="15" zeroHeight="1"/>
  <cols>
    <col min="1" max="1" width="3.42578125" style="38" customWidth="1"/>
    <col min="2" max="2" width="31.5703125" style="38" customWidth="1"/>
    <col min="3" max="3" width="28.7109375" style="38" customWidth="1"/>
    <col min="4" max="4" width="13.42578125" style="38" customWidth="1"/>
    <col min="5" max="5" width="11.140625" style="38" customWidth="1"/>
    <col min="6" max="7" width="9.140625" style="38" customWidth="1"/>
    <col min="8" max="8" width="20.5703125" style="38" customWidth="1"/>
    <col min="9" max="9" width="9.140625" style="38" customWidth="1"/>
    <col min="10" max="10" width="4.5703125" style="38" customWidth="1"/>
    <col min="11" max="23" width="9.140625" style="38" customWidth="1"/>
    <col min="24" max="16384" width="9.140625" style="38" hidden="1"/>
  </cols>
  <sheetData>
    <row r="1" spans="1:37" s="5" customFormat="1" thickTop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s="5" customFormat="1" ht="30" customHeight="1">
      <c r="A2" s="6"/>
      <c r="B2" s="67" t="s">
        <v>13</v>
      </c>
      <c r="C2" s="67"/>
      <c r="D2" s="67"/>
      <c r="E2" s="7"/>
      <c r="F2" s="7"/>
      <c r="G2" s="7"/>
      <c r="H2" s="7"/>
      <c r="I2" s="7"/>
      <c r="J2" s="8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s="5" customFormat="1" ht="30" customHeight="1">
      <c r="A3" s="6"/>
      <c r="B3" s="67"/>
      <c r="C3" s="67"/>
      <c r="D3" s="67"/>
      <c r="E3" s="7"/>
      <c r="F3" s="7"/>
      <c r="G3" s="7"/>
      <c r="H3" s="7"/>
      <c r="I3" s="7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5" customFormat="1" ht="14.25">
      <c r="A4" s="6"/>
      <c r="B4" s="9"/>
      <c r="C4" s="9"/>
      <c r="D4" s="9"/>
      <c r="E4" s="9"/>
      <c r="F4" s="9"/>
      <c r="G4" s="9"/>
      <c r="H4" s="9"/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5" customFormat="1" ht="18">
      <c r="A5" s="6"/>
      <c r="B5" s="69" t="s">
        <v>16</v>
      </c>
      <c r="C5" s="69"/>
      <c r="D5" s="69"/>
      <c r="E5" s="9"/>
      <c r="F5" s="9"/>
      <c r="G5" s="9"/>
      <c r="H5" s="9"/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5" customFormat="1">
      <c r="A6" s="6"/>
      <c r="B6" s="11" t="s">
        <v>9</v>
      </c>
      <c r="C6" s="12">
        <v>30</v>
      </c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5" customFormat="1">
      <c r="A7" s="6"/>
      <c r="B7" s="32" t="s">
        <v>0</v>
      </c>
      <c r="C7" s="12">
        <v>8</v>
      </c>
      <c r="D7" s="9"/>
      <c r="E7" s="9"/>
      <c r="F7" s="9"/>
      <c r="G7" s="9"/>
      <c r="H7" s="9"/>
      <c r="I7" s="9"/>
      <c r="J7" s="10"/>
      <c r="K7" s="13"/>
      <c r="L7" s="14"/>
      <c r="M7" s="14"/>
      <c r="N7" s="1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5" customFormat="1" ht="14.25">
      <c r="A8" s="6"/>
      <c r="B8" s="9"/>
      <c r="C8" s="9"/>
      <c r="D8" s="9"/>
      <c r="E8" s="9"/>
      <c r="F8" s="9"/>
      <c r="G8" s="9"/>
      <c r="H8" s="9"/>
      <c r="I8" s="9"/>
      <c r="J8" s="10"/>
      <c r="K8" s="15"/>
      <c r="L8" s="15"/>
      <c r="M8" s="15"/>
      <c r="N8" s="15"/>
      <c r="O8" s="4"/>
      <c r="P8" s="4"/>
      <c r="Q8" s="4"/>
      <c r="R8" s="4"/>
      <c r="S8" s="4"/>
      <c r="T8" s="1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5" customFormat="1" ht="23.25" customHeight="1">
      <c r="A9" s="6"/>
      <c r="B9" s="68" t="s">
        <v>4</v>
      </c>
      <c r="C9" s="68"/>
      <c r="D9" s="17" t="s">
        <v>8</v>
      </c>
      <c r="E9" s="18"/>
      <c r="F9" s="9"/>
      <c r="G9" s="9"/>
      <c r="H9" s="9"/>
      <c r="I9" s="9"/>
      <c r="J9" s="10"/>
      <c r="K9" s="13"/>
      <c r="L9" s="13"/>
      <c r="M9" s="13"/>
      <c r="N9" s="1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5" customFormat="1">
      <c r="A10" s="6"/>
      <c r="B10" s="33" t="s">
        <v>1</v>
      </c>
      <c r="C10" s="19">
        <v>900</v>
      </c>
      <c r="D10" s="35">
        <f t="shared" ref="D10:D26" si="0">IF(C10,C10/$C$27,"")</f>
        <v>0.22443890274314215</v>
      </c>
      <c r="E10" s="20"/>
      <c r="F10" s="9"/>
      <c r="G10" s="9"/>
      <c r="H10" s="9"/>
      <c r="I10" s="9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5" customFormat="1">
      <c r="A11" s="6"/>
      <c r="B11" s="34" t="s">
        <v>14</v>
      </c>
      <c r="C11" s="21">
        <v>30</v>
      </c>
      <c r="D11" s="36">
        <f t="shared" si="0"/>
        <v>7.481296758104738E-3</v>
      </c>
      <c r="E11" s="9"/>
      <c r="F11" s="9"/>
      <c r="G11" s="9"/>
      <c r="H11" s="9"/>
      <c r="I11" s="9"/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s="5" customFormat="1">
      <c r="A12" s="6"/>
      <c r="B12" s="33" t="s">
        <v>2</v>
      </c>
      <c r="C12" s="19">
        <v>180</v>
      </c>
      <c r="D12" s="35">
        <f t="shared" si="0"/>
        <v>4.488778054862843E-2</v>
      </c>
      <c r="E12" s="9"/>
      <c r="F12" s="9"/>
      <c r="G12" s="9"/>
      <c r="H12" s="9"/>
      <c r="I12" s="9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s="5" customFormat="1">
      <c r="A13" s="6"/>
      <c r="B13" s="34" t="s">
        <v>3</v>
      </c>
      <c r="C13" s="21">
        <v>100</v>
      </c>
      <c r="D13" s="36">
        <f t="shared" si="0"/>
        <v>2.4937655860349128E-2</v>
      </c>
      <c r="E13" s="9"/>
      <c r="F13" s="9"/>
      <c r="G13" s="9"/>
      <c r="H13" s="9"/>
      <c r="I13" s="9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16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s="5" customFormat="1">
      <c r="A14" s="6"/>
      <c r="B14" s="33" t="s">
        <v>6</v>
      </c>
      <c r="C14" s="19">
        <v>300</v>
      </c>
      <c r="D14" s="35">
        <f t="shared" si="0"/>
        <v>7.4812967581047385E-2</v>
      </c>
      <c r="E14" s="9"/>
      <c r="F14" s="9"/>
      <c r="G14" s="9"/>
      <c r="H14" s="9"/>
      <c r="I14" s="9"/>
      <c r="J14" s="10"/>
      <c r="K14" s="1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s="5" customFormat="1">
      <c r="A15" s="6"/>
      <c r="B15" s="34" t="s">
        <v>5</v>
      </c>
      <c r="C15" s="21">
        <v>700</v>
      </c>
      <c r="D15" s="36">
        <f t="shared" si="0"/>
        <v>0.1745635910224439</v>
      </c>
      <c r="E15" s="9"/>
      <c r="F15" s="9"/>
      <c r="G15" s="9"/>
      <c r="H15" s="9"/>
      <c r="I15" s="9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s="5" customFormat="1">
      <c r="A16" s="6"/>
      <c r="B16" s="33" t="s">
        <v>15</v>
      </c>
      <c r="C16" s="19">
        <v>1800</v>
      </c>
      <c r="D16" s="35">
        <f t="shared" si="0"/>
        <v>0.44887780548628431</v>
      </c>
      <c r="E16" s="9"/>
      <c r="F16" s="9"/>
      <c r="G16" s="9"/>
      <c r="H16" s="9"/>
      <c r="I16" s="9"/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s="5" customFormat="1">
      <c r="A17" s="6"/>
      <c r="B17" s="34"/>
      <c r="C17" s="21"/>
      <c r="D17" s="36" t="str">
        <f t="shared" si="0"/>
        <v/>
      </c>
      <c r="E17" s="9"/>
      <c r="F17" s="9"/>
      <c r="G17" s="9"/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s="5" customFormat="1">
      <c r="A18" s="6"/>
      <c r="B18" s="33"/>
      <c r="C18" s="19"/>
      <c r="D18" s="35" t="str">
        <f t="shared" si="0"/>
        <v/>
      </c>
      <c r="E18" s="9"/>
      <c r="F18" s="9"/>
      <c r="G18" s="9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s="5" customFormat="1">
      <c r="A19" s="6"/>
      <c r="B19" s="34"/>
      <c r="C19" s="21"/>
      <c r="D19" s="36" t="str">
        <f t="shared" si="0"/>
        <v/>
      </c>
      <c r="E19" s="9"/>
      <c r="F19" s="9"/>
      <c r="G19" s="9"/>
      <c r="H19" s="9"/>
      <c r="I19" s="9"/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s="5" customFormat="1">
      <c r="A20" s="6"/>
      <c r="B20" s="33"/>
      <c r="C20" s="19"/>
      <c r="D20" s="35" t="str">
        <f t="shared" si="0"/>
        <v/>
      </c>
      <c r="E20" s="9"/>
      <c r="F20" s="9"/>
      <c r="G20" s="9"/>
      <c r="H20" s="9"/>
      <c r="I20" s="9"/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s="5" customFormat="1">
      <c r="A21" s="6"/>
      <c r="B21" s="34"/>
      <c r="C21" s="21"/>
      <c r="D21" s="36" t="str">
        <f t="shared" si="0"/>
        <v/>
      </c>
      <c r="E21" s="9"/>
      <c r="F21" s="9"/>
      <c r="G21" s="9"/>
      <c r="H21" s="9"/>
      <c r="I21" s="9"/>
      <c r="J21" s="1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s="5" customFormat="1">
      <c r="A22" s="6"/>
      <c r="B22" s="33"/>
      <c r="C22" s="19"/>
      <c r="D22" s="35" t="str">
        <f t="shared" si="0"/>
        <v/>
      </c>
      <c r="E22" s="9"/>
      <c r="F22" s="9"/>
      <c r="G22" s="9"/>
      <c r="H22" s="9"/>
      <c r="I22" s="9"/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s="5" customFormat="1">
      <c r="A23" s="6"/>
      <c r="B23" s="34"/>
      <c r="C23" s="21"/>
      <c r="D23" s="36" t="str">
        <f t="shared" si="0"/>
        <v/>
      </c>
      <c r="E23" s="9"/>
      <c r="F23" s="9"/>
      <c r="G23" s="9"/>
      <c r="H23" s="9"/>
      <c r="I23" s="9"/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s="5" customFormat="1">
      <c r="A24" s="6"/>
      <c r="B24" s="33"/>
      <c r="C24" s="19"/>
      <c r="D24" s="35" t="str">
        <f t="shared" si="0"/>
        <v/>
      </c>
      <c r="E24" s="9"/>
      <c r="F24" s="9"/>
      <c r="G24" s="9"/>
      <c r="H24" s="9"/>
      <c r="I24" s="9"/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s="5" customFormat="1">
      <c r="A25" s="6"/>
      <c r="B25" s="34"/>
      <c r="C25" s="21"/>
      <c r="D25" s="36" t="str">
        <f t="shared" si="0"/>
        <v/>
      </c>
      <c r="E25" s="9"/>
      <c r="F25" s="64" t="str">
        <f>HYPERLINK("http://www.softensistemas.com.br/","www.softensistemas.com.br")</f>
        <v>www.softensistemas.com.br</v>
      </c>
      <c r="G25" s="64"/>
      <c r="H25" s="64"/>
      <c r="I25" s="4"/>
      <c r="J25" s="2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s="5" customFormat="1">
      <c r="A26" s="6"/>
      <c r="B26" s="33"/>
      <c r="C26" s="19"/>
      <c r="D26" s="35" t="str">
        <f t="shared" si="0"/>
        <v/>
      </c>
      <c r="E26" s="9"/>
      <c r="F26" s="65" t="str">
        <f>HYPERLINK("mailto:contato@softensistemas.com.br","contato@softensistemas.com.br")</f>
        <v>contato@softensistemas.com.br</v>
      </c>
      <c r="G26" s="65"/>
      <c r="H26" s="65"/>
      <c r="I26" s="4"/>
      <c r="J26" s="2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s="5" customFormat="1" ht="19.5">
      <c r="A27" s="6"/>
      <c r="B27" s="24" t="s">
        <v>12</v>
      </c>
      <c r="C27" s="25">
        <f>SUM(C10:C26)</f>
        <v>4010</v>
      </c>
      <c r="D27" s="9"/>
      <c r="E27" s="4"/>
      <c r="F27" s="66" t="s">
        <v>11</v>
      </c>
      <c r="G27" s="66"/>
      <c r="H27" s="66"/>
      <c r="I27" s="4"/>
      <c r="J27" s="2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s="5" customFormat="1" ht="27.75" customHeight="1">
      <c r="A28" s="6"/>
      <c r="B28" s="9"/>
      <c r="C28" s="9"/>
      <c r="D28" s="9"/>
      <c r="E28" s="4"/>
      <c r="F28" s="4"/>
      <c r="G28" s="4"/>
      <c r="H28" s="4"/>
      <c r="I28" s="4"/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s="5" customFormat="1">
      <c r="A29" s="6"/>
      <c r="B29" s="63" t="s">
        <v>7</v>
      </c>
      <c r="C29" s="63"/>
      <c r="D29" s="9"/>
      <c r="E29" s="4"/>
      <c r="F29" s="4"/>
      <c r="G29" s="4"/>
      <c r="H29" s="4"/>
      <c r="I29" s="4"/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s="5" customFormat="1">
      <c r="A30" s="6"/>
      <c r="B30" s="11" t="s">
        <v>10</v>
      </c>
      <c r="C30" s="31">
        <f>C27/C6</f>
        <v>133.66666666666666</v>
      </c>
      <c r="D30" s="9"/>
      <c r="E30" s="4"/>
      <c r="F30" s="4"/>
      <c r="G30" s="4"/>
      <c r="H30" s="4"/>
      <c r="I30" s="4"/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s="5" customFormat="1">
      <c r="A31" s="6"/>
      <c r="B31" s="32" t="s">
        <v>0</v>
      </c>
      <c r="C31" s="37">
        <f>$C$30/C7</f>
        <v>16.708333333333332</v>
      </c>
      <c r="D31" s="9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s="5" customFormat="1" ht="14.25">
      <c r="A32" s="6"/>
      <c r="B32" s="9"/>
      <c r="C32" s="9"/>
      <c r="D32" s="9"/>
      <c r="E32" s="9"/>
      <c r="F32" s="9"/>
      <c r="G32" s="9"/>
      <c r="H32" s="9"/>
      <c r="I32" s="9"/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s="5" customFormat="1" thickBot="1">
      <c r="A33" s="28"/>
      <c r="B33" s="29"/>
      <c r="C33" s="29"/>
      <c r="D33" s="29"/>
      <c r="E33" s="29"/>
      <c r="F33" s="29"/>
      <c r="G33" s="29"/>
      <c r="H33" s="29"/>
      <c r="I33" s="29"/>
      <c r="J33" s="3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customFormat="1" ht="15.75" hidden="1" thickTop="1"/>
    <row r="35" spans="1:37" customFormat="1" hidden="1"/>
    <row r="36" spans="1:37" customFormat="1" hidden="1"/>
    <row r="37" spans="1:37" customFormat="1" hidden="1"/>
    <row r="38" spans="1:37" customFormat="1" hidden="1"/>
    <row r="39" spans="1:37" customFormat="1" hidden="1"/>
    <row r="40" spans="1:37" customFormat="1" hidden="1"/>
    <row r="41" spans="1:37" customFormat="1" hidden="1"/>
    <row r="42" spans="1:37" customFormat="1" hidden="1"/>
    <row r="43" spans="1:37" customFormat="1" hidden="1"/>
    <row r="44" spans="1:37" customFormat="1" hidden="1"/>
    <row r="45" spans="1:37" customFormat="1" hidden="1"/>
    <row r="46" spans="1:37" customFormat="1" hidden="1"/>
    <row r="47" spans="1:37" customFormat="1" hidden="1"/>
    <row r="48" spans="1:37" customFormat="1" hidden="1"/>
    <row r="49" customFormat="1" hidden="1"/>
    <row r="50" customFormat="1" hidden="1"/>
    <row r="51" customFormat="1" hidden="1"/>
    <row r="52" customFormat="1" hidden="1"/>
    <row r="53" customFormat="1" hidden="1"/>
    <row r="54" customFormat="1" hidden="1"/>
    <row r="55" customFormat="1" hidden="1"/>
    <row r="56" customFormat="1" hidden="1"/>
    <row r="57" customFormat="1" hidden="1"/>
    <row r="58" customFormat="1" hidden="1"/>
    <row r="59" customFormat="1" hidden="1"/>
    <row r="60" customFormat="1" hidden="1"/>
    <row r="61" customFormat="1" hidden="1"/>
    <row r="62" customFormat="1" hidden="1"/>
    <row r="63" customFormat="1" hidden="1"/>
    <row r="64" customFormat="1" hidden="1"/>
    <row r="65" customFormat="1" hidden="1"/>
    <row r="66" customFormat="1" hidden="1"/>
    <row r="67" customFormat="1" hidden="1"/>
    <row r="68" customFormat="1" hidden="1"/>
    <row r="69" customFormat="1" hidden="1"/>
    <row r="70" customFormat="1" hidden="1"/>
    <row r="71" customFormat="1" hidden="1"/>
    <row r="72" customFormat="1" hidden="1"/>
    <row r="73" customFormat="1" hidden="1"/>
    <row r="74" customFormat="1" hidden="1"/>
    <row r="75" customFormat="1" hidden="1"/>
    <row r="76" customFormat="1" hidden="1"/>
    <row r="77" customFormat="1" hidden="1"/>
    <row r="78" customFormat="1" hidden="1"/>
    <row r="79" customFormat="1" hidden="1"/>
    <row r="80" customFormat="1" hidden="1"/>
    <row r="81" customFormat="1" hidden="1"/>
    <row r="82" customFormat="1" hidden="1"/>
    <row r="83" customFormat="1" hidden="1"/>
    <row r="84" customFormat="1" hidden="1"/>
    <row r="85" customFormat="1" hidden="1"/>
    <row r="86" customFormat="1" hidden="1"/>
    <row r="87" customFormat="1" hidden="1"/>
    <row r="88" customFormat="1" hidden="1"/>
    <row r="89" customFormat="1" hidden="1"/>
    <row r="90" customFormat="1" hidden="1"/>
    <row r="91" customFormat="1" hidden="1"/>
    <row r="92" customFormat="1" hidden="1"/>
    <row r="93" customFormat="1" hidden="1"/>
    <row r="94" customFormat="1" hidden="1"/>
    <row r="95" customFormat="1" hidden="1"/>
    <row r="96" customFormat="1" hidden="1"/>
    <row r="97" customFormat="1" hidden="1"/>
    <row r="98" customFormat="1" hidden="1"/>
    <row r="99" customFormat="1" hidden="1"/>
    <row r="100" customFormat="1" hidden="1"/>
    <row r="101" customFormat="1" hidden="1"/>
    <row r="102" customFormat="1" hidden="1"/>
    <row r="103" customFormat="1" hidden="1"/>
    <row r="104" customFormat="1" hidden="1"/>
    <row r="105" customFormat="1" hidden="1"/>
    <row r="106" customFormat="1" hidden="1"/>
    <row r="107" customFormat="1" hidden="1"/>
    <row r="108" customFormat="1" hidden="1"/>
    <row r="109" customFormat="1" hidden="1"/>
    <row r="110" customFormat="1" hidden="1"/>
    <row r="111" customFormat="1" hidden="1"/>
    <row r="112" customFormat="1" hidden="1"/>
    <row r="113" customFormat="1" hidden="1"/>
    <row r="114" customFormat="1" hidden="1"/>
    <row r="115" customFormat="1" hidden="1"/>
    <row r="116" customFormat="1" hidden="1"/>
    <row r="117" customFormat="1" hidden="1"/>
    <row r="118" customFormat="1" hidden="1"/>
    <row r="119" customFormat="1" hidden="1"/>
    <row r="120" customFormat="1" hidden="1"/>
    <row r="121" customFormat="1" hidden="1"/>
    <row r="122" customFormat="1" hidden="1"/>
    <row r="123" customFormat="1" hidden="1"/>
    <row r="124" customFormat="1" hidden="1"/>
    <row r="125" customFormat="1" hidden="1"/>
    <row r="126" customFormat="1" hidden="1"/>
    <row r="127" customFormat="1" hidden="1"/>
    <row r="128" customFormat="1" hidden="1"/>
    <row r="129" customFormat="1" hidden="1"/>
    <row r="130" customFormat="1" hidden="1"/>
    <row r="131" customFormat="1" hidden="1"/>
    <row r="132" customFormat="1" hidden="1"/>
    <row r="133" customFormat="1" hidden="1"/>
    <row r="134" customFormat="1" hidden="1"/>
    <row r="135" customFormat="1" hidden="1"/>
    <row r="136" customFormat="1" hidden="1"/>
    <row r="137" customFormat="1" hidden="1"/>
    <row r="138" customFormat="1" hidden="1"/>
    <row r="139" customFormat="1" hidden="1"/>
    <row r="140" customFormat="1" hidden="1"/>
    <row r="141" customFormat="1" hidden="1"/>
    <row r="142" customFormat="1" hidden="1"/>
    <row r="143" customFormat="1" hidden="1"/>
    <row r="144" customFormat="1" hidden="1"/>
    <row r="145" customFormat="1" hidden="1"/>
    <row r="146" customFormat="1" hidden="1"/>
    <row r="147" customFormat="1" hidden="1"/>
    <row r="148" customFormat="1" hidden="1"/>
    <row r="149" customFormat="1" hidden="1"/>
    <row r="150" customFormat="1" hidden="1"/>
    <row r="151" customFormat="1" hidden="1"/>
    <row r="152" customFormat="1" hidden="1"/>
    <row r="153" customFormat="1" hidden="1"/>
    <row r="154" customFormat="1" hidden="1"/>
    <row r="155" customFormat="1" hidden="1"/>
    <row r="156" customFormat="1" hidden="1"/>
    <row r="157" customFormat="1" hidden="1"/>
    <row r="158" customFormat="1" hidden="1"/>
    <row r="159" customFormat="1" hidden="1"/>
    <row r="160" customFormat="1" hidden="1"/>
    <row r="161" customFormat="1" hidden="1"/>
    <row r="162" customFormat="1" hidden="1"/>
    <row r="163" customFormat="1" hidden="1"/>
    <row r="164" customFormat="1" hidden="1"/>
    <row r="165" customFormat="1" hidden="1"/>
    <row r="166" customFormat="1" hidden="1"/>
    <row r="167" customFormat="1" hidden="1"/>
    <row r="168" customFormat="1" hidden="1"/>
    <row r="169" customFormat="1" hidden="1"/>
    <row r="170" customFormat="1" hidden="1"/>
    <row r="171" customFormat="1" hidden="1"/>
    <row r="172" customFormat="1" hidden="1"/>
    <row r="173" customFormat="1" hidden="1"/>
    <row r="174" customFormat="1" hidden="1"/>
    <row r="175" customFormat="1" hidden="1"/>
    <row r="176" customFormat="1" hidden="1"/>
    <row r="177" customFormat="1" hidden="1"/>
    <row r="178" customFormat="1" hidden="1"/>
    <row r="179" customFormat="1" hidden="1"/>
    <row r="180" customFormat="1" hidden="1"/>
    <row r="181" customFormat="1" hidden="1"/>
    <row r="182" customFormat="1" hidden="1"/>
    <row r="183" customFormat="1" hidden="1"/>
    <row r="184" customFormat="1" hidden="1"/>
    <row r="185" customFormat="1" hidden="1"/>
    <row r="186" customFormat="1" hidden="1"/>
    <row r="187" customFormat="1" hidden="1"/>
    <row r="188" customFormat="1" hidden="1"/>
    <row r="189" customFormat="1" hidden="1"/>
    <row r="190" customFormat="1" hidden="1"/>
    <row r="191" customFormat="1" hidden="1"/>
    <row r="192" customFormat="1" hidden="1"/>
    <row r="193" customFormat="1" hidden="1"/>
    <row r="194" customFormat="1" hidden="1"/>
    <row r="195" customFormat="1" hidden="1"/>
    <row r="196" customFormat="1" hidden="1"/>
    <row r="197" customFormat="1" hidden="1"/>
    <row r="198" customFormat="1" hidden="1"/>
    <row r="199" customFormat="1" hidden="1"/>
    <row r="200" customFormat="1" hidden="1"/>
    <row r="201" customFormat="1" hidden="1"/>
    <row r="202" customFormat="1" hidden="1"/>
    <row r="203" customFormat="1" hidden="1"/>
    <row r="204" customFormat="1" hidden="1"/>
    <row r="205" customFormat="1" hidden="1"/>
    <row r="206" customFormat="1" hidden="1"/>
    <row r="207" customFormat="1" hidden="1"/>
    <row r="208" customFormat="1" hidden="1"/>
    <row r="209" customFormat="1" hidden="1"/>
    <row r="210" customFormat="1" hidden="1"/>
    <row r="211" customFormat="1" hidden="1"/>
    <row r="212" customFormat="1" hidden="1"/>
    <row r="213" customFormat="1" hidden="1"/>
    <row r="214" customFormat="1" hidden="1"/>
    <row r="215" customFormat="1" hidden="1"/>
    <row r="216" customFormat="1" hidden="1"/>
    <row r="217" customFormat="1" hidden="1"/>
    <row r="218" customFormat="1" hidden="1"/>
    <row r="219" customFormat="1" hidden="1"/>
    <row r="220" customFormat="1" hidden="1"/>
    <row r="221" customFormat="1" hidden="1"/>
    <row r="222" customFormat="1" hidden="1"/>
    <row r="223" customFormat="1" hidden="1"/>
    <row r="224" customFormat="1" hidden="1"/>
    <row r="225" customFormat="1" hidden="1"/>
    <row r="226" customFormat="1" hidden="1"/>
    <row r="227" customFormat="1" hidden="1"/>
    <row r="228" customFormat="1" hidden="1"/>
    <row r="229" customFormat="1" hidden="1"/>
    <row r="230" customFormat="1" hidden="1"/>
    <row r="231" customFormat="1" hidden="1"/>
    <row r="232" customFormat="1" hidden="1"/>
    <row r="233" customFormat="1" hidden="1"/>
    <row r="234" customFormat="1" hidden="1"/>
    <row r="235" customFormat="1" hidden="1"/>
    <row r="236" customFormat="1" hidden="1"/>
    <row r="237" customFormat="1" hidden="1"/>
    <row r="238" customFormat="1" hidden="1"/>
    <row r="239" customFormat="1" hidden="1"/>
    <row r="240" customFormat="1" hidden="1"/>
    <row r="241" customFormat="1" hidden="1"/>
    <row r="242" customFormat="1" hidden="1"/>
    <row r="243" customFormat="1" hidden="1"/>
    <row r="244" customFormat="1" hidden="1"/>
    <row r="245" customFormat="1" hidden="1"/>
    <row r="246" customFormat="1" hidden="1"/>
    <row r="247" customFormat="1" hidden="1"/>
    <row r="248" customFormat="1" hidden="1"/>
    <row r="249" customFormat="1" hidden="1"/>
    <row r="250" customFormat="1" hidden="1"/>
    <row r="251" customFormat="1" hidden="1"/>
    <row r="252" customFormat="1" hidden="1"/>
    <row r="253" customFormat="1" hidden="1"/>
    <row r="254" customFormat="1" hidden="1"/>
    <row r="255" customFormat="1" hidden="1"/>
    <row r="256" customFormat="1" hidden="1"/>
    <row r="257" customFormat="1" hidden="1"/>
    <row r="258" customFormat="1" hidden="1"/>
    <row r="259" customFormat="1" hidden="1"/>
    <row r="260" customFormat="1" hidden="1"/>
    <row r="261" customFormat="1" hidden="1"/>
    <row r="262" customFormat="1" hidden="1"/>
    <row r="263" customFormat="1" hidden="1"/>
    <row r="264" customFormat="1" hidden="1"/>
    <row r="265" customFormat="1" hidden="1"/>
    <row r="266" customFormat="1" hidden="1"/>
    <row r="267" ht="15.75" thickTop="1"/>
    <row r="268"/>
  </sheetData>
  <sheetProtection password="CB9A" sheet="1" objects="1" scenarios="1" formatColumns="0" formatRows="0" insertRows="0"/>
  <mergeCells count="7">
    <mergeCell ref="B29:C29"/>
    <mergeCell ref="F25:H25"/>
    <mergeCell ref="F26:H26"/>
    <mergeCell ref="F27:H27"/>
    <mergeCell ref="B2:D3"/>
    <mergeCell ref="B9:C9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Introdução</vt:lpstr>
      <vt:lpstr>Cálculo custo fixo diário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2018-04-25T14:05:49Z</dcterms:modified>
</cp:coreProperties>
</file>