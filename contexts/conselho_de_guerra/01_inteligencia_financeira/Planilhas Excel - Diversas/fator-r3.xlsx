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7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lice\Desktop\"/>
    </mc:Choice>
  </mc:AlternateContent>
  <xr:revisionPtr revIDLastSave="0" documentId="13_ncr:81_{5F14F636-8499-452C-BEFD-EDCE948DF28E}" xr6:coauthVersionLast="40" xr6:coauthVersionMax="40" xr10:uidLastSave="{00000000-0000-0000-0000-000000000000}"/>
  <workbookProtection lockRevision="1"/>
  <bookViews>
    <workbookView xWindow="-120" yWindow="-120" windowWidth="20730" windowHeight="11160" firstSheet="1" activeTab="1" xr2:uid="{00000000-000D-0000-FFFF-FFFF00000000}"/>
  </bookViews>
  <sheets>
    <sheet name="Plan1" sheetId="1" state="hidden" r:id="rId1"/>
    <sheet name="Plan2" sheetId="2" r:id="rId2"/>
    <sheet name="Plan3" sheetId="3" r:id="rId3"/>
  </sheets>
  <definedNames>
    <definedName name="Z_264665E6_1F8E_4D4A_90DE_DFBEF719BA41_.wvu.Cols" localSheetId="0" hidden="1">Plan1!$B:$B</definedName>
    <definedName name="Z_6092A35D_646B_4696_B042_08D320802F8F_.wvu.Cols" localSheetId="0" hidden="1">Plan1!$B:$B</definedName>
    <definedName name="Z_8192140A_8A4E_4279_926F_A04A19CC0068_.wvu.Cols" localSheetId="0" hidden="1">Plan1!$B:$B</definedName>
    <definedName name="Z_D4DF142A_BB1F_4E75_AE5E_6952AE62CADB_.wvu.Cols" localSheetId="0" hidden="1">Plan1!$B:$B</definedName>
    <definedName name="Z_D5C638CE_B51D_4CE7_B984_5FB27EC656B9_.wvu.Cols" localSheetId="0" hidden="1">Plan1!$B:$B</definedName>
    <definedName name="Z_D9DAC16E_CC93_45DC_8A23_1165BA9AA92F_.wvu.Cols" localSheetId="0" hidden="1">Plan1!$B:$B</definedName>
  </definedNames>
  <calcPr calcId="191029"/>
  <customWorkbookViews>
    <customWorkbookView name="Analice - Modo de exibição pessoal" guid="{6092A35D-646B-4696-B042-08D320802F8F}" mergeInterval="0" personalView="1" maximized="1" xWindow="-8" yWindow="-8" windowWidth="1382" windowHeight="744" activeSheetId="2"/>
    <customWorkbookView name="Maria do Socorro - Modo de exibição pessoal" guid="{D5C638CE-B51D-4CE7-B984-5FB27EC656B9}" mergeInterval="0" personalView="1" maximized="1" xWindow="-9" yWindow="-9" windowWidth="1618" windowHeight="870" activeSheetId="1"/>
    <customWorkbookView name="Contabilidade06 - Modo de exibição pessoal" guid="{8192140A-8A4E-4279-926F-A04A19CC0068}" mergeInterval="0" personalView="1" maximized="1" xWindow="1" yWindow="1" windowWidth="1020" windowHeight="547" activeSheetId="1"/>
    <customWorkbookView name="Metodo Contabil - Modo de exibição pessoal" guid="{D4DF142A-BB1F-4E75-AE5E-6952AE62CADB}" mergeInterval="0" personalView="1" maximized="1" xWindow="1" yWindow="1" windowWidth="1020" windowHeight="517" activeSheetId="1" showComments="commIndAndComment"/>
    <customWorkbookView name="Contabilidade - Modo de exibição pessoal" guid="{D9DAC16E-CC93-45DC-8A23-1165BA9AA92F}" mergeInterval="0" personalView="1" maximized="1" xWindow="1" yWindow="1" windowWidth="1020" windowHeight="547" activeSheetId="1" showComments="commIndAndComment"/>
    <customWorkbookView name="METODO - Modo de exibição pessoal" guid="{264665E6-1F8E-4D4A-90DE-DFBEF719BA41}" mergeInterval="0" personalView="1" maximized="1" windowWidth="1276" windowHeight="82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" i="2" l="1"/>
  <c r="N5" i="2"/>
  <c r="O5" i="2"/>
  <c r="N8" i="2"/>
  <c r="O9" i="2" s="1"/>
  <c r="N9" i="2"/>
  <c r="N12" i="2"/>
  <c r="O13" i="2" s="1"/>
  <c r="N13" i="2"/>
  <c r="N16" i="2"/>
  <c r="N17" i="2"/>
  <c r="O17" i="2"/>
  <c r="N20" i="2"/>
  <c r="N21" i="2"/>
  <c r="O21" i="2"/>
  <c r="N24" i="2"/>
  <c r="O25" i="2" s="1"/>
  <c r="N25" i="2"/>
  <c r="N28" i="2"/>
  <c r="O29" i="2" s="1"/>
  <c r="N29" i="2"/>
  <c r="N32" i="2"/>
  <c r="N33" i="2"/>
  <c r="O33" i="2"/>
  <c r="N36" i="2"/>
  <c r="N37" i="2"/>
  <c r="O37" i="2"/>
  <c r="N40" i="2"/>
  <c r="O41" i="2" s="1"/>
  <c r="N41" i="2"/>
  <c r="N44" i="2"/>
  <c r="O45" i="2" s="1"/>
  <c r="N45" i="2"/>
  <c r="N48" i="2"/>
  <c r="N49" i="2"/>
  <c r="O49" i="2"/>
  <c r="D8" i="1"/>
  <c r="E8" i="1"/>
  <c r="J8" i="1" s="1"/>
  <c r="F8" i="1"/>
  <c r="G8" i="1"/>
  <c r="G20" i="1" s="1"/>
  <c r="H8" i="1"/>
  <c r="I8" i="1"/>
  <c r="I20" i="1" s="1"/>
  <c r="D9" i="1"/>
  <c r="J9" i="1" s="1"/>
  <c r="K9" i="1" s="1"/>
  <c r="E9" i="1"/>
  <c r="F9" i="1"/>
  <c r="G9" i="1"/>
  <c r="H9" i="1"/>
  <c r="I9" i="1"/>
  <c r="D10" i="1"/>
  <c r="J10" i="1" s="1"/>
  <c r="K10" i="1" s="1"/>
  <c r="E10" i="1"/>
  <c r="F10" i="1"/>
  <c r="G10" i="1"/>
  <c r="H10" i="1"/>
  <c r="I10" i="1"/>
  <c r="D11" i="1"/>
  <c r="J11" i="1" s="1"/>
  <c r="K11" i="1" s="1"/>
  <c r="E11" i="1"/>
  <c r="F11" i="1"/>
  <c r="G11" i="1"/>
  <c r="H11" i="1"/>
  <c r="I11" i="1"/>
  <c r="D12" i="1"/>
  <c r="J12" i="1" s="1"/>
  <c r="K12" i="1" s="1"/>
  <c r="E12" i="1"/>
  <c r="F12" i="1"/>
  <c r="G12" i="1"/>
  <c r="H12" i="1"/>
  <c r="I12" i="1"/>
  <c r="D13" i="1"/>
  <c r="J13" i="1" s="1"/>
  <c r="K13" i="1" s="1"/>
  <c r="E13" i="1"/>
  <c r="F13" i="1"/>
  <c r="G13" i="1"/>
  <c r="H13" i="1"/>
  <c r="I13" i="1"/>
  <c r="D14" i="1"/>
  <c r="J14" i="1" s="1"/>
  <c r="K14" i="1" s="1"/>
  <c r="E14" i="1"/>
  <c r="F14" i="1"/>
  <c r="G14" i="1"/>
  <c r="H14" i="1"/>
  <c r="I14" i="1"/>
  <c r="D15" i="1"/>
  <c r="J15" i="1" s="1"/>
  <c r="K15" i="1" s="1"/>
  <c r="E15" i="1"/>
  <c r="F15" i="1"/>
  <c r="G15" i="1"/>
  <c r="H15" i="1"/>
  <c r="I15" i="1"/>
  <c r="D16" i="1"/>
  <c r="J16" i="1" s="1"/>
  <c r="K16" i="1" s="1"/>
  <c r="E16" i="1"/>
  <c r="F16" i="1"/>
  <c r="G16" i="1"/>
  <c r="H16" i="1"/>
  <c r="I16" i="1"/>
  <c r="D17" i="1"/>
  <c r="J17" i="1" s="1"/>
  <c r="K17" i="1" s="1"/>
  <c r="E17" i="1"/>
  <c r="F17" i="1"/>
  <c r="G17" i="1"/>
  <c r="H17" i="1"/>
  <c r="I17" i="1"/>
  <c r="D18" i="1"/>
  <c r="J18" i="1" s="1"/>
  <c r="K18" i="1" s="1"/>
  <c r="E18" i="1"/>
  <c r="F18" i="1"/>
  <c r="G18" i="1"/>
  <c r="H18" i="1"/>
  <c r="I18" i="1"/>
  <c r="D19" i="1"/>
  <c r="J19" i="1" s="1"/>
  <c r="K19" i="1" s="1"/>
  <c r="E19" i="1"/>
  <c r="F19" i="1"/>
  <c r="G19" i="1"/>
  <c r="H19" i="1"/>
  <c r="I19" i="1"/>
  <c r="C20" i="1"/>
  <c r="D20" i="1"/>
  <c r="F20" i="1"/>
  <c r="H20" i="1"/>
  <c r="E27" i="1"/>
  <c r="K27" i="1" s="1"/>
  <c r="F27" i="1"/>
  <c r="G27" i="1"/>
  <c r="H27" i="1"/>
  <c r="I27" i="1"/>
  <c r="J27" i="1"/>
  <c r="J39" i="1" s="1"/>
  <c r="E28" i="1"/>
  <c r="K28" i="1" s="1"/>
  <c r="L28" i="1" s="1"/>
  <c r="F28" i="1"/>
  <c r="G28" i="1"/>
  <c r="H28" i="1"/>
  <c r="I28" i="1"/>
  <c r="J28" i="1"/>
  <c r="E29" i="1"/>
  <c r="K29" i="1" s="1"/>
  <c r="L29" i="1" s="1"/>
  <c r="F29" i="1"/>
  <c r="G29" i="1"/>
  <c r="H29" i="1"/>
  <c r="I29" i="1"/>
  <c r="J29" i="1"/>
  <c r="E30" i="1"/>
  <c r="K30" i="1" s="1"/>
  <c r="L30" i="1" s="1"/>
  <c r="F30" i="1"/>
  <c r="G30" i="1"/>
  <c r="H30" i="1"/>
  <c r="I30" i="1"/>
  <c r="J30" i="1"/>
  <c r="E31" i="1"/>
  <c r="K31" i="1" s="1"/>
  <c r="L31" i="1" s="1"/>
  <c r="F31" i="1"/>
  <c r="G31" i="1"/>
  <c r="H31" i="1"/>
  <c r="I31" i="1"/>
  <c r="J31" i="1"/>
  <c r="E32" i="1"/>
  <c r="K32" i="1" s="1"/>
  <c r="L32" i="1" s="1"/>
  <c r="F32" i="1"/>
  <c r="G32" i="1"/>
  <c r="H32" i="1"/>
  <c r="I32" i="1"/>
  <c r="J32" i="1"/>
  <c r="E33" i="1"/>
  <c r="K33" i="1" s="1"/>
  <c r="L33" i="1" s="1"/>
  <c r="F33" i="1"/>
  <c r="G33" i="1"/>
  <c r="H33" i="1"/>
  <c r="I33" i="1"/>
  <c r="J33" i="1"/>
  <c r="E34" i="1"/>
  <c r="K34" i="1" s="1"/>
  <c r="L34" i="1" s="1"/>
  <c r="F34" i="1"/>
  <c r="G34" i="1"/>
  <c r="H34" i="1"/>
  <c r="I34" i="1"/>
  <c r="J34" i="1"/>
  <c r="E35" i="1"/>
  <c r="K35" i="1" s="1"/>
  <c r="L35" i="1" s="1"/>
  <c r="F35" i="1"/>
  <c r="G35" i="1"/>
  <c r="H35" i="1"/>
  <c r="I35" i="1"/>
  <c r="J35" i="1"/>
  <c r="E36" i="1"/>
  <c r="K36" i="1" s="1"/>
  <c r="L36" i="1" s="1"/>
  <c r="F36" i="1"/>
  <c r="G36" i="1"/>
  <c r="H36" i="1"/>
  <c r="I36" i="1"/>
  <c r="J36" i="1"/>
  <c r="E37" i="1"/>
  <c r="K37" i="1" s="1"/>
  <c r="L37" i="1" s="1"/>
  <c r="F37" i="1"/>
  <c r="G37" i="1"/>
  <c r="H37" i="1"/>
  <c r="I37" i="1"/>
  <c r="I39" i="1" s="1"/>
  <c r="J37" i="1"/>
  <c r="E38" i="1"/>
  <c r="K38" i="1" s="1"/>
  <c r="L38" i="1" s="1"/>
  <c r="F38" i="1"/>
  <c r="G38" i="1"/>
  <c r="H38" i="1"/>
  <c r="I38" i="1"/>
  <c r="J38" i="1"/>
  <c r="C39" i="1"/>
  <c r="E39" i="1" s="1"/>
  <c r="D39" i="1"/>
  <c r="F39" i="1" s="1"/>
  <c r="G39" i="1"/>
  <c r="H39" i="1"/>
  <c r="K8" i="1" l="1"/>
  <c r="J20" i="1"/>
  <c r="K39" i="1"/>
  <c r="L27" i="1"/>
  <c r="E20" i="1"/>
</calcChain>
</file>

<file path=xl/sharedStrings.xml><?xml version="1.0" encoding="utf-8"?>
<sst xmlns="http://schemas.openxmlformats.org/spreadsheetml/2006/main" count="112" uniqueCount="51">
  <si>
    <t>INCIDÊNCIA TRIBUTÁRIA - SIMULAÇÃO</t>
  </si>
  <si>
    <t>RECEITA</t>
  </si>
  <si>
    <t xml:space="preserve">TRIBUTOS FEDERAIS </t>
  </si>
  <si>
    <t>ADICIONAL IR</t>
  </si>
  <si>
    <t>TRIBUTO MUNIC.</t>
  </si>
  <si>
    <t>ISS 5%</t>
  </si>
  <si>
    <t>TOTAL</t>
  </si>
  <si>
    <t>DOS TRIBUTOS</t>
  </si>
  <si>
    <t>%</t>
  </si>
  <si>
    <t>Empresa do ramo de Prestação de Serviços</t>
  </si>
  <si>
    <t>SERVIÇO</t>
  </si>
  <si>
    <t>VENDA</t>
  </si>
  <si>
    <t xml:space="preserve">IRPJ </t>
  </si>
  <si>
    <t xml:space="preserve">CSLL </t>
  </si>
  <si>
    <t xml:space="preserve">PIS </t>
  </si>
  <si>
    <t>COFINS</t>
  </si>
  <si>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</si>
  <si>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</si>
  <si>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</si>
  <si>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</si>
  <si>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</si>
  <si>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</si>
  <si>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</si>
  <si>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</si>
  <si>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</si>
  <si>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</si>
  <si>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</si>
  <si>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</si>
  <si>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</si>
  <si>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LUCRO PRESUMIDO</t>
  </si>
  <si>
    <t>LUCRO REAL</t>
  </si>
  <si>
    <t>VALOR</t>
  </si>
  <si>
    <t>(*)</t>
  </si>
  <si>
    <t>Faturamento Bruto, diminuindo o valor das despesas incorridas no mês:</t>
  </si>
  <si>
    <t>Energia Elétrica</t>
  </si>
  <si>
    <t>Alugueis</t>
  </si>
  <si>
    <t>Armazenagem e fretes</t>
  </si>
  <si>
    <t>Arredamento Mercantil</t>
  </si>
  <si>
    <t>Encargos de Depreciação</t>
  </si>
  <si>
    <t>Outros (Consultar).</t>
  </si>
  <si>
    <t>BASE PIS COFIS(*)</t>
  </si>
  <si>
    <t>LUCRO REAL (Essa planilha não dará segurança para o resultado da carga tributária, apenas param passar uma ideia de valores)</t>
  </si>
  <si>
    <t>A legislação sobre LUCRO REAL é muito abrangente e envolve um estudo muito mais profundo.</t>
  </si>
  <si>
    <t>O calculo do PIS e COFINS poderá ser considerado da seguinte forma:</t>
  </si>
  <si>
    <t>folha</t>
  </si>
  <si>
    <t>rbt</t>
  </si>
  <si>
    <t>Fator R</t>
  </si>
  <si>
    <t>Fator r</t>
  </si>
  <si>
    <t>fator R</t>
  </si>
  <si>
    <t>fator r</t>
  </si>
  <si>
    <t>CÁLCULO FATOR "R"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</si>
</sst>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1"/>
      <color indexed="60"/>
      <name val="Calibri"/>
      <family val="2"/>
    </font>
    <font>
      <sz val="14"/>
      <name val="Calibri"/>
      <family val="2"/>
    </font>
    <font>
      <b/>
      <sz val="12"/>
      <color indexed="8"/>
      <name val="Verdan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1"/>
      <name val="Verdana"/>
      <family val="2"/>
    </font>
    <font>
      <b/>
      <sz val="10"/>
      <color theme="1"/>
      <name val="Verdana"/>
      <family val="2"/>
    </font>
    <font>
      <b/>
      <sz val="8"/>
      <color theme="1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horizontal="center"/>
    </xf>
    <xf numFmtId="4" fontId="0" fillId="0" borderId="0" xfId="0" applyNumberFormat="1"/>
    <xf numFmtId="0" fontId="0" fillId="0" borderId="2" xfId="0" applyFill="1" applyBorder="1" applyAlignment="1">
      <alignment horizontal="center"/>
    </xf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4" fontId="1" fillId="2" borderId="3" xfId="0" applyNumberFormat="1" applyFont="1" applyFill="1" applyBorder="1" applyProtection="1"/>
    <xf numFmtId="0" fontId="2" fillId="3" borderId="3" xfId="0" applyFont="1" applyFill="1" applyBorder="1" applyAlignment="1">
      <alignment horizontal="center"/>
    </xf>
    <xf numFmtId="4" fontId="1" fillId="3" borderId="3" xfId="0" applyNumberFormat="1" applyFont="1" applyFill="1" applyBorder="1" applyProtection="1"/>
    <xf numFmtId="4" fontId="1" fillId="3" borderId="3" xfId="0" applyNumberFormat="1" applyFont="1" applyFill="1" applyBorder="1" applyProtection="1">
      <protection locked="0"/>
    </xf>
    <xf numFmtId="0" fontId="4" fillId="0" borderId="0" xfId="0" applyFont="1" applyAlignment="1">
      <alignment horizontal="justify"/>
    </xf>
    <xf numFmtId="0" fontId="0" fillId="4" borderId="1" xfId="0" applyFill="1" applyBorder="1"/>
    <xf numFmtId="0" fontId="0" fillId="4" borderId="4" xfId="0" applyFill="1" applyBorder="1"/>
    <xf numFmtId="0" fontId="0" fillId="4" borderId="5" xfId="0" applyFill="1" applyBorder="1"/>
    <xf numFmtId="4" fontId="1" fillId="0" borderId="3" xfId="0" applyNumberFormat="1" applyFont="1" applyBorder="1" applyProtection="1"/>
    <xf numFmtId="0" fontId="0" fillId="4" borderId="6" xfId="0" applyFill="1" applyBorder="1"/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4" fontId="1" fillId="5" borderId="8" xfId="0" applyNumberFormat="1" applyFont="1" applyFill="1" applyBorder="1"/>
    <xf numFmtId="4" fontId="1" fillId="5" borderId="3" xfId="0" applyNumberFormat="1" applyFont="1" applyFill="1" applyBorder="1"/>
    <xf numFmtId="0" fontId="0" fillId="5" borderId="0" xfId="0" applyFill="1"/>
    <xf numFmtId="4" fontId="0" fillId="5" borderId="0" xfId="0" applyNumberFormat="1" applyFill="1"/>
    <xf numFmtId="0" fontId="0" fillId="3" borderId="7" xfId="0" applyFill="1" applyBorder="1" applyAlignment="1"/>
    <xf numFmtId="0" fontId="0" fillId="3" borderId="9" xfId="0" applyFill="1" applyBorder="1" applyAlignment="1"/>
    <xf numFmtId="0" fontId="0" fillId="3" borderId="8" xfId="0" applyFill="1" applyBorder="1" applyAlignment="1"/>
    <xf numFmtId="0" fontId="6" fillId="6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4" fontId="3" fillId="7" borderId="3" xfId="0" applyNumberFormat="1" applyFont="1" applyFill="1" applyBorder="1" applyProtection="1"/>
    <xf numFmtId="4" fontId="7" fillId="6" borderId="0" xfId="0" applyNumberFormat="1" applyFont="1" applyFill="1"/>
    <xf numFmtId="0" fontId="8" fillId="0" borderId="0" xfId="0" applyFont="1"/>
    <xf numFmtId="0" fontId="9" fillId="0" borderId="0" xfId="0" applyFont="1" applyAlignment="1">
      <alignment vertical="center"/>
    </xf>
    <xf numFmtId="4" fontId="8" fillId="8" borderId="0" xfId="0" applyNumberFormat="1" applyFont="1" applyFill="1" applyBorder="1"/>
    <xf numFmtId="0" fontId="0" fillId="8" borderId="0" xfId="0" applyFill="1"/>
    <xf numFmtId="0" fontId="0" fillId="6" borderId="0" xfId="0" applyFill="1"/>
    <xf numFmtId="0" fontId="10" fillId="6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4" fontId="6" fillId="8" borderId="0" xfId="0" applyNumberFormat="1" applyFont="1" applyFill="1"/>
    <xf numFmtId="4" fontId="7" fillId="8" borderId="0" xfId="0" applyNumberFormat="1" applyFont="1" applyFill="1"/>
    <xf numFmtId="4" fontId="1" fillId="8" borderId="3" xfId="0" applyNumberFormat="1" applyFont="1" applyFill="1" applyBorder="1" applyProtection="1"/>
    <xf numFmtId="4" fontId="0" fillId="8" borderId="0" xfId="0" applyNumberFormat="1" applyFill="1"/>
    <xf numFmtId="17" fontId="0" fillId="0" borderId="0" xfId="0" applyNumberFormat="1"/>
    <xf numFmtId="44" fontId="0" fillId="0" borderId="0" xfId="0" applyNumberFormat="1"/>
    <xf numFmtId="9" fontId="0" fillId="0" borderId="0" xfId="0" applyNumberFormat="1"/>
    <xf numFmtId="44" fontId="5" fillId="0" borderId="0" xfId="0" applyNumberFormat="1" applyFont="1"/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usernames" Target="revisions/userNam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8F1F0499-CF90-47A1-83B5-FBEC27380DBC}" diskRevisions="1" revisionId="1424" version="2" protected="1">
  <header guid="{338D508A-056A-450B-887C-CA676321D309}" dateTime="2019-01-29T15:03:46" maxSheetId="4" userName="Analice" r:id="rId1" minRId="901" maxRId="1028">
    <sheetIdMap count="3">
      <sheetId val="1"/>
      <sheetId val="2"/>
      <sheetId val="3"/>
    </sheetIdMap>
  </header>
  <header guid="{2859B65A-5062-44BB-A6A8-886F6C3DE5CF}" dateTime="2019-01-29T16:06:14" maxSheetId="4" userName="Analice" r:id="rId2" minRId="1030" maxRId="1113">
    <sheetIdMap count="3">
      <sheetId val="1"/>
      <sheetId val="2"/>
      <sheetId val="3"/>
    </sheetIdMap>
  </header>
  <header guid="{C32DE47B-137E-4524-8912-6EE435DA6388}" dateTime="2019-01-30T15:00:28" maxSheetId="4" userName="Analice" r:id="rId3">
    <sheetIdMap count="3">
      <sheetId val="1"/>
      <sheetId val="2"/>
      <sheetId val="3"/>
    </sheetIdMap>
  </header>
  <header guid="{15913A26-0552-4417-ADFE-FC5A243832E3}" dateTime="2019-02-14T14:33:12" maxSheetId="4" userName="Analice" r:id="rId4" minRId="1114" maxRId="1118">
    <sheetIdMap count="3">
      <sheetId val="1"/>
      <sheetId val="2"/>
      <sheetId val="3"/>
    </sheetIdMap>
  </header>
  <header guid="{019414F1-0AC4-4F69-BC9F-C9CA54C427EE}" dateTime="2019-02-19T10:26:22" maxSheetId="4" userName="Analice" r:id="rId5" minRId="1119" maxRId="1423">
    <sheetIdMap count="3">
      <sheetId val="1"/>
      <sheetId val="2"/>
      <sheetId val="3"/>
    </sheetIdMap>
  </header>
  <header guid="{1DEC45F8-124C-492C-B959-5FF65DFAE5BB}" dateTime="2019-02-19T10:28:25" maxSheetId="4" userName="Analice" r:id="rId6">
    <sheetIdMap count="3">
      <sheetId val="1"/>
      <sheetId val="2"/>
      <sheetId val="3"/>
    </sheetIdMap>
  </header>
  <header guid="{8F1F0499-CF90-47A1-83B5-FBEC27380DBC}" dateTime="2019-02-19T10:29:21" maxSheetId="4" userName="Analice" r:id="rId7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1" sId="2" odxf="1" dxf="1" numFmtId="22">
    <nc r="B3">
      <v>43101</v>
    </nc>
    <odxf>
      <numFmt numFmtId="0" formatCode="General"/>
    </odxf>
    <ndxf>
      <numFmt numFmtId="22" formatCode="mmm/yy"/>
    </ndxf>
  </rcc>
  <rcc rId="902" sId="2" odxf="1" dxf="1" numFmtId="22">
    <nc r="C3">
      <v>43132</v>
    </nc>
    <odxf>
      <numFmt numFmtId="0" formatCode="General"/>
    </odxf>
    <ndxf>
      <numFmt numFmtId="22" formatCode="mmm/yy"/>
    </ndxf>
  </rcc>
  <rcc rId="903" sId="2" odxf="1" dxf="1" numFmtId="22">
    <nc r="D3">
      <v>43160</v>
    </nc>
    <odxf>
      <numFmt numFmtId="0" formatCode="General"/>
    </odxf>
    <ndxf>
      <numFmt numFmtId="22" formatCode="mmm/yy"/>
    </ndxf>
  </rcc>
  <rcc rId="904" sId="2" odxf="1" dxf="1" numFmtId="22">
    <nc r="E3">
      <v>43191</v>
    </nc>
    <odxf>
      <numFmt numFmtId="0" formatCode="General"/>
    </odxf>
    <ndxf>
      <numFmt numFmtId="22" formatCode="mmm/yy"/>
    </ndxf>
  </rcc>
  <rcc rId="905" sId="2" odxf="1" dxf="1" numFmtId="22">
    <nc r="F3">
      <v>43221</v>
    </nc>
    <odxf>
      <numFmt numFmtId="0" formatCode="General"/>
    </odxf>
    <ndxf>
      <numFmt numFmtId="22" formatCode="mmm/yy"/>
    </ndxf>
  </rcc>
  <rcc rId="906" sId="2" odxf="1" dxf="1" numFmtId="22">
    <nc r="G3">
      <v>43252</v>
    </nc>
    <odxf>
      <numFmt numFmtId="0" formatCode="General"/>
    </odxf>
    <ndxf>
      <numFmt numFmtId="22" formatCode="mmm/yy"/>
    </ndxf>
  </rcc>
  <rcc rId="907" sId="2" odxf="1" dxf="1" numFmtId="22">
    <nc r="H3">
      <v>43282</v>
    </nc>
    <odxf>
      <numFmt numFmtId="0" formatCode="General"/>
    </odxf>
    <ndxf>
      <numFmt numFmtId="22" formatCode="mmm/yy"/>
    </ndxf>
  </rcc>
  <rcc rId="908" sId="2" odxf="1" dxf="1" numFmtId="22">
    <nc r="I3">
      <v>43313</v>
    </nc>
    <odxf>
      <numFmt numFmtId="0" formatCode="General"/>
    </odxf>
    <ndxf>
      <numFmt numFmtId="22" formatCode="mmm/yy"/>
    </ndxf>
  </rcc>
  <rcc rId="909" sId="2" odxf="1" dxf="1" numFmtId="22">
    <nc r="J3">
      <v>43344</v>
    </nc>
    <odxf>
      <numFmt numFmtId="0" formatCode="General"/>
    </odxf>
    <ndxf>
      <numFmt numFmtId="22" formatCode="mmm/yy"/>
    </ndxf>
  </rcc>
  <rcc rId="910" sId="2" odxf="1" dxf="1" numFmtId="22">
    <nc r="K3">
      <v>43374</v>
    </nc>
    <odxf>
      <numFmt numFmtId="0" formatCode="General"/>
    </odxf>
    <ndxf>
      <numFmt numFmtId="22" formatCode="mmm/yy"/>
    </ndxf>
  </rcc>
  <rcc rId="911" sId="2" odxf="1" dxf="1" numFmtId="22">
    <nc r="L3">
      <v>43405</v>
    </nc>
    <odxf>
      <numFmt numFmtId="0" formatCode="General"/>
    </odxf>
    <ndxf>
      <numFmt numFmtId="22" formatCode="mmm/yy"/>
    </ndxf>
  </rcc>
  <rcc rId="912" sId="2" odxf="1" dxf="1" numFmtId="22">
    <nc r="M3">
      <v>43435</v>
    </nc>
    <odxf>
      <numFmt numFmtId="0" formatCode="General"/>
    </odxf>
    <ndxf>
      <numFmt numFmtId="22" formatCode="mmm/yy"/>
    </ndxf>
  </rcc>
  <rrc rId="913" sId="2" eol="1" ref="A4:XFD4" action="insertRow"/>
  <rcc rId="914" sId="2">
    <nc r="A4" t="inlineStr">
      <is>
        <t>folha</t>
      </is>
    </nc>
  </rcc>
  <rrc rId="915" sId="2" eol="1" ref="A5:XFD5" action="insertRow"/>
  <rcc rId="916" sId="2">
    <nc r="A5" t="inlineStr">
      <is>
        <t>rbt</t>
      </is>
    </nc>
  </rcc>
  <rcc rId="917" sId="2">
    <nc r="B4">
      <v>5597.4</v>
    </nc>
  </rcc>
  <rcc rId="918" sId="2">
    <nc r="C4">
      <v>8891.2099999999991</v>
    </nc>
  </rcc>
  <rcc rId="919" sId="2">
    <nc r="D4">
      <v>4139.3999999999996</v>
    </nc>
  </rcc>
  <rcc rId="920" sId="2">
    <nc r="E4">
      <v>4068.69</v>
    </nc>
  </rcc>
  <rcc rId="921" sId="2">
    <nc r="F4">
      <v>5462.02</v>
    </nc>
  </rcc>
  <rcc rId="922" sId="2">
    <nc r="G4">
      <v>8856.8799999999992</v>
    </nc>
  </rcc>
  <rcc rId="923" sId="2">
    <nc r="H4">
      <v>9856.8799999999992</v>
    </nc>
  </rcc>
  <rcc rId="924" sId="2">
    <nc r="I4">
      <v>2433.84</v>
    </nc>
  </rcc>
  <rcc rId="925" sId="2">
    <nc r="J4">
      <v>9353.23</v>
    </nc>
  </rcc>
  <rcc rId="926" sId="2">
    <nc r="K4">
      <v>14882.05</v>
    </nc>
  </rcc>
  <rcc rId="927" sId="2">
    <nc r="L4">
      <v>16321.25</v>
    </nc>
  </rcc>
  <rcc rId="928" sId="2">
    <nc r="M4">
      <v>17926.98</v>
    </nc>
  </rcc>
  <rcc rId="929" sId="2">
    <nc r="B5">
      <v>23768.07</v>
    </nc>
  </rcc>
  <rcc rId="930" sId="2">
    <nc r="C5">
      <v>24135.4</v>
    </nc>
  </rcc>
  <rcc rId="931" sId="2">
    <nc r="D5">
      <v>19901.32</v>
    </nc>
  </rcc>
  <rcc rId="932" sId="2">
    <nc r="E5">
      <v>23648.27</v>
    </nc>
  </rcc>
  <rcc rId="933" sId="2">
    <nc r="F5">
      <v>21710.400000000001</v>
    </nc>
  </rcc>
  <rcc rId="934" sId="2">
    <nc r="G5">
      <v>20723</v>
    </nc>
  </rcc>
  <rcc rId="935" sId="2">
    <nc r="H5">
      <v>23819.88</v>
    </nc>
  </rcc>
  <rcc rId="936" sId="2">
    <nc r="I5">
      <v>26008.21</v>
    </nc>
  </rcc>
  <rcc rId="937" sId="2">
    <nc r="J5">
      <v>29456.95</v>
    </nc>
  </rcc>
  <rcc rId="938" sId="2">
    <nc r="K5">
      <v>23718.02</v>
    </nc>
  </rcc>
  <rcc rId="939" sId="2">
    <nc r="L5">
      <v>38171.54</v>
    </nc>
  </rcc>
  <rcc rId="940" sId="2">
    <nc r="M5">
      <v>35246</v>
    </nc>
  </rcc>
  <rcc rId="941" sId="2">
    <nc r="N4">
      <f>SUM(B4:M4)</f>
    </nc>
  </rcc>
  <rcc rId="942" sId="2">
    <nc r="N5">
      <f>SUM(B5:M5)</f>
    </nc>
  </rcc>
  <rfmt sheetId="2" sqref="B4:N5" start="0" length="0">
    <dxf>
      <numFmt numFmtId="178" formatCode="_-&quot;R$&quot;\ * #,##0.00_-;\-&quot;R$&quot;\ * #,##0.00_-;_-&quot;R$&quot;\ * &quot;-&quot;??_-;_-@_-"/>
    </dxf>
  </rfmt>
  <rcc rId="943" sId="2">
    <nc r="O4" t="inlineStr">
      <is>
        <t>Fator R</t>
      </is>
    </nc>
  </rcc>
  <rcc rId="944" sId="2">
    <nc r="O5">
      <f>N4/N5</f>
    </nc>
  </rcc>
  <rfmt sheetId="2" sqref="O5" start="0" length="0">
    <dxf>
      <numFmt numFmtId="13" formatCode="0%"/>
    </dxf>
  </rfmt>
  <rcc rId="945" sId="2" odxf="1" dxf="1" numFmtId="22">
    <nc r="B7">
      <v>43132</v>
    </nc>
    <odxf>
      <numFmt numFmtId="0" formatCode="General"/>
    </odxf>
    <ndxf>
      <numFmt numFmtId="22" formatCode="mmm/yy"/>
    </ndxf>
  </rcc>
  <rcc rId="946" sId="2" odxf="1" dxf="1" numFmtId="22">
    <nc r="C7">
      <v>43160</v>
    </nc>
    <odxf>
      <numFmt numFmtId="0" formatCode="General"/>
    </odxf>
    <ndxf>
      <numFmt numFmtId="22" formatCode="mmm/yy"/>
    </ndxf>
  </rcc>
  <rcc rId="947" sId="2" odxf="1" dxf="1" numFmtId="22">
    <nc r="D7">
      <v>43191</v>
    </nc>
    <odxf>
      <numFmt numFmtId="0" formatCode="General"/>
    </odxf>
    <ndxf>
      <numFmt numFmtId="22" formatCode="mmm/yy"/>
    </ndxf>
  </rcc>
  <rcc rId="948" sId="2" odxf="1" dxf="1" numFmtId="22">
    <nc r="E7">
      <v>43221</v>
    </nc>
    <odxf>
      <numFmt numFmtId="0" formatCode="General"/>
    </odxf>
    <ndxf>
      <numFmt numFmtId="22" formatCode="mmm/yy"/>
    </ndxf>
  </rcc>
  <rcc rId="949" sId="2" odxf="1" dxf="1" numFmtId="22">
    <nc r="F7">
      <v>43252</v>
    </nc>
    <odxf>
      <numFmt numFmtId="0" formatCode="General"/>
    </odxf>
    <ndxf>
      <numFmt numFmtId="22" formatCode="mmm/yy"/>
    </ndxf>
  </rcc>
  <rcc rId="950" sId="2" odxf="1" dxf="1" numFmtId="22">
    <nc r="G7">
      <v>43282</v>
    </nc>
    <odxf>
      <numFmt numFmtId="0" formatCode="General"/>
    </odxf>
    <ndxf>
      <numFmt numFmtId="22" formatCode="mmm/yy"/>
    </ndxf>
  </rcc>
  <rcc rId="951" sId="2" odxf="1" dxf="1" numFmtId="22">
    <nc r="H7">
      <v>43313</v>
    </nc>
    <odxf>
      <numFmt numFmtId="0" formatCode="General"/>
    </odxf>
    <ndxf>
      <numFmt numFmtId="22" formatCode="mmm/yy"/>
    </ndxf>
  </rcc>
  <rcc rId="952" sId="2" odxf="1" dxf="1" numFmtId="22">
    <nc r="I7">
      <v>43344</v>
    </nc>
    <odxf>
      <numFmt numFmtId="0" formatCode="General"/>
    </odxf>
    <ndxf>
      <numFmt numFmtId="22" formatCode="mmm/yy"/>
    </ndxf>
  </rcc>
  <rcc rId="953" sId="2" odxf="1" dxf="1" numFmtId="22">
    <nc r="J7">
      <v>43374</v>
    </nc>
    <odxf>
      <numFmt numFmtId="0" formatCode="General"/>
    </odxf>
    <ndxf>
      <numFmt numFmtId="22" formatCode="mmm/yy"/>
    </ndxf>
  </rcc>
  <rcc rId="954" sId="2" odxf="1" dxf="1" numFmtId="22">
    <nc r="K7">
      <v>43405</v>
    </nc>
    <odxf>
      <numFmt numFmtId="0" formatCode="General"/>
    </odxf>
    <ndxf>
      <numFmt numFmtId="22" formatCode="mmm/yy"/>
    </ndxf>
  </rcc>
  <rcc rId="955" sId="2" odxf="1" dxf="1" numFmtId="22">
    <nc r="L7">
      <v>43435</v>
    </nc>
    <odxf>
      <numFmt numFmtId="0" formatCode="General"/>
    </odxf>
    <ndxf>
      <numFmt numFmtId="22" formatCode="mmm/yy"/>
    </ndxf>
  </rcc>
  <rcc rId="956" sId="2" odxf="1" dxf="1" numFmtId="34">
    <nc r="B8">
      <v>8891.2099999999991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57" sId="2" odxf="1" dxf="1" numFmtId="34">
    <nc r="C8">
      <v>4139.3999999999996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58" sId="2" odxf="1" dxf="1" numFmtId="34">
    <nc r="D8">
      <v>4068.69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59" sId="2" odxf="1" dxf="1" numFmtId="34">
    <nc r="E8">
      <v>5462.02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60" sId="2" odxf="1" dxf="1" numFmtId="34">
    <nc r="F8">
      <v>8856.8799999999992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61" sId="2" odxf="1" dxf="1" numFmtId="34">
    <nc r="G8">
      <v>9856.8799999999992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62" sId="2" odxf="1" dxf="1" numFmtId="34">
    <nc r="H8">
      <v>2433.84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63" sId="2" odxf="1" dxf="1" numFmtId="34">
    <nc r="I8">
      <v>9353.23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64" sId="2" odxf="1" dxf="1" numFmtId="34">
    <nc r="J8">
      <v>14882.05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65" sId="2" odxf="1" dxf="1" numFmtId="34">
    <nc r="K8">
      <v>16321.25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66" sId="2" odxf="1" dxf="1" numFmtId="34">
    <nc r="L8">
      <v>17926.98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67" sId="2" odxf="1" dxf="1" numFmtId="34">
    <nc r="B9">
      <v>24135.4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68" sId="2" odxf="1" dxf="1" numFmtId="34">
    <nc r="C9">
      <v>19901.32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69" sId="2" odxf="1" dxf="1" numFmtId="34">
    <nc r="D9">
      <v>23648.27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70" sId="2" odxf="1" dxf="1" numFmtId="34">
    <nc r="E9">
      <v>21710.400000000001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71" sId="2" odxf="1" dxf="1" numFmtId="34">
    <nc r="F9">
      <v>20723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72" sId="2" odxf="1" dxf="1" numFmtId="34">
    <nc r="G9">
      <v>23819.88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73" sId="2" odxf="1" dxf="1" numFmtId="34">
    <nc r="H9">
      <v>26008.21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74" sId="2" odxf="1" dxf="1" numFmtId="34">
    <nc r="I9">
      <v>29456.95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75" sId="2" odxf="1" dxf="1" numFmtId="34">
    <nc r="J9">
      <v>23718.02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76" sId="2" odxf="1" dxf="1" numFmtId="34">
    <nc r="K9">
      <v>38171.54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77" sId="2" odxf="1" dxf="1" numFmtId="34">
    <nc r="L9">
      <v>35246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78" sId="2" odxf="1" dxf="1" numFmtId="22">
    <nc r="M7">
      <v>43466</v>
    </nc>
    <odxf>
      <numFmt numFmtId="0" formatCode="General"/>
    </odxf>
    <ndxf>
      <numFmt numFmtId="22" formatCode="mmm/yy"/>
    </ndxf>
  </rcc>
  <rcc rId="979" sId="2">
    <nc r="M8">
      <v>3259.6</v>
    </nc>
  </rcc>
  <rfmt sheetId="2" sqref="M8" start="0" length="0">
    <dxf>
      <numFmt numFmtId="178" formatCode="_-&quot;R$&quot;\ * #,##0.00_-;\-&quot;R$&quot;\ * #,##0.00_-;_-&quot;R$&quot;\ * &quot;-&quot;??_-;_-@_-"/>
    </dxf>
  </rfmt>
  <rcc rId="980" sId="2" odxf="1" dxf="1">
    <nc r="N8">
      <f>SUM(B8:M8)</f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81" sId="2" odxf="1" dxf="1">
    <nc r="N9">
      <f>SUM(B9:M9)</f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82" sId="2">
    <nc r="O8" t="inlineStr">
      <is>
        <t>Fator r</t>
      </is>
    </nc>
  </rcc>
  <rcc rId="983" sId="2">
    <nc r="O9">
      <f>N8/N9</f>
    </nc>
  </rcc>
  <rfmt sheetId="2" sqref="M9" start="0" length="0">
    <dxf>
      <numFmt numFmtId="178" formatCode="_-&quot;R$&quot;\ * #,##0.00_-;\-&quot;R$&quot;\ * #,##0.00_-;_-&quot;R$&quot;\ * &quot;-&quot;??_-;_-@_-"/>
    </dxf>
  </rfmt>
  <rcc rId="984" sId="2" numFmtId="34">
    <nc r="M9">
      <v>38171.54</v>
    </nc>
  </rcc>
  <rcc rId="985" sId="2" odxf="1" dxf="1" numFmtId="22">
    <nc r="B11">
      <v>43160</v>
    </nc>
    <odxf>
      <numFmt numFmtId="0" formatCode="General"/>
    </odxf>
    <ndxf>
      <numFmt numFmtId="22" formatCode="mmm/yy"/>
    </ndxf>
  </rcc>
  <rcc rId="986" sId="2" odxf="1" dxf="1" numFmtId="22">
    <nc r="C11">
      <v>43191</v>
    </nc>
    <odxf>
      <numFmt numFmtId="0" formatCode="General"/>
    </odxf>
    <ndxf>
      <numFmt numFmtId="22" formatCode="mmm/yy"/>
    </ndxf>
  </rcc>
  <rcc rId="987" sId="2" odxf="1" dxf="1" numFmtId="22">
    <nc r="D11">
      <v>43221</v>
    </nc>
    <odxf>
      <numFmt numFmtId="0" formatCode="General"/>
    </odxf>
    <ndxf>
      <numFmt numFmtId="22" formatCode="mmm/yy"/>
    </ndxf>
  </rcc>
  <rcc rId="988" sId="2" odxf="1" dxf="1" numFmtId="22">
    <nc r="E11">
      <v>43252</v>
    </nc>
    <odxf>
      <numFmt numFmtId="0" formatCode="General"/>
    </odxf>
    <ndxf>
      <numFmt numFmtId="22" formatCode="mmm/yy"/>
    </ndxf>
  </rcc>
  <rcc rId="989" sId="2" odxf="1" dxf="1" numFmtId="22">
    <nc r="F11">
      <v>43282</v>
    </nc>
    <odxf>
      <numFmt numFmtId="0" formatCode="General"/>
    </odxf>
    <ndxf>
      <numFmt numFmtId="22" formatCode="mmm/yy"/>
    </ndxf>
  </rcc>
  <rcc rId="990" sId="2" odxf="1" dxf="1" numFmtId="22">
    <nc r="G11">
      <v>43313</v>
    </nc>
    <odxf>
      <numFmt numFmtId="0" formatCode="General"/>
    </odxf>
    <ndxf>
      <numFmt numFmtId="22" formatCode="mmm/yy"/>
    </ndxf>
  </rcc>
  <rcc rId="991" sId="2" odxf="1" dxf="1" numFmtId="22">
    <nc r="H11">
      <v>43344</v>
    </nc>
    <odxf>
      <numFmt numFmtId="0" formatCode="General"/>
    </odxf>
    <ndxf>
      <numFmt numFmtId="22" formatCode="mmm/yy"/>
    </ndxf>
  </rcc>
  <rcc rId="992" sId="2" odxf="1" dxf="1" numFmtId="22">
    <nc r="I11">
      <v>43374</v>
    </nc>
    <odxf>
      <numFmt numFmtId="0" formatCode="General"/>
    </odxf>
    <ndxf>
      <numFmt numFmtId="22" formatCode="mmm/yy"/>
    </ndxf>
  </rcc>
  <rcc rId="993" sId="2" odxf="1" dxf="1" numFmtId="22">
    <nc r="J11">
      <v>43405</v>
    </nc>
    <odxf>
      <numFmt numFmtId="0" formatCode="General"/>
    </odxf>
    <ndxf>
      <numFmt numFmtId="22" formatCode="mmm/yy"/>
    </ndxf>
  </rcc>
  <rcc rId="994" sId="2" odxf="1" dxf="1" numFmtId="22">
    <nc r="K11">
      <v>43435</v>
    </nc>
    <odxf>
      <numFmt numFmtId="0" formatCode="General"/>
    </odxf>
    <ndxf>
      <numFmt numFmtId="22" formatCode="mmm/yy"/>
    </ndxf>
  </rcc>
  <rcc rId="995" sId="2" odxf="1" dxf="1" numFmtId="22">
    <nc r="L11">
      <v>43466</v>
    </nc>
    <odxf>
      <numFmt numFmtId="0" formatCode="General"/>
    </odxf>
    <ndxf>
      <numFmt numFmtId="22" formatCode="mmm/yy"/>
    </ndxf>
  </rcc>
  <rcc rId="996" sId="2" odxf="1" dxf="1" numFmtId="34">
    <nc r="B12">
      <v>4139.3999999999996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97" sId="2" odxf="1" dxf="1" numFmtId="34">
    <nc r="C12">
      <v>4068.69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98" sId="2" odxf="1" dxf="1" numFmtId="34">
    <nc r="D12">
      <v>5462.02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999" sId="2" odxf="1" dxf="1" numFmtId="34">
    <nc r="E12">
      <v>8856.8799999999992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00" sId="2" odxf="1" dxf="1" numFmtId="34">
    <nc r="F12">
      <v>9856.8799999999992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01" sId="2" odxf="1" dxf="1" numFmtId="34">
    <nc r="G12">
      <v>2433.84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02" sId="2" odxf="1" dxf="1" numFmtId="34">
    <nc r="H12">
      <v>9353.23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03" sId="2" odxf="1" dxf="1" numFmtId="34">
    <nc r="I12">
      <v>14882.05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04" sId="2" odxf="1" dxf="1" numFmtId="34">
    <nc r="J12">
      <v>16321.25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05" sId="2" odxf="1" dxf="1" numFmtId="34">
    <nc r="K12">
      <v>17926.98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06" sId="2" odxf="1" dxf="1" numFmtId="34">
    <nc r="L12">
      <v>3259.6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07" sId="2" odxf="1" dxf="1" numFmtId="34">
    <nc r="B13">
      <v>19901.32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08" sId="2" odxf="1" dxf="1" numFmtId="34">
    <nc r="C13">
      <v>23648.27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09" sId="2" odxf="1" dxf="1" numFmtId="34">
    <nc r="D13">
      <v>21710.400000000001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10" sId="2" odxf="1" dxf="1" numFmtId="34">
    <nc r="E13">
      <v>20723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11" sId="2" odxf="1" dxf="1" numFmtId="34">
    <nc r="F13">
      <v>23819.88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12" sId="2" odxf="1" dxf="1" numFmtId="34">
    <nc r="G13">
      <v>26008.21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13" sId="2" odxf="1" dxf="1" numFmtId="34">
    <nc r="H13">
      <v>29456.95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14" sId="2" odxf="1" dxf="1" numFmtId="34">
    <nc r="I13">
      <v>23718.02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15" sId="2" odxf="1" dxf="1" numFmtId="34">
    <nc r="J13">
      <v>38171.54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16" sId="2" odxf="1" dxf="1" numFmtId="34">
    <nc r="K13">
      <v>35246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17" sId="2" odxf="1" dxf="1" numFmtId="34">
    <nc r="L13">
      <v>38171.54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18" sId="2" odxf="1" dxf="1" numFmtId="22">
    <nc r="M11">
      <v>43497</v>
    </nc>
    <odxf>
      <numFmt numFmtId="0" formatCode="General"/>
    </odxf>
    <ndxf>
      <numFmt numFmtId="22" formatCode="mmm/yy"/>
    </ndxf>
  </rcc>
  <rcc rId="1019" sId="2">
    <nc r="M12">
      <v>3259.6</v>
    </nc>
  </rcc>
  <rfmt sheetId="2" sqref="M12" start="0" length="0">
    <dxf>
      <numFmt numFmtId="178" formatCode="_-&quot;R$&quot;\ * #,##0.00_-;\-&quot;R$&quot;\ * #,##0.00_-;_-&quot;R$&quot;\ * &quot;-&quot;??_-;_-@_-"/>
    </dxf>
  </rfmt>
  <rcc rId="1020" sId="2">
    <nc r="M13">
      <v>38171.54</v>
    </nc>
  </rcc>
  <rfmt sheetId="2" sqref="M13" start="0" length="0">
    <dxf>
      <numFmt numFmtId="178" formatCode="_-&quot;R$&quot;\ * #,##0.00_-;\-&quot;R$&quot;\ * #,##0.00_-;_-&quot;R$&quot;\ * &quot;-&quot;??_-;_-@_-"/>
    </dxf>
  </rfmt>
  <rcc rId="1021" sId="2" odxf="1" dxf="1">
    <nc r="N12">
      <f>SUM(B12:M12)</f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22" sId="2" odxf="1" dxf="1">
    <nc r="N13">
      <f>SUM(B13:M13)</f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23" sId="2">
    <nc r="O12" t="inlineStr">
      <is>
        <t>fator R</t>
      </is>
    </nc>
  </rcc>
  <rcc rId="1024" sId="2">
    <nc r="O13">
      <f>N12/N13</f>
    </nc>
  </rcc>
  <rfmt sheetId="2" sqref="N7" start="0" length="0">
    <dxf>
      <numFmt numFmtId="22" formatCode="mmm/yy"/>
    </dxf>
  </rfmt>
  <rcc rId="1025" sId="2">
    <nc r="A7" t="inlineStr">
      <is>
        <t>folha</t>
      </is>
    </nc>
  </rcc>
  <rcc rId="1026" sId="2">
    <nc r="A8" t="inlineStr">
      <is>
        <t>rbt</t>
      </is>
    </nc>
  </rcc>
  <rcc rId="1027" sId="2">
    <nc r="A12" t="inlineStr">
      <is>
        <t>folha</t>
      </is>
    </nc>
  </rcc>
  <rcc rId="1028" sId="2">
    <nc r="A13" t="inlineStr">
      <is>
        <t>rbt</t>
      </is>
    </nc>
  </rcc>
  <rdn rId="0" localSheetId="1" customView="1" name="Z_6092A35D_646B_4696_B042_08D320802F8F_.wvu.Cols" hidden="1" oldHidden="1">
    <formula>Plan1!$B:$B</formula>
  </rdn>
  <rcv guid="{6092A35D-646B-4696-B042-08D320802F8F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0" sId="2" numFmtId="34">
    <oc r="M8">
      <v>3259.6</v>
    </oc>
    <nc r="M8">
      <v>8259.6</v>
    </nc>
  </rcc>
  <rcc rId="1031" sId="2" numFmtId="34">
    <oc r="M12">
      <v>3259.6</v>
    </oc>
    <nc r="M12">
      <v>6439.6</v>
    </nc>
  </rcc>
  <rcc rId="1032" sId="2" numFmtId="34">
    <oc r="L12">
      <v>3259.6</v>
    </oc>
    <nc r="L12">
      <v>8259.6</v>
    </nc>
  </rcc>
  <rcc rId="1033" sId="2" numFmtId="34">
    <oc r="M9">
      <v>38171.54</v>
    </oc>
    <nc r="M9">
      <v>18308.54</v>
    </nc>
  </rcc>
  <rcc rId="1034" sId="2" numFmtId="34">
    <oc r="L13">
      <v>38171.54</v>
    </oc>
    <nc r="L13">
      <v>18308.54</v>
    </nc>
  </rcc>
  <rcc rId="1035" sId="2" odxf="1" dxf="1" numFmtId="22">
    <nc r="B15">
      <v>43191</v>
    </nc>
    <odxf>
      <numFmt numFmtId="0" formatCode="General"/>
    </odxf>
    <ndxf>
      <numFmt numFmtId="22" formatCode="mmm/yy"/>
    </ndxf>
  </rcc>
  <rcc rId="1036" sId="2" odxf="1" dxf="1" numFmtId="22">
    <nc r="C15">
      <v>43221</v>
    </nc>
    <odxf>
      <numFmt numFmtId="0" formatCode="General"/>
    </odxf>
    <ndxf>
      <numFmt numFmtId="22" formatCode="mmm/yy"/>
    </ndxf>
  </rcc>
  <rcc rId="1037" sId="2" odxf="1" dxf="1" numFmtId="22">
    <nc r="D15">
      <v>43252</v>
    </nc>
    <odxf>
      <numFmt numFmtId="0" formatCode="General"/>
    </odxf>
    <ndxf>
      <numFmt numFmtId="22" formatCode="mmm/yy"/>
    </ndxf>
  </rcc>
  <rcc rId="1038" sId="2" odxf="1" dxf="1" numFmtId="22">
    <nc r="E15">
      <v>43282</v>
    </nc>
    <odxf>
      <numFmt numFmtId="0" formatCode="General"/>
    </odxf>
    <ndxf>
      <numFmt numFmtId="22" formatCode="mmm/yy"/>
    </ndxf>
  </rcc>
  <rcc rId="1039" sId="2" odxf="1" dxf="1" numFmtId="22">
    <nc r="F15">
      <v>43313</v>
    </nc>
    <odxf>
      <numFmt numFmtId="0" formatCode="General"/>
    </odxf>
    <ndxf>
      <numFmt numFmtId="22" formatCode="mmm/yy"/>
    </ndxf>
  </rcc>
  <rcc rId="1040" sId="2" odxf="1" dxf="1" numFmtId="22">
    <nc r="G15">
      <v>43344</v>
    </nc>
    <odxf>
      <numFmt numFmtId="0" formatCode="General"/>
    </odxf>
    <ndxf>
      <numFmt numFmtId="22" formatCode="mmm/yy"/>
    </ndxf>
  </rcc>
  <rcc rId="1041" sId="2" odxf="1" dxf="1" numFmtId="22">
    <nc r="H15">
      <v>43374</v>
    </nc>
    <odxf>
      <numFmt numFmtId="0" formatCode="General"/>
    </odxf>
    <ndxf>
      <numFmt numFmtId="22" formatCode="mmm/yy"/>
    </ndxf>
  </rcc>
  <rcc rId="1042" sId="2" odxf="1" dxf="1" numFmtId="22">
    <nc r="I15">
      <v>43405</v>
    </nc>
    <odxf>
      <numFmt numFmtId="0" formatCode="General"/>
    </odxf>
    <ndxf>
      <numFmt numFmtId="22" formatCode="mmm/yy"/>
    </ndxf>
  </rcc>
  <rcc rId="1043" sId="2" odxf="1" dxf="1" numFmtId="22">
    <nc r="J15">
      <v>43435</v>
    </nc>
    <odxf>
      <numFmt numFmtId="0" formatCode="General"/>
    </odxf>
    <ndxf>
      <numFmt numFmtId="22" formatCode="mmm/yy"/>
    </ndxf>
  </rcc>
  <rcc rId="1044" sId="2" odxf="1" dxf="1" numFmtId="22">
    <nc r="K15">
      <v>43466</v>
    </nc>
    <odxf>
      <numFmt numFmtId="0" formatCode="General"/>
    </odxf>
    <ndxf>
      <numFmt numFmtId="22" formatCode="mmm/yy"/>
    </ndxf>
  </rcc>
  <rcc rId="1045" sId="2" odxf="1" dxf="1" numFmtId="22">
    <nc r="L15">
      <v>43497</v>
    </nc>
    <odxf>
      <numFmt numFmtId="0" formatCode="General"/>
    </odxf>
    <ndxf>
      <numFmt numFmtId="22" formatCode="mmm/yy"/>
    </ndxf>
  </rcc>
  <rcc rId="1046" sId="2" odxf="1" dxf="1" numFmtId="34">
    <nc r="B16">
      <v>4068.69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47" sId="2" odxf="1" dxf="1" numFmtId="34">
    <nc r="C16">
      <v>5462.02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48" sId="2" odxf="1" dxf="1" numFmtId="34">
    <nc r="D16">
      <v>8856.8799999999992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49" sId="2" odxf="1" dxf="1" numFmtId="34">
    <nc r="E16">
      <v>9856.8799999999992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50" sId="2" odxf="1" dxf="1" numFmtId="34">
    <nc r="F16">
      <v>2433.84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51" sId="2" odxf="1" dxf="1" numFmtId="34">
    <nc r="G16">
      <v>9353.23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52" sId="2" odxf="1" dxf="1" numFmtId="34">
    <nc r="H16">
      <v>14882.05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53" sId="2" odxf="1" dxf="1" numFmtId="34">
    <nc r="I16">
      <v>16321.25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54" sId="2" odxf="1" dxf="1" numFmtId="34">
    <nc r="J16">
      <v>17926.98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55" sId="2" odxf="1" dxf="1" numFmtId="34">
    <nc r="K16">
      <v>8259.6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56" sId="2" odxf="1" dxf="1" numFmtId="34">
    <nc r="L16">
      <v>6439.6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57" sId="2" odxf="1" dxf="1" numFmtId="34">
    <nc r="B17">
      <v>23648.27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58" sId="2" odxf="1" dxf="1" numFmtId="34">
    <nc r="C17">
      <v>21710.400000000001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59" sId="2" odxf="1" dxf="1" numFmtId="34">
    <nc r="D17">
      <v>20723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60" sId="2" odxf="1" dxf="1" numFmtId="34">
    <nc r="E17">
      <v>23819.88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61" sId="2" odxf="1" dxf="1" numFmtId="34">
    <nc r="F17">
      <v>26008.21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62" sId="2" odxf="1" dxf="1" numFmtId="34">
    <nc r="G17">
      <v>29456.95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63" sId="2" odxf="1" dxf="1" numFmtId="34">
    <nc r="H17">
      <v>23718.02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64" sId="2" odxf="1" dxf="1" numFmtId="34">
    <nc r="I17">
      <v>38171.54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65" sId="2" odxf="1" dxf="1" numFmtId="34">
    <nc r="J17">
      <v>35246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66" sId="2" odxf="1" dxf="1" numFmtId="34">
    <nc r="K17">
      <v>18308.54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67" sId="2" odxf="1" dxf="1" numFmtId="34">
    <nc r="L17">
      <v>38171.54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68" sId="2" odxf="1" dxf="1" numFmtId="22">
    <nc r="B19">
      <v>43221</v>
    </nc>
    <odxf>
      <numFmt numFmtId="0" formatCode="General"/>
    </odxf>
    <ndxf>
      <numFmt numFmtId="22" formatCode="mmm/yy"/>
    </ndxf>
  </rcc>
  <rcc rId="1069" sId="2" odxf="1" dxf="1" numFmtId="22">
    <nc r="C19">
      <v>43252</v>
    </nc>
    <odxf>
      <numFmt numFmtId="0" formatCode="General"/>
    </odxf>
    <ndxf>
      <numFmt numFmtId="22" formatCode="mmm/yy"/>
    </ndxf>
  </rcc>
  <rcc rId="1070" sId="2" odxf="1" dxf="1" numFmtId="22">
    <nc r="D19">
      <v>43282</v>
    </nc>
    <odxf>
      <numFmt numFmtId="0" formatCode="General"/>
    </odxf>
    <ndxf>
      <numFmt numFmtId="22" formatCode="mmm/yy"/>
    </ndxf>
  </rcc>
  <rcc rId="1071" sId="2" odxf="1" dxf="1" numFmtId="22">
    <nc r="E19">
      <v>43313</v>
    </nc>
    <odxf>
      <numFmt numFmtId="0" formatCode="General"/>
    </odxf>
    <ndxf>
      <numFmt numFmtId="22" formatCode="mmm/yy"/>
    </ndxf>
  </rcc>
  <rcc rId="1072" sId="2" odxf="1" dxf="1" numFmtId="22">
    <nc r="F19">
      <v>43344</v>
    </nc>
    <odxf>
      <numFmt numFmtId="0" formatCode="General"/>
    </odxf>
    <ndxf>
      <numFmt numFmtId="22" formatCode="mmm/yy"/>
    </ndxf>
  </rcc>
  <rcc rId="1073" sId="2" odxf="1" dxf="1" numFmtId="22">
    <nc r="G19">
      <v>43374</v>
    </nc>
    <odxf>
      <numFmt numFmtId="0" formatCode="General"/>
    </odxf>
    <ndxf>
      <numFmt numFmtId="22" formatCode="mmm/yy"/>
    </ndxf>
  </rcc>
  <rcc rId="1074" sId="2" odxf="1" dxf="1" numFmtId="22">
    <nc r="H19">
      <v>43405</v>
    </nc>
    <odxf>
      <numFmt numFmtId="0" formatCode="General"/>
    </odxf>
    <ndxf>
      <numFmt numFmtId="22" formatCode="mmm/yy"/>
    </ndxf>
  </rcc>
  <rcc rId="1075" sId="2" odxf="1" dxf="1" numFmtId="22">
    <nc r="I19">
      <v>43435</v>
    </nc>
    <odxf>
      <numFmt numFmtId="0" formatCode="General"/>
    </odxf>
    <ndxf>
      <numFmt numFmtId="22" formatCode="mmm/yy"/>
    </ndxf>
  </rcc>
  <rcc rId="1076" sId="2" odxf="1" dxf="1" numFmtId="22">
    <nc r="J19">
      <v>43466</v>
    </nc>
    <odxf>
      <numFmt numFmtId="0" formatCode="General"/>
    </odxf>
    <ndxf>
      <numFmt numFmtId="22" formatCode="mmm/yy"/>
    </ndxf>
  </rcc>
  <rcc rId="1077" sId="2" odxf="1" dxf="1" numFmtId="22">
    <nc r="K19">
      <v>43497</v>
    </nc>
    <odxf>
      <numFmt numFmtId="0" formatCode="General"/>
    </odxf>
    <ndxf>
      <numFmt numFmtId="22" formatCode="mmm/yy"/>
    </ndxf>
  </rcc>
  <rcc rId="1078" sId="2" odxf="1" dxf="1" numFmtId="34">
    <nc r="B20">
      <v>5462.02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79" sId="2" odxf="1" dxf="1" numFmtId="34">
    <nc r="C20">
      <v>8856.8799999999992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80" sId="2" odxf="1" dxf="1" numFmtId="34">
    <nc r="D20">
      <v>9856.8799999999992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81" sId="2" odxf="1" dxf="1" numFmtId="34">
    <nc r="E20">
      <v>2433.84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82" sId="2" odxf="1" dxf="1" numFmtId="34">
    <nc r="F20">
      <v>9353.23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83" sId="2" odxf="1" dxf="1" numFmtId="34">
    <nc r="G20">
      <v>14882.05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84" sId="2" odxf="1" dxf="1" numFmtId="34">
    <nc r="H20">
      <v>16321.25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85" sId="2" odxf="1" dxf="1" numFmtId="34">
    <nc r="I20">
      <v>17926.98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86" sId="2" odxf="1" dxf="1" numFmtId="34">
    <nc r="J20">
      <v>8259.6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87" sId="2" odxf="1" dxf="1" numFmtId="34">
    <nc r="K20">
      <v>6439.6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88" sId="2" odxf="1" dxf="1" numFmtId="34">
    <nc r="B21">
      <v>21710.400000000001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89" sId="2" odxf="1" dxf="1" numFmtId="34">
    <nc r="C21">
      <v>20723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90" sId="2" odxf="1" dxf="1" numFmtId="34">
    <nc r="D21">
      <v>23819.88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91" sId="2" odxf="1" dxf="1" numFmtId="34">
    <nc r="E21">
      <v>26008.21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92" sId="2" odxf="1" dxf="1" numFmtId="34">
    <nc r="F21">
      <v>29456.95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93" sId="2" odxf="1" dxf="1" numFmtId="34">
    <nc r="G21">
      <v>23718.02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94" sId="2" odxf="1" dxf="1" numFmtId="34">
    <nc r="H21">
      <v>38171.54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95" sId="2" odxf="1" dxf="1" numFmtId="34">
    <nc r="I21">
      <v>35246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96" sId="2" odxf="1" dxf="1" numFmtId="34">
    <nc r="J21">
      <v>18308.54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97" sId="2" odxf="1" dxf="1" numFmtId="34">
    <nc r="K21">
      <v>38171.54</v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098" sId="2" odxf="1" dxf="1" numFmtId="22">
    <nc r="M15">
      <v>43525</v>
    </nc>
    <odxf>
      <numFmt numFmtId="0" formatCode="General"/>
    </odxf>
    <ndxf>
      <numFmt numFmtId="22" formatCode="mmm/yy"/>
    </ndxf>
  </rcc>
  <rcc rId="1099" sId="2" odxf="1" dxf="1" numFmtId="22">
    <nc r="L19">
      <v>43525</v>
    </nc>
    <odxf>
      <numFmt numFmtId="0" formatCode="General"/>
    </odxf>
    <ndxf>
      <numFmt numFmtId="22" formatCode="mmm/yy"/>
    </ndxf>
  </rcc>
  <rcc rId="1100" sId="2" odxf="1" dxf="1" numFmtId="22">
    <nc r="M19">
      <v>43556</v>
    </nc>
    <odxf>
      <numFmt numFmtId="0" formatCode="General"/>
    </odxf>
    <ndxf>
      <numFmt numFmtId="22" formatCode="mmm/yy"/>
    </ndxf>
  </rcc>
  <rcc rId="1101" sId="2">
    <nc r="M16">
      <v>6439.6</v>
    </nc>
  </rcc>
  <rfmt sheetId="2" sqref="M16" start="0" length="0">
    <dxf>
      <numFmt numFmtId="178" formatCode="_-&quot;R$&quot;\ * #,##0.00_-;\-&quot;R$&quot;\ * #,##0.00_-;_-&quot;R$&quot;\ * &quot;-&quot;??_-;_-@_-"/>
    </dxf>
  </rfmt>
  <rcc rId="1102" sId="2" odxf="1" dxf="1">
    <nc r="N16">
      <f>SUM(B16:M16)</f>
    </nc>
    <odxf>
      <numFmt numFmtId="0" formatCode="General"/>
    </odxf>
    <ndxf>
      <numFmt numFmtId="178" formatCode="_-&quot;R$&quot;\ * #,##0.00_-;\-&quot;R$&quot;\ * #,##0.00_-;_-&quot;R$&quot;\ * &quot;-&quot;??_-;_-@_-"/>
    </ndxf>
  </rcc>
  <rcc rId="1103" sId="2">
    <nc r="M17">
      <v>38171.54</v>
    </nc>
  </rcc>
  <rfmt sheetId="2" sqref="M17" start="0" length="0">
    <dxf>
      <numFmt numFmtId="178" formatCode="_-&quot;R$&quot;\ * #,##0.00_-;\-&quot;R$&quot;\ * #,##0.00_-;_-&quot;R$&quot;\ * &quot;-&quot;??_-;_-@_-"/>
    </dxf>
  </rfmt>
  <rcc rId="1104" sId="2" odxf="1" dxf="1">
    <nc r="N17">
      <f>SUM(B17:M17)</f>
    </nc>
    <odxf>
      <numFmt numFmtId="0" formatCode="General"/>
    </odxf>
    <ndxf>
      <numFmt numFmtId="178" formatCode="_-&quot;R$&quot;\ * #,##0.00_-;\-&quot;R$&quot;\ * #,##0.00_-;_-&quot;R$&quot;\ * &quot;-&quot;??_-;_-@_-"/>
    </ndxf>
  </rcc>
  <rfmt sheetId="2" sqref="L16:M17" start="0" length="2147483647">
    <dxf>
      <font>
        <color indexed="10"/>
      </font>
    </dxf>
  </rfmt>
  <rfmt sheetId="2" sqref="M12 M13" start="0" length="2147483647">
    <dxf>
      <font>
        <color indexed="10"/>
      </font>
    </dxf>
  </rfmt>
  <rcc rId="1105" sId="2">
    <nc r="O16" t="inlineStr">
      <is>
        <t>fator r</t>
      </is>
    </nc>
  </rcc>
  <rcc rId="1106" sId="2">
    <nc r="O17">
      <f>N16/N17</f>
    </nc>
  </rcc>
  <rcc rId="1107" sId="2">
    <oc r="A7" t="inlineStr">
      <is>
        <t>folha</t>
      </is>
    </oc>
    <nc r="A7"/>
  </rcc>
  <rcc rId="1108" sId="2">
    <oc r="A8" t="inlineStr">
      <is>
        <t>rbt</t>
      </is>
    </oc>
    <nc r="A8" t="inlineStr">
      <is>
        <t>folha</t>
      </is>
    </nc>
  </rcc>
  <rcc rId="1109" sId="2">
    <nc r="A9" t="inlineStr">
      <is>
        <t>rbt</t>
      </is>
    </nc>
  </rcc>
  <rcc rId="1110" sId="2">
    <nc r="A16" t="inlineStr">
      <is>
        <t>folha</t>
      </is>
    </nc>
  </rcc>
  <rcc rId="1111" sId="2">
    <nc r="A17" t="inlineStr">
      <is>
        <t>rbt</t>
      </is>
    </nc>
  </rcc>
  <rcc rId="1112" sId="2">
    <nc r="A20" t="inlineStr">
      <is>
        <t>folha</t>
      </is>
    </nc>
  </rcc>
  <rcc rId="1113" sId="2">
    <nc r="A21" t="inlineStr">
      <is>
        <t>rbt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O9" start="0" length="0">
    <dxf>
      <numFmt numFmtId="13" formatCode="0%"/>
    </dxf>
  </rfmt>
  <rfmt sheetId="2" sqref="O13" start="0" length="0">
    <dxf>
      <numFmt numFmtId="13" formatCode="0%"/>
    </dxf>
  </rfmt>
  <rfmt sheetId="2" sqref="O17" start="0" length="0">
    <dxf>
      <numFmt numFmtId="13" formatCode="0%"/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14" sId="2" numFmtId="34">
    <oc r="M12">
      <v>6439.6</v>
    </oc>
    <nc r="M12">
      <v>8536.07</v>
    </nc>
  </rcc>
  <rcc rId="1115" sId="2" numFmtId="34">
    <oc r="M8">
      <v>8259.6</v>
    </oc>
    <nc r="M8">
      <v>9304.07</v>
    </nc>
  </rcc>
  <rcc rId="1116" sId="2" numFmtId="34">
    <oc r="L12">
      <v>8259.6</v>
    </oc>
    <nc r="L12">
      <v>9304.07</v>
    </nc>
  </rcc>
  <rcc rId="1117" sId="2" numFmtId="34">
    <oc r="K16">
      <v>8259.6</v>
    </oc>
    <nc r="K16">
      <v>9304.07</v>
    </nc>
  </rcc>
  <rcc rId="1118" sId="2" numFmtId="34">
    <oc r="J20">
      <v>8259.6</v>
    </oc>
    <nc r="J20">
      <v>9304.07</v>
    </nc>
  </rcc>
  <rcv guid="{6092A35D-646B-4696-B042-08D320802F8F}" action="delete"/>
  <rcv guid="{6092A35D-646B-4696-B042-08D320802F8F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19" sId="2">
    <nc r="F1" t="inlineStr">
      <is>
        <t>CÁLCULO FATOR "R"</t>
      </is>
    </nc>
  </rcc>
  <rfmt sheetId="2" sqref="B23" start="0" length="0">
    <dxf>
      <numFmt numFmtId="22" formatCode="mmm/yy"/>
    </dxf>
  </rfmt>
  <rfmt sheetId="2" sqref="C23" start="0" length="0">
    <dxf>
      <numFmt numFmtId="22" formatCode="mmm/yy"/>
    </dxf>
  </rfmt>
  <rfmt sheetId="2" sqref="D23" start="0" length="0">
    <dxf>
      <numFmt numFmtId="22" formatCode="mmm/yy"/>
    </dxf>
  </rfmt>
  <rfmt sheetId="2" sqref="E23" start="0" length="0">
    <dxf>
      <numFmt numFmtId="22" formatCode="mmm/yy"/>
    </dxf>
  </rfmt>
  <rfmt sheetId="2" sqref="F23" start="0" length="0">
    <dxf>
      <numFmt numFmtId="22" formatCode="mmm/yy"/>
    </dxf>
  </rfmt>
  <rfmt sheetId="2" sqref="G23" start="0" length="0">
    <dxf>
      <numFmt numFmtId="22" formatCode="mmm/yy"/>
    </dxf>
  </rfmt>
  <rfmt sheetId="2" sqref="H23" start="0" length="0">
    <dxf>
      <numFmt numFmtId="22" formatCode="mmm/yy"/>
    </dxf>
  </rfmt>
  <rfmt sheetId="2" sqref="I23" start="0" length="0">
    <dxf>
      <numFmt numFmtId="22" formatCode="mmm/yy"/>
    </dxf>
  </rfmt>
  <rfmt sheetId="2" sqref="J23" start="0" length="0">
    <dxf>
      <numFmt numFmtId="22" formatCode="mmm/yy"/>
    </dxf>
  </rfmt>
  <rfmt sheetId="2" sqref="K23" start="0" length="0">
    <dxf>
      <numFmt numFmtId="22" formatCode="mmm/yy"/>
    </dxf>
  </rfmt>
  <rfmt sheetId="2" sqref="L23" start="0" length="0">
    <dxf>
      <numFmt numFmtId="22" formatCode="mmm/yy"/>
    </dxf>
  </rfmt>
  <rfmt sheetId="2" sqref="M23" start="0" length="0">
    <dxf>
      <numFmt numFmtId="22" formatCode="mmm/yy"/>
    </dxf>
  </rfmt>
  <rcc rId="1120" sId="2">
    <nc r="A24" t="inlineStr">
      <is>
        <t>folha</t>
      </is>
    </nc>
  </rcc>
  <rfmt sheetId="2" sqref="B24" start="0" length="0">
    <dxf>
      <numFmt numFmtId="178" formatCode="_-&quot;R$&quot;\ * #,##0.00_-;\-&quot;R$&quot;\ * #,##0.00_-;_-&quot;R$&quot;\ * &quot;-&quot;??_-;_-@_-"/>
    </dxf>
  </rfmt>
  <rfmt sheetId="2" sqref="C24" start="0" length="0">
    <dxf>
      <numFmt numFmtId="178" formatCode="_-&quot;R$&quot;\ * #,##0.00_-;\-&quot;R$&quot;\ * #,##0.00_-;_-&quot;R$&quot;\ * &quot;-&quot;??_-;_-@_-"/>
    </dxf>
  </rfmt>
  <rfmt sheetId="2" sqref="D24" start="0" length="0">
    <dxf>
      <numFmt numFmtId="178" formatCode="_-&quot;R$&quot;\ * #,##0.00_-;\-&quot;R$&quot;\ * #,##0.00_-;_-&quot;R$&quot;\ * &quot;-&quot;??_-;_-@_-"/>
    </dxf>
  </rfmt>
  <rfmt sheetId="2" sqref="E24" start="0" length="0">
    <dxf>
      <numFmt numFmtId="178" formatCode="_-&quot;R$&quot;\ * #,##0.00_-;\-&quot;R$&quot;\ * #,##0.00_-;_-&quot;R$&quot;\ * &quot;-&quot;??_-;_-@_-"/>
    </dxf>
  </rfmt>
  <rfmt sheetId="2" sqref="F24" start="0" length="0">
    <dxf>
      <numFmt numFmtId="178" formatCode="_-&quot;R$&quot;\ * #,##0.00_-;\-&quot;R$&quot;\ * #,##0.00_-;_-&quot;R$&quot;\ * &quot;-&quot;??_-;_-@_-"/>
    </dxf>
  </rfmt>
  <rfmt sheetId="2" sqref="G24" start="0" length="0">
    <dxf>
      <numFmt numFmtId="178" formatCode="_-&quot;R$&quot;\ * #,##0.00_-;\-&quot;R$&quot;\ * #,##0.00_-;_-&quot;R$&quot;\ * &quot;-&quot;??_-;_-@_-"/>
    </dxf>
  </rfmt>
  <rfmt sheetId="2" sqref="H24" start="0" length="0">
    <dxf>
      <numFmt numFmtId="178" formatCode="_-&quot;R$&quot;\ * #,##0.00_-;\-&quot;R$&quot;\ * #,##0.00_-;_-&quot;R$&quot;\ * &quot;-&quot;??_-;_-@_-"/>
    </dxf>
  </rfmt>
  <rfmt sheetId="2" sqref="I24" start="0" length="0">
    <dxf>
      <numFmt numFmtId="178" formatCode="_-&quot;R$&quot;\ * #,##0.00_-;\-&quot;R$&quot;\ * #,##0.00_-;_-&quot;R$&quot;\ * &quot;-&quot;??_-;_-@_-"/>
    </dxf>
  </rfmt>
  <rfmt sheetId="2" sqref="J24" start="0" length="0">
    <dxf>
      <numFmt numFmtId="178" formatCode="_-&quot;R$&quot;\ * #,##0.00_-;\-&quot;R$&quot;\ * #,##0.00_-;_-&quot;R$&quot;\ * &quot;-&quot;??_-;_-@_-"/>
    </dxf>
  </rfmt>
  <rfmt sheetId="2" sqref="K24" start="0" length="0">
    <dxf>
      <numFmt numFmtId="178" formatCode="_-&quot;R$&quot;\ * #,##0.00_-;\-&quot;R$&quot;\ * #,##0.00_-;_-&quot;R$&quot;\ * &quot;-&quot;??_-;_-@_-"/>
    </dxf>
  </rfmt>
  <rcc rId="1121" sId="2">
    <nc r="A25" t="inlineStr">
      <is>
        <t>rbt</t>
      </is>
    </nc>
  </rcc>
  <rfmt sheetId="2" sqref="B25" start="0" length="0">
    <dxf>
      <numFmt numFmtId="178" formatCode="_-&quot;R$&quot;\ * #,##0.00_-;\-&quot;R$&quot;\ * #,##0.00_-;_-&quot;R$&quot;\ * &quot;-&quot;??_-;_-@_-"/>
    </dxf>
  </rfmt>
  <rfmt sheetId="2" sqref="C25" start="0" length="0">
    <dxf>
      <numFmt numFmtId="178" formatCode="_-&quot;R$&quot;\ * #,##0.00_-;\-&quot;R$&quot;\ * #,##0.00_-;_-&quot;R$&quot;\ * &quot;-&quot;??_-;_-@_-"/>
    </dxf>
  </rfmt>
  <rfmt sheetId="2" sqref="D25" start="0" length="0">
    <dxf>
      <numFmt numFmtId="178" formatCode="_-&quot;R$&quot;\ * #,##0.00_-;\-&quot;R$&quot;\ * #,##0.00_-;_-&quot;R$&quot;\ * &quot;-&quot;??_-;_-@_-"/>
    </dxf>
  </rfmt>
  <rfmt sheetId="2" sqref="E25" start="0" length="0">
    <dxf>
      <numFmt numFmtId="178" formatCode="_-&quot;R$&quot;\ * #,##0.00_-;\-&quot;R$&quot;\ * #,##0.00_-;_-&quot;R$&quot;\ * &quot;-&quot;??_-;_-@_-"/>
    </dxf>
  </rfmt>
  <rfmt sheetId="2" sqref="F25" start="0" length="0">
    <dxf>
      <numFmt numFmtId="178" formatCode="_-&quot;R$&quot;\ * #,##0.00_-;\-&quot;R$&quot;\ * #,##0.00_-;_-&quot;R$&quot;\ * &quot;-&quot;??_-;_-@_-"/>
    </dxf>
  </rfmt>
  <rfmt sheetId="2" sqref="G25" start="0" length="0">
    <dxf>
      <numFmt numFmtId="178" formatCode="_-&quot;R$&quot;\ * #,##0.00_-;\-&quot;R$&quot;\ * #,##0.00_-;_-&quot;R$&quot;\ * &quot;-&quot;??_-;_-@_-"/>
    </dxf>
  </rfmt>
  <rfmt sheetId="2" sqref="H25" start="0" length="0">
    <dxf>
      <numFmt numFmtId="178" formatCode="_-&quot;R$&quot;\ * #,##0.00_-;\-&quot;R$&quot;\ * #,##0.00_-;_-&quot;R$&quot;\ * &quot;-&quot;??_-;_-@_-"/>
    </dxf>
  </rfmt>
  <rfmt sheetId="2" sqref="I25" start="0" length="0">
    <dxf>
      <numFmt numFmtId="178" formatCode="_-&quot;R$&quot;\ * #,##0.00_-;\-&quot;R$&quot;\ * #,##0.00_-;_-&quot;R$&quot;\ * &quot;-&quot;??_-;_-@_-"/>
    </dxf>
  </rfmt>
  <rfmt sheetId="2" sqref="J25" start="0" length="0">
    <dxf>
      <numFmt numFmtId="178" formatCode="_-&quot;R$&quot;\ * #,##0.00_-;\-&quot;R$&quot;\ * #,##0.00_-;_-&quot;R$&quot;\ * &quot;-&quot;??_-;_-@_-"/>
    </dxf>
  </rfmt>
  <rfmt sheetId="2" sqref="K25" start="0" length="0">
    <dxf>
      <numFmt numFmtId="178" formatCode="_-&quot;R$&quot;\ * #,##0.00_-;\-&quot;R$&quot;\ * #,##0.00_-;_-&quot;R$&quot;\ * &quot;-&quot;??_-;_-@_-"/>
    </dxf>
  </rfmt>
  <rcc rId="1122" sId="2" numFmtId="22">
    <nc r="B23">
      <v>43252</v>
    </nc>
  </rcc>
  <rcc rId="1123" sId="2" numFmtId="22">
    <nc r="C23">
      <v>43282</v>
    </nc>
  </rcc>
  <rcc rId="1124" sId="2" numFmtId="22">
    <nc r="D23">
      <v>43313</v>
    </nc>
  </rcc>
  <rcc rId="1125" sId="2" numFmtId="22">
    <nc r="E23">
      <v>43344</v>
    </nc>
  </rcc>
  <rcc rId="1126" sId="2" numFmtId="22">
    <nc r="F23">
      <v>43374</v>
    </nc>
  </rcc>
  <rcc rId="1127" sId="2" numFmtId="22">
    <nc r="G23">
      <v>43405</v>
    </nc>
  </rcc>
  <rcc rId="1128" sId="2" numFmtId="22">
    <nc r="H23">
      <v>43435</v>
    </nc>
  </rcc>
  <rcc rId="1129" sId="2" numFmtId="22">
    <nc r="I23">
      <v>43466</v>
    </nc>
  </rcc>
  <rcc rId="1130" sId="2" numFmtId="22">
    <nc r="J23">
      <v>43497</v>
    </nc>
  </rcc>
  <rcc rId="1131" sId="2" numFmtId="22">
    <nc r="K23">
      <v>43525</v>
    </nc>
  </rcc>
  <rcc rId="1132" sId="2" numFmtId="22">
    <nc r="L23">
      <v>43556</v>
    </nc>
  </rcc>
  <rcc rId="1133" sId="2" numFmtId="34">
    <nc r="B24">
      <v>8856.8799999999992</v>
    </nc>
  </rcc>
  <rcc rId="1134" sId="2" numFmtId="34">
    <nc r="C24">
      <v>9856.8799999999992</v>
    </nc>
  </rcc>
  <rcc rId="1135" sId="2" numFmtId="34">
    <nc r="D24">
      <v>2433.84</v>
    </nc>
  </rcc>
  <rcc rId="1136" sId="2" numFmtId="34">
    <nc r="E24">
      <v>9353.23</v>
    </nc>
  </rcc>
  <rcc rId="1137" sId="2" numFmtId="34">
    <nc r="F24">
      <v>14882.05</v>
    </nc>
  </rcc>
  <rcc rId="1138" sId="2" numFmtId="34">
    <nc r="G24">
      <v>16321.25</v>
    </nc>
  </rcc>
  <rcc rId="1139" sId="2" numFmtId="34">
    <nc r="H24">
      <v>17926.98</v>
    </nc>
  </rcc>
  <rcc rId="1140" sId="2" numFmtId="34">
    <nc r="I24">
      <v>9304.07</v>
    </nc>
  </rcc>
  <rfmt sheetId="2" sqref="K24" start="0" length="0">
    <dxf>
      <numFmt numFmtId="0" formatCode="General"/>
    </dxf>
  </rfmt>
  <rcc rId="1141" sId="2" numFmtId="34">
    <nc r="B25">
      <v>20723</v>
    </nc>
  </rcc>
  <rcc rId="1142" sId="2" numFmtId="34">
    <nc r="C25">
      <v>23819.88</v>
    </nc>
  </rcc>
  <rcc rId="1143" sId="2" numFmtId="34">
    <nc r="D25">
      <v>26008.21</v>
    </nc>
  </rcc>
  <rcc rId="1144" sId="2" numFmtId="34">
    <nc r="E25">
      <v>29456.95</v>
    </nc>
  </rcc>
  <rcc rId="1145" sId="2" numFmtId="34">
    <nc r="F25">
      <v>23718.02</v>
    </nc>
  </rcc>
  <rcc rId="1146" sId="2" numFmtId="34">
    <nc r="G25">
      <v>38171.54</v>
    </nc>
  </rcc>
  <rcc rId="1147" sId="2" numFmtId="34">
    <nc r="H25">
      <v>35246</v>
    </nc>
  </rcc>
  <rcc rId="1148" sId="2" numFmtId="34">
    <nc r="I25">
      <v>18308.54</v>
    </nc>
  </rcc>
  <rcc rId="1149" sId="2" numFmtId="34">
    <nc r="J25">
      <v>38171.54</v>
    </nc>
  </rcc>
  <rfmt sheetId="2" sqref="K25" start="0" length="0">
    <dxf>
      <numFmt numFmtId="0" formatCode="General"/>
    </dxf>
  </rfmt>
  <rcc rId="1150" sId="2" numFmtId="22">
    <nc r="M23">
      <v>43586</v>
    </nc>
  </rcc>
  <rcc rId="1151" sId="2">
    <nc r="L20">
      <v>6439.6</v>
    </nc>
  </rcc>
  <rfmt sheetId="2" sqref="L20" start="0" length="0">
    <dxf>
      <numFmt numFmtId="178" formatCode="_-&quot;R$&quot;\ * #,##0.00_-;\-&quot;R$&quot;\ * #,##0.00_-;_-&quot;R$&quot;\ * &quot;-&quot;??_-;_-@_-"/>
    </dxf>
  </rfmt>
  <rcc rId="1152" sId="2">
    <nc r="L21">
      <v>38171.54</v>
    </nc>
  </rcc>
  <rfmt sheetId="2" sqref="L21" start="0" length="0">
    <dxf>
      <numFmt numFmtId="178" formatCode="_-&quot;R$&quot;\ * #,##0.00_-;\-&quot;R$&quot;\ * #,##0.00_-;_-&quot;R$&quot;\ * &quot;-&quot;??_-;_-@_-"/>
    </dxf>
  </rfmt>
  <rcc rId="1153" sId="2">
    <nc r="M20">
      <v>6439.6</v>
    </nc>
  </rcc>
  <rfmt sheetId="2" sqref="M20" start="0" length="0">
    <dxf>
      <numFmt numFmtId="178" formatCode="_-&quot;R$&quot;\ * #,##0.00_-;\-&quot;R$&quot;\ * #,##0.00_-;_-&quot;R$&quot;\ * &quot;-&quot;??_-;_-@_-"/>
    </dxf>
  </rfmt>
  <rcc rId="1154" sId="2">
    <nc r="M21">
      <v>28171.54</v>
    </nc>
  </rcc>
  <rfmt sheetId="2" sqref="M21" start="0" length="0">
    <dxf>
      <numFmt numFmtId="178" formatCode="_-&quot;R$&quot;\ * #,##0.00_-;\-&quot;R$&quot;\ * #,##0.00_-;_-&quot;R$&quot;\ * &quot;-&quot;??_-;_-@_-"/>
    </dxf>
  </rfmt>
  <rfmt sheetId="2" sqref="K20:M21" start="0" length="2147483647">
    <dxf>
      <font>
        <color indexed="10"/>
      </font>
    </dxf>
  </rfmt>
  <rfmt sheetId="2" sqref="J24:M25" start="0" length="2147483647">
    <dxf>
      <font>
        <color indexed="10"/>
      </font>
    </dxf>
  </rfmt>
  <rcc rId="1155" sId="2">
    <nc r="K24">
      <v>6439.6</v>
    </nc>
  </rcc>
  <rcc rId="1156" sId="2">
    <nc r="K25">
      <v>38171.54</v>
    </nc>
  </rcc>
  <rcc rId="1157" sId="2">
    <nc r="L24">
      <v>6439.6</v>
    </nc>
  </rcc>
  <rcc rId="1158" sId="2">
    <nc r="L25">
      <v>38171.54</v>
    </nc>
  </rcc>
  <rcc rId="1159" sId="2">
    <nc r="M24">
      <v>6439.6</v>
    </nc>
  </rcc>
  <rcc rId="1160" sId="2">
    <nc r="M25">
      <v>38171.54</v>
    </nc>
  </rcc>
  <rfmt sheetId="2" sqref="K24:M25" start="0" length="0">
    <dxf>
      <numFmt numFmtId="178" formatCode="_-&quot;R$&quot;\ * #,##0.00_-;\-&quot;R$&quot;\ * #,##0.00_-;_-&quot;R$&quot;\ * &quot;-&quot;??_-;_-@_-"/>
    </dxf>
  </rfmt>
  <rfmt sheetId="2" sqref="N19:N62" start="0" length="0">
    <dxf>
      <numFmt numFmtId="178" formatCode="_-&quot;R$&quot;\ * #,##0.00_-;\-&quot;R$&quot;\ * #,##0.00_-;_-&quot;R$&quot;\ * &quot;-&quot;??_-;_-@_-"/>
    </dxf>
  </rfmt>
  <rcc rId="1161" sId="2">
    <nc r="O20" t="inlineStr">
      <is>
        <t>fator r</t>
      </is>
    </nc>
  </rcc>
  <rcc rId="1162" sId="2">
    <nc r="O24" t="inlineStr">
      <is>
        <t>fator r</t>
      </is>
    </nc>
  </rcc>
  <rcc rId="1163" sId="2">
    <nc r="N20">
      <f>SUM(B20:M20)</f>
    </nc>
  </rcc>
  <rcc rId="1164" sId="2">
    <nc r="N21">
      <f>SUM(B21:M21)</f>
    </nc>
  </rcc>
  <rcc rId="1165" sId="2">
    <nc r="O21">
      <f>N20/N21</f>
    </nc>
  </rcc>
  <rfmt sheetId="2" sqref="O21 O25" start="0" length="0">
    <dxf>
      <numFmt numFmtId="13" formatCode="0%"/>
    </dxf>
  </rfmt>
  <rcc rId="1166" sId="2">
    <nc r="N24">
      <f>SUM(B24:M24)</f>
    </nc>
  </rcc>
  <rcc rId="1167" sId="2">
    <nc r="N25">
      <f>SUM(B25:M25)</f>
    </nc>
  </rcc>
  <rcc rId="1168" sId="2">
    <nc r="O25">
      <f>N24/N25</f>
    </nc>
  </rcc>
  <rfmt sheetId="2" sqref="B27" start="0" length="0">
    <dxf>
      <numFmt numFmtId="22" formatCode="mmm/yy"/>
    </dxf>
  </rfmt>
  <rfmt sheetId="2" sqref="C27" start="0" length="0">
    <dxf>
      <numFmt numFmtId="22" formatCode="mmm/yy"/>
    </dxf>
  </rfmt>
  <rfmt sheetId="2" sqref="D27" start="0" length="0">
    <dxf>
      <numFmt numFmtId="22" formatCode="mmm/yy"/>
    </dxf>
  </rfmt>
  <rfmt sheetId="2" sqref="E27" start="0" length="0">
    <dxf>
      <numFmt numFmtId="22" formatCode="mmm/yy"/>
    </dxf>
  </rfmt>
  <rfmt sheetId="2" sqref="F27" start="0" length="0">
    <dxf>
      <numFmt numFmtId="22" formatCode="mmm/yy"/>
    </dxf>
  </rfmt>
  <rfmt sheetId="2" sqref="G27" start="0" length="0">
    <dxf>
      <numFmt numFmtId="22" formatCode="mmm/yy"/>
    </dxf>
  </rfmt>
  <rfmt sheetId="2" sqref="H27" start="0" length="0">
    <dxf>
      <numFmt numFmtId="22" formatCode="mmm/yy"/>
    </dxf>
  </rfmt>
  <rfmt sheetId="2" sqref="I27" start="0" length="0">
    <dxf>
      <numFmt numFmtId="22" formatCode="mmm/yy"/>
    </dxf>
  </rfmt>
  <rfmt sheetId="2" sqref="J27" start="0" length="0">
    <dxf>
      <numFmt numFmtId="22" formatCode="mmm/yy"/>
    </dxf>
  </rfmt>
  <rfmt sheetId="2" sqref="K27" start="0" length="0">
    <dxf>
      <numFmt numFmtId="22" formatCode="mmm/yy"/>
    </dxf>
  </rfmt>
  <rfmt sheetId="2" sqref="L27" start="0" length="0">
    <dxf>
      <numFmt numFmtId="22" formatCode="mmm/yy"/>
    </dxf>
  </rfmt>
  <rfmt sheetId="2" sqref="M27" start="0" length="0">
    <dxf>
      <numFmt numFmtId="22" formatCode="mmm/yy"/>
    </dxf>
  </rfmt>
  <rfmt sheetId="2" sqref="B28" start="0" length="0">
    <dxf>
      <numFmt numFmtId="178" formatCode="_-&quot;R$&quot;\ * #,##0.00_-;\-&quot;R$&quot;\ * #,##0.00_-;_-&quot;R$&quot;\ * &quot;-&quot;??_-;_-@_-"/>
    </dxf>
  </rfmt>
  <rfmt sheetId="2" sqref="C28" start="0" length="0">
    <dxf>
      <numFmt numFmtId="178" formatCode="_-&quot;R$&quot;\ * #,##0.00_-;\-&quot;R$&quot;\ * #,##0.00_-;_-&quot;R$&quot;\ * &quot;-&quot;??_-;_-@_-"/>
    </dxf>
  </rfmt>
  <rfmt sheetId="2" sqref="D28" start="0" length="0">
    <dxf>
      <numFmt numFmtId="178" formatCode="_-&quot;R$&quot;\ * #,##0.00_-;\-&quot;R$&quot;\ * #,##0.00_-;_-&quot;R$&quot;\ * &quot;-&quot;??_-;_-@_-"/>
    </dxf>
  </rfmt>
  <rfmt sheetId="2" sqref="E28" start="0" length="0">
    <dxf>
      <numFmt numFmtId="178" formatCode="_-&quot;R$&quot;\ * #,##0.00_-;\-&quot;R$&quot;\ * #,##0.00_-;_-&quot;R$&quot;\ * &quot;-&quot;??_-;_-@_-"/>
    </dxf>
  </rfmt>
  <rfmt sheetId="2" sqref="F28" start="0" length="0">
    <dxf>
      <numFmt numFmtId="178" formatCode="_-&quot;R$&quot;\ * #,##0.00_-;\-&quot;R$&quot;\ * #,##0.00_-;_-&quot;R$&quot;\ * &quot;-&quot;??_-;_-@_-"/>
    </dxf>
  </rfmt>
  <rfmt sheetId="2" sqref="G28" start="0" length="0">
    <dxf>
      <numFmt numFmtId="178" formatCode="_-&quot;R$&quot;\ * #,##0.00_-;\-&quot;R$&quot;\ * #,##0.00_-;_-&quot;R$&quot;\ * &quot;-&quot;??_-;_-@_-"/>
    </dxf>
  </rfmt>
  <rfmt sheetId="2" sqref="H28" start="0" length="0">
    <dxf>
      <numFmt numFmtId="178" formatCode="_-&quot;R$&quot;\ * #,##0.00_-;\-&quot;R$&quot;\ * #,##0.00_-;_-&quot;R$&quot;\ * &quot;-&quot;??_-;_-@_-"/>
    </dxf>
  </rfmt>
  <rfmt sheetId="2" sqref="I28" start="0" length="0">
    <dxf>
      <numFmt numFmtId="178" formatCode="_-&quot;R$&quot;\ * #,##0.00_-;\-&quot;R$&quot;\ * #,##0.00_-;_-&quot;R$&quot;\ * &quot;-&quot;??_-;_-@_-"/>
    </dxf>
  </rfmt>
  <rfmt sheetId="2" sqref="J28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K28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L28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cc rId="1169" sId="2" odxf="1" dxf="1" numFmtId="34">
    <nc r="M28">
      <v>6439.6</v>
    </nc>
    <odxf>
      <font>
        <sz val="11"/>
        <color indexed="8"/>
        <name val="Calibri"/>
        <family val="2"/>
        <scheme val="none"/>
      </font>
      <numFmt numFmtId="0" formatCode="General"/>
    </odxf>
    <n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ndxf>
  </rcc>
  <rcc rId="1170" sId="2">
    <nc r="N28">
      <f>SUM(B28:M28)</f>
    </nc>
  </rcc>
  <rcc rId="1171" sId="2">
    <nc r="O28" t="inlineStr">
      <is>
        <t>fator r</t>
      </is>
    </nc>
  </rcc>
  <rfmt sheetId="2" sqref="B29" start="0" length="0">
    <dxf>
      <numFmt numFmtId="178" formatCode="_-&quot;R$&quot;\ * #,##0.00_-;\-&quot;R$&quot;\ * #,##0.00_-;_-&quot;R$&quot;\ * &quot;-&quot;??_-;_-@_-"/>
    </dxf>
  </rfmt>
  <rfmt sheetId="2" sqref="C29" start="0" length="0">
    <dxf>
      <numFmt numFmtId="178" formatCode="_-&quot;R$&quot;\ * #,##0.00_-;\-&quot;R$&quot;\ * #,##0.00_-;_-&quot;R$&quot;\ * &quot;-&quot;??_-;_-@_-"/>
    </dxf>
  </rfmt>
  <rfmt sheetId="2" sqref="D29" start="0" length="0">
    <dxf>
      <numFmt numFmtId="178" formatCode="_-&quot;R$&quot;\ * #,##0.00_-;\-&quot;R$&quot;\ * #,##0.00_-;_-&quot;R$&quot;\ * &quot;-&quot;??_-;_-@_-"/>
    </dxf>
  </rfmt>
  <rfmt sheetId="2" sqref="E29" start="0" length="0">
    <dxf>
      <numFmt numFmtId="178" formatCode="_-&quot;R$&quot;\ * #,##0.00_-;\-&quot;R$&quot;\ * #,##0.00_-;_-&quot;R$&quot;\ * &quot;-&quot;??_-;_-@_-"/>
    </dxf>
  </rfmt>
  <rfmt sheetId="2" sqref="F29" start="0" length="0">
    <dxf>
      <numFmt numFmtId="178" formatCode="_-&quot;R$&quot;\ * #,##0.00_-;\-&quot;R$&quot;\ * #,##0.00_-;_-&quot;R$&quot;\ * &quot;-&quot;??_-;_-@_-"/>
    </dxf>
  </rfmt>
  <rfmt sheetId="2" sqref="G29" start="0" length="0">
    <dxf>
      <numFmt numFmtId="178" formatCode="_-&quot;R$&quot;\ * #,##0.00_-;\-&quot;R$&quot;\ * #,##0.00_-;_-&quot;R$&quot;\ * &quot;-&quot;??_-;_-@_-"/>
    </dxf>
  </rfmt>
  <rfmt sheetId="2" sqref="H29" start="0" length="0">
    <dxf>
      <numFmt numFmtId="178" formatCode="_-&quot;R$&quot;\ * #,##0.00_-;\-&quot;R$&quot;\ * #,##0.00_-;_-&quot;R$&quot;\ * &quot;-&quot;??_-;_-@_-"/>
    </dxf>
  </rfmt>
  <rfmt sheetId="2" sqref="I29" start="0" length="0">
    <dxf>
      <numFmt numFmtId="178" formatCode="_-&quot;R$&quot;\ * #,##0.00_-;\-&quot;R$&quot;\ * #,##0.00_-;_-&quot;R$&quot;\ * &quot;-&quot;??_-;_-@_-"/>
    </dxf>
  </rfmt>
  <rfmt sheetId="2" sqref="J29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K29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L29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cc rId="1172" sId="2" odxf="1" dxf="1" numFmtId="34">
    <nc r="M29">
      <v>38171.54</v>
    </nc>
    <odxf>
      <font>
        <sz val="11"/>
        <color indexed="8"/>
        <name val="Calibri"/>
        <family val="2"/>
        <scheme val="none"/>
      </font>
      <numFmt numFmtId="0" formatCode="General"/>
    </odxf>
    <n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ndxf>
  </rcc>
  <rcc rId="1173" sId="2">
    <nc r="N29">
      <f>SUM(B29:M29)</f>
    </nc>
  </rcc>
  <rcc rId="1174" sId="2" odxf="1" dxf="1">
    <nc r="O29">
      <f>N28/N29</f>
    </nc>
    <odxf>
      <numFmt numFmtId="0" formatCode="General"/>
    </odxf>
    <ndxf>
      <numFmt numFmtId="13" formatCode="0%"/>
    </ndxf>
  </rcc>
  <rfmt sheetId="2" sqref="B31" start="0" length="0">
    <dxf>
      <numFmt numFmtId="22" formatCode="mmm/yy"/>
    </dxf>
  </rfmt>
  <rfmt sheetId="2" sqref="C31" start="0" length="0">
    <dxf>
      <numFmt numFmtId="22" formatCode="mmm/yy"/>
    </dxf>
  </rfmt>
  <rfmt sheetId="2" sqref="D31" start="0" length="0">
    <dxf>
      <numFmt numFmtId="22" formatCode="mmm/yy"/>
    </dxf>
  </rfmt>
  <rfmt sheetId="2" sqref="E31" start="0" length="0">
    <dxf>
      <numFmt numFmtId="22" formatCode="mmm/yy"/>
    </dxf>
  </rfmt>
  <rfmt sheetId="2" sqref="F31" start="0" length="0">
    <dxf>
      <numFmt numFmtId="22" formatCode="mmm/yy"/>
    </dxf>
  </rfmt>
  <rfmt sheetId="2" sqref="G31" start="0" length="0">
    <dxf>
      <numFmt numFmtId="22" formatCode="mmm/yy"/>
    </dxf>
  </rfmt>
  <rfmt sheetId="2" sqref="H31" start="0" length="0">
    <dxf>
      <numFmt numFmtId="22" formatCode="mmm/yy"/>
    </dxf>
  </rfmt>
  <rfmt sheetId="2" sqref="I31" start="0" length="0">
    <dxf>
      <numFmt numFmtId="22" formatCode="mmm/yy"/>
    </dxf>
  </rfmt>
  <rfmt sheetId="2" sqref="J31" start="0" length="0">
    <dxf>
      <numFmt numFmtId="22" formatCode="mmm/yy"/>
    </dxf>
  </rfmt>
  <rfmt sheetId="2" sqref="K31" start="0" length="0">
    <dxf>
      <numFmt numFmtId="22" formatCode="mmm/yy"/>
    </dxf>
  </rfmt>
  <rfmt sheetId="2" sqref="L31" start="0" length="0">
    <dxf>
      <numFmt numFmtId="22" formatCode="mmm/yy"/>
    </dxf>
  </rfmt>
  <rfmt sheetId="2" sqref="M31" start="0" length="0">
    <dxf>
      <numFmt numFmtId="22" formatCode="mmm/yy"/>
    </dxf>
  </rfmt>
  <rfmt sheetId="2" sqref="B32" start="0" length="0">
    <dxf>
      <numFmt numFmtId="178" formatCode="_-&quot;R$&quot;\ * #,##0.00_-;\-&quot;R$&quot;\ * #,##0.00_-;_-&quot;R$&quot;\ * &quot;-&quot;??_-;_-@_-"/>
    </dxf>
  </rfmt>
  <rfmt sheetId="2" sqref="C32" start="0" length="0">
    <dxf>
      <numFmt numFmtId="178" formatCode="_-&quot;R$&quot;\ * #,##0.00_-;\-&quot;R$&quot;\ * #,##0.00_-;_-&quot;R$&quot;\ * &quot;-&quot;??_-;_-@_-"/>
    </dxf>
  </rfmt>
  <rfmt sheetId="2" sqref="D32" start="0" length="0">
    <dxf>
      <numFmt numFmtId="178" formatCode="_-&quot;R$&quot;\ * #,##0.00_-;\-&quot;R$&quot;\ * #,##0.00_-;_-&quot;R$&quot;\ * &quot;-&quot;??_-;_-@_-"/>
    </dxf>
  </rfmt>
  <rfmt sheetId="2" sqref="E32" start="0" length="0">
    <dxf>
      <numFmt numFmtId="178" formatCode="_-&quot;R$&quot;\ * #,##0.00_-;\-&quot;R$&quot;\ * #,##0.00_-;_-&quot;R$&quot;\ * &quot;-&quot;??_-;_-@_-"/>
    </dxf>
  </rfmt>
  <rfmt sheetId="2" sqref="F32" start="0" length="0">
    <dxf>
      <numFmt numFmtId="178" formatCode="_-&quot;R$&quot;\ * #,##0.00_-;\-&quot;R$&quot;\ * #,##0.00_-;_-&quot;R$&quot;\ * &quot;-&quot;??_-;_-@_-"/>
    </dxf>
  </rfmt>
  <rfmt sheetId="2" sqref="G32" start="0" length="0">
    <dxf>
      <numFmt numFmtId="178" formatCode="_-&quot;R$&quot;\ * #,##0.00_-;\-&quot;R$&quot;\ * #,##0.00_-;_-&quot;R$&quot;\ * &quot;-&quot;??_-;_-@_-"/>
    </dxf>
  </rfmt>
  <rfmt sheetId="2" sqref="H32" start="0" length="0">
    <dxf>
      <numFmt numFmtId="178" formatCode="_-&quot;R$&quot;\ * #,##0.00_-;\-&quot;R$&quot;\ * #,##0.00_-;_-&quot;R$&quot;\ * &quot;-&quot;??_-;_-@_-"/>
    </dxf>
  </rfmt>
  <rfmt sheetId="2" sqref="I32" start="0" length="0">
    <dxf>
      <numFmt numFmtId="178" formatCode="_-&quot;R$&quot;\ * #,##0.00_-;\-&quot;R$&quot;\ * #,##0.00_-;_-&quot;R$&quot;\ * &quot;-&quot;??_-;_-@_-"/>
    </dxf>
  </rfmt>
  <rfmt sheetId="2" sqref="J32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K32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L32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cc rId="1175" sId="2" odxf="1" dxf="1" numFmtId="34">
    <nc r="M32">
      <v>6439.6</v>
    </nc>
    <odxf>
      <font>
        <sz val="11"/>
        <color indexed="8"/>
        <name val="Calibri"/>
        <family val="2"/>
        <scheme val="none"/>
      </font>
      <numFmt numFmtId="0" formatCode="General"/>
    </odxf>
    <n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ndxf>
  </rcc>
  <rcc rId="1176" sId="2">
    <nc r="N32">
      <f>SUM(B32:M32)</f>
    </nc>
  </rcc>
  <rcc rId="1177" sId="2">
    <nc r="O32" t="inlineStr">
      <is>
        <t>fator r</t>
      </is>
    </nc>
  </rcc>
  <rfmt sheetId="2" sqref="B33" start="0" length="0">
    <dxf>
      <numFmt numFmtId="178" formatCode="_-&quot;R$&quot;\ * #,##0.00_-;\-&quot;R$&quot;\ * #,##0.00_-;_-&quot;R$&quot;\ * &quot;-&quot;??_-;_-@_-"/>
    </dxf>
  </rfmt>
  <rfmt sheetId="2" sqref="C33" start="0" length="0">
    <dxf>
      <numFmt numFmtId="178" formatCode="_-&quot;R$&quot;\ * #,##0.00_-;\-&quot;R$&quot;\ * #,##0.00_-;_-&quot;R$&quot;\ * &quot;-&quot;??_-;_-@_-"/>
    </dxf>
  </rfmt>
  <rfmt sheetId="2" sqref="D33" start="0" length="0">
    <dxf>
      <numFmt numFmtId="178" formatCode="_-&quot;R$&quot;\ * #,##0.00_-;\-&quot;R$&quot;\ * #,##0.00_-;_-&quot;R$&quot;\ * &quot;-&quot;??_-;_-@_-"/>
    </dxf>
  </rfmt>
  <rfmt sheetId="2" sqref="E33" start="0" length="0">
    <dxf>
      <numFmt numFmtId="178" formatCode="_-&quot;R$&quot;\ * #,##0.00_-;\-&quot;R$&quot;\ * #,##0.00_-;_-&quot;R$&quot;\ * &quot;-&quot;??_-;_-@_-"/>
    </dxf>
  </rfmt>
  <rfmt sheetId="2" sqref="F33" start="0" length="0">
    <dxf>
      <numFmt numFmtId="178" formatCode="_-&quot;R$&quot;\ * #,##0.00_-;\-&quot;R$&quot;\ * #,##0.00_-;_-&quot;R$&quot;\ * &quot;-&quot;??_-;_-@_-"/>
    </dxf>
  </rfmt>
  <rfmt sheetId="2" sqref="G33" start="0" length="0">
    <dxf>
      <numFmt numFmtId="178" formatCode="_-&quot;R$&quot;\ * #,##0.00_-;\-&quot;R$&quot;\ * #,##0.00_-;_-&quot;R$&quot;\ * &quot;-&quot;??_-;_-@_-"/>
    </dxf>
  </rfmt>
  <rfmt sheetId="2" sqref="H33" start="0" length="0">
    <dxf>
      <numFmt numFmtId="178" formatCode="_-&quot;R$&quot;\ * #,##0.00_-;\-&quot;R$&quot;\ * #,##0.00_-;_-&quot;R$&quot;\ * &quot;-&quot;??_-;_-@_-"/>
    </dxf>
  </rfmt>
  <rfmt sheetId="2" sqref="I33" start="0" length="0">
    <dxf>
      <numFmt numFmtId="178" formatCode="_-&quot;R$&quot;\ * #,##0.00_-;\-&quot;R$&quot;\ * #,##0.00_-;_-&quot;R$&quot;\ * &quot;-&quot;??_-;_-@_-"/>
    </dxf>
  </rfmt>
  <rfmt sheetId="2" sqref="J33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K33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L33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cc rId="1178" sId="2" odxf="1" dxf="1" numFmtId="34">
    <nc r="M33">
      <v>38171.54</v>
    </nc>
    <odxf>
      <font>
        <sz val="11"/>
        <color indexed="8"/>
        <name val="Calibri"/>
        <family val="2"/>
        <scheme val="none"/>
      </font>
      <numFmt numFmtId="0" formatCode="General"/>
    </odxf>
    <n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ndxf>
  </rcc>
  <rcc rId="1179" sId="2">
    <nc r="N33">
      <f>SUM(B33:M33)</f>
    </nc>
  </rcc>
  <rcc rId="1180" sId="2" odxf="1" dxf="1">
    <nc r="O33">
      <f>N32/N33</f>
    </nc>
    <odxf>
      <numFmt numFmtId="0" formatCode="General"/>
    </odxf>
    <ndxf>
      <numFmt numFmtId="13" formatCode="0%"/>
    </ndxf>
  </rcc>
  <rfmt sheetId="2" sqref="B35" start="0" length="0">
    <dxf>
      <numFmt numFmtId="22" formatCode="mmm/yy"/>
    </dxf>
  </rfmt>
  <rfmt sheetId="2" sqref="C35" start="0" length="0">
    <dxf>
      <numFmt numFmtId="22" formatCode="mmm/yy"/>
    </dxf>
  </rfmt>
  <rfmt sheetId="2" sqref="D35" start="0" length="0">
    <dxf>
      <numFmt numFmtId="22" formatCode="mmm/yy"/>
    </dxf>
  </rfmt>
  <rfmt sheetId="2" sqref="E35" start="0" length="0">
    <dxf>
      <numFmt numFmtId="22" formatCode="mmm/yy"/>
    </dxf>
  </rfmt>
  <rfmt sheetId="2" sqref="F35" start="0" length="0">
    <dxf>
      <numFmt numFmtId="22" formatCode="mmm/yy"/>
    </dxf>
  </rfmt>
  <rfmt sheetId="2" sqref="G35" start="0" length="0">
    <dxf>
      <numFmt numFmtId="22" formatCode="mmm/yy"/>
    </dxf>
  </rfmt>
  <rfmt sheetId="2" sqref="H35" start="0" length="0">
    <dxf>
      <numFmt numFmtId="22" formatCode="mmm/yy"/>
    </dxf>
  </rfmt>
  <rfmt sheetId="2" sqref="I35" start="0" length="0">
    <dxf>
      <numFmt numFmtId="22" formatCode="mmm/yy"/>
    </dxf>
  </rfmt>
  <rfmt sheetId="2" sqref="J35" start="0" length="0">
    <dxf>
      <numFmt numFmtId="22" formatCode="mmm/yy"/>
    </dxf>
  </rfmt>
  <rfmt sheetId="2" sqref="K35" start="0" length="0">
    <dxf>
      <numFmt numFmtId="22" formatCode="mmm/yy"/>
    </dxf>
  </rfmt>
  <rfmt sheetId="2" sqref="L35" start="0" length="0">
    <dxf>
      <numFmt numFmtId="22" formatCode="mmm/yy"/>
    </dxf>
  </rfmt>
  <rfmt sheetId="2" sqref="M35" start="0" length="0">
    <dxf>
      <numFmt numFmtId="22" formatCode="mmm/yy"/>
    </dxf>
  </rfmt>
  <rfmt sheetId="2" sqref="B36" start="0" length="0">
    <dxf>
      <numFmt numFmtId="178" formatCode="_-&quot;R$&quot;\ * #,##0.00_-;\-&quot;R$&quot;\ * #,##0.00_-;_-&quot;R$&quot;\ * &quot;-&quot;??_-;_-@_-"/>
    </dxf>
  </rfmt>
  <rfmt sheetId="2" sqref="C36" start="0" length="0">
    <dxf>
      <numFmt numFmtId="178" formatCode="_-&quot;R$&quot;\ * #,##0.00_-;\-&quot;R$&quot;\ * #,##0.00_-;_-&quot;R$&quot;\ * &quot;-&quot;??_-;_-@_-"/>
    </dxf>
  </rfmt>
  <rfmt sheetId="2" sqref="D36" start="0" length="0">
    <dxf>
      <numFmt numFmtId="178" formatCode="_-&quot;R$&quot;\ * #,##0.00_-;\-&quot;R$&quot;\ * #,##0.00_-;_-&quot;R$&quot;\ * &quot;-&quot;??_-;_-@_-"/>
    </dxf>
  </rfmt>
  <rfmt sheetId="2" sqref="E36" start="0" length="0">
    <dxf>
      <numFmt numFmtId="178" formatCode="_-&quot;R$&quot;\ * #,##0.00_-;\-&quot;R$&quot;\ * #,##0.00_-;_-&quot;R$&quot;\ * &quot;-&quot;??_-;_-@_-"/>
    </dxf>
  </rfmt>
  <rfmt sheetId="2" sqref="F36" start="0" length="0">
    <dxf>
      <numFmt numFmtId="178" formatCode="_-&quot;R$&quot;\ * #,##0.00_-;\-&quot;R$&quot;\ * #,##0.00_-;_-&quot;R$&quot;\ * &quot;-&quot;??_-;_-@_-"/>
    </dxf>
  </rfmt>
  <rfmt sheetId="2" sqref="G36" start="0" length="0">
    <dxf>
      <numFmt numFmtId="178" formatCode="_-&quot;R$&quot;\ * #,##0.00_-;\-&quot;R$&quot;\ * #,##0.00_-;_-&quot;R$&quot;\ * &quot;-&quot;??_-;_-@_-"/>
    </dxf>
  </rfmt>
  <rfmt sheetId="2" sqref="H36" start="0" length="0">
    <dxf>
      <numFmt numFmtId="178" formatCode="_-&quot;R$&quot;\ * #,##0.00_-;\-&quot;R$&quot;\ * #,##0.00_-;_-&quot;R$&quot;\ * &quot;-&quot;??_-;_-@_-"/>
    </dxf>
  </rfmt>
  <rfmt sheetId="2" sqref="I36" start="0" length="0">
    <dxf>
      <numFmt numFmtId="178" formatCode="_-&quot;R$&quot;\ * #,##0.00_-;\-&quot;R$&quot;\ * #,##0.00_-;_-&quot;R$&quot;\ * &quot;-&quot;??_-;_-@_-"/>
    </dxf>
  </rfmt>
  <rfmt sheetId="2" sqref="J36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K36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L36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cc rId="1181" sId="2" odxf="1" dxf="1" numFmtId="34">
    <nc r="M36">
      <v>6439.6</v>
    </nc>
    <odxf>
      <font>
        <sz val="11"/>
        <color indexed="8"/>
        <name val="Calibri"/>
        <family val="2"/>
        <scheme val="none"/>
      </font>
      <numFmt numFmtId="0" formatCode="General"/>
    </odxf>
    <n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ndxf>
  </rcc>
  <rcc rId="1182" sId="2">
    <nc r="N36">
      <f>SUM(B36:M36)</f>
    </nc>
  </rcc>
  <rcc rId="1183" sId="2">
    <nc r="O36" t="inlineStr">
      <is>
        <t>fator r</t>
      </is>
    </nc>
  </rcc>
  <rfmt sheetId="2" sqref="B37" start="0" length="0">
    <dxf>
      <numFmt numFmtId="178" formatCode="_-&quot;R$&quot;\ * #,##0.00_-;\-&quot;R$&quot;\ * #,##0.00_-;_-&quot;R$&quot;\ * &quot;-&quot;??_-;_-@_-"/>
    </dxf>
  </rfmt>
  <rfmt sheetId="2" sqref="C37" start="0" length="0">
    <dxf>
      <numFmt numFmtId="178" formatCode="_-&quot;R$&quot;\ * #,##0.00_-;\-&quot;R$&quot;\ * #,##0.00_-;_-&quot;R$&quot;\ * &quot;-&quot;??_-;_-@_-"/>
    </dxf>
  </rfmt>
  <rfmt sheetId="2" sqref="D37" start="0" length="0">
    <dxf>
      <numFmt numFmtId="178" formatCode="_-&quot;R$&quot;\ * #,##0.00_-;\-&quot;R$&quot;\ * #,##0.00_-;_-&quot;R$&quot;\ * &quot;-&quot;??_-;_-@_-"/>
    </dxf>
  </rfmt>
  <rfmt sheetId="2" sqref="E37" start="0" length="0">
    <dxf>
      <numFmt numFmtId="178" formatCode="_-&quot;R$&quot;\ * #,##0.00_-;\-&quot;R$&quot;\ * #,##0.00_-;_-&quot;R$&quot;\ * &quot;-&quot;??_-;_-@_-"/>
    </dxf>
  </rfmt>
  <rfmt sheetId="2" sqref="F37" start="0" length="0">
    <dxf>
      <numFmt numFmtId="178" formatCode="_-&quot;R$&quot;\ * #,##0.00_-;\-&quot;R$&quot;\ * #,##0.00_-;_-&quot;R$&quot;\ * &quot;-&quot;??_-;_-@_-"/>
    </dxf>
  </rfmt>
  <rfmt sheetId="2" sqref="G37" start="0" length="0">
    <dxf>
      <numFmt numFmtId="178" formatCode="_-&quot;R$&quot;\ * #,##0.00_-;\-&quot;R$&quot;\ * #,##0.00_-;_-&quot;R$&quot;\ * &quot;-&quot;??_-;_-@_-"/>
    </dxf>
  </rfmt>
  <rfmt sheetId="2" sqref="H37" start="0" length="0">
    <dxf>
      <numFmt numFmtId="178" formatCode="_-&quot;R$&quot;\ * #,##0.00_-;\-&quot;R$&quot;\ * #,##0.00_-;_-&quot;R$&quot;\ * &quot;-&quot;??_-;_-@_-"/>
    </dxf>
  </rfmt>
  <rfmt sheetId="2" sqref="I37" start="0" length="0">
    <dxf>
      <numFmt numFmtId="178" formatCode="_-&quot;R$&quot;\ * #,##0.00_-;\-&quot;R$&quot;\ * #,##0.00_-;_-&quot;R$&quot;\ * &quot;-&quot;??_-;_-@_-"/>
    </dxf>
  </rfmt>
  <rfmt sheetId="2" sqref="J37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K37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L37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cc rId="1184" sId="2" odxf="1" dxf="1" numFmtId="34">
    <nc r="M37">
      <v>38171.54</v>
    </nc>
    <odxf>
      <font>
        <sz val="11"/>
        <color indexed="8"/>
        <name val="Calibri"/>
        <family val="2"/>
        <scheme val="none"/>
      </font>
      <numFmt numFmtId="0" formatCode="General"/>
    </odxf>
    <n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ndxf>
  </rcc>
  <rcc rId="1185" sId="2">
    <nc r="N37">
      <f>SUM(B37:M37)</f>
    </nc>
  </rcc>
  <rcc rId="1186" sId="2" odxf="1" dxf="1">
    <nc r="O37">
      <f>N36/N37</f>
    </nc>
    <odxf>
      <numFmt numFmtId="0" formatCode="General"/>
    </odxf>
    <ndxf>
      <numFmt numFmtId="13" formatCode="0%"/>
    </ndxf>
  </rcc>
  <rfmt sheetId="2" sqref="B39" start="0" length="0">
    <dxf>
      <numFmt numFmtId="22" formatCode="mmm/yy"/>
    </dxf>
  </rfmt>
  <rfmt sheetId="2" sqref="C39" start="0" length="0">
    <dxf>
      <numFmt numFmtId="22" formatCode="mmm/yy"/>
    </dxf>
  </rfmt>
  <rfmt sheetId="2" sqref="D39" start="0" length="0">
    <dxf>
      <numFmt numFmtId="22" formatCode="mmm/yy"/>
    </dxf>
  </rfmt>
  <rfmt sheetId="2" sqref="E39" start="0" length="0">
    <dxf>
      <numFmt numFmtId="22" formatCode="mmm/yy"/>
    </dxf>
  </rfmt>
  <rfmt sheetId="2" sqref="F39" start="0" length="0">
    <dxf>
      <numFmt numFmtId="22" formatCode="mmm/yy"/>
    </dxf>
  </rfmt>
  <rfmt sheetId="2" sqref="G39" start="0" length="0">
    <dxf>
      <numFmt numFmtId="22" formatCode="mmm/yy"/>
    </dxf>
  </rfmt>
  <rfmt sheetId="2" sqref="H39" start="0" length="0">
    <dxf>
      <numFmt numFmtId="22" formatCode="mmm/yy"/>
    </dxf>
  </rfmt>
  <rfmt sheetId="2" sqref="I39" start="0" length="0">
    <dxf>
      <numFmt numFmtId="22" formatCode="mmm/yy"/>
    </dxf>
  </rfmt>
  <rfmt sheetId="2" sqref="J39" start="0" length="0">
    <dxf>
      <numFmt numFmtId="22" formatCode="mmm/yy"/>
    </dxf>
  </rfmt>
  <rfmt sheetId="2" sqref="K39" start="0" length="0">
    <dxf>
      <numFmt numFmtId="22" formatCode="mmm/yy"/>
    </dxf>
  </rfmt>
  <rfmt sheetId="2" sqref="L39" start="0" length="0">
    <dxf>
      <numFmt numFmtId="22" formatCode="mmm/yy"/>
    </dxf>
  </rfmt>
  <rfmt sheetId="2" sqref="M39" start="0" length="0">
    <dxf>
      <numFmt numFmtId="22" formatCode="mmm/yy"/>
    </dxf>
  </rfmt>
  <rfmt sheetId="2" sqref="B40" start="0" length="0">
    <dxf>
      <numFmt numFmtId="178" formatCode="_-&quot;R$&quot;\ * #,##0.00_-;\-&quot;R$&quot;\ * #,##0.00_-;_-&quot;R$&quot;\ * &quot;-&quot;??_-;_-@_-"/>
    </dxf>
  </rfmt>
  <rfmt sheetId="2" sqref="C40" start="0" length="0">
    <dxf>
      <numFmt numFmtId="178" formatCode="_-&quot;R$&quot;\ * #,##0.00_-;\-&quot;R$&quot;\ * #,##0.00_-;_-&quot;R$&quot;\ * &quot;-&quot;??_-;_-@_-"/>
    </dxf>
  </rfmt>
  <rfmt sheetId="2" sqref="D40" start="0" length="0">
    <dxf>
      <numFmt numFmtId="178" formatCode="_-&quot;R$&quot;\ * #,##0.00_-;\-&quot;R$&quot;\ * #,##0.00_-;_-&quot;R$&quot;\ * &quot;-&quot;??_-;_-@_-"/>
    </dxf>
  </rfmt>
  <rfmt sheetId="2" sqref="E40" start="0" length="0">
    <dxf>
      <numFmt numFmtId="178" formatCode="_-&quot;R$&quot;\ * #,##0.00_-;\-&quot;R$&quot;\ * #,##0.00_-;_-&quot;R$&quot;\ * &quot;-&quot;??_-;_-@_-"/>
    </dxf>
  </rfmt>
  <rfmt sheetId="2" sqref="F40" start="0" length="0">
    <dxf>
      <numFmt numFmtId="178" formatCode="_-&quot;R$&quot;\ * #,##0.00_-;\-&quot;R$&quot;\ * #,##0.00_-;_-&quot;R$&quot;\ * &quot;-&quot;??_-;_-@_-"/>
    </dxf>
  </rfmt>
  <rfmt sheetId="2" sqref="G40" start="0" length="0">
    <dxf>
      <numFmt numFmtId="178" formatCode="_-&quot;R$&quot;\ * #,##0.00_-;\-&quot;R$&quot;\ * #,##0.00_-;_-&quot;R$&quot;\ * &quot;-&quot;??_-;_-@_-"/>
    </dxf>
  </rfmt>
  <rfmt sheetId="2" sqref="H40" start="0" length="0">
    <dxf>
      <numFmt numFmtId="178" formatCode="_-&quot;R$&quot;\ * #,##0.00_-;\-&quot;R$&quot;\ * #,##0.00_-;_-&quot;R$&quot;\ * &quot;-&quot;??_-;_-@_-"/>
    </dxf>
  </rfmt>
  <rfmt sheetId="2" sqref="I40" start="0" length="0">
    <dxf>
      <numFmt numFmtId="178" formatCode="_-&quot;R$&quot;\ * #,##0.00_-;\-&quot;R$&quot;\ * #,##0.00_-;_-&quot;R$&quot;\ * &quot;-&quot;??_-;_-@_-"/>
    </dxf>
  </rfmt>
  <rfmt sheetId="2" sqref="J40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K40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L40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cc rId="1187" sId="2" odxf="1" dxf="1" numFmtId="34">
    <nc r="M40">
      <v>6439.6</v>
    </nc>
    <odxf>
      <font>
        <sz val="11"/>
        <color indexed="8"/>
        <name val="Calibri"/>
        <family val="2"/>
        <scheme val="none"/>
      </font>
      <numFmt numFmtId="0" formatCode="General"/>
    </odxf>
    <n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ndxf>
  </rcc>
  <rcc rId="1188" sId="2">
    <nc r="N40">
      <f>SUM(B40:M40)</f>
    </nc>
  </rcc>
  <rcc rId="1189" sId="2">
    <nc r="O40" t="inlineStr">
      <is>
        <t>fator r</t>
      </is>
    </nc>
  </rcc>
  <rfmt sheetId="2" sqref="B41" start="0" length="0">
    <dxf>
      <numFmt numFmtId="178" formatCode="_-&quot;R$&quot;\ * #,##0.00_-;\-&quot;R$&quot;\ * #,##0.00_-;_-&quot;R$&quot;\ * &quot;-&quot;??_-;_-@_-"/>
    </dxf>
  </rfmt>
  <rfmt sheetId="2" sqref="C41" start="0" length="0">
    <dxf>
      <numFmt numFmtId="178" formatCode="_-&quot;R$&quot;\ * #,##0.00_-;\-&quot;R$&quot;\ * #,##0.00_-;_-&quot;R$&quot;\ * &quot;-&quot;??_-;_-@_-"/>
    </dxf>
  </rfmt>
  <rfmt sheetId="2" sqref="D41" start="0" length="0">
    <dxf>
      <numFmt numFmtId="178" formatCode="_-&quot;R$&quot;\ * #,##0.00_-;\-&quot;R$&quot;\ * #,##0.00_-;_-&quot;R$&quot;\ * &quot;-&quot;??_-;_-@_-"/>
    </dxf>
  </rfmt>
  <rfmt sheetId="2" sqref="E41" start="0" length="0">
    <dxf>
      <numFmt numFmtId="178" formatCode="_-&quot;R$&quot;\ * #,##0.00_-;\-&quot;R$&quot;\ * #,##0.00_-;_-&quot;R$&quot;\ * &quot;-&quot;??_-;_-@_-"/>
    </dxf>
  </rfmt>
  <rfmt sheetId="2" sqref="F41" start="0" length="0">
    <dxf>
      <numFmt numFmtId="178" formatCode="_-&quot;R$&quot;\ * #,##0.00_-;\-&quot;R$&quot;\ * #,##0.00_-;_-&quot;R$&quot;\ * &quot;-&quot;??_-;_-@_-"/>
    </dxf>
  </rfmt>
  <rfmt sheetId="2" sqref="G41" start="0" length="0">
    <dxf>
      <numFmt numFmtId="178" formatCode="_-&quot;R$&quot;\ * #,##0.00_-;\-&quot;R$&quot;\ * #,##0.00_-;_-&quot;R$&quot;\ * &quot;-&quot;??_-;_-@_-"/>
    </dxf>
  </rfmt>
  <rfmt sheetId="2" sqref="H41" start="0" length="0">
    <dxf>
      <numFmt numFmtId="178" formatCode="_-&quot;R$&quot;\ * #,##0.00_-;\-&quot;R$&quot;\ * #,##0.00_-;_-&quot;R$&quot;\ * &quot;-&quot;??_-;_-@_-"/>
    </dxf>
  </rfmt>
  <rfmt sheetId="2" sqref="I41" start="0" length="0">
    <dxf>
      <numFmt numFmtId="178" formatCode="_-&quot;R$&quot;\ * #,##0.00_-;\-&quot;R$&quot;\ * #,##0.00_-;_-&quot;R$&quot;\ * &quot;-&quot;??_-;_-@_-"/>
    </dxf>
  </rfmt>
  <rfmt sheetId="2" sqref="J41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K41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L41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cc rId="1190" sId="2" odxf="1" dxf="1" numFmtId="34">
    <nc r="M41">
      <v>38171.54</v>
    </nc>
    <odxf>
      <font>
        <sz val="11"/>
        <color indexed="8"/>
        <name val="Calibri"/>
        <family val="2"/>
        <scheme val="none"/>
      </font>
      <numFmt numFmtId="0" formatCode="General"/>
    </odxf>
    <n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ndxf>
  </rcc>
  <rcc rId="1191" sId="2">
    <nc r="N41">
      <f>SUM(B41:M41)</f>
    </nc>
  </rcc>
  <rcc rId="1192" sId="2" odxf="1" dxf="1">
    <nc r="O41">
      <f>N40/N41</f>
    </nc>
    <odxf>
      <numFmt numFmtId="0" formatCode="General"/>
    </odxf>
    <ndxf>
      <numFmt numFmtId="13" formatCode="0%"/>
    </ndxf>
  </rcc>
  <rfmt sheetId="2" sqref="B43" start="0" length="0">
    <dxf>
      <numFmt numFmtId="22" formatCode="mmm/yy"/>
    </dxf>
  </rfmt>
  <rfmt sheetId="2" sqref="C43" start="0" length="0">
    <dxf>
      <numFmt numFmtId="22" formatCode="mmm/yy"/>
    </dxf>
  </rfmt>
  <rfmt sheetId="2" sqref="D43" start="0" length="0">
    <dxf>
      <numFmt numFmtId="22" formatCode="mmm/yy"/>
    </dxf>
  </rfmt>
  <rfmt sheetId="2" sqref="E43" start="0" length="0">
    <dxf>
      <numFmt numFmtId="22" formatCode="mmm/yy"/>
    </dxf>
  </rfmt>
  <rfmt sheetId="2" sqref="F43" start="0" length="0">
    <dxf>
      <numFmt numFmtId="22" formatCode="mmm/yy"/>
    </dxf>
  </rfmt>
  <rfmt sheetId="2" sqref="G43" start="0" length="0">
    <dxf>
      <numFmt numFmtId="22" formatCode="mmm/yy"/>
    </dxf>
  </rfmt>
  <rfmt sheetId="2" sqref="H43" start="0" length="0">
    <dxf>
      <numFmt numFmtId="22" formatCode="mmm/yy"/>
    </dxf>
  </rfmt>
  <rfmt sheetId="2" sqref="I43" start="0" length="0">
    <dxf>
      <numFmt numFmtId="22" formatCode="mmm/yy"/>
    </dxf>
  </rfmt>
  <rfmt sheetId="2" sqref="J43" start="0" length="0">
    <dxf>
      <numFmt numFmtId="22" formatCode="mmm/yy"/>
    </dxf>
  </rfmt>
  <rfmt sheetId="2" sqref="K43" start="0" length="0">
    <dxf>
      <numFmt numFmtId="22" formatCode="mmm/yy"/>
    </dxf>
  </rfmt>
  <rfmt sheetId="2" sqref="L43" start="0" length="0">
    <dxf>
      <numFmt numFmtId="22" formatCode="mmm/yy"/>
    </dxf>
  </rfmt>
  <rfmt sheetId="2" sqref="M43" start="0" length="0">
    <dxf>
      <numFmt numFmtId="22" formatCode="mmm/yy"/>
    </dxf>
  </rfmt>
  <rfmt sheetId="2" sqref="B44" start="0" length="0">
    <dxf>
      <numFmt numFmtId="178" formatCode="_-&quot;R$&quot;\ * #,##0.00_-;\-&quot;R$&quot;\ * #,##0.00_-;_-&quot;R$&quot;\ * &quot;-&quot;??_-;_-@_-"/>
    </dxf>
  </rfmt>
  <rfmt sheetId="2" sqref="C44" start="0" length="0">
    <dxf>
      <numFmt numFmtId="178" formatCode="_-&quot;R$&quot;\ * #,##0.00_-;\-&quot;R$&quot;\ * #,##0.00_-;_-&quot;R$&quot;\ * &quot;-&quot;??_-;_-@_-"/>
    </dxf>
  </rfmt>
  <rfmt sheetId="2" sqref="D44" start="0" length="0">
    <dxf>
      <numFmt numFmtId="178" formatCode="_-&quot;R$&quot;\ * #,##0.00_-;\-&quot;R$&quot;\ * #,##0.00_-;_-&quot;R$&quot;\ * &quot;-&quot;??_-;_-@_-"/>
    </dxf>
  </rfmt>
  <rfmt sheetId="2" sqref="E44" start="0" length="0">
    <dxf>
      <numFmt numFmtId="178" formatCode="_-&quot;R$&quot;\ * #,##0.00_-;\-&quot;R$&quot;\ * #,##0.00_-;_-&quot;R$&quot;\ * &quot;-&quot;??_-;_-@_-"/>
    </dxf>
  </rfmt>
  <rfmt sheetId="2" sqref="F44" start="0" length="0">
    <dxf>
      <numFmt numFmtId="178" formatCode="_-&quot;R$&quot;\ * #,##0.00_-;\-&quot;R$&quot;\ * #,##0.00_-;_-&quot;R$&quot;\ * &quot;-&quot;??_-;_-@_-"/>
    </dxf>
  </rfmt>
  <rfmt sheetId="2" sqref="G44" start="0" length="0">
    <dxf>
      <numFmt numFmtId="178" formatCode="_-&quot;R$&quot;\ * #,##0.00_-;\-&quot;R$&quot;\ * #,##0.00_-;_-&quot;R$&quot;\ * &quot;-&quot;??_-;_-@_-"/>
    </dxf>
  </rfmt>
  <rfmt sheetId="2" sqref="H44" start="0" length="0">
    <dxf>
      <numFmt numFmtId="178" formatCode="_-&quot;R$&quot;\ * #,##0.00_-;\-&quot;R$&quot;\ * #,##0.00_-;_-&quot;R$&quot;\ * &quot;-&quot;??_-;_-@_-"/>
    </dxf>
  </rfmt>
  <rfmt sheetId="2" sqref="I44" start="0" length="0">
    <dxf>
      <numFmt numFmtId="178" formatCode="_-&quot;R$&quot;\ * #,##0.00_-;\-&quot;R$&quot;\ * #,##0.00_-;_-&quot;R$&quot;\ * &quot;-&quot;??_-;_-@_-"/>
    </dxf>
  </rfmt>
  <rfmt sheetId="2" sqref="J44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K44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L44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cc rId="1193" sId="2" odxf="1" dxf="1" numFmtId="34">
    <nc r="M44">
      <v>6439.6</v>
    </nc>
    <odxf>
      <font>
        <sz val="11"/>
        <color indexed="8"/>
        <name val="Calibri"/>
        <family val="2"/>
        <scheme val="none"/>
      </font>
      <numFmt numFmtId="0" formatCode="General"/>
    </odxf>
    <n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ndxf>
  </rcc>
  <rcc rId="1194" sId="2">
    <nc r="N44">
      <f>SUM(B44:M44)</f>
    </nc>
  </rcc>
  <rcc rId="1195" sId="2">
    <nc r="O44" t="inlineStr">
      <is>
        <t>fator r</t>
      </is>
    </nc>
  </rcc>
  <rfmt sheetId="2" sqref="B45" start="0" length="0">
    <dxf>
      <numFmt numFmtId="178" formatCode="_-&quot;R$&quot;\ * #,##0.00_-;\-&quot;R$&quot;\ * #,##0.00_-;_-&quot;R$&quot;\ * &quot;-&quot;??_-;_-@_-"/>
    </dxf>
  </rfmt>
  <rfmt sheetId="2" sqref="C45" start="0" length="0">
    <dxf>
      <numFmt numFmtId="178" formatCode="_-&quot;R$&quot;\ * #,##0.00_-;\-&quot;R$&quot;\ * #,##0.00_-;_-&quot;R$&quot;\ * &quot;-&quot;??_-;_-@_-"/>
    </dxf>
  </rfmt>
  <rfmt sheetId="2" sqref="D45" start="0" length="0">
    <dxf>
      <numFmt numFmtId="178" formatCode="_-&quot;R$&quot;\ * #,##0.00_-;\-&quot;R$&quot;\ * #,##0.00_-;_-&quot;R$&quot;\ * &quot;-&quot;??_-;_-@_-"/>
    </dxf>
  </rfmt>
  <rfmt sheetId="2" sqref="E45" start="0" length="0">
    <dxf>
      <numFmt numFmtId="178" formatCode="_-&quot;R$&quot;\ * #,##0.00_-;\-&quot;R$&quot;\ * #,##0.00_-;_-&quot;R$&quot;\ * &quot;-&quot;??_-;_-@_-"/>
    </dxf>
  </rfmt>
  <rfmt sheetId="2" sqref="F45" start="0" length="0">
    <dxf>
      <numFmt numFmtId="178" formatCode="_-&quot;R$&quot;\ * #,##0.00_-;\-&quot;R$&quot;\ * #,##0.00_-;_-&quot;R$&quot;\ * &quot;-&quot;??_-;_-@_-"/>
    </dxf>
  </rfmt>
  <rfmt sheetId="2" sqref="G45" start="0" length="0">
    <dxf>
      <numFmt numFmtId="178" formatCode="_-&quot;R$&quot;\ * #,##0.00_-;\-&quot;R$&quot;\ * #,##0.00_-;_-&quot;R$&quot;\ * &quot;-&quot;??_-;_-@_-"/>
    </dxf>
  </rfmt>
  <rfmt sheetId="2" sqref="H45" start="0" length="0">
    <dxf>
      <numFmt numFmtId="178" formatCode="_-&quot;R$&quot;\ * #,##0.00_-;\-&quot;R$&quot;\ * #,##0.00_-;_-&quot;R$&quot;\ * &quot;-&quot;??_-;_-@_-"/>
    </dxf>
  </rfmt>
  <rfmt sheetId="2" sqref="I45" start="0" length="0">
    <dxf>
      <numFmt numFmtId="178" formatCode="_-&quot;R$&quot;\ * #,##0.00_-;\-&quot;R$&quot;\ * #,##0.00_-;_-&quot;R$&quot;\ * &quot;-&quot;??_-;_-@_-"/>
    </dxf>
  </rfmt>
  <rfmt sheetId="2" sqref="J45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K45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L45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cc rId="1196" sId="2" odxf="1" dxf="1" numFmtId="34">
    <nc r="M45">
      <v>38171.54</v>
    </nc>
    <odxf>
      <font>
        <sz val="11"/>
        <color indexed="8"/>
        <name val="Calibri"/>
        <family val="2"/>
        <scheme val="none"/>
      </font>
      <numFmt numFmtId="0" formatCode="General"/>
    </odxf>
    <n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ndxf>
  </rcc>
  <rcc rId="1197" sId="2">
    <nc r="N45">
      <f>SUM(B45:M45)</f>
    </nc>
  </rcc>
  <rcc rId="1198" sId="2" odxf="1" dxf="1">
    <nc r="O45">
      <f>N44/N45</f>
    </nc>
    <odxf>
      <numFmt numFmtId="0" formatCode="General"/>
    </odxf>
    <ndxf>
      <numFmt numFmtId="13" formatCode="0%"/>
    </ndxf>
  </rcc>
  <rfmt sheetId="2" sqref="B47" start="0" length="0">
    <dxf>
      <numFmt numFmtId="22" formatCode="mmm/yy"/>
    </dxf>
  </rfmt>
  <rfmt sheetId="2" sqref="C47" start="0" length="0">
    <dxf>
      <numFmt numFmtId="22" formatCode="mmm/yy"/>
    </dxf>
  </rfmt>
  <rfmt sheetId="2" sqref="D47" start="0" length="0">
    <dxf>
      <numFmt numFmtId="22" formatCode="mmm/yy"/>
    </dxf>
  </rfmt>
  <rfmt sheetId="2" sqref="E47" start="0" length="0">
    <dxf>
      <numFmt numFmtId="22" formatCode="mmm/yy"/>
    </dxf>
  </rfmt>
  <rfmt sheetId="2" sqref="F47" start="0" length="0">
    <dxf>
      <numFmt numFmtId="22" formatCode="mmm/yy"/>
    </dxf>
  </rfmt>
  <rfmt sheetId="2" sqref="G47" start="0" length="0">
    <dxf>
      <numFmt numFmtId="22" formatCode="mmm/yy"/>
    </dxf>
  </rfmt>
  <rfmt sheetId="2" sqref="H47" start="0" length="0">
    <dxf>
      <numFmt numFmtId="22" formatCode="mmm/yy"/>
    </dxf>
  </rfmt>
  <rfmt sheetId="2" sqref="I47" start="0" length="0">
    <dxf>
      <numFmt numFmtId="22" formatCode="mmm/yy"/>
    </dxf>
  </rfmt>
  <rfmt sheetId="2" sqref="J47" start="0" length="0">
    <dxf>
      <numFmt numFmtId="22" formatCode="mmm/yy"/>
    </dxf>
  </rfmt>
  <rfmt sheetId="2" sqref="K47" start="0" length="0">
    <dxf>
      <numFmt numFmtId="22" formatCode="mmm/yy"/>
    </dxf>
  </rfmt>
  <rfmt sheetId="2" sqref="L47" start="0" length="0">
    <dxf>
      <numFmt numFmtId="22" formatCode="mmm/yy"/>
    </dxf>
  </rfmt>
  <rfmt sheetId="2" sqref="M47" start="0" length="0">
    <dxf>
      <numFmt numFmtId="22" formatCode="mmm/yy"/>
    </dxf>
  </rfmt>
  <rfmt sheetId="2" sqref="B48" start="0" length="0">
    <dxf>
      <numFmt numFmtId="178" formatCode="_-&quot;R$&quot;\ * #,##0.00_-;\-&quot;R$&quot;\ * #,##0.00_-;_-&quot;R$&quot;\ * &quot;-&quot;??_-;_-@_-"/>
    </dxf>
  </rfmt>
  <rfmt sheetId="2" sqref="C48" start="0" length="0">
    <dxf>
      <numFmt numFmtId="178" formatCode="_-&quot;R$&quot;\ * #,##0.00_-;\-&quot;R$&quot;\ * #,##0.00_-;_-&quot;R$&quot;\ * &quot;-&quot;??_-;_-@_-"/>
    </dxf>
  </rfmt>
  <rfmt sheetId="2" sqref="D48" start="0" length="0">
    <dxf>
      <numFmt numFmtId="178" formatCode="_-&quot;R$&quot;\ * #,##0.00_-;\-&quot;R$&quot;\ * #,##0.00_-;_-&quot;R$&quot;\ * &quot;-&quot;??_-;_-@_-"/>
    </dxf>
  </rfmt>
  <rfmt sheetId="2" sqref="E48" start="0" length="0">
    <dxf>
      <numFmt numFmtId="178" formatCode="_-&quot;R$&quot;\ * #,##0.00_-;\-&quot;R$&quot;\ * #,##0.00_-;_-&quot;R$&quot;\ * &quot;-&quot;??_-;_-@_-"/>
    </dxf>
  </rfmt>
  <rfmt sheetId="2" sqref="F48" start="0" length="0">
    <dxf>
      <numFmt numFmtId="178" formatCode="_-&quot;R$&quot;\ * #,##0.00_-;\-&quot;R$&quot;\ * #,##0.00_-;_-&quot;R$&quot;\ * &quot;-&quot;??_-;_-@_-"/>
    </dxf>
  </rfmt>
  <rfmt sheetId="2" sqref="G48" start="0" length="0">
    <dxf>
      <numFmt numFmtId="178" formatCode="_-&quot;R$&quot;\ * #,##0.00_-;\-&quot;R$&quot;\ * #,##0.00_-;_-&quot;R$&quot;\ * &quot;-&quot;??_-;_-@_-"/>
    </dxf>
  </rfmt>
  <rfmt sheetId="2" sqref="H48" start="0" length="0">
    <dxf>
      <numFmt numFmtId="178" formatCode="_-&quot;R$&quot;\ * #,##0.00_-;\-&quot;R$&quot;\ * #,##0.00_-;_-&quot;R$&quot;\ * &quot;-&quot;??_-;_-@_-"/>
    </dxf>
  </rfmt>
  <rfmt sheetId="2" sqref="I48" start="0" length="0">
    <dxf>
      <numFmt numFmtId="178" formatCode="_-&quot;R$&quot;\ * #,##0.00_-;\-&quot;R$&quot;\ * #,##0.00_-;_-&quot;R$&quot;\ * &quot;-&quot;??_-;_-@_-"/>
    </dxf>
  </rfmt>
  <rfmt sheetId="2" sqref="J48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K48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L48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cc rId="1199" sId="2" odxf="1" dxf="1" numFmtId="34">
    <nc r="M48">
      <v>6439.6</v>
    </nc>
    <odxf>
      <font>
        <sz val="11"/>
        <color indexed="8"/>
        <name val="Calibri"/>
        <family val="2"/>
        <scheme val="none"/>
      </font>
      <numFmt numFmtId="0" formatCode="General"/>
    </odxf>
    <n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ndxf>
  </rcc>
  <rcc rId="1200" sId="2">
    <nc r="N48">
      <f>SUM(B48:M48)</f>
    </nc>
  </rcc>
  <rcc rId="1201" sId="2">
    <nc r="O48" t="inlineStr">
      <is>
        <t>fator r</t>
      </is>
    </nc>
  </rcc>
  <rfmt sheetId="2" sqref="B49" start="0" length="0">
    <dxf>
      <numFmt numFmtId="178" formatCode="_-&quot;R$&quot;\ * #,##0.00_-;\-&quot;R$&quot;\ * #,##0.00_-;_-&quot;R$&quot;\ * &quot;-&quot;??_-;_-@_-"/>
    </dxf>
  </rfmt>
  <rfmt sheetId="2" sqref="C49" start="0" length="0">
    <dxf>
      <numFmt numFmtId="178" formatCode="_-&quot;R$&quot;\ * #,##0.00_-;\-&quot;R$&quot;\ * #,##0.00_-;_-&quot;R$&quot;\ * &quot;-&quot;??_-;_-@_-"/>
    </dxf>
  </rfmt>
  <rfmt sheetId="2" sqref="D49" start="0" length="0">
    <dxf>
      <numFmt numFmtId="178" formatCode="_-&quot;R$&quot;\ * #,##0.00_-;\-&quot;R$&quot;\ * #,##0.00_-;_-&quot;R$&quot;\ * &quot;-&quot;??_-;_-@_-"/>
    </dxf>
  </rfmt>
  <rfmt sheetId="2" sqref="E49" start="0" length="0">
    <dxf>
      <numFmt numFmtId="178" formatCode="_-&quot;R$&quot;\ * #,##0.00_-;\-&quot;R$&quot;\ * #,##0.00_-;_-&quot;R$&quot;\ * &quot;-&quot;??_-;_-@_-"/>
    </dxf>
  </rfmt>
  <rfmt sheetId="2" sqref="F49" start="0" length="0">
    <dxf>
      <numFmt numFmtId="178" formatCode="_-&quot;R$&quot;\ * #,##0.00_-;\-&quot;R$&quot;\ * #,##0.00_-;_-&quot;R$&quot;\ * &quot;-&quot;??_-;_-@_-"/>
    </dxf>
  </rfmt>
  <rfmt sheetId="2" sqref="G49" start="0" length="0">
    <dxf>
      <numFmt numFmtId="178" formatCode="_-&quot;R$&quot;\ * #,##0.00_-;\-&quot;R$&quot;\ * #,##0.00_-;_-&quot;R$&quot;\ * &quot;-&quot;??_-;_-@_-"/>
    </dxf>
  </rfmt>
  <rfmt sheetId="2" sqref="H49" start="0" length="0">
    <dxf>
      <numFmt numFmtId="178" formatCode="_-&quot;R$&quot;\ * #,##0.00_-;\-&quot;R$&quot;\ * #,##0.00_-;_-&quot;R$&quot;\ * &quot;-&quot;??_-;_-@_-"/>
    </dxf>
  </rfmt>
  <rfmt sheetId="2" sqref="I49" start="0" length="0">
    <dxf>
      <numFmt numFmtId="178" formatCode="_-&quot;R$&quot;\ * #,##0.00_-;\-&quot;R$&quot;\ * #,##0.00_-;_-&quot;R$&quot;\ * &quot;-&quot;??_-;_-@_-"/>
    </dxf>
  </rfmt>
  <rfmt sheetId="2" sqref="J49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K49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fmt sheetId="2" sqref="L49" start="0" length="0">
    <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dxf>
  </rfmt>
  <rcc rId="1202" sId="2" odxf="1" dxf="1" numFmtId="34">
    <nc r="M49">
      <v>38171.54</v>
    </nc>
    <odxf>
      <font>
        <sz val="11"/>
        <color indexed="8"/>
        <name val="Calibri"/>
        <family val="2"/>
        <scheme val="none"/>
      </font>
      <numFmt numFmtId="0" formatCode="General"/>
    </odxf>
    <ndxf>
      <font>
        <sz val="11"/>
        <color indexed="10"/>
        <name val="Calibri"/>
        <family val="2"/>
        <scheme val="none"/>
      </font>
      <numFmt numFmtId="178" formatCode="_-&quot;R$&quot;\ * #,##0.00_-;\-&quot;R$&quot;\ * #,##0.00_-;_-&quot;R$&quot;\ * &quot;-&quot;??_-;_-@_-"/>
    </ndxf>
  </rcc>
  <rcc rId="1203" sId="2">
    <nc r="N49">
      <f>SUM(B49:M49)</f>
    </nc>
  </rcc>
  <rcc rId="1204" sId="2" odxf="1" dxf="1">
    <nc r="O49">
      <f>N48/N49</f>
    </nc>
    <odxf>
      <numFmt numFmtId="0" formatCode="General"/>
    </odxf>
    <ndxf>
      <numFmt numFmtId="13" formatCode="0%"/>
    </ndxf>
  </rcc>
  <rcc rId="1205" sId="2" numFmtId="22">
    <nc r="B27">
      <v>43282</v>
    </nc>
  </rcc>
  <rcc rId="1206" sId="2" numFmtId="22">
    <nc r="C27">
      <v>43313</v>
    </nc>
  </rcc>
  <rcc rId="1207" sId="2" numFmtId="22">
    <nc r="D27">
      <v>43344</v>
    </nc>
  </rcc>
  <rcc rId="1208" sId="2" numFmtId="22">
    <nc r="E27">
      <v>43374</v>
    </nc>
  </rcc>
  <rcc rId="1209" sId="2" numFmtId="22">
    <nc r="F27">
      <v>43405</v>
    </nc>
  </rcc>
  <rcc rId="1210" sId="2" numFmtId="22">
    <nc r="G27">
      <v>43435</v>
    </nc>
  </rcc>
  <rcc rId="1211" sId="2" numFmtId="22">
    <nc r="H27">
      <v>43466</v>
    </nc>
  </rcc>
  <rcc rId="1212" sId="2" numFmtId="22">
    <nc r="I27">
      <v>43497</v>
    </nc>
  </rcc>
  <rcc rId="1213" sId="2" numFmtId="22">
    <nc r="J27">
      <v>43525</v>
    </nc>
  </rcc>
  <rcc rId="1214" sId="2" numFmtId="22">
    <nc r="K27">
      <v>43556</v>
    </nc>
  </rcc>
  <rcc rId="1215" sId="2" numFmtId="22">
    <nc r="L27">
      <v>43586</v>
    </nc>
  </rcc>
  <rcc rId="1216" sId="2" numFmtId="34">
    <nc r="B28">
      <v>9856.8799999999992</v>
    </nc>
  </rcc>
  <rcc rId="1217" sId="2" numFmtId="34">
    <nc r="C28">
      <v>2433.84</v>
    </nc>
  </rcc>
  <rcc rId="1218" sId="2" numFmtId="34">
    <nc r="D28">
      <v>9353.23</v>
    </nc>
  </rcc>
  <rcc rId="1219" sId="2" numFmtId="34">
    <nc r="E28">
      <v>14882.05</v>
    </nc>
  </rcc>
  <rcc rId="1220" sId="2" numFmtId="34">
    <nc r="F28">
      <v>16321.25</v>
    </nc>
  </rcc>
  <rcc rId="1221" sId="2" numFmtId="34">
    <nc r="G28">
      <v>17926.98</v>
    </nc>
  </rcc>
  <rcc rId="1222" sId="2" numFmtId="34">
    <nc r="H28">
      <v>9304.07</v>
    </nc>
  </rcc>
  <rfmt sheetId="2" sqref="I28" start="0" length="0">
    <dxf>
      <font>
        <sz val="11"/>
        <color indexed="10"/>
        <name val="Calibri"/>
        <family val="2"/>
        <scheme val="none"/>
      </font>
    </dxf>
  </rfmt>
  <rcc rId="1223" sId="2" numFmtId="34">
    <nc r="J28">
      <v>6439.6</v>
    </nc>
  </rcc>
  <rcc rId="1224" sId="2" numFmtId="34">
    <nc r="K28">
      <v>6439.6</v>
    </nc>
  </rcc>
  <rcc rId="1225" sId="2" numFmtId="34">
    <nc r="L28">
      <v>6439.6</v>
    </nc>
  </rcc>
  <rcc rId="1226" sId="2" numFmtId="34">
    <nc r="B29">
      <v>23819.88</v>
    </nc>
  </rcc>
  <rcc rId="1227" sId="2" numFmtId="34">
    <nc r="C29">
      <v>26008.21</v>
    </nc>
  </rcc>
  <rcc rId="1228" sId="2" numFmtId="34">
    <nc r="D29">
      <v>29456.95</v>
    </nc>
  </rcc>
  <rcc rId="1229" sId="2" numFmtId="34">
    <nc r="E29">
      <v>23718.02</v>
    </nc>
  </rcc>
  <rcc rId="1230" sId="2" numFmtId="34">
    <nc r="F29">
      <v>38171.54</v>
    </nc>
  </rcc>
  <rcc rId="1231" sId="2" numFmtId="34">
    <nc r="G29">
      <v>35246</v>
    </nc>
  </rcc>
  <rcc rId="1232" sId="2" numFmtId="34">
    <nc r="H29">
      <v>18308.54</v>
    </nc>
  </rcc>
  <rcc rId="1233" sId="2" odxf="1" dxf="1" numFmtId="34">
    <nc r="I29">
      <v>38171.54</v>
    </nc>
    <ndxf>
      <font>
        <sz val="11"/>
        <color indexed="10"/>
        <name val="Calibri"/>
        <family val="2"/>
        <scheme val="none"/>
      </font>
    </ndxf>
  </rcc>
  <rcc rId="1234" sId="2" numFmtId="34">
    <nc r="J29">
      <v>38171.54</v>
    </nc>
  </rcc>
  <rcc rId="1235" sId="2" numFmtId="34">
    <nc r="K29">
      <v>38171.54</v>
    </nc>
  </rcc>
  <rcc rId="1236" sId="2" numFmtId="34">
    <nc r="L29">
      <v>38171.54</v>
    </nc>
  </rcc>
  <rcc rId="1237" sId="2" numFmtId="22">
    <nc r="M27">
      <v>43617</v>
    </nc>
  </rcc>
  <rcc rId="1238" sId="2" numFmtId="22">
    <nc r="B31">
      <v>43313</v>
    </nc>
  </rcc>
  <rcc rId="1239" sId="2" numFmtId="22">
    <nc r="C31">
      <v>43344</v>
    </nc>
  </rcc>
  <rcc rId="1240" sId="2" numFmtId="22">
    <nc r="D31">
      <v>43374</v>
    </nc>
  </rcc>
  <rcc rId="1241" sId="2" numFmtId="22">
    <nc r="E31">
      <v>43405</v>
    </nc>
  </rcc>
  <rcc rId="1242" sId="2" numFmtId="22">
    <nc r="F31">
      <v>43435</v>
    </nc>
  </rcc>
  <rcc rId="1243" sId="2" numFmtId="22">
    <nc r="G31">
      <v>43466</v>
    </nc>
  </rcc>
  <rcc rId="1244" sId="2" numFmtId="22">
    <nc r="H31">
      <v>43497</v>
    </nc>
  </rcc>
  <rcc rId="1245" sId="2" numFmtId="22">
    <nc r="I31">
      <v>43525</v>
    </nc>
  </rcc>
  <rcc rId="1246" sId="2" numFmtId="22">
    <nc r="J31">
      <v>43556</v>
    </nc>
  </rcc>
  <rcc rId="1247" sId="2" numFmtId="22">
    <nc r="K31">
      <v>43586</v>
    </nc>
  </rcc>
  <rcc rId="1248" sId="2" numFmtId="22">
    <nc r="L31">
      <v>43617</v>
    </nc>
  </rcc>
  <rcc rId="1249" sId="2" numFmtId="34">
    <nc r="B32">
      <v>2433.84</v>
    </nc>
  </rcc>
  <rcc rId="1250" sId="2" numFmtId="34">
    <nc r="C32">
      <v>9353.23</v>
    </nc>
  </rcc>
  <rcc rId="1251" sId="2" numFmtId="34">
    <nc r="D32">
      <v>14882.05</v>
    </nc>
  </rcc>
  <rcc rId="1252" sId="2" numFmtId="34">
    <nc r="E32">
      <v>16321.25</v>
    </nc>
  </rcc>
  <rcc rId="1253" sId="2" numFmtId="34">
    <nc r="F32">
      <v>17926.98</v>
    </nc>
  </rcc>
  <rcc rId="1254" sId="2" numFmtId="34">
    <nc r="G32">
      <v>9304.07</v>
    </nc>
  </rcc>
  <rfmt sheetId="2" sqref="H32" start="0" length="0">
    <dxf>
      <font>
        <sz val="11"/>
        <color indexed="10"/>
        <name val="Calibri"/>
        <family val="2"/>
        <scheme val="none"/>
      </font>
    </dxf>
  </rfmt>
  <rcc rId="1255" sId="2" odxf="1" dxf="1" numFmtId="34">
    <nc r="I32">
      <v>6439.6</v>
    </nc>
    <ndxf>
      <font>
        <sz val="11"/>
        <color indexed="10"/>
        <name val="Calibri"/>
        <family val="2"/>
        <scheme val="none"/>
      </font>
    </ndxf>
  </rcc>
  <rcc rId="1256" sId="2" numFmtId="34">
    <nc r="J32">
      <v>6439.6</v>
    </nc>
  </rcc>
  <rcc rId="1257" sId="2" numFmtId="34">
    <nc r="K32">
      <v>6439.6</v>
    </nc>
  </rcc>
  <rcc rId="1258" sId="2" numFmtId="34">
    <nc r="L32">
      <v>6439.6</v>
    </nc>
  </rcc>
  <rcc rId="1259" sId="2" numFmtId="34">
    <nc r="B33">
      <v>26008.21</v>
    </nc>
  </rcc>
  <rcc rId="1260" sId="2" numFmtId="34">
    <nc r="C33">
      <v>29456.95</v>
    </nc>
  </rcc>
  <rcc rId="1261" sId="2" numFmtId="34">
    <nc r="D33">
      <v>23718.02</v>
    </nc>
  </rcc>
  <rcc rId="1262" sId="2" numFmtId="34">
    <nc r="E33">
      <v>38171.54</v>
    </nc>
  </rcc>
  <rcc rId="1263" sId="2" numFmtId="34">
    <nc r="F33">
      <v>35246</v>
    </nc>
  </rcc>
  <rcc rId="1264" sId="2" numFmtId="34">
    <nc r="G33">
      <v>18308.54</v>
    </nc>
  </rcc>
  <rcc rId="1265" sId="2" odxf="1" dxf="1" numFmtId="34">
    <nc r="H33">
      <v>38171.54</v>
    </nc>
    <ndxf>
      <font>
        <sz val="11"/>
        <color indexed="10"/>
        <name val="Calibri"/>
        <family val="2"/>
        <scheme val="none"/>
      </font>
    </ndxf>
  </rcc>
  <rcc rId="1266" sId="2" odxf="1" dxf="1" numFmtId="34">
    <nc r="I33">
      <v>38171.54</v>
    </nc>
    <ndxf>
      <font>
        <sz val="11"/>
        <color indexed="10"/>
        <name val="Calibri"/>
        <family val="2"/>
        <scheme val="none"/>
      </font>
    </ndxf>
  </rcc>
  <rcc rId="1267" sId="2" numFmtId="34">
    <nc r="J33">
      <v>38171.54</v>
    </nc>
  </rcc>
  <rcc rId="1268" sId="2" numFmtId="34">
    <nc r="K33">
      <v>38171.54</v>
    </nc>
  </rcc>
  <rcc rId="1269" sId="2" numFmtId="34">
    <nc r="L33">
      <v>38171.54</v>
    </nc>
  </rcc>
  <rcc rId="1270" sId="2" numFmtId="22">
    <nc r="M31">
      <v>43647</v>
    </nc>
  </rcc>
  <rcc rId="1271" sId="2" numFmtId="22">
    <nc r="B35">
      <v>43344</v>
    </nc>
  </rcc>
  <rcc rId="1272" sId="2" numFmtId="22">
    <nc r="C35">
      <v>43374</v>
    </nc>
  </rcc>
  <rcc rId="1273" sId="2" numFmtId="22">
    <nc r="D35">
      <v>43405</v>
    </nc>
  </rcc>
  <rcc rId="1274" sId="2" numFmtId="22">
    <nc r="E35">
      <v>43435</v>
    </nc>
  </rcc>
  <rcc rId="1275" sId="2" numFmtId="22">
    <nc r="F35">
      <v>43466</v>
    </nc>
  </rcc>
  <rcc rId="1276" sId="2" numFmtId="22">
    <nc r="G35">
      <v>43497</v>
    </nc>
  </rcc>
  <rcc rId="1277" sId="2" numFmtId="22">
    <nc r="H35">
      <v>43525</v>
    </nc>
  </rcc>
  <rcc rId="1278" sId="2" numFmtId="22">
    <nc r="I35">
      <v>43556</v>
    </nc>
  </rcc>
  <rcc rId="1279" sId="2" numFmtId="22">
    <nc r="J35">
      <v>43586</v>
    </nc>
  </rcc>
  <rcc rId="1280" sId="2" numFmtId="22">
    <nc r="K35">
      <v>43617</v>
    </nc>
  </rcc>
  <rcc rId="1281" sId="2" numFmtId="22">
    <nc r="L35">
      <v>43647</v>
    </nc>
  </rcc>
  <rcc rId="1282" sId="2" numFmtId="34">
    <nc r="B36">
      <v>9353.23</v>
    </nc>
  </rcc>
  <rcc rId="1283" sId="2" numFmtId="34">
    <nc r="C36">
      <v>14882.05</v>
    </nc>
  </rcc>
  <rcc rId="1284" sId="2" numFmtId="34">
    <nc r="D36">
      <v>16321.25</v>
    </nc>
  </rcc>
  <rcc rId="1285" sId="2" numFmtId="34">
    <nc r="E36">
      <v>17926.98</v>
    </nc>
  </rcc>
  <rcc rId="1286" sId="2" numFmtId="34">
    <nc r="F36">
      <v>9304.07</v>
    </nc>
  </rcc>
  <rfmt sheetId="2" sqref="G36" start="0" length="0">
    <dxf>
      <font>
        <sz val="11"/>
        <color indexed="10"/>
        <name val="Calibri"/>
        <family val="2"/>
        <scheme val="none"/>
      </font>
    </dxf>
  </rfmt>
  <rcc rId="1287" sId="2" odxf="1" dxf="1" numFmtId="34">
    <nc r="H36">
      <v>6439.6</v>
    </nc>
    <ndxf>
      <font>
        <sz val="11"/>
        <color indexed="10"/>
        <name val="Calibri"/>
        <family val="2"/>
        <scheme val="none"/>
      </font>
    </ndxf>
  </rcc>
  <rcc rId="1288" sId="2" odxf="1" dxf="1" numFmtId="34">
    <nc r="I36">
      <v>6439.6</v>
    </nc>
    <ndxf>
      <font>
        <sz val="11"/>
        <color indexed="10"/>
        <name val="Calibri"/>
        <family val="2"/>
        <scheme val="none"/>
      </font>
    </ndxf>
  </rcc>
  <rcc rId="1289" sId="2" numFmtId="34">
    <nc r="J36">
      <v>6439.6</v>
    </nc>
  </rcc>
  <rcc rId="1290" sId="2" numFmtId="34">
    <nc r="K36">
      <v>6439.6</v>
    </nc>
  </rcc>
  <rcc rId="1291" sId="2" numFmtId="34">
    <nc r="L36">
      <v>6439.6</v>
    </nc>
  </rcc>
  <rcc rId="1292" sId="2" numFmtId="34">
    <nc r="B37">
      <v>29456.95</v>
    </nc>
  </rcc>
  <rcc rId="1293" sId="2" numFmtId="34">
    <nc r="C37">
      <v>23718.02</v>
    </nc>
  </rcc>
  <rcc rId="1294" sId="2" numFmtId="34">
    <nc r="D37">
      <v>38171.54</v>
    </nc>
  </rcc>
  <rcc rId="1295" sId="2" numFmtId="34">
    <nc r="E37">
      <v>35246</v>
    </nc>
  </rcc>
  <rcc rId="1296" sId="2" numFmtId="34">
    <nc r="F37">
      <v>18308.54</v>
    </nc>
  </rcc>
  <rcc rId="1297" sId="2" odxf="1" dxf="1" numFmtId="34">
    <nc r="G37">
      <v>38171.54</v>
    </nc>
    <ndxf>
      <font>
        <sz val="11"/>
        <color indexed="10"/>
        <name val="Calibri"/>
        <family val="2"/>
        <scheme val="none"/>
      </font>
    </ndxf>
  </rcc>
  <rcc rId="1298" sId="2" odxf="1" dxf="1" numFmtId="34">
    <nc r="H37">
      <v>38171.54</v>
    </nc>
    <ndxf>
      <font>
        <sz val="11"/>
        <color indexed="10"/>
        <name val="Calibri"/>
        <family val="2"/>
        <scheme val="none"/>
      </font>
    </ndxf>
  </rcc>
  <rcc rId="1299" sId="2" odxf="1" dxf="1" numFmtId="34">
    <nc r="I37">
      <v>38171.54</v>
    </nc>
    <ndxf>
      <font>
        <sz val="11"/>
        <color indexed="10"/>
        <name val="Calibri"/>
        <family val="2"/>
        <scheme val="none"/>
      </font>
    </ndxf>
  </rcc>
  <rcc rId="1300" sId="2" numFmtId="34">
    <nc r="J37">
      <v>38171.54</v>
    </nc>
  </rcc>
  <rcc rId="1301" sId="2" numFmtId="34">
    <nc r="K37">
      <v>38171.54</v>
    </nc>
  </rcc>
  <rcc rId="1302" sId="2" numFmtId="34">
    <nc r="L37">
      <v>38171.54</v>
    </nc>
  </rcc>
  <rcc rId="1303" sId="2" numFmtId="22">
    <nc r="M35">
      <v>43678</v>
    </nc>
  </rcc>
  <rcc rId="1304" sId="2" numFmtId="22">
    <nc r="B39">
      <v>43374</v>
    </nc>
  </rcc>
  <rcc rId="1305" sId="2" numFmtId="22">
    <nc r="C39">
      <v>43405</v>
    </nc>
  </rcc>
  <rcc rId="1306" sId="2" numFmtId="22">
    <nc r="D39">
      <v>43435</v>
    </nc>
  </rcc>
  <rcc rId="1307" sId="2" numFmtId="22">
    <nc r="E39">
      <v>43466</v>
    </nc>
  </rcc>
  <rcc rId="1308" sId="2" numFmtId="22">
    <nc r="F39">
      <v>43497</v>
    </nc>
  </rcc>
  <rcc rId="1309" sId="2" numFmtId="22">
    <nc r="G39">
      <v>43525</v>
    </nc>
  </rcc>
  <rcc rId="1310" sId="2" numFmtId="22">
    <nc r="H39">
      <v>43556</v>
    </nc>
  </rcc>
  <rcc rId="1311" sId="2" numFmtId="22">
    <nc r="I39">
      <v>43586</v>
    </nc>
  </rcc>
  <rcc rId="1312" sId="2" numFmtId="22">
    <nc r="J39">
      <v>43617</v>
    </nc>
  </rcc>
  <rcc rId="1313" sId="2" numFmtId="22">
    <nc r="K39">
      <v>43647</v>
    </nc>
  </rcc>
  <rcc rId="1314" sId="2" numFmtId="22">
    <nc r="L39">
      <v>43678</v>
    </nc>
  </rcc>
  <rcc rId="1315" sId="2" numFmtId="34">
    <nc r="B40">
      <v>14882.05</v>
    </nc>
  </rcc>
  <rcc rId="1316" sId="2" numFmtId="34">
    <nc r="C40">
      <v>16321.25</v>
    </nc>
  </rcc>
  <rcc rId="1317" sId="2" numFmtId="34">
    <nc r="D40">
      <v>17926.98</v>
    </nc>
  </rcc>
  <rcc rId="1318" sId="2" numFmtId="34">
    <nc r="E40">
      <v>9304.07</v>
    </nc>
  </rcc>
  <rfmt sheetId="2" sqref="F40" start="0" length="0">
    <dxf>
      <font>
        <sz val="11"/>
        <color indexed="10"/>
        <name val="Calibri"/>
        <family val="2"/>
        <scheme val="none"/>
      </font>
    </dxf>
  </rfmt>
  <rcc rId="1319" sId="2" odxf="1" dxf="1" numFmtId="34">
    <nc r="G40">
      <v>6439.6</v>
    </nc>
    <ndxf>
      <font>
        <sz val="11"/>
        <color indexed="10"/>
        <name val="Calibri"/>
        <family val="2"/>
        <scheme val="none"/>
      </font>
    </ndxf>
  </rcc>
  <rcc rId="1320" sId="2" odxf="1" dxf="1" numFmtId="34">
    <nc r="H40">
      <v>6439.6</v>
    </nc>
    <ndxf>
      <font>
        <sz val="11"/>
        <color indexed="10"/>
        <name val="Calibri"/>
        <family val="2"/>
        <scheme val="none"/>
      </font>
    </ndxf>
  </rcc>
  <rcc rId="1321" sId="2" odxf="1" dxf="1" numFmtId="34">
    <nc r="I40">
      <v>6439.6</v>
    </nc>
    <ndxf>
      <font>
        <sz val="11"/>
        <color indexed="10"/>
        <name val="Calibri"/>
        <family val="2"/>
        <scheme val="none"/>
      </font>
    </ndxf>
  </rcc>
  <rcc rId="1322" sId="2" numFmtId="34">
    <nc r="J40">
      <v>6439.6</v>
    </nc>
  </rcc>
  <rcc rId="1323" sId="2" numFmtId="34">
    <nc r="K40">
      <v>6439.6</v>
    </nc>
  </rcc>
  <rcc rId="1324" sId="2" numFmtId="34">
    <nc r="L40">
      <v>6439.6</v>
    </nc>
  </rcc>
  <rcc rId="1325" sId="2" numFmtId="34">
    <nc r="B41">
      <v>23718.02</v>
    </nc>
  </rcc>
  <rcc rId="1326" sId="2" numFmtId="34">
    <nc r="C41">
      <v>38171.54</v>
    </nc>
  </rcc>
  <rcc rId="1327" sId="2" numFmtId="34">
    <nc r="D41">
      <v>35246</v>
    </nc>
  </rcc>
  <rcc rId="1328" sId="2" numFmtId="34">
    <nc r="E41">
      <v>18308.54</v>
    </nc>
  </rcc>
  <rcc rId="1329" sId="2" odxf="1" dxf="1" numFmtId="34">
    <nc r="F41">
      <v>38171.54</v>
    </nc>
    <ndxf>
      <font>
        <sz val="11"/>
        <color indexed="10"/>
        <name val="Calibri"/>
        <family val="2"/>
        <scheme val="none"/>
      </font>
    </ndxf>
  </rcc>
  <rcc rId="1330" sId="2" odxf="1" dxf="1" numFmtId="34">
    <nc r="G41">
      <v>38171.54</v>
    </nc>
    <ndxf>
      <font>
        <sz val="11"/>
        <color indexed="10"/>
        <name val="Calibri"/>
        <family val="2"/>
        <scheme val="none"/>
      </font>
    </ndxf>
  </rcc>
  <rcc rId="1331" sId="2" odxf="1" dxf="1" numFmtId="34">
    <nc r="H41">
      <v>38171.54</v>
    </nc>
    <ndxf>
      <font>
        <sz val="11"/>
        <color indexed="10"/>
        <name val="Calibri"/>
        <family val="2"/>
        <scheme val="none"/>
      </font>
    </ndxf>
  </rcc>
  <rcc rId="1332" sId="2" odxf="1" dxf="1" numFmtId="34">
    <nc r="I41">
      <v>38171.54</v>
    </nc>
    <ndxf>
      <font>
        <sz val="11"/>
        <color indexed="10"/>
        <name val="Calibri"/>
        <family val="2"/>
        <scheme val="none"/>
      </font>
    </ndxf>
  </rcc>
  <rcc rId="1333" sId="2" numFmtId="34">
    <nc r="J41">
      <v>38171.54</v>
    </nc>
  </rcc>
  <rcc rId="1334" sId="2" numFmtId="34">
    <nc r="K41">
      <v>38171.54</v>
    </nc>
  </rcc>
  <rcc rId="1335" sId="2" numFmtId="34">
    <nc r="L41">
      <v>38171.54</v>
    </nc>
  </rcc>
  <rcc rId="1336" sId="2" numFmtId="22">
    <nc r="M39">
      <v>43709</v>
    </nc>
  </rcc>
  <rcc rId="1337" sId="2" numFmtId="22">
    <nc r="B43">
      <v>43405</v>
    </nc>
  </rcc>
  <rcc rId="1338" sId="2" numFmtId="22">
    <nc r="C43">
      <v>43435</v>
    </nc>
  </rcc>
  <rcc rId="1339" sId="2" numFmtId="22">
    <nc r="D43">
      <v>43466</v>
    </nc>
  </rcc>
  <rcc rId="1340" sId="2" numFmtId="22">
    <nc r="E43">
      <v>43497</v>
    </nc>
  </rcc>
  <rcc rId="1341" sId="2" numFmtId="22">
    <nc r="F43">
      <v>43525</v>
    </nc>
  </rcc>
  <rcc rId="1342" sId="2" numFmtId="22">
    <nc r="G43">
      <v>43556</v>
    </nc>
  </rcc>
  <rcc rId="1343" sId="2" numFmtId="22">
    <nc r="H43">
      <v>43586</v>
    </nc>
  </rcc>
  <rcc rId="1344" sId="2" numFmtId="22">
    <nc r="I43">
      <v>43617</v>
    </nc>
  </rcc>
  <rcc rId="1345" sId="2" numFmtId="22">
    <nc r="J43">
      <v>43647</v>
    </nc>
  </rcc>
  <rcc rId="1346" sId="2" numFmtId="22">
    <nc r="K43">
      <v>43678</v>
    </nc>
  </rcc>
  <rcc rId="1347" sId="2" numFmtId="22">
    <nc r="L43">
      <v>43709</v>
    </nc>
  </rcc>
  <rcc rId="1348" sId="2" numFmtId="34">
    <nc r="B44">
      <v>16321.25</v>
    </nc>
  </rcc>
  <rcc rId="1349" sId="2" numFmtId="34">
    <nc r="C44">
      <v>17926.98</v>
    </nc>
  </rcc>
  <rcc rId="1350" sId="2" numFmtId="34">
    <nc r="D44">
      <v>9304.07</v>
    </nc>
  </rcc>
  <rfmt sheetId="2" sqref="E44" start="0" length="0">
    <dxf>
      <font>
        <sz val="11"/>
        <color indexed="10"/>
        <name val="Calibri"/>
        <family val="2"/>
        <scheme val="none"/>
      </font>
    </dxf>
  </rfmt>
  <rcc rId="1351" sId="2" odxf="1" dxf="1" numFmtId="34">
    <nc r="F44">
      <v>6439.6</v>
    </nc>
    <ndxf>
      <font>
        <sz val="11"/>
        <color indexed="10"/>
        <name val="Calibri"/>
        <family val="2"/>
        <scheme val="none"/>
      </font>
    </ndxf>
  </rcc>
  <rcc rId="1352" sId="2" odxf="1" dxf="1" numFmtId="34">
    <nc r="G44">
      <v>6439.6</v>
    </nc>
    <ndxf>
      <font>
        <sz val="11"/>
        <color indexed="10"/>
        <name val="Calibri"/>
        <family val="2"/>
        <scheme val="none"/>
      </font>
    </ndxf>
  </rcc>
  <rcc rId="1353" sId="2" odxf="1" dxf="1" numFmtId="34">
    <nc r="H44">
      <v>6439.6</v>
    </nc>
    <ndxf>
      <font>
        <sz val="11"/>
        <color indexed="10"/>
        <name val="Calibri"/>
        <family val="2"/>
        <scheme val="none"/>
      </font>
    </ndxf>
  </rcc>
  <rcc rId="1354" sId="2" odxf="1" dxf="1" numFmtId="34">
    <nc r="I44">
      <v>6439.6</v>
    </nc>
    <ndxf>
      <font>
        <sz val="11"/>
        <color indexed="10"/>
        <name val="Calibri"/>
        <family val="2"/>
        <scheme val="none"/>
      </font>
    </ndxf>
  </rcc>
  <rcc rId="1355" sId="2" numFmtId="34">
    <nc r="J44">
      <v>6439.6</v>
    </nc>
  </rcc>
  <rcc rId="1356" sId="2" numFmtId="34">
    <nc r="K44">
      <v>6439.6</v>
    </nc>
  </rcc>
  <rcc rId="1357" sId="2" numFmtId="34">
    <nc r="L44">
      <v>6439.6</v>
    </nc>
  </rcc>
  <rcc rId="1358" sId="2" numFmtId="34">
    <nc r="B45">
      <v>38171.54</v>
    </nc>
  </rcc>
  <rcc rId="1359" sId="2" numFmtId="34">
    <nc r="C45">
      <v>35246</v>
    </nc>
  </rcc>
  <rcc rId="1360" sId="2" numFmtId="34">
    <nc r="D45">
      <v>18308.54</v>
    </nc>
  </rcc>
  <rcc rId="1361" sId="2" odxf="1" dxf="1" numFmtId="34">
    <nc r="E45">
      <v>38171.54</v>
    </nc>
    <ndxf>
      <font>
        <sz val="11"/>
        <color indexed="10"/>
        <name val="Calibri"/>
        <family val="2"/>
        <scheme val="none"/>
      </font>
    </ndxf>
  </rcc>
  <rcc rId="1362" sId="2" odxf="1" dxf="1" numFmtId="34">
    <nc r="F45">
      <v>38171.54</v>
    </nc>
    <ndxf>
      <font>
        <sz val="11"/>
        <color indexed="10"/>
        <name val="Calibri"/>
        <family val="2"/>
        <scheme val="none"/>
      </font>
    </ndxf>
  </rcc>
  <rcc rId="1363" sId="2" odxf="1" dxf="1" numFmtId="34">
    <nc r="G45">
      <v>38171.54</v>
    </nc>
    <ndxf>
      <font>
        <sz val="11"/>
        <color indexed="10"/>
        <name val="Calibri"/>
        <family val="2"/>
        <scheme val="none"/>
      </font>
    </ndxf>
  </rcc>
  <rcc rId="1364" sId="2" odxf="1" dxf="1" numFmtId="34">
    <nc r="H45">
      <v>38171.54</v>
    </nc>
    <ndxf>
      <font>
        <sz val="11"/>
        <color indexed="10"/>
        <name val="Calibri"/>
        <family val="2"/>
        <scheme val="none"/>
      </font>
    </ndxf>
  </rcc>
  <rcc rId="1365" sId="2" odxf="1" dxf="1" numFmtId="34">
    <nc r="I45">
      <v>38171.54</v>
    </nc>
    <ndxf>
      <font>
        <sz val="11"/>
        <color indexed="10"/>
        <name val="Calibri"/>
        <family val="2"/>
        <scheme val="none"/>
      </font>
    </ndxf>
  </rcc>
  <rcc rId="1366" sId="2" numFmtId="34">
    <nc r="J45">
      <v>38171.54</v>
    </nc>
  </rcc>
  <rcc rId="1367" sId="2" numFmtId="34">
    <nc r="K45">
      <v>38171.54</v>
    </nc>
  </rcc>
  <rcc rId="1368" sId="2" numFmtId="34">
    <nc r="L45">
      <v>38171.54</v>
    </nc>
  </rcc>
  <rcc rId="1369" sId="2" numFmtId="22">
    <nc r="M43">
      <v>43739</v>
    </nc>
  </rcc>
  <rcc rId="1370" sId="2" numFmtId="22">
    <nc r="B47">
      <v>43435</v>
    </nc>
  </rcc>
  <rcc rId="1371" sId="2" numFmtId="22">
    <nc r="C47">
      <v>43466</v>
    </nc>
  </rcc>
  <rcc rId="1372" sId="2" numFmtId="22">
    <nc r="D47">
      <v>43497</v>
    </nc>
  </rcc>
  <rcc rId="1373" sId="2" numFmtId="22">
    <nc r="E47">
      <v>43525</v>
    </nc>
  </rcc>
  <rcc rId="1374" sId="2" numFmtId="22">
    <nc r="F47">
      <v>43556</v>
    </nc>
  </rcc>
  <rcc rId="1375" sId="2" numFmtId="22">
    <nc r="G47">
      <v>43586</v>
    </nc>
  </rcc>
  <rcc rId="1376" sId="2" numFmtId="22">
    <nc r="H47">
      <v>43617</v>
    </nc>
  </rcc>
  <rcc rId="1377" sId="2" numFmtId="22">
    <nc r="I47">
      <v>43647</v>
    </nc>
  </rcc>
  <rcc rId="1378" sId="2" numFmtId="22">
    <nc r="J47">
      <v>43678</v>
    </nc>
  </rcc>
  <rcc rId="1379" sId="2" numFmtId="22">
    <nc r="K47">
      <v>43709</v>
    </nc>
  </rcc>
  <rcc rId="1380" sId="2" numFmtId="22">
    <nc r="L47">
      <v>43739</v>
    </nc>
  </rcc>
  <rcc rId="1381" sId="2" numFmtId="34">
    <nc r="B48">
      <v>17926.98</v>
    </nc>
  </rcc>
  <rcc rId="1382" sId="2" numFmtId="34">
    <nc r="C48">
      <v>9304.07</v>
    </nc>
  </rcc>
  <rfmt sheetId="2" sqref="D48" start="0" length="0">
    <dxf>
      <font>
        <sz val="11"/>
        <color indexed="10"/>
        <name val="Calibri"/>
        <family val="2"/>
        <scheme val="none"/>
      </font>
    </dxf>
  </rfmt>
  <rcc rId="1383" sId="2" odxf="1" dxf="1" numFmtId="34">
    <nc r="E48">
      <v>6439.6</v>
    </nc>
    <ndxf>
      <font>
        <sz val="11"/>
        <color indexed="10"/>
        <name val="Calibri"/>
        <family val="2"/>
        <scheme val="none"/>
      </font>
    </ndxf>
  </rcc>
  <rcc rId="1384" sId="2" odxf="1" dxf="1" numFmtId="34">
    <nc r="F48">
      <v>6439.6</v>
    </nc>
    <ndxf>
      <font>
        <sz val="11"/>
        <color indexed="10"/>
        <name val="Calibri"/>
        <family val="2"/>
        <scheme val="none"/>
      </font>
    </ndxf>
  </rcc>
  <rcc rId="1385" sId="2" odxf="1" dxf="1" numFmtId="34">
    <nc r="G48">
      <v>6439.6</v>
    </nc>
    <ndxf>
      <font>
        <sz val="11"/>
        <color indexed="10"/>
        <name val="Calibri"/>
        <family val="2"/>
        <scheme val="none"/>
      </font>
    </ndxf>
  </rcc>
  <rcc rId="1386" sId="2" odxf="1" dxf="1" numFmtId="34">
    <nc r="H48">
      <v>6439.6</v>
    </nc>
    <ndxf>
      <font>
        <sz val="11"/>
        <color indexed="10"/>
        <name val="Calibri"/>
        <family val="2"/>
        <scheme val="none"/>
      </font>
    </ndxf>
  </rcc>
  <rcc rId="1387" sId="2" odxf="1" dxf="1" numFmtId="34">
    <nc r="I48">
      <v>6439.6</v>
    </nc>
    <ndxf>
      <font>
        <sz val="11"/>
        <color indexed="10"/>
        <name val="Calibri"/>
        <family val="2"/>
        <scheme val="none"/>
      </font>
    </ndxf>
  </rcc>
  <rcc rId="1388" sId="2" numFmtId="34">
    <nc r="J48">
      <v>6439.6</v>
    </nc>
  </rcc>
  <rcc rId="1389" sId="2" numFmtId="34">
    <nc r="K48">
      <v>6439.6</v>
    </nc>
  </rcc>
  <rcc rId="1390" sId="2" numFmtId="34">
    <nc r="L48">
      <v>6439.6</v>
    </nc>
  </rcc>
  <rcc rId="1391" sId="2" numFmtId="34">
    <nc r="B49">
      <v>35246</v>
    </nc>
  </rcc>
  <rcc rId="1392" sId="2" numFmtId="34">
    <nc r="C49">
      <v>18308.54</v>
    </nc>
  </rcc>
  <rcc rId="1393" sId="2" odxf="1" dxf="1" numFmtId="34">
    <nc r="D49">
      <v>38171.54</v>
    </nc>
    <ndxf>
      <font>
        <sz val="11"/>
        <color indexed="10"/>
        <name val="Calibri"/>
        <family val="2"/>
        <scheme val="none"/>
      </font>
    </ndxf>
  </rcc>
  <rcc rId="1394" sId="2" odxf="1" dxf="1" numFmtId="34">
    <nc r="E49">
      <v>38171.54</v>
    </nc>
    <ndxf>
      <font>
        <sz val="11"/>
        <color indexed="10"/>
        <name val="Calibri"/>
        <family val="2"/>
        <scheme val="none"/>
      </font>
    </ndxf>
  </rcc>
  <rcc rId="1395" sId="2" odxf="1" dxf="1" numFmtId="34">
    <nc r="F49">
      <v>38171.54</v>
    </nc>
    <ndxf>
      <font>
        <sz val="11"/>
        <color indexed="10"/>
        <name val="Calibri"/>
        <family val="2"/>
        <scheme val="none"/>
      </font>
    </ndxf>
  </rcc>
  <rcc rId="1396" sId="2" odxf="1" dxf="1" numFmtId="34">
    <nc r="G49">
      <v>38171.54</v>
    </nc>
    <ndxf>
      <font>
        <sz val="11"/>
        <color indexed="10"/>
        <name val="Calibri"/>
        <family val="2"/>
        <scheme val="none"/>
      </font>
    </ndxf>
  </rcc>
  <rcc rId="1397" sId="2" odxf="1" dxf="1" numFmtId="34">
    <nc r="H49">
      <v>38171.54</v>
    </nc>
    <ndxf>
      <font>
        <sz val="11"/>
        <color indexed="10"/>
        <name val="Calibri"/>
        <family val="2"/>
        <scheme val="none"/>
      </font>
    </ndxf>
  </rcc>
  <rcc rId="1398" sId="2" odxf="1" dxf="1" numFmtId="34">
    <nc r="I49">
      <v>38171.54</v>
    </nc>
    <ndxf>
      <font>
        <sz val="11"/>
        <color indexed="10"/>
        <name val="Calibri"/>
        <family val="2"/>
        <scheme val="none"/>
      </font>
    </ndxf>
  </rcc>
  <rcc rId="1399" sId="2" numFmtId="34">
    <nc r="J49">
      <v>38171.54</v>
    </nc>
  </rcc>
  <rcc rId="1400" sId="2" numFmtId="34">
    <nc r="K49">
      <v>38171.54</v>
    </nc>
  </rcc>
  <rcc rId="1401" sId="2" numFmtId="34">
    <nc r="L49">
      <v>38171.54</v>
    </nc>
  </rcc>
  <rcc rId="1402" sId="2" numFmtId="22">
    <nc r="M47">
      <v>43770</v>
    </nc>
  </rcc>
  <rcc rId="1403" sId="2" numFmtId="34">
    <oc r="L16">
      <v>6439.6</v>
    </oc>
    <nc r="L16">
      <v>8536.07</v>
    </nc>
  </rcc>
  <rcc rId="1404" sId="2" numFmtId="34">
    <oc r="K20">
      <v>6439.6</v>
    </oc>
    <nc r="K20">
      <v>8536.07</v>
    </nc>
  </rcc>
  <rcc rId="1405" sId="2" numFmtId="34">
    <nc r="J24">
      <v>8536.07</v>
    </nc>
  </rcc>
  <rcc rId="1406" sId="2" numFmtId="34">
    <nc r="I28">
      <v>8536.07</v>
    </nc>
  </rcc>
  <rcc rId="1407" sId="2" numFmtId="34">
    <nc r="H32">
      <v>8536.07</v>
    </nc>
  </rcc>
  <rcc rId="1408" sId="2" numFmtId="34">
    <nc r="G36">
      <v>8536.07</v>
    </nc>
  </rcc>
  <rcc rId="1409" sId="2" numFmtId="34">
    <nc r="F40">
      <v>8536.07</v>
    </nc>
  </rcc>
  <rcc rId="1410" sId="2" numFmtId="34">
    <nc r="E44">
      <v>8536.07</v>
    </nc>
  </rcc>
  <rcc rId="1411" sId="2" numFmtId="34">
    <nc r="D48">
      <v>8536.07</v>
    </nc>
  </rcc>
  <rcc rId="1412" sId="2">
    <nc r="A28" t="inlineStr">
      <is>
        <t>folha</t>
      </is>
    </nc>
  </rcc>
  <rcc rId="1413" sId="2">
    <nc r="A29" t="inlineStr">
      <is>
        <t>rbt</t>
      </is>
    </nc>
  </rcc>
  <rcc rId="1414" sId="2">
    <nc r="A32" t="inlineStr">
      <is>
        <t>folha</t>
      </is>
    </nc>
  </rcc>
  <rcc rId="1415" sId="2">
    <nc r="A33" t="inlineStr">
      <is>
        <t>rbt</t>
      </is>
    </nc>
  </rcc>
  <rcc rId="1416" sId="2">
    <nc r="A36" t="inlineStr">
      <is>
        <t>folha</t>
      </is>
    </nc>
  </rcc>
  <rcc rId="1417" sId="2">
    <nc r="A37" t="inlineStr">
      <is>
        <t>rbt</t>
      </is>
    </nc>
  </rcc>
  <rcc rId="1418" sId="2">
    <nc r="A40" t="inlineStr">
      <is>
        <t>folha</t>
      </is>
    </nc>
  </rcc>
  <rcc rId="1419" sId="2">
    <nc r="A41" t="inlineStr">
      <is>
        <t>rbt</t>
      </is>
    </nc>
  </rcc>
  <rcc rId="1420" sId="2">
    <nc r="A44" t="inlineStr">
      <is>
        <t>folha</t>
      </is>
    </nc>
  </rcc>
  <rcc rId="1421" sId="2">
    <nc r="A45" t="inlineStr">
      <is>
        <t>rbt</t>
      </is>
    </nc>
  </rcc>
  <rcc rId="1422" sId="2">
    <nc r="A48" t="inlineStr">
      <is>
        <t>folha</t>
      </is>
    </nc>
  </rcc>
  <rcc rId="1423" sId="2">
    <nc r="A49" t="inlineStr">
      <is>
        <t>rbt</t>
      </is>
    </nc>
  </rcc>
  <rcv guid="{6092A35D-646B-4696-B042-08D320802F8F}" action="delete"/>
  <rcv guid="{6092A35D-646B-4696-B042-08D320802F8F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92A35D-646B-4696-B042-08D320802F8F}" action="delete"/>
  <rcv guid="{6092A35D-646B-4696-B042-08D320802F8F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92A35D-646B-4696-B042-08D320802F8F}" action="delete"/>
  <rdn rId="0" localSheetId="1" customView="1" name="Z_6092A35D_646B_4696_B042_08D320802F8F_.wvu.Cols" hidden="1" oldHidden="1">
    <formula>Plan1!$B:$B</formula>
    <oldFormula>Plan1!$B:$B</oldFormula>
  </rdn>
  <rcv guid="{6092A35D-646B-4696-B042-08D320802F8F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opLeftCell="A43" workbookViewId="0">
      <selection activeCell="A5" sqref="A5"/>
    </sheetView>
  </sheetViews>
  <sheetFormatPr defaultRowHeight="15" x14ac:dyDescent="0.25"/>
  <cols>
    <col min="1" max="1" width="8.7109375" customWidth="1"/>
    <col min="2" max="2" width="11.5703125" hidden="1" customWidth="1"/>
    <col min="3" max="3" width="16.5703125" customWidth="1"/>
    <col min="4" max="4" width="15" customWidth="1"/>
    <col min="5" max="5" width="14.5703125" customWidth="1"/>
    <col min="6" max="6" width="15.7109375" customWidth="1"/>
    <col min="7" max="7" width="14.7109375" customWidth="1"/>
    <col min="8" max="8" width="13.28515625" customWidth="1"/>
    <col min="9" max="9" width="15.5703125" customWidth="1"/>
    <col min="10" max="10" width="14.28515625" customWidth="1"/>
    <col min="11" max="11" width="14.42578125" customWidth="1"/>
    <col min="12" max="12" width="12.140625" customWidth="1"/>
  </cols>
  <sheetData>
    <row r="1" spans="1:11" x14ac:dyDescent="0.25">
      <c r="C1" t="s">
        <v>0</v>
      </c>
    </row>
    <row r="3" spans="1:11" x14ac:dyDescent="0.25">
      <c r="C3" t="s">
        <v>9</v>
      </c>
    </row>
    <row r="5" spans="1:11" ht="21.75" thickBot="1" x14ac:dyDescent="0.4">
      <c r="A5" s="32" t="s">
        <v>29</v>
      </c>
      <c r="B5" s="32"/>
      <c r="C5" s="32"/>
    </row>
    <row r="6" spans="1:11" ht="15.75" thickBot="1" x14ac:dyDescent="0.3">
      <c r="A6" s="11" t="s">
        <v>16</v>
      </c>
      <c r="B6" s="51" t="s">
        <v>1</v>
      </c>
      <c r="C6" s="52"/>
      <c r="D6" s="48" t="s">
        <v>2</v>
      </c>
      <c r="E6" s="49"/>
      <c r="F6" s="49"/>
      <c r="G6" s="49"/>
      <c r="H6" s="50"/>
      <c r="I6" s="4" t="s">
        <v>4</v>
      </c>
      <c r="J6" s="28" t="s">
        <v>6</v>
      </c>
      <c r="K6" s="1" t="s">
        <v>6</v>
      </c>
    </row>
    <row r="7" spans="1:11" ht="15.75" thickBot="1" x14ac:dyDescent="0.3">
      <c r="A7" s="12"/>
      <c r="B7" s="18" t="s">
        <v>11</v>
      </c>
      <c r="C7" s="18" t="s">
        <v>10</v>
      </c>
      <c r="D7" s="7" t="s">
        <v>12</v>
      </c>
      <c r="E7" s="7" t="s">
        <v>3</v>
      </c>
      <c r="F7" s="7" t="s">
        <v>13</v>
      </c>
      <c r="G7" s="7" t="s">
        <v>14</v>
      </c>
      <c r="H7" s="7" t="s">
        <v>15</v>
      </c>
      <c r="I7" s="5" t="s">
        <v>5</v>
      </c>
      <c r="J7" s="29" t="s">
        <v>7</v>
      </c>
      <c r="K7" s="3" t="s">
        <v>8</v>
      </c>
    </row>
    <row r="8" spans="1:11" ht="17.25" customHeight="1" thickBot="1" x14ac:dyDescent="0.35">
      <c r="A8" s="13" t="s">
        <v>17</v>
      </c>
      <c r="B8" s="19">
        <v>0</v>
      </c>
      <c r="C8" s="20">
        <v>0</v>
      </c>
      <c r="D8" s="8">
        <f>(B8*8/100+C8*32/100)*15%</f>
        <v>0</v>
      </c>
      <c r="E8" s="8">
        <f>IF((B8*0.08+C8*0.32)&gt;20000,((B8*0.08+C8*0.32)-20000)*0.1,0)</f>
        <v>0</v>
      </c>
      <c r="F8" s="8">
        <f t="shared" ref="F8:F19" si="0">C8*2.88%</f>
        <v>0</v>
      </c>
      <c r="G8" s="9">
        <f t="shared" ref="G8:G19" si="1">C8*0.65%</f>
        <v>0</v>
      </c>
      <c r="H8" s="8">
        <f t="shared" ref="H8:H19" si="2">C8*3%</f>
        <v>0</v>
      </c>
      <c r="I8" s="6">
        <f t="shared" ref="I8:I19" si="3">C8*5%</f>
        <v>0</v>
      </c>
      <c r="J8" s="30">
        <f t="shared" ref="J8:J19" si="4">D8+E8+F8+G8+H8+I8</f>
        <v>0</v>
      </c>
      <c r="K8" s="14" t="e">
        <f>J8*100/C8</f>
        <v>#DIV/0!</v>
      </c>
    </row>
    <row r="9" spans="1:11" ht="19.5" thickBot="1" x14ac:dyDescent="0.35">
      <c r="A9" s="13" t="s">
        <v>18</v>
      </c>
      <c r="B9" s="19">
        <v>0</v>
      </c>
      <c r="C9" s="20">
        <v>0</v>
      </c>
      <c r="D9" s="8">
        <f t="shared" ref="D9:D19" si="5">(B9*8/100+C9*32/100)*15%</f>
        <v>0</v>
      </c>
      <c r="E9" s="8">
        <f t="shared" ref="E9:E19" si="6">IF((B9*0.08+C9*0.32)&gt;20000,((B9*0.08+C9*0.32)-20000)*0.1,0)</f>
        <v>0</v>
      </c>
      <c r="F9" s="8">
        <f t="shared" si="0"/>
        <v>0</v>
      </c>
      <c r="G9" s="9">
        <f t="shared" si="1"/>
        <v>0</v>
      </c>
      <c r="H9" s="8">
        <f t="shared" si="2"/>
        <v>0</v>
      </c>
      <c r="I9" s="6">
        <f t="shared" si="3"/>
        <v>0</v>
      </c>
      <c r="J9" s="30">
        <f t="shared" si="4"/>
        <v>0</v>
      </c>
      <c r="K9" s="14" t="e">
        <f t="shared" ref="K9:K19" si="7">J9*100/C9</f>
        <v>#DIV/0!</v>
      </c>
    </row>
    <row r="10" spans="1:11" ht="19.5" thickBot="1" x14ac:dyDescent="0.35">
      <c r="A10" s="13" t="s">
        <v>19</v>
      </c>
      <c r="B10" s="19">
        <v>0</v>
      </c>
      <c r="C10" s="20">
        <v>0</v>
      </c>
      <c r="D10" s="8">
        <f t="shared" si="5"/>
        <v>0</v>
      </c>
      <c r="E10" s="8">
        <f t="shared" si="6"/>
        <v>0</v>
      </c>
      <c r="F10" s="8">
        <f t="shared" si="0"/>
        <v>0</v>
      </c>
      <c r="G10" s="9">
        <f t="shared" si="1"/>
        <v>0</v>
      </c>
      <c r="H10" s="8">
        <f t="shared" si="2"/>
        <v>0</v>
      </c>
      <c r="I10" s="6">
        <f t="shared" si="3"/>
        <v>0</v>
      </c>
      <c r="J10" s="30">
        <f t="shared" si="4"/>
        <v>0</v>
      </c>
      <c r="K10" s="14" t="e">
        <f t="shared" si="7"/>
        <v>#DIV/0!</v>
      </c>
    </row>
    <row r="11" spans="1:11" ht="19.5" thickBot="1" x14ac:dyDescent="0.35">
      <c r="A11" s="13" t="s">
        <v>20</v>
      </c>
      <c r="B11" s="19">
        <v>0</v>
      </c>
      <c r="C11" s="20">
        <v>0</v>
      </c>
      <c r="D11" s="8">
        <f t="shared" si="5"/>
        <v>0</v>
      </c>
      <c r="E11" s="8">
        <f t="shared" si="6"/>
        <v>0</v>
      </c>
      <c r="F11" s="8">
        <f t="shared" si="0"/>
        <v>0</v>
      </c>
      <c r="G11" s="9">
        <f t="shared" si="1"/>
        <v>0</v>
      </c>
      <c r="H11" s="8">
        <f t="shared" si="2"/>
        <v>0</v>
      </c>
      <c r="I11" s="6">
        <f t="shared" si="3"/>
        <v>0</v>
      </c>
      <c r="J11" s="30">
        <f t="shared" si="4"/>
        <v>0</v>
      </c>
      <c r="K11" s="14" t="e">
        <f t="shared" si="7"/>
        <v>#DIV/0!</v>
      </c>
    </row>
    <row r="12" spans="1:11" ht="19.5" thickBot="1" x14ac:dyDescent="0.35">
      <c r="A12" s="13" t="s">
        <v>21</v>
      </c>
      <c r="B12" s="19">
        <v>0</v>
      </c>
      <c r="C12" s="20">
        <v>0</v>
      </c>
      <c r="D12" s="8">
        <f t="shared" si="5"/>
        <v>0</v>
      </c>
      <c r="E12" s="8">
        <f t="shared" si="6"/>
        <v>0</v>
      </c>
      <c r="F12" s="8">
        <f t="shared" si="0"/>
        <v>0</v>
      </c>
      <c r="G12" s="9">
        <f t="shared" si="1"/>
        <v>0</v>
      </c>
      <c r="H12" s="8">
        <f t="shared" si="2"/>
        <v>0</v>
      </c>
      <c r="I12" s="6">
        <f t="shared" si="3"/>
        <v>0</v>
      </c>
      <c r="J12" s="30">
        <f t="shared" si="4"/>
        <v>0</v>
      </c>
      <c r="K12" s="14" t="e">
        <f t="shared" si="7"/>
        <v>#DIV/0!</v>
      </c>
    </row>
    <row r="13" spans="1:11" ht="19.5" thickBot="1" x14ac:dyDescent="0.35">
      <c r="A13" s="13" t="s">
        <v>22</v>
      </c>
      <c r="B13" s="19">
        <v>0</v>
      </c>
      <c r="C13" s="20">
        <v>0</v>
      </c>
      <c r="D13" s="8">
        <f t="shared" si="5"/>
        <v>0</v>
      </c>
      <c r="E13" s="8">
        <f t="shared" si="6"/>
        <v>0</v>
      </c>
      <c r="F13" s="8">
        <f t="shared" si="0"/>
        <v>0</v>
      </c>
      <c r="G13" s="9">
        <f t="shared" si="1"/>
        <v>0</v>
      </c>
      <c r="H13" s="8">
        <f t="shared" si="2"/>
        <v>0</v>
      </c>
      <c r="I13" s="6">
        <f t="shared" si="3"/>
        <v>0</v>
      </c>
      <c r="J13" s="30">
        <f t="shared" si="4"/>
        <v>0</v>
      </c>
      <c r="K13" s="14" t="e">
        <f t="shared" si="7"/>
        <v>#DIV/0!</v>
      </c>
    </row>
    <row r="14" spans="1:11" ht="19.5" thickBot="1" x14ac:dyDescent="0.35">
      <c r="A14" s="13" t="s">
        <v>23</v>
      </c>
      <c r="B14" s="19">
        <v>0</v>
      </c>
      <c r="C14" s="20">
        <v>0</v>
      </c>
      <c r="D14" s="8">
        <f t="shared" si="5"/>
        <v>0</v>
      </c>
      <c r="E14" s="8">
        <f t="shared" si="6"/>
        <v>0</v>
      </c>
      <c r="F14" s="8">
        <f t="shared" si="0"/>
        <v>0</v>
      </c>
      <c r="G14" s="9">
        <f t="shared" si="1"/>
        <v>0</v>
      </c>
      <c r="H14" s="8">
        <f t="shared" si="2"/>
        <v>0</v>
      </c>
      <c r="I14" s="6">
        <f t="shared" si="3"/>
        <v>0</v>
      </c>
      <c r="J14" s="30">
        <f t="shared" si="4"/>
        <v>0</v>
      </c>
      <c r="K14" s="14" t="e">
        <f t="shared" si="7"/>
        <v>#DIV/0!</v>
      </c>
    </row>
    <row r="15" spans="1:11" ht="19.5" thickBot="1" x14ac:dyDescent="0.35">
      <c r="A15" s="13" t="s">
        <v>24</v>
      </c>
      <c r="B15" s="19">
        <v>0</v>
      </c>
      <c r="C15" s="20">
        <v>0</v>
      </c>
      <c r="D15" s="8">
        <f t="shared" si="5"/>
        <v>0</v>
      </c>
      <c r="E15" s="8">
        <f t="shared" si="6"/>
        <v>0</v>
      </c>
      <c r="F15" s="8">
        <f t="shared" si="0"/>
        <v>0</v>
      </c>
      <c r="G15" s="9">
        <f t="shared" si="1"/>
        <v>0</v>
      </c>
      <c r="H15" s="8">
        <f t="shared" si="2"/>
        <v>0</v>
      </c>
      <c r="I15" s="6">
        <f t="shared" si="3"/>
        <v>0</v>
      </c>
      <c r="J15" s="30">
        <f t="shared" si="4"/>
        <v>0</v>
      </c>
      <c r="K15" s="14" t="e">
        <f t="shared" si="7"/>
        <v>#DIV/0!</v>
      </c>
    </row>
    <row r="16" spans="1:11" ht="19.5" thickBot="1" x14ac:dyDescent="0.35">
      <c r="A16" s="13" t="s">
        <v>25</v>
      </c>
      <c r="B16" s="19">
        <v>0</v>
      </c>
      <c r="C16" s="20">
        <v>0</v>
      </c>
      <c r="D16" s="8">
        <f t="shared" si="5"/>
        <v>0</v>
      </c>
      <c r="E16" s="8">
        <f t="shared" si="6"/>
        <v>0</v>
      </c>
      <c r="F16" s="8">
        <f t="shared" si="0"/>
        <v>0</v>
      </c>
      <c r="G16" s="9">
        <f t="shared" si="1"/>
        <v>0</v>
      </c>
      <c r="H16" s="8">
        <f t="shared" si="2"/>
        <v>0</v>
      </c>
      <c r="I16" s="6">
        <f t="shared" si="3"/>
        <v>0</v>
      </c>
      <c r="J16" s="30">
        <f t="shared" si="4"/>
        <v>0</v>
      </c>
      <c r="K16" s="14" t="e">
        <f t="shared" si="7"/>
        <v>#DIV/0!</v>
      </c>
    </row>
    <row r="17" spans="1:12" ht="19.5" thickBot="1" x14ac:dyDescent="0.35">
      <c r="A17" s="13" t="s">
        <v>26</v>
      </c>
      <c r="B17" s="19">
        <v>0</v>
      </c>
      <c r="C17" s="20">
        <v>0</v>
      </c>
      <c r="D17" s="8">
        <f t="shared" si="5"/>
        <v>0</v>
      </c>
      <c r="E17" s="8">
        <f t="shared" si="6"/>
        <v>0</v>
      </c>
      <c r="F17" s="8">
        <f t="shared" si="0"/>
        <v>0</v>
      </c>
      <c r="G17" s="9">
        <f t="shared" si="1"/>
        <v>0</v>
      </c>
      <c r="H17" s="8">
        <f t="shared" si="2"/>
        <v>0</v>
      </c>
      <c r="I17" s="6">
        <f t="shared" si="3"/>
        <v>0</v>
      </c>
      <c r="J17" s="30">
        <f t="shared" si="4"/>
        <v>0</v>
      </c>
      <c r="K17" s="14" t="e">
        <f t="shared" si="7"/>
        <v>#DIV/0!</v>
      </c>
    </row>
    <row r="18" spans="1:12" ht="19.5" thickBot="1" x14ac:dyDescent="0.35">
      <c r="A18" s="13" t="s">
        <v>27</v>
      </c>
      <c r="B18" s="19">
        <v>0</v>
      </c>
      <c r="C18" s="20">
        <v>0</v>
      </c>
      <c r="D18" s="8">
        <f t="shared" si="5"/>
        <v>0</v>
      </c>
      <c r="E18" s="8">
        <f t="shared" si="6"/>
        <v>0</v>
      </c>
      <c r="F18" s="8">
        <f t="shared" si="0"/>
        <v>0</v>
      </c>
      <c r="G18" s="9">
        <f t="shared" si="1"/>
        <v>0</v>
      </c>
      <c r="H18" s="8">
        <f t="shared" si="2"/>
        <v>0</v>
      </c>
      <c r="I18" s="6">
        <f t="shared" si="3"/>
        <v>0</v>
      </c>
      <c r="J18" s="30">
        <f t="shared" si="4"/>
        <v>0</v>
      </c>
      <c r="K18" s="14" t="e">
        <f t="shared" si="7"/>
        <v>#DIV/0!</v>
      </c>
    </row>
    <row r="19" spans="1:12" ht="19.5" thickBot="1" x14ac:dyDescent="0.35">
      <c r="A19" s="13" t="s">
        <v>28</v>
      </c>
      <c r="B19" s="19">
        <v>0</v>
      </c>
      <c r="C19" s="20">
        <v>0</v>
      </c>
      <c r="D19" s="8">
        <f t="shared" si="5"/>
        <v>0</v>
      </c>
      <c r="E19" s="8">
        <f t="shared" si="6"/>
        <v>0</v>
      </c>
      <c r="F19" s="8">
        <f t="shared" si="0"/>
        <v>0</v>
      </c>
      <c r="G19" s="9">
        <f t="shared" si="1"/>
        <v>0</v>
      </c>
      <c r="H19" s="8">
        <f t="shared" si="2"/>
        <v>0</v>
      </c>
      <c r="I19" s="6">
        <f t="shared" si="3"/>
        <v>0</v>
      </c>
      <c r="J19" s="30">
        <f t="shared" si="4"/>
        <v>0</v>
      </c>
      <c r="K19" s="14" t="e">
        <f t="shared" si="7"/>
        <v>#DIV/0!</v>
      </c>
    </row>
    <row r="20" spans="1:12" x14ac:dyDescent="0.25">
      <c r="A20" s="15" t="s">
        <v>6</v>
      </c>
      <c r="B20" s="21"/>
      <c r="C20" s="22">
        <f>SUM(C8:C19)</f>
        <v>0</v>
      </c>
      <c r="D20" s="2">
        <f t="shared" ref="D20:J20" si="8">SUM(D8:D19)</f>
        <v>0</v>
      </c>
      <c r="E20" s="2">
        <f t="shared" si="8"/>
        <v>0</v>
      </c>
      <c r="F20" s="2">
        <f t="shared" si="8"/>
        <v>0</v>
      </c>
      <c r="G20" s="2">
        <f t="shared" si="8"/>
        <v>0</v>
      </c>
      <c r="H20" s="2">
        <f t="shared" si="8"/>
        <v>0</v>
      </c>
      <c r="I20" s="2">
        <f t="shared" si="8"/>
        <v>0</v>
      </c>
      <c r="J20" s="2">
        <f t="shared" si="8"/>
        <v>0</v>
      </c>
    </row>
    <row r="21" spans="1:12" ht="15.75" x14ac:dyDescent="0.25">
      <c r="B21" s="10"/>
    </row>
    <row r="23" spans="1:12" ht="21" x14ac:dyDescent="0.35">
      <c r="A23" s="34" t="s">
        <v>41</v>
      </c>
      <c r="K23" s="35"/>
    </row>
    <row r="24" spans="1:12" ht="21.75" thickBot="1" x14ac:dyDescent="0.4">
      <c r="A24" s="34" t="s">
        <v>42</v>
      </c>
      <c r="K24" s="35"/>
    </row>
    <row r="25" spans="1:12" ht="15.75" thickBot="1" x14ac:dyDescent="0.3">
      <c r="A25" s="11" t="s">
        <v>16</v>
      </c>
      <c r="B25" s="16" t="s">
        <v>1</v>
      </c>
      <c r="C25" s="17" t="s">
        <v>31</v>
      </c>
      <c r="D25" s="26" t="s">
        <v>31</v>
      </c>
      <c r="E25" s="23" t="s">
        <v>2</v>
      </c>
      <c r="F25" s="24"/>
      <c r="G25" s="24"/>
      <c r="H25" s="24"/>
      <c r="I25" s="25"/>
      <c r="J25" s="4" t="s">
        <v>4</v>
      </c>
      <c r="K25" s="28" t="s">
        <v>6</v>
      </c>
      <c r="L25" s="1" t="s">
        <v>6</v>
      </c>
    </row>
    <row r="26" spans="1:12" ht="15.75" thickBot="1" x14ac:dyDescent="0.3">
      <c r="A26" s="12"/>
      <c r="B26" s="18" t="s">
        <v>11</v>
      </c>
      <c r="C26" s="18" t="s">
        <v>30</v>
      </c>
      <c r="D26" s="27" t="s">
        <v>40</v>
      </c>
      <c r="E26" s="7" t="s">
        <v>12</v>
      </c>
      <c r="F26" s="7" t="s">
        <v>3</v>
      </c>
      <c r="G26" s="7" t="s">
        <v>13</v>
      </c>
      <c r="H26" s="7" t="s">
        <v>14</v>
      </c>
      <c r="I26" s="7" t="s">
        <v>15</v>
      </c>
      <c r="J26" s="5" t="s">
        <v>5</v>
      </c>
      <c r="K26" s="29" t="s">
        <v>7</v>
      </c>
      <c r="L26" s="3" t="s">
        <v>8</v>
      </c>
    </row>
    <row r="27" spans="1:12" ht="19.5" thickBot="1" x14ac:dyDescent="0.35">
      <c r="A27" s="13" t="s">
        <v>17</v>
      </c>
      <c r="B27" s="19">
        <v>0</v>
      </c>
      <c r="C27" s="20">
        <v>0</v>
      </c>
      <c r="D27" s="31">
        <v>0</v>
      </c>
      <c r="E27" s="8">
        <f t="shared" ref="E27:F39" si="9">C27*15%</f>
        <v>0</v>
      </c>
      <c r="F27" s="8">
        <f>IF((C27*0.08+D27*0.32)&gt;20000,((C27*0.08+D27*0.32)-20000)*0.1,0)</f>
        <v>0</v>
      </c>
      <c r="G27" s="8">
        <f t="shared" ref="G27:G39" si="10">C27*9%</f>
        <v>0</v>
      </c>
      <c r="H27" s="9">
        <f>D27*1.65%</f>
        <v>0</v>
      </c>
      <c r="I27" s="8">
        <f>D27*7.6%</f>
        <v>0</v>
      </c>
      <c r="J27" s="6">
        <f t="shared" ref="J27:J38" si="11">C27*5%</f>
        <v>0</v>
      </c>
      <c r="K27" s="30">
        <f t="shared" ref="K27:K38" si="12">E27+F27+G27+H27+I27+J27</f>
        <v>0</v>
      </c>
      <c r="L27" s="14" t="e">
        <f>K27*100/D27</f>
        <v>#DIV/0!</v>
      </c>
    </row>
    <row r="28" spans="1:12" ht="19.5" thickBot="1" x14ac:dyDescent="0.35">
      <c r="A28" s="13" t="s">
        <v>18</v>
      </c>
      <c r="B28" s="19">
        <v>0</v>
      </c>
      <c r="C28" s="20">
        <v>0</v>
      </c>
      <c r="D28" s="31">
        <v>0</v>
      </c>
      <c r="E28" s="8">
        <f t="shared" si="9"/>
        <v>0</v>
      </c>
      <c r="F28" s="8">
        <f t="shared" ref="F28:F38" si="13">IF((C28*0.08+D28*0.32)&gt;20000,((C28*0.08+D28*0.32)-20000)*0.1,0)</f>
        <v>0</v>
      </c>
      <c r="G28" s="8">
        <f t="shared" si="10"/>
        <v>0</v>
      </c>
      <c r="H28" s="9">
        <f t="shared" ref="H28:H38" si="14">D28*1.65%</f>
        <v>0</v>
      </c>
      <c r="I28" s="8">
        <f t="shared" ref="I28:I38" si="15">D28*7.6%</f>
        <v>0</v>
      </c>
      <c r="J28" s="6">
        <f t="shared" si="11"/>
        <v>0</v>
      </c>
      <c r="K28" s="30">
        <f t="shared" si="12"/>
        <v>0</v>
      </c>
      <c r="L28" s="14" t="e">
        <f t="shared" ref="L28:L38" si="16">K28*100/C28</f>
        <v>#DIV/0!</v>
      </c>
    </row>
    <row r="29" spans="1:12" ht="19.5" thickBot="1" x14ac:dyDescent="0.35">
      <c r="A29" s="13" t="s">
        <v>19</v>
      </c>
      <c r="B29" s="19">
        <v>0</v>
      </c>
      <c r="C29" s="20">
        <v>0</v>
      </c>
      <c r="D29" s="31">
        <v>0</v>
      </c>
      <c r="E29" s="8">
        <f t="shared" si="9"/>
        <v>0</v>
      </c>
      <c r="F29" s="8">
        <f t="shared" si="13"/>
        <v>0</v>
      </c>
      <c r="G29" s="8">
        <f t="shared" si="10"/>
        <v>0</v>
      </c>
      <c r="H29" s="9">
        <f t="shared" si="14"/>
        <v>0</v>
      </c>
      <c r="I29" s="8">
        <f t="shared" si="15"/>
        <v>0</v>
      </c>
      <c r="J29" s="6">
        <f t="shared" si="11"/>
        <v>0</v>
      </c>
      <c r="K29" s="30">
        <f t="shared" si="12"/>
        <v>0</v>
      </c>
      <c r="L29" s="14" t="e">
        <f t="shared" si="16"/>
        <v>#DIV/0!</v>
      </c>
    </row>
    <row r="30" spans="1:12" ht="19.5" thickBot="1" x14ac:dyDescent="0.35">
      <c r="A30" s="13" t="s">
        <v>20</v>
      </c>
      <c r="B30" s="19">
        <v>0</v>
      </c>
      <c r="C30" s="20">
        <v>0</v>
      </c>
      <c r="D30" s="31">
        <v>0</v>
      </c>
      <c r="E30" s="8">
        <f t="shared" si="9"/>
        <v>0</v>
      </c>
      <c r="F30" s="8">
        <f t="shared" si="13"/>
        <v>0</v>
      </c>
      <c r="G30" s="8">
        <f t="shared" si="10"/>
        <v>0</v>
      </c>
      <c r="H30" s="9">
        <f t="shared" si="14"/>
        <v>0</v>
      </c>
      <c r="I30" s="8">
        <f t="shared" si="15"/>
        <v>0</v>
      </c>
      <c r="J30" s="6">
        <f t="shared" si="11"/>
        <v>0</v>
      </c>
      <c r="K30" s="30">
        <f t="shared" si="12"/>
        <v>0</v>
      </c>
      <c r="L30" s="14" t="e">
        <f t="shared" si="16"/>
        <v>#DIV/0!</v>
      </c>
    </row>
    <row r="31" spans="1:12" ht="19.5" thickBot="1" x14ac:dyDescent="0.35">
      <c r="A31" s="13" t="s">
        <v>21</v>
      </c>
      <c r="B31" s="19">
        <v>0</v>
      </c>
      <c r="C31" s="20">
        <v>0</v>
      </c>
      <c r="D31" s="31">
        <v>0</v>
      </c>
      <c r="E31" s="8">
        <f t="shared" si="9"/>
        <v>0</v>
      </c>
      <c r="F31" s="8">
        <f t="shared" si="13"/>
        <v>0</v>
      </c>
      <c r="G31" s="8">
        <f t="shared" si="10"/>
        <v>0</v>
      </c>
      <c r="H31" s="9">
        <f t="shared" si="14"/>
        <v>0</v>
      </c>
      <c r="I31" s="8">
        <f t="shared" si="15"/>
        <v>0</v>
      </c>
      <c r="J31" s="6">
        <f t="shared" si="11"/>
        <v>0</v>
      </c>
      <c r="K31" s="30">
        <f t="shared" si="12"/>
        <v>0</v>
      </c>
      <c r="L31" s="14" t="e">
        <f t="shared" si="16"/>
        <v>#DIV/0!</v>
      </c>
    </row>
    <row r="32" spans="1:12" ht="19.5" thickBot="1" x14ac:dyDescent="0.35">
      <c r="A32" s="13" t="s">
        <v>22</v>
      </c>
      <c r="B32" s="19">
        <v>0</v>
      </c>
      <c r="C32" s="20">
        <v>0</v>
      </c>
      <c r="D32" s="31">
        <v>0</v>
      </c>
      <c r="E32" s="8">
        <f t="shared" si="9"/>
        <v>0</v>
      </c>
      <c r="F32" s="8">
        <f t="shared" si="13"/>
        <v>0</v>
      </c>
      <c r="G32" s="8">
        <f t="shared" si="10"/>
        <v>0</v>
      </c>
      <c r="H32" s="9">
        <f t="shared" si="14"/>
        <v>0</v>
      </c>
      <c r="I32" s="8">
        <f t="shared" si="15"/>
        <v>0</v>
      </c>
      <c r="J32" s="6">
        <f t="shared" si="11"/>
        <v>0</v>
      </c>
      <c r="K32" s="30">
        <f t="shared" si="12"/>
        <v>0</v>
      </c>
      <c r="L32" s="14" t="e">
        <f t="shared" si="16"/>
        <v>#DIV/0!</v>
      </c>
    </row>
    <row r="33" spans="1:12" ht="19.5" thickBot="1" x14ac:dyDescent="0.35">
      <c r="A33" s="13" t="s">
        <v>23</v>
      </c>
      <c r="B33" s="19">
        <v>0</v>
      </c>
      <c r="C33" s="20">
        <v>0</v>
      </c>
      <c r="D33" s="31">
        <v>0</v>
      </c>
      <c r="E33" s="8">
        <f t="shared" si="9"/>
        <v>0</v>
      </c>
      <c r="F33" s="8">
        <f t="shared" si="13"/>
        <v>0</v>
      </c>
      <c r="G33" s="8">
        <f t="shared" si="10"/>
        <v>0</v>
      </c>
      <c r="H33" s="9">
        <f t="shared" si="14"/>
        <v>0</v>
      </c>
      <c r="I33" s="8">
        <f t="shared" si="15"/>
        <v>0</v>
      </c>
      <c r="J33" s="6">
        <f t="shared" si="11"/>
        <v>0</v>
      </c>
      <c r="K33" s="30">
        <f t="shared" si="12"/>
        <v>0</v>
      </c>
      <c r="L33" s="14" t="e">
        <f t="shared" si="16"/>
        <v>#DIV/0!</v>
      </c>
    </row>
    <row r="34" spans="1:12" ht="19.5" thickBot="1" x14ac:dyDescent="0.35">
      <c r="A34" s="13" t="s">
        <v>24</v>
      </c>
      <c r="B34" s="19">
        <v>0</v>
      </c>
      <c r="C34" s="20">
        <v>0</v>
      </c>
      <c r="D34" s="31">
        <v>0</v>
      </c>
      <c r="E34" s="8">
        <f t="shared" si="9"/>
        <v>0</v>
      </c>
      <c r="F34" s="8">
        <f t="shared" si="13"/>
        <v>0</v>
      </c>
      <c r="G34" s="8">
        <f t="shared" si="10"/>
        <v>0</v>
      </c>
      <c r="H34" s="9">
        <f t="shared" si="14"/>
        <v>0</v>
      </c>
      <c r="I34" s="8">
        <f t="shared" si="15"/>
        <v>0</v>
      </c>
      <c r="J34" s="6">
        <f t="shared" si="11"/>
        <v>0</v>
      </c>
      <c r="K34" s="30">
        <f t="shared" si="12"/>
        <v>0</v>
      </c>
      <c r="L34" s="14" t="e">
        <f t="shared" si="16"/>
        <v>#DIV/0!</v>
      </c>
    </row>
    <row r="35" spans="1:12" ht="19.5" thickBot="1" x14ac:dyDescent="0.35">
      <c r="A35" s="13" t="s">
        <v>25</v>
      </c>
      <c r="B35" s="19">
        <v>0</v>
      </c>
      <c r="C35" s="20">
        <v>0</v>
      </c>
      <c r="D35" s="31">
        <v>0</v>
      </c>
      <c r="E35" s="8">
        <f t="shared" si="9"/>
        <v>0</v>
      </c>
      <c r="F35" s="8">
        <f t="shared" si="13"/>
        <v>0</v>
      </c>
      <c r="G35" s="8">
        <f t="shared" si="10"/>
        <v>0</v>
      </c>
      <c r="H35" s="9">
        <f t="shared" si="14"/>
        <v>0</v>
      </c>
      <c r="I35" s="8">
        <f t="shared" si="15"/>
        <v>0</v>
      </c>
      <c r="J35" s="6">
        <f t="shared" si="11"/>
        <v>0</v>
      </c>
      <c r="K35" s="30">
        <f t="shared" si="12"/>
        <v>0</v>
      </c>
      <c r="L35" s="14" t="e">
        <f t="shared" si="16"/>
        <v>#DIV/0!</v>
      </c>
    </row>
    <row r="36" spans="1:12" ht="19.5" thickBot="1" x14ac:dyDescent="0.35">
      <c r="A36" s="13" t="s">
        <v>26</v>
      </c>
      <c r="B36" s="19">
        <v>0</v>
      </c>
      <c r="C36" s="20">
        <v>0</v>
      </c>
      <c r="D36" s="31">
        <v>0</v>
      </c>
      <c r="E36" s="8">
        <f t="shared" si="9"/>
        <v>0</v>
      </c>
      <c r="F36" s="8">
        <f t="shared" si="13"/>
        <v>0</v>
      </c>
      <c r="G36" s="8">
        <f t="shared" si="10"/>
        <v>0</v>
      </c>
      <c r="H36" s="9">
        <f t="shared" si="14"/>
        <v>0</v>
      </c>
      <c r="I36" s="8">
        <f t="shared" si="15"/>
        <v>0</v>
      </c>
      <c r="J36" s="6">
        <f t="shared" si="11"/>
        <v>0</v>
      </c>
      <c r="K36" s="30">
        <f t="shared" si="12"/>
        <v>0</v>
      </c>
      <c r="L36" s="14" t="e">
        <f t="shared" si="16"/>
        <v>#DIV/0!</v>
      </c>
    </row>
    <row r="37" spans="1:12" ht="19.5" thickBot="1" x14ac:dyDescent="0.35">
      <c r="A37" s="13" t="s">
        <v>27</v>
      </c>
      <c r="B37" s="19">
        <v>0</v>
      </c>
      <c r="C37" s="20">
        <v>0</v>
      </c>
      <c r="D37" s="31">
        <v>0</v>
      </c>
      <c r="E37" s="8">
        <f t="shared" si="9"/>
        <v>0</v>
      </c>
      <c r="F37" s="8">
        <f t="shared" si="13"/>
        <v>0</v>
      </c>
      <c r="G37" s="8">
        <f t="shared" si="10"/>
        <v>0</v>
      </c>
      <c r="H37" s="9">
        <f t="shared" si="14"/>
        <v>0</v>
      </c>
      <c r="I37" s="8">
        <f t="shared" si="15"/>
        <v>0</v>
      </c>
      <c r="J37" s="6">
        <f t="shared" si="11"/>
        <v>0</v>
      </c>
      <c r="K37" s="30">
        <f t="shared" si="12"/>
        <v>0</v>
      </c>
      <c r="L37" s="14" t="e">
        <f t="shared" si="16"/>
        <v>#DIV/0!</v>
      </c>
    </row>
    <row r="38" spans="1:12" ht="19.5" thickBot="1" x14ac:dyDescent="0.35">
      <c r="A38" s="13" t="s">
        <v>28</v>
      </c>
      <c r="B38" s="19">
        <v>0</v>
      </c>
      <c r="C38" s="20">
        <v>0</v>
      </c>
      <c r="D38" s="31">
        <v>0</v>
      </c>
      <c r="E38" s="8">
        <f t="shared" si="9"/>
        <v>0</v>
      </c>
      <c r="F38" s="8">
        <f t="shared" si="13"/>
        <v>0</v>
      </c>
      <c r="G38" s="8">
        <f t="shared" si="10"/>
        <v>0</v>
      </c>
      <c r="H38" s="9">
        <f t="shared" si="14"/>
        <v>0</v>
      </c>
      <c r="I38" s="8">
        <f t="shared" si="15"/>
        <v>0</v>
      </c>
      <c r="J38" s="6">
        <f t="shared" si="11"/>
        <v>0</v>
      </c>
      <c r="K38" s="30">
        <f t="shared" si="12"/>
        <v>0</v>
      </c>
      <c r="L38" s="14" t="e">
        <f t="shared" si="16"/>
        <v>#DIV/0!</v>
      </c>
    </row>
    <row r="39" spans="1:12" ht="19.5" thickBot="1" x14ac:dyDescent="0.35">
      <c r="A39" s="15" t="s">
        <v>6</v>
      </c>
      <c r="B39" s="21"/>
      <c r="C39" s="40">
        <f>SUM(C27:C38)</f>
        <v>0</v>
      </c>
      <c r="D39" s="41">
        <f>SUM(D27:D38)</f>
        <v>0</v>
      </c>
      <c r="E39" s="42">
        <f t="shared" si="9"/>
        <v>0</v>
      </c>
      <c r="F39" s="42">
        <f t="shared" si="9"/>
        <v>0</v>
      </c>
      <c r="G39" s="42">
        <f t="shared" si="10"/>
        <v>0</v>
      </c>
      <c r="H39" s="43">
        <f>SUM(H27:H38)</f>
        <v>0</v>
      </c>
      <c r="I39" s="43">
        <f>SUM(I27:I38)</f>
        <v>0</v>
      </c>
      <c r="J39" s="43">
        <f>SUM(J27:J38)</f>
        <v>0</v>
      </c>
      <c r="K39" s="43">
        <f>SUM(K27:K38)</f>
        <v>0</v>
      </c>
      <c r="L39" s="35"/>
    </row>
    <row r="42" spans="1:12" x14ac:dyDescent="0.25">
      <c r="D42" t="s">
        <v>32</v>
      </c>
    </row>
    <row r="43" spans="1:12" x14ac:dyDescent="0.25">
      <c r="D43" s="36" t="s">
        <v>43</v>
      </c>
      <c r="E43" s="36"/>
      <c r="F43" s="36"/>
      <c r="G43" s="36"/>
      <c r="H43" s="36"/>
    </row>
    <row r="44" spans="1:12" x14ac:dyDescent="0.25">
      <c r="D44" s="36" t="s">
        <v>33</v>
      </c>
      <c r="E44" s="36"/>
      <c r="F44" s="36"/>
      <c r="G44" s="36"/>
      <c r="H44" s="36"/>
    </row>
    <row r="45" spans="1:12" x14ac:dyDescent="0.25">
      <c r="D45" s="37"/>
      <c r="E45" s="36" t="s">
        <v>34</v>
      </c>
      <c r="F45" s="36"/>
      <c r="G45" s="36"/>
      <c r="H45" s="36"/>
    </row>
    <row r="46" spans="1:12" x14ac:dyDescent="0.25">
      <c r="D46" s="38"/>
      <c r="E46" s="36" t="s">
        <v>35</v>
      </c>
      <c r="F46" s="36"/>
      <c r="G46" s="36"/>
      <c r="H46" s="36"/>
    </row>
    <row r="47" spans="1:12" x14ac:dyDescent="0.25">
      <c r="D47" s="39"/>
      <c r="E47" s="36" t="s">
        <v>36</v>
      </c>
      <c r="F47" s="36"/>
      <c r="G47" s="36"/>
      <c r="H47" s="36"/>
    </row>
    <row r="48" spans="1:12" x14ac:dyDescent="0.25">
      <c r="D48" s="39"/>
      <c r="E48" s="36" t="s">
        <v>37</v>
      </c>
      <c r="F48" s="36"/>
      <c r="G48" s="36"/>
      <c r="H48" s="36"/>
    </row>
    <row r="49" spans="4:8" x14ac:dyDescent="0.25">
      <c r="D49" s="39"/>
      <c r="E49" s="36" t="s">
        <v>38</v>
      </c>
      <c r="F49" s="36"/>
      <c r="G49" s="36"/>
      <c r="H49" s="36"/>
    </row>
    <row r="50" spans="4:8" x14ac:dyDescent="0.25">
      <c r="D50" s="39"/>
      <c r="E50" s="36" t="s">
        <v>39</v>
      </c>
      <c r="F50" s="36"/>
      <c r="G50" s="36"/>
      <c r="H50" s="36"/>
    </row>
    <row r="51" spans="4:8" x14ac:dyDescent="0.25">
      <c r="D51" s="39"/>
      <c r="E51" s="36"/>
      <c r="F51" s="36"/>
      <c r="G51" s="36"/>
      <c r="H51" s="36"/>
    </row>
    <row r="52" spans="4:8" x14ac:dyDescent="0.25">
      <c r="D52" s="33"/>
    </row>
    <row r="53" spans="4:8" x14ac:dyDescent="0.25">
      <c r="D53" s="33"/>
    </row>
    <row r="54" spans="4:8" x14ac:dyDescent="0.25">
      <c r="D54" s="33"/>
    </row>
  </sheetData>
  <customSheetViews>
    <customSheetView guid="{6092A35D-646B-4696-B042-08D320802F8F}" hiddenColumns="1" state="hidden" topLeftCell="A43">
      <selection activeCell="A5" sqref="A5"/>
      <pageMargins left="0.51181102362204722" right="0.51181102362204722" top="0.78740157480314965" bottom="0.78740157480314965" header="0.31496062992125984" footer="0.31496062992125984"/>
      <pageSetup paperSize="9" orientation="landscape" verticalDpi="0" r:id="rId1"/>
    </customSheetView>
    <customSheetView guid="{D5C638CE-B51D-4CE7-B984-5FB27EC656B9}" hiddenColumns="1">
      <selection activeCell="D22" sqref="D22"/>
      <pageMargins left="0.51181102362204722" right="0.51181102362204722" top="0.78740157480314965" bottom="0.78740157480314965" header="0.31496062992125984" footer="0.31496062992125984"/>
      <pageSetup paperSize="9" orientation="landscape" verticalDpi="0" r:id="rId2"/>
    </customSheetView>
    <customSheetView guid="{8192140A-8A4E-4279-926F-A04A19CC0068}" hiddenColumns="1">
      <selection activeCell="C8" sqref="C8"/>
      <pageMargins left="0.51181102362204722" right="0.51181102362204722" top="0.78740157480314965" bottom="0.78740157480314965" header="0.31496062992125984" footer="0.31496062992125984"/>
      <pageSetup paperSize="9" orientation="landscape" verticalDpi="0" r:id="rId3"/>
    </customSheetView>
    <customSheetView guid="{D4DF142A-BB1F-4E75-AE5E-6952AE62CADB}" showPageBreaks="1" hiddenColumns="1" topLeftCell="A2">
      <selection activeCell="A21" sqref="A21"/>
      <pageMargins left="0.51181102362204722" right="0.51181102362204722" top="0.78740157480314965" bottom="0.78740157480314965" header="0.31496062992125984" footer="0.31496062992125984"/>
      <pageSetup paperSize="9" orientation="landscape" verticalDpi="0" r:id="rId4"/>
    </customSheetView>
    <customSheetView guid="{D9DAC16E-CC93-45DC-8A23-1165BA9AA92F}" hiddenColumns="1">
      <selection activeCell="C8" sqref="C8"/>
      <pageMargins left="0.51181102362204722" right="0.51181102362204722" top="0.78740157480314965" bottom="0.78740157480314965" header="0.31496062992125984" footer="0.31496062992125984"/>
      <pageSetup paperSize="9" orientation="landscape" verticalDpi="0" r:id="rId5"/>
    </customSheetView>
    <customSheetView guid="{264665E6-1F8E-4D4A-90DE-DFBEF719BA41}" hiddenColumns="1" showRuler="0">
      <selection activeCell="C8" sqref="C8"/>
      <pageMargins left="0.51181102362204722" right="0.51181102362204722" top="0.78740157480314965" bottom="0.78740157480314965" header="0.31496062992125984" footer="0.31496062992125984"/>
      <pageSetup paperSize="9" orientation="landscape" verticalDpi="0" r:id="rId6"/>
      <headerFooter alignWithMargins="0"/>
    </customSheetView>
  </customSheetViews>
  <mergeCells count="2">
    <mergeCell ref="D6:H6"/>
    <mergeCell ref="B6:C6"/>
  </mergeCells>
  <phoneticPr fontId="0" type="noConversion"/>
  <pageMargins left="0.51181102362204722" right="0.51181102362204722" top="0.78740157480314965" bottom="0.78740157480314965" header="0.31496062992125984" footer="0.31496062992125984"/>
  <pageSetup paperSize="9" orientation="landscape" verticalDpi="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2"/>
  <sheetViews>
    <sheetView tabSelected="1" topLeftCell="B1" workbookViewId="0">
      <selection activeCell="B7" sqref="B7"/>
    </sheetView>
  </sheetViews>
  <sheetFormatPr defaultRowHeight="15" x14ac:dyDescent="0.25"/>
  <cols>
    <col min="1" max="1" width="6.28515625" customWidth="1"/>
    <col min="2" max="13" width="13.28515625" bestFit="1" customWidth="1"/>
    <col min="14" max="14" width="14.28515625" bestFit="1" customWidth="1"/>
  </cols>
  <sheetData>
    <row r="1" spans="1:15" x14ac:dyDescent="0.25">
      <c r="F1" t="s">
        <v>50</v>
      </c>
    </row>
    <row r="3" spans="1:15" x14ac:dyDescent="0.25">
      <c r="B3" s="44">
        <v>43101</v>
      </c>
      <c r="C3" s="44">
        <v>43132</v>
      </c>
      <c r="D3" s="44">
        <v>43160</v>
      </c>
      <c r="E3" s="44">
        <v>43191</v>
      </c>
      <c r="F3" s="44">
        <v>43221</v>
      </c>
      <c r="G3" s="44">
        <v>43252</v>
      </c>
      <c r="H3" s="44">
        <v>43282</v>
      </c>
      <c r="I3" s="44">
        <v>43313</v>
      </c>
      <c r="J3" s="44">
        <v>43344</v>
      </c>
      <c r="K3" s="44">
        <v>43374</v>
      </c>
      <c r="L3" s="44">
        <v>43405</v>
      </c>
      <c r="M3" s="44">
        <v>43435</v>
      </c>
    </row>
    <row r="4" spans="1:15" x14ac:dyDescent="0.25">
      <c r="A4" t="s">
        <v>44</v>
      </c>
      <c r="B4" s="45">
        <v>5597.4</v>
      </c>
      <c r="C4" s="45">
        <v>8891.2099999999991</v>
      </c>
      <c r="D4" s="45">
        <v>4139.3999999999996</v>
      </c>
      <c r="E4" s="45">
        <v>4068.69</v>
      </c>
      <c r="F4" s="45">
        <v>5462.02</v>
      </c>
      <c r="G4" s="45">
        <v>8856.8799999999992</v>
      </c>
      <c r="H4" s="45">
        <v>9856.8799999999992</v>
      </c>
      <c r="I4" s="45">
        <v>2433.84</v>
      </c>
      <c r="J4" s="45">
        <v>9353.23</v>
      </c>
      <c r="K4" s="45">
        <v>14882.05</v>
      </c>
      <c r="L4" s="45">
        <v>16321.25</v>
      </c>
      <c r="M4" s="45">
        <v>17926.98</v>
      </c>
      <c r="N4" s="45">
        <f>SUM(B4:M4)</f>
        <v>107789.82999999999</v>
      </c>
      <c r="O4" t="s">
        <v>46</v>
      </c>
    </row>
    <row r="5" spans="1:15" x14ac:dyDescent="0.25">
      <c r="A5" t="s">
        <v>45</v>
      </c>
      <c r="B5" s="45">
        <v>23768.07</v>
      </c>
      <c r="C5" s="45">
        <v>24135.4</v>
      </c>
      <c r="D5" s="45">
        <v>19901.32</v>
      </c>
      <c r="E5" s="45">
        <v>23648.27</v>
      </c>
      <c r="F5" s="45">
        <v>21710.400000000001</v>
      </c>
      <c r="G5" s="45">
        <v>20723</v>
      </c>
      <c r="H5" s="45">
        <v>23819.88</v>
      </c>
      <c r="I5" s="45">
        <v>26008.21</v>
      </c>
      <c r="J5" s="45">
        <v>29456.95</v>
      </c>
      <c r="K5" s="45">
        <v>23718.02</v>
      </c>
      <c r="L5" s="45">
        <v>38171.54</v>
      </c>
      <c r="M5" s="45">
        <v>35246</v>
      </c>
      <c r="N5" s="45">
        <f>SUM(B5:M5)</f>
        <v>310307.06</v>
      </c>
      <c r="O5" s="46">
        <f>N4/N5</f>
        <v>0.34736505833931069</v>
      </c>
    </row>
    <row r="7" spans="1:15" x14ac:dyDescent="0.25">
      <c r="B7" s="44">
        <v>43132</v>
      </c>
      <c r="C7" s="44">
        <v>43160</v>
      </c>
      <c r="D7" s="44">
        <v>43191</v>
      </c>
      <c r="E7" s="44">
        <v>43221</v>
      </c>
      <c r="F7" s="44">
        <v>43252</v>
      </c>
      <c r="G7" s="44">
        <v>43282</v>
      </c>
      <c r="H7" s="44">
        <v>43313</v>
      </c>
      <c r="I7" s="44">
        <v>43344</v>
      </c>
      <c r="J7" s="44">
        <v>43374</v>
      </c>
      <c r="K7" s="44">
        <v>43405</v>
      </c>
      <c r="L7" s="44">
        <v>43435</v>
      </c>
      <c r="M7" s="44">
        <v>43466</v>
      </c>
      <c r="N7" s="44"/>
    </row>
    <row r="8" spans="1:15" x14ac:dyDescent="0.25">
      <c r="A8" t="s">
        <v>44</v>
      </c>
      <c r="B8" s="45">
        <v>8891.2099999999991</v>
      </c>
      <c r="C8" s="45">
        <v>4139.3999999999996</v>
      </c>
      <c r="D8" s="45">
        <v>4068.69</v>
      </c>
      <c r="E8" s="45">
        <v>5462.02</v>
      </c>
      <c r="F8" s="45">
        <v>8856.8799999999992</v>
      </c>
      <c r="G8" s="45">
        <v>9856.8799999999992</v>
      </c>
      <c r="H8" s="45">
        <v>2433.84</v>
      </c>
      <c r="I8" s="45">
        <v>9353.23</v>
      </c>
      <c r="J8" s="45">
        <v>14882.05</v>
      </c>
      <c r="K8" s="45">
        <v>16321.25</v>
      </c>
      <c r="L8" s="45">
        <v>17926.98</v>
      </c>
      <c r="M8" s="45">
        <v>9304.07</v>
      </c>
      <c r="N8" s="45">
        <f>SUM(B8:M8)</f>
        <v>111496.5</v>
      </c>
      <c r="O8" t="s">
        <v>47</v>
      </c>
    </row>
    <row r="9" spans="1:15" x14ac:dyDescent="0.25">
      <c r="A9" t="s">
        <v>45</v>
      </c>
      <c r="B9" s="45">
        <v>24135.4</v>
      </c>
      <c r="C9" s="45">
        <v>19901.32</v>
      </c>
      <c r="D9" s="45">
        <v>23648.27</v>
      </c>
      <c r="E9" s="45">
        <v>21710.400000000001</v>
      </c>
      <c r="F9" s="45">
        <v>20723</v>
      </c>
      <c r="G9" s="45">
        <v>23819.88</v>
      </c>
      <c r="H9" s="45">
        <v>26008.21</v>
      </c>
      <c r="I9" s="45">
        <v>29456.95</v>
      </c>
      <c r="J9" s="45">
        <v>23718.02</v>
      </c>
      <c r="K9" s="45">
        <v>38171.54</v>
      </c>
      <c r="L9" s="45">
        <v>35246</v>
      </c>
      <c r="M9" s="45">
        <v>18308.54</v>
      </c>
      <c r="N9" s="45">
        <f>SUM(B9:M9)</f>
        <v>304847.52999999997</v>
      </c>
      <c r="O9" s="46">
        <f>N8/N9</f>
        <v>0.3657451316728727</v>
      </c>
    </row>
    <row r="11" spans="1:15" x14ac:dyDescent="0.25">
      <c r="B11" s="44">
        <v>43160</v>
      </c>
      <c r="C11" s="44">
        <v>43191</v>
      </c>
      <c r="D11" s="44">
        <v>43221</v>
      </c>
      <c r="E11" s="44">
        <v>43252</v>
      </c>
      <c r="F11" s="44">
        <v>43282</v>
      </c>
      <c r="G11" s="44">
        <v>43313</v>
      </c>
      <c r="H11" s="44">
        <v>43344</v>
      </c>
      <c r="I11" s="44">
        <v>43374</v>
      </c>
      <c r="J11" s="44">
        <v>43405</v>
      </c>
      <c r="K11" s="44">
        <v>43435</v>
      </c>
      <c r="L11" s="44">
        <v>43466</v>
      </c>
      <c r="M11" s="44">
        <v>43497</v>
      </c>
    </row>
    <row r="12" spans="1:15" x14ac:dyDescent="0.25">
      <c r="A12" t="s">
        <v>44</v>
      </c>
      <c r="B12" s="45">
        <v>4139.3999999999996</v>
      </c>
      <c r="C12" s="45">
        <v>4068.69</v>
      </c>
      <c r="D12" s="45">
        <v>5462.02</v>
      </c>
      <c r="E12" s="45">
        <v>8856.8799999999992</v>
      </c>
      <c r="F12" s="45">
        <v>9856.8799999999992</v>
      </c>
      <c r="G12" s="45">
        <v>2433.84</v>
      </c>
      <c r="H12" s="45">
        <v>9353.23</v>
      </c>
      <c r="I12" s="45">
        <v>14882.05</v>
      </c>
      <c r="J12" s="45">
        <v>16321.25</v>
      </c>
      <c r="K12" s="45">
        <v>17926.98</v>
      </c>
      <c r="L12" s="45">
        <v>9304.07</v>
      </c>
      <c r="M12" s="47">
        <v>8536.07</v>
      </c>
      <c r="N12" s="45">
        <f>SUM(B12:M12)</f>
        <v>111141.35999999999</v>
      </c>
      <c r="O12" t="s">
        <v>48</v>
      </c>
    </row>
    <row r="13" spans="1:15" x14ac:dyDescent="0.25">
      <c r="A13" t="s">
        <v>45</v>
      </c>
      <c r="B13" s="45">
        <v>19901.32</v>
      </c>
      <c r="C13" s="45">
        <v>23648.27</v>
      </c>
      <c r="D13" s="45">
        <v>21710.400000000001</v>
      </c>
      <c r="E13" s="45">
        <v>20723</v>
      </c>
      <c r="F13" s="45">
        <v>23819.88</v>
      </c>
      <c r="G13" s="45">
        <v>26008.21</v>
      </c>
      <c r="H13" s="45">
        <v>29456.95</v>
      </c>
      <c r="I13" s="45">
        <v>23718.02</v>
      </c>
      <c r="J13" s="45">
        <v>38171.54</v>
      </c>
      <c r="K13" s="45">
        <v>35246</v>
      </c>
      <c r="L13" s="45">
        <v>18308.54</v>
      </c>
      <c r="M13" s="47">
        <v>38171.54</v>
      </c>
      <c r="N13" s="45">
        <f>SUM(B13:M13)</f>
        <v>318883.66999999993</v>
      </c>
      <c r="O13" s="46">
        <f>N12/N13</f>
        <v>0.34853261692578996</v>
      </c>
    </row>
    <row r="15" spans="1:15" x14ac:dyDescent="0.25">
      <c r="B15" s="44">
        <v>43191</v>
      </c>
      <c r="C15" s="44">
        <v>43221</v>
      </c>
      <c r="D15" s="44">
        <v>43252</v>
      </c>
      <c r="E15" s="44">
        <v>43282</v>
      </c>
      <c r="F15" s="44">
        <v>43313</v>
      </c>
      <c r="G15" s="44">
        <v>43344</v>
      </c>
      <c r="H15" s="44">
        <v>43374</v>
      </c>
      <c r="I15" s="44">
        <v>43405</v>
      </c>
      <c r="J15" s="44">
        <v>43435</v>
      </c>
      <c r="K15" s="44">
        <v>43466</v>
      </c>
      <c r="L15" s="44">
        <v>43497</v>
      </c>
      <c r="M15" s="44">
        <v>43525</v>
      </c>
    </row>
    <row r="16" spans="1:15" x14ac:dyDescent="0.25">
      <c r="A16" t="s">
        <v>44</v>
      </c>
      <c r="B16" s="45">
        <v>4068.69</v>
      </c>
      <c r="C16" s="45">
        <v>5462.02</v>
      </c>
      <c r="D16" s="45">
        <v>8856.8799999999992</v>
      </c>
      <c r="E16" s="45">
        <v>9856.8799999999992</v>
      </c>
      <c r="F16" s="45">
        <v>2433.84</v>
      </c>
      <c r="G16" s="45">
        <v>9353.23</v>
      </c>
      <c r="H16" s="45">
        <v>14882.05</v>
      </c>
      <c r="I16" s="45">
        <v>16321.25</v>
      </c>
      <c r="J16" s="45">
        <v>17926.98</v>
      </c>
      <c r="K16" s="45">
        <v>9304.07</v>
      </c>
      <c r="L16" s="47">
        <v>8536.07</v>
      </c>
      <c r="M16" s="47">
        <v>6439.6</v>
      </c>
      <c r="N16" s="45">
        <f>SUM(B16:M16)</f>
        <v>113441.56</v>
      </c>
      <c r="O16" t="s">
        <v>49</v>
      </c>
    </row>
    <row r="17" spans="1:15" x14ac:dyDescent="0.25">
      <c r="A17" t="s">
        <v>45</v>
      </c>
      <c r="B17" s="45">
        <v>23648.27</v>
      </c>
      <c r="C17" s="45">
        <v>21710.400000000001</v>
      </c>
      <c r="D17" s="45">
        <v>20723</v>
      </c>
      <c r="E17" s="45">
        <v>23819.88</v>
      </c>
      <c r="F17" s="45">
        <v>26008.21</v>
      </c>
      <c r="G17" s="45">
        <v>29456.95</v>
      </c>
      <c r="H17" s="45">
        <v>23718.02</v>
      </c>
      <c r="I17" s="45">
        <v>38171.54</v>
      </c>
      <c r="J17" s="45">
        <v>35246</v>
      </c>
      <c r="K17" s="45">
        <v>18308.54</v>
      </c>
      <c r="L17" s="47">
        <v>38171.54</v>
      </c>
      <c r="M17" s="47">
        <v>38171.54</v>
      </c>
      <c r="N17" s="45">
        <f>SUM(B17:M17)</f>
        <v>337153.89</v>
      </c>
      <c r="O17" s="46">
        <f>N16/N17</f>
        <v>0.33646819261079858</v>
      </c>
    </row>
    <row r="19" spans="1:15" x14ac:dyDescent="0.25">
      <c r="B19" s="44">
        <v>43221</v>
      </c>
      <c r="C19" s="44">
        <v>43252</v>
      </c>
      <c r="D19" s="44">
        <v>43282</v>
      </c>
      <c r="E19" s="44">
        <v>43313</v>
      </c>
      <c r="F19" s="44">
        <v>43344</v>
      </c>
      <c r="G19" s="44">
        <v>43374</v>
      </c>
      <c r="H19" s="44">
        <v>43405</v>
      </c>
      <c r="I19" s="44">
        <v>43435</v>
      </c>
      <c r="J19" s="44">
        <v>43466</v>
      </c>
      <c r="K19" s="44">
        <v>43497</v>
      </c>
      <c r="L19" s="44">
        <v>43525</v>
      </c>
      <c r="M19" s="44">
        <v>43556</v>
      </c>
      <c r="N19" s="45"/>
    </row>
    <row r="20" spans="1:15" x14ac:dyDescent="0.25">
      <c r="A20" t="s">
        <v>44</v>
      </c>
      <c r="B20" s="45">
        <v>5462.02</v>
      </c>
      <c r="C20" s="45">
        <v>8856.8799999999992</v>
      </c>
      <c r="D20" s="45">
        <v>9856.8799999999992</v>
      </c>
      <c r="E20" s="45">
        <v>2433.84</v>
      </c>
      <c r="F20" s="45">
        <v>9353.23</v>
      </c>
      <c r="G20" s="45">
        <v>14882.05</v>
      </c>
      <c r="H20" s="45">
        <v>16321.25</v>
      </c>
      <c r="I20" s="45">
        <v>17926.98</v>
      </c>
      <c r="J20" s="45">
        <v>9304.07</v>
      </c>
      <c r="K20" s="47">
        <v>8536.07</v>
      </c>
      <c r="L20" s="47">
        <v>6439.6</v>
      </c>
      <c r="M20" s="47">
        <v>6439.6</v>
      </c>
      <c r="N20" s="45">
        <f>SUM(B20:M20)</f>
        <v>115812.47</v>
      </c>
      <c r="O20" t="s">
        <v>49</v>
      </c>
    </row>
    <row r="21" spans="1:15" x14ac:dyDescent="0.25">
      <c r="A21" t="s">
        <v>45</v>
      </c>
      <c r="B21" s="45">
        <v>21710.400000000001</v>
      </c>
      <c r="C21" s="45">
        <v>20723</v>
      </c>
      <c r="D21" s="45">
        <v>23819.88</v>
      </c>
      <c r="E21" s="45">
        <v>26008.21</v>
      </c>
      <c r="F21" s="45">
        <v>29456.95</v>
      </c>
      <c r="G21" s="45">
        <v>23718.02</v>
      </c>
      <c r="H21" s="45">
        <v>38171.54</v>
      </c>
      <c r="I21" s="45">
        <v>35246</v>
      </c>
      <c r="J21" s="45">
        <v>18308.54</v>
      </c>
      <c r="K21" s="47">
        <v>38171.54</v>
      </c>
      <c r="L21" s="47">
        <v>38171.54</v>
      </c>
      <c r="M21" s="47">
        <v>28171.54</v>
      </c>
      <c r="N21" s="45">
        <f>SUM(B21:M21)</f>
        <v>341677.16</v>
      </c>
      <c r="O21" s="46">
        <f>N20/N21</f>
        <v>0.33895291684114914</v>
      </c>
    </row>
    <row r="22" spans="1:15" x14ac:dyDescent="0.25">
      <c r="N22" s="45"/>
    </row>
    <row r="23" spans="1:15" x14ac:dyDescent="0.25">
      <c r="B23" s="44">
        <v>43252</v>
      </c>
      <c r="C23" s="44">
        <v>43282</v>
      </c>
      <c r="D23" s="44">
        <v>43313</v>
      </c>
      <c r="E23" s="44">
        <v>43344</v>
      </c>
      <c r="F23" s="44">
        <v>43374</v>
      </c>
      <c r="G23" s="44">
        <v>43405</v>
      </c>
      <c r="H23" s="44">
        <v>43435</v>
      </c>
      <c r="I23" s="44">
        <v>43466</v>
      </c>
      <c r="J23" s="44">
        <v>43497</v>
      </c>
      <c r="K23" s="44">
        <v>43525</v>
      </c>
      <c r="L23" s="44">
        <v>43556</v>
      </c>
      <c r="M23" s="44">
        <v>43586</v>
      </c>
      <c r="N23" s="45"/>
    </row>
    <row r="24" spans="1:15" x14ac:dyDescent="0.25">
      <c r="A24" t="s">
        <v>44</v>
      </c>
      <c r="B24" s="45">
        <v>8856.8799999999992</v>
      </c>
      <c r="C24" s="45">
        <v>9856.8799999999992</v>
      </c>
      <c r="D24" s="45">
        <v>2433.84</v>
      </c>
      <c r="E24" s="45">
        <v>9353.23</v>
      </c>
      <c r="F24" s="45">
        <v>14882.05</v>
      </c>
      <c r="G24" s="45">
        <v>16321.25</v>
      </c>
      <c r="H24" s="45">
        <v>17926.98</v>
      </c>
      <c r="I24" s="45">
        <v>9304.07</v>
      </c>
      <c r="J24" s="47">
        <v>8536.07</v>
      </c>
      <c r="K24" s="47">
        <v>6439.6</v>
      </c>
      <c r="L24" s="47">
        <v>6439.6</v>
      </c>
      <c r="M24" s="47">
        <v>6439.6</v>
      </c>
      <c r="N24" s="45">
        <f>SUM(B24:M24)</f>
        <v>116790.05000000002</v>
      </c>
      <c r="O24" t="s">
        <v>49</v>
      </c>
    </row>
    <row r="25" spans="1:15" x14ac:dyDescent="0.25">
      <c r="A25" t="s">
        <v>45</v>
      </c>
      <c r="B25" s="45">
        <v>20723</v>
      </c>
      <c r="C25" s="45">
        <v>23819.88</v>
      </c>
      <c r="D25" s="45">
        <v>26008.21</v>
      </c>
      <c r="E25" s="45">
        <v>29456.95</v>
      </c>
      <c r="F25" s="45">
        <v>23718.02</v>
      </c>
      <c r="G25" s="45">
        <v>38171.54</v>
      </c>
      <c r="H25" s="45">
        <v>35246</v>
      </c>
      <c r="I25" s="45">
        <v>18308.54</v>
      </c>
      <c r="J25" s="47">
        <v>38171.54</v>
      </c>
      <c r="K25" s="47">
        <v>38171.54</v>
      </c>
      <c r="L25" s="47">
        <v>38171.54</v>
      </c>
      <c r="M25" s="47">
        <v>38171.54</v>
      </c>
      <c r="N25" s="45">
        <f>SUM(B25:M25)</f>
        <v>368138.3</v>
      </c>
      <c r="O25" s="46">
        <f>N24/N25</f>
        <v>0.31724504079037691</v>
      </c>
    </row>
    <row r="26" spans="1:15" x14ac:dyDescent="0.25">
      <c r="N26" s="45"/>
    </row>
    <row r="27" spans="1:15" x14ac:dyDescent="0.25">
      <c r="B27" s="44">
        <v>43282</v>
      </c>
      <c r="C27" s="44">
        <v>43313</v>
      </c>
      <c r="D27" s="44">
        <v>43344</v>
      </c>
      <c r="E27" s="44">
        <v>43374</v>
      </c>
      <c r="F27" s="44">
        <v>43405</v>
      </c>
      <c r="G27" s="44">
        <v>43435</v>
      </c>
      <c r="H27" s="44">
        <v>43466</v>
      </c>
      <c r="I27" s="44">
        <v>43497</v>
      </c>
      <c r="J27" s="44">
        <v>43525</v>
      </c>
      <c r="K27" s="44">
        <v>43556</v>
      </c>
      <c r="L27" s="44">
        <v>43586</v>
      </c>
      <c r="M27" s="44">
        <v>43617</v>
      </c>
      <c r="N27" s="45"/>
    </row>
    <row r="28" spans="1:15" x14ac:dyDescent="0.25">
      <c r="A28" t="s">
        <v>44</v>
      </c>
      <c r="B28" s="45">
        <v>9856.8799999999992</v>
      </c>
      <c r="C28" s="45">
        <v>2433.84</v>
      </c>
      <c r="D28" s="45">
        <v>9353.23</v>
      </c>
      <c r="E28" s="45">
        <v>14882.05</v>
      </c>
      <c r="F28" s="45">
        <v>16321.25</v>
      </c>
      <c r="G28" s="45">
        <v>17926.98</v>
      </c>
      <c r="H28" s="45">
        <v>9304.07</v>
      </c>
      <c r="I28" s="47">
        <v>8536.07</v>
      </c>
      <c r="J28" s="47">
        <v>6439.6</v>
      </c>
      <c r="K28" s="47">
        <v>6439.6</v>
      </c>
      <c r="L28" s="47">
        <v>6439.6</v>
      </c>
      <c r="M28" s="47">
        <v>6439.6</v>
      </c>
      <c r="N28" s="45">
        <f>SUM(B28:M28)</f>
        <v>114372.77000000002</v>
      </c>
      <c r="O28" t="s">
        <v>49</v>
      </c>
    </row>
    <row r="29" spans="1:15" x14ac:dyDescent="0.25">
      <c r="A29" t="s">
        <v>45</v>
      </c>
      <c r="B29" s="45">
        <v>23819.88</v>
      </c>
      <c r="C29" s="45">
        <v>26008.21</v>
      </c>
      <c r="D29" s="45">
        <v>29456.95</v>
      </c>
      <c r="E29" s="45">
        <v>23718.02</v>
      </c>
      <c r="F29" s="45">
        <v>38171.54</v>
      </c>
      <c r="G29" s="45">
        <v>35246</v>
      </c>
      <c r="H29" s="45">
        <v>18308.54</v>
      </c>
      <c r="I29" s="47">
        <v>38171.54</v>
      </c>
      <c r="J29" s="47">
        <v>38171.54</v>
      </c>
      <c r="K29" s="47">
        <v>38171.54</v>
      </c>
      <c r="L29" s="47">
        <v>38171.54</v>
      </c>
      <c r="M29" s="47">
        <v>38171.54</v>
      </c>
      <c r="N29" s="45">
        <f>SUM(B29:M29)</f>
        <v>385586.83999999997</v>
      </c>
      <c r="O29" s="46">
        <f>N28/N29</f>
        <v>0.29662000393996857</v>
      </c>
    </row>
    <row r="30" spans="1:15" x14ac:dyDescent="0.25">
      <c r="N30" s="45"/>
    </row>
    <row r="31" spans="1:15" x14ac:dyDescent="0.25">
      <c r="B31" s="44">
        <v>43313</v>
      </c>
      <c r="C31" s="44">
        <v>43344</v>
      </c>
      <c r="D31" s="44">
        <v>43374</v>
      </c>
      <c r="E31" s="44">
        <v>43405</v>
      </c>
      <c r="F31" s="44">
        <v>43435</v>
      </c>
      <c r="G31" s="44">
        <v>43466</v>
      </c>
      <c r="H31" s="44">
        <v>43497</v>
      </c>
      <c r="I31" s="44">
        <v>43525</v>
      </c>
      <c r="J31" s="44">
        <v>43556</v>
      </c>
      <c r="K31" s="44">
        <v>43586</v>
      </c>
      <c r="L31" s="44">
        <v>43617</v>
      </c>
      <c r="M31" s="44">
        <v>43647</v>
      </c>
      <c r="N31" s="45"/>
    </row>
    <row r="32" spans="1:15" x14ac:dyDescent="0.25">
      <c r="A32" t="s">
        <v>44</v>
      </c>
      <c r="B32" s="45">
        <v>2433.84</v>
      </c>
      <c r="C32" s="45">
        <v>9353.23</v>
      </c>
      <c r="D32" s="45">
        <v>14882.05</v>
      </c>
      <c r="E32" s="45">
        <v>16321.25</v>
      </c>
      <c r="F32" s="45">
        <v>17926.98</v>
      </c>
      <c r="G32" s="45">
        <v>9304.07</v>
      </c>
      <c r="H32" s="47">
        <v>8536.07</v>
      </c>
      <c r="I32" s="47">
        <v>6439.6</v>
      </c>
      <c r="J32" s="47">
        <v>6439.6</v>
      </c>
      <c r="K32" s="47">
        <v>6439.6</v>
      </c>
      <c r="L32" s="47">
        <v>6439.6</v>
      </c>
      <c r="M32" s="47">
        <v>6439.6</v>
      </c>
      <c r="N32" s="45">
        <f>SUM(B32:M32)</f>
        <v>110955.49000000002</v>
      </c>
      <c r="O32" t="s">
        <v>49</v>
      </c>
    </row>
    <row r="33" spans="1:15" x14ac:dyDescent="0.25">
      <c r="A33" t="s">
        <v>45</v>
      </c>
      <c r="B33" s="45">
        <v>26008.21</v>
      </c>
      <c r="C33" s="45">
        <v>29456.95</v>
      </c>
      <c r="D33" s="45">
        <v>23718.02</v>
      </c>
      <c r="E33" s="45">
        <v>38171.54</v>
      </c>
      <c r="F33" s="45">
        <v>35246</v>
      </c>
      <c r="G33" s="45">
        <v>18308.54</v>
      </c>
      <c r="H33" s="47">
        <v>38171.54</v>
      </c>
      <c r="I33" s="47">
        <v>38171.54</v>
      </c>
      <c r="J33" s="47">
        <v>38171.54</v>
      </c>
      <c r="K33" s="47">
        <v>38171.54</v>
      </c>
      <c r="L33" s="47">
        <v>38171.54</v>
      </c>
      <c r="M33" s="47">
        <v>38171.54</v>
      </c>
      <c r="N33" s="45">
        <f>SUM(B33:M33)</f>
        <v>399938.49999999994</v>
      </c>
      <c r="O33" s="46">
        <f>N32/N33</f>
        <v>0.2774313800746866</v>
      </c>
    </row>
    <row r="34" spans="1:15" x14ac:dyDescent="0.25">
      <c r="N34" s="45"/>
    </row>
    <row r="35" spans="1:15" x14ac:dyDescent="0.25">
      <c r="B35" s="44">
        <v>43344</v>
      </c>
      <c r="C35" s="44">
        <v>43374</v>
      </c>
      <c r="D35" s="44">
        <v>43405</v>
      </c>
      <c r="E35" s="44">
        <v>43435</v>
      </c>
      <c r="F35" s="44">
        <v>43466</v>
      </c>
      <c r="G35" s="44">
        <v>43497</v>
      </c>
      <c r="H35" s="44">
        <v>43525</v>
      </c>
      <c r="I35" s="44">
        <v>43556</v>
      </c>
      <c r="J35" s="44">
        <v>43586</v>
      </c>
      <c r="K35" s="44">
        <v>43617</v>
      </c>
      <c r="L35" s="44">
        <v>43647</v>
      </c>
      <c r="M35" s="44">
        <v>43678</v>
      </c>
      <c r="N35" s="45"/>
    </row>
    <row r="36" spans="1:15" x14ac:dyDescent="0.25">
      <c r="A36" t="s">
        <v>44</v>
      </c>
      <c r="B36" s="45">
        <v>9353.23</v>
      </c>
      <c r="C36" s="45">
        <v>14882.05</v>
      </c>
      <c r="D36" s="45">
        <v>16321.25</v>
      </c>
      <c r="E36" s="45">
        <v>17926.98</v>
      </c>
      <c r="F36" s="45">
        <v>9304.07</v>
      </c>
      <c r="G36" s="47">
        <v>8536.07</v>
      </c>
      <c r="H36" s="47">
        <v>6439.6</v>
      </c>
      <c r="I36" s="47">
        <v>6439.6</v>
      </c>
      <c r="J36" s="47">
        <v>6439.6</v>
      </c>
      <c r="K36" s="47">
        <v>6439.6</v>
      </c>
      <c r="L36" s="47">
        <v>6439.6</v>
      </c>
      <c r="M36" s="47">
        <v>6439.6</v>
      </c>
      <c r="N36" s="45">
        <f>SUM(B36:M36)</f>
        <v>114961.25000000003</v>
      </c>
      <c r="O36" t="s">
        <v>49</v>
      </c>
    </row>
    <row r="37" spans="1:15" x14ac:dyDescent="0.25">
      <c r="A37" t="s">
        <v>45</v>
      </c>
      <c r="B37" s="45">
        <v>29456.95</v>
      </c>
      <c r="C37" s="45">
        <v>23718.02</v>
      </c>
      <c r="D37" s="45">
        <v>38171.54</v>
      </c>
      <c r="E37" s="45">
        <v>35246</v>
      </c>
      <c r="F37" s="45">
        <v>18308.54</v>
      </c>
      <c r="G37" s="47">
        <v>38171.54</v>
      </c>
      <c r="H37" s="47">
        <v>38171.54</v>
      </c>
      <c r="I37" s="47">
        <v>38171.54</v>
      </c>
      <c r="J37" s="47">
        <v>38171.54</v>
      </c>
      <c r="K37" s="47">
        <v>38171.54</v>
      </c>
      <c r="L37" s="47">
        <v>38171.54</v>
      </c>
      <c r="M37" s="47">
        <v>38171.54</v>
      </c>
      <c r="N37" s="45">
        <f>SUM(B37:M37)</f>
        <v>412101.82999999996</v>
      </c>
      <c r="O37" s="46">
        <f>N36/N37</f>
        <v>0.27896321159262999</v>
      </c>
    </row>
    <row r="38" spans="1:15" x14ac:dyDescent="0.25">
      <c r="N38" s="45"/>
    </row>
    <row r="39" spans="1:15" x14ac:dyDescent="0.25">
      <c r="B39" s="44">
        <v>43374</v>
      </c>
      <c r="C39" s="44">
        <v>43405</v>
      </c>
      <c r="D39" s="44">
        <v>43435</v>
      </c>
      <c r="E39" s="44">
        <v>43466</v>
      </c>
      <c r="F39" s="44">
        <v>43497</v>
      </c>
      <c r="G39" s="44">
        <v>43525</v>
      </c>
      <c r="H39" s="44">
        <v>43556</v>
      </c>
      <c r="I39" s="44">
        <v>43586</v>
      </c>
      <c r="J39" s="44">
        <v>43617</v>
      </c>
      <c r="K39" s="44">
        <v>43647</v>
      </c>
      <c r="L39" s="44">
        <v>43678</v>
      </c>
      <c r="M39" s="44">
        <v>43709</v>
      </c>
      <c r="N39" s="45"/>
    </row>
    <row r="40" spans="1:15" x14ac:dyDescent="0.25">
      <c r="A40" t="s">
        <v>44</v>
      </c>
      <c r="B40" s="45">
        <v>14882.05</v>
      </c>
      <c r="C40" s="45">
        <v>16321.25</v>
      </c>
      <c r="D40" s="45">
        <v>17926.98</v>
      </c>
      <c r="E40" s="45">
        <v>9304.07</v>
      </c>
      <c r="F40" s="47">
        <v>8536.07</v>
      </c>
      <c r="G40" s="47">
        <v>6439.6</v>
      </c>
      <c r="H40" s="47">
        <v>6439.6</v>
      </c>
      <c r="I40" s="47">
        <v>6439.6</v>
      </c>
      <c r="J40" s="47">
        <v>6439.6</v>
      </c>
      <c r="K40" s="47">
        <v>6439.6</v>
      </c>
      <c r="L40" s="47">
        <v>6439.6</v>
      </c>
      <c r="M40" s="47">
        <v>6439.6</v>
      </c>
      <c r="N40" s="45">
        <f>SUM(B40:M40)</f>
        <v>112047.62000000004</v>
      </c>
      <c r="O40" t="s">
        <v>49</v>
      </c>
    </row>
    <row r="41" spans="1:15" x14ac:dyDescent="0.25">
      <c r="A41" t="s">
        <v>45</v>
      </c>
      <c r="B41" s="45">
        <v>23718.02</v>
      </c>
      <c r="C41" s="45">
        <v>38171.54</v>
      </c>
      <c r="D41" s="45">
        <v>35246</v>
      </c>
      <c r="E41" s="45">
        <v>18308.54</v>
      </c>
      <c r="F41" s="47">
        <v>38171.54</v>
      </c>
      <c r="G41" s="47">
        <v>38171.54</v>
      </c>
      <c r="H41" s="47">
        <v>38171.54</v>
      </c>
      <c r="I41" s="47">
        <v>38171.54</v>
      </c>
      <c r="J41" s="47">
        <v>38171.54</v>
      </c>
      <c r="K41" s="47">
        <v>38171.54</v>
      </c>
      <c r="L41" s="47">
        <v>38171.54</v>
      </c>
      <c r="M41" s="47">
        <v>38171.54</v>
      </c>
      <c r="N41" s="45">
        <f>SUM(B41:M41)</f>
        <v>420816.41999999993</v>
      </c>
      <c r="O41" s="46">
        <f>N40/N41</f>
        <v>0.26626247141211851</v>
      </c>
    </row>
    <row r="42" spans="1:15" x14ac:dyDescent="0.25">
      <c r="N42" s="45"/>
    </row>
    <row r="43" spans="1:15" x14ac:dyDescent="0.25">
      <c r="B43" s="44">
        <v>43405</v>
      </c>
      <c r="C43" s="44">
        <v>43435</v>
      </c>
      <c r="D43" s="44">
        <v>43466</v>
      </c>
      <c r="E43" s="44">
        <v>43497</v>
      </c>
      <c r="F43" s="44">
        <v>43525</v>
      </c>
      <c r="G43" s="44">
        <v>43556</v>
      </c>
      <c r="H43" s="44">
        <v>43586</v>
      </c>
      <c r="I43" s="44">
        <v>43617</v>
      </c>
      <c r="J43" s="44">
        <v>43647</v>
      </c>
      <c r="K43" s="44">
        <v>43678</v>
      </c>
      <c r="L43" s="44">
        <v>43709</v>
      </c>
      <c r="M43" s="44">
        <v>43739</v>
      </c>
      <c r="N43" s="45"/>
    </row>
    <row r="44" spans="1:15" x14ac:dyDescent="0.25">
      <c r="A44" t="s">
        <v>44</v>
      </c>
      <c r="B44" s="45">
        <v>16321.25</v>
      </c>
      <c r="C44" s="45">
        <v>17926.98</v>
      </c>
      <c r="D44" s="45">
        <v>9304.07</v>
      </c>
      <c r="E44" s="47">
        <v>8536.07</v>
      </c>
      <c r="F44" s="47">
        <v>6439.6</v>
      </c>
      <c r="G44" s="47">
        <v>6439.6</v>
      </c>
      <c r="H44" s="47">
        <v>6439.6</v>
      </c>
      <c r="I44" s="47">
        <v>6439.6</v>
      </c>
      <c r="J44" s="47">
        <v>6439.6</v>
      </c>
      <c r="K44" s="47">
        <v>6439.6</v>
      </c>
      <c r="L44" s="47">
        <v>6439.6</v>
      </c>
      <c r="M44" s="47">
        <v>6439.6</v>
      </c>
      <c r="N44" s="45">
        <f>SUM(B44:M44)</f>
        <v>103605.17000000003</v>
      </c>
      <c r="O44" t="s">
        <v>49</v>
      </c>
    </row>
    <row r="45" spans="1:15" x14ac:dyDescent="0.25">
      <c r="A45" t="s">
        <v>45</v>
      </c>
      <c r="B45" s="45">
        <v>38171.54</v>
      </c>
      <c r="C45" s="45">
        <v>35246</v>
      </c>
      <c r="D45" s="45">
        <v>18308.54</v>
      </c>
      <c r="E45" s="47">
        <v>38171.54</v>
      </c>
      <c r="F45" s="47">
        <v>38171.54</v>
      </c>
      <c r="G45" s="47">
        <v>38171.54</v>
      </c>
      <c r="H45" s="47">
        <v>38171.54</v>
      </c>
      <c r="I45" s="47">
        <v>38171.54</v>
      </c>
      <c r="J45" s="47">
        <v>38171.54</v>
      </c>
      <c r="K45" s="47">
        <v>38171.54</v>
      </c>
      <c r="L45" s="47">
        <v>38171.54</v>
      </c>
      <c r="M45" s="47">
        <v>38171.54</v>
      </c>
      <c r="N45" s="45">
        <f>SUM(B45:M45)</f>
        <v>435269.93999999994</v>
      </c>
      <c r="O45" s="46">
        <f>N44/N45</f>
        <v>0.23802509771292737</v>
      </c>
    </row>
    <row r="46" spans="1:15" x14ac:dyDescent="0.25">
      <c r="N46" s="45"/>
    </row>
    <row r="47" spans="1:15" x14ac:dyDescent="0.25">
      <c r="B47" s="44">
        <v>43435</v>
      </c>
      <c r="C47" s="44">
        <v>43466</v>
      </c>
      <c r="D47" s="44">
        <v>43497</v>
      </c>
      <c r="E47" s="44">
        <v>43525</v>
      </c>
      <c r="F47" s="44">
        <v>43556</v>
      </c>
      <c r="G47" s="44">
        <v>43586</v>
      </c>
      <c r="H47" s="44">
        <v>43617</v>
      </c>
      <c r="I47" s="44">
        <v>43647</v>
      </c>
      <c r="J47" s="44">
        <v>43678</v>
      </c>
      <c r="K47" s="44">
        <v>43709</v>
      </c>
      <c r="L47" s="44">
        <v>43739</v>
      </c>
      <c r="M47" s="44">
        <v>43770</v>
      </c>
      <c r="N47" s="45"/>
    </row>
    <row r="48" spans="1:15" x14ac:dyDescent="0.25">
      <c r="A48" t="s">
        <v>44</v>
      </c>
      <c r="B48" s="45">
        <v>17926.98</v>
      </c>
      <c r="C48" s="45">
        <v>9304.07</v>
      </c>
      <c r="D48" s="47">
        <v>8536.07</v>
      </c>
      <c r="E48" s="47">
        <v>6439.6</v>
      </c>
      <c r="F48" s="47">
        <v>6439.6</v>
      </c>
      <c r="G48" s="47">
        <v>6439.6</v>
      </c>
      <c r="H48" s="47">
        <v>6439.6</v>
      </c>
      <c r="I48" s="47">
        <v>6439.6</v>
      </c>
      <c r="J48" s="47">
        <v>6439.6</v>
      </c>
      <c r="K48" s="47">
        <v>6439.6</v>
      </c>
      <c r="L48" s="47">
        <v>6439.6</v>
      </c>
      <c r="M48" s="47">
        <v>6439.6</v>
      </c>
      <c r="N48" s="45">
        <f>SUM(B48:M48)</f>
        <v>93723.520000000019</v>
      </c>
      <c r="O48" t="s">
        <v>49</v>
      </c>
    </row>
    <row r="49" spans="1:15" x14ac:dyDescent="0.25">
      <c r="A49" t="s">
        <v>45</v>
      </c>
      <c r="B49" s="45">
        <v>35246</v>
      </c>
      <c r="C49" s="45">
        <v>18308.54</v>
      </c>
      <c r="D49" s="47">
        <v>38171.54</v>
      </c>
      <c r="E49" s="47">
        <v>38171.54</v>
      </c>
      <c r="F49" s="47">
        <v>38171.54</v>
      </c>
      <c r="G49" s="47">
        <v>38171.54</v>
      </c>
      <c r="H49" s="47">
        <v>38171.54</v>
      </c>
      <c r="I49" s="47">
        <v>38171.54</v>
      </c>
      <c r="J49" s="47">
        <v>38171.54</v>
      </c>
      <c r="K49" s="47">
        <v>38171.54</v>
      </c>
      <c r="L49" s="47">
        <v>38171.54</v>
      </c>
      <c r="M49" s="47">
        <v>38171.54</v>
      </c>
      <c r="N49" s="45">
        <f>SUM(B49:M49)</f>
        <v>435269.93999999994</v>
      </c>
      <c r="O49" s="46">
        <f>N48/N49</f>
        <v>0.21532274891300793</v>
      </c>
    </row>
    <row r="50" spans="1:15" x14ac:dyDescent="0.25">
      <c r="N50" s="45"/>
    </row>
    <row r="51" spans="1:15" x14ac:dyDescent="0.25">
      <c r="N51" s="45"/>
    </row>
    <row r="52" spans="1:15" x14ac:dyDescent="0.25">
      <c r="N52" s="45"/>
    </row>
    <row r="53" spans="1:15" x14ac:dyDescent="0.25">
      <c r="N53" s="45"/>
    </row>
    <row r="54" spans="1:15" x14ac:dyDescent="0.25">
      <c r="N54" s="45"/>
    </row>
    <row r="55" spans="1:15" x14ac:dyDescent="0.25">
      <c r="N55" s="45"/>
    </row>
    <row r="56" spans="1:15" x14ac:dyDescent="0.25">
      <c r="N56" s="45"/>
    </row>
    <row r="57" spans="1:15" x14ac:dyDescent="0.25">
      <c r="N57" s="45"/>
    </row>
    <row r="58" spans="1:15" x14ac:dyDescent="0.25">
      <c r="N58" s="45"/>
    </row>
    <row r="59" spans="1:15" x14ac:dyDescent="0.25">
      <c r="N59" s="45"/>
    </row>
    <row r="60" spans="1:15" x14ac:dyDescent="0.25">
      <c r="N60" s="45"/>
    </row>
    <row r="61" spans="1:15" x14ac:dyDescent="0.25">
      <c r="N61" s="45"/>
    </row>
    <row r="62" spans="1:15" x14ac:dyDescent="0.25">
      <c r="N62" s="45"/>
    </row>
  </sheetData>
  <customSheetViews>
    <customSheetView guid="{6092A35D-646B-4696-B042-08D320802F8F}" topLeftCell="B1">
      <selection activeCell="B7" sqref="B7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D5C638CE-B51D-4CE7-B984-5FB27EC656B9}">
      <selection activeCell="E14" sqref="E14"/>
      <pageMargins left="0.511811024" right="0.511811024" top="0.78740157499999996" bottom="0.78740157499999996" header="0.31496062000000002" footer="0.31496062000000002"/>
    </customSheetView>
    <customSheetView guid="{8192140A-8A4E-4279-926F-A04A19CC0068}">
      <selection activeCell="E14" sqref="E14"/>
      <pageMargins left="0.511811024" right="0.511811024" top="0.78740157499999996" bottom="0.78740157499999996" header="0.31496062000000002" footer="0.31496062000000002"/>
    </customSheetView>
    <customSheetView guid="{D4DF142A-BB1F-4E75-AE5E-6952AE62CADB}">
      <selection activeCell="E14" sqref="E14"/>
      <pageMargins left="0.511811024" right="0.511811024" top="0.78740157499999996" bottom="0.78740157499999996" header="0.31496062000000002" footer="0.31496062000000002"/>
    </customSheetView>
    <customSheetView guid="{D9DAC16E-CC93-45DC-8A23-1165BA9AA92F}">
      <selection activeCell="E14" sqref="E14"/>
      <pageMargins left="0.511811024" right="0.511811024" top="0.78740157499999996" bottom="0.78740157499999996" header="0.31496062000000002" footer="0.31496062000000002"/>
    </customSheetView>
    <customSheetView guid="{264665E6-1F8E-4D4A-90DE-DFBEF719BA41}" showRuler="0">
      <selection activeCell="E14" sqref="E14"/>
      <pageMargins left="0.511811024" right="0.511811024" top="0.78740157499999996" bottom="0.78740157499999996" header="0.31496062000000002" footer="0.31496062000000002"/>
      <headerFooter alignWithMargins="0"/>
    </customSheetView>
  </customSheetViews>
  <phoneticPr fontId="0" type="noConversion"/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customSheetViews>
    <customSheetView guid="{6092A35D-646B-4696-B042-08D320802F8F}">
      <pageMargins left="0.511811024" right="0.511811024" top="0.78740157499999996" bottom="0.78740157499999996" header="0.31496062000000002" footer="0.31496062000000002"/>
    </customSheetView>
    <customSheetView guid="{D5C638CE-B51D-4CE7-B984-5FB27EC656B9}">
      <pageMargins left="0.511811024" right="0.511811024" top="0.78740157499999996" bottom="0.78740157499999996" header="0.31496062000000002" footer="0.31496062000000002"/>
    </customSheetView>
    <customSheetView guid="{8192140A-8A4E-4279-926F-A04A19CC0068}">
      <pageMargins left="0.511811024" right="0.511811024" top="0.78740157499999996" bottom="0.78740157499999996" header="0.31496062000000002" footer="0.31496062000000002"/>
    </customSheetView>
    <customSheetView guid="{D4DF142A-BB1F-4E75-AE5E-6952AE62CADB}">
      <pageMargins left="0.511811024" right="0.511811024" top="0.78740157499999996" bottom="0.78740157499999996" header="0.31496062000000002" footer="0.31496062000000002"/>
    </customSheetView>
    <customSheetView guid="{D9DAC16E-CC93-45DC-8A23-1165BA9AA92F}">
      <pageMargins left="0.511811024" right="0.511811024" top="0.78740157499999996" bottom="0.78740157499999996" header="0.31496062000000002" footer="0.31496062000000002"/>
    </customSheetView>
    <customSheetView guid="{264665E6-1F8E-4D4A-90DE-DFBEF719BA41}" showRuler="0">
      <pageMargins left="0.511811024" right="0.511811024" top="0.78740157499999996" bottom="0.78740157499999996" header="0.31496062000000002" footer="0.31496062000000002"/>
      <headerFooter alignWithMargins="0"/>
    </customSheetView>
  </customSheetViews>
  <phoneticPr fontId="0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Metodo Contobail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Metodo Contabil</dc:creator>
  <cp:lastModifiedBy>Analice</cp:lastModifiedBy>
  <cp:lastPrinted>2019-01-30T13:47:15Z</cp:lastPrinted>
  <dcterms:created xsi:type="dcterms:W3CDTF">2010-08-12T13:19:25Z</dcterms:created>
  <dcterms:modified xsi:type="dcterms:W3CDTF">2019-02-19T13:29:21Z</dcterms:modified>
</cp:coreProperties>
</file>