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410"/>
  <workbookPr/>
  <mc:AlternateContent xmlns:mc="http://schemas.openxmlformats.org/markup-compatibility/2006">
    <mc:Choice Requires="x15">
      <x15ac:absPath xmlns:x15ac="http://schemas.microsoft.com/office/spreadsheetml/2010/11/ac" url="/Users/joseeduardofernandes/Desktop/"/>
    </mc:Choice>
  </mc:AlternateContent>
  <bookViews>
    <workbookView xWindow="0" yWindow="460" windowWidth="16000" windowHeight="10680" tabRatio="500"/>
  </bookViews>
  <sheets>
    <sheet name="Custo Pessoal" sheetId="7" r:id="rId1"/>
  </sheets>
  <definedNames>
    <definedName name="_xlnm.Print_Area" localSheetId="0">'Custo Pessoal'!$A$1:$U$26</definedName>
  </definedNames>
  <calcPr calcId="150001" iterate="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3" i="7" l="1"/>
  <c r="K10" i="7"/>
  <c r="K8" i="7"/>
  <c r="K9" i="7"/>
  <c r="K11" i="7"/>
  <c r="K12" i="7"/>
  <c r="K13" i="7"/>
  <c r="K14" i="7"/>
  <c r="K15" i="7"/>
  <c r="K16" i="7"/>
  <c r="K17" i="7"/>
  <c r="K19" i="7"/>
  <c r="K21" i="7"/>
  <c r="K24" i="7"/>
</calcChain>
</file>

<file path=xl/sharedStrings.xml><?xml version="1.0" encoding="utf-8"?>
<sst xmlns="http://schemas.openxmlformats.org/spreadsheetml/2006/main" count="24" uniqueCount="23">
  <si>
    <t>CUSTO MÉDIO MENSAL DE UM FUNCIONÁRIO FIXO*</t>
  </si>
  <si>
    <t>Funcionário Mensalista</t>
  </si>
  <si>
    <t>Encargos Sociais</t>
  </si>
  <si>
    <t>%</t>
  </si>
  <si>
    <t>R$</t>
  </si>
  <si>
    <t>13º Salário</t>
  </si>
  <si>
    <t>Férias</t>
  </si>
  <si>
    <t>INSS</t>
  </si>
  <si>
    <t>SAT até</t>
  </si>
  <si>
    <t>Salário Educação</t>
  </si>
  <si>
    <t>INCRA/SENAI/SESI/SEBRAE</t>
  </si>
  <si>
    <t>FGTS (a partir de 01.01.2007)</t>
  </si>
  <si>
    <t>FGTS/Provisão de Multa para Rescisão</t>
  </si>
  <si>
    <t>Previdenciário sobre 13º / Férias / DSR</t>
  </si>
  <si>
    <t>Custo Médio Total</t>
  </si>
  <si>
    <t>Custo Estimado com Colaborador</t>
  </si>
  <si>
    <t>Benefícios</t>
  </si>
  <si>
    <t>Horas Extras (Média Mensal)</t>
  </si>
  <si>
    <t>Vale Transporte (R$ 3,80 * 2 * 22)</t>
  </si>
  <si>
    <t>Descanso Semanal Remunerado (Média)</t>
  </si>
  <si>
    <t>Vale Refeição/Alimentação (R$ 18,50 * 22)</t>
  </si>
  <si>
    <t>Assistência Médica</t>
  </si>
  <si>
    <t>Auxílio Creche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</si>
</sst>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2"/>
      <color theme="1"/>
      <name val="ArialMT"/>
      <family val="2"/>
    </font>
    <font>
      <sz val="12"/>
      <color theme="1"/>
      <name val="ArialMT"/>
      <family val="2"/>
    </font>
    <font>
      <sz val="10"/>
      <name val="Arial"/>
      <family val="2"/>
    </font>
    <font>
      <b/>
      <sz val="12"/>
      <color theme="1"/>
      <name val="ArialMT"/>
      <family val="2"/>
    </font>
    <font>
      <b/>
      <sz val="16"/>
      <color theme="0"/>
      <name val="ArialMT"/>
    </font>
    <font>
      <b/>
      <sz val="16"/>
      <color theme="1"/>
      <name val="ArialMT"/>
    </font>
    <font>
      <b/>
      <sz val="14"/>
      <color theme="1"/>
      <name val="ArialMT"/>
    </font>
    <font>
      <b/>
      <sz val="10"/>
      <color theme="1"/>
      <name val="ArialMT"/>
      <family val="2"/>
    </font>
    <font>
      <sz val="11"/>
      <color theme="1"/>
      <name val="ArialMT"/>
      <family val="2"/>
    </font>
    <font>
      <b/>
      <sz val="11"/>
      <color theme="1"/>
      <name val="ArialM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10" fontId="8" fillId="0" borderId="7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0" fontId="8" fillId="0" borderId="1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0" fontId="8" fillId="0" borderId="8" xfId="0" applyNumberFormat="1" applyFont="1" applyBorder="1" applyAlignment="1">
      <alignment vertical="center"/>
    </xf>
    <xf numFmtId="0" fontId="7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43" fontId="3" fillId="0" borderId="0" xfId="1" applyFont="1" applyFill="1" applyAlignment="1">
      <alignment vertical="center"/>
    </xf>
    <xf numFmtId="0" fontId="8" fillId="0" borderId="9" xfId="0" applyFont="1" applyBorder="1" applyAlignment="1">
      <alignment vertical="center"/>
    </xf>
    <xf numFmtId="10" fontId="8" fillId="0" borderId="9" xfId="0" applyNumberFormat="1" applyFont="1" applyBorder="1" applyAlignment="1">
      <alignment vertical="center"/>
    </xf>
    <xf numFmtId="43" fontId="8" fillId="0" borderId="9" xfId="1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43" fontId="9" fillId="0" borderId="6" xfId="1" applyFont="1" applyBorder="1" applyAlignment="1">
      <alignment horizontal="center" vertical="center"/>
    </xf>
    <xf numFmtId="43" fontId="8" fillId="0" borderId="7" xfId="1" applyFont="1" applyBorder="1" applyAlignment="1">
      <alignment horizontal="center" vertical="center"/>
    </xf>
    <xf numFmtId="43" fontId="8" fillId="0" borderId="1" xfId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43" fontId="3" fillId="4" borderId="0" xfId="1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43" fontId="8" fillId="0" borderId="9" xfId="1" applyFont="1" applyBorder="1" applyAlignment="1">
      <alignment horizontal="center" vertical="center"/>
    </xf>
    <xf numFmtId="43" fontId="8" fillId="0" borderId="8" xfId="1" applyFont="1" applyBorder="1" applyAlignment="1">
      <alignment horizontal="center" vertical="center"/>
    </xf>
  </cellXfs>
  <cellStyles count="4">
    <cellStyle name="Normal" xfId="0" builtinId="0"/>
    <cellStyle name="Normal 2" xfId="2"/>
    <cellStyle name="Separador de milhares 2 3" xfId="3"/>
    <cellStyle name="Vírgula" xfId="1" builtinId="3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235253</xdr:colOff>
      <xdr:row>19</xdr:row>
      <xdr:rowOff>25402</xdr:rowOff>
    </xdr:from>
    <xdr:to>
      <xdr:col>17</xdr:col>
      <xdr:colOff>462181</xdr:colOff>
      <xdr:row>24</xdr:row>
      <xdr:rowOff>2887</xdr:rowOff>
    </xdr:to>
    <xdr:pic>
      <xdr:nvPicPr>
        <xdr:cNvPr id="10" name="Imagem 9" descr="Imagem1.png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502" r="5955" b="21009"/>
        <a:stretch/>
      </xdr:blipFill>
      <xdr:spPr bwMode="auto">
        <a:xfrm>
          <a:off x="7144053" y="12259735"/>
          <a:ext cx="1031261" cy="1018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r="http://schemas.openxmlformats.org/officeDocument/2006/relationships" xmlns:p="http://schemas.openxmlformats.org/presentationml/2006/main" xmlns="" xmlns:a14="http://schemas.microsoft.com/office/drawing/2010/main" xmlns:lc="http://schemas.openxmlformats.org/drawingml/2006/lockedCanvas">
              <a:solidFill>
                <a:srgbClr val="FFFFFF"/>
              </a:solidFill>
            </a14:hiddenFill>
          </a:ext>
          <a:ext uri="{91240B29-F687-4f45-9708-019B960494DF}">
            <a14:hiddenLine xmlns:r="http://schemas.openxmlformats.org/officeDocument/2006/relationships" xmlns:p="http://schemas.openxmlformats.org/presentationml/2006/main" xmlns="" xmlns:a14="http://schemas.microsoft.com/office/drawing/2010/main" xmlns:lc="http://schemas.openxmlformats.org/drawingml/2006/lockedCanvas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C1:U27"/>
  <sheetViews>
    <sheetView showGridLines="0" showZeros="0" tabSelected="1" topLeftCell="A4" zoomScale="140" zoomScaleNormal="140" zoomScalePageLayoutView="140" workbookViewId="0">
      <selection activeCell="K8" sqref="K8:L9"/>
    </sheetView>
  </sheetViews>
  <sheetFormatPr baseColWidth="10" defaultColWidth="7.5703125" defaultRowHeight="16" x14ac:dyDescent="0.2"/>
  <cols>
    <col min="1" max="2" width="1.42578125" customWidth="1"/>
    <col min="3" max="3" width="2.85546875" customWidth="1"/>
    <col min="4" max="4" width="1.42578125" customWidth="1"/>
    <col min="5" max="5" width="20.28515625" customWidth="1"/>
    <col min="6" max="6" width="1.42578125" customWidth="1"/>
    <col min="7" max="7" width="9.7109375" bestFit="1" customWidth="1"/>
    <col min="8" max="8" width="1.42578125" customWidth="1"/>
    <col min="9" max="9" width="9.7109375" bestFit="1" customWidth="1"/>
    <col min="10" max="11" width="1.42578125" customWidth="1"/>
    <col min="12" max="14" width="7.85546875" customWidth="1"/>
    <col min="15" max="15" width="1.42578125" customWidth="1"/>
    <col min="17" max="17" width="1.42578125" customWidth="1"/>
    <col min="18" max="18" width="8.28515625" customWidth="1"/>
    <col min="19" max="19" width="1.42578125" customWidth="1"/>
    <col min="21" max="22" width="1.42578125" customWidth="1"/>
  </cols>
  <sheetData>
    <row r="1" spans="3:21" ht="6" customHeight="1" thickBot="1" x14ac:dyDescent="0.25"/>
    <row r="2" spans="3:21" s="2" customFormat="1" ht="37" customHeight="1" thickTop="1" thickBot="1" x14ac:dyDescent="0.25">
      <c r="C2" s="22" t="s">
        <v>0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4"/>
    </row>
    <row r="3" spans="3:21" s="2" customFormat="1" ht="6" customHeight="1" thickTop="1" x14ac:dyDescent="0.2"/>
    <row r="4" spans="3:21" s="2" customFormat="1" ht="20" x14ac:dyDescent="0.2">
      <c r="E4" s="25" t="s">
        <v>15</v>
      </c>
      <c r="F4" s="25"/>
      <c r="G4" s="25"/>
      <c r="H4" s="25"/>
      <c r="I4" s="25"/>
      <c r="J4" s="26">
        <v>3000</v>
      </c>
      <c r="K4" s="26"/>
      <c r="L4" s="26"/>
      <c r="M4" s="14"/>
      <c r="N4" s="14"/>
      <c r="O4" s="14"/>
      <c r="P4" s="14"/>
      <c r="Q4" s="14"/>
      <c r="R4" s="14"/>
      <c r="S4" s="14"/>
      <c r="T4" s="14"/>
      <c r="U4" s="14"/>
    </row>
    <row r="5" spans="3:21" s="2" customFormat="1" ht="6" customHeight="1" x14ac:dyDescent="0.2">
      <c r="M5" s="14"/>
      <c r="N5" s="14"/>
      <c r="O5" s="14"/>
      <c r="P5" s="14"/>
      <c r="Q5" s="14"/>
      <c r="R5" s="14"/>
      <c r="S5" s="14"/>
      <c r="T5" s="14"/>
      <c r="U5" s="14"/>
    </row>
    <row r="6" spans="3:21" s="2" customFormat="1" x14ac:dyDescent="0.2">
      <c r="I6" s="27" t="s">
        <v>1</v>
      </c>
      <c r="J6" s="27"/>
      <c r="K6" s="27"/>
      <c r="L6" s="27"/>
      <c r="M6" s="14"/>
      <c r="N6" s="14"/>
      <c r="O6" s="14"/>
      <c r="P6" s="14"/>
      <c r="Q6" s="14"/>
      <c r="R6" s="14"/>
      <c r="S6" s="14"/>
      <c r="T6" s="14"/>
      <c r="U6" s="14"/>
    </row>
    <row r="7" spans="3:21" s="2" customFormat="1" x14ac:dyDescent="0.2">
      <c r="E7" s="28" t="s">
        <v>2</v>
      </c>
      <c r="F7" s="28"/>
      <c r="G7" s="28"/>
      <c r="H7" s="3"/>
      <c r="I7" s="12" t="s">
        <v>3</v>
      </c>
      <c r="J7" s="4"/>
      <c r="K7" s="29" t="s">
        <v>4</v>
      </c>
      <c r="L7" s="29"/>
      <c r="M7" s="14"/>
      <c r="N7" s="14"/>
      <c r="O7" s="14"/>
      <c r="P7" s="14"/>
      <c r="Q7" s="14"/>
      <c r="R7" s="14"/>
      <c r="S7" s="14"/>
      <c r="T7" s="14"/>
      <c r="U7" s="14"/>
    </row>
    <row r="8" spans="3:21" s="2" customFormat="1" x14ac:dyDescent="0.2">
      <c r="E8" s="5" t="s">
        <v>5</v>
      </c>
      <c r="F8" s="5"/>
      <c r="G8" s="5"/>
      <c r="H8" s="6"/>
      <c r="I8" s="7">
        <v>8.3299999999999999E-2</v>
      </c>
      <c r="J8" s="5"/>
      <c r="K8" s="20">
        <f>IF((I8)&gt;0,($J$4+$K$23)*I8,0)</f>
        <v>294.88200000000001</v>
      </c>
      <c r="L8" s="20"/>
      <c r="M8" s="14"/>
      <c r="N8" s="14"/>
      <c r="O8" s="14"/>
      <c r="P8" s="14"/>
      <c r="Q8" s="14"/>
      <c r="R8" s="14"/>
      <c r="S8" s="14"/>
      <c r="T8" s="14"/>
      <c r="U8" s="14"/>
    </row>
    <row r="9" spans="3:21" s="2" customFormat="1" x14ac:dyDescent="0.2">
      <c r="E9" s="8" t="s">
        <v>6</v>
      </c>
      <c r="F9" s="8"/>
      <c r="G9" s="8"/>
      <c r="H9" s="6"/>
      <c r="I9" s="9">
        <v>0.1111</v>
      </c>
      <c r="J9" s="8"/>
      <c r="K9" s="21">
        <f t="shared" ref="K9:K17" si="0">IF((I9)&gt;0,($J$4+$K$23)*I9,0)</f>
        <v>393.29400000000004</v>
      </c>
      <c r="L9" s="21"/>
      <c r="M9" s="14"/>
      <c r="N9" s="14"/>
      <c r="O9" s="14"/>
      <c r="P9" s="14"/>
      <c r="Q9" s="14"/>
      <c r="R9" s="14"/>
      <c r="S9" s="14"/>
      <c r="T9" s="14"/>
      <c r="U9" s="14"/>
    </row>
    <row r="10" spans="3:21" s="2" customFormat="1" x14ac:dyDescent="0.2">
      <c r="E10" s="8" t="s">
        <v>19</v>
      </c>
      <c r="F10" s="8"/>
      <c r="G10" s="8"/>
      <c r="H10" s="6"/>
      <c r="I10" s="9">
        <v>0.2</v>
      </c>
      <c r="J10" s="8"/>
      <c r="K10" s="21">
        <f t="shared" si="0"/>
        <v>708</v>
      </c>
      <c r="L10" s="21"/>
      <c r="M10" s="14"/>
      <c r="N10" s="14"/>
      <c r="O10" s="14"/>
      <c r="P10" s="14"/>
      <c r="Q10" s="14"/>
      <c r="R10" s="14"/>
      <c r="S10" s="14"/>
      <c r="T10" s="14"/>
      <c r="U10" s="14"/>
    </row>
    <row r="11" spans="3:21" s="2" customFormat="1" x14ac:dyDescent="0.2">
      <c r="E11" s="8" t="s">
        <v>7</v>
      </c>
      <c r="F11" s="8"/>
      <c r="G11" s="8"/>
      <c r="H11" s="6"/>
      <c r="I11" s="9">
        <v>0.2</v>
      </c>
      <c r="J11" s="8"/>
      <c r="K11" s="21">
        <f t="shared" si="0"/>
        <v>708</v>
      </c>
      <c r="L11" s="21"/>
      <c r="M11" s="14"/>
      <c r="N11" s="14"/>
      <c r="O11" s="14"/>
      <c r="P11" s="14"/>
      <c r="Q11" s="14"/>
      <c r="R11" s="14"/>
      <c r="S11" s="14"/>
      <c r="T11" s="14"/>
      <c r="U11" s="14"/>
    </row>
    <row r="12" spans="3:21" s="2" customFormat="1" x14ac:dyDescent="0.2">
      <c r="E12" s="8" t="s">
        <v>8</v>
      </c>
      <c r="F12" s="8"/>
      <c r="G12" s="8"/>
      <c r="H12" s="6"/>
      <c r="I12" s="9">
        <v>0.03</v>
      </c>
      <c r="J12" s="8"/>
      <c r="K12" s="21">
        <f t="shared" si="0"/>
        <v>106.2</v>
      </c>
      <c r="L12" s="21"/>
      <c r="M12" s="14"/>
      <c r="N12" s="14"/>
      <c r="O12" s="14"/>
      <c r="P12" s="14"/>
      <c r="Q12" s="14"/>
      <c r="R12" s="14"/>
      <c r="S12" s="14"/>
      <c r="T12" s="14"/>
      <c r="U12" s="14"/>
    </row>
    <row r="13" spans="3:21" s="2" customFormat="1" x14ac:dyDescent="0.2">
      <c r="E13" s="8" t="s">
        <v>9</v>
      </c>
      <c r="F13" s="8"/>
      <c r="G13" s="8"/>
      <c r="H13" s="6"/>
      <c r="I13" s="9">
        <v>2.5000000000000001E-2</v>
      </c>
      <c r="J13" s="8"/>
      <c r="K13" s="21">
        <f t="shared" si="0"/>
        <v>88.5</v>
      </c>
      <c r="L13" s="21"/>
      <c r="M13" s="14"/>
      <c r="N13" s="14"/>
      <c r="O13" s="14"/>
      <c r="P13" s="14"/>
      <c r="Q13" s="14"/>
      <c r="R13" s="14"/>
      <c r="S13" s="14"/>
      <c r="T13" s="14"/>
      <c r="U13" s="14"/>
    </row>
    <row r="14" spans="3:21" s="2" customFormat="1" ht="16" customHeight="1" x14ac:dyDescent="0.2">
      <c r="E14" s="8" t="s">
        <v>10</v>
      </c>
      <c r="F14" s="8"/>
      <c r="G14" s="8"/>
      <c r="H14" s="6"/>
      <c r="I14" s="9">
        <v>3.3000000000000002E-2</v>
      </c>
      <c r="J14" s="8"/>
      <c r="K14" s="21">
        <f t="shared" si="0"/>
        <v>116.82000000000001</v>
      </c>
      <c r="L14" s="21"/>
      <c r="M14" s="14"/>
      <c r="N14" s="14"/>
      <c r="O14" s="14"/>
      <c r="P14" s="14"/>
      <c r="Q14" s="14"/>
      <c r="R14" s="14"/>
      <c r="S14" s="14"/>
      <c r="T14" s="14"/>
      <c r="U14" s="14"/>
    </row>
    <row r="15" spans="3:21" s="2" customFormat="1" x14ac:dyDescent="0.2">
      <c r="E15" s="8" t="s">
        <v>11</v>
      </c>
      <c r="F15" s="8"/>
      <c r="G15" s="8"/>
      <c r="H15" s="6"/>
      <c r="I15" s="9">
        <v>0.08</v>
      </c>
      <c r="J15" s="8"/>
      <c r="K15" s="21">
        <f t="shared" si="0"/>
        <v>283.2</v>
      </c>
      <c r="L15" s="21"/>
      <c r="M15" s="14"/>
      <c r="N15" s="14"/>
      <c r="O15" s="14"/>
      <c r="P15" s="14"/>
      <c r="Q15" s="14"/>
      <c r="R15" s="14"/>
      <c r="S15" s="14"/>
      <c r="T15" s="14"/>
      <c r="U15" s="14"/>
    </row>
    <row r="16" spans="3:21" s="2" customFormat="1" x14ac:dyDescent="0.2">
      <c r="E16" s="8" t="s">
        <v>12</v>
      </c>
      <c r="F16" s="8"/>
      <c r="G16" s="8"/>
      <c r="H16" s="6"/>
      <c r="I16" s="9">
        <v>0.04</v>
      </c>
      <c r="J16" s="8"/>
      <c r="K16" s="21">
        <f t="shared" si="0"/>
        <v>141.6</v>
      </c>
      <c r="L16" s="21"/>
      <c r="M16" s="14"/>
      <c r="N16" s="14"/>
      <c r="O16" s="14"/>
      <c r="P16" s="14"/>
      <c r="Q16" s="14"/>
      <c r="R16" s="14"/>
      <c r="S16" s="14"/>
      <c r="T16" s="14"/>
      <c r="U16" s="14"/>
    </row>
    <row r="17" spans="5:21" s="2" customFormat="1" x14ac:dyDescent="0.2">
      <c r="E17" s="10" t="s">
        <v>13</v>
      </c>
      <c r="F17" s="10"/>
      <c r="G17" s="10"/>
      <c r="H17" s="6"/>
      <c r="I17" s="11">
        <v>7.9299999999999995E-2</v>
      </c>
      <c r="J17" s="10"/>
      <c r="K17" s="31">
        <f t="shared" si="0"/>
        <v>280.72199999999998</v>
      </c>
      <c r="L17" s="31"/>
      <c r="M17" s="14"/>
      <c r="N17" s="14"/>
      <c r="O17" s="14"/>
      <c r="P17" s="14"/>
      <c r="Q17" s="14"/>
      <c r="R17" s="14"/>
      <c r="S17" s="14"/>
      <c r="T17" s="14"/>
      <c r="U17" s="14"/>
    </row>
    <row r="18" spans="5:21" s="2" customFormat="1" x14ac:dyDescent="0.2">
      <c r="E18" s="28" t="s">
        <v>16</v>
      </c>
      <c r="F18" s="28"/>
      <c r="G18" s="28"/>
      <c r="H18" s="3"/>
      <c r="I18" s="13"/>
      <c r="J18" s="4"/>
      <c r="K18" s="29" t="s">
        <v>4</v>
      </c>
      <c r="L18" s="29"/>
      <c r="M18" s="6"/>
    </row>
    <row r="19" spans="5:21" s="2" customFormat="1" x14ac:dyDescent="0.2">
      <c r="E19" s="5" t="s">
        <v>18</v>
      </c>
      <c r="F19" s="5"/>
      <c r="G19" s="5"/>
      <c r="H19" s="6"/>
      <c r="I19" s="7"/>
      <c r="J19" s="5"/>
      <c r="K19" s="20">
        <f>((3.8*2)*22)</f>
        <v>167.2</v>
      </c>
      <c r="L19" s="20"/>
      <c r="M19" s="6"/>
    </row>
    <row r="20" spans="5:21" s="2" customFormat="1" x14ac:dyDescent="0.2">
      <c r="E20" s="8" t="s">
        <v>21</v>
      </c>
      <c r="F20" s="8"/>
      <c r="G20" s="8"/>
      <c r="H20" s="6"/>
      <c r="I20" s="9"/>
      <c r="J20" s="8"/>
      <c r="K20" s="21">
        <v>239.5</v>
      </c>
      <c r="L20" s="21"/>
      <c r="M20" s="6"/>
    </row>
    <row r="21" spans="5:21" s="2" customFormat="1" x14ac:dyDescent="0.2">
      <c r="E21" s="8" t="s">
        <v>20</v>
      </c>
      <c r="F21" s="8"/>
      <c r="G21" s="8"/>
      <c r="H21" s="6"/>
      <c r="I21" s="9"/>
      <c r="J21" s="8"/>
      <c r="K21" s="21">
        <f>18.5*22</f>
        <v>407</v>
      </c>
      <c r="L21" s="21"/>
      <c r="M21" s="6"/>
    </row>
    <row r="22" spans="5:21" s="2" customFormat="1" x14ac:dyDescent="0.2">
      <c r="E22" s="15" t="s">
        <v>22</v>
      </c>
      <c r="F22" s="15"/>
      <c r="G22" s="15"/>
      <c r="H22" s="6"/>
      <c r="I22" s="16"/>
      <c r="J22" s="15"/>
      <c r="K22" s="17"/>
      <c r="L22" s="17">
        <v>300</v>
      </c>
      <c r="M22" s="6"/>
    </row>
    <row r="23" spans="5:21" s="2" customFormat="1" x14ac:dyDescent="0.2">
      <c r="E23" s="15" t="s">
        <v>17</v>
      </c>
      <c r="F23" s="15"/>
      <c r="G23" s="15"/>
      <c r="H23" s="6"/>
      <c r="I23" s="16"/>
      <c r="J23" s="15"/>
      <c r="K23" s="30">
        <f>((J4/220)*1.8)*22</f>
        <v>540</v>
      </c>
      <c r="L23" s="30"/>
      <c r="M23" s="6"/>
    </row>
    <row r="24" spans="5:21" s="2" customFormat="1" ht="18" x14ac:dyDescent="0.2">
      <c r="E24" s="18" t="s">
        <v>14</v>
      </c>
      <c r="F24" s="18"/>
      <c r="G24" s="18"/>
      <c r="H24" s="18"/>
      <c r="I24" s="18"/>
      <c r="J24" s="1"/>
      <c r="K24" s="19">
        <f>SUM(K8:L23)+$J$4</f>
        <v>7774.9179999999997</v>
      </c>
      <c r="L24" s="19"/>
    </row>
    <row r="25" spans="5:21" s="2" customFormat="1" ht="6" customHeight="1" x14ac:dyDescent="0.2"/>
    <row r="26" spans="5:21" s="2" customFormat="1" x14ac:dyDescent="0.2"/>
    <row r="27" spans="5:21" s="2" customFormat="1" x14ac:dyDescent="0.2"/>
  </sheetData>
  <mergeCells count="24">
    <mergeCell ref="E18:G18"/>
    <mergeCell ref="K18:L18"/>
    <mergeCell ref="K19:L19"/>
    <mergeCell ref="K20:L20"/>
    <mergeCell ref="K15:L15"/>
    <mergeCell ref="K16:L16"/>
    <mergeCell ref="K17:L17"/>
    <mergeCell ref="K14:L14"/>
    <mergeCell ref="C2:T2"/>
    <mergeCell ref="E4:I4"/>
    <mergeCell ref="J4:L4"/>
    <mergeCell ref="I6:L6"/>
    <mergeCell ref="E7:G7"/>
    <mergeCell ref="K7:L7"/>
    <mergeCell ref="E24:I24"/>
    <mergeCell ref="K24:L24"/>
    <mergeCell ref="K8:L8"/>
    <mergeCell ref="K9:L9"/>
    <mergeCell ref="K10:L10"/>
    <mergeCell ref="K11:L11"/>
    <mergeCell ref="K12:L12"/>
    <mergeCell ref="K13:L13"/>
    <mergeCell ref="K23:L23"/>
    <mergeCell ref="K21:L21"/>
  </mergeCells>
  <printOptions horizontalCentered="1"/>
  <pageMargins left="0.10944881889763781" right="0.10944881889763781" top="0.35629921259842523" bottom="0.35629921259842523" header="0.30000000000000004" footer="0.30000000000000004"/>
  <pageSetup paperSize="9" scale="7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 Pessoal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</dc:creator>
  <cp:lastModifiedBy>Usuário do Microsoft Office</cp:lastModifiedBy>
  <cp:lastPrinted>2016-07-20T16:53:29Z</cp:lastPrinted>
  <dcterms:created xsi:type="dcterms:W3CDTF">2016-04-20T20:59:05Z</dcterms:created>
  <dcterms:modified xsi:type="dcterms:W3CDTF">2017-07-01T14:00:14Z</dcterms:modified>
</cp:coreProperties>
</file>