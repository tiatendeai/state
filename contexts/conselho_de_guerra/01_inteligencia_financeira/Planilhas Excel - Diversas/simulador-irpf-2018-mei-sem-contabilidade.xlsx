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dair\Google Drive\"/>
    </mc:Choice>
  </mc:AlternateContent>
  <xr:revisionPtr revIDLastSave="0" documentId="10_ncr:8100000_{42E85C9D-B59F-4CEC-8F73-368E0A5F597E}" xr6:coauthVersionLast="34" xr6:coauthVersionMax="34" xr10:uidLastSave="{00000000-0000-0000-0000-000000000000}"/>
  <bookViews>
    <workbookView xWindow="0" yWindow="0" windowWidth="20490" windowHeight="7680" activeTab="1" xr2:uid="{00000000-000D-0000-FFFF-FFFF00000000}"/>
  </bookViews>
  <sheets>
    <sheet name="SOMENTE MEI" sheetId="1" r:id="rId1"/>
    <sheet name="MEI + ASSALARIADO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4" i="2" l="1"/>
  <c r="F20" i="2" l="1"/>
  <c r="F12" i="2"/>
  <c r="B12" i="2" s="1"/>
  <c r="F11" i="2"/>
  <c r="B11" i="2" s="1"/>
  <c r="F10" i="2"/>
  <c r="B10" i="2" s="1"/>
  <c r="F20" i="1"/>
  <c r="F12" i="1"/>
  <c r="B12" i="1" s="1"/>
  <c r="F11" i="1"/>
  <c r="B11" i="1" s="1"/>
  <c r="F10" i="1"/>
  <c r="F14" i="2" l="1"/>
  <c r="F22" i="2" s="1"/>
  <c r="F26" i="2" s="1"/>
  <c r="F28" i="2" s="1"/>
  <c r="B10" i="1"/>
  <c r="F14" i="1" s="1"/>
  <c r="F22" i="1" s="1"/>
  <c r="F24" i="1" s="1"/>
</calcChain>
</file>

<file path=xl/sharedStrings.xml><?xml version="1.0" encoding="utf-8"?>
<sst xmlns="http://schemas.openxmlformats.org/spreadsheetml/2006/main" count="50" uniqueCount="30">
  <si>
    <t>Marque um X caso sua atividade MEI seja:</t>
  </si>
  <si>
    <t>Serviços em Geral</t>
  </si>
  <si>
    <t>Transporte de Passageiros</t>
  </si>
  <si>
    <t>Indústria, Comércio ou Transporte de Cargas</t>
  </si>
  <si>
    <t>x</t>
  </si>
  <si>
    <t>E:</t>
  </si>
  <si>
    <t>D:</t>
  </si>
  <si>
    <t>C:</t>
  </si>
  <si>
    <t>B:</t>
  </si>
  <si>
    <t>A:</t>
  </si>
  <si>
    <t>F:</t>
  </si>
  <si>
    <t>G:</t>
  </si>
  <si>
    <t>H:</t>
  </si>
  <si>
    <t>I:</t>
  </si>
  <si>
    <t xml:space="preserve">  Parcela mínima de obrigatoriedade de entrega da Declaração de Imposto de Renda 2018</t>
  </si>
  <si>
    <r>
      <t xml:space="preserve">  A x (C ou D ou E) </t>
    </r>
    <r>
      <rPr>
        <sz val="14"/>
        <color theme="1"/>
        <rFont val="Calibri"/>
        <family val="2"/>
        <scheme val="minor"/>
      </rPr>
      <t xml:space="preserve">Parte ISENTA na Declaração de Imposto de Renda. Informar na ficha Rendimentos Isentos e Não Tribuáveis item 13 - </t>
    </r>
    <r>
      <rPr>
        <i/>
        <sz val="14"/>
        <color theme="1"/>
        <rFont val="Calibri"/>
        <family val="2"/>
        <scheme val="minor"/>
      </rPr>
      <t>Rendimentos de sócio ou titular de microempresa  ou empresa de pequeno porte optante pelo Simples Nacional, exceto pro labore, aluguéis e serviços prestados.</t>
    </r>
  </si>
  <si>
    <r>
      <t xml:space="preserve">  H - F  Rendimento Tributável. </t>
    </r>
    <r>
      <rPr>
        <sz val="14"/>
        <color theme="1"/>
        <rFont val="Calibri"/>
        <family val="2"/>
        <scheme val="minor"/>
      </rPr>
      <t>Base de cálculo para informar na ficha de Rendimentos Tributáveis recebidos de Pessoa Jurídica</t>
    </r>
  </si>
  <si>
    <t>J:</t>
  </si>
  <si>
    <t>K:</t>
  </si>
  <si>
    <t xml:space="preserve">  Rendimentos recebidos de Pessoa Jurídica. Ver informe de rendimentos.</t>
  </si>
  <si>
    <r>
      <t xml:space="preserve"> </t>
    </r>
    <r>
      <rPr>
        <b/>
        <sz val="18"/>
        <color theme="1"/>
        <rFont val="Calibri"/>
        <family val="2"/>
        <scheme val="minor"/>
      </rPr>
      <t xml:space="preserve"> I + J  </t>
    </r>
    <r>
      <rPr>
        <sz val="14"/>
        <color theme="1"/>
        <rFont val="Calibri"/>
        <family val="2"/>
        <scheme val="minor"/>
      </rPr>
      <t>Base de cálculo tributável para Declaração de Imposto de Renda 2018</t>
    </r>
  </si>
  <si>
    <t>SIMULADOR DE OBRIGATORIEDADE DE ENTREGA DA DECLARAÇÃO DE IMPOSTO DE RENDA PESSOA FÍSICA - MEI 2018</t>
  </si>
  <si>
    <t>POSSUI ATIVIDADE MEI E TAMBÉM UMA ATIVIDADE ASSALARIADA POR EXEMPLO</t>
  </si>
  <si>
    <t>* Preencher APENAS os campos em amarelo</t>
  </si>
  <si>
    <t>POSSUI APENAS A ATIVIDADE MEI</t>
  </si>
  <si>
    <r>
      <t xml:space="preserve">  A - B  </t>
    </r>
    <r>
      <rPr>
        <sz val="14"/>
        <color theme="1"/>
        <rFont val="Calibri"/>
        <family val="2"/>
        <scheme val="minor"/>
      </rPr>
      <t xml:space="preserve">Lucro da atividade MEI </t>
    </r>
  </si>
  <si>
    <r>
      <t xml:space="preserve">  A - B  </t>
    </r>
    <r>
      <rPr>
        <sz val="14"/>
        <color theme="1"/>
        <rFont val="Calibri"/>
        <family val="2"/>
        <scheme val="minor"/>
      </rPr>
      <t>Lucro da atividade MEI</t>
    </r>
  </si>
  <si>
    <t>Despesas da atividade MEI</t>
  </si>
  <si>
    <t xml:space="preserve">Despesas da atividade MEI </t>
  </si>
  <si>
    <t>Faturamento Bruto do MEI (Máximo de R$ 81.000,00)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</si>
</sst>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.00;[Red]\(#,##0.00\)"/>
    <numFmt numFmtId="165" formatCode="#,##0.00;[Red]#,##0.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i/>
      <sz val="14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3" fillId="0" borderId="0" xfId="0" applyFont="1" applyProtection="1"/>
    <xf numFmtId="0" fontId="2" fillId="0" borderId="0" xfId="0" applyFont="1" applyAlignment="1" applyProtection="1">
      <alignment horizontal="center"/>
    </xf>
    <xf numFmtId="0" fontId="5" fillId="0" borderId="0" xfId="0" applyFont="1" applyAlignment="1" applyProtection="1">
      <alignment horizontal="center"/>
    </xf>
    <xf numFmtId="0" fontId="2" fillId="0" borderId="0" xfId="0" applyFont="1" applyProtection="1"/>
    <xf numFmtId="0" fontId="2" fillId="0" borderId="2" xfId="0" applyFont="1" applyBorder="1" applyProtection="1"/>
    <xf numFmtId="0" fontId="3" fillId="0" borderId="3" xfId="0" applyFont="1" applyBorder="1" applyProtection="1"/>
    <xf numFmtId="164" fontId="3" fillId="0" borderId="0" xfId="0" applyNumberFormat="1" applyFont="1" applyFill="1" applyProtection="1"/>
    <xf numFmtId="0" fontId="6" fillId="0" borderId="0" xfId="0" applyFont="1" applyProtection="1"/>
    <xf numFmtId="164" fontId="3" fillId="0" borderId="0" xfId="0" applyNumberFormat="1" applyFont="1" applyProtection="1"/>
    <xf numFmtId="0" fontId="9" fillId="0" borderId="0" xfId="0" applyFont="1" applyProtection="1"/>
    <xf numFmtId="9" fontId="3" fillId="0" borderId="1" xfId="2" applyFont="1" applyBorder="1" applyAlignment="1" applyProtection="1">
      <alignment horizontal="center"/>
    </xf>
    <xf numFmtId="0" fontId="2" fillId="0" borderId="3" xfId="0" applyFont="1" applyBorder="1" applyProtection="1"/>
    <xf numFmtId="0" fontId="3" fillId="0" borderId="0" xfId="0" applyFont="1" applyBorder="1" applyProtection="1"/>
    <xf numFmtId="43" fontId="2" fillId="0" borderId="1" xfId="1" applyFont="1" applyBorder="1" applyAlignment="1" applyProtection="1">
      <alignment horizontal="center"/>
    </xf>
    <xf numFmtId="0" fontId="5" fillId="0" borderId="0" xfId="0" applyFont="1" applyAlignment="1" applyProtection="1">
      <alignment vertical="top" wrapText="1"/>
    </xf>
    <xf numFmtId="0" fontId="3" fillId="0" borderId="0" xfId="0" applyFont="1" applyAlignment="1" applyProtection="1">
      <alignment horizontal="center"/>
    </xf>
    <xf numFmtId="0" fontId="8" fillId="0" borderId="0" xfId="0" applyFont="1" applyAlignment="1" applyProtection="1">
      <alignment horizontal="left" vertical="top" wrapText="1"/>
    </xf>
    <xf numFmtId="4" fontId="3" fillId="0" borderId="1" xfId="0" applyNumberFormat="1" applyFont="1" applyBorder="1" applyAlignment="1" applyProtection="1">
      <alignment horizontal="center"/>
    </xf>
    <xf numFmtId="165" fontId="3" fillId="0" borderId="1" xfId="0" applyNumberFormat="1" applyFont="1" applyBorder="1" applyAlignment="1" applyProtection="1">
      <alignment horizontal="center"/>
    </xf>
    <xf numFmtId="0" fontId="5" fillId="0" borderId="0" xfId="0" applyFont="1" applyAlignment="1" applyProtection="1">
      <alignment horizontal="left"/>
    </xf>
    <xf numFmtId="0" fontId="2" fillId="0" borderId="0" xfId="0" applyFont="1" applyAlignment="1" applyProtection="1">
      <alignment horizontal="left"/>
    </xf>
    <xf numFmtId="165" fontId="3" fillId="0" borderId="1" xfId="0" applyNumberFormat="1" applyFont="1" applyFill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164" fontId="2" fillId="2" borderId="1" xfId="0" applyNumberFormat="1" applyFont="1" applyFill="1" applyBorder="1" applyAlignment="1" applyProtection="1">
      <alignment horizontal="center"/>
      <protection locked="0"/>
    </xf>
    <xf numFmtId="0" fontId="2" fillId="2" borderId="1" xfId="0" applyFont="1" applyFill="1" applyBorder="1" applyAlignment="1" applyProtection="1">
      <alignment horizontal="center"/>
      <protection locked="0"/>
    </xf>
    <xf numFmtId="165" fontId="3" fillId="2" borderId="1" xfId="0" applyNumberFormat="1" applyFont="1" applyFill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left" vertical="top" wrapText="1"/>
    </xf>
    <xf numFmtId="0" fontId="3" fillId="0" borderId="0" xfId="0" applyFont="1" applyAlignment="1" applyProtection="1">
      <alignment horizontal="center"/>
    </xf>
    <xf numFmtId="0" fontId="4" fillId="0" borderId="0" xfId="0" applyFont="1" applyAlignment="1" applyProtection="1">
      <alignment horizontal="center"/>
    </xf>
    <xf numFmtId="0" fontId="2" fillId="0" borderId="0" xfId="0" applyFont="1" applyAlignment="1" applyProtection="1">
      <alignment horizontal="center"/>
    </xf>
    <xf numFmtId="0" fontId="5" fillId="0" borderId="0" xfId="0" applyFont="1" applyAlignment="1" applyProtection="1">
      <alignment horizontal="left" vertical="top" wrapText="1"/>
    </xf>
  </cellXfs>
  <cellStyles count="3">
    <cellStyle name="Normal" xfId="0" builtinId="0"/>
    <cellStyle name="Porcentagem" xfId="2" builtinId="5"/>
    <cellStyle name="Vírgula" xfId="1" builtinId="3"/>
  </cellStyles>
  <dxfs count="6"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7"/>
  <sheetViews>
    <sheetView showGridLines="0" showRowColHeaders="0" topLeftCell="C1" zoomScaleNormal="100" workbookViewId="0">
      <selection activeCell="F6" sqref="F6"/>
    </sheetView>
  </sheetViews>
  <sheetFormatPr defaultColWidth="0" defaultRowHeight="23.25" zeroHeight="1" x14ac:dyDescent="0.35"/>
  <cols>
    <col min="1" max="1" width="0" style="1" hidden="1" customWidth="1"/>
    <col min="2" max="2" width="12" style="1" hidden="1" customWidth="1"/>
    <col min="3" max="4" width="12" style="1" customWidth="1"/>
    <col min="5" max="5" width="5.5703125" style="3" customWidth="1"/>
    <col min="6" max="6" width="15.85546875" style="1" customWidth="1"/>
    <col min="7" max="7" width="5.5703125" style="1" customWidth="1"/>
    <col min="8" max="21" width="9.140625" style="1" customWidth="1"/>
    <col min="22" max="22" width="0" style="1" hidden="1" customWidth="1"/>
    <col min="23" max="16384" width="9.140625" style="1" hidden="1"/>
  </cols>
  <sheetData>
    <row r="1" spans="2:21" ht="21" x14ac:dyDescent="0.35">
      <c r="C1" s="29" t="s">
        <v>21</v>
      </c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</row>
    <row r="2" spans="2:21" ht="21" x14ac:dyDescent="0.35">
      <c r="C2" s="30" t="s">
        <v>24</v>
      </c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</row>
    <row r="3" spans="2:21" ht="7.5" customHeight="1" x14ac:dyDescent="0.35"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2:21" x14ac:dyDescent="0.35">
      <c r="C4" s="1" t="s">
        <v>23</v>
      </c>
    </row>
    <row r="5" spans="2:21" x14ac:dyDescent="0.35"/>
    <row r="6" spans="2:21" x14ac:dyDescent="0.35">
      <c r="E6" s="3" t="s">
        <v>9</v>
      </c>
      <c r="F6" s="24">
        <v>81000</v>
      </c>
      <c r="G6" s="4" t="s">
        <v>29</v>
      </c>
    </row>
    <row r="7" spans="2:21" x14ac:dyDescent="0.35">
      <c r="E7" s="3" t="s">
        <v>8</v>
      </c>
      <c r="F7" s="24">
        <v>10000</v>
      </c>
      <c r="G7" s="5" t="s">
        <v>27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</row>
    <row r="8" spans="2:21" ht="4.5" customHeight="1" x14ac:dyDescent="0.35">
      <c r="F8" s="7"/>
    </row>
    <row r="9" spans="2:21" x14ac:dyDescent="0.35">
      <c r="B9" s="8"/>
      <c r="C9" s="8"/>
      <c r="D9" s="8"/>
      <c r="F9" s="9"/>
      <c r="G9" s="10" t="s">
        <v>0</v>
      </c>
      <c r="H9" s="4"/>
      <c r="I9" s="4"/>
    </row>
    <row r="10" spans="2:21" x14ac:dyDescent="0.35">
      <c r="B10" s="8">
        <f>IF(ISERR(F6*F10),0,F6*F10)</f>
        <v>25920</v>
      </c>
      <c r="C10" s="8"/>
      <c r="D10" s="8"/>
      <c r="E10" s="3" t="s">
        <v>7</v>
      </c>
      <c r="F10" s="11">
        <f>IF(G10="","",0.32)</f>
        <v>0.32</v>
      </c>
      <c r="G10" s="25" t="s">
        <v>4</v>
      </c>
      <c r="H10" s="5" t="s">
        <v>1</v>
      </c>
      <c r="I10" s="12"/>
      <c r="J10" s="6"/>
      <c r="K10" s="6"/>
      <c r="L10" s="6"/>
      <c r="M10" s="6"/>
      <c r="N10" s="13"/>
      <c r="O10" s="13"/>
      <c r="P10" s="13"/>
      <c r="Q10" s="13"/>
      <c r="R10" s="13"/>
      <c r="S10" s="13"/>
      <c r="T10" s="13"/>
    </row>
    <row r="11" spans="2:21" x14ac:dyDescent="0.35">
      <c r="B11" s="8">
        <f>IF(ISERR(F6*F11),0,F6*F11)</f>
        <v>0</v>
      </c>
      <c r="C11" s="8"/>
      <c r="D11" s="8"/>
      <c r="E11" s="3" t="s">
        <v>6</v>
      </c>
      <c r="F11" s="11" t="str">
        <f>IF(G11="","",0.16)</f>
        <v/>
      </c>
      <c r="G11" s="25"/>
      <c r="H11" s="5" t="s">
        <v>2</v>
      </c>
      <c r="I11" s="12"/>
      <c r="J11" s="6"/>
      <c r="K11" s="6"/>
      <c r="L11" s="6"/>
      <c r="M11" s="6"/>
      <c r="N11" s="13"/>
      <c r="O11" s="13"/>
      <c r="P11" s="13"/>
      <c r="Q11" s="13"/>
      <c r="R11" s="13"/>
      <c r="S11" s="13"/>
      <c r="T11" s="13"/>
    </row>
    <row r="12" spans="2:21" x14ac:dyDescent="0.35">
      <c r="B12" s="8">
        <f>IF(ISERR(F6*F12),0,F6*F12)</f>
        <v>0</v>
      </c>
      <c r="C12" s="8"/>
      <c r="D12" s="8"/>
      <c r="E12" s="3" t="s">
        <v>5</v>
      </c>
      <c r="F12" s="11" t="str">
        <f>IF(G12="","",0.08)</f>
        <v/>
      </c>
      <c r="G12" s="25"/>
      <c r="H12" s="5" t="s">
        <v>3</v>
      </c>
      <c r="I12" s="12"/>
      <c r="J12" s="6"/>
      <c r="K12" s="6"/>
      <c r="L12" s="6"/>
      <c r="M12" s="6"/>
      <c r="N12" s="13"/>
      <c r="O12" s="13"/>
      <c r="P12" s="13"/>
      <c r="Q12" s="13"/>
      <c r="R12" s="13"/>
      <c r="S12" s="13"/>
      <c r="T12" s="13"/>
    </row>
    <row r="13" spans="2:21" ht="6.75" customHeight="1" x14ac:dyDescent="0.35">
      <c r="F13" s="9"/>
    </row>
    <row r="14" spans="2:21" ht="23.25" customHeight="1" x14ac:dyDescent="0.35">
      <c r="E14" s="3" t="s">
        <v>10</v>
      </c>
      <c r="F14" s="14">
        <f>SUM(B10:B12)</f>
        <v>25920</v>
      </c>
      <c r="G14" s="31" t="s">
        <v>15</v>
      </c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15"/>
    </row>
    <row r="15" spans="2:21" ht="23.25" customHeight="1" x14ac:dyDescent="0.35">
      <c r="F15" s="2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15"/>
    </row>
    <row r="16" spans="2:21" ht="23.25" customHeight="1" x14ac:dyDescent="0.35">
      <c r="F16" s="16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15"/>
    </row>
    <row r="17" spans="5:21" ht="3.75" customHeight="1" x14ac:dyDescent="0.35">
      <c r="F17" s="16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</row>
    <row r="18" spans="5:21" x14ac:dyDescent="0.35">
      <c r="E18" s="3" t="s">
        <v>11</v>
      </c>
      <c r="F18" s="18">
        <v>28559.7</v>
      </c>
      <c r="G18" s="1" t="s">
        <v>14</v>
      </c>
    </row>
    <row r="19" spans="5:21" ht="6.75" customHeight="1" x14ac:dyDescent="0.35">
      <c r="F19" s="16"/>
    </row>
    <row r="20" spans="5:21" x14ac:dyDescent="0.35">
      <c r="E20" s="3" t="s">
        <v>12</v>
      </c>
      <c r="F20" s="19">
        <f>F6-F7</f>
        <v>71000</v>
      </c>
      <c r="G20" s="20" t="s">
        <v>26</v>
      </c>
    </row>
    <row r="21" spans="5:21" ht="7.5" customHeight="1" x14ac:dyDescent="0.35"/>
    <row r="22" spans="5:21" x14ac:dyDescent="0.35">
      <c r="E22" s="3" t="s">
        <v>13</v>
      </c>
      <c r="F22" s="19">
        <f>F20-F14</f>
        <v>45080</v>
      </c>
      <c r="G22" s="31" t="s">
        <v>16</v>
      </c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</row>
    <row r="23" spans="5:21" ht="31.5" customHeight="1" x14ac:dyDescent="0.35"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</row>
    <row r="24" spans="5:21" x14ac:dyDescent="0.35">
      <c r="F24" s="28" t="str">
        <f>IF((F22&gt;F18),"Obrigado a entrega da Declaração de Imposto de Renda 2018","Não Obrigado a entrega da Declaração de Imposto de Renda 2018")</f>
        <v>Obrigado a entrega da Declaração de Imposto de Renda 2018</v>
      </c>
      <c r="G24" s="28"/>
      <c r="H24" s="28"/>
      <c r="I24" s="28"/>
      <c r="J24" s="28"/>
      <c r="K24" s="28"/>
      <c r="L24" s="28"/>
      <c r="M24" s="28"/>
      <c r="N24" s="28"/>
      <c r="O24" s="27"/>
      <c r="P24" s="27"/>
      <c r="Q24" s="27"/>
      <c r="R24" s="27"/>
      <c r="S24" s="27"/>
      <c r="T24" s="27"/>
    </row>
    <row r="25" spans="5:21" x14ac:dyDescent="0.35"/>
    <row r="26" spans="5:21" x14ac:dyDescent="0.35">
      <c r="E26" s="20"/>
      <c r="F26" s="23"/>
    </row>
    <row r="27" spans="5:21" x14ac:dyDescent="0.35"/>
  </sheetData>
  <sheetProtection sheet="1" objects="1" scenarios="1" selectLockedCells="1"/>
  <mergeCells count="5">
    <mergeCell ref="F24:N24"/>
    <mergeCell ref="C1:U1"/>
    <mergeCell ref="C2:U2"/>
    <mergeCell ref="G14:T16"/>
    <mergeCell ref="G22:T23"/>
  </mergeCells>
  <conditionalFormatting sqref="F24">
    <cfRule type="expression" dxfId="5" priority="2">
      <formula>$F$24="Obrigado a entrega da Declaração de Imposto de Renda 2018"</formula>
    </cfRule>
  </conditionalFormatting>
  <conditionalFormatting sqref="F24:N24">
    <cfRule type="expression" dxfId="4" priority="1">
      <formula>$F$24="Não Obrigado a entrega da Declaração de Imposto de Renda 2018"</formula>
    </cfRule>
  </conditionalFormatting>
  <pageMargins left="0.19685039370078741" right="0.19685039370078741" top="0.39370078740157483" bottom="0.39370078740157483" header="0" footer="0"/>
  <pageSetup paperSize="9" scale="5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2"/>
  <sheetViews>
    <sheetView showGridLines="0" showRowColHeaders="0" tabSelected="1" topLeftCell="C1" zoomScaleNormal="100" workbookViewId="0">
      <selection activeCell="F20" sqref="F20"/>
    </sheetView>
  </sheetViews>
  <sheetFormatPr defaultColWidth="0" defaultRowHeight="23.25" zeroHeight="1" x14ac:dyDescent="0.35"/>
  <cols>
    <col min="1" max="1" width="0" style="1" hidden="1" customWidth="1"/>
    <col min="2" max="2" width="12" style="1" hidden="1" customWidth="1"/>
    <col min="3" max="4" width="12" style="1" customWidth="1"/>
    <col min="5" max="5" width="5.5703125" style="3" customWidth="1"/>
    <col min="6" max="6" width="15.85546875" style="1" customWidth="1"/>
    <col min="7" max="7" width="5.5703125" style="1" customWidth="1"/>
    <col min="8" max="21" width="9.140625" style="1" customWidth="1"/>
    <col min="22" max="22" width="0" style="1" hidden="1" customWidth="1"/>
    <col min="23" max="16384" width="9.140625" style="1" hidden="1"/>
  </cols>
  <sheetData>
    <row r="1" spans="2:21" ht="21" x14ac:dyDescent="0.35">
      <c r="C1" s="29" t="s">
        <v>21</v>
      </c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</row>
    <row r="2" spans="2:21" ht="21" x14ac:dyDescent="0.35">
      <c r="C2" s="30" t="s">
        <v>22</v>
      </c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</row>
    <row r="3" spans="2:21" ht="8.25" customHeight="1" x14ac:dyDescent="0.35"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2:21" x14ac:dyDescent="0.35">
      <c r="C4" s="1" t="s">
        <v>23</v>
      </c>
    </row>
    <row r="5" spans="2:21" x14ac:dyDescent="0.35"/>
    <row r="6" spans="2:21" x14ac:dyDescent="0.35">
      <c r="E6" s="3" t="s">
        <v>9</v>
      </c>
      <c r="F6" s="24">
        <v>81000</v>
      </c>
      <c r="G6" s="4" t="s">
        <v>29</v>
      </c>
    </row>
    <row r="7" spans="2:21" x14ac:dyDescent="0.35">
      <c r="E7" s="3" t="s">
        <v>8</v>
      </c>
      <c r="F7" s="24">
        <v>20000</v>
      </c>
      <c r="G7" s="5" t="s">
        <v>28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</row>
    <row r="8" spans="2:21" ht="4.5" customHeight="1" x14ac:dyDescent="0.35">
      <c r="F8" s="7"/>
    </row>
    <row r="9" spans="2:21" x14ac:dyDescent="0.35">
      <c r="B9" s="8"/>
      <c r="C9" s="8"/>
      <c r="D9" s="8"/>
      <c r="F9" s="9"/>
      <c r="G9" s="10" t="s">
        <v>0</v>
      </c>
      <c r="H9" s="4"/>
      <c r="I9" s="4"/>
    </row>
    <row r="10" spans="2:21" x14ac:dyDescent="0.35">
      <c r="B10" s="8">
        <f>IF(ISERR(F6*F10),0,F6*F10)</f>
        <v>25920</v>
      </c>
      <c r="C10" s="8"/>
      <c r="D10" s="8"/>
      <c r="E10" s="3" t="s">
        <v>7</v>
      </c>
      <c r="F10" s="11">
        <f>IF(G10="","",0.32)</f>
        <v>0.32</v>
      </c>
      <c r="G10" s="25" t="s">
        <v>4</v>
      </c>
      <c r="H10" s="5" t="s">
        <v>1</v>
      </c>
      <c r="I10" s="12"/>
      <c r="J10" s="6"/>
      <c r="K10" s="6"/>
      <c r="L10" s="6"/>
      <c r="M10" s="6"/>
      <c r="N10" s="13"/>
      <c r="O10" s="13"/>
      <c r="P10" s="13"/>
      <c r="Q10" s="13"/>
      <c r="R10" s="13"/>
      <c r="S10" s="13"/>
      <c r="T10" s="13"/>
    </row>
    <row r="11" spans="2:21" x14ac:dyDescent="0.35">
      <c r="B11" s="8">
        <f>IF(ISERR(F6*F11),0,F6*F11)</f>
        <v>0</v>
      </c>
      <c r="C11" s="8"/>
      <c r="D11" s="8"/>
      <c r="E11" s="3" t="s">
        <v>6</v>
      </c>
      <c r="F11" s="11" t="str">
        <f>IF(G11="","",0.16)</f>
        <v/>
      </c>
      <c r="G11" s="25"/>
      <c r="H11" s="5" t="s">
        <v>2</v>
      </c>
      <c r="I11" s="12"/>
      <c r="J11" s="6"/>
      <c r="K11" s="6"/>
      <c r="L11" s="6"/>
      <c r="M11" s="6"/>
      <c r="N11" s="13"/>
      <c r="O11" s="13"/>
      <c r="P11" s="13"/>
      <c r="Q11" s="13"/>
      <c r="R11" s="13"/>
      <c r="S11" s="13"/>
      <c r="T11" s="13"/>
    </row>
    <row r="12" spans="2:21" x14ac:dyDescent="0.35">
      <c r="B12" s="8">
        <f>IF(ISERR(F6*F12),0,F6*F12)</f>
        <v>0</v>
      </c>
      <c r="C12" s="8"/>
      <c r="D12" s="8"/>
      <c r="E12" s="3" t="s">
        <v>5</v>
      </c>
      <c r="F12" s="11" t="str">
        <f>IF(G12="","",0.08)</f>
        <v/>
      </c>
      <c r="G12" s="25"/>
      <c r="H12" s="5" t="s">
        <v>3</v>
      </c>
      <c r="I12" s="12"/>
      <c r="J12" s="6"/>
      <c r="K12" s="6"/>
      <c r="L12" s="6"/>
      <c r="M12" s="6"/>
      <c r="N12" s="13"/>
      <c r="O12" s="13"/>
      <c r="P12" s="13"/>
      <c r="Q12" s="13"/>
      <c r="R12" s="13"/>
      <c r="S12" s="13"/>
      <c r="T12" s="13"/>
    </row>
    <row r="13" spans="2:21" ht="6.75" customHeight="1" x14ac:dyDescent="0.35">
      <c r="F13" s="9"/>
    </row>
    <row r="14" spans="2:21" ht="23.25" customHeight="1" x14ac:dyDescent="0.35">
      <c r="E14" s="3" t="s">
        <v>10</v>
      </c>
      <c r="F14" s="14">
        <f>SUM(B10:B12)</f>
        <v>25920</v>
      </c>
      <c r="G14" s="31" t="s">
        <v>15</v>
      </c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15"/>
    </row>
    <row r="15" spans="2:21" ht="23.25" customHeight="1" x14ac:dyDescent="0.35">
      <c r="F15" s="2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15"/>
    </row>
    <row r="16" spans="2:21" ht="23.25" customHeight="1" x14ac:dyDescent="0.35">
      <c r="F16" s="16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15"/>
    </row>
    <row r="17" spans="5:21" ht="3.75" customHeight="1" x14ac:dyDescent="0.35">
      <c r="F17" s="16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</row>
    <row r="18" spans="5:21" x14ac:dyDescent="0.35">
      <c r="E18" s="3" t="s">
        <v>11</v>
      </c>
      <c r="F18" s="18">
        <v>28559.7</v>
      </c>
      <c r="G18" s="1" t="s">
        <v>14</v>
      </c>
    </row>
    <row r="19" spans="5:21" ht="6.75" customHeight="1" x14ac:dyDescent="0.35">
      <c r="F19" s="16"/>
    </row>
    <row r="20" spans="5:21" x14ac:dyDescent="0.35">
      <c r="E20" s="3" t="s">
        <v>12</v>
      </c>
      <c r="F20" s="19">
        <f>F6-F7</f>
        <v>61000</v>
      </c>
      <c r="G20" s="20" t="s">
        <v>25</v>
      </c>
    </row>
    <row r="21" spans="5:21" ht="7.5" customHeight="1" x14ac:dyDescent="0.35"/>
    <row r="22" spans="5:21" x14ac:dyDescent="0.35">
      <c r="E22" s="3" t="s">
        <v>13</v>
      </c>
      <c r="F22" s="19">
        <f>F20-F14</f>
        <v>35080</v>
      </c>
      <c r="G22" s="31" t="s">
        <v>16</v>
      </c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</row>
    <row r="23" spans="5:21" x14ac:dyDescent="0.35"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</row>
    <row r="24" spans="5:21" x14ac:dyDescent="0.35">
      <c r="E24" s="3" t="s">
        <v>17</v>
      </c>
      <c r="F24" s="26">
        <f>1200*13</f>
        <v>15600</v>
      </c>
      <c r="G24" s="21" t="s">
        <v>19</v>
      </c>
    </row>
    <row r="25" spans="5:21" ht="7.5" customHeight="1" x14ac:dyDescent="0.35"/>
    <row r="26" spans="5:21" x14ac:dyDescent="0.35">
      <c r="E26" s="3" t="s">
        <v>18</v>
      </c>
      <c r="F26" s="22">
        <f>F22+F24</f>
        <v>50680</v>
      </c>
      <c r="G26" s="21" t="s">
        <v>20</v>
      </c>
    </row>
    <row r="27" spans="5:21" ht="16.5" customHeight="1" x14ac:dyDescent="0.35"/>
    <row r="28" spans="5:21" ht="23.25" customHeight="1" x14ac:dyDescent="0.35">
      <c r="F28" s="28" t="str">
        <f>IF((F26&gt;F18),"Obrigado a entrega da Declaração de Imposto de Renda 2018","Não Obrigado a entrega da Declaração de Imposto de Renda 2018")</f>
        <v>Obrigado a entrega da Declaração de Imposto de Renda 2018</v>
      </c>
      <c r="G28" s="28"/>
      <c r="H28" s="28"/>
      <c r="I28" s="28"/>
      <c r="J28" s="28"/>
      <c r="K28" s="28"/>
      <c r="L28" s="28"/>
      <c r="M28" s="28"/>
      <c r="N28" s="28"/>
    </row>
    <row r="29" spans="5:21" ht="23.25" customHeight="1" x14ac:dyDescent="0.35"/>
    <row r="30" spans="5:21" x14ac:dyDescent="0.35">
      <c r="E30" s="20"/>
      <c r="F30" s="23"/>
    </row>
    <row r="31" spans="5:21" x14ac:dyDescent="0.35"/>
    <row r="32" spans="5:21" x14ac:dyDescent="0.35"/>
  </sheetData>
  <sheetProtection selectLockedCells="1"/>
  <mergeCells count="5">
    <mergeCell ref="G14:T16"/>
    <mergeCell ref="G22:T23"/>
    <mergeCell ref="F28:N28"/>
    <mergeCell ref="C1:U1"/>
    <mergeCell ref="C2:U2"/>
  </mergeCells>
  <conditionalFormatting sqref="F28">
    <cfRule type="expression" dxfId="3" priority="4">
      <formula>$F$24="Obrigado a entrega da Declaração de Imposto de Renda 2018"</formula>
    </cfRule>
  </conditionalFormatting>
  <conditionalFormatting sqref="F28:N28">
    <cfRule type="expression" dxfId="2" priority="1">
      <formula>$F$28="Não Obrigado a entrega da Declaração de Imposto de Renda 2018"</formula>
    </cfRule>
    <cfRule type="expression" dxfId="1" priority="2">
      <formula>$F$28="Obrigado a entrega da Declaração de Imposto de Renda 2018"</formula>
    </cfRule>
    <cfRule type="expression" dxfId="0" priority="3">
      <formula>$F$24="Não Obrigado a entrega da Declaração de Imposto de Renda 2018"</formula>
    </cfRule>
  </conditionalFormatting>
  <pageMargins left="0.19685039370078741" right="0.19685039370078741" top="0.39370078740157483" bottom="0.39370078740157483" header="0" footer="0"/>
  <pageSetup paperSize="9" scale="5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SOMENTE MEI</vt:lpstr>
      <vt:lpstr>MEI + ASSALARIADO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Odair Junior Bergamo</dc:creator>
  <cp:lastModifiedBy>Odair Junior Bergamo</cp:lastModifiedBy>
  <dcterms:created xsi:type="dcterms:W3CDTF">2018-03-05T00:43:54Z</dcterms:created>
  <dcterms:modified xsi:type="dcterms:W3CDTF">2018-07-19T01:39:45Z</dcterms:modified>
</cp:coreProperties>
</file>