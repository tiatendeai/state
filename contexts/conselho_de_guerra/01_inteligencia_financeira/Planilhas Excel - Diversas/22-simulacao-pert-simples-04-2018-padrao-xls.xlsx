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ogo\Diogo\Backp hp\Downloads\Telegram Desktop\"/>
    </mc:Choice>
  </mc:AlternateContent>
  <bookViews>
    <workbookView xWindow="0" yWindow="0" windowWidth="11670" windowHeight="4605" tabRatio="676" activeTab="2"/>
  </bookViews>
  <sheets>
    <sheet name="REGRAS GERAIS" sheetId="12" r:id="rId1"/>
    <sheet name="DEBITOS rfb" sheetId="10" r:id="rId2"/>
    <sheet name="resumo geral" sheetId="6" r:id="rId3"/>
  </sheets>
  <calcPr calcId="179017"/>
  <fileRecoveryPr autoRecover="0"/>
</workbook>
</file>

<file path=xl/calcChain.xml><?xml version="1.0" encoding="utf-8"?>
<calcChain xmlns="http://schemas.openxmlformats.org/spreadsheetml/2006/main">
  <c r="B8" i="6" l="1"/>
  <c r="F33" i="6" l="1"/>
  <c r="E33" i="6"/>
  <c r="C33" i="6"/>
  <c r="A33" i="6"/>
  <c r="A24" i="6"/>
  <c r="F28" i="6"/>
  <c r="E28" i="6"/>
  <c r="C28" i="6"/>
  <c r="A28" i="6"/>
  <c r="F24" i="6"/>
  <c r="E24" i="6"/>
  <c r="C24" i="6"/>
  <c r="B14" i="6"/>
  <c r="B11" i="6"/>
  <c r="D17" i="6"/>
  <c r="G11" i="6"/>
  <c r="G14" i="6" s="1"/>
  <c r="G30" i="6" l="1"/>
  <c r="G35" i="6"/>
  <c r="E8" i="6" l="1"/>
  <c r="E27" i="10"/>
  <c r="F27" i="10"/>
  <c r="G27" i="10"/>
  <c r="H27" i="10"/>
  <c r="C8" i="6" l="1"/>
  <c r="G8" i="6" s="1"/>
  <c r="E9" i="6" l="1"/>
  <c r="C11" i="6"/>
  <c r="C14" i="6" s="1"/>
  <c r="B9" i="6"/>
  <c r="F9" i="6"/>
  <c r="C9" i="6"/>
  <c r="B12" i="6" l="1"/>
  <c r="B17" i="6" s="1"/>
  <c r="F12" i="6"/>
  <c r="F17" i="6" s="1"/>
  <c r="E12" i="6"/>
  <c r="E17" i="6" s="1"/>
  <c r="C12" i="6"/>
  <c r="C17" i="6" s="1"/>
  <c r="G9" i="6"/>
  <c r="G12" i="6" s="1"/>
  <c r="G17" i="6" s="1"/>
  <c r="C25" i="6" l="1"/>
  <c r="C34" i="6"/>
  <c r="C29" i="6"/>
  <c r="E25" i="6"/>
  <c r="E34" i="6"/>
  <c r="E29" i="6"/>
  <c r="F25" i="6"/>
  <c r="F29" i="6"/>
  <c r="F34" i="6"/>
  <c r="B25" i="6"/>
  <c r="B29" i="6"/>
  <c r="B34" i="6"/>
  <c r="G29" i="6" l="1"/>
  <c r="B30" i="6" s="1"/>
  <c r="C30" i="6" s="1"/>
  <c r="G34" i="6"/>
  <c r="H33" i="6" s="1"/>
  <c r="G25" i="6"/>
  <c r="H24" i="6" s="1"/>
  <c r="H28" i="6"/>
  <c r="B35" i="6" l="1"/>
  <c r="C35" i="6" s="1"/>
</calcChain>
</file>

<file path=xl/sharedStrings.xml><?xml version="1.0" encoding="utf-8"?>
<sst xmlns="http://schemas.openxmlformats.org/spreadsheetml/2006/main" count="75" uniqueCount="47">
  <si>
    <t>Multa</t>
  </si>
  <si>
    <t>Juros</t>
  </si>
  <si>
    <t>Total</t>
  </si>
  <si>
    <t>Original</t>
  </si>
  <si>
    <t>SIMULAÇÃO PARCELAMENTO</t>
  </si>
  <si>
    <t>Débitos administrados pela RFB</t>
  </si>
  <si>
    <t>Descontos -&gt;</t>
  </si>
  <si>
    <t>ENTRADA</t>
  </si>
  <si>
    <t>Período de Apuração</t>
  </si>
  <si>
    <t>Data de Vencimento</t>
  </si>
  <si>
    <t>Débito Declarado (R$)</t>
  </si>
  <si>
    <t>Saldo Devedor</t>
  </si>
  <si>
    <t>Nº Parcelamento</t>
  </si>
  <si>
    <t>Principal (R$)</t>
  </si>
  <si>
    <t>Multa (R$)</t>
  </si>
  <si>
    <t>Juros (R$)</t>
  </si>
  <si>
    <t>Total (R$)</t>
  </si>
  <si>
    <t>(exigibilidade suspensa)</t>
  </si>
  <si>
    <r>
      <t> Gerar DAS</t>
    </r>
    <r>
      <rPr>
        <sz val="8"/>
        <color rgb="FF000000"/>
        <rFont val="Verdana"/>
        <family val="2"/>
      </rPr>
      <t> </t>
    </r>
  </si>
  <si>
    <t>debitos até</t>
  </si>
  <si>
    <t>PERT - SIMPLES NACIONAL</t>
  </si>
  <si>
    <t xml:space="preserve">entrada de </t>
  </si>
  <si>
    <t xml:space="preserve">entrada parcelada em até </t>
  </si>
  <si>
    <t>Descontos</t>
  </si>
  <si>
    <t>Encargos legais</t>
  </si>
  <si>
    <t>à vista:</t>
  </si>
  <si>
    <t>até 145 parcelas</t>
  </si>
  <si>
    <t>Programa Especial de Regularização Tributária - PERT - SIMPLES NACIONAL</t>
  </si>
  <si>
    <t>RECEITA FEDERAL</t>
  </si>
  <si>
    <t>parcela mínima</t>
  </si>
  <si>
    <t>Sem Desconto</t>
  </si>
  <si>
    <t>Desmembramento:</t>
  </si>
  <si>
    <t>SIMULAÇÕES PARCELAS APÓS ENTRADA:</t>
  </si>
  <si>
    <t xml:space="preserve">Parcelas da Entrada:   até </t>
  </si>
  <si>
    <t xml:space="preserve"> ---------- PARCELA MINIMA --------&gt;</t>
  </si>
  <si>
    <t>Encargos Legais</t>
  </si>
  <si>
    <t>SALDO À PARCELAR</t>
  </si>
  <si>
    <t>(após entrada)</t>
  </si>
  <si>
    <t>Economia --&gt;</t>
  </si>
  <si>
    <t>até 175 parcelas</t>
  </si>
  <si>
    <t>OPÇÃO</t>
  </si>
  <si>
    <t>Parcelas ---&gt;</t>
  </si>
  <si>
    <t xml:space="preserve">LEI COMPLEMENTAR Nº 162, DE 6 DE JANEIRO DE 2018 </t>
  </si>
  <si>
    <t>http://www.normaslegais.com.br/legislacao/lei-complementar-162-2018.htm</t>
  </si>
  <si>
    <t>Débitos até 11/2017</t>
  </si>
  <si>
    <t>NÃO PARCELAVEIS</t>
  </si>
  <si>
    <t>www.enebe.com.br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</si>
</sst>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1"/>
      <color rgb="FF0A4C62"/>
      <name val="Verdana"/>
      <family val="2"/>
    </font>
    <font>
      <sz val="11"/>
      <color theme="1"/>
      <name val="Verdana"/>
      <family val="2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DDDD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DDDDDD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8" fillId="0" borderId="0" xfId="0" applyFont="1"/>
    <xf numFmtId="43" fontId="8" fillId="0" borderId="1" xfId="0" applyNumberFormat="1" applyFont="1" applyBorder="1"/>
    <xf numFmtId="0" fontId="8" fillId="0" borderId="1" xfId="0" applyFont="1" applyBorder="1"/>
    <xf numFmtId="0" fontId="5" fillId="0" borderId="0" xfId="3" applyAlignment="1">
      <alignment horizontal="justify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top" wrapText="1"/>
    </xf>
    <xf numFmtId="17" fontId="13" fillId="0" borderId="16" xfId="0" applyNumberFormat="1" applyFont="1" applyBorder="1" applyAlignment="1">
      <alignment horizontal="center" vertical="top" wrapText="1"/>
    </xf>
    <xf numFmtId="14" fontId="13" fillId="0" borderId="16" xfId="0" applyNumberFormat="1" applyFont="1" applyBorder="1" applyAlignment="1">
      <alignment horizontal="center" vertical="top" wrapText="1"/>
    </xf>
    <xf numFmtId="4" fontId="13" fillId="0" borderId="16" xfId="0" applyNumberFormat="1" applyFont="1" applyBorder="1" applyAlignment="1">
      <alignment horizontal="center" vertical="top" wrapText="1"/>
    </xf>
    <xf numFmtId="4" fontId="14" fillId="2" borderId="0" xfId="0" applyNumberFormat="1" applyFont="1" applyFill="1"/>
    <xf numFmtId="4" fontId="14" fillId="0" borderId="0" xfId="0" applyNumberFormat="1" applyFont="1" applyFill="1"/>
    <xf numFmtId="0" fontId="0" fillId="0" borderId="9" xfId="0" applyFont="1" applyBorder="1"/>
    <xf numFmtId="0" fontId="0" fillId="0" borderId="6" xfId="0" applyFont="1" applyBorder="1"/>
    <xf numFmtId="0" fontId="15" fillId="0" borderId="1" xfId="0" applyFont="1" applyBorder="1" applyAlignment="1">
      <alignment horizontal="right"/>
    </xf>
    <xf numFmtId="43" fontId="8" fillId="0" borderId="7" xfId="0" applyNumberFormat="1" applyFont="1" applyBorder="1"/>
    <xf numFmtId="0" fontId="8" fillId="0" borderId="5" xfId="0" applyFont="1" applyBorder="1"/>
    <xf numFmtId="10" fontId="1" fillId="0" borderId="1" xfId="2" applyNumberFormat="1" applyFont="1" applyBorder="1"/>
    <xf numFmtId="43" fontId="2" fillId="5" borderId="1" xfId="0" applyNumberFormat="1" applyFont="1" applyFill="1" applyBorder="1"/>
    <xf numFmtId="0" fontId="6" fillId="5" borderId="1" xfId="0" applyFont="1" applyFill="1" applyBorder="1"/>
    <xf numFmtId="43" fontId="6" fillId="5" borderId="1" xfId="0" applyNumberFormat="1" applyFont="1" applyFill="1" applyBorder="1"/>
    <xf numFmtId="43" fontId="2" fillId="5" borderId="0" xfId="0" applyNumberFormat="1" applyFont="1" applyFill="1" applyBorder="1"/>
    <xf numFmtId="0" fontId="0" fillId="0" borderId="6" xfId="0" applyFont="1" applyBorder="1" applyAlignment="1">
      <alignment horizontal="right"/>
    </xf>
    <xf numFmtId="164" fontId="8" fillId="5" borderId="1" xfId="0" applyNumberFormat="1" applyFont="1" applyFill="1" applyBorder="1"/>
    <xf numFmtId="43" fontId="1" fillId="5" borderId="1" xfId="0" applyNumberFormat="1" applyFont="1" applyFill="1" applyBorder="1"/>
    <xf numFmtId="0" fontId="10" fillId="6" borderId="0" xfId="0" applyFont="1" applyFill="1"/>
    <xf numFmtId="0" fontId="8" fillId="6" borderId="0" xfId="0" applyFont="1" applyFill="1"/>
    <xf numFmtId="0" fontId="9" fillId="6" borderId="0" xfId="0" applyFont="1" applyFill="1"/>
    <xf numFmtId="0" fontId="7" fillId="6" borderId="0" xfId="0" applyFont="1" applyFill="1"/>
    <xf numFmtId="0" fontId="0" fillId="6" borderId="0" xfId="0" applyFont="1" applyFill="1"/>
    <xf numFmtId="0" fontId="2" fillId="6" borderId="0" xfId="0" applyFont="1" applyFill="1"/>
    <xf numFmtId="43" fontId="8" fillId="6" borderId="0" xfId="0" applyNumberFormat="1" applyFont="1" applyFill="1"/>
    <xf numFmtId="0" fontId="4" fillId="6" borderId="0" xfId="0" applyFont="1" applyFill="1"/>
    <xf numFmtId="0" fontId="6" fillId="6" borderId="0" xfId="0" applyFont="1" applyFill="1" applyBorder="1"/>
    <xf numFmtId="0" fontId="3" fillId="6" borderId="4" xfId="0" applyFont="1" applyFill="1" applyBorder="1"/>
    <xf numFmtId="9" fontId="8" fillId="6" borderId="2" xfId="0" applyNumberFormat="1" applyFont="1" applyFill="1" applyBorder="1"/>
    <xf numFmtId="43" fontId="2" fillId="6" borderId="2" xfId="0" applyNumberFormat="1" applyFont="1" applyFill="1" applyBorder="1"/>
    <xf numFmtId="0" fontId="8" fillId="6" borderId="2" xfId="0" applyFont="1" applyFill="1" applyBorder="1"/>
    <xf numFmtId="0" fontId="15" fillId="6" borderId="2" xfId="0" applyFont="1" applyFill="1" applyBorder="1" applyAlignment="1">
      <alignment horizontal="right"/>
    </xf>
    <xf numFmtId="43" fontId="8" fillId="6" borderId="5" xfId="0" applyNumberFormat="1" applyFont="1" applyFill="1" applyBorder="1"/>
    <xf numFmtId="0" fontId="0" fillId="6" borderId="9" xfId="0" applyFont="1" applyFill="1" applyBorder="1" applyAlignment="1">
      <alignment horizontal="center"/>
    </xf>
    <xf numFmtId="43" fontId="8" fillId="6" borderId="0" xfId="0" applyNumberFormat="1" applyFont="1" applyFill="1" applyBorder="1"/>
    <xf numFmtId="0" fontId="8" fillId="6" borderId="0" xfId="0" applyFont="1" applyFill="1" applyBorder="1"/>
    <xf numFmtId="43" fontId="8" fillId="6" borderId="10" xfId="0" applyNumberFormat="1" applyFont="1" applyFill="1" applyBorder="1"/>
    <xf numFmtId="0" fontId="8" fillId="6" borderId="9" xfId="0" applyFont="1" applyFill="1" applyBorder="1"/>
    <xf numFmtId="0" fontId="8" fillId="6" borderId="10" xfId="0" applyFont="1" applyFill="1" applyBorder="1"/>
    <xf numFmtId="0" fontId="8" fillId="6" borderId="6" xfId="0" applyFont="1" applyFill="1" applyBorder="1"/>
    <xf numFmtId="10" fontId="8" fillId="6" borderId="1" xfId="2" applyNumberFormat="1" applyFont="1" applyFill="1" applyBorder="1"/>
    <xf numFmtId="10" fontId="8" fillId="6" borderId="7" xfId="2" applyNumberFormat="1" applyFont="1" applyFill="1" applyBorder="1"/>
    <xf numFmtId="0" fontId="8" fillId="6" borderId="3" xfId="0" applyFont="1" applyFill="1" applyBorder="1"/>
    <xf numFmtId="10" fontId="8" fillId="6" borderId="0" xfId="2" applyNumberFormat="1" applyFont="1" applyFill="1" applyBorder="1"/>
    <xf numFmtId="0" fontId="2" fillId="6" borderId="3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8" fillId="6" borderId="1" xfId="0" applyFont="1" applyFill="1" applyBorder="1"/>
    <xf numFmtId="0" fontId="15" fillId="6" borderId="1" xfId="0" applyFont="1" applyFill="1" applyBorder="1" applyAlignment="1">
      <alignment horizontal="right"/>
    </xf>
    <xf numFmtId="0" fontId="6" fillId="6" borderId="4" xfId="0" applyFont="1" applyFill="1" applyBorder="1"/>
    <xf numFmtId="43" fontId="0" fillId="6" borderId="2" xfId="0" applyNumberFormat="1" applyFont="1" applyFill="1" applyBorder="1"/>
    <xf numFmtId="43" fontId="0" fillId="6" borderId="5" xfId="0" applyNumberFormat="1" applyFont="1" applyFill="1" applyBorder="1"/>
    <xf numFmtId="0" fontId="0" fillId="6" borderId="6" xfId="0" applyFont="1" applyFill="1" applyBorder="1"/>
    <xf numFmtId="0" fontId="8" fillId="6" borderId="7" xfId="0" applyFont="1" applyFill="1" applyBorder="1"/>
    <xf numFmtId="10" fontId="2" fillId="6" borderId="4" xfId="0" applyNumberFormat="1" applyFont="1" applyFill="1" applyBorder="1"/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/>
    <xf numFmtId="43" fontId="2" fillId="6" borderId="0" xfId="0" applyNumberFormat="1" applyFont="1" applyFill="1" applyBorder="1" applyAlignment="1">
      <alignment horizontal="center"/>
    </xf>
    <xf numFmtId="9" fontId="8" fillId="6" borderId="0" xfId="2" applyFont="1" applyFill="1" applyBorder="1" applyAlignment="1">
      <alignment horizontal="center"/>
    </xf>
    <xf numFmtId="43" fontId="8" fillId="6" borderId="1" xfId="0" applyNumberFormat="1" applyFont="1" applyFill="1" applyBorder="1"/>
    <xf numFmtId="43" fontId="1" fillId="6" borderId="1" xfId="0" applyNumberFormat="1" applyFont="1" applyFill="1" applyBorder="1"/>
    <xf numFmtId="10" fontId="1" fillId="6" borderId="1" xfId="2" applyNumberFormat="1" applyFont="1" applyFill="1" applyBorder="1"/>
    <xf numFmtId="43" fontId="1" fillId="6" borderId="0" xfId="0" applyNumberFormat="1" applyFont="1" applyFill="1" applyBorder="1"/>
    <xf numFmtId="10" fontId="1" fillId="6" borderId="0" xfId="2" applyNumberFormat="1" applyFont="1" applyFill="1" applyBorder="1"/>
    <xf numFmtId="10" fontId="8" fillId="6" borderId="10" xfId="2" applyNumberFormat="1" applyFont="1" applyFill="1" applyBorder="1" applyAlignment="1">
      <alignment horizontal="left"/>
    </xf>
    <xf numFmtId="0" fontId="8" fillId="6" borderId="5" xfId="0" applyFont="1" applyFill="1" applyBorder="1"/>
    <xf numFmtId="0" fontId="0" fillId="6" borderId="0" xfId="0" applyFont="1" applyFill="1" applyBorder="1"/>
    <xf numFmtId="0" fontId="3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5" fillId="6" borderId="0" xfId="3" applyFill="1"/>
    <xf numFmtId="0" fontId="16" fillId="0" borderId="0" xfId="3" applyFont="1"/>
    <xf numFmtId="17" fontId="0" fillId="4" borderId="0" xfId="0" applyNumberFormat="1" applyFill="1" applyProtection="1">
      <protection locked="0"/>
    </xf>
    <xf numFmtId="9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43" fontId="0" fillId="4" borderId="0" xfId="1" applyFont="1" applyFill="1" applyProtection="1">
      <protection locked="0"/>
    </xf>
    <xf numFmtId="9" fontId="0" fillId="4" borderId="0" xfId="2" applyFont="1" applyFill="1" applyProtection="1">
      <protection locked="0"/>
    </xf>
    <xf numFmtId="43" fontId="8" fillId="4" borderId="0" xfId="1" applyFont="1" applyFill="1" applyBorder="1" applyProtection="1">
      <protection locked="0"/>
    </xf>
    <xf numFmtId="43" fontId="8" fillId="4" borderId="10" xfId="1" applyFont="1" applyFill="1" applyBorder="1" applyProtection="1">
      <protection locked="0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enebe.com.b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enebe.com.br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</xdr:row>
      <xdr:rowOff>57150</xdr:rowOff>
    </xdr:from>
    <xdr:to>
      <xdr:col>5</xdr:col>
      <xdr:colOff>139353</xdr:colOff>
      <xdr:row>5</xdr:row>
      <xdr:rowOff>104775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811E4-0D4E-4835-B454-71220839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95275"/>
          <a:ext cx="1977678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66675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66675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66675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66675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66675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66675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76200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76200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238125</xdr:rowOff>
    </xdr:from>
    <xdr:to>
      <xdr:col>7</xdr:col>
      <xdr:colOff>25053</xdr:colOff>
      <xdr:row>5</xdr:row>
      <xdr:rowOff>19050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7C986-B203-46AC-8914-0DBB09B5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238125"/>
          <a:ext cx="1977678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be.com.br/" TargetMode="External"/><Relationship Id="rId1" Type="http://schemas.openxmlformats.org/officeDocument/2006/relationships/hyperlink" Target="http://www.normaslegais.com.br/legislacao/lei-complementar-162-2018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9" Type="http://schemas.openxmlformats.org/officeDocument/2006/relationships/control" Target="../activeX/activeX34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29.xml"/><Relationship Id="rId42" Type="http://schemas.openxmlformats.org/officeDocument/2006/relationships/control" Target="../activeX/activeX37.xml"/><Relationship Id="rId47" Type="http://schemas.openxmlformats.org/officeDocument/2006/relationships/control" Target="../activeX/activeX42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8.xml"/><Relationship Id="rId38" Type="http://schemas.openxmlformats.org/officeDocument/2006/relationships/control" Target="../activeX/activeX33.xml"/><Relationship Id="rId46" Type="http://schemas.openxmlformats.org/officeDocument/2006/relationships/control" Target="../activeX/activeX41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4.xml"/><Relationship Id="rId41" Type="http://schemas.openxmlformats.org/officeDocument/2006/relationships/control" Target="../activeX/activeX36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7.xml"/><Relationship Id="rId37" Type="http://schemas.openxmlformats.org/officeDocument/2006/relationships/control" Target="../activeX/activeX32.xml"/><Relationship Id="rId40" Type="http://schemas.openxmlformats.org/officeDocument/2006/relationships/control" Target="../activeX/activeX35.xml"/><Relationship Id="rId45" Type="http://schemas.openxmlformats.org/officeDocument/2006/relationships/control" Target="../activeX/activeX40.xml"/><Relationship Id="rId5" Type="http://schemas.openxmlformats.org/officeDocument/2006/relationships/image" Target="../media/image2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3.xml"/><Relationship Id="rId36" Type="http://schemas.openxmlformats.org/officeDocument/2006/relationships/control" Target="../activeX/activeX31.xml"/><Relationship Id="rId49" Type="http://schemas.openxmlformats.org/officeDocument/2006/relationships/control" Target="../activeX/activeX4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6.xml"/><Relationship Id="rId44" Type="http://schemas.openxmlformats.org/officeDocument/2006/relationships/control" Target="../activeX/activeX3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image" Target="../media/image3.emf"/><Relationship Id="rId30" Type="http://schemas.openxmlformats.org/officeDocument/2006/relationships/control" Target="../activeX/activeX25.xml"/><Relationship Id="rId35" Type="http://schemas.openxmlformats.org/officeDocument/2006/relationships/control" Target="../activeX/activeX30.xml"/><Relationship Id="rId43" Type="http://schemas.openxmlformats.org/officeDocument/2006/relationships/control" Target="../activeX/activeX38.xml"/><Relationship Id="rId48" Type="http://schemas.openxmlformats.org/officeDocument/2006/relationships/control" Target="../activeX/activeX43.xml"/><Relationship Id="rId8" Type="http://schemas.openxmlformats.org/officeDocument/2006/relationships/control" Target="../activeX/activeX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1" sqref="D11"/>
    </sheetView>
  </sheetViews>
  <sheetFormatPr defaultRowHeight="15" x14ac:dyDescent="0.25"/>
  <cols>
    <col min="1" max="1" width="25" customWidth="1"/>
    <col min="2" max="2" width="8.140625" customWidth="1"/>
    <col min="4" max="4" width="14.42578125" bestFit="1" customWidth="1"/>
  </cols>
  <sheetData>
    <row r="1" spans="1:6" ht="18.75" x14ac:dyDescent="0.3">
      <c r="A1" s="73" t="s">
        <v>20</v>
      </c>
      <c r="B1" s="74"/>
      <c r="C1" s="74"/>
      <c r="D1" s="74"/>
      <c r="E1" s="74"/>
      <c r="F1" s="74"/>
    </row>
    <row r="2" spans="1:6" x14ac:dyDescent="0.25">
      <c r="A2" s="74"/>
      <c r="B2" s="74"/>
      <c r="C2" s="74"/>
      <c r="D2" s="74"/>
      <c r="E2" s="74"/>
      <c r="F2" s="74"/>
    </row>
    <row r="3" spans="1:6" x14ac:dyDescent="0.25">
      <c r="A3" s="74" t="s">
        <v>19</v>
      </c>
      <c r="B3" s="78">
        <v>43040</v>
      </c>
      <c r="C3" s="74"/>
      <c r="D3" s="74"/>
      <c r="E3" s="74"/>
      <c r="F3" s="74"/>
    </row>
    <row r="4" spans="1:6" x14ac:dyDescent="0.25">
      <c r="A4" s="74" t="s">
        <v>21</v>
      </c>
      <c r="B4" s="79">
        <v>0.05</v>
      </c>
      <c r="C4" s="74"/>
      <c r="D4" s="74"/>
      <c r="E4" s="74"/>
      <c r="F4" s="74"/>
    </row>
    <row r="5" spans="1:6" x14ac:dyDescent="0.25">
      <c r="A5" s="74" t="s">
        <v>22</v>
      </c>
      <c r="B5" s="80">
        <v>5</v>
      </c>
      <c r="C5" s="74"/>
      <c r="D5" s="74"/>
      <c r="E5" s="74"/>
      <c r="F5" s="74"/>
    </row>
    <row r="6" spans="1:6" x14ac:dyDescent="0.25">
      <c r="A6" s="74" t="s">
        <v>29</v>
      </c>
      <c r="B6" s="81">
        <v>300</v>
      </c>
      <c r="C6" s="74"/>
      <c r="D6" s="74"/>
      <c r="E6" s="74"/>
      <c r="F6" s="74"/>
    </row>
    <row r="7" spans="1:6" ht="15.75" x14ac:dyDescent="0.25">
      <c r="A7" s="74"/>
      <c r="B7" s="74"/>
      <c r="C7" s="74"/>
      <c r="D7" s="77" t="s">
        <v>46</v>
      </c>
      <c r="E7" s="74"/>
      <c r="F7" s="74"/>
    </row>
    <row r="8" spans="1:6" x14ac:dyDescent="0.25">
      <c r="A8" s="74" t="s">
        <v>23</v>
      </c>
      <c r="B8" s="74"/>
      <c r="C8" s="74"/>
      <c r="D8" s="74"/>
      <c r="E8" s="74"/>
      <c r="F8" s="74"/>
    </row>
    <row r="9" spans="1:6" x14ac:dyDescent="0.25">
      <c r="A9" s="74"/>
      <c r="B9" s="75" t="s">
        <v>0</v>
      </c>
      <c r="C9" s="75" t="s">
        <v>1</v>
      </c>
      <c r="D9" s="75" t="s">
        <v>24</v>
      </c>
      <c r="E9" s="74"/>
      <c r="F9" s="74"/>
    </row>
    <row r="10" spans="1:6" x14ac:dyDescent="0.25">
      <c r="A10" s="74" t="s">
        <v>25</v>
      </c>
      <c r="B10" s="79">
        <v>0.7</v>
      </c>
      <c r="C10" s="79">
        <v>0.9</v>
      </c>
      <c r="D10" s="82">
        <v>1</v>
      </c>
      <c r="E10" s="74"/>
      <c r="F10" s="74"/>
    </row>
    <row r="11" spans="1:6" x14ac:dyDescent="0.25">
      <c r="A11" s="74" t="s">
        <v>26</v>
      </c>
      <c r="B11" s="79">
        <v>0.5</v>
      </c>
      <c r="C11" s="79">
        <v>0.8</v>
      </c>
      <c r="D11" s="82">
        <v>1</v>
      </c>
      <c r="E11" s="74"/>
      <c r="F11" s="74"/>
    </row>
    <row r="12" spans="1:6" x14ac:dyDescent="0.25">
      <c r="A12" s="74" t="s">
        <v>39</v>
      </c>
      <c r="B12" s="79">
        <v>0.25</v>
      </c>
      <c r="C12" s="79">
        <v>0.5</v>
      </c>
      <c r="D12" s="82">
        <v>1</v>
      </c>
      <c r="E12" s="74"/>
      <c r="F12" s="74"/>
    </row>
    <row r="13" spans="1:6" x14ac:dyDescent="0.25">
      <c r="A13" s="74"/>
      <c r="B13" s="74"/>
      <c r="C13" s="74"/>
      <c r="D13" s="74"/>
      <c r="E13" s="74"/>
      <c r="F13" s="74"/>
    </row>
    <row r="14" spans="1:6" x14ac:dyDescent="0.25">
      <c r="A14" s="74"/>
      <c r="B14" s="74"/>
      <c r="C14" s="74"/>
      <c r="D14" s="74"/>
      <c r="E14" s="74"/>
      <c r="F14" s="74"/>
    </row>
    <row r="15" spans="1:6" x14ac:dyDescent="0.25">
      <c r="A15" s="74"/>
      <c r="B15" s="74"/>
      <c r="C15" s="74"/>
      <c r="D15" s="74"/>
      <c r="E15" s="74"/>
      <c r="F15" s="74"/>
    </row>
    <row r="16" spans="1:6" x14ac:dyDescent="0.25">
      <c r="A16" s="74" t="s">
        <v>42</v>
      </c>
      <c r="B16" s="74"/>
      <c r="C16" s="74"/>
      <c r="D16" s="74"/>
      <c r="E16" s="74"/>
      <c r="F16" s="74"/>
    </row>
    <row r="17" spans="1:6" x14ac:dyDescent="0.25">
      <c r="A17" s="76" t="s">
        <v>43</v>
      </c>
      <c r="B17" s="74"/>
      <c r="C17" s="74"/>
      <c r="D17" s="74"/>
      <c r="E17" s="74"/>
      <c r="F17" s="74"/>
    </row>
    <row r="18" spans="1:6" x14ac:dyDescent="0.25">
      <c r="A18" s="74"/>
      <c r="B18" s="74"/>
      <c r="C18" s="74"/>
      <c r="D18" s="74"/>
      <c r="E18" s="74"/>
      <c r="F18" s="74"/>
    </row>
  </sheetData>
  <sheetProtection algorithmName="SHA-512" hashValue="LILazsF03purgX53qq1ehPr10TuNNIB35I4wizRhQhW9+bnJX2tYVhVerYBPj262m2yXEGqlc3Z6ZMubx7Yyrg==" saltValue="N5wr5qVPXoazuoSDY2KXBA==" spinCount="100000" sheet="1" objects="1" scenarios="1" selectLockedCells="1"/>
  <hyperlinks>
    <hyperlink ref="A17" r:id="rId1"/>
    <hyperlink ref="D7" r:id="rId2"/>
  </hyperlinks>
  <pageMargins left="0.51181102362204722" right="0.51181102362204722" top="0.78740157480314965" bottom="0.78740157480314965" header="0.31496062992125984" footer="0.31496062992125984"/>
  <pageSetup paperSize="9" orientation="portrait" r:id="rId3"/>
  <headerFooter>
    <oddFooter>&amp;Cdesenvolvido por eNeBê Contabilidade - www.enebe.com.br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>
    <tabColor theme="9" tint="0.39997558519241921"/>
  </sheetPr>
  <dimension ref="A1:I32"/>
  <sheetViews>
    <sheetView workbookViewId="0">
      <selection activeCell="B1" sqref="B1"/>
    </sheetView>
  </sheetViews>
  <sheetFormatPr defaultRowHeight="15" x14ac:dyDescent="0.25"/>
  <cols>
    <col min="3" max="3" width="15" customWidth="1"/>
    <col min="4" max="4" width="14.7109375" customWidth="1"/>
    <col min="5" max="5" width="17.7109375" customWidth="1"/>
    <col min="6" max="6" width="15.7109375" customWidth="1"/>
    <col min="7" max="7" width="15.140625" customWidth="1"/>
    <col min="8" max="8" width="18.28515625" customWidth="1"/>
  </cols>
  <sheetData>
    <row r="1" spans="1:9" ht="15.75" thickBot="1" x14ac:dyDescent="0.3">
      <c r="A1" s="4"/>
    </row>
    <row r="2" spans="1:9" ht="57.75" thickBot="1" x14ac:dyDescent="0.3">
      <c r="A2" s="85"/>
      <c r="B2" s="85" t="s">
        <v>8</v>
      </c>
      <c r="C2" s="85" t="s">
        <v>9</v>
      </c>
      <c r="D2" s="85" t="s">
        <v>10</v>
      </c>
      <c r="E2" s="87" t="s">
        <v>11</v>
      </c>
      <c r="F2" s="88"/>
      <c r="G2" s="88"/>
      <c r="H2" s="89"/>
      <c r="I2" s="5" t="s">
        <v>12</v>
      </c>
    </row>
    <row r="3" spans="1:9" ht="72" thickBot="1" x14ac:dyDescent="0.3">
      <c r="A3" s="86"/>
      <c r="B3" s="86"/>
      <c r="C3" s="86"/>
      <c r="D3" s="86"/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9" ht="15.75" thickBot="1" x14ac:dyDescent="0.3">
      <c r="A4" s="6"/>
      <c r="B4" s="7">
        <v>41334</v>
      </c>
      <c r="C4" s="8">
        <v>41386</v>
      </c>
      <c r="D4" s="9">
        <v>2637.84</v>
      </c>
      <c r="E4" s="6">
        <v>213.41</v>
      </c>
      <c r="F4" s="6">
        <v>42.68</v>
      </c>
      <c r="G4" s="6">
        <v>115.07</v>
      </c>
      <c r="H4" s="6">
        <v>371.16</v>
      </c>
      <c r="I4" s="6"/>
    </row>
    <row r="5" spans="1:9" ht="15.75" thickBot="1" x14ac:dyDescent="0.3">
      <c r="A5" s="6"/>
      <c r="B5" s="7">
        <v>41395</v>
      </c>
      <c r="C5" s="8">
        <v>41445</v>
      </c>
      <c r="D5" s="9">
        <v>4463.09</v>
      </c>
      <c r="E5" s="6">
        <v>898.41</v>
      </c>
      <c r="F5" s="6">
        <v>179.68</v>
      </c>
      <c r="G5" s="6">
        <v>473.55</v>
      </c>
      <c r="H5" s="9">
        <v>1551.64</v>
      </c>
      <c r="I5" s="6"/>
    </row>
    <row r="6" spans="1:9" ht="15.75" thickBot="1" x14ac:dyDescent="0.3">
      <c r="A6" s="6"/>
      <c r="B6" s="7">
        <v>41426</v>
      </c>
      <c r="C6" s="8">
        <v>41477</v>
      </c>
      <c r="D6" s="9">
        <v>1265.23</v>
      </c>
      <c r="E6" s="6">
        <v>236.15</v>
      </c>
      <c r="F6" s="6">
        <v>47.23</v>
      </c>
      <c r="G6" s="6">
        <v>122.77</v>
      </c>
      <c r="H6" s="6">
        <v>406.15</v>
      </c>
      <c r="I6" s="6"/>
    </row>
    <row r="7" spans="1:9" ht="15.75" thickBot="1" x14ac:dyDescent="0.3">
      <c r="A7" s="6"/>
      <c r="B7" s="7">
        <v>41456</v>
      </c>
      <c r="C7" s="8">
        <v>41506</v>
      </c>
      <c r="D7" s="9">
        <v>4459.55</v>
      </c>
      <c r="E7" s="6">
        <v>952.6</v>
      </c>
      <c r="F7" s="6">
        <v>190.52</v>
      </c>
      <c r="G7" s="6">
        <v>488.49</v>
      </c>
      <c r="H7" s="9">
        <v>1631.61</v>
      </c>
      <c r="I7" s="6"/>
    </row>
    <row r="8" spans="1:9" ht="15.75" thickBot="1" x14ac:dyDescent="0.3">
      <c r="A8" s="6"/>
      <c r="B8" s="7">
        <v>42095</v>
      </c>
      <c r="C8" s="8">
        <v>42144</v>
      </c>
      <c r="D8" s="9">
        <v>20670.25</v>
      </c>
      <c r="E8" s="9">
        <v>12383.25</v>
      </c>
      <c r="F8" s="9">
        <v>2476.65</v>
      </c>
      <c r="G8" s="9">
        <v>4100.09</v>
      </c>
      <c r="H8" s="9">
        <v>18959.990000000002</v>
      </c>
      <c r="I8" s="6"/>
    </row>
    <row r="9" spans="1:9" ht="15.75" thickBot="1" x14ac:dyDescent="0.3">
      <c r="A9" s="6"/>
      <c r="B9" s="7">
        <v>42248</v>
      </c>
      <c r="C9" s="8">
        <v>42297</v>
      </c>
      <c r="D9" s="9">
        <v>11018.56</v>
      </c>
      <c r="E9" s="9">
        <v>11018.56</v>
      </c>
      <c r="F9" s="9">
        <v>2203.71</v>
      </c>
      <c r="G9" s="9">
        <v>3033.41</v>
      </c>
      <c r="H9" s="9">
        <v>16255.68</v>
      </c>
      <c r="I9" s="6"/>
    </row>
    <row r="10" spans="1:9" ht="15.75" thickBot="1" x14ac:dyDescent="0.3">
      <c r="A10" s="6"/>
      <c r="B10" s="7">
        <v>42278</v>
      </c>
      <c r="C10" s="8">
        <v>42328</v>
      </c>
      <c r="D10" s="9">
        <v>14299.19</v>
      </c>
      <c r="E10" s="9">
        <v>14299.19</v>
      </c>
      <c r="F10" s="9">
        <v>2859.84</v>
      </c>
      <c r="G10" s="9">
        <v>3785</v>
      </c>
      <c r="H10" s="9">
        <v>20944.03</v>
      </c>
      <c r="I10" s="6"/>
    </row>
    <row r="11" spans="1:9" ht="15.75" thickBot="1" x14ac:dyDescent="0.3">
      <c r="A11" s="6"/>
      <c r="B11" s="7">
        <v>42309</v>
      </c>
      <c r="C11" s="8">
        <v>42359</v>
      </c>
      <c r="D11" s="9">
        <v>8865.57</v>
      </c>
      <c r="E11" s="9">
        <v>8865.57</v>
      </c>
      <c r="F11" s="9">
        <v>1773.11</v>
      </c>
      <c r="G11" s="9">
        <v>2243.88</v>
      </c>
      <c r="H11" s="9">
        <v>12882.56</v>
      </c>
      <c r="I11" s="6"/>
    </row>
    <row r="12" spans="1:9" ht="15.75" thickBot="1" x14ac:dyDescent="0.3">
      <c r="A12" s="6"/>
      <c r="B12" s="7">
        <v>42491</v>
      </c>
      <c r="C12" s="8">
        <v>42541</v>
      </c>
      <c r="D12" s="9">
        <v>9613.4699999999993</v>
      </c>
      <c r="E12" s="9">
        <v>9613.4699999999993</v>
      </c>
      <c r="F12" s="9">
        <v>1922.69</v>
      </c>
      <c r="G12" s="9">
        <v>1803.49</v>
      </c>
      <c r="H12" s="9">
        <v>13339.65</v>
      </c>
      <c r="I12" s="6"/>
    </row>
    <row r="13" spans="1:9" ht="15.75" thickBot="1" x14ac:dyDescent="0.3">
      <c r="A13" s="6"/>
      <c r="B13" s="7">
        <v>42522</v>
      </c>
      <c r="C13" s="8">
        <v>42571</v>
      </c>
      <c r="D13" s="9">
        <v>9925.99</v>
      </c>
      <c r="E13" s="9">
        <v>9925.99</v>
      </c>
      <c r="F13" s="9">
        <v>1985.2</v>
      </c>
      <c r="G13" s="9">
        <v>1751.94</v>
      </c>
      <c r="H13" s="9">
        <v>13663.13</v>
      </c>
      <c r="I13" s="6"/>
    </row>
    <row r="14" spans="1:9" ht="15.75" thickBot="1" x14ac:dyDescent="0.3">
      <c r="A14" s="6"/>
      <c r="B14" s="7">
        <v>42552</v>
      </c>
      <c r="C14" s="8">
        <v>42604</v>
      </c>
      <c r="D14" s="9">
        <v>5941.1</v>
      </c>
      <c r="E14" s="9">
        <v>5941.1</v>
      </c>
      <c r="F14" s="9">
        <v>1188.22</v>
      </c>
      <c r="G14" s="6">
        <v>976.12</v>
      </c>
      <c r="H14" s="9">
        <v>8105.44</v>
      </c>
      <c r="I14" s="6"/>
    </row>
    <row r="15" spans="1:9" ht="15.75" thickBot="1" x14ac:dyDescent="0.3">
      <c r="A15" s="6"/>
      <c r="B15" s="7">
        <v>42583</v>
      </c>
      <c r="C15" s="8">
        <v>42634</v>
      </c>
      <c r="D15" s="9">
        <v>11931.59</v>
      </c>
      <c r="E15" s="9">
        <v>11931.59</v>
      </c>
      <c r="F15" s="9">
        <v>2386.3200000000002</v>
      </c>
      <c r="G15" s="9">
        <v>1827.92</v>
      </c>
      <c r="H15" s="9">
        <v>16145.83</v>
      </c>
      <c r="I15" s="6"/>
    </row>
    <row r="16" spans="1:9" ht="15.75" thickBot="1" x14ac:dyDescent="0.3">
      <c r="A16" s="6"/>
      <c r="B16" s="7">
        <v>42614</v>
      </c>
      <c r="C16" s="8">
        <v>42663</v>
      </c>
      <c r="D16" s="9">
        <v>6104.64</v>
      </c>
      <c r="E16" s="9">
        <v>6104.64</v>
      </c>
      <c r="F16" s="9">
        <v>1220.93</v>
      </c>
      <c r="G16" s="6">
        <v>871.13</v>
      </c>
      <c r="H16" s="9">
        <v>8196.7000000000007</v>
      </c>
      <c r="I16" s="6"/>
    </row>
    <row r="17" spans="1:9" ht="15.75" thickBot="1" x14ac:dyDescent="0.3">
      <c r="A17" s="6"/>
      <c r="B17" s="7">
        <v>42644</v>
      </c>
      <c r="C17" s="8">
        <v>42695</v>
      </c>
      <c r="D17" s="9">
        <v>10442.73</v>
      </c>
      <c r="E17" s="9">
        <v>10442.73</v>
      </c>
      <c r="F17" s="9">
        <v>2088.5500000000002</v>
      </c>
      <c r="G17" s="9">
        <v>1381.57</v>
      </c>
      <c r="H17" s="9">
        <v>13912.85</v>
      </c>
      <c r="I17" s="6"/>
    </row>
    <row r="18" spans="1:9" ht="15.75" thickBot="1" x14ac:dyDescent="0.3">
      <c r="A18" s="6"/>
      <c r="B18" s="7">
        <v>42675</v>
      </c>
      <c r="C18" s="8">
        <v>42724</v>
      </c>
      <c r="D18" s="9">
        <v>4315.88</v>
      </c>
      <c r="E18" s="9">
        <v>4315.88</v>
      </c>
      <c r="F18" s="6">
        <v>863.18</v>
      </c>
      <c r="G18" s="6">
        <v>522.65</v>
      </c>
      <c r="H18" s="9">
        <v>5701.71</v>
      </c>
      <c r="I18" s="6"/>
    </row>
    <row r="19" spans="1:9" ht="15.75" thickBot="1" x14ac:dyDescent="0.3">
      <c r="A19" s="6"/>
      <c r="B19" s="7">
        <v>42887</v>
      </c>
      <c r="C19" s="8">
        <v>42936</v>
      </c>
      <c r="D19" s="9">
        <v>3693.08</v>
      </c>
      <c r="E19" s="9">
        <v>3693.08</v>
      </c>
      <c r="F19" s="6">
        <v>738.62</v>
      </c>
      <c r="G19" s="6">
        <v>213.09</v>
      </c>
      <c r="H19" s="9">
        <v>4644.79</v>
      </c>
      <c r="I19" s="6"/>
    </row>
    <row r="20" spans="1:9" ht="15.75" thickBot="1" x14ac:dyDescent="0.3">
      <c r="A20" s="6"/>
      <c r="B20" s="7">
        <v>42917</v>
      </c>
      <c r="C20" s="8">
        <v>42968</v>
      </c>
      <c r="D20" s="6">
        <v>870.2</v>
      </c>
      <c r="E20" s="6">
        <v>870.2</v>
      </c>
      <c r="F20" s="6">
        <v>174.04</v>
      </c>
      <c r="G20" s="6">
        <v>43.25</v>
      </c>
      <c r="H20" s="9">
        <v>1087.49</v>
      </c>
      <c r="I20" s="6"/>
    </row>
    <row r="21" spans="1:9" ht="15.75" thickBot="1" x14ac:dyDescent="0.3">
      <c r="A21" s="6"/>
      <c r="B21" s="7">
        <v>42948</v>
      </c>
      <c r="C21" s="8">
        <v>42999</v>
      </c>
      <c r="D21" s="9">
        <v>2084.46</v>
      </c>
      <c r="E21" s="9">
        <v>2084.46</v>
      </c>
      <c r="F21" s="6">
        <v>416.89</v>
      </c>
      <c r="G21" s="6">
        <v>90.26</v>
      </c>
      <c r="H21" s="9">
        <v>2591.61</v>
      </c>
      <c r="I21" s="6"/>
    </row>
    <row r="22" spans="1:9" ht="15.75" thickBot="1" x14ac:dyDescent="0.3">
      <c r="A22" s="6"/>
      <c r="B22" s="7">
        <v>42979</v>
      </c>
      <c r="C22" s="8">
        <v>43028</v>
      </c>
      <c r="D22" s="6">
        <v>842.13</v>
      </c>
      <c r="E22" s="6">
        <v>842.13</v>
      </c>
      <c r="F22" s="6">
        <v>168.43</v>
      </c>
      <c r="G22" s="6">
        <v>31.07</v>
      </c>
      <c r="H22" s="9">
        <v>1041.6300000000001</v>
      </c>
      <c r="I22" s="6"/>
    </row>
    <row r="23" spans="1:9" ht="15.75" thickBot="1" x14ac:dyDescent="0.3">
      <c r="A23" s="6"/>
      <c r="B23" s="7">
        <v>43009</v>
      </c>
      <c r="C23" s="8">
        <v>43059</v>
      </c>
      <c r="D23" s="9">
        <v>1301.99</v>
      </c>
      <c r="E23" s="9">
        <v>1301.99</v>
      </c>
      <c r="F23" s="6">
        <v>260.39999999999998</v>
      </c>
      <c r="G23" s="6">
        <v>40.619999999999997</v>
      </c>
      <c r="H23" s="9">
        <v>1603.01</v>
      </c>
      <c r="I23" s="6"/>
    </row>
    <row r="24" spans="1:9" x14ac:dyDescent="0.25">
      <c r="A24" s="6"/>
      <c r="B24" s="7">
        <v>43040</v>
      </c>
      <c r="C24" s="8">
        <v>43089</v>
      </c>
      <c r="D24" s="9">
        <v>1912.6</v>
      </c>
      <c r="E24" s="9">
        <v>1912.6</v>
      </c>
      <c r="F24" s="6">
        <v>382.52</v>
      </c>
      <c r="G24" s="6">
        <v>49.35</v>
      </c>
      <c r="H24" s="9">
        <v>2344.4699999999998</v>
      </c>
      <c r="I24" s="6"/>
    </row>
    <row r="26" spans="1:9" x14ac:dyDescent="0.25">
      <c r="A26" t="s">
        <v>18</v>
      </c>
    </row>
    <row r="27" spans="1:9" ht="18.75" x14ac:dyDescent="0.3">
      <c r="D27" s="11"/>
      <c r="E27" s="10">
        <f t="shared" ref="E27:H27" si="0">SUM(E4:E26)</f>
        <v>117847.00000000003</v>
      </c>
      <c r="F27" s="10">
        <f t="shared" si="0"/>
        <v>23569.410000000003</v>
      </c>
      <c r="G27" s="10">
        <f t="shared" si="0"/>
        <v>23964.720000000001</v>
      </c>
      <c r="H27" s="10">
        <f t="shared" si="0"/>
        <v>165381.13</v>
      </c>
    </row>
    <row r="30" spans="1:9" x14ac:dyDescent="0.25">
      <c r="A30" t="s">
        <v>45</v>
      </c>
    </row>
    <row r="31" spans="1:9" ht="15.75" thickBot="1" x14ac:dyDescent="0.3"/>
    <row r="32" spans="1:9" x14ac:dyDescent="0.25">
      <c r="A32" s="6"/>
      <c r="B32" s="7">
        <v>43070</v>
      </c>
      <c r="C32" s="8">
        <v>43122</v>
      </c>
      <c r="D32" s="9">
        <v>3078.45</v>
      </c>
      <c r="E32" s="9">
        <v>3078.45</v>
      </c>
      <c r="F32" s="6">
        <v>615.69000000000005</v>
      </c>
      <c r="G32" s="6">
        <v>61.57</v>
      </c>
      <c r="H32" s="9">
        <v>3755.71</v>
      </c>
      <c r="I32" s="6"/>
    </row>
  </sheetData>
  <mergeCells count="5">
    <mergeCell ref="A2:A3"/>
    <mergeCell ref="B2:B3"/>
    <mergeCell ref="C2:C3"/>
    <mergeCell ref="D2:D3"/>
    <mergeCell ref="E2:H2"/>
  </mergeCells>
  <pageMargins left="0.25" right="0.25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51" r:id="rId7" name="Control 3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1" r:id="rId7" name="Control 3"/>
      </mc:Fallback>
    </mc:AlternateContent>
    <mc:AlternateContent xmlns:mc="http://schemas.openxmlformats.org/markup-compatibility/2006">
      <mc:Choice Requires="x14">
        <control shapeId="2052" r:id="rId8" name="Control 4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2" r:id="rId8" name="Control 4"/>
      </mc:Fallback>
    </mc:AlternateContent>
    <mc:AlternateContent xmlns:mc="http://schemas.openxmlformats.org/markup-compatibility/2006">
      <mc:Choice Requires="x14">
        <control shapeId="2053" r:id="rId9" name="Control 5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3" r:id="rId9" name="Control 5"/>
      </mc:Fallback>
    </mc:AlternateContent>
    <mc:AlternateContent xmlns:mc="http://schemas.openxmlformats.org/markup-compatibility/2006">
      <mc:Choice Requires="x14">
        <control shapeId="2054" r:id="rId10" name="Control 6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4" r:id="rId10" name="Control 6"/>
      </mc:Fallback>
    </mc:AlternateContent>
    <mc:AlternateContent xmlns:mc="http://schemas.openxmlformats.org/markup-compatibility/2006">
      <mc:Choice Requires="x14">
        <control shapeId="2055" r:id="rId11" name="Control 7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5" r:id="rId11" name="Control 7"/>
      </mc:Fallback>
    </mc:AlternateContent>
    <mc:AlternateContent xmlns:mc="http://schemas.openxmlformats.org/markup-compatibility/2006">
      <mc:Choice Requires="x14">
        <control shapeId="2056" r:id="rId12" name="Control 8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6" r:id="rId12" name="Control 8"/>
      </mc:Fallback>
    </mc:AlternateContent>
    <mc:AlternateContent xmlns:mc="http://schemas.openxmlformats.org/markup-compatibility/2006">
      <mc:Choice Requires="x14">
        <control shapeId="2057" r:id="rId13" name="Control 9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7" r:id="rId13" name="Control 9"/>
      </mc:Fallback>
    </mc:AlternateContent>
    <mc:AlternateContent xmlns:mc="http://schemas.openxmlformats.org/markup-compatibility/2006">
      <mc:Choice Requires="x14">
        <control shapeId="2058" r:id="rId14" name="Control 10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8" r:id="rId14" name="Control 10"/>
      </mc:Fallback>
    </mc:AlternateContent>
    <mc:AlternateContent xmlns:mc="http://schemas.openxmlformats.org/markup-compatibility/2006">
      <mc:Choice Requires="x14">
        <control shapeId="2059" r:id="rId15" name="Control 1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59" r:id="rId15" name="Control 11"/>
      </mc:Fallback>
    </mc:AlternateContent>
    <mc:AlternateContent xmlns:mc="http://schemas.openxmlformats.org/markup-compatibility/2006">
      <mc:Choice Requires="x14">
        <control shapeId="2060" r:id="rId16" name="Control 12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0" r:id="rId16" name="Control 12"/>
      </mc:Fallback>
    </mc:AlternateContent>
    <mc:AlternateContent xmlns:mc="http://schemas.openxmlformats.org/markup-compatibility/2006">
      <mc:Choice Requires="x14">
        <control shapeId="2061" r:id="rId17" name="Control 13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1" r:id="rId17" name="Control 13"/>
      </mc:Fallback>
    </mc:AlternateContent>
    <mc:AlternateContent xmlns:mc="http://schemas.openxmlformats.org/markup-compatibility/2006">
      <mc:Choice Requires="x14">
        <control shapeId="2062" r:id="rId18" name="Control 14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2" r:id="rId18" name="Control 14"/>
      </mc:Fallback>
    </mc:AlternateContent>
    <mc:AlternateContent xmlns:mc="http://schemas.openxmlformats.org/markup-compatibility/2006">
      <mc:Choice Requires="x14">
        <control shapeId="2063" r:id="rId19" name="Control 15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3" r:id="rId19" name="Control 15"/>
      </mc:Fallback>
    </mc:AlternateContent>
    <mc:AlternateContent xmlns:mc="http://schemas.openxmlformats.org/markup-compatibility/2006">
      <mc:Choice Requires="x14">
        <control shapeId="2064" r:id="rId20" name="Control 16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4" r:id="rId20" name="Control 16"/>
      </mc:Fallback>
    </mc:AlternateContent>
    <mc:AlternateContent xmlns:mc="http://schemas.openxmlformats.org/markup-compatibility/2006">
      <mc:Choice Requires="x14">
        <control shapeId="2065" r:id="rId21" name="Control 17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5" r:id="rId21" name="Control 17"/>
      </mc:Fallback>
    </mc:AlternateContent>
    <mc:AlternateContent xmlns:mc="http://schemas.openxmlformats.org/markup-compatibility/2006">
      <mc:Choice Requires="x14">
        <control shapeId="2066" r:id="rId22" name="Control 18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6" r:id="rId22" name="Control 18"/>
      </mc:Fallback>
    </mc:AlternateContent>
    <mc:AlternateContent xmlns:mc="http://schemas.openxmlformats.org/markup-compatibility/2006">
      <mc:Choice Requires="x14">
        <control shapeId="2067" r:id="rId23" name="Control 19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7" r:id="rId23" name="Control 19"/>
      </mc:Fallback>
    </mc:AlternateContent>
    <mc:AlternateContent xmlns:mc="http://schemas.openxmlformats.org/markup-compatibility/2006">
      <mc:Choice Requires="x14">
        <control shapeId="2068" r:id="rId24" name="Control 20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8" r:id="rId24" name="Control 20"/>
      </mc:Fallback>
    </mc:AlternateContent>
    <mc:AlternateContent xmlns:mc="http://schemas.openxmlformats.org/markup-compatibility/2006">
      <mc:Choice Requires="x14">
        <control shapeId="2069" r:id="rId25" name="Control 2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69" r:id="rId25" name="Control 21"/>
      </mc:Fallback>
    </mc:AlternateContent>
    <mc:AlternateContent xmlns:mc="http://schemas.openxmlformats.org/markup-compatibility/2006">
      <mc:Choice Requires="x14">
        <control shapeId="2070" r:id="rId26" name="Control 22">
          <controlPr defaultSize="0" r:id="rId2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66675</xdr:colOff>
                <xdr:row>1</xdr:row>
                <xdr:rowOff>495300</xdr:rowOff>
              </to>
            </anchor>
          </controlPr>
        </control>
      </mc:Choice>
      <mc:Fallback>
        <control shapeId="2070" r:id="rId26" name="Control 22"/>
      </mc:Fallback>
    </mc:AlternateContent>
    <mc:AlternateContent xmlns:mc="http://schemas.openxmlformats.org/markup-compatibility/2006">
      <mc:Choice Requires="x14">
        <control shapeId="2071" r:id="rId28" name="Control 23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66675</xdr:colOff>
                <xdr:row>6</xdr:row>
                <xdr:rowOff>95250</xdr:rowOff>
              </to>
            </anchor>
          </controlPr>
        </control>
      </mc:Choice>
      <mc:Fallback>
        <control shapeId="2071" r:id="rId28" name="Control 23"/>
      </mc:Fallback>
    </mc:AlternateContent>
    <mc:AlternateContent xmlns:mc="http://schemas.openxmlformats.org/markup-compatibility/2006">
      <mc:Choice Requires="x14">
        <control shapeId="2072" r:id="rId29" name="Control 24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1</xdr:col>
                <xdr:colOff>66675</xdr:colOff>
                <xdr:row>7</xdr:row>
                <xdr:rowOff>95250</xdr:rowOff>
              </to>
            </anchor>
          </controlPr>
        </control>
      </mc:Choice>
      <mc:Fallback>
        <control shapeId="2072" r:id="rId29" name="Control 24"/>
      </mc:Fallback>
    </mc:AlternateContent>
    <mc:AlternateContent xmlns:mc="http://schemas.openxmlformats.org/markup-compatibility/2006">
      <mc:Choice Requires="x14">
        <control shapeId="2073" r:id="rId30" name="Control 25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1</xdr:col>
                <xdr:colOff>66675</xdr:colOff>
                <xdr:row>8</xdr:row>
                <xdr:rowOff>95250</xdr:rowOff>
              </to>
            </anchor>
          </controlPr>
        </control>
      </mc:Choice>
      <mc:Fallback>
        <control shapeId="2073" r:id="rId30" name="Control 25"/>
      </mc:Fallback>
    </mc:AlternateContent>
    <mc:AlternateContent xmlns:mc="http://schemas.openxmlformats.org/markup-compatibility/2006">
      <mc:Choice Requires="x14">
        <control shapeId="2074" r:id="rId31" name="Control 26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66675</xdr:colOff>
                <xdr:row>9</xdr:row>
                <xdr:rowOff>95250</xdr:rowOff>
              </to>
            </anchor>
          </controlPr>
        </control>
      </mc:Choice>
      <mc:Fallback>
        <control shapeId="2074" r:id="rId31" name="Control 26"/>
      </mc:Fallback>
    </mc:AlternateContent>
    <mc:AlternateContent xmlns:mc="http://schemas.openxmlformats.org/markup-compatibility/2006">
      <mc:Choice Requires="x14">
        <control shapeId="2075" r:id="rId32" name="Control 27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66675</xdr:colOff>
                <xdr:row>10</xdr:row>
                <xdr:rowOff>95250</xdr:rowOff>
              </to>
            </anchor>
          </controlPr>
        </control>
      </mc:Choice>
      <mc:Fallback>
        <control shapeId="2075" r:id="rId32" name="Control 27"/>
      </mc:Fallback>
    </mc:AlternateContent>
    <mc:AlternateContent xmlns:mc="http://schemas.openxmlformats.org/markup-compatibility/2006">
      <mc:Choice Requires="x14">
        <control shapeId="2076" r:id="rId33" name="Control 28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1</xdr:col>
                <xdr:colOff>66675</xdr:colOff>
                <xdr:row>11</xdr:row>
                <xdr:rowOff>95250</xdr:rowOff>
              </to>
            </anchor>
          </controlPr>
        </control>
      </mc:Choice>
      <mc:Fallback>
        <control shapeId="2076" r:id="rId33" name="Control 28"/>
      </mc:Fallback>
    </mc:AlternateContent>
    <mc:AlternateContent xmlns:mc="http://schemas.openxmlformats.org/markup-compatibility/2006">
      <mc:Choice Requires="x14">
        <control shapeId="2077" r:id="rId34" name="Control 29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1</xdr:col>
                <xdr:colOff>66675</xdr:colOff>
                <xdr:row>12</xdr:row>
                <xdr:rowOff>95250</xdr:rowOff>
              </to>
            </anchor>
          </controlPr>
        </control>
      </mc:Choice>
      <mc:Fallback>
        <control shapeId="2077" r:id="rId34" name="Control 29"/>
      </mc:Fallback>
    </mc:AlternateContent>
    <mc:AlternateContent xmlns:mc="http://schemas.openxmlformats.org/markup-compatibility/2006">
      <mc:Choice Requires="x14">
        <control shapeId="2078" r:id="rId35" name="Control 30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1</xdr:col>
                <xdr:colOff>66675</xdr:colOff>
                <xdr:row>13</xdr:row>
                <xdr:rowOff>95250</xdr:rowOff>
              </to>
            </anchor>
          </controlPr>
        </control>
      </mc:Choice>
      <mc:Fallback>
        <control shapeId="2078" r:id="rId35" name="Control 30"/>
      </mc:Fallback>
    </mc:AlternateContent>
    <mc:AlternateContent xmlns:mc="http://schemas.openxmlformats.org/markup-compatibility/2006">
      <mc:Choice Requires="x14">
        <control shapeId="2079" r:id="rId36" name="Control 31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1</xdr:col>
                <xdr:colOff>66675</xdr:colOff>
                <xdr:row>14</xdr:row>
                <xdr:rowOff>95250</xdr:rowOff>
              </to>
            </anchor>
          </controlPr>
        </control>
      </mc:Choice>
      <mc:Fallback>
        <control shapeId="2079" r:id="rId36" name="Control 31"/>
      </mc:Fallback>
    </mc:AlternateContent>
    <mc:AlternateContent xmlns:mc="http://schemas.openxmlformats.org/markup-compatibility/2006">
      <mc:Choice Requires="x14">
        <control shapeId="2080" r:id="rId37" name="Control 32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1</xdr:col>
                <xdr:colOff>66675</xdr:colOff>
                <xdr:row>15</xdr:row>
                <xdr:rowOff>95250</xdr:rowOff>
              </to>
            </anchor>
          </controlPr>
        </control>
      </mc:Choice>
      <mc:Fallback>
        <control shapeId="2080" r:id="rId37" name="Control 32"/>
      </mc:Fallback>
    </mc:AlternateContent>
    <mc:AlternateContent xmlns:mc="http://schemas.openxmlformats.org/markup-compatibility/2006">
      <mc:Choice Requires="x14">
        <control shapeId="2081" r:id="rId38" name="Control 33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1</xdr:col>
                <xdr:colOff>66675</xdr:colOff>
                <xdr:row>16</xdr:row>
                <xdr:rowOff>95250</xdr:rowOff>
              </to>
            </anchor>
          </controlPr>
        </control>
      </mc:Choice>
      <mc:Fallback>
        <control shapeId="2081" r:id="rId38" name="Control 33"/>
      </mc:Fallback>
    </mc:AlternateContent>
    <mc:AlternateContent xmlns:mc="http://schemas.openxmlformats.org/markup-compatibility/2006">
      <mc:Choice Requires="x14">
        <control shapeId="2082" r:id="rId39" name="Control 34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1</xdr:col>
                <xdr:colOff>66675</xdr:colOff>
                <xdr:row>17</xdr:row>
                <xdr:rowOff>95250</xdr:rowOff>
              </to>
            </anchor>
          </controlPr>
        </control>
      </mc:Choice>
      <mc:Fallback>
        <control shapeId="2082" r:id="rId39" name="Control 34"/>
      </mc:Fallback>
    </mc:AlternateContent>
    <mc:AlternateContent xmlns:mc="http://schemas.openxmlformats.org/markup-compatibility/2006">
      <mc:Choice Requires="x14">
        <control shapeId="2083" r:id="rId40" name="Control 35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1</xdr:col>
                <xdr:colOff>66675</xdr:colOff>
                <xdr:row>18</xdr:row>
                <xdr:rowOff>95250</xdr:rowOff>
              </to>
            </anchor>
          </controlPr>
        </control>
      </mc:Choice>
      <mc:Fallback>
        <control shapeId="2083" r:id="rId40" name="Control 35"/>
      </mc:Fallback>
    </mc:AlternateContent>
    <mc:AlternateContent xmlns:mc="http://schemas.openxmlformats.org/markup-compatibility/2006">
      <mc:Choice Requires="x14">
        <control shapeId="2084" r:id="rId41" name="Control 36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1</xdr:col>
                <xdr:colOff>66675</xdr:colOff>
                <xdr:row>19</xdr:row>
                <xdr:rowOff>95250</xdr:rowOff>
              </to>
            </anchor>
          </controlPr>
        </control>
      </mc:Choice>
      <mc:Fallback>
        <control shapeId="2084" r:id="rId41" name="Control 36"/>
      </mc:Fallback>
    </mc:AlternateContent>
    <mc:AlternateContent xmlns:mc="http://schemas.openxmlformats.org/markup-compatibility/2006">
      <mc:Choice Requires="x14">
        <control shapeId="2085" r:id="rId42" name="Control 37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1</xdr:col>
                <xdr:colOff>66675</xdr:colOff>
                <xdr:row>20</xdr:row>
                <xdr:rowOff>95250</xdr:rowOff>
              </to>
            </anchor>
          </controlPr>
        </control>
      </mc:Choice>
      <mc:Fallback>
        <control shapeId="2085" r:id="rId42" name="Control 37"/>
      </mc:Fallback>
    </mc:AlternateContent>
    <mc:AlternateContent xmlns:mc="http://schemas.openxmlformats.org/markup-compatibility/2006">
      <mc:Choice Requires="x14">
        <control shapeId="2086" r:id="rId43" name="Control 38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1</xdr:col>
                <xdr:colOff>66675</xdr:colOff>
                <xdr:row>21</xdr:row>
                <xdr:rowOff>95250</xdr:rowOff>
              </to>
            </anchor>
          </controlPr>
        </control>
      </mc:Choice>
      <mc:Fallback>
        <control shapeId="2086" r:id="rId43" name="Control 38"/>
      </mc:Fallback>
    </mc:AlternateContent>
    <mc:AlternateContent xmlns:mc="http://schemas.openxmlformats.org/markup-compatibility/2006">
      <mc:Choice Requires="x14">
        <control shapeId="2087" r:id="rId44" name="Control 39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1</xdr:col>
                <xdr:colOff>66675</xdr:colOff>
                <xdr:row>22</xdr:row>
                <xdr:rowOff>95250</xdr:rowOff>
              </to>
            </anchor>
          </controlPr>
        </control>
      </mc:Choice>
      <mc:Fallback>
        <control shapeId="2087" r:id="rId44" name="Control 39"/>
      </mc:Fallback>
    </mc:AlternateContent>
    <mc:AlternateContent xmlns:mc="http://schemas.openxmlformats.org/markup-compatibility/2006">
      <mc:Choice Requires="x14">
        <control shapeId="2088" r:id="rId45" name="Control 40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1</xdr:col>
                <xdr:colOff>66675</xdr:colOff>
                <xdr:row>23</xdr:row>
                <xdr:rowOff>95250</xdr:rowOff>
              </to>
            </anchor>
          </controlPr>
        </control>
      </mc:Choice>
      <mc:Fallback>
        <control shapeId="2088" r:id="rId45" name="Control 40"/>
      </mc:Fallback>
    </mc:AlternateContent>
    <mc:AlternateContent xmlns:mc="http://schemas.openxmlformats.org/markup-compatibility/2006">
      <mc:Choice Requires="x14">
        <control shapeId="2089" r:id="rId46" name="Control 41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1</xdr:col>
                <xdr:colOff>66675</xdr:colOff>
                <xdr:row>24</xdr:row>
                <xdr:rowOff>104775</xdr:rowOff>
              </to>
            </anchor>
          </controlPr>
        </control>
      </mc:Choice>
      <mc:Fallback>
        <control shapeId="2089" r:id="rId46" name="Control 41"/>
      </mc:Fallback>
    </mc:AlternateContent>
    <mc:AlternateContent xmlns:mc="http://schemas.openxmlformats.org/markup-compatibility/2006">
      <mc:Choice Requires="x14">
        <control shapeId="2090" r:id="rId47" name="Control 42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1</xdr:col>
                <xdr:colOff>66675</xdr:colOff>
                <xdr:row>25</xdr:row>
                <xdr:rowOff>114300</xdr:rowOff>
              </to>
            </anchor>
          </controlPr>
        </control>
      </mc:Choice>
      <mc:Fallback>
        <control shapeId="2090" r:id="rId47" name="Control 42"/>
      </mc:Fallback>
    </mc:AlternateContent>
    <mc:AlternateContent xmlns:mc="http://schemas.openxmlformats.org/markup-compatibility/2006">
      <mc:Choice Requires="x14">
        <control shapeId="2091" r:id="rId48" name="Control 43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1</xdr:col>
                <xdr:colOff>66675</xdr:colOff>
                <xdr:row>26</xdr:row>
                <xdr:rowOff>123825</xdr:rowOff>
              </to>
            </anchor>
          </controlPr>
        </control>
      </mc:Choice>
      <mc:Fallback>
        <control shapeId="2091" r:id="rId48" name="Control 43"/>
      </mc:Fallback>
    </mc:AlternateContent>
    <mc:AlternateContent xmlns:mc="http://schemas.openxmlformats.org/markup-compatibility/2006">
      <mc:Choice Requires="x14">
        <control shapeId="2092" r:id="rId49" name="Control 44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1</xdr:col>
                <xdr:colOff>66675</xdr:colOff>
                <xdr:row>27</xdr:row>
                <xdr:rowOff>76200</xdr:rowOff>
              </to>
            </anchor>
          </controlPr>
        </control>
      </mc:Choice>
      <mc:Fallback>
        <control shapeId="2092" r:id="rId49" name="Control 4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B8" sqref="B8"/>
    </sheetView>
  </sheetViews>
  <sheetFormatPr defaultRowHeight="15" x14ac:dyDescent="0.25"/>
  <cols>
    <col min="1" max="1" width="26.140625" style="1" customWidth="1"/>
    <col min="2" max="2" width="17.7109375" style="1" customWidth="1"/>
    <col min="3" max="3" width="13.28515625" style="1" customWidth="1"/>
    <col min="4" max="4" width="1.5703125" style="1" customWidth="1"/>
    <col min="5" max="5" width="11.5703125" style="1" customWidth="1"/>
    <col min="6" max="6" width="14.7109375" style="1" customWidth="1"/>
    <col min="7" max="7" width="12.28515625" style="1" customWidth="1"/>
    <col min="8" max="8" width="7.5703125" style="1" customWidth="1"/>
    <col min="9" max="9" width="8.7109375" style="1" customWidth="1"/>
    <col min="10" max="10" width="13.140625" style="1" customWidth="1"/>
    <col min="11" max="11" width="14" style="1" customWidth="1"/>
    <col min="12" max="12" width="11.5703125" style="1" bestFit="1" customWidth="1"/>
    <col min="13" max="16384" width="9.140625" style="1"/>
  </cols>
  <sheetData>
    <row r="1" spans="1:8" ht="23.25" x14ac:dyDescent="0.35">
      <c r="A1" s="25"/>
      <c r="B1" s="26"/>
      <c r="C1" s="26"/>
      <c r="D1" s="26"/>
      <c r="E1" s="26"/>
      <c r="F1" s="26"/>
      <c r="G1" s="26"/>
      <c r="H1" s="26"/>
    </row>
    <row r="2" spans="1:8" ht="6.75" customHeight="1" x14ac:dyDescent="0.25">
      <c r="A2" s="27"/>
      <c r="B2" s="26"/>
      <c r="C2" s="26"/>
      <c r="D2" s="26"/>
      <c r="E2" s="26"/>
      <c r="F2" s="26"/>
      <c r="G2" s="26"/>
      <c r="H2" s="26"/>
    </row>
    <row r="3" spans="1:8" ht="21" x14ac:dyDescent="0.35">
      <c r="A3" s="28" t="s">
        <v>4</v>
      </c>
      <c r="B3" s="26"/>
      <c r="C3" s="26"/>
      <c r="D3" s="26"/>
      <c r="E3" s="26"/>
      <c r="F3" s="26"/>
      <c r="G3" s="26"/>
      <c r="H3" s="26"/>
    </row>
    <row r="4" spans="1:8" x14ac:dyDescent="0.25">
      <c r="A4" s="29" t="s">
        <v>27</v>
      </c>
      <c r="B4" s="26"/>
      <c r="C4" s="26"/>
      <c r="D4" s="26"/>
      <c r="E4" s="26"/>
      <c r="F4" s="26"/>
      <c r="G4" s="26"/>
      <c r="H4" s="26"/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30" t="s">
        <v>28</v>
      </c>
      <c r="B6" s="26"/>
      <c r="C6" s="26"/>
      <c r="D6" s="26"/>
      <c r="E6" s="26"/>
      <c r="F6" s="26"/>
      <c r="G6" s="26"/>
      <c r="H6" s="26"/>
    </row>
    <row r="7" spans="1:8" ht="18.75" x14ac:dyDescent="0.3">
      <c r="A7" s="34" t="s">
        <v>44</v>
      </c>
      <c r="B7" s="51" t="s">
        <v>3</v>
      </c>
      <c r="C7" s="51" t="s">
        <v>0</v>
      </c>
      <c r="D7" s="49"/>
      <c r="E7" s="51" t="s">
        <v>1</v>
      </c>
      <c r="F7" s="51" t="s">
        <v>35</v>
      </c>
      <c r="G7" s="52" t="s">
        <v>2</v>
      </c>
      <c r="H7" s="26"/>
    </row>
    <row r="8" spans="1:8" x14ac:dyDescent="0.25">
      <c r="A8" s="12" t="s">
        <v>30</v>
      </c>
      <c r="B8" s="83">
        <f>'DEBITOS rfb'!E27</f>
        <v>117847.00000000003</v>
      </c>
      <c r="C8" s="83">
        <f>'DEBITOS rfb'!F27</f>
        <v>23569.410000000003</v>
      </c>
      <c r="D8" s="42"/>
      <c r="E8" s="83">
        <f>'DEBITOS rfb'!G27</f>
        <v>23964.720000000001</v>
      </c>
      <c r="F8" s="83">
        <v>0</v>
      </c>
      <c r="G8" s="84">
        <f>SUM(B8:F8)</f>
        <v>165381.13000000003</v>
      </c>
      <c r="H8" s="26"/>
    </row>
    <row r="9" spans="1:8" x14ac:dyDescent="0.25">
      <c r="A9" s="46"/>
      <c r="B9" s="47">
        <f>B8/G8</f>
        <v>0.71257827298676701</v>
      </c>
      <c r="C9" s="47">
        <f>C8/G8</f>
        <v>0.14251571506374397</v>
      </c>
      <c r="D9" s="47"/>
      <c r="E9" s="47">
        <f>E8/G8</f>
        <v>0.14490601194948902</v>
      </c>
      <c r="F9" s="47">
        <f>F8/G8</f>
        <v>0</v>
      </c>
      <c r="G9" s="48">
        <f>SUM(B9:F9)</f>
        <v>1</v>
      </c>
      <c r="H9" s="26"/>
    </row>
    <row r="10" spans="1:8" x14ac:dyDescent="0.25">
      <c r="A10" s="42"/>
      <c r="B10" s="50"/>
      <c r="C10" s="50"/>
      <c r="D10" s="50"/>
      <c r="E10" s="50"/>
      <c r="F10" s="50"/>
      <c r="G10" s="50"/>
      <c r="H10" s="26"/>
    </row>
    <row r="11" spans="1:8" ht="18.75" x14ac:dyDescent="0.3">
      <c r="A11" s="34" t="s">
        <v>7</v>
      </c>
      <c r="B11" s="35">
        <f>'REGRAS GERAIS'!B4</f>
        <v>0.05</v>
      </c>
      <c r="C11" s="36">
        <f>IF(G8*B11&lt;G11,G11,G8*B11)</f>
        <v>8269.0565000000024</v>
      </c>
      <c r="D11" s="37"/>
      <c r="E11" s="37"/>
      <c r="F11" s="38" t="s">
        <v>34</v>
      </c>
      <c r="G11" s="39">
        <f>'REGRAS GERAIS'!B6</f>
        <v>300</v>
      </c>
      <c r="H11" s="26"/>
    </row>
    <row r="12" spans="1:8" x14ac:dyDescent="0.25">
      <c r="A12" s="40" t="s">
        <v>31</v>
      </c>
      <c r="B12" s="41">
        <f>C11*B9</f>
        <v>5892.3500000000022</v>
      </c>
      <c r="C12" s="41">
        <f>C11*C9</f>
        <v>1178.4705000000004</v>
      </c>
      <c r="D12" s="42"/>
      <c r="E12" s="41">
        <f>C11*E9</f>
        <v>1198.2360000000001</v>
      </c>
      <c r="F12" s="41">
        <f>C11*F9</f>
        <v>0</v>
      </c>
      <c r="G12" s="43">
        <f>C11*G9</f>
        <v>8269.0565000000024</v>
      </c>
      <c r="H12" s="31"/>
    </row>
    <row r="13" spans="1:8" x14ac:dyDescent="0.25">
      <c r="A13" s="44"/>
      <c r="B13" s="42"/>
      <c r="C13" s="42"/>
      <c r="D13" s="42"/>
      <c r="E13" s="42"/>
      <c r="F13" s="42"/>
      <c r="G13" s="45"/>
      <c r="H13" s="26"/>
    </row>
    <row r="14" spans="1:8" ht="15.75" x14ac:dyDescent="0.25">
      <c r="A14" s="13" t="s">
        <v>33</v>
      </c>
      <c r="B14" s="19">
        <f>'REGRAS GERAIS'!B5</f>
        <v>5</v>
      </c>
      <c r="C14" s="20">
        <f>C11/B14</f>
        <v>1653.8113000000005</v>
      </c>
      <c r="D14" s="3"/>
      <c r="E14" s="53"/>
      <c r="F14" s="54" t="s">
        <v>34</v>
      </c>
      <c r="G14" s="15">
        <f>G11</f>
        <v>300</v>
      </c>
      <c r="H14" s="26"/>
    </row>
    <row r="15" spans="1:8" x14ac:dyDescent="0.25">
      <c r="A15" s="26"/>
      <c r="B15" s="26"/>
      <c r="C15" s="31"/>
      <c r="D15" s="26"/>
      <c r="E15" s="26"/>
      <c r="F15" s="26"/>
      <c r="G15" s="26"/>
      <c r="H15" s="26"/>
    </row>
    <row r="16" spans="1:8" x14ac:dyDescent="0.25">
      <c r="A16" s="26"/>
      <c r="B16" s="26"/>
      <c r="C16" s="31"/>
      <c r="D16" s="26"/>
      <c r="E16" s="26"/>
      <c r="F16" s="26"/>
      <c r="G16" s="26"/>
      <c r="H16" s="26"/>
    </row>
    <row r="17" spans="1:8" ht="15.75" x14ac:dyDescent="0.25">
      <c r="A17" s="55" t="s">
        <v>36</v>
      </c>
      <c r="B17" s="56">
        <f t="shared" ref="B17:G17" si="0">B8-B12</f>
        <v>111954.65000000002</v>
      </c>
      <c r="C17" s="56">
        <f t="shared" si="0"/>
        <v>22390.939500000004</v>
      </c>
      <c r="D17" s="56">
        <f t="shared" si="0"/>
        <v>0</v>
      </c>
      <c r="E17" s="56">
        <f t="shared" si="0"/>
        <v>22766.484</v>
      </c>
      <c r="F17" s="56">
        <f t="shared" si="0"/>
        <v>0</v>
      </c>
      <c r="G17" s="57">
        <f t="shared" si="0"/>
        <v>157112.07350000003</v>
      </c>
      <c r="H17" s="26"/>
    </row>
    <row r="18" spans="1:8" x14ac:dyDescent="0.25">
      <c r="A18" s="58" t="s">
        <v>37</v>
      </c>
      <c r="B18" s="53"/>
      <c r="C18" s="53"/>
      <c r="D18" s="53"/>
      <c r="E18" s="53"/>
      <c r="F18" s="53"/>
      <c r="G18" s="59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32" t="s">
        <v>32</v>
      </c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ht="15.75" x14ac:dyDescent="0.25">
      <c r="A22" s="33" t="s">
        <v>5</v>
      </c>
      <c r="B22" s="26"/>
      <c r="C22" s="26"/>
      <c r="D22" s="26"/>
      <c r="E22" s="26"/>
      <c r="F22" s="26"/>
      <c r="G22" s="26"/>
      <c r="H22" s="26"/>
    </row>
    <row r="23" spans="1:8" x14ac:dyDescent="0.25">
      <c r="A23" s="60" t="s">
        <v>40</v>
      </c>
      <c r="B23" s="61" t="s">
        <v>3</v>
      </c>
      <c r="C23" s="61" t="s">
        <v>0</v>
      </c>
      <c r="D23" s="37"/>
      <c r="E23" s="61" t="s">
        <v>1</v>
      </c>
      <c r="F23" s="61" t="s">
        <v>35</v>
      </c>
      <c r="G23" s="61" t="s">
        <v>2</v>
      </c>
      <c r="H23" s="16"/>
    </row>
    <row r="24" spans="1:8" x14ac:dyDescent="0.25">
      <c r="A24" s="62" t="str">
        <f>'REGRAS GERAIS'!A10</f>
        <v>à vista:</v>
      </c>
      <c r="B24" s="63" t="s">
        <v>6</v>
      </c>
      <c r="C24" s="64">
        <f>'REGRAS GERAIS'!B10</f>
        <v>0.7</v>
      </c>
      <c r="D24" s="64"/>
      <c r="E24" s="64">
        <f>'REGRAS GERAIS'!C10</f>
        <v>0.9</v>
      </c>
      <c r="F24" s="64">
        <f>'REGRAS GERAIS'!D10</f>
        <v>1</v>
      </c>
      <c r="G24" s="72" t="s">
        <v>38</v>
      </c>
      <c r="H24" s="70">
        <f>100%-((G25+C11)/G8)</f>
        <v>0.21866456741467422</v>
      </c>
    </row>
    <row r="25" spans="1:8" x14ac:dyDescent="0.25">
      <c r="A25" s="58" t="s">
        <v>37</v>
      </c>
      <c r="B25" s="65">
        <f>B17</f>
        <v>111954.65000000002</v>
      </c>
      <c r="C25" s="66">
        <f>C17-(C17*C24)</f>
        <v>6717.281850000003</v>
      </c>
      <c r="D25" s="67">
        <v>0.5</v>
      </c>
      <c r="E25" s="66">
        <f>E17-(E17*E24)</f>
        <v>2276.6483999999982</v>
      </c>
      <c r="F25" s="66">
        <f>F17-(F17*F24)</f>
        <v>0</v>
      </c>
      <c r="G25" s="18">
        <f>SUM(B25:F25)</f>
        <v>120949.08025000003</v>
      </c>
      <c r="H25" s="59"/>
    </row>
    <row r="26" spans="1:8" x14ac:dyDescent="0.25">
      <c r="A26" s="26"/>
      <c r="B26" s="26"/>
      <c r="C26" s="26"/>
      <c r="D26" s="26"/>
      <c r="E26" s="26"/>
      <c r="F26" s="26"/>
      <c r="H26" s="26"/>
    </row>
    <row r="27" spans="1:8" x14ac:dyDescent="0.25">
      <c r="A27" s="60" t="s">
        <v>40</v>
      </c>
      <c r="B27" s="61" t="s">
        <v>3</v>
      </c>
      <c r="C27" s="61" t="s">
        <v>0</v>
      </c>
      <c r="D27" s="37"/>
      <c r="E27" s="61" t="s">
        <v>1</v>
      </c>
      <c r="F27" s="61" t="s">
        <v>35</v>
      </c>
      <c r="G27" s="61" t="s">
        <v>2</v>
      </c>
      <c r="H27" s="71"/>
    </row>
    <row r="28" spans="1:8" x14ac:dyDescent="0.25">
      <c r="A28" s="62" t="str">
        <f>'REGRAS GERAIS'!A11</f>
        <v>até 145 parcelas</v>
      </c>
      <c r="B28" s="63" t="s">
        <v>6</v>
      </c>
      <c r="C28" s="64">
        <f>'REGRAS GERAIS'!B11</f>
        <v>0.5</v>
      </c>
      <c r="D28" s="64"/>
      <c r="E28" s="64">
        <f>'REGRAS GERAIS'!C11</f>
        <v>0.8</v>
      </c>
      <c r="F28" s="64">
        <f>'REGRAS GERAIS'!D11</f>
        <v>1</v>
      </c>
      <c r="G28" s="72" t="s">
        <v>38</v>
      </c>
      <c r="H28" s="70">
        <f>100%-((G29+C11)/G8)</f>
        <v>0.17782051041736135</v>
      </c>
    </row>
    <row r="29" spans="1:8" x14ac:dyDescent="0.25">
      <c r="A29" s="44"/>
      <c r="B29" s="41">
        <f>B17</f>
        <v>111954.65000000002</v>
      </c>
      <c r="C29" s="68">
        <f>C17-(C17*C28)</f>
        <v>11195.469750000002</v>
      </c>
      <c r="D29" s="69">
        <v>0.5</v>
      </c>
      <c r="E29" s="68">
        <f>E17-(E17*E28)</f>
        <v>4553.2968000000001</v>
      </c>
      <c r="F29" s="68">
        <f>F17-(F17*F28)</f>
        <v>0</v>
      </c>
      <c r="G29" s="21">
        <f>SUM(B29:F29)</f>
        <v>127703.91655000002</v>
      </c>
      <c r="H29" s="45"/>
    </row>
    <row r="30" spans="1:8" x14ac:dyDescent="0.25">
      <c r="A30" s="22" t="s">
        <v>41</v>
      </c>
      <c r="B30" s="23">
        <f>ROUNDDOWN(IF(G29/G30&gt;145,145,G29/G30),0)</f>
        <v>145</v>
      </c>
      <c r="C30" s="24">
        <f>G29/B30</f>
        <v>880.71666586206914</v>
      </c>
      <c r="D30" s="17"/>
      <c r="E30" s="3"/>
      <c r="F30" s="14" t="s">
        <v>34</v>
      </c>
      <c r="G30" s="2">
        <f>G11</f>
        <v>300</v>
      </c>
      <c r="H30" s="59"/>
    </row>
    <row r="31" spans="1:8" x14ac:dyDescent="0.25">
      <c r="H31" s="26"/>
    </row>
    <row r="32" spans="1:8" x14ac:dyDescent="0.25">
      <c r="A32" s="60" t="s">
        <v>40</v>
      </c>
      <c r="B32" s="61" t="s">
        <v>3</v>
      </c>
      <c r="C32" s="61" t="s">
        <v>0</v>
      </c>
      <c r="D32" s="37"/>
      <c r="E32" s="61" t="s">
        <v>1</v>
      </c>
      <c r="F32" s="61" t="s">
        <v>35</v>
      </c>
      <c r="G32" s="61" t="s">
        <v>2</v>
      </c>
      <c r="H32" s="71"/>
    </row>
    <row r="33" spans="1:8" x14ac:dyDescent="0.25">
      <c r="A33" s="62" t="str">
        <f>'REGRAS GERAIS'!A12</f>
        <v>até 175 parcelas</v>
      </c>
      <c r="B33" s="63" t="s">
        <v>6</v>
      </c>
      <c r="C33" s="64">
        <f>'REGRAS GERAIS'!B12</f>
        <v>0.25</v>
      </c>
      <c r="D33" s="64"/>
      <c r="E33" s="64">
        <f>'REGRAS GERAIS'!C12</f>
        <v>0.5</v>
      </c>
      <c r="F33" s="64">
        <f>'REGRAS GERAIS'!D12</f>
        <v>1</v>
      </c>
      <c r="G33" s="72" t="s">
        <v>38</v>
      </c>
      <c r="H33" s="70">
        <f>100%-((G34+C11)/G8)</f>
        <v>0.10267481468411777</v>
      </c>
    </row>
    <row r="34" spans="1:8" x14ac:dyDescent="0.25">
      <c r="A34" s="44"/>
      <c r="B34" s="41">
        <f>B17</f>
        <v>111954.65000000002</v>
      </c>
      <c r="C34" s="68">
        <f>C17-(C17*C33)</f>
        <v>16793.204625000002</v>
      </c>
      <c r="D34" s="69">
        <v>0.5</v>
      </c>
      <c r="E34" s="68">
        <f>E17-(E17*E33)</f>
        <v>11383.242</v>
      </c>
      <c r="F34" s="68">
        <f>F17-(F17*F33)</f>
        <v>0</v>
      </c>
      <c r="G34" s="21">
        <f>SUM(B34:F34)</f>
        <v>140131.59662500003</v>
      </c>
      <c r="H34" s="45"/>
    </row>
    <row r="35" spans="1:8" x14ac:dyDescent="0.25">
      <c r="A35" s="22" t="s">
        <v>41</v>
      </c>
      <c r="B35" s="23">
        <f>ROUNDDOWN(IF(G34/G35&gt;175,175,G34/G35),0)</f>
        <v>175</v>
      </c>
      <c r="C35" s="24">
        <f>G34/B35</f>
        <v>800.75198071428588</v>
      </c>
      <c r="D35" s="17"/>
      <c r="E35" s="3"/>
      <c r="F35" s="14" t="s">
        <v>34</v>
      </c>
      <c r="G35" s="2">
        <f>G11</f>
        <v>300</v>
      </c>
      <c r="H35" s="59"/>
    </row>
    <row r="37" spans="1:8" ht="15.75" x14ac:dyDescent="0.25">
      <c r="A37" s="77"/>
    </row>
  </sheetData>
  <sheetProtection algorithmName="SHA-512" hashValue="/8wumVNiiTjJT2UlbP9j1a+RxRDu/DRgHCyxYT9cKkAtw74T/yAKqqKRlRgkm6yLDlHYx8lRWHEdMc+aI3vtpQ==" saltValue="I4G/E8ZUV9uc4/LOPZaQpQ==" spinCount="100000" sheet="1" objects="1" scenarios="1" selectLockedCells="1"/>
  <pageMargins left="0.19685039370078741" right="0.19685039370078741" top="0.19685039370078741" bottom="0.19685039370078741" header="0.31496062992125984" footer="0.31496062992125984"/>
  <pageSetup paperSize="9" orientation="landscape" r:id="rId1"/>
  <headerFooter>
    <oddFooter>&amp;Cdesenvolvido por eNeBê Contabilidade - www.enebe.com.br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REGRAS GERAIS</vt:lpstr>
      <vt:lpstr>DEBITOS rfb</vt:lpstr>
      <vt:lpstr>resumo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Diogo</cp:lastModifiedBy>
  <cp:lastPrinted>2018-04-24T20:57:07Z</cp:lastPrinted>
  <dcterms:created xsi:type="dcterms:W3CDTF">2017-06-30T17:08:15Z</dcterms:created>
  <dcterms:modified xsi:type="dcterms:W3CDTF">2018-05-24T23:07:47Z</dcterms:modified>
</cp:coreProperties>
</file>