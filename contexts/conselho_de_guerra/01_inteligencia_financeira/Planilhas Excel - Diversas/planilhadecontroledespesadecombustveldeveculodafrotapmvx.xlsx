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_de_trabalho" defaultThemeVersion="123820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898\AC\Temp\"/>
    </mc:Choice>
  </mc:AlternateContent>
  <xr:revisionPtr revIDLastSave="0" documentId="8_{2B897DB7-AD6A-D44D-87D2-153C377AF23F}" xr6:coauthVersionLast="36" xr6:coauthVersionMax="36" xr10:uidLastSave="{00000000-0000-0000-0000-000000000000}"/>
  <bookViews>
    <workbookView xWindow="480" yWindow="15" windowWidth="11355" windowHeight="8955" xr2:uid="{00000000-000D-0000-FFFF-FFFF00000000}"/>
  </bookViews>
  <sheets>
    <sheet name="Consumo de Combustível" sheetId="1" r:id="rId1"/>
  </sheets>
  <calcPr calcId="179020"/>
</workbook>
</file>

<file path=xl/calcChain.xml><?xml version="1.0" encoding="utf-8"?>
<calcChain xmlns="http://schemas.openxmlformats.org/spreadsheetml/2006/main">
  <c r="G14" i="1" l="1"/>
  <c r="K14" i="1"/>
  <c r="G15" i="1"/>
  <c r="K15" i="1"/>
  <c r="G16" i="1"/>
  <c r="K16" i="1"/>
  <c r="G17" i="1"/>
  <c r="K17" i="1"/>
  <c r="G18" i="1"/>
  <c r="K18" i="1"/>
  <c r="G19" i="1"/>
  <c r="K19" i="1"/>
  <c r="G20" i="1"/>
  <c r="K20" i="1"/>
  <c r="G21" i="1"/>
  <c r="K21" i="1"/>
  <c r="G22" i="1"/>
  <c r="K22" i="1"/>
  <c r="G23" i="1"/>
  <c r="K23" i="1"/>
  <c r="G24" i="1"/>
  <c r="K24" i="1"/>
  <c r="G25" i="1"/>
  <c r="K25" i="1"/>
  <c r="K26" i="1"/>
  <c r="G27" i="1"/>
  <c r="K27" i="1"/>
  <c r="G28" i="1"/>
  <c r="K28" i="1"/>
  <c r="G29" i="1"/>
  <c r="K29" i="1"/>
  <c r="G30" i="1"/>
  <c r="K30" i="1"/>
  <c r="G31" i="1"/>
  <c r="K31" i="1"/>
  <c r="G32" i="1"/>
  <c r="K32" i="1"/>
  <c r="G33" i="1"/>
  <c r="K33" i="1"/>
  <c r="G34" i="1"/>
  <c r="K34" i="1"/>
  <c r="G35" i="1"/>
  <c r="K35" i="1"/>
  <c r="G36" i="1"/>
  <c r="K36" i="1"/>
  <c r="K37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C10" i="1"/>
  <c r="J37" i="1"/>
  <c r="G37" i="1"/>
  <c r="E10" i="1"/>
  <c r="D10" i="1"/>
  <c r="B6" i="1"/>
</calcChain>
</file>

<file path=xl/sharedStrings.xml><?xml version="1.0" encoding="utf-8"?>
<sst xmlns="http://schemas.openxmlformats.org/spreadsheetml/2006/main" count="39" uniqueCount="33">
  <si>
    <t>Data</t>
  </si>
  <si>
    <t>Valor por Litro</t>
  </si>
  <si>
    <t>Qtde de Litros</t>
  </si>
  <si>
    <t>Total</t>
  </si>
  <si>
    <t>Tipo do
Combustível</t>
  </si>
  <si>
    <t>KM Inicial</t>
  </si>
  <si>
    <t>KM Final</t>
  </si>
  <si>
    <t>Diferença de KM</t>
  </si>
  <si>
    <t>KM/Litros</t>
  </si>
  <si>
    <t>Gasolina</t>
  </si>
  <si>
    <t>MÊS</t>
  </si>
  <si>
    <t>VALOR TOTAL</t>
  </si>
  <si>
    <t>SER-1019</t>
  </si>
  <si>
    <t>Álcool</t>
  </si>
  <si>
    <t>SECRETARIA</t>
  </si>
  <si>
    <t>FORNECEDOR</t>
  </si>
  <si>
    <t>FAZENDA</t>
  </si>
  <si>
    <t>JANEIRO/2010</t>
  </si>
  <si>
    <t>CONSOLIDAÇÃO DE DADOS</t>
  </si>
  <si>
    <t>PLACA</t>
  </si>
  <si>
    <t>GOL /033</t>
  </si>
  <si>
    <t>HORA</t>
  </si>
  <si>
    <t>VEÍCULO /Nº FROTA</t>
  </si>
  <si>
    <t>CAV</t>
  </si>
  <si>
    <t>MOTORISTA</t>
  </si>
  <si>
    <t>GAZZOLA</t>
  </si>
  <si>
    <t>JOÃO</t>
  </si>
  <si>
    <t>TOTAIS</t>
  </si>
  <si>
    <t>R$ TOTAL</t>
  </si>
  <si>
    <t>QT. LITROS</t>
  </si>
  <si>
    <t>TOTAL KM'S</t>
  </si>
  <si>
    <t>CÓDIGO CUPOM</t>
  </si>
  <si>
    <t>PLANILHA DE CONTROLE DE CONSUMO E GASTOS COM COMBUSTÍVEL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</si>
</sst>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[$-F400]h:mm:ss\ AM/PM"/>
  </numFmts>
  <fonts count="25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sz val="14"/>
      <name val="Tahoma"/>
      <family val="2"/>
    </font>
    <font>
      <sz val="8"/>
      <name val="Arial"/>
    </font>
    <font>
      <b/>
      <sz val="10"/>
      <name val="Tahoma"/>
      <family val="2"/>
    </font>
    <font>
      <b/>
      <i/>
      <sz val="10"/>
      <name val="Tahoma"/>
      <family val="2"/>
    </font>
    <font>
      <sz val="10"/>
      <name val="Arial"/>
    </font>
    <font>
      <b/>
      <sz val="12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26" applyNumberFormat="0" applyAlignment="0" applyProtection="0"/>
    <xf numFmtId="0" fontId="13" fillId="28" borderId="27" applyNumberFormat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5" fillId="32" borderId="0" applyNumberFormat="0" applyBorder="0" applyAlignment="0" applyProtection="0"/>
    <xf numFmtId="0" fontId="16" fillId="0" borderId="28" applyNumberFormat="0" applyFill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8" fillId="0" borderId="0" applyNumberFormat="0" applyFill="0" applyBorder="0" applyAlignment="0" applyProtection="0"/>
    <xf numFmtId="0" fontId="19" fillId="33" borderId="26" applyNumberFormat="0" applyAlignment="0" applyProtection="0"/>
    <xf numFmtId="0" fontId="20" fillId="0" borderId="31" applyNumberFormat="0" applyFill="0" applyAlignment="0" applyProtection="0"/>
    <xf numFmtId="165" fontId="1" fillId="0" borderId="0" applyFont="0" applyFill="0" applyBorder="0" applyAlignment="0" applyProtection="0"/>
    <xf numFmtId="0" fontId="21" fillId="34" borderId="0" applyNumberFormat="0" applyBorder="0" applyAlignment="0" applyProtection="0"/>
    <xf numFmtId="0" fontId="7" fillId="35" borderId="32" applyNumberFormat="0" applyFont="0" applyAlignment="0" applyProtection="0"/>
    <xf numFmtId="0" fontId="22" fillId="27" borderId="33" applyNumberFormat="0" applyAlignment="0" applyProtection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34" applyNumberFormat="0" applyFill="0" applyAlignment="0" applyProtection="0"/>
    <xf numFmtId="0" fontId="24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5" fontId="2" fillId="0" borderId="2" xfId="42" applyNumberFormat="1" applyFont="1" applyBorder="1" applyAlignment="1">
      <alignment horizontal="center"/>
    </xf>
    <xf numFmtId="164" fontId="2" fillId="0" borderId="2" xfId="42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5" fontId="2" fillId="0" borderId="4" xfId="42" applyNumberFormat="1" applyFont="1" applyBorder="1" applyAlignment="1">
      <alignment horizontal="center"/>
    </xf>
    <xf numFmtId="164" fontId="2" fillId="0" borderId="4" xfId="42" applyFont="1" applyBorder="1" applyAlignment="1">
      <alignment horizontal="center"/>
    </xf>
    <xf numFmtId="164" fontId="2" fillId="0" borderId="5" xfId="42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65" fontId="2" fillId="0" borderId="7" xfId="42" applyNumberFormat="1" applyFont="1" applyBorder="1" applyAlignment="1">
      <alignment horizontal="center"/>
    </xf>
    <xf numFmtId="164" fontId="2" fillId="0" borderId="7" xfId="42" applyFont="1" applyBorder="1" applyAlignment="1">
      <alignment horizontal="center"/>
    </xf>
    <xf numFmtId="164" fontId="2" fillId="0" borderId="4" xfId="42" applyFont="1" applyBorder="1" applyAlignment="1"/>
    <xf numFmtId="165" fontId="5" fillId="0" borderId="0" xfId="38" applyFont="1" applyBorder="1" applyAlignment="1"/>
    <xf numFmtId="0" fontId="5" fillId="0" borderId="8" xfId="0" applyFont="1" applyBorder="1" applyAlignment="1">
      <alignment horizontal="center"/>
    </xf>
    <xf numFmtId="164" fontId="5" fillId="0" borderId="8" xfId="42" applyFont="1" applyBorder="1" applyAlignment="1">
      <alignment horizontal="center"/>
    </xf>
    <xf numFmtId="164" fontId="5" fillId="0" borderId="9" xfId="42" applyFont="1" applyBorder="1" applyAlignment="1">
      <alignment horizontal="center"/>
    </xf>
    <xf numFmtId="0" fontId="5" fillId="36" borderId="10" xfId="0" applyFont="1" applyFill="1" applyBorder="1" applyAlignment="1">
      <alignment horizontal="center" vertical="center" wrapText="1"/>
    </xf>
    <xf numFmtId="0" fontId="5" fillId="36" borderId="11" xfId="0" applyFont="1" applyFill="1" applyBorder="1" applyAlignment="1">
      <alignment horizontal="center" vertical="center"/>
    </xf>
    <xf numFmtId="0" fontId="5" fillId="36" borderId="10" xfId="0" applyFont="1" applyFill="1" applyBorder="1" applyAlignment="1">
      <alignment horizontal="center" vertical="center"/>
    </xf>
    <xf numFmtId="0" fontId="5" fillId="36" borderId="12" xfId="0" applyFont="1" applyFill="1" applyBorder="1" applyAlignment="1">
      <alignment horizontal="center" vertical="center"/>
    </xf>
    <xf numFmtId="0" fontId="5" fillId="36" borderId="12" xfId="0" applyFont="1" applyFill="1" applyBorder="1" applyAlignment="1">
      <alignment horizontal="center" vertical="center" wrapText="1"/>
    </xf>
    <xf numFmtId="165" fontId="5" fillId="36" borderId="13" xfId="42" applyNumberFormat="1" applyFont="1" applyFill="1" applyBorder="1"/>
    <xf numFmtId="165" fontId="5" fillId="36" borderId="14" xfId="42" applyNumberFormat="1" applyFont="1" applyFill="1" applyBorder="1"/>
    <xf numFmtId="165" fontId="5" fillId="36" borderId="15" xfId="42" applyNumberFormat="1" applyFont="1" applyFill="1" applyBorder="1"/>
    <xf numFmtId="0" fontId="5" fillId="0" borderId="0" xfId="0" applyFont="1" applyBorder="1" applyAlignment="1">
      <alignment horizontal="center"/>
    </xf>
    <xf numFmtId="164" fontId="5" fillId="0" borderId="0" xfId="42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2" fillId="0" borderId="10" xfId="0" applyFont="1" applyBorder="1"/>
    <xf numFmtId="165" fontId="5" fillId="0" borderId="10" xfId="38" applyFont="1" applyBorder="1" applyAlignment="1">
      <alignment horizontal="center"/>
    </xf>
    <xf numFmtId="0" fontId="8" fillId="36" borderId="17" xfId="0" applyFont="1" applyFill="1" applyBorder="1" applyAlignment="1"/>
    <xf numFmtId="164" fontId="2" fillId="0" borderId="18" xfId="42" applyFont="1" applyBorder="1" applyAlignment="1">
      <alignment horizontal="center"/>
    </xf>
    <xf numFmtId="165" fontId="8" fillId="36" borderId="10" xfId="0" applyNumberFormat="1" applyFont="1" applyFill="1" applyBorder="1"/>
    <xf numFmtId="3" fontId="8" fillId="36" borderId="10" xfId="0" applyNumberFormat="1" applyFont="1" applyFill="1" applyBorder="1" applyAlignment="1"/>
    <xf numFmtId="164" fontId="8" fillId="36" borderId="10" xfId="0" applyNumberFormat="1" applyFont="1" applyFill="1" applyBorder="1" applyAlignment="1"/>
    <xf numFmtId="0" fontId="5" fillId="37" borderId="10" xfId="0" applyFont="1" applyFill="1" applyBorder="1" applyAlignment="1">
      <alignment horizontal="center" vertical="center" wrapText="1"/>
    </xf>
    <xf numFmtId="0" fontId="5" fillId="37" borderId="1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164" fontId="8" fillId="36" borderId="16" xfId="0" applyNumberFormat="1" applyFont="1" applyFill="1" applyBorder="1" applyAlignment="1"/>
    <xf numFmtId="0" fontId="2" fillId="0" borderId="21" xfId="0" applyFont="1" applyBorder="1"/>
    <xf numFmtId="0" fontId="2" fillId="0" borderId="22" xfId="0" applyFont="1" applyBorder="1"/>
    <xf numFmtId="0" fontId="6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164" fontId="2" fillId="0" borderId="24" xfId="42" applyFont="1" applyBorder="1"/>
    <xf numFmtId="0" fontId="2" fillId="0" borderId="25" xfId="0" applyFont="1" applyBorder="1"/>
    <xf numFmtId="0" fontId="3" fillId="36" borderId="16" xfId="0" applyFont="1" applyFill="1" applyBorder="1" applyAlignment="1">
      <alignment horizontal="center"/>
    </xf>
    <xf numFmtId="0" fontId="3" fillId="36" borderId="17" xfId="0" applyFont="1" applyFill="1" applyBorder="1" applyAlignment="1">
      <alignment horizontal="center"/>
    </xf>
    <xf numFmtId="0" fontId="3" fillId="36" borderId="19" xfId="0" applyFont="1" applyFill="1" applyBorder="1" applyAlignment="1">
      <alignment horizontal="center"/>
    </xf>
    <xf numFmtId="0" fontId="8" fillId="36" borderId="16" xfId="0" applyFont="1" applyFill="1" applyBorder="1" applyAlignment="1">
      <alignment horizontal="center"/>
    </xf>
    <xf numFmtId="0" fontId="8" fillId="36" borderId="17" xfId="0" applyFont="1" applyFill="1" applyBorder="1" applyAlignment="1">
      <alignment horizontal="center"/>
    </xf>
    <xf numFmtId="0" fontId="8" fillId="36" borderId="19" xfId="0" applyFont="1" applyFill="1" applyBorder="1" applyAlignment="1">
      <alignment horizontal="center"/>
    </xf>
    <xf numFmtId="0" fontId="5" fillId="37" borderId="16" xfId="0" applyFont="1" applyFill="1" applyBorder="1" applyAlignment="1">
      <alignment horizontal="center"/>
    </xf>
    <xf numFmtId="0" fontId="5" fillId="37" borderId="19" xfId="0" applyFont="1" applyFill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37" borderId="17" xfId="0" applyFont="1" applyFill="1" applyBorder="1" applyAlignment="1">
      <alignment horizontal="center"/>
    </xf>
  </cellXfs>
  <cellStyles count="46">
    <cellStyle name="Accent1" xfId="1" xr:uid="{00000000-0005-0000-0000-000000000000}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xr:uid="{00000000-0005-0000-0000-000004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xr:uid="{00000000-0005-0000-0000-000008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xr:uid="{00000000-0005-0000-0000-00000C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xr:uid="{00000000-0005-0000-0000-000010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xr:uid="{00000000-0005-0000-0000-000014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mphasis 1" xfId="28" xr:uid="{00000000-0005-0000-0000-00001D000000}"/>
    <cellStyle name="Emphasis 2" xfId="29" xr:uid="{00000000-0005-0000-0000-00001E000000}"/>
    <cellStyle name="Emphasis 3" xfId="30" xr:uid="{00000000-0005-0000-0000-00001F000000}"/>
    <cellStyle name="Good" xfId="31" xr:uid="{00000000-0005-0000-0000-000020000000}"/>
    <cellStyle name="Heading 1" xfId="32" xr:uid="{00000000-0005-0000-0000-000021000000}"/>
    <cellStyle name="Heading 2" xfId="33" xr:uid="{00000000-0005-0000-0000-000022000000}"/>
    <cellStyle name="Heading 3" xfId="34" xr:uid="{00000000-0005-0000-0000-000023000000}"/>
    <cellStyle name="Heading 4" xfId="35" xr:uid="{00000000-0005-0000-0000-000024000000}"/>
    <cellStyle name="Input" xfId="36" xr:uid="{00000000-0005-0000-0000-000025000000}"/>
    <cellStyle name="Linked Cell" xfId="37" xr:uid="{00000000-0005-0000-0000-000026000000}"/>
    <cellStyle name="Moeda" xfId="38" builtinId="4"/>
    <cellStyle name="Neutral" xfId="39" xr:uid="{00000000-0005-0000-0000-000027000000}"/>
    <cellStyle name="Normal" xfId="0" builtinId="0"/>
    <cellStyle name="Note" xfId="40" xr:uid="{00000000-0005-0000-0000-000029000000}"/>
    <cellStyle name="Output" xfId="41" xr:uid="{00000000-0005-0000-0000-00002A000000}"/>
    <cellStyle name="Sheet Title" xfId="43" xr:uid="{00000000-0005-0000-0000-00002B000000}"/>
    <cellStyle name="Total" xfId="44" builtinId="25" customBuiltin="1"/>
    <cellStyle name="Vírgula" xfId="42" builtinId="3"/>
    <cellStyle name="Warning Text" xfId="45" xr:uid="{00000000-0005-0000-0000-00002D000000}"/>
  </cellStyles>
  <dxfs count="2">
    <dxf>
      <font>
        <b/>
        <i val="0"/>
        <condense val="0"/>
        <extend val="0"/>
        <color indexed="10"/>
      </font>
      <fill>
        <patternFill patternType="solid">
          <fgColor indexed="64"/>
          <bgColor indexed="41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64"/>
          <bgColor indexed="4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L37"/>
  <sheetViews>
    <sheetView showGridLines="0" tabSelected="1" zoomScale="80" zoomScaleNormal="80" workbookViewId="0" xr3:uid="{AEA406A1-0E4B-5B11-9CD5-51D6E497D94C}">
      <selection sqref="A1:L1"/>
    </sheetView>
  </sheetViews>
  <sheetFormatPr defaultColWidth="9.16796875" defaultRowHeight="12.75" x14ac:dyDescent="0.15"/>
  <cols>
    <col min="1" max="1" width="13.6171875" style="1" customWidth="1"/>
    <col min="2" max="2" width="18.7421875" style="1" customWidth="1"/>
    <col min="3" max="3" width="14.42578125" style="1" customWidth="1"/>
    <col min="4" max="4" width="16.71875" style="1" customWidth="1"/>
    <col min="5" max="5" width="8.62890625" style="1" customWidth="1"/>
    <col min="6" max="6" width="7.55078125" style="1" bestFit="1" customWidth="1"/>
    <col min="7" max="7" width="11.32421875" style="1" customWidth="1"/>
    <col min="8" max="8" width="14.42578125" style="1" customWidth="1"/>
    <col min="9" max="9" width="11.73046875" style="1" customWidth="1"/>
    <col min="10" max="10" width="13.75390625" style="1" customWidth="1"/>
    <col min="11" max="11" width="11.8671875" style="1" customWidth="1"/>
    <col min="12" max="12" width="14.83203125" style="1" customWidth="1"/>
    <col min="13" max="16384" width="9.16796875" style="1"/>
  </cols>
  <sheetData>
    <row r="1" spans="1:12" ht="18.75" thickBot="1" x14ac:dyDescent="0.2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</row>
    <row r="2" spans="1:12" ht="13.5" thickBot="1" x14ac:dyDescent="0.2">
      <c r="A2" s="50"/>
      <c r="B2" s="2"/>
      <c r="C2" s="2"/>
      <c r="D2" s="2"/>
      <c r="E2" s="2"/>
      <c r="F2" s="2"/>
      <c r="G2" s="2"/>
      <c r="H2" s="2"/>
      <c r="I2" s="2"/>
      <c r="J2" s="2"/>
      <c r="K2" s="2"/>
      <c r="L2" s="51"/>
    </row>
    <row r="3" spans="1:12" ht="13.5" thickBot="1" x14ac:dyDescent="0.2">
      <c r="A3" s="39" t="s">
        <v>14</v>
      </c>
      <c r="B3" s="37" t="s">
        <v>16</v>
      </c>
      <c r="C3" s="2"/>
      <c r="D3" s="2"/>
      <c r="E3" s="2"/>
      <c r="F3" s="2"/>
      <c r="G3" s="2"/>
      <c r="H3" s="2"/>
      <c r="I3" s="2"/>
      <c r="J3" s="2"/>
      <c r="K3" s="2"/>
      <c r="L3" s="51"/>
    </row>
    <row r="4" spans="1:12" ht="13.5" thickBot="1" x14ac:dyDescent="0.2">
      <c r="A4" s="39" t="s">
        <v>10</v>
      </c>
      <c r="B4" s="38" t="s">
        <v>17</v>
      </c>
      <c r="C4" s="2"/>
      <c r="D4" s="2"/>
      <c r="E4" s="2"/>
      <c r="F4" s="2"/>
      <c r="G4" s="2"/>
      <c r="H4" s="2"/>
      <c r="I4" s="2"/>
      <c r="J4" s="2"/>
      <c r="K4" s="2"/>
      <c r="L4" s="51"/>
    </row>
    <row r="5" spans="1:12" ht="13.5" thickBot="1" x14ac:dyDescent="0.2">
      <c r="A5" s="39" t="s">
        <v>15</v>
      </c>
      <c r="B5" s="37" t="s">
        <v>23</v>
      </c>
      <c r="C5" s="2"/>
      <c r="D5" s="2"/>
      <c r="E5" s="2"/>
      <c r="F5" s="2"/>
      <c r="G5" s="2"/>
      <c r="H5" s="2"/>
      <c r="I5" s="2"/>
      <c r="J5" s="2"/>
      <c r="K5" s="2"/>
      <c r="L5" s="51"/>
    </row>
    <row r="6" spans="1:12" ht="13.5" thickBot="1" x14ac:dyDescent="0.2">
      <c r="A6" s="39" t="s">
        <v>11</v>
      </c>
      <c r="B6" s="40">
        <f>L37</f>
        <v>244.81879999999998</v>
      </c>
      <c r="C6" s="2"/>
      <c r="D6" s="2"/>
      <c r="E6" s="2"/>
      <c r="F6" s="2"/>
      <c r="G6" s="2"/>
      <c r="H6" s="2"/>
      <c r="I6" s="2"/>
      <c r="J6" s="2"/>
      <c r="K6" s="2"/>
      <c r="L6" s="51"/>
    </row>
    <row r="7" spans="1:12" ht="13.5" thickBot="1" x14ac:dyDescent="0.2">
      <c r="A7" s="52"/>
      <c r="B7" s="20"/>
      <c r="C7" s="2"/>
      <c r="D7" s="2"/>
      <c r="E7" s="2"/>
      <c r="F7" s="2"/>
      <c r="G7" s="2"/>
      <c r="H7" s="2"/>
      <c r="I7" s="2"/>
      <c r="J7" s="2"/>
      <c r="K7" s="2"/>
      <c r="L7" s="51"/>
    </row>
    <row r="8" spans="1:12" ht="21.75" customHeight="1" thickBot="1" x14ac:dyDescent="0.2">
      <c r="A8" s="64" t="s">
        <v>18</v>
      </c>
      <c r="B8" s="68"/>
      <c r="C8" s="68"/>
      <c r="D8" s="68"/>
      <c r="E8" s="68"/>
      <c r="F8" s="65"/>
      <c r="G8" s="2"/>
      <c r="H8" s="2"/>
      <c r="I8" s="2"/>
      <c r="J8" s="2"/>
      <c r="K8" s="2"/>
      <c r="L8" s="51"/>
    </row>
    <row r="9" spans="1:12" ht="25.5" thickBot="1" x14ac:dyDescent="0.2">
      <c r="A9" s="46" t="s">
        <v>19</v>
      </c>
      <c r="B9" s="46" t="s">
        <v>22</v>
      </c>
      <c r="C9" s="46" t="s">
        <v>28</v>
      </c>
      <c r="D9" s="47" t="s">
        <v>29</v>
      </c>
      <c r="E9" s="64" t="s">
        <v>30</v>
      </c>
      <c r="F9" s="65"/>
      <c r="G9" s="2"/>
      <c r="H9" s="2"/>
      <c r="I9" s="2"/>
      <c r="J9" s="2"/>
      <c r="K9" s="2"/>
      <c r="L9" s="51"/>
    </row>
    <row r="10" spans="1:12" ht="21.75" customHeight="1" thickBot="1" x14ac:dyDescent="0.2">
      <c r="A10" s="48" t="s">
        <v>12</v>
      </c>
      <c r="B10" s="21" t="s">
        <v>20</v>
      </c>
      <c r="C10" s="22">
        <f>L37</f>
        <v>244.81879999999998</v>
      </c>
      <c r="D10" s="23">
        <f>K37</f>
        <v>54.893470422302883</v>
      </c>
      <c r="E10" s="66">
        <f>G37</f>
        <v>1253</v>
      </c>
      <c r="F10" s="67"/>
      <c r="G10" s="2"/>
      <c r="H10" s="2"/>
      <c r="I10" s="2"/>
      <c r="J10" s="2"/>
      <c r="K10" s="2"/>
      <c r="L10" s="51"/>
    </row>
    <row r="11" spans="1:12" x14ac:dyDescent="0.15">
      <c r="A11" s="53"/>
      <c r="B11" s="32"/>
      <c r="C11" s="33"/>
      <c r="D11" s="33"/>
      <c r="E11" s="2"/>
      <c r="F11" s="2"/>
      <c r="G11" s="2"/>
      <c r="H11" s="2"/>
      <c r="I11" s="2"/>
      <c r="J11" s="2"/>
      <c r="K11" s="2"/>
      <c r="L11" s="51"/>
    </row>
    <row r="12" spans="1:12" ht="13.5" thickBot="1" x14ac:dyDescent="0.2">
      <c r="A12" s="54"/>
      <c r="B12" s="55"/>
      <c r="C12" s="56"/>
      <c r="D12" s="55"/>
      <c r="E12" s="55"/>
      <c r="F12" s="55"/>
      <c r="G12" s="55"/>
      <c r="H12" s="55"/>
      <c r="I12" s="55"/>
      <c r="J12" s="55"/>
      <c r="K12" s="55"/>
      <c r="L12" s="57"/>
    </row>
    <row r="13" spans="1:12" ht="25.5" thickBot="1" x14ac:dyDescent="0.2">
      <c r="A13" s="25" t="s">
        <v>0</v>
      </c>
      <c r="B13" s="26" t="s">
        <v>21</v>
      </c>
      <c r="C13" s="26" t="s">
        <v>24</v>
      </c>
      <c r="D13" s="27" t="s">
        <v>31</v>
      </c>
      <c r="E13" s="24" t="s">
        <v>5</v>
      </c>
      <c r="F13" s="28" t="s">
        <v>6</v>
      </c>
      <c r="G13" s="24" t="s">
        <v>7</v>
      </c>
      <c r="H13" s="28" t="s">
        <v>4</v>
      </c>
      <c r="I13" s="24" t="s">
        <v>1</v>
      </c>
      <c r="J13" s="28" t="s">
        <v>2</v>
      </c>
      <c r="K13" s="24" t="s">
        <v>8</v>
      </c>
      <c r="L13" s="26" t="s">
        <v>3</v>
      </c>
    </row>
    <row r="14" spans="1:12" x14ac:dyDescent="0.15">
      <c r="A14" s="3">
        <v>41640</v>
      </c>
      <c r="B14" s="34">
        <v>0.55208333333333337</v>
      </c>
      <c r="C14" s="4" t="s">
        <v>25</v>
      </c>
      <c r="D14" s="4">
        <v>207908</v>
      </c>
      <c r="E14" s="5">
        <v>30072</v>
      </c>
      <c r="F14" s="5">
        <v>30237</v>
      </c>
      <c r="G14" s="10">
        <f t="shared" ref="G14:G36" si="0">IF(AND(E14="",F14=""),"",F14-E14)</f>
        <v>165</v>
      </c>
      <c r="H14" s="4" t="s">
        <v>13</v>
      </c>
      <c r="I14" s="6">
        <v>1.99</v>
      </c>
      <c r="J14" s="7">
        <v>16</v>
      </c>
      <c r="K14" s="13">
        <f t="shared" ref="K14:K36" si="1">IF(OR(J14="",G14=""),"",G14/J14)</f>
        <v>10.3125</v>
      </c>
      <c r="L14" s="29">
        <f>I14*J14</f>
        <v>31.84</v>
      </c>
    </row>
    <row r="15" spans="1:12" x14ac:dyDescent="0.15">
      <c r="A15" s="8">
        <v>40181</v>
      </c>
      <c r="B15" s="35">
        <v>0.73263888888888884</v>
      </c>
      <c r="C15" s="9" t="s">
        <v>25</v>
      </c>
      <c r="D15" s="9">
        <v>221564</v>
      </c>
      <c r="E15" s="10">
        <v>30237</v>
      </c>
      <c r="F15" s="10">
        <v>30459</v>
      </c>
      <c r="G15" s="10">
        <f t="shared" si="0"/>
        <v>222</v>
      </c>
      <c r="H15" s="9" t="s">
        <v>13</v>
      </c>
      <c r="I15" s="11">
        <v>1.99</v>
      </c>
      <c r="J15" s="19">
        <v>22.46</v>
      </c>
      <c r="K15" s="13">
        <f t="shared" si="1"/>
        <v>9.8842386464826362</v>
      </c>
      <c r="L15" s="30">
        <f>I15*J15</f>
        <v>44.695399999999999</v>
      </c>
    </row>
    <row r="16" spans="1:12" x14ac:dyDescent="0.15">
      <c r="A16" s="8">
        <v>40191</v>
      </c>
      <c r="B16" s="35">
        <v>0.53333333333333333</v>
      </c>
      <c r="C16" s="9" t="s">
        <v>25</v>
      </c>
      <c r="D16" s="9">
        <v>222744</v>
      </c>
      <c r="E16" s="10">
        <v>30459</v>
      </c>
      <c r="F16" s="10">
        <v>30738</v>
      </c>
      <c r="G16" s="10">
        <f>IF(AND(E16="",F16=""),"",F16-E16)</f>
        <v>279</v>
      </c>
      <c r="H16" s="9" t="s">
        <v>13</v>
      </c>
      <c r="I16" s="11">
        <v>1.99</v>
      </c>
      <c r="J16" s="19">
        <v>26</v>
      </c>
      <c r="K16" s="13">
        <f>IF(OR(J16="",G16=""),"",G16/J16)</f>
        <v>10.73076923076923</v>
      </c>
      <c r="L16" s="30">
        <f t="shared" ref="L16:L36" si="2">I16*J16</f>
        <v>51.74</v>
      </c>
    </row>
    <row r="17" spans="1:12" x14ac:dyDescent="0.15">
      <c r="A17" s="8">
        <v>41667</v>
      </c>
      <c r="B17" s="35">
        <v>0.39027777777777778</v>
      </c>
      <c r="C17" s="9" t="s">
        <v>26</v>
      </c>
      <c r="D17" s="9">
        <v>222948</v>
      </c>
      <c r="E17" s="10">
        <v>30738</v>
      </c>
      <c r="F17" s="10">
        <v>31019</v>
      </c>
      <c r="G17" s="10">
        <f t="shared" si="0"/>
        <v>281</v>
      </c>
      <c r="H17" s="9" t="s">
        <v>13</v>
      </c>
      <c r="I17" s="11">
        <v>1.99</v>
      </c>
      <c r="J17" s="12">
        <v>27.3</v>
      </c>
      <c r="K17" s="13">
        <f t="shared" si="1"/>
        <v>10.293040293040292</v>
      </c>
      <c r="L17" s="30">
        <f t="shared" si="2"/>
        <v>54.326999999999998</v>
      </c>
    </row>
    <row r="18" spans="1:12" x14ac:dyDescent="0.15">
      <c r="A18" s="8">
        <v>41669</v>
      </c>
      <c r="B18" s="35">
        <v>0.60763888888888895</v>
      </c>
      <c r="C18" s="9" t="s">
        <v>26</v>
      </c>
      <c r="D18" s="9">
        <v>223133</v>
      </c>
      <c r="E18" s="10">
        <v>31019</v>
      </c>
      <c r="F18" s="10">
        <v>31325</v>
      </c>
      <c r="G18" s="10">
        <f t="shared" si="0"/>
        <v>306</v>
      </c>
      <c r="H18" s="9" t="s">
        <v>9</v>
      </c>
      <c r="I18" s="11">
        <v>2.78</v>
      </c>
      <c r="J18" s="12">
        <v>22.38</v>
      </c>
      <c r="K18" s="13">
        <f t="shared" si="1"/>
        <v>13.672922252010725</v>
      </c>
      <c r="L18" s="30">
        <f t="shared" si="2"/>
        <v>62.216399999999993</v>
      </c>
    </row>
    <row r="19" spans="1:12" x14ac:dyDescent="0.15">
      <c r="A19" s="8"/>
      <c r="B19" s="35"/>
      <c r="C19" s="9"/>
      <c r="D19" s="9"/>
      <c r="E19" s="10"/>
      <c r="F19" s="10"/>
      <c r="G19" s="10" t="str">
        <f t="shared" si="0"/>
        <v/>
      </c>
      <c r="H19" s="9"/>
      <c r="I19" s="11"/>
      <c r="J19" s="12"/>
      <c r="K19" s="13" t="str">
        <f t="shared" si="1"/>
        <v/>
      </c>
      <c r="L19" s="30">
        <f t="shared" si="2"/>
        <v>0</v>
      </c>
    </row>
    <row r="20" spans="1:12" x14ac:dyDescent="0.15">
      <c r="A20" s="8"/>
      <c r="B20" s="35"/>
      <c r="C20" s="9"/>
      <c r="D20" s="9"/>
      <c r="E20" s="10"/>
      <c r="F20" s="10"/>
      <c r="G20" s="10" t="str">
        <f t="shared" si="0"/>
        <v/>
      </c>
      <c r="H20" s="9"/>
      <c r="I20" s="11"/>
      <c r="J20" s="12"/>
      <c r="K20" s="13" t="str">
        <f t="shared" si="1"/>
        <v/>
      </c>
      <c r="L20" s="30">
        <f t="shared" si="2"/>
        <v>0</v>
      </c>
    </row>
    <row r="21" spans="1:12" x14ac:dyDescent="0.15">
      <c r="A21" s="8"/>
      <c r="B21" s="35"/>
      <c r="C21" s="9"/>
      <c r="D21" s="9"/>
      <c r="E21" s="10"/>
      <c r="F21" s="10"/>
      <c r="G21" s="10" t="str">
        <f t="shared" si="0"/>
        <v/>
      </c>
      <c r="H21" s="9"/>
      <c r="I21" s="11"/>
      <c r="J21" s="12"/>
      <c r="K21" s="13" t="str">
        <f t="shared" si="1"/>
        <v/>
      </c>
      <c r="L21" s="30">
        <f t="shared" si="2"/>
        <v>0</v>
      </c>
    </row>
    <row r="22" spans="1:12" x14ac:dyDescent="0.15">
      <c r="A22" s="8"/>
      <c r="B22" s="35"/>
      <c r="C22" s="9"/>
      <c r="D22" s="9"/>
      <c r="E22" s="10"/>
      <c r="F22" s="10"/>
      <c r="G22" s="10" t="str">
        <f t="shared" si="0"/>
        <v/>
      </c>
      <c r="H22" s="9"/>
      <c r="I22" s="11"/>
      <c r="J22" s="12"/>
      <c r="K22" s="13" t="str">
        <f t="shared" si="1"/>
        <v/>
      </c>
      <c r="L22" s="30">
        <f t="shared" si="2"/>
        <v>0</v>
      </c>
    </row>
    <row r="23" spans="1:12" x14ac:dyDescent="0.15">
      <c r="A23" s="8"/>
      <c r="B23" s="35"/>
      <c r="C23" s="9"/>
      <c r="D23" s="9"/>
      <c r="E23" s="10"/>
      <c r="F23" s="10"/>
      <c r="G23" s="10" t="str">
        <f t="shared" si="0"/>
        <v/>
      </c>
      <c r="H23" s="9"/>
      <c r="I23" s="11"/>
      <c r="J23" s="12"/>
      <c r="K23" s="13" t="str">
        <f t="shared" si="1"/>
        <v/>
      </c>
      <c r="L23" s="30">
        <f t="shared" si="2"/>
        <v>0</v>
      </c>
    </row>
    <row r="24" spans="1:12" x14ac:dyDescent="0.15">
      <c r="A24" s="8"/>
      <c r="B24" s="35"/>
      <c r="C24" s="9"/>
      <c r="D24" s="9"/>
      <c r="E24" s="10"/>
      <c r="F24" s="10"/>
      <c r="G24" s="10" t="str">
        <f t="shared" si="0"/>
        <v/>
      </c>
      <c r="H24" s="9"/>
      <c r="I24" s="11"/>
      <c r="J24" s="12"/>
      <c r="K24" s="13" t="str">
        <f t="shared" si="1"/>
        <v/>
      </c>
      <c r="L24" s="30">
        <f t="shared" si="2"/>
        <v>0</v>
      </c>
    </row>
    <row r="25" spans="1:12" x14ac:dyDescent="0.15">
      <c r="A25" s="8"/>
      <c r="B25" s="35"/>
      <c r="C25" s="9"/>
      <c r="D25" s="9"/>
      <c r="E25" s="10"/>
      <c r="F25" s="10"/>
      <c r="G25" s="10" t="str">
        <f t="shared" si="0"/>
        <v/>
      </c>
      <c r="H25" s="9"/>
      <c r="I25" s="11"/>
      <c r="J25" s="12"/>
      <c r="K25" s="13" t="str">
        <f t="shared" si="1"/>
        <v/>
      </c>
      <c r="L25" s="30">
        <f t="shared" si="2"/>
        <v>0</v>
      </c>
    </row>
    <row r="26" spans="1:12" x14ac:dyDescent="0.15">
      <c r="A26" s="8"/>
      <c r="B26" s="35"/>
      <c r="C26" s="9"/>
      <c r="D26" s="9"/>
      <c r="E26" s="10"/>
      <c r="F26" s="10"/>
      <c r="G26" s="10"/>
      <c r="H26" s="9"/>
      <c r="I26" s="11"/>
      <c r="J26" s="12"/>
      <c r="K26" s="13" t="str">
        <f t="shared" si="1"/>
        <v/>
      </c>
      <c r="L26" s="30">
        <f t="shared" si="2"/>
        <v>0</v>
      </c>
    </row>
    <row r="27" spans="1:12" x14ac:dyDescent="0.15">
      <c r="A27" s="8"/>
      <c r="B27" s="35"/>
      <c r="C27" s="9"/>
      <c r="D27" s="9"/>
      <c r="E27" s="10"/>
      <c r="F27" s="10"/>
      <c r="G27" s="10" t="str">
        <f t="shared" si="0"/>
        <v/>
      </c>
      <c r="H27" s="9"/>
      <c r="I27" s="11"/>
      <c r="J27" s="12"/>
      <c r="K27" s="13" t="str">
        <f t="shared" si="1"/>
        <v/>
      </c>
      <c r="L27" s="30">
        <f t="shared" si="2"/>
        <v>0</v>
      </c>
    </row>
    <row r="28" spans="1:12" x14ac:dyDescent="0.15">
      <c r="A28" s="8"/>
      <c r="B28" s="35"/>
      <c r="C28" s="9"/>
      <c r="D28" s="9"/>
      <c r="E28" s="10"/>
      <c r="F28" s="10"/>
      <c r="G28" s="10" t="str">
        <f t="shared" si="0"/>
        <v/>
      </c>
      <c r="H28" s="9"/>
      <c r="I28" s="11"/>
      <c r="J28" s="12"/>
      <c r="K28" s="13" t="str">
        <f t="shared" si="1"/>
        <v/>
      </c>
      <c r="L28" s="30">
        <f t="shared" si="2"/>
        <v>0</v>
      </c>
    </row>
    <row r="29" spans="1:12" x14ac:dyDescent="0.15">
      <c r="A29" s="8"/>
      <c r="B29" s="35"/>
      <c r="C29" s="9"/>
      <c r="D29" s="9"/>
      <c r="E29" s="10"/>
      <c r="F29" s="10"/>
      <c r="G29" s="10" t="str">
        <f t="shared" si="0"/>
        <v/>
      </c>
      <c r="H29" s="9"/>
      <c r="I29" s="11"/>
      <c r="J29" s="12"/>
      <c r="K29" s="13" t="str">
        <f t="shared" si="1"/>
        <v/>
      </c>
      <c r="L29" s="30">
        <f t="shared" si="2"/>
        <v>0</v>
      </c>
    </row>
    <row r="30" spans="1:12" x14ac:dyDescent="0.15">
      <c r="A30" s="8"/>
      <c r="B30" s="35"/>
      <c r="C30" s="9"/>
      <c r="D30" s="9"/>
      <c r="E30" s="10"/>
      <c r="F30" s="10"/>
      <c r="G30" s="10" t="str">
        <f t="shared" si="0"/>
        <v/>
      </c>
      <c r="H30" s="9"/>
      <c r="I30" s="11"/>
      <c r="J30" s="12"/>
      <c r="K30" s="13" t="str">
        <f t="shared" si="1"/>
        <v/>
      </c>
      <c r="L30" s="30">
        <f t="shared" si="2"/>
        <v>0</v>
      </c>
    </row>
    <row r="31" spans="1:12" x14ac:dyDescent="0.15">
      <c r="A31" s="8"/>
      <c r="B31" s="35"/>
      <c r="C31" s="9"/>
      <c r="D31" s="9"/>
      <c r="E31" s="10"/>
      <c r="F31" s="10"/>
      <c r="G31" s="10" t="str">
        <f t="shared" si="0"/>
        <v/>
      </c>
      <c r="H31" s="9"/>
      <c r="I31" s="11"/>
      <c r="J31" s="12"/>
      <c r="K31" s="13" t="str">
        <f t="shared" si="1"/>
        <v/>
      </c>
      <c r="L31" s="30">
        <f t="shared" si="2"/>
        <v>0</v>
      </c>
    </row>
    <row r="32" spans="1:12" x14ac:dyDescent="0.15">
      <c r="A32" s="8"/>
      <c r="B32" s="35"/>
      <c r="C32" s="9"/>
      <c r="D32" s="9"/>
      <c r="E32" s="10"/>
      <c r="F32" s="10"/>
      <c r="G32" s="10" t="str">
        <f t="shared" si="0"/>
        <v/>
      </c>
      <c r="H32" s="9"/>
      <c r="I32" s="11"/>
      <c r="J32" s="12"/>
      <c r="K32" s="13" t="str">
        <f t="shared" si="1"/>
        <v/>
      </c>
      <c r="L32" s="30">
        <f t="shared" si="2"/>
        <v>0</v>
      </c>
    </row>
    <row r="33" spans="1:12" x14ac:dyDescent="0.15">
      <c r="A33" s="8"/>
      <c r="B33" s="35"/>
      <c r="C33" s="9"/>
      <c r="D33" s="9"/>
      <c r="E33" s="10"/>
      <c r="F33" s="10"/>
      <c r="G33" s="10" t="str">
        <f t="shared" si="0"/>
        <v/>
      </c>
      <c r="H33" s="9"/>
      <c r="I33" s="11"/>
      <c r="J33" s="12"/>
      <c r="K33" s="13" t="str">
        <f t="shared" si="1"/>
        <v/>
      </c>
      <c r="L33" s="30">
        <f t="shared" si="2"/>
        <v>0</v>
      </c>
    </row>
    <row r="34" spans="1:12" x14ac:dyDescent="0.15">
      <c r="A34" s="8"/>
      <c r="B34" s="35"/>
      <c r="C34" s="9"/>
      <c r="D34" s="9"/>
      <c r="E34" s="10"/>
      <c r="F34" s="10"/>
      <c r="G34" s="10" t="str">
        <f t="shared" si="0"/>
        <v/>
      </c>
      <c r="H34" s="9"/>
      <c r="I34" s="11"/>
      <c r="J34" s="12"/>
      <c r="K34" s="13" t="str">
        <f t="shared" si="1"/>
        <v/>
      </c>
      <c r="L34" s="30">
        <f t="shared" si="2"/>
        <v>0</v>
      </c>
    </row>
    <row r="35" spans="1:12" x14ac:dyDescent="0.15">
      <c r="A35" s="8"/>
      <c r="B35" s="35"/>
      <c r="C35" s="9"/>
      <c r="D35" s="9"/>
      <c r="E35" s="10"/>
      <c r="F35" s="10"/>
      <c r="G35" s="10" t="str">
        <f t="shared" si="0"/>
        <v/>
      </c>
      <c r="H35" s="9"/>
      <c r="I35" s="11"/>
      <c r="J35" s="12"/>
      <c r="K35" s="13" t="str">
        <f t="shared" si="1"/>
        <v/>
      </c>
      <c r="L35" s="30">
        <f t="shared" si="2"/>
        <v>0</v>
      </c>
    </row>
    <row r="36" spans="1:12" ht="13.5" thickBot="1" x14ac:dyDescent="0.2">
      <c r="A36" s="14"/>
      <c r="B36" s="36"/>
      <c r="C36" s="15"/>
      <c r="D36" s="15"/>
      <c r="E36" s="16"/>
      <c r="F36" s="16"/>
      <c r="G36" s="16" t="str">
        <f t="shared" si="0"/>
        <v/>
      </c>
      <c r="H36" s="15"/>
      <c r="I36" s="17"/>
      <c r="J36" s="18"/>
      <c r="K36" s="42" t="str">
        <f t="shared" si="1"/>
        <v/>
      </c>
      <c r="L36" s="31">
        <f t="shared" si="2"/>
        <v>0</v>
      </c>
    </row>
    <row r="37" spans="1:12" ht="15.75" thickBot="1" x14ac:dyDescent="0.2">
      <c r="A37" s="61" t="s">
        <v>27</v>
      </c>
      <c r="B37" s="62"/>
      <c r="C37" s="62"/>
      <c r="D37" s="62"/>
      <c r="E37" s="62"/>
      <c r="F37" s="63"/>
      <c r="G37" s="44">
        <f>SUM(G14:G36)</f>
        <v>1253</v>
      </c>
      <c r="H37" s="41"/>
      <c r="I37" s="41"/>
      <c r="J37" s="49">
        <f>SUM(J14:J36)</f>
        <v>114.14</v>
      </c>
      <c r="K37" s="45">
        <f>SUM(K14:K36)</f>
        <v>54.893470422302883</v>
      </c>
      <c r="L37" s="43">
        <f>SUM(L14:L36)</f>
        <v>244.81879999999998</v>
      </c>
    </row>
  </sheetData>
  <mergeCells count="5">
    <mergeCell ref="A1:L1"/>
    <mergeCell ref="A37:F37"/>
    <mergeCell ref="E9:F9"/>
    <mergeCell ref="E10:F10"/>
    <mergeCell ref="A8:F8"/>
  </mergeCells>
  <phoneticPr fontId="4" type="noConversion"/>
  <conditionalFormatting sqref="B10:B11">
    <cfRule type="cellIs" dxfId="1" priority="1" stopIfTrue="1" operator="equal">
      <formula>"Digite uma placa válida !"</formula>
    </cfRule>
  </conditionalFormatting>
  <conditionalFormatting sqref="C10:D11">
    <cfRule type="cellIs" dxfId="0" priority="2" stopIfTrue="1" operator="lessThanOrEqual">
      <formula>0</formula>
    </cfRule>
  </conditionalFormatting>
  <dataValidations count="1">
    <dataValidation type="list" allowBlank="1" showInputMessage="1" showErrorMessage="1" sqref="H14:H36" xr:uid="{00000000-0002-0000-0000-000000000000}">
      <formula1>"Álcool, Gasolina, Diesel, Gás Natural"</formula1>
    </dataValidation>
  </dataValidations>
  <pageMargins left="0.74803149606299213" right="0.74803149606299213" top="0.98425196850393704" bottom="0.98425196850393704" header="0.51181102362204722" footer="0.51181102362204722"/>
  <pageSetup paperSize="9" scale="8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 de Combustível</vt:lpstr>
    </vt:vector>
  </TitlesOfParts>
  <Manager/>
  <Company>Centro de Excelencia em Planilhas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lastPrinted>2014-08-13T19:46:12Z</cp:lastPrinted>
  <dcterms:created xsi:type="dcterms:W3CDTF">2006-06-21T15:01:22Z</dcterms:created>
  <dcterms:modified xsi:type="dcterms:W3CDTF">2018-09-14T15:45:22Z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TC102006261046</vt:lpwstr>
  </property>
</Properties>
</file>