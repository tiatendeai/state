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ite\"/>
    </mc:Choice>
  </mc:AlternateContent>
  <bookViews>
    <workbookView xWindow="0" yWindow="0" windowWidth="20490" windowHeight="8820" tabRatio="710"/>
  </bookViews>
  <sheets>
    <sheet name="Menu" sheetId="7" r:id="rId1"/>
    <sheet name="Cadastro" sheetId="9" r:id="rId2"/>
    <sheet name="Certidões" sheetId="6" r:id="rId3"/>
    <sheet name="Controle de Serviços" sheetId="8" r:id="rId4"/>
  </sheets>
  <definedNames>
    <definedName name="_xlnm._FilterDatabase" localSheetId="3" hidden="1">'Controle de Serviços'!$K$12:$K$24</definedName>
  </definedNames>
  <calcPr calcId="171027"/>
</workbook>
</file>

<file path=xl/calcChain.xml><?xml version="1.0" encoding="utf-8"?>
<calcChain xmlns="http://schemas.openxmlformats.org/spreadsheetml/2006/main">
  <c r="H13" i="8" l="1"/>
  <c r="H22" i="8"/>
  <c r="I22" i="8" s="1"/>
  <c r="I13" i="8" l="1"/>
  <c r="I14" i="8"/>
  <c r="I12" i="8"/>
  <c r="D22" i="8"/>
  <c r="D32" i="8"/>
  <c r="D42" i="8"/>
  <c r="D52" i="8"/>
  <c r="D62" i="8"/>
  <c r="D72" i="8"/>
  <c r="D82" i="8"/>
  <c r="D92" i="8"/>
  <c r="D102" i="8"/>
  <c r="D112" i="8"/>
  <c r="D122" i="8"/>
  <c r="D132" i="8"/>
  <c r="D142" i="8"/>
  <c r="D152" i="8"/>
  <c r="D162" i="8"/>
  <c r="D172" i="8"/>
  <c r="D182" i="8"/>
  <c r="D192" i="8"/>
  <c r="D202" i="8"/>
  <c r="D212" i="8"/>
  <c r="D222" i="8"/>
  <c r="D232" i="8"/>
  <c r="D242" i="8"/>
  <c r="D252" i="8"/>
  <c r="D12" i="8"/>
  <c r="E6" i="6"/>
  <c r="I15" i="8" l="1"/>
  <c r="H6" i="8"/>
  <c r="H5" i="8"/>
  <c r="H4" i="8"/>
  <c r="H2" i="8"/>
  <c r="H7" i="8" l="1"/>
  <c r="E7" i="6"/>
  <c r="D23" i="6" l="1"/>
  <c r="D22" i="6"/>
  <c r="D20" i="6"/>
  <c r="D21" i="6"/>
  <c r="D13" i="6"/>
  <c r="D19" i="6"/>
  <c r="D26" i="6"/>
  <c r="D14" i="6"/>
  <c r="D16" i="6"/>
  <c r="D24" i="6"/>
  <c r="D12" i="6"/>
  <c r="D18" i="6"/>
  <c r="D25" i="6"/>
  <c r="D15" i="6"/>
  <c r="D17" i="6"/>
  <c r="E9" i="6" l="1"/>
  <c r="E8" i="6"/>
</calcChain>
</file>

<file path=xl/comments1.xml><?xml version="1.0" encoding="utf-8"?>
<comments xmlns="http://schemas.openxmlformats.org/spreadsheetml/2006/main">
  <authors>
    <author>User</author>
  </authors>
  <commentList>
    <comment ref="E2" authorId="0" shapeId="0">
      <text>
        <r>
          <rPr>
            <sz val="9"/>
            <color indexed="81"/>
            <rFont val="Segoe UI"/>
            <family val="2"/>
          </rPr>
          <t>Para liberar a planilha será necessário pagamento, consulte desbloqueio de Planilhas Especiais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D2" authorId="0" shapeId="0">
      <text>
        <r>
          <rPr>
            <sz val="9"/>
            <color indexed="81"/>
            <rFont val="Segoe UI"/>
            <family val="2"/>
          </rPr>
          <t>Para liberar a planilha será necessário pagamento, consulte desbloqueio de Planilhas Especiais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D2" authorId="0" shapeId="0">
      <text>
        <r>
          <rPr>
            <sz val="9"/>
            <color indexed="81"/>
            <rFont val="Segoe UI"/>
            <family val="2"/>
          </rPr>
          <t>Para liberar a planilha será necessário pagamento, consulte desbloqueio de Planilhas Especiais</t>
        </r>
      </text>
    </comment>
  </commentList>
</comments>
</file>

<file path=xl/comments4.xml><?xml version="1.0" encoding="utf-8"?>
<comments xmlns="http://schemas.openxmlformats.org/spreadsheetml/2006/main">
  <authors>
    <author>User</author>
    <author>Guilherme Fernando Ferrari</author>
  </authors>
  <commentList>
    <comment ref="E2" authorId="0" shapeId="0">
      <text>
        <r>
          <rPr>
            <sz val="9"/>
            <color indexed="81"/>
            <rFont val="Segoe UI"/>
            <family val="2"/>
          </rPr>
          <t>Para liberar a planilha será necessário pagamento, consulte desbloqueio de Planilhas Especiais</t>
        </r>
      </text>
    </comment>
    <comment ref="K11" authorId="1" shapeId="0">
      <text>
        <r>
          <rPr>
            <sz val="9"/>
            <color indexed="81"/>
            <rFont val="Segoe UI"/>
            <charset val="1"/>
          </rPr>
          <t xml:space="preserve">Sugestão: Ocultar a coluna K para melhor visualização da planilha.
</t>
        </r>
      </text>
    </comment>
  </commentList>
</comments>
</file>

<file path=xl/sharedStrings.xml><?xml version="1.0" encoding="utf-8"?>
<sst xmlns="http://schemas.openxmlformats.org/spreadsheetml/2006/main" count="131" uniqueCount="99">
  <si>
    <t>Aviso de Desbloqueio</t>
  </si>
  <si>
    <t xml:space="preserve">                   Função Contábil</t>
  </si>
  <si>
    <t>Vencimento</t>
  </si>
  <si>
    <t>Descrição</t>
  </si>
  <si>
    <t xml:space="preserve">           Função Contábil</t>
  </si>
  <si>
    <t>Status</t>
  </si>
  <si>
    <t>Observação</t>
  </si>
  <si>
    <t>Receita Federal</t>
  </si>
  <si>
    <t>CRF Caixa Econômica Federal</t>
  </si>
  <si>
    <t>Tribunal Superior do Trabalho</t>
  </si>
  <si>
    <t>Junta Comercial</t>
  </si>
  <si>
    <t>Sicaf</t>
  </si>
  <si>
    <t>Data Atual</t>
  </si>
  <si>
    <t>No Prazo</t>
  </si>
  <si>
    <t>Vencida</t>
  </si>
  <si>
    <t>Licença Ambiental</t>
  </si>
  <si>
    <t>Licença Sanitária</t>
  </si>
  <si>
    <t>Certidão Trabalhista</t>
  </si>
  <si>
    <t>Certidão Federal e Previdência</t>
  </si>
  <si>
    <t>Certidão Estadual</t>
  </si>
  <si>
    <t>Certidão Municipal</t>
  </si>
  <si>
    <t>Licença Bombeiros</t>
  </si>
  <si>
    <t>Inscrição Municipal</t>
  </si>
  <si>
    <t>Inscrição Estadual Cicad</t>
  </si>
  <si>
    <t>Inscrição Federal CNPJ</t>
  </si>
  <si>
    <t>Certidão Regularidade do FGTS - CRF</t>
  </si>
  <si>
    <t>Certidão Falência e Concordata</t>
  </si>
  <si>
    <t>Certidão Simplificada</t>
  </si>
  <si>
    <t>Ministério do Planejamento</t>
  </si>
  <si>
    <t>Vigilância Sanitária</t>
  </si>
  <si>
    <t>Corpo de Bombeiros</t>
  </si>
  <si>
    <t>Site/Local</t>
  </si>
  <si>
    <t>Receita Estadual Sefaz</t>
  </si>
  <si>
    <t>Tribunal de Justiça Estadual</t>
  </si>
  <si>
    <t>Prefeitura</t>
  </si>
  <si>
    <t>Secretaria do Meio Ambiente</t>
  </si>
  <si>
    <t>CONTROLE DE CERTIDÕES E LICENÇAS</t>
  </si>
  <si>
    <t>Licença Alvará</t>
  </si>
  <si>
    <t>01.</t>
  </si>
  <si>
    <t>05.</t>
  </si>
  <si>
    <t>Certidões</t>
  </si>
  <si>
    <t>CONTROLE DE SERVIÇOS EXTERNOS</t>
  </si>
  <si>
    <t>Total Empresas</t>
  </si>
  <si>
    <t>Concluído</t>
  </si>
  <si>
    <t>Em Andamento</t>
  </si>
  <si>
    <t>Pendente</t>
  </si>
  <si>
    <t>Total Serviços</t>
  </si>
  <si>
    <t>Cliente</t>
  </si>
  <si>
    <t>Motivo do Serviço</t>
  </si>
  <si>
    <t>Local do Serviço</t>
  </si>
  <si>
    <t>Data Abertura</t>
  </si>
  <si>
    <t>Data Vencimento</t>
  </si>
  <si>
    <t>Consulta Comercial</t>
  </si>
  <si>
    <t>Bombeiros</t>
  </si>
  <si>
    <t>Alteração de Contrato</t>
  </si>
  <si>
    <t>Escritório</t>
  </si>
  <si>
    <t>Caixa Econômica</t>
  </si>
  <si>
    <t>Vistoria</t>
  </si>
  <si>
    <t>Certidão</t>
  </si>
  <si>
    <t>Meio Ambiente</t>
  </si>
  <si>
    <t>Ministério do Trabalho</t>
  </si>
  <si>
    <t>Outros</t>
  </si>
  <si>
    <t>Previdência</t>
  </si>
  <si>
    <t>Receita Estadual</t>
  </si>
  <si>
    <t>Função Contábil</t>
  </si>
  <si>
    <t>Controle Serviços</t>
  </si>
  <si>
    <t>email@email.com.br</t>
  </si>
  <si>
    <t>Empresa ABC Ltda</t>
  </si>
  <si>
    <t>Empresa 123 Ltda</t>
  </si>
  <si>
    <t>Empresa Função Contábil</t>
  </si>
  <si>
    <t>Telefone</t>
  </si>
  <si>
    <t>e-mail</t>
  </si>
  <si>
    <t>Endereço</t>
  </si>
  <si>
    <t>Observações</t>
  </si>
  <si>
    <t>(0xx) 1111-0002</t>
  </si>
  <si>
    <t>(0xx) 1111-0001</t>
  </si>
  <si>
    <t>(0xx) 1111-0003</t>
  </si>
  <si>
    <t>email@email.com</t>
  </si>
  <si>
    <t>email@email.net</t>
  </si>
  <si>
    <t>Rua: F nº00 - Função/PR</t>
  </si>
  <si>
    <t>Rua: 123 nº123 - São Paulo/SP</t>
  </si>
  <si>
    <t>Rua: ABC nºABC - Rio de Janeiro/RJ</t>
  </si>
  <si>
    <t>Somente abertura de empresa</t>
  </si>
  <si>
    <t>Abertura de Empresa e Contabilidade/Fiscal</t>
  </si>
  <si>
    <t>Somente Folha de Pagamento</t>
  </si>
  <si>
    <t>Razão Social                      Nome de Cliente</t>
  </si>
  <si>
    <r>
      <t xml:space="preserve">CNPJ do Cliente </t>
    </r>
    <r>
      <rPr>
        <sz val="8"/>
        <rFont val="Arial"/>
        <family val="2"/>
      </rPr>
      <t>(somente números)</t>
    </r>
  </si>
  <si>
    <t>Empresa</t>
  </si>
  <si>
    <t>CNPJ do Cliente</t>
  </si>
  <si>
    <t>00111222333344</t>
  </si>
  <si>
    <t>00111222333345</t>
  </si>
  <si>
    <t>00111222333346</t>
  </si>
  <si>
    <t>Empresa e Contato</t>
  </si>
  <si>
    <t>nº do Serviço</t>
  </si>
  <si>
    <t>Cadastro</t>
  </si>
  <si>
    <t>06.</t>
  </si>
  <si>
    <t>MENU SERVIÇOS EXTERNOS</t>
  </si>
  <si>
    <t>CADASTRO DOS CLIENTES - SERVIÇOS EXTERNOS</t>
  </si>
  <si>
    <t>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</si>
</sst>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3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</font>
    <font>
      <u/>
      <sz val="10"/>
      <color indexed="12"/>
      <name val="Arial"/>
      <family val="2"/>
    </font>
    <font>
      <u/>
      <sz val="8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9"/>
      <color indexed="81"/>
      <name val="Segoe UI"/>
      <family val="2"/>
    </font>
    <font>
      <sz val="10"/>
      <color theme="1" tint="0.24994659260841701"/>
      <name val="Calibri"/>
      <family val="2"/>
      <scheme val="minor"/>
    </font>
    <font>
      <b/>
      <sz val="10"/>
      <color theme="1"/>
      <name val="Arial"/>
      <family val="2"/>
    </font>
    <font>
      <sz val="10"/>
      <color rgb="FF404040"/>
      <name val="Arial"/>
      <family val="2"/>
    </font>
    <font>
      <sz val="10"/>
      <color theme="0" tint="-0.249977111117893"/>
      <name val="Arial"/>
      <family val="2"/>
    </font>
    <font>
      <sz val="16.5"/>
      <color theme="4"/>
      <name val="Calibri"/>
      <family val="2"/>
      <scheme val="minor"/>
    </font>
    <font>
      <sz val="11"/>
      <color theme="1" tint="0.499984740745262"/>
      <name val="Cambria"/>
      <family val="1"/>
      <scheme val="major"/>
    </font>
    <font>
      <u/>
      <sz val="10"/>
      <color theme="10"/>
      <name val="Arial"/>
      <family val="2"/>
    </font>
    <font>
      <sz val="27"/>
      <color theme="4"/>
      <name val="Calibri"/>
      <family val="2"/>
      <scheme val="minor"/>
    </font>
    <font>
      <u/>
      <sz val="10"/>
      <color theme="10"/>
      <name val="Arial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8"/>
      <color theme="1"/>
      <name val="Arial"/>
      <family val="2"/>
    </font>
    <font>
      <sz val="10"/>
      <color theme="0" tint="-0.14999847407452621"/>
      <name val="Arial"/>
      <family val="2"/>
    </font>
    <font>
      <b/>
      <sz val="14"/>
      <color rgb="FFFF0000"/>
      <name val="Arial"/>
      <family val="2"/>
    </font>
    <font>
      <b/>
      <sz val="8"/>
      <color rgb="FF00B050"/>
      <name val="Arial"/>
      <family val="2"/>
    </font>
    <font>
      <b/>
      <sz val="8"/>
      <color theme="9"/>
      <name val="Arial"/>
      <family val="2"/>
    </font>
    <font>
      <b/>
      <sz val="8"/>
      <color rgb="FFFF0000"/>
      <name val="Arial"/>
      <family val="2"/>
    </font>
    <font>
      <sz val="10"/>
      <color theme="0" tint="-0.14999847407452621"/>
      <name val="Calibri"/>
      <family val="2"/>
      <scheme val="minor"/>
    </font>
    <font>
      <sz val="8"/>
      <color rgb="FFFF0000"/>
      <name val="Arial"/>
      <family val="2"/>
    </font>
    <font>
      <sz val="20"/>
      <color theme="1"/>
      <name val="Arial"/>
      <family val="2"/>
    </font>
    <font>
      <sz val="10"/>
      <color rgb="FF00B050"/>
      <name val="Arial"/>
      <family val="2"/>
    </font>
    <font>
      <b/>
      <sz val="10"/>
      <color theme="1" tint="0.24994659260841701"/>
      <name val="Arial"/>
      <family val="2"/>
    </font>
    <font>
      <b/>
      <sz val="10"/>
      <color rgb="FF404040"/>
      <name val="Arial"/>
      <family val="2"/>
    </font>
    <font>
      <sz val="10"/>
      <color rgb="FFFF0000"/>
      <name val="Arial"/>
      <family val="2"/>
    </font>
    <font>
      <sz val="9"/>
      <color indexed="81"/>
      <name val="Segoe UI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2" tint="-0.24994659260841701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DashDotDot">
        <color auto="1"/>
      </left>
      <right style="mediumDashDotDot">
        <color auto="1"/>
      </right>
      <top style="mediumDashDotDot">
        <color auto="1"/>
      </top>
      <bottom style="mediumDashDotDot">
        <color auto="1"/>
      </bottom>
      <diagonal/>
    </border>
    <border>
      <left/>
      <right/>
      <top style="medium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4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13" fillId="0" borderId="0">
      <alignment vertical="center"/>
    </xf>
    <xf numFmtId="0" fontId="17" fillId="0" borderId="0" applyNumberFormat="0" applyFill="0" applyBorder="0" applyAlignment="0" applyProtection="0"/>
    <xf numFmtId="0" fontId="18" fillId="0" borderId="2" applyNumberFormat="0" applyFill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0" borderId="0"/>
    <xf numFmtId="0" fontId="23" fillId="0" borderId="0" applyNumberFormat="0" applyFill="0" applyBorder="0" applyAlignment="0" applyProtection="0"/>
    <xf numFmtId="0" fontId="2" fillId="0" borderId="0"/>
    <xf numFmtId="0" fontId="19" fillId="0" borderId="0" applyNumberFormat="0" applyFill="0" applyBorder="0" applyAlignment="0" applyProtection="0"/>
  </cellStyleXfs>
  <cellXfs count="96">
    <xf numFmtId="0" fontId="0" fillId="0" borderId="0" xfId="0"/>
    <xf numFmtId="0" fontId="8" fillId="0" borderId="0" xfId="3" applyFont="1" applyAlignment="1" applyProtection="1">
      <protection locked="0"/>
    </xf>
    <xf numFmtId="0" fontId="15" fillId="0" borderId="0" xfId="4" applyFont="1" applyAlignment="1" applyProtection="1"/>
    <xf numFmtId="0" fontId="16" fillId="0" borderId="0" xfId="4" applyFont="1" applyProtection="1">
      <alignment vertical="center"/>
    </xf>
    <xf numFmtId="0" fontId="25" fillId="0" borderId="0" xfId="0" applyFont="1" applyBorder="1" applyAlignment="1" applyProtection="1">
      <alignment vertical="center"/>
    </xf>
    <xf numFmtId="0" fontId="24" fillId="0" borderId="0" xfId="10" applyFont="1" applyProtection="1"/>
    <xf numFmtId="0" fontId="22" fillId="0" borderId="0" xfId="10" applyFont="1" applyProtection="1"/>
    <xf numFmtId="0" fontId="14" fillId="0" borderId="0" xfId="10" applyFont="1" applyProtection="1"/>
    <xf numFmtId="0" fontId="4" fillId="0" borderId="15" xfId="0" applyFont="1" applyBorder="1" applyProtection="1"/>
    <xf numFmtId="0" fontId="2" fillId="0" borderId="12" xfId="0" applyFont="1" applyBorder="1" applyProtection="1"/>
    <xf numFmtId="0" fontId="0" fillId="0" borderId="13" xfId="0" applyBorder="1" applyProtection="1"/>
    <xf numFmtId="0" fontId="2" fillId="0" borderId="13" xfId="0" applyFont="1" applyBorder="1" applyProtection="1"/>
    <xf numFmtId="0" fontId="2" fillId="0" borderId="6" xfId="0" applyFont="1" applyBorder="1" applyProtection="1"/>
    <xf numFmtId="0" fontId="0" fillId="0" borderId="7" xfId="0" applyBorder="1" applyProtection="1"/>
    <xf numFmtId="0" fontId="2" fillId="0" borderId="7" xfId="0" applyFont="1" applyBorder="1" applyProtection="1"/>
    <xf numFmtId="0" fontId="21" fillId="0" borderId="7" xfId="9" applyBorder="1" applyProtection="1"/>
    <xf numFmtId="0" fontId="0" fillId="0" borderId="9" xfId="0" applyBorder="1" applyProtection="1"/>
    <xf numFmtId="0" fontId="0" fillId="0" borderId="10" xfId="0" applyBorder="1" applyProtection="1"/>
    <xf numFmtId="14" fontId="0" fillId="2" borderId="13" xfId="0" applyNumberFormat="1" applyFill="1" applyBorder="1" applyProtection="1">
      <protection locked="0"/>
    </xf>
    <xf numFmtId="14" fontId="0" fillId="2" borderId="7" xfId="0" applyNumberFormat="1" applyFill="1" applyBorder="1" applyProtection="1">
      <protection locked="0"/>
    </xf>
    <xf numFmtId="14" fontId="0" fillId="2" borderId="10" xfId="0" applyNumberFormat="1" applyFill="1" applyBorder="1" applyProtection="1">
      <protection locked="0"/>
    </xf>
    <xf numFmtId="0" fontId="0" fillId="2" borderId="14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21" fillId="0" borderId="10" xfId="9" applyBorder="1" applyProtection="1"/>
    <xf numFmtId="0" fontId="2" fillId="0" borderId="0" xfId="0" applyFont="1"/>
    <xf numFmtId="0" fontId="5" fillId="0" borderId="0" xfId="0" applyFont="1"/>
    <xf numFmtId="0" fontId="4" fillId="0" borderId="0" xfId="0" applyFont="1"/>
    <xf numFmtId="0" fontId="21" fillId="0" borderId="16" xfId="9" applyBorder="1" applyAlignment="1">
      <alignment horizontal="center" vertical="center"/>
    </xf>
    <xf numFmtId="0" fontId="19" fillId="0" borderId="16" xfId="9" applyFont="1" applyBorder="1" applyAlignment="1">
      <alignment horizontal="center" vertical="center"/>
    </xf>
    <xf numFmtId="0" fontId="5" fillId="0" borderId="0" xfId="12" applyFont="1" applyFill="1" applyBorder="1" applyAlignment="1" applyProtection="1"/>
    <xf numFmtId="0" fontId="26" fillId="0" borderId="0" xfId="12" applyFont="1" applyFill="1" applyBorder="1" applyAlignment="1" applyProtection="1"/>
    <xf numFmtId="0" fontId="26" fillId="0" borderId="17" xfId="12" applyFont="1" applyFill="1" applyBorder="1" applyAlignment="1" applyProtection="1"/>
    <xf numFmtId="0" fontId="2" fillId="0" borderId="0" xfId="12" applyFont="1" applyBorder="1" applyAlignment="1" applyProtection="1">
      <alignment horizontal="left"/>
    </xf>
    <xf numFmtId="0" fontId="2" fillId="0" borderId="0" xfId="12" applyFont="1" applyAlignment="1" applyProtection="1">
      <alignment horizontal="left"/>
    </xf>
    <xf numFmtId="0" fontId="4" fillId="0" borderId="0" xfId="12" applyFont="1" applyFill="1" applyBorder="1" applyAlignment="1" applyProtection="1">
      <alignment horizontal="center"/>
    </xf>
    <xf numFmtId="0" fontId="10" fillId="0" borderId="0" xfId="12" applyFont="1" applyAlignment="1" applyProtection="1">
      <alignment horizontal="left"/>
    </xf>
    <xf numFmtId="0" fontId="9" fillId="0" borderId="0" xfId="12" applyFont="1" applyFill="1" applyBorder="1" applyAlignment="1" applyProtection="1"/>
    <xf numFmtId="0" fontId="7" fillId="0" borderId="0" xfId="13" applyFont="1" applyAlignment="1" applyProtection="1"/>
    <xf numFmtId="0" fontId="11" fillId="0" borderId="0" xfId="12" applyFont="1" applyFill="1" applyBorder="1" applyAlignment="1" applyProtection="1">
      <alignment horizontal="left"/>
    </xf>
    <xf numFmtId="0" fontId="27" fillId="0" borderId="0" xfId="12" applyFont="1" applyFill="1" applyBorder="1" applyAlignment="1" applyProtection="1">
      <alignment horizontal="left" vertical="center"/>
    </xf>
    <xf numFmtId="0" fontId="11" fillId="0" borderId="0" xfId="12" applyFont="1" applyAlignment="1" applyProtection="1">
      <alignment horizontal="left"/>
    </xf>
    <xf numFmtId="0" fontId="28" fillId="0" borderId="0" xfId="12" applyFont="1" applyFill="1" applyBorder="1" applyAlignment="1" applyProtection="1">
      <alignment horizontal="left" vertical="center"/>
    </xf>
    <xf numFmtId="0" fontId="29" fillId="0" borderId="0" xfId="12" applyFont="1" applyFill="1" applyBorder="1" applyAlignment="1" applyProtection="1">
      <alignment horizontal="left" vertical="center"/>
    </xf>
    <xf numFmtId="0" fontId="10" fillId="0" borderId="0" xfId="12" applyFont="1" applyFill="1" applyBorder="1" applyAlignment="1" applyProtection="1">
      <alignment horizontal="left"/>
    </xf>
    <xf numFmtId="0" fontId="10" fillId="0" borderId="0" xfId="12" applyFont="1" applyFill="1" applyBorder="1" applyAlignment="1" applyProtection="1">
      <alignment horizontal="left" vertical="center"/>
    </xf>
    <xf numFmtId="0" fontId="30" fillId="0" borderId="0" xfId="12" applyFont="1" applyBorder="1" applyAlignment="1" applyProtection="1">
      <alignment horizontal="center" vertical="center"/>
    </xf>
    <xf numFmtId="0" fontId="2" fillId="0" borderId="0" xfId="12" applyFont="1" applyProtection="1"/>
    <xf numFmtId="0" fontId="22" fillId="0" borderId="0" xfId="12" applyFont="1" applyBorder="1" applyProtection="1"/>
    <xf numFmtId="0" fontId="22" fillId="0" borderId="0" xfId="12" applyFont="1" applyProtection="1"/>
    <xf numFmtId="0" fontId="2" fillId="0" borderId="0" xfId="12" applyFont="1" applyBorder="1" applyAlignment="1" applyProtection="1">
      <alignment horizontal="left" wrapText="1"/>
    </xf>
    <xf numFmtId="0" fontId="31" fillId="0" borderId="0" xfId="12" applyFont="1" applyBorder="1" applyAlignment="1" applyProtection="1">
      <alignment horizontal="right" wrapText="1"/>
    </xf>
    <xf numFmtId="0" fontId="2" fillId="0" borderId="0" xfId="12" applyFont="1" applyAlignment="1" applyProtection="1">
      <alignment horizontal="left" wrapText="1"/>
    </xf>
    <xf numFmtId="0" fontId="11" fillId="0" borderId="1" xfId="12" applyFont="1" applyBorder="1" applyAlignment="1" applyProtection="1">
      <alignment horizontal="left"/>
      <protection locked="0"/>
    </xf>
    <xf numFmtId="0" fontId="2" fillId="2" borderId="7" xfId="12" applyFill="1" applyBorder="1" applyProtection="1">
      <protection locked="0"/>
    </xf>
    <xf numFmtId="0" fontId="22" fillId="2" borderId="7" xfId="12" applyFont="1" applyFill="1" applyBorder="1" applyAlignment="1" applyProtection="1">
      <alignment horizontal="left"/>
      <protection locked="0"/>
    </xf>
    <xf numFmtId="14" fontId="22" fillId="2" borderId="7" xfId="12" applyNumberFormat="1" applyFont="1" applyFill="1" applyBorder="1" applyAlignment="1" applyProtection="1">
      <alignment horizontal="left"/>
      <protection locked="0"/>
    </xf>
    <xf numFmtId="14" fontId="22" fillId="2" borderId="8" xfId="12" applyNumberFormat="1" applyFont="1" applyFill="1" applyBorder="1" applyAlignment="1" applyProtection="1">
      <alignment horizontal="left"/>
      <protection locked="0"/>
    </xf>
    <xf numFmtId="0" fontId="11" fillId="0" borderId="0" xfId="12" applyFont="1" applyBorder="1" applyAlignment="1" applyProtection="1">
      <alignment horizontal="left"/>
      <protection locked="0"/>
    </xf>
    <xf numFmtId="0" fontId="2" fillId="0" borderId="0" xfId="12" applyFont="1" applyAlignment="1" applyProtection="1">
      <alignment horizontal="left"/>
      <protection locked="0"/>
    </xf>
    <xf numFmtId="0" fontId="2" fillId="2" borderId="7" xfId="12" applyFont="1" applyFill="1" applyBorder="1" applyProtection="1">
      <protection locked="0"/>
    </xf>
    <xf numFmtId="0" fontId="11" fillId="0" borderId="3" xfId="12" applyFont="1" applyBorder="1" applyAlignment="1" applyProtection="1">
      <alignment horizontal="left"/>
      <protection locked="0"/>
    </xf>
    <xf numFmtId="0" fontId="11" fillId="0" borderId="15" xfId="12" applyFont="1" applyBorder="1" applyAlignment="1" applyProtection="1">
      <alignment horizontal="left"/>
      <protection locked="0"/>
    </xf>
    <xf numFmtId="0" fontId="11" fillId="0" borderId="1" xfId="12" applyFont="1" applyBorder="1" applyAlignment="1" applyProtection="1">
      <alignment horizontal="left"/>
    </xf>
    <xf numFmtId="0" fontId="11" fillId="0" borderId="0" xfId="12" applyFont="1" applyBorder="1" applyAlignment="1" applyProtection="1">
      <alignment horizontal="left"/>
    </xf>
    <xf numFmtId="0" fontId="11" fillId="0" borderId="3" xfId="12" applyFont="1" applyBorder="1" applyAlignment="1" applyProtection="1">
      <alignment horizontal="left"/>
    </xf>
    <xf numFmtId="14" fontId="33" fillId="2" borderId="8" xfId="12" applyNumberFormat="1" applyFont="1" applyFill="1" applyBorder="1" applyAlignment="1" applyProtection="1">
      <alignment horizontal="left"/>
      <protection locked="0"/>
    </xf>
    <xf numFmtId="0" fontId="2" fillId="0" borderId="0" xfId="12" applyFont="1" applyAlignment="1" applyProtection="1">
      <alignment horizontal="center"/>
    </xf>
    <xf numFmtId="49" fontId="2" fillId="0" borderId="0" xfId="12" applyNumberFormat="1" applyFont="1" applyAlignment="1" applyProtection="1">
      <alignment horizontal="left"/>
      <protection locked="0"/>
    </xf>
    <xf numFmtId="0" fontId="21" fillId="0" borderId="0" xfId="9" applyAlignment="1" applyProtection="1">
      <alignment horizontal="left"/>
      <protection locked="0"/>
    </xf>
    <xf numFmtId="49" fontId="2" fillId="2" borderId="0" xfId="4" applyNumberFormat="1" applyFont="1" applyFill="1" applyAlignment="1" applyProtection="1">
      <alignment horizontal="left"/>
      <protection locked="0"/>
    </xf>
    <xf numFmtId="0" fontId="34" fillId="0" borderId="0" xfId="4" applyFont="1" applyProtection="1">
      <alignment vertical="center"/>
    </xf>
    <xf numFmtId="0" fontId="35" fillId="0" borderId="0" xfId="4" applyFont="1" applyAlignment="1" applyProtection="1"/>
    <xf numFmtId="14" fontId="14" fillId="0" borderId="0" xfId="10" applyNumberFormat="1" applyFont="1" applyAlignment="1" applyProtection="1">
      <alignment horizontal="left"/>
    </xf>
    <xf numFmtId="164" fontId="22" fillId="0" borderId="0" xfId="2" applyNumberFormat="1" applyFont="1" applyAlignment="1" applyProtection="1">
      <alignment horizontal="left"/>
    </xf>
    <xf numFmtId="0" fontId="4" fillId="0" borderId="4" xfId="12" applyFont="1" applyFill="1" applyBorder="1" applyAlignment="1" applyProtection="1">
      <alignment horizontal="center" vertical="top" wrapText="1"/>
    </xf>
    <xf numFmtId="0" fontId="4" fillId="0" borderId="4" xfId="12" applyFont="1" applyFill="1" applyBorder="1" applyAlignment="1" applyProtection="1">
      <alignment horizontal="center" wrapText="1"/>
    </xf>
    <xf numFmtId="0" fontId="4" fillId="0" borderId="5" xfId="12" applyFont="1" applyFill="1" applyBorder="1" applyAlignment="1" applyProtection="1">
      <alignment horizontal="center" wrapText="1"/>
    </xf>
    <xf numFmtId="0" fontId="22" fillId="2" borderId="18" xfId="12" applyFont="1" applyFill="1" applyBorder="1" applyAlignment="1" applyProtection="1">
      <alignment horizontal="left"/>
      <protection locked="0"/>
    </xf>
    <xf numFmtId="0" fontId="2" fillId="2" borderId="18" xfId="12" applyFill="1" applyBorder="1" applyProtection="1">
      <protection locked="0"/>
    </xf>
    <xf numFmtId="14" fontId="22" fillId="2" borderId="18" xfId="12" applyNumberFormat="1" applyFont="1" applyFill="1" applyBorder="1" applyAlignment="1" applyProtection="1">
      <alignment horizontal="left"/>
      <protection locked="0"/>
    </xf>
    <xf numFmtId="14" fontId="22" fillId="2" borderId="19" xfId="12" applyNumberFormat="1" applyFont="1" applyFill="1" applyBorder="1" applyAlignment="1" applyProtection="1">
      <alignment horizontal="left"/>
      <protection locked="0"/>
    </xf>
    <xf numFmtId="0" fontId="4" fillId="0" borderId="12" xfId="12" applyFont="1" applyFill="1" applyBorder="1" applyAlignment="1" applyProtection="1">
      <alignment horizontal="center" vertical="top" wrapText="1"/>
    </xf>
    <xf numFmtId="0" fontId="4" fillId="0" borderId="13" xfId="12" applyFont="1" applyFill="1" applyBorder="1" applyAlignment="1" applyProtection="1">
      <alignment horizontal="center" vertical="top" wrapText="1"/>
    </xf>
    <xf numFmtId="0" fontId="2" fillId="0" borderId="0" xfId="12" applyFont="1" applyAlignment="1" applyProtection="1">
      <alignment horizontal="center" wrapText="1"/>
    </xf>
    <xf numFmtId="0" fontId="2" fillId="0" borderId="0" xfId="12" applyAlignment="1" applyProtection="1">
      <alignment horizontal="center" wrapText="1"/>
    </xf>
    <xf numFmtId="0" fontId="2" fillId="0" borderId="0" xfId="12" applyAlignment="1" applyProtection="1">
      <alignment horizontal="center"/>
    </xf>
    <xf numFmtId="0" fontId="2" fillId="0" borderId="3" xfId="12" applyFont="1" applyBorder="1" applyAlignment="1" applyProtection="1">
      <alignment horizontal="left" wrapText="1"/>
    </xf>
    <xf numFmtId="164" fontId="36" fillId="0" borderId="0" xfId="2" applyNumberFormat="1" applyFont="1" applyAlignment="1" applyProtection="1">
      <alignment horizontal="left"/>
    </xf>
    <xf numFmtId="1" fontId="32" fillId="0" borderId="6" xfId="12" applyNumberFormat="1" applyFont="1" applyFill="1" applyBorder="1" applyAlignment="1" applyProtection="1">
      <alignment horizontal="center" vertical="center"/>
    </xf>
    <xf numFmtId="0" fontId="14" fillId="2" borderId="7" xfId="12" applyFont="1" applyFill="1" applyBorder="1" applyAlignment="1" applyProtection="1">
      <alignment horizontal="center" vertical="center"/>
      <protection locked="0"/>
    </xf>
    <xf numFmtId="0" fontId="22" fillId="0" borderId="7" xfId="12" applyFont="1" applyFill="1" applyBorder="1" applyAlignment="1" applyProtection="1">
      <alignment horizontal="center" vertical="center" wrapText="1"/>
    </xf>
    <xf numFmtId="0" fontId="32" fillId="0" borderId="6" xfId="12" applyNumberFormat="1" applyFont="1" applyFill="1" applyBorder="1" applyAlignment="1" applyProtection="1">
      <alignment horizontal="center" vertical="center"/>
    </xf>
    <xf numFmtId="0" fontId="32" fillId="0" borderId="9" xfId="12" applyNumberFormat="1" applyFont="1" applyFill="1" applyBorder="1" applyAlignment="1" applyProtection="1">
      <alignment horizontal="center" vertical="center"/>
    </xf>
    <xf numFmtId="0" fontId="14" fillId="2" borderId="10" xfId="12" applyFont="1" applyFill="1" applyBorder="1" applyAlignment="1" applyProtection="1">
      <alignment horizontal="center" vertical="center"/>
      <protection locked="0"/>
    </xf>
    <xf numFmtId="0" fontId="22" fillId="0" borderId="10" xfId="12" applyFont="1" applyFill="1" applyBorder="1" applyAlignment="1" applyProtection="1">
      <alignment horizontal="center" vertical="center" wrapText="1"/>
    </xf>
  </cellXfs>
  <cellStyles count="14">
    <cellStyle name="Hiperlink" xfId="9" builtinId="8"/>
    <cellStyle name="Hiperlink 2" xfId="3"/>
    <cellStyle name="Hiperlink 3" xfId="7"/>
    <cellStyle name="Hiperlink 4" xfId="11"/>
    <cellStyle name="Hiperlink 5" xfId="13"/>
    <cellStyle name="Normal" xfId="0" builtinId="0"/>
    <cellStyle name="Normal 2" xfId="1"/>
    <cellStyle name="Normal 3" xfId="4"/>
    <cellStyle name="Normal 4" xfId="10"/>
    <cellStyle name="Normal 5" xfId="12"/>
    <cellStyle name="Título 1 2" xfId="5"/>
    <cellStyle name="Título 2 2" xfId="6"/>
    <cellStyle name="Título 5" xfId="8"/>
    <cellStyle name="Vírgula" xfId="2" builtinId="3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left" vertical="bottom" textRotation="0" wrapText="0" relative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indexed="64"/>
          <bgColor theme="0" tint="-4.9989318521683403E-2"/>
        </patternFill>
      </fill>
      <alignment horizontal="left" vertical="bottom" textRotation="0" wrapText="0" relative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relative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0" hidden="0"/>
    </dxf>
    <dxf>
      <fill>
        <patternFill patternType="solid">
          <fgColor indexed="64"/>
          <bgColor theme="0" tint="-4.9989318521683403E-2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 style="hair">
          <color auto="1"/>
        </vertical>
        <horizontal style="hair">
          <color auto="1"/>
        </horizontal>
      </border>
      <protection locked="0" hidden="0"/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indexed="64"/>
          <bgColor theme="0" tint="-4.9989318521683403E-2"/>
        </patternFill>
      </fill>
      <alignment horizontal="left" vertical="bottom" textRotation="0" wrapText="0" relativeIndent="0" justifyLastLine="0" shrinkToFit="0" readingOrder="0"/>
      <protection locked="0" hidden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/>
        <bottom/>
        <vertical style="hair">
          <color auto="1"/>
        </vertical>
        <horizontal style="hair">
          <color auto="1"/>
        </horizontal>
      </border>
      <protection locked="1" hidden="0"/>
    </dxf>
    <dxf>
      <fill>
        <patternFill>
          <bgColor rgb="FFFFFF00"/>
        </patternFill>
      </fill>
    </dxf>
    <dxf>
      <font>
        <color rgb="FFFF0000"/>
      </font>
    </dxf>
    <dxf>
      <font>
        <color theme="9"/>
      </font>
    </dxf>
    <dxf>
      <font>
        <color rgb="FF00B050"/>
      </font>
    </dxf>
    <dxf>
      <font>
        <color rgb="FFFF0000"/>
      </font>
    </dxf>
    <dxf>
      <font>
        <color theme="9"/>
      </font>
    </dxf>
    <dxf>
      <font>
        <color rgb="FF00B050"/>
      </font>
    </dxf>
    <dxf>
      <fill>
        <patternFill patternType="solid">
          <fgColor indexed="64"/>
          <bgColor theme="0" tint="-4.9989318521683403E-2"/>
        </patternFill>
      </fill>
      <border diagonalUp="0" diagonalDown="0">
        <left style="hair">
          <color indexed="64"/>
        </left>
        <right/>
        <top style="hair">
          <color indexed="64"/>
        </top>
        <bottom style="hair">
          <color indexed="64"/>
        </bottom>
      </border>
      <protection locked="0" hidden="0"/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numFmt numFmtId="19" formatCode="dd/mm/yyyy"/>
      <fill>
        <patternFill patternType="solid">
          <fgColor indexed="64"/>
          <bgColor theme="0" tint="-4.9989318521683403E-2"/>
        </patternFill>
      </fill>
      <border diagonalUp="0" diagonalDown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  <protection locked="0" hidden="0"/>
    </dxf>
    <dxf>
      <border diagonalUp="0" diagonalDown="0">
        <left/>
        <right style="hair">
          <color indexed="64"/>
        </right>
        <top style="hair">
          <color indexed="64"/>
        </top>
        <bottom style="hair">
          <color indexed="64"/>
        </bottom>
      </border>
      <protection locked="1" hidden="0"/>
    </dxf>
    <dxf>
      <protection locked="1" hidden="0"/>
    </dxf>
    <dxf>
      <border>
        <bottom style="thin">
          <color indexed="64"/>
        </bottom>
      </border>
    </dxf>
    <dxf>
      <font>
        <b/>
        <family val="2"/>
      </font>
      <protection locked="1" hidden="0"/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1" hidden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uncaocontabil.ne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uncaocontabil.net/" TargetMode="Externa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uncaocontabil.net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www.funcaocontabil.net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00250" cy="1790700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BD8692-7897-4113-86CB-49DEBAF89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17907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00250" cy="1790700"/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E4342D-CD6E-4B5F-BEB5-2170302A9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17907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1819275</xdr:colOff>
      <xdr:row>10</xdr:row>
      <xdr:rowOff>38100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196C0E-EAF8-4484-AA5E-338704A0B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17907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000250" cy="1790700"/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25256B-E8A1-440C-8CEF-BDC45CA64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000250" cy="17907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id="3" name="Tabela14" displayName="Tabela14" ref="B11:G60" totalsRowShown="0" headerRowDxfId="36" dataDxfId="35">
  <autoFilter ref="B11:G60"/>
  <tableColumns count="6">
    <tableColumn id="1" name="CNPJ do Cliente (somente números)" dataDxfId="34"/>
    <tableColumn id="2" name="Razão Social                      Nome de Cliente" dataDxfId="33"/>
    <tableColumn id="3" name="Telefone" dataDxfId="32"/>
    <tableColumn id="4" name="e-mail" dataDxfId="31"/>
    <tableColumn id="5" name="Endereço" dataDxfId="30"/>
    <tableColumn id="6" name="Observações" dataDxfId="29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1" name="Tabela1" displayName="Tabela1" ref="B11:F26" totalsRowShown="0" headerRowDxfId="24" dataDxfId="22" headerRowBorderDxfId="23">
  <autoFilter ref="B11:F26"/>
  <sortState ref="B12:F26">
    <sortCondition ref="B11:B26"/>
  </sortState>
  <tableColumns count="5">
    <tableColumn id="1" name="Descrição" dataDxfId="21"/>
    <tableColumn id="2" name="Vencimento" dataDxfId="20"/>
    <tableColumn id="3" name="Status" dataDxfId="19">
      <calculatedColumnFormula>IF(C12&gt;$E$7,"No Prazo","Vencida")</calculatedColumnFormula>
    </tableColumn>
    <tableColumn id="4" name="Site/Local" dataDxfId="18"/>
    <tableColumn id="5" name="Observação" dataDxfId="17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2" name="Tabela4" displayName="Tabela4" ref="E11:I261" totalsRowShown="0" headerRowDxfId="9" dataDxfId="7" headerRowBorderDxfId="8" tableBorderDxfId="6" totalsRowBorderDxfId="5">
  <tableColumns count="5">
    <tableColumn id="6" name="Status" dataDxfId="4"/>
    <tableColumn id="1" name="Motivo do Serviço" dataDxfId="3"/>
    <tableColumn id="3" name="Local do Serviço" dataDxfId="2"/>
    <tableColumn id="4" name="Data Abertura" dataDxfId="1"/>
    <tableColumn id="5" name="Data Vencimento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://www.funcaocontabil.net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email@email.net" TargetMode="External"/><Relationship Id="rId7" Type="http://schemas.openxmlformats.org/officeDocument/2006/relationships/vmlDrawing" Target="../drawings/vmlDrawing2.vml"/><Relationship Id="rId2" Type="http://schemas.openxmlformats.org/officeDocument/2006/relationships/hyperlink" Target="mailto:email@email.com" TargetMode="External"/><Relationship Id="rId1" Type="http://schemas.openxmlformats.org/officeDocument/2006/relationships/hyperlink" Target="http://www.funcaocontabil.net/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email@email.com.br" TargetMode="External"/><Relationship Id="rId9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http://www.tst.jus.br/certidao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www.sifge.caixa.gov.br/Cidadao/Crf/FgeCfSCriteriosPesquisa.asp" TargetMode="External"/><Relationship Id="rId1" Type="http://schemas.openxmlformats.org/officeDocument/2006/relationships/hyperlink" Target="http://www.receita.fazenda.gov.br/Aplicacoes/ATSPO/Certidao/CndConjuntaInter/InformaNICertidao.asp?Tipo=2" TargetMode="External"/><Relationship Id="rId6" Type="http://schemas.openxmlformats.org/officeDocument/2006/relationships/hyperlink" Target="http://www.planejamento.gov.br/servicos/faq/logistica-e-servicos-gerais/compras-publicas/como-se-cadastrar-no-sicaf" TargetMode="External"/><Relationship Id="rId11" Type="http://schemas.openxmlformats.org/officeDocument/2006/relationships/comments" Target="../comments3.xml"/><Relationship Id="rId5" Type="http://schemas.openxmlformats.org/officeDocument/2006/relationships/hyperlink" Target="http://idg.receita.fazenda.gov.br/orientacao/tributaria/cadastros/consultas-cnpj" TargetMode="External"/><Relationship Id="rId10" Type="http://schemas.openxmlformats.org/officeDocument/2006/relationships/table" Target="../tables/table2.xml"/><Relationship Id="rId4" Type="http://schemas.openxmlformats.org/officeDocument/2006/relationships/hyperlink" Target="http://www.funcaocontabil.net/" TargetMode="External"/><Relationship Id="rId9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funcaocontabil.net/" TargetMode="External"/><Relationship Id="rId6" Type="http://schemas.openxmlformats.org/officeDocument/2006/relationships/comments" Target="../comments4.xml"/><Relationship Id="rId5" Type="http://schemas.openxmlformats.org/officeDocument/2006/relationships/table" Target="../tables/table3.xml"/><Relationship Id="rId4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5"/>
  <sheetViews>
    <sheetView showGridLines="0" tabSelected="1" workbookViewId="0">
      <selection activeCell="E2" sqref="E2"/>
    </sheetView>
  </sheetViews>
  <sheetFormatPr defaultRowHeight="12.75" x14ac:dyDescent="0.2"/>
  <cols>
    <col min="1" max="1" width="2.7109375" customWidth="1"/>
    <col min="2" max="3" width="9.140625" customWidth="1"/>
    <col min="4" max="4" width="26.28515625" customWidth="1"/>
    <col min="5" max="5" width="16.140625" bestFit="1" customWidth="1"/>
  </cols>
  <sheetData>
    <row r="1" spans="1:5" ht="23.25" x14ac:dyDescent="0.35">
      <c r="A1" s="26" t="s">
        <v>96</v>
      </c>
    </row>
    <row r="2" spans="1:5" s="25" customFormat="1" x14ac:dyDescent="0.2">
      <c r="A2" s="27"/>
      <c r="E2" s="1" t="s">
        <v>0</v>
      </c>
    </row>
    <row r="3" spans="1:5" s="25" customFormat="1" x14ac:dyDescent="0.2">
      <c r="A3" s="27"/>
    </row>
    <row r="4" spans="1:5" s="25" customFormat="1" x14ac:dyDescent="0.2">
      <c r="A4" s="27"/>
    </row>
    <row r="5" spans="1:5" s="25" customFormat="1" x14ac:dyDescent="0.2">
      <c r="A5" s="27"/>
    </row>
    <row r="6" spans="1:5" s="25" customFormat="1" x14ac:dyDescent="0.2">
      <c r="A6" s="27"/>
    </row>
    <row r="7" spans="1:5" s="25" customFormat="1" x14ac:dyDescent="0.2">
      <c r="A7" s="27"/>
    </row>
    <row r="8" spans="1:5" s="25" customFormat="1" x14ac:dyDescent="0.2">
      <c r="A8" s="27"/>
    </row>
    <row r="9" spans="1:5" s="25" customFormat="1" x14ac:dyDescent="0.2">
      <c r="A9" s="27"/>
      <c r="B9" s="3" t="s">
        <v>4</v>
      </c>
    </row>
    <row r="10" spans="1:5" s="25" customFormat="1" ht="13.5" thickBot="1" x14ac:dyDescent="0.25">
      <c r="A10" s="27"/>
    </row>
    <row r="11" spans="1:5" ht="21" customHeight="1" thickBot="1" x14ac:dyDescent="0.25">
      <c r="C11" s="25" t="s">
        <v>38</v>
      </c>
      <c r="D11" s="29" t="s">
        <v>94</v>
      </c>
    </row>
    <row r="12" spans="1:5" ht="13.5" thickBot="1" x14ac:dyDescent="0.25">
      <c r="C12" s="25"/>
    </row>
    <row r="13" spans="1:5" ht="21" customHeight="1" thickBot="1" x14ac:dyDescent="0.25">
      <c r="C13" s="25" t="s">
        <v>39</v>
      </c>
      <c r="D13" s="28" t="s">
        <v>40</v>
      </c>
    </row>
    <row r="14" spans="1:5" ht="13.5" thickBot="1" x14ac:dyDescent="0.25"/>
    <row r="15" spans="1:5" ht="21" customHeight="1" thickBot="1" x14ac:dyDescent="0.25">
      <c r="C15" s="25" t="s">
        <v>95</v>
      </c>
      <c r="D15" s="29" t="s">
        <v>65</v>
      </c>
    </row>
  </sheetData>
  <hyperlinks>
    <hyperlink ref="D13" location="Certidões!A1" display="Certidões"/>
    <hyperlink ref="D15" location="'Controle de Serviços'!A1" display="Serviços"/>
    <hyperlink ref="E2" r:id="rId1" location="!download/cu9f"/>
    <hyperlink ref="D11" location="'Fluxo de Caixa'!A1" display="Fluxo de Caixa"/>
  </hyperlinks>
  <pageMargins left="0.511811024" right="0.511811024" top="0.78740157499999996" bottom="0.78740157499999996" header="0.31496062000000002" footer="0.31496062000000002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3"/>
  </sheetPr>
  <dimension ref="A1:G60"/>
  <sheetViews>
    <sheetView showGridLines="0" workbookViewId="0">
      <pane ySplit="11" topLeftCell="A12" activePane="bottomLeft" state="frozen"/>
      <selection pane="bottomLeft" activeCell="D2" sqref="D2"/>
    </sheetView>
  </sheetViews>
  <sheetFormatPr defaultRowHeight="12.75" x14ac:dyDescent="0.2"/>
  <cols>
    <col min="1" max="1" width="2.7109375" customWidth="1"/>
    <col min="2" max="2" width="20.42578125" bestFit="1" customWidth="1"/>
    <col min="3" max="3" width="29.85546875" customWidth="1"/>
    <col min="4" max="4" width="16.140625" bestFit="1" customWidth="1"/>
    <col min="5" max="5" width="18.28515625" bestFit="1" customWidth="1"/>
    <col min="6" max="6" width="32.28515625" bestFit="1" customWidth="1"/>
    <col min="7" max="7" width="51.140625" customWidth="1"/>
  </cols>
  <sheetData>
    <row r="1" spans="1:7" ht="23.25" x14ac:dyDescent="0.35">
      <c r="A1" s="26" t="s">
        <v>97</v>
      </c>
    </row>
    <row r="2" spans="1:7" x14ac:dyDescent="0.2">
      <c r="D2" s="1" t="s">
        <v>0</v>
      </c>
    </row>
    <row r="9" spans="1:7" x14ac:dyDescent="0.2">
      <c r="B9" s="3" t="s">
        <v>4</v>
      </c>
    </row>
    <row r="11" spans="1:7" ht="25.5" x14ac:dyDescent="0.2">
      <c r="B11" s="84" t="s">
        <v>86</v>
      </c>
      <c r="C11" s="85" t="s">
        <v>85</v>
      </c>
      <c r="D11" s="86" t="s">
        <v>70</v>
      </c>
      <c r="E11" s="86" t="s">
        <v>71</v>
      </c>
      <c r="F11" s="86" t="s">
        <v>72</v>
      </c>
      <c r="G11" s="86" t="s">
        <v>73</v>
      </c>
    </row>
    <row r="12" spans="1:7" x14ac:dyDescent="0.2">
      <c r="B12" s="68" t="s">
        <v>89</v>
      </c>
      <c r="C12" s="59" t="s">
        <v>69</v>
      </c>
      <c r="D12" s="59" t="s">
        <v>75</v>
      </c>
      <c r="E12" s="69" t="s">
        <v>77</v>
      </c>
      <c r="F12" s="59" t="s">
        <v>79</v>
      </c>
      <c r="G12" s="59" t="s">
        <v>82</v>
      </c>
    </row>
    <row r="13" spans="1:7" x14ac:dyDescent="0.2">
      <c r="B13" s="68" t="s">
        <v>90</v>
      </c>
      <c r="C13" s="59" t="s">
        <v>68</v>
      </c>
      <c r="D13" s="59" t="s">
        <v>74</v>
      </c>
      <c r="E13" s="69" t="s">
        <v>78</v>
      </c>
      <c r="F13" s="59" t="s">
        <v>80</v>
      </c>
      <c r="G13" s="59" t="s">
        <v>83</v>
      </c>
    </row>
    <row r="14" spans="1:7" x14ac:dyDescent="0.2">
      <c r="B14" s="68" t="s">
        <v>91</v>
      </c>
      <c r="C14" s="59" t="s">
        <v>67</v>
      </c>
      <c r="D14" s="59" t="s">
        <v>76</v>
      </c>
      <c r="E14" s="69" t="s">
        <v>66</v>
      </c>
      <c r="F14" s="59" t="s">
        <v>81</v>
      </c>
      <c r="G14" s="59" t="s">
        <v>84</v>
      </c>
    </row>
    <row r="15" spans="1:7" x14ac:dyDescent="0.2">
      <c r="B15" s="68"/>
      <c r="C15" s="59"/>
      <c r="D15" s="59"/>
      <c r="E15" s="59"/>
      <c r="F15" s="59"/>
      <c r="G15" s="59"/>
    </row>
    <row r="16" spans="1:7" x14ac:dyDescent="0.2">
      <c r="B16" s="68"/>
      <c r="C16" s="59"/>
      <c r="D16" s="59"/>
      <c r="E16" s="59"/>
      <c r="F16" s="59"/>
      <c r="G16" s="59"/>
    </row>
    <row r="17" spans="2:7" x14ac:dyDescent="0.2">
      <c r="B17" s="68"/>
      <c r="C17" s="59"/>
      <c r="D17" s="59"/>
      <c r="E17" s="59"/>
      <c r="F17" s="59"/>
      <c r="G17" s="59"/>
    </row>
    <row r="18" spans="2:7" x14ac:dyDescent="0.2">
      <c r="B18" s="68"/>
      <c r="C18" s="59"/>
      <c r="D18" s="59"/>
      <c r="E18" s="59"/>
      <c r="F18" s="59"/>
      <c r="G18" s="59"/>
    </row>
    <row r="19" spans="2:7" x14ac:dyDescent="0.2">
      <c r="B19" s="68"/>
      <c r="C19" s="59"/>
      <c r="D19" s="59"/>
      <c r="E19" s="59"/>
      <c r="F19" s="59"/>
      <c r="G19" s="59"/>
    </row>
    <row r="20" spans="2:7" x14ac:dyDescent="0.2">
      <c r="B20" s="68"/>
      <c r="C20" s="59"/>
      <c r="D20" s="59"/>
      <c r="E20" s="59"/>
      <c r="F20" s="59"/>
      <c r="G20" s="59"/>
    </row>
    <row r="21" spans="2:7" x14ac:dyDescent="0.2">
      <c r="B21" s="68"/>
      <c r="C21" s="59"/>
      <c r="D21" s="59"/>
      <c r="E21" s="59"/>
      <c r="F21" s="59"/>
      <c r="G21" s="59"/>
    </row>
    <row r="22" spans="2:7" x14ac:dyDescent="0.2">
      <c r="B22" s="68"/>
      <c r="C22" s="59"/>
      <c r="D22" s="59"/>
      <c r="E22" s="59"/>
      <c r="F22" s="59"/>
      <c r="G22" s="59"/>
    </row>
    <row r="23" spans="2:7" x14ac:dyDescent="0.2">
      <c r="B23" s="68"/>
      <c r="C23" s="59"/>
      <c r="D23" s="59"/>
      <c r="E23" s="59"/>
      <c r="F23" s="59"/>
      <c r="G23" s="59"/>
    </row>
    <row r="24" spans="2:7" x14ac:dyDescent="0.2">
      <c r="B24" s="68"/>
      <c r="C24" s="59"/>
      <c r="D24" s="59"/>
      <c r="E24" s="59"/>
      <c r="F24" s="59"/>
      <c r="G24" s="59"/>
    </row>
    <row r="25" spans="2:7" x14ac:dyDescent="0.2">
      <c r="B25" s="68"/>
      <c r="C25" s="59"/>
      <c r="D25" s="59"/>
      <c r="E25" s="59"/>
      <c r="F25" s="59"/>
      <c r="G25" s="59"/>
    </row>
    <row r="26" spans="2:7" x14ac:dyDescent="0.2">
      <c r="B26" s="68"/>
      <c r="C26" s="59"/>
      <c r="D26" s="59"/>
      <c r="E26" s="59"/>
      <c r="F26" s="59"/>
      <c r="G26" s="59"/>
    </row>
    <row r="27" spans="2:7" x14ac:dyDescent="0.2">
      <c r="B27" s="68"/>
      <c r="C27" s="59"/>
      <c r="D27" s="59"/>
      <c r="E27" s="59"/>
      <c r="F27" s="59"/>
      <c r="G27" s="59"/>
    </row>
    <row r="28" spans="2:7" x14ac:dyDescent="0.2">
      <c r="B28" s="68"/>
      <c r="C28" s="59"/>
      <c r="D28" s="59"/>
      <c r="E28" s="59"/>
      <c r="F28" s="59"/>
      <c r="G28" s="59"/>
    </row>
    <row r="29" spans="2:7" x14ac:dyDescent="0.2">
      <c r="B29" s="68"/>
      <c r="C29" s="59"/>
      <c r="D29" s="59"/>
      <c r="E29" s="59"/>
      <c r="F29" s="59"/>
      <c r="G29" s="59"/>
    </row>
    <row r="30" spans="2:7" x14ac:dyDescent="0.2">
      <c r="B30" s="68"/>
      <c r="C30" s="59"/>
      <c r="D30" s="59"/>
      <c r="E30" s="59"/>
      <c r="F30" s="59"/>
      <c r="G30" s="59"/>
    </row>
    <row r="31" spans="2:7" x14ac:dyDescent="0.2">
      <c r="B31" s="68"/>
      <c r="C31" s="59"/>
      <c r="D31" s="59"/>
      <c r="E31" s="59"/>
      <c r="F31" s="59"/>
      <c r="G31" s="59"/>
    </row>
    <row r="32" spans="2:7" x14ac:dyDescent="0.2">
      <c r="B32" s="68"/>
      <c r="C32" s="59"/>
      <c r="D32" s="59"/>
      <c r="E32" s="59"/>
      <c r="F32" s="59"/>
      <c r="G32" s="59"/>
    </row>
    <row r="33" spans="2:7" x14ac:dyDescent="0.2">
      <c r="B33" s="68"/>
      <c r="C33" s="59"/>
      <c r="D33" s="59"/>
      <c r="E33" s="59"/>
      <c r="F33" s="59"/>
      <c r="G33" s="59"/>
    </row>
    <row r="34" spans="2:7" x14ac:dyDescent="0.2">
      <c r="B34" s="68"/>
      <c r="C34" s="59"/>
      <c r="D34" s="59"/>
      <c r="E34" s="59"/>
      <c r="F34" s="59"/>
      <c r="G34" s="59"/>
    </row>
    <row r="35" spans="2:7" x14ac:dyDescent="0.2">
      <c r="B35" s="68"/>
      <c r="C35" s="59"/>
      <c r="D35" s="59"/>
      <c r="E35" s="59"/>
      <c r="F35" s="59"/>
      <c r="G35" s="59"/>
    </row>
    <row r="36" spans="2:7" x14ac:dyDescent="0.2">
      <c r="B36" s="68"/>
      <c r="C36" s="59"/>
      <c r="D36" s="59"/>
      <c r="E36" s="59"/>
      <c r="F36" s="59"/>
      <c r="G36" s="59"/>
    </row>
    <row r="37" spans="2:7" x14ac:dyDescent="0.2">
      <c r="B37" s="68"/>
      <c r="C37" s="59"/>
      <c r="D37" s="59"/>
      <c r="E37" s="59"/>
      <c r="F37" s="59"/>
      <c r="G37" s="59"/>
    </row>
    <row r="38" spans="2:7" x14ac:dyDescent="0.2">
      <c r="B38" s="68"/>
      <c r="C38" s="59"/>
      <c r="D38" s="59"/>
      <c r="E38" s="59"/>
      <c r="F38" s="59"/>
      <c r="G38" s="59"/>
    </row>
    <row r="39" spans="2:7" x14ac:dyDescent="0.2">
      <c r="B39" s="68"/>
      <c r="C39" s="59"/>
      <c r="D39" s="59"/>
      <c r="E39" s="59"/>
      <c r="F39" s="59"/>
      <c r="G39" s="59"/>
    </row>
    <row r="40" spans="2:7" x14ac:dyDescent="0.2">
      <c r="B40" s="68"/>
      <c r="C40" s="59"/>
      <c r="D40" s="59"/>
      <c r="E40" s="59"/>
      <c r="F40" s="59"/>
      <c r="G40" s="59"/>
    </row>
    <row r="41" spans="2:7" x14ac:dyDescent="0.2">
      <c r="B41" s="68"/>
      <c r="C41" s="59"/>
      <c r="D41" s="59"/>
      <c r="E41" s="59"/>
      <c r="F41" s="59"/>
      <c r="G41" s="59"/>
    </row>
    <row r="42" spans="2:7" x14ac:dyDescent="0.2">
      <c r="B42" s="68"/>
      <c r="C42" s="59"/>
      <c r="D42" s="59"/>
      <c r="E42" s="59"/>
      <c r="F42" s="59"/>
      <c r="G42" s="59"/>
    </row>
    <row r="43" spans="2:7" x14ac:dyDescent="0.2">
      <c r="B43" s="68"/>
      <c r="C43" s="59"/>
      <c r="D43" s="59"/>
      <c r="E43" s="59"/>
      <c r="F43" s="59"/>
      <c r="G43" s="59"/>
    </row>
    <row r="44" spans="2:7" x14ac:dyDescent="0.2">
      <c r="B44" s="68"/>
      <c r="C44" s="59"/>
      <c r="D44" s="59"/>
      <c r="E44" s="59"/>
      <c r="F44" s="59"/>
      <c r="G44" s="59"/>
    </row>
    <row r="45" spans="2:7" x14ac:dyDescent="0.2">
      <c r="B45" s="68"/>
      <c r="C45" s="59"/>
      <c r="D45" s="59"/>
      <c r="E45" s="59"/>
      <c r="F45" s="59"/>
      <c r="G45" s="59"/>
    </row>
    <row r="46" spans="2:7" x14ac:dyDescent="0.2">
      <c r="B46" s="68"/>
      <c r="C46" s="59"/>
      <c r="D46" s="59"/>
      <c r="E46" s="59"/>
      <c r="F46" s="59"/>
      <c r="G46" s="59"/>
    </row>
    <row r="47" spans="2:7" x14ac:dyDescent="0.2">
      <c r="B47" s="68"/>
      <c r="C47" s="59"/>
      <c r="D47" s="59"/>
      <c r="E47" s="59"/>
      <c r="F47" s="59"/>
      <c r="G47" s="59"/>
    </row>
    <row r="48" spans="2:7" x14ac:dyDescent="0.2">
      <c r="B48" s="68"/>
      <c r="C48" s="59"/>
      <c r="D48" s="59"/>
      <c r="E48" s="59"/>
      <c r="F48" s="59"/>
      <c r="G48" s="59"/>
    </row>
    <row r="49" spans="2:7" x14ac:dyDescent="0.2">
      <c r="B49" s="68"/>
      <c r="C49" s="59"/>
      <c r="D49" s="59"/>
      <c r="E49" s="59"/>
      <c r="F49" s="59"/>
      <c r="G49" s="59"/>
    </row>
    <row r="50" spans="2:7" x14ac:dyDescent="0.2">
      <c r="B50" s="68"/>
      <c r="C50" s="59"/>
      <c r="D50" s="59"/>
      <c r="E50" s="59"/>
      <c r="F50" s="59"/>
      <c r="G50" s="59"/>
    </row>
    <row r="51" spans="2:7" x14ac:dyDescent="0.2">
      <c r="B51" s="68"/>
      <c r="C51" s="59"/>
      <c r="D51" s="59"/>
      <c r="E51" s="59"/>
      <c r="F51" s="59"/>
      <c r="G51" s="59"/>
    </row>
    <row r="52" spans="2:7" x14ac:dyDescent="0.2">
      <c r="B52" s="68"/>
      <c r="C52" s="59"/>
      <c r="D52" s="59"/>
      <c r="E52" s="59"/>
      <c r="F52" s="59"/>
      <c r="G52" s="59"/>
    </row>
    <row r="53" spans="2:7" x14ac:dyDescent="0.2">
      <c r="B53" s="68"/>
      <c r="C53" s="59"/>
      <c r="D53" s="59"/>
      <c r="E53" s="59"/>
      <c r="F53" s="59"/>
      <c r="G53" s="59"/>
    </row>
    <row r="54" spans="2:7" x14ac:dyDescent="0.2">
      <c r="B54" s="68"/>
      <c r="C54" s="59"/>
      <c r="D54" s="59"/>
      <c r="E54" s="59"/>
      <c r="F54" s="59"/>
      <c r="G54" s="59"/>
    </row>
    <row r="55" spans="2:7" x14ac:dyDescent="0.2">
      <c r="B55" s="68"/>
      <c r="C55" s="59"/>
      <c r="D55" s="59"/>
      <c r="E55" s="59"/>
      <c r="F55" s="59"/>
      <c r="G55" s="59"/>
    </row>
    <row r="56" spans="2:7" x14ac:dyDescent="0.2">
      <c r="B56" s="68"/>
      <c r="C56" s="59"/>
      <c r="D56" s="59"/>
      <c r="E56" s="59"/>
      <c r="F56" s="59"/>
      <c r="G56" s="59"/>
    </row>
    <row r="57" spans="2:7" x14ac:dyDescent="0.2">
      <c r="B57" s="68"/>
      <c r="C57" s="59"/>
      <c r="D57" s="59"/>
      <c r="E57" s="59"/>
      <c r="F57" s="59"/>
      <c r="G57" s="59"/>
    </row>
    <row r="58" spans="2:7" x14ac:dyDescent="0.2">
      <c r="B58" s="68"/>
      <c r="C58" s="59"/>
      <c r="D58" s="59"/>
      <c r="E58" s="59"/>
      <c r="F58" s="59"/>
      <c r="G58" s="59"/>
    </row>
    <row r="59" spans="2:7" x14ac:dyDescent="0.2">
      <c r="B59" s="68"/>
      <c r="C59" s="59"/>
      <c r="D59" s="59"/>
      <c r="E59" s="59"/>
      <c r="F59" s="59"/>
      <c r="G59" s="59"/>
    </row>
    <row r="60" spans="2:7" x14ac:dyDescent="0.2">
      <c r="B60" s="68"/>
      <c r="C60" s="59"/>
      <c r="D60" s="59"/>
      <c r="E60" s="59"/>
      <c r="F60" s="59"/>
      <c r="G60" s="59"/>
    </row>
  </sheetData>
  <sheetProtection algorithmName="SHA-512" hashValue="4ouvQHscPRMrRkrDaOzU7BJbrhzB1Oazlnym8TI3v7RsNdxX8hFfQfcshxKohqLWBP0wl64NPydmF4BBAtLWeg==" saltValue="Z0h2HiFZ0DpUNBryksTYvg==" spinCount="100000" sheet="1" objects="1" scenarios="1" formatColumns="0" selectLockedCells="1"/>
  <hyperlinks>
    <hyperlink ref="D2" r:id="rId1" location="!download/cu9f"/>
    <hyperlink ref="E12" r:id="rId2"/>
    <hyperlink ref="E13" r:id="rId3"/>
    <hyperlink ref="E14" r:id="rId4"/>
  </hyperlinks>
  <pageMargins left="0.511811024" right="0.511811024" top="0.78740157499999996" bottom="0.78740157499999996" header="0.31496062000000002" footer="0.31496062000000002"/>
  <pageSetup paperSize="9" orientation="portrait" horizontalDpi="1200" verticalDpi="1200" r:id="rId5"/>
  <drawing r:id="rId6"/>
  <legacyDrawing r:id="rId7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F26"/>
  <sheetViews>
    <sheetView showGridLines="0" workbookViewId="0">
      <selection activeCell="D2" sqref="D2"/>
    </sheetView>
  </sheetViews>
  <sheetFormatPr defaultRowHeight="12.75" x14ac:dyDescent="0.2"/>
  <cols>
    <col min="1" max="1" width="2.7109375" style="6" customWidth="1"/>
    <col min="2" max="2" width="33.28515625" style="6" bestFit="1" customWidth="1"/>
    <col min="3" max="3" width="14.140625" style="6" bestFit="1" customWidth="1"/>
    <col min="4" max="4" width="15.85546875" style="6" bestFit="1" customWidth="1"/>
    <col min="5" max="5" width="27.140625" style="6" bestFit="1" customWidth="1"/>
    <col min="6" max="6" width="35.28515625" style="6" customWidth="1"/>
    <col min="7" max="16384" width="9.140625" style="6"/>
  </cols>
  <sheetData>
    <row r="1" spans="1:6" ht="23.25" x14ac:dyDescent="0.35">
      <c r="A1" s="5" t="s">
        <v>36</v>
      </c>
    </row>
    <row r="2" spans="1:6" x14ac:dyDescent="0.2">
      <c r="D2" s="1" t="s">
        <v>0</v>
      </c>
    </row>
    <row r="5" spans="1:6" x14ac:dyDescent="0.2">
      <c r="D5" s="71" t="s">
        <v>88</v>
      </c>
      <c r="E5" s="70" t="s">
        <v>89</v>
      </c>
    </row>
    <row r="6" spans="1:6" x14ac:dyDescent="0.2">
      <c r="D6" s="72" t="s">
        <v>87</v>
      </c>
      <c r="E6" s="2" t="str">
        <f>VLOOKUP(E5,Cadastro!B:G,2,0)</f>
        <v>Empresa Função Contábil</v>
      </c>
    </row>
    <row r="7" spans="1:6" x14ac:dyDescent="0.2">
      <c r="D7" s="7" t="s">
        <v>12</v>
      </c>
      <c r="E7" s="73">
        <f ca="1">TODAY()</f>
        <v>43149</v>
      </c>
    </row>
    <row r="8" spans="1:6" x14ac:dyDescent="0.2">
      <c r="D8" s="6" t="s">
        <v>13</v>
      </c>
      <c r="E8" s="74">
        <f ca="1">COUNTIF($D$11:$D$26,D8)</f>
        <v>13</v>
      </c>
    </row>
    <row r="9" spans="1:6" x14ac:dyDescent="0.2">
      <c r="B9" s="4" t="s">
        <v>1</v>
      </c>
      <c r="D9" s="6" t="s">
        <v>14</v>
      </c>
      <c r="E9" s="88">
        <f ca="1">COUNTIF($D$11:$D$26,D9)</f>
        <v>2</v>
      </c>
    </row>
    <row r="11" spans="1:6" s="7" customFormat="1" x14ac:dyDescent="0.2">
      <c r="B11" s="8" t="s">
        <v>3</v>
      </c>
      <c r="C11" s="8" t="s">
        <v>2</v>
      </c>
      <c r="D11" s="8" t="s">
        <v>5</v>
      </c>
      <c r="E11" s="8" t="s">
        <v>31</v>
      </c>
      <c r="F11" s="8" t="s">
        <v>6</v>
      </c>
    </row>
    <row r="12" spans="1:6" x14ac:dyDescent="0.2">
      <c r="B12" s="9" t="s">
        <v>19</v>
      </c>
      <c r="C12" s="18">
        <v>43465</v>
      </c>
      <c r="D12" s="10" t="str">
        <f t="shared" ref="D12:D26" ca="1" si="0">IF(C12&gt;$E$7,"No Prazo","Vencida")</f>
        <v>No Prazo</v>
      </c>
      <c r="E12" s="11" t="s">
        <v>32</v>
      </c>
      <c r="F12" s="21"/>
    </row>
    <row r="13" spans="1:6" x14ac:dyDescent="0.2">
      <c r="B13" s="12" t="s">
        <v>26</v>
      </c>
      <c r="C13" s="19">
        <v>43465</v>
      </c>
      <c r="D13" s="13" t="str">
        <f t="shared" ca="1" si="0"/>
        <v>No Prazo</v>
      </c>
      <c r="E13" s="14" t="s">
        <v>33</v>
      </c>
      <c r="F13" s="22"/>
    </row>
    <row r="14" spans="1:6" x14ac:dyDescent="0.2">
      <c r="B14" s="12" t="s">
        <v>18</v>
      </c>
      <c r="C14" s="19">
        <v>43465</v>
      </c>
      <c r="D14" s="13" t="str">
        <f t="shared" ca="1" si="0"/>
        <v>No Prazo</v>
      </c>
      <c r="E14" s="15" t="s">
        <v>7</v>
      </c>
      <c r="F14" s="22"/>
    </row>
    <row r="15" spans="1:6" x14ac:dyDescent="0.2">
      <c r="B15" s="12" t="s">
        <v>20</v>
      </c>
      <c r="C15" s="19">
        <v>43465</v>
      </c>
      <c r="D15" s="13" t="str">
        <f t="shared" ca="1" si="0"/>
        <v>No Prazo</v>
      </c>
      <c r="E15" s="14" t="s">
        <v>34</v>
      </c>
      <c r="F15" s="22"/>
    </row>
    <row r="16" spans="1:6" x14ac:dyDescent="0.2">
      <c r="B16" s="12" t="s">
        <v>25</v>
      </c>
      <c r="C16" s="19">
        <v>43131</v>
      </c>
      <c r="D16" s="13" t="str">
        <f t="shared" ca="1" si="0"/>
        <v>Vencida</v>
      </c>
      <c r="E16" s="15" t="s">
        <v>8</v>
      </c>
      <c r="F16" s="22"/>
    </row>
    <row r="17" spans="2:6" x14ac:dyDescent="0.2">
      <c r="B17" s="12" t="s">
        <v>27</v>
      </c>
      <c r="C17" s="19">
        <v>43131</v>
      </c>
      <c r="D17" s="13" t="str">
        <f t="shared" ca="1" si="0"/>
        <v>Vencida</v>
      </c>
      <c r="E17" s="14" t="s">
        <v>10</v>
      </c>
      <c r="F17" s="22"/>
    </row>
    <row r="18" spans="2:6" x14ac:dyDescent="0.2">
      <c r="B18" s="12" t="s">
        <v>17</v>
      </c>
      <c r="C18" s="19">
        <v>43465</v>
      </c>
      <c r="D18" s="13" t="str">
        <f t="shared" ca="1" si="0"/>
        <v>No Prazo</v>
      </c>
      <c r="E18" s="15" t="s">
        <v>9</v>
      </c>
      <c r="F18" s="22"/>
    </row>
    <row r="19" spans="2:6" x14ac:dyDescent="0.2">
      <c r="B19" s="12" t="s">
        <v>23</v>
      </c>
      <c r="C19" s="19">
        <v>43465</v>
      </c>
      <c r="D19" s="13" t="str">
        <f t="shared" ca="1" si="0"/>
        <v>No Prazo</v>
      </c>
      <c r="E19" s="14" t="s">
        <v>32</v>
      </c>
      <c r="F19" s="22"/>
    </row>
    <row r="20" spans="2:6" x14ac:dyDescent="0.2">
      <c r="B20" s="12" t="s">
        <v>24</v>
      </c>
      <c r="C20" s="19">
        <v>43465</v>
      </c>
      <c r="D20" s="13" t="str">
        <f t="shared" ca="1" si="0"/>
        <v>No Prazo</v>
      </c>
      <c r="E20" s="15" t="s">
        <v>7</v>
      </c>
      <c r="F20" s="22"/>
    </row>
    <row r="21" spans="2:6" x14ac:dyDescent="0.2">
      <c r="B21" s="12" t="s">
        <v>22</v>
      </c>
      <c r="C21" s="19">
        <v>43465</v>
      </c>
      <c r="D21" s="13" t="str">
        <f t="shared" ca="1" si="0"/>
        <v>No Prazo</v>
      </c>
      <c r="E21" s="14" t="s">
        <v>34</v>
      </c>
      <c r="F21" s="22"/>
    </row>
    <row r="22" spans="2:6" x14ac:dyDescent="0.2">
      <c r="B22" s="12" t="s">
        <v>37</v>
      </c>
      <c r="C22" s="19">
        <v>43465</v>
      </c>
      <c r="D22" s="13" t="str">
        <f t="shared" ca="1" si="0"/>
        <v>No Prazo</v>
      </c>
      <c r="E22" s="14" t="s">
        <v>34</v>
      </c>
      <c r="F22" s="22"/>
    </row>
    <row r="23" spans="2:6" x14ac:dyDescent="0.2">
      <c r="B23" s="12" t="s">
        <v>15</v>
      </c>
      <c r="C23" s="19">
        <v>43465</v>
      </c>
      <c r="D23" s="13" t="str">
        <f t="shared" ca="1" si="0"/>
        <v>No Prazo</v>
      </c>
      <c r="E23" s="14" t="s">
        <v>35</v>
      </c>
      <c r="F23" s="22"/>
    </row>
    <row r="24" spans="2:6" x14ac:dyDescent="0.2">
      <c r="B24" s="12" t="s">
        <v>21</v>
      </c>
      <c r="C24" s="19">
        <v>43465</v>
      </c>
      <c r="D24" s="13" t="str">
        <f t="shared" ca="1" si="0"/>
        <v>No Prazo</v>
      </c>
      <c r="E24" s="14" t="s">
        <v>30</v>
      </c>
      <c r="F24" s="22"/>
    </row>
    <row r="25" spans="2:6" x14ac:dyDescent="0.2">
      <c r="B25" s="12" t="s">
        <v>16</v>
      </c>
      <c r="C25" s="19">
        <v>43465</v>
      </c>
      <c r="D25" s="13" t="str">
        <f t="shared" ca="1" si="0"/>
        <v>No Prazo</v>
      </c>
      <c r="E25" s="14" t="s">
        <v>29</v>
      </c>
      <c r="F25" s="22"/>
    </row>
    <row r="26" spans="2:6" x14ac:dyDescent="0.2">
      <c r="B26" s="16" t="s">
        <v>11</v>
      </c>
      <c r="C26" s="20">
        <v>43465</v>
      </c>
      <c r="D26" s="17" t="str">
        <f t="shared" ca="1" si="0"/>
        <v>No Prazo</v>
      </c>
      <c r="E26" s="24" t="s">
        <v>28</v>
      </c>
      <c r="F26" s="23"/>
    </row>
  </sheetData>
  <sheetProtection algorithmName="SHA-512" hashValue="dBU0acUmSZ/ECZCmjNZ6jyZscCLknmzRHzoDog3UefRCq/y9C8e+oYjh32beGgdesbDsHoo9ieVfufFS/IGLbQ==" saltValue="Aev5+mw5FxxrW4fCfjhC3Q==" spinCount="100000" sheet="1" objects="1" scenarios="1" formatColumns="0" selectLockedCells="1"/>
  <dataConsolidate/>
  <conditionalFormatting sqref="E8:E9 D27 D30:D1048576">
    <cfRule type="containsText" dxfId="28" priority="3" operator="containsText" text="Vencida">
      <formula>NOT(ISERROR(SEARCH("Vencida",D8)))</formula>
    </cfRule>
    <cfRule type="containsText" dxfId="27" priority="4" operator="containsText" text="No Prazo">
      <formula>NOT(ISERROR(SEARCH("No Prazo",D8)))</formula>
    </cfRule>
  </conditionalFormatting>
  <conditionalFormatting sqref="D12:D26">
    <cfRule type="containsText" dxfId="26" priority="1" operator="containsText" text="Vencida">
      <formula>NOT(ISERROR(SEARCH("Vencida",D12)))</formula>
    </cfRule>
  </conditionalFormatting>
  <conditionalFormatting sqref="C12:C26">
    <cfRule type="cellIs" dxfId="25" priority="13" operator="lessThan">
      <formula>$E$7</formula>
    </cfRule>
  </conditionalFormatting>
  <hyperlinks>
    <hyperlink ref="E14" r:id="rId1"/>
    <hyperlink ref="E16" r:id="rId2"/>
    <hyperlink ref="E18" r:id="rId3"/>
    <hyperlink ref="D2" r:id="rId4" location="!download/cu9f"/>
    <hyperlink ref="E20" r:id="rId5"/>
    <hyperlink ref="E26" r:id="rId6"/>
  </hyperlinks>
  <pageMargins left="0.511811024" right="0.511811024" top="0.78740157499999996" bottom="0.78740157499999996" header="0.31496062000000002" footer="0.31496062000000002"/>
  <pageSetup paperSize="9" orientation="portrait" verticalDpi="1200" r:id="rId7"/>
  <drawing r:id="rId8"/>
  <legacyDrawing r:id="rId9"/>
  <tableParts count="1"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L261"/>
  <sheetViews>
    <sheetView showGridLines="0" zoomScaleNormal="100" workbookViewId="0">
      <pane ySplit="11" topLeftCell="A12" activePane="bottomLeft" state="frozen"/>
      <selection pane="bottomLeft" activeCell="E2" sqref="E2"/>
    </sheetView>
  </sheetViews>
  <sheetFormatPr defaultColWidth="9.140625" defaultRowHeight="12.75" customHeight="1" x14ac:dyDescent="0.2"/>
  <cols>
    <col min="1" max="1" width="2.7109375" style="33" customWidth="1"/>
    <col min="2" max="2" width="13.28515625" style="67" bestFit="1" customWidth="1"/>
    <col min="3" max="3" width="18.7109375" style="67" customWidth="1"/>
    <col min="4" max="4" width="31.140625" style="67" customWidth="1"/>
    <col min="5" max="5" width="16.140625" style="34" bestFit="1" customWidth="1"/>
    <col min="6" max="6" width="19.28515625" style="34" bestFit="1" customWidth="1"/>
    <col min="7" max="7" width="16.42578125" style="34" bestFit="1" customWidth="1"/>
    <col min="8" max="8" width="10.28515625" style="34" bestFit="1" customWidth="1"/>
    <col min="9" max="9" width="12.42578125" style="34" bestFit="1" customWidth="1"/>
    <col min="10" max="10" width="2.7109375" style="33" customWidth="1"/>
    <col min="11" max="11" width="17.140625" style="41" bestFit="1" customWidth="1"/>
    <col min="12" max="12" width="2.5703125" style="33" customWidth="1"/>
    <col min="13" max="13" width="16.5703125" style="34" customWidth="1"/>
    <col min="14" max="14" width="41.28515625" style="34" bestFit="1" customWidth="1"/>
    <col min="15" max="16384" width="9.140625" style="34"/>
  </cols>
  <sheetData>
    <row r="1" spans="1:12" ht="23.25" x14ac:dyDescent="0.35">
      <c r="A1" s="30" t="s">
        <v>41</v>
      </c>
      <c r="B1" s="30"/>
      <c r="C1" s="30"/>
      <c r="D1" s="30"/>
      <c r="E1" s="30"/>
      <c r="F1" s="30"/>
      <c r="G1" s="30"/>
      <c r="H1" s="30"/>
      <c r="I1" s="30"/>
      <c r="J1" s="31"/>
      <c r="K1" s="32"/>
    </row>
    <row r="2" spans="1:12" ht="12.75" customHeight="1" x14ac:dyDescent="0.2">
      <c r="B2" s="35"/>
      <c r="C2" s="35"/>
      <c r="E2" s="1" t="s">
        <v>0</v>
      </c>
      <c r="G2" s="36" t="s">
        <v>42</v>
      </c>
      <c r="H2" s="36">
        <f>COUNTA(C12:C261)</f>
        <v>3</v>
      </c>
      <c r="I2" s="35"/>
      <c r="J2" s="37"/>
      <c r="K2" s="37"/>
    </row>
    <row r="3" spans="1:12" ht="12.75" customHeight="1" x14ac:dyDescent="0.2">
      <c r="B3" s="35"/>
      <c r="C3" s="35"/>
      <c r="D3" s="34"/>
      <c r="E3" s="38"/>
      <c r="F3" s="38"/>
      <c r="I3" s="35"/>
      <c r="J3" s="37"/>
      <c r="K3" s="37"/>
    </row>
    <row r="4" spans="1:12" ht="12.75" customHeight="1" x14ac:dyDescent="0.2">
      <c r="B4" s="35"/>
      <c r="C4" s="35"/>
      <c r="D4" s="35"/>
      <c r="E4" s="35"/>
      <c r="G4" s="39" t="s">
        <v>43</v>
      </c>
      <c r="H4" s="40">
        <f>COUNTIF(Tabela4[Status],"=Concluído")</f>
        <v>1</v>
      </c>
      <c r="I4" s="35"/>
      <c r="J4" s="37"/>
      <c r="K4" s="37"/>
    </row>
    <row r="5" spans="1:12" ht="12.75" customHeight="1" x14ac:dyDescent="0.2">
      <c r="B5" s="35"/>
      <c r="C5" s="35"/>
      <c r="D5" s="35"/>
      <c r="F5" s="35"/>
      <c r="G5" s="41" t="s">
        <v>44</v>
      </c>
      <c r="H5" s="42">
        <f>COUNTIF(Tabela4[Status],"=Em Andamento")</f>
        <v>3</v>
      </c>
      <c r="I5" s="35"/>
      <c r="J5" s="37"/>
      <c r="K5" s="37"/>
    </row>
    <row r="6" spans="1:12" ht="12.75" customHeight="1" x14ac:dyDescent="0.2">
      <c r="B6" s="35"/>
      <c r="C6" s="35"/>
      <c r="D6" s="35"/>
      <c r="F6" s="35"/>
      <c r="G6" s="39" t="s">
        <v>45</v>
      </c>
      <c r="H6" s="43">
        <f>COUNTIF(Tabela4[Status],"=Pendente")</f>
        <v>1</v>
      </c>
      <c r="I6" s="35"/>
      <c r="J6" s="37"/>
      <c r="K6" s="37"/>
    </row>
    <row r="7" spans="1:12" ht="12.75" customHeight="1" x14ac:dyDescent="0.2">
      <c r="B7" s="35"/>
      <c r="C7" s="35"/>
      <c r="D7" s="35"/>
      <c r="E7" s="35"/>
      <c r="F7" s="35"/>
      <c r="G7" s="44" t="s">
        <v>46</v>
      </c>
      <c r="H7" s="45">
        <f>SUM(H4:H6)</f>
        <v>5</v>
      </c>
      <c r="I7" s="35"/>
      <c r="J7" s="37"/>
      <c r="K7" s="37"/>
    </row>
    <row r="8" spans="1:12" ht="12.75" customHeight="1" x14ac:dyDescent="0.2">
      <c r="B8" s="35"/>
      <c r="C8" s="35"/>
      <c r="D8" s="35"/>
      <c r="E8" s="35"/>
      <c r="F8" s="35"/>
      <c r="G8" s="35"/>
      <c r="H8" s="35"/>
      <c r="I8" s="35"/>
      <c r="J8" s="37"/>
      <c r="K8" s="37"/>
    </row>
    <row r="9" spans="1:12" ht="12.75" customHeight="1" x14ac:dyDescent="0.2">
      <c r="B9" s="35"/>
      <c r="C9" s="3" t="s">
        <v>64</v>
      </c>
      <c r="D9" s="35"/>
      <c r="E9" s="35"/>
      <c r="F9" s="35"/>
      <c r="G9" s="35"/>
      <c r="H9" s="35"/>
      <c r="I9" s="35"/>
      <c r="J9" s="37"/>
      <c r="K9" s="37"/>
    </row>
    <row r="10" spans="1:12" ht="12.75" customHeight="1" x14ac:dyDescent="0.2">
      <c r="B10" s="34"/>
      <c r="C10" s="46"/>
      <c r="D10" s="47"/>
      <c r="E10" s="47"/>
      <c r="F10" s="48"/>
      <c r="H10" s="49"/>
      <c r="I10" s="49"/>
      <c r="K10" s="34"/>
    </row>
    <row r="11" spans="1:12" s="52" customFormat="1" ht="12.75" customHeight="1" x14ac:dyDescent="0.2">
      <c r="A11" s="50"/>
      <c r="B11" s="82" t="s">
        <v>93</v>
      </c>
      <c r="C11" s="83" t="s">
        <v>88</v>
      </c>
      <c r="D11" s="83" t="s">
        <v>92</v>
      </c>
      <c r="E11" s="75" t="s">
        <v>5</v>
      </c>
      <c r="F11" s="75" t="s">
        <v>48</v>
      </c>
      <c r="G11" s="75" t="s">
        <v>49</v>
      </c>
      <c r="H11" s="76" t="s">
        <v>50</v>
      </c>
      <c r="I11" s="77" t="s">
        <v>51</v>
      </c>
      <c r="J11" s="51"/>
      <c r="K11" s="87" t="s">
        <v>98</v>
      </c>
      <c r="L11" s="50"/>
    </row>
    <row r="12" spans="1:12" ht="12.75" customHeight="1" x14ac:dyDescent="0.2">
      <c r="B12" s="89">
        <v>1</v>
      </c>
      <c r="C12" s="90" t="s">
        <v>89</v>
      </c>
      <c r="D12" s="91" t="str">
        <f>IFERROR(VLOOKUP(C12,Cadastro!B:G,2,0)&amp;" - "&amp;VLOOKUP(C12,Cadastro!B:G,3,0)&amp;" - "&amp;VLOOKUP(C12,Cadastro!B:G,4,0),"")</f>
        <v>Empresa Função Contábil - (0xx) 1111-0001 - email@email.com</v>
      </c>
      <c r="E12" s="55" t="s">
        <v>43</v>
      </c>
      <c r="F12" s="54" t="s">
        <v>52</v>
      </c>
      <c r="G12" s="55" t="s">
        <v>34</v>
      </c>
      <c r="H12" s="56">
        <v>43122</v>
      </c>
      <c r="I12" s="57">
        <f>H12+30</f>
        <v>43152</v>
      </c>
      <c r="K12" s="53" t="s">
        <v>53</v>
      </c>
    </row>
    <row r="13" spans="1:12" ht="12.75" customHeight="1" x14ac:dyDescent="0.2">
      <c r="B13" s="89"/>
      <c r="C13" s="90"/>
      <c r="D13" s="91"/>
      <c r="E13" s="55" t="s">
        <v>44</v>
      </c>
      <c r="F13" s="54" t="s">
        <v>54</v>
      </c>
      <c r="G13" s="55" t="s">
        <v>55</v>
      </c>
      <c r="H13" s="56">
        <f ca="1">TODAY()</f>
        <v>43149</v>
      </c>
      <c r="I13" s="57">
        <f t="shared" ref="I13:I14" ca="1" si="0">H13+30</f>
        <v>43179</v>
      </c>
      <c r="K13" s="58" t="s">
        <v>56</v>
      </c>
    </row>
    <row r="14" spans="1:12" ht="12.75" customHeight="1" x14ac:dyDescent="0.2">
      <c r="B14" s="89"/>
      <c r="C14" s="90"/>
      <c r="D14" s="91"/>
      <c r="E14" s="55" t="s">
        <v>44</v>
      </c>
      <c r="F14" s="60" t="s">
        <v>57</v>
      </c>
      <c r="G14" s="55" t="s">
        <v>53</v>
      </c>
      <c r="H14" s="56">
        <v>43122</v>
      </c>
      <c r="I14" s="57">
        <f t="shared" si="0"/>
        <v>43152</v>
      </c>
      <c r="K14" s="58" t="s">
        <v>47</v>
      </c>
    </row>
    <row r="15" spans="1:12" ht="12.75" customHeight="1" x14ac:dyDescent="0.2">
      <c r="B15" s="89"/>
      <c r="C15" s="90"/>
      <c r="D15" s="91"/>
      <c r="E15" s="55" t="s">
        <v>45</v>
      </c>
      <c r="F15" s="60" t="s">
        <v>58</v>
      </c>
      <c r="G15" s="55" t="s">
        <v>7</v>
      </c>
      <c r="H15" s="56">
        <v>43122</v>
      </c>
      <c r="I15" s="57">
        <f ca="1">TODAY()</f>
        <v>43149</v>
      </c>
      <c r="K15" s="58" t="s">
        <v>55</v>
      </c>
    </row>
    <row r="16" spans="1:12" ht="12.75" customHeight="1" x14ac:dyDescent="0.2">
      <c r="B16" s="89"/>
      <c r="C16" s="90"/>
      <c r="D16" s="91"/>
      <c r="E16" s="55"/>
      <c r="F16" s="54"/>
      <c r="G16" s="55"/>
      <c r="H16" s="56"/>
      <c r="I16" s="57"/>
      <c r="K16" s="58" t="s">
        <v>10</v>
      </c>
    </row>
    <row r="17" spans="2:11" ht="12.75" customHeight="1" x14ac:dyDescent="0.2">
      <c r="B17" s="89"/>
      <c r="C17" s="90"/>
      <c r="D17" s="91"/>
      <c r="E17" s="55"/>
      <c r="F17" s="54"/>
      <c r="G17" s="55"/>
      <c r="H17" s="56"/>
      <c r="I17" s="57"/>
      <c r="K17" s="58" t="s">
        <v>59</v>
      </c>
    </row>
    <row r="18" spans="2:11" ht="12.75" customHeight="1" x14ac:dyDescent="0.2">
      <c r="B18" s="89"/>
      <c r="C18" s="90"/>
      <c r="D18" s="91"/>
      <c r="E18" s="55"/>
      <c r="F18" s="54"/>
      <c r="G18" s="55"/>
      <c r="H18" s="56"/>
      <c r="I18" s="57"/>
      <c r="K18" s="58" t="s">
        <v>60</v>
      </c>
    </row>
    <row r="19" spans="2:11" ht="12.75" customHeight="1" x14ac:dyDescent="0.2">
      <c r="B19" s="89"/>
      <c r="C19" s="90"/>
      <c r="D19" s="91"/>
      <c r="E19" s="55"/>
      <c r="F19" s="54"/>
      <c r="G19" s="55"/>
      <c r="H19" s="56"/>
      <c r="I19" s="57"/>
      <c r="K19" s="58" t="s">
        <v>61</v>
      </c>
    </row>
    <row r="20" spans="2:11" ht="12.75" customHeight="1" x14ac:dyDescent="0.2">
      <c r="B20" s="89"/>
      <c r="C20" s="90"/>
      <c r="D20" s="91"/>
      <c r="E20" s="55"/>
      <c r="F20" s="54"/>
      <c r="G20" s="55"/>
      <c r="H20" s="56"/>
      <c r="I20" s="57"/>
      <c r="K20" s="58" t="s">
        <v>34</v>
      </c>
    </row>
    <row r="21" spans="2:11" ht="12.75" customHeight="1" x14ac:dyDescent="0.2">
      <c r="B21" s="89"/>
      <c r="C21" s="90"/>
      <c r="D21" s="91"/>
      <c r="E21" s="55"/>
      <c r="F21" s="54"/>
      <c r="G21" s="55"/>
      <c r="H21" s="56"/>
      <c r="I21" s="57"/>
      <c r="K21" s="58" t="s">
        <v>62</v>
      </c>
    </row>
    <row r="22" spans="2:11" ht="12.75" customHeight="1" x14ac:dyDescent="0.2">
      <c r="B22" s="92">
        <v>2</v>
      </c>
      <c r="C22" s="90" t="s">
        <v>90</v>
      </c>
      <c r="D22" s="91" t="str">
        <f>IFERROR(VLOOKUP(C22,Cadastro!B:G,2,0)&amp;" - "&amp;VLOOKUP(C22,Cadastro!B:G,3,0)&amp;" - "&amp;VLOOKUP(C22,Cadastro!B:G,4,0),"")</f>
        <v>Empresa 123 Ltda - (0xx) 1111-0002 - email@email.net</v>
      </c>
      <c r="E22" s="55" t="s">
        <v>44</v>
      </c>
      <c r="F22" s="54" t="s">
        <v>52</v>
      </c>
      <c r="G22" s="55" t="s">
        <v>34</v>
      </c>
      <c r="H22" s="56">
        <f ca="1">TODAY()</f>
        <v>43149</v>
      </c>
      <c r="I22" s="57">
        <f t="shared" ref="I22" ca="1" si="1">H22+30</f>
        <v>43179</v>
      </c>
      <c r="K22" s="58" t="s">
        <v>63</v>
      </c>
    </row>
    <row r="23" spans="2:11" ht="12.75" customHeight="1" x14ac:dyDescent="0.2">
      <c r="B23" s="92"/>
      <c r="C23" s="90"/>
      <c r="D23" s="91"/>
      <c r="E23" s="55"/>
      <c r="F23" s="54"/>
      <c r="G23" s="55"/>
      <c r="H23" s="56"/>
      <c r="I23" s="57"/>
      <c r="K23" s="58" t="s">
        <v>7</v>
      </c>
    </row>
    <row r="24" spans="2:11" ht="12.75" customHeight="1" x14ac:dyDescent="0.2">
      <c r="B24" s="92"/>
      <c r="C24" s="90"/>
      <c r="D24" s="91"/>
      <c r="E24" s="55"/>
      <c r="F24" s="54"/>
      <c r="G24" s="55"/>
      <c r="H24" s="56"/>
      <c r="I24" s="57"/>
      <c r="K24" s="61" t="s">
        <v>29</v>
      </c>
    </row>
    <row r="25" spans="2:11" ht="12.75" customHeight="1" x14ac:dyDescent="0.2">
      <c r="B25" s="92"/>
      <c r="C25" s="90"/>
      <c r="D25" s="91"/>
      <c r="E25" s="55"/>
      <c r="F25" s="54"/>
      <c r="G25" s="55"/>
      <c r="H25" s="56"/>
      <c r="I25" s="57"/>
      <c r="K25" s="62"/>
    </row>
    <row r="26" spans="2:11" ht="12.75" customHeight="1" x14ac:dyDescent="0.2">
      <c r="B26" s="92"/>
      <c r="C26" s="90"/>
      <c r="D26" s="91"/>
      <c r="E26" s="55"/>
      <c r="F26" s="54"/>
      <c r="G26" s="55"/>
      <c r="H26" s="56"/>
      <c r="I26" s="57"/>
      <c r="K26" s="63" t="s">
        <v>43</v>
      </c>
    </row>
    <row r="27" spans="2:11" ht="12.75" customHeight="1" x14ac:dyDescent="0.2">
      <c r="B27" s="92"/>
      <c r="C27" s="90"/>
      <c r="D27" s="91"/>
      <c r="E27" s="55"/>
      <c r="F27" s="54"/>
      <c r="G27" s="55"/>
      <c r="H27" s="56"/>
      <c r="I27" s="57"/>
      <c r="K27" s="64" t="s">
        <v>44</v>
      </c>
    </row>
    <row r="28" spans="2:11" ht="12.75" customHeight="1" x14ac:dyDescent="0.2">
      <c r="B28" s="92"/>
      <c r="C28" s="90"/>
      <c r="D28" s="91"/>
      <c r="E28" s="55"/>
      <c r="F28" s="54"/>
      <c r="G28" s="55"/>
      <c r="H28" s="56"/>
      <c r="I28" s="57"/>
      <c r="K28" s="65" t="s">
        <v>45</v>
      </c>
    </row>
    <row r="29" spans="2:11" ht="12.75" customHeight="1" x14ac:dyDescent="0.2">
      <c r="B29" s="92"/>
      <c r="C29" s="90"/>
      <c r="D29" s="91"/>
      <c r="E29" s="55"/>
      <c r="F29" s="54"/>
      <c r="G29" s="55"/>
      <c r="H29" s="56"/>
      <c r="I29" s="57"/>
      <c r="K29" s="64"/>
    </row>
    <row r="30" spans="2:11" ht="12.75" customHeight="1" x14ac:dyDescent="0.2">
      <c r="B30" s="92"/>
      <c r="C30" s="90"/>
      <c r="D30" s="91"/>
      <c r="E30" s="55"/>
      <c r="F30" s="54"/>
      <c r="G30" s="55"/>
      <c r="H30" s="56"/>
      <c r="I30" s="57"/>
    </row>
    <row r="31" spans="2:11" ht="12.75" customHeight="1" x14ac:dyDescent="0.2">
      <c r="B31" s="92"/>
      <c r="C31" s="90"/>
      <c r="D31" s="91"/>
      <c r="E31" s="55"/>
      <c r="F31" s="54"/>
      <c r="G31" s="55"/>
      <c r="H31" s="56"/>
      <c r="I31" s="57"/>
    </row>
    <row r="32" spans="2:11" ht="12.75" customHeight="1" x14ac:dyDescent="0.2">
      <c r="B32" s="92">
        <v>3</v>
      </c>
      <c r="C32" s="90" t="s">
        <v>91</v>
      </c>
      <c r="D32" s="91" t="str">
        <f>IFERROR(VLOOKUP(C32,Cadastro!B:G,2,0)&amp;" - "&amp;VLOOKUP(C32,Cadastro!B:G,3,0)&amp;" - "&amp;VLOOKUP(C32,Cadastro!B:G,4,0),"")</f>
        <v>Empresa ABC Ltda - (0xx) 1111-0003 - email@email.com.br</v>
      </c>
      <c r="E32" s="55"/>
      <c r="F32" s="54"/>
      <c r="G32" s="55"/>
      <c r="H32" s="56"/>
      <c r="I32" s="57"/>
    </row>
    <row r="33" spans="2:9" ht="12.75" customHeight="1" x14ac:dyDescent="0.2">
      <c r="B33" s="92"/>
      <c r="C33" s="90"/>
      <c r="D33" s="91"/>
      <c r="E33" s="55"/>
      <c r="F33" s="54"/>
      <c r="G33" s="55"/>
      <c r="H33" s="56"/>
      <c r="I33" s="57"/>
    </row>
    <row r="34" spans="2:9" ht="12.75" customHeight="1" x14ac:dyDescent="0.2">
      <c r="B34" s="92"/>
      <c r="C34" s="90"/>
      <c r="D34" s="91"/>
      <c r="E34" s="55"/>
      <c r="F34" s="54"/>
      <c r="G34" s="55"/>
      <c r="H34" s="56"/>
      <c r="I34" s="57"/>
    </row>
    <row r="35" spans="2:9" ht="12.75" customHeight="1" x14ac:dyDescent="0.2">
      <c r="B35" s="92"/>
      <c r="C35" s="90"/>
      <c r="D35" s="91"/>
      <c r="E35" s="55"/>
      <c r="F35" s="54"/>
      <c r="G35" s="55"/>
      <c r="H35" s="56"/>
      <c r="I35" s="57"/>
    </row>
    <row r="36" spans="2:9" ht="12.75" customHeight="1" x14ac:dyDescent="0.2">
      <c r="B36" s="92"/>
      <c r="C36" s="90"/>
      <c r="D36" s="91"/>
      <c r="E36" s="55"/>
      <c r="F36" s="54"/>
      <c r="G36" s="55"/>
      <c r="H36" s="56"/>
      <c r="I36" s="57"/>
    </row>
    <row r="37" spans="2:9" ht="12.75" customHeight="1" x14ac:dyDescent="0.2">
      <c r="B37" s="92"/>
      <c r="C37" s="90"/>
      <c r="D37" s="91"/>
      <c r="E37" s="55"/>
      <c r="F37" s="54"/>
      <c r="G37" s="55"/>
      <c r="H37" s="56"/>
      <c r="I37" s="57"/>
    </row>
    <row r="38" spans="2:9" ht="12.75" customHeight="1" x14ac:dyDescent="0.2">
      <c r="B38" s="92"/>
      <c r="C38" s="90"/>
      <c r="D38" s="91"/>
      <c r="E38" s="55"/>
      <c r="F38" s="54"/>
      <c r="G38" s="55"/>
      <c r="H38" s="56"/>
      <c r="I38" s="57"/>
    </row>
    <row r="39" spans="2:9" ht="12.75" customHeight="1" x14ac:dyDescent="0.2">
      <c r="B39" s="92"/>
      <c r="C39" s="90"/>
      <c r="D39" s="91"/>
      <c r="E39" s="55"/>
      <c r="F39" s="54"/>
      <c r="G39" s="55"/>
      <c r="H39" s="56"/>
      <c r="I39" s="57"/>
    </row>
    <row r="40" spans="2:9" ht="12.75" customHeight="1" x14ac:dyDescent="0.2">
      <c r="B40" s="92"/>
      <c r="C40" s="90"/>
      <c r="D40" s="91"/>
      <c r="E40" s="55"/>
      <c r="F40" s="54"/>
      <c r="G40" s="55"/>
      <c r="H40" s="56"/>
      <c r="I40" s="57"/>
    </row>
    <row r="41" spans="2:9" ht="12.75" customHeight="1" x14ac:dyDescent="0.2">
      <c r="B41" s="92"/>
      <c r="C41" s="90"/>
      <c r="D41" s="91"/>
      <c r="E41" s="55"/>
      <c r="F41" s="54"/>
      <c r="G41" s="55"/>
      <c r="H41" s="56"/>
      <c r="I41" s="57"/>
    </row>
    <row r="42" spans="2:9" ht="12.75" customHeight="1" x14ac:dyDescent="0.2">
      <c r="B42" s="92">
        <v>4</v>
      </c>
      <c r="C42" s="90"/>
      <c r="D42" s="91" t="str">
        <f>IFERROR(VLOOKUP(C42,Cadastro!B:G,2,0)&amp;" - "&amp;VLOOKUP(C42,Cadastro!B:G,3,0)&amp;" - "&amp;VLOOKUP(C42,Cadastro!B:G,4,0),"")</f>
        <v/>
      </c>
      <c r="E42" s="55"/>
      <c r="F42" s="54"/>
      <c r="G42" s="55"/>
      <c r="H42" s="56"/>
      <c r="I42" s="57"/>
    </row>
    <row r="43" spans="2:9" ht="12.75" customHeight="1" x14ac:dyDescent="0.2">
      <c r="B43" s="92"/>
      <c r="C43" s="90"/>
      <c r="D43" s="91"/>
      <c r="E43" s="55"/>
      <c r="F43" s="54"/>
      <c r="G43" s="55"/>
      <c r="H43" s="56"/>
      <c r="I43" s="57"/>
    </row>
    <row r="44" spans="2:9" ht="12.75" customHeight="1" x14ac:dyDescent="0.2">
      <c r="B44" s="92"/>
      <c r="C44" s="90"/>
      <c r="D44" s="91"/>
      <c r="E44" s="55"/>
      <c r="F44" s="54"/>
      <c r="G44" s="55"/>
      <c r="H44" s="56"/>
      <c r="I44" s="57"/>
    </row>
    <row r="45" spans="2:9" ht="12.75" customHeight="1" x14ac:dyDescent="0.2">
      <c r="B45" s="92"/>
      <c r="C45" s="90"/>
      <c r="D45" s="91"/>
      <c r="E45" s="55"/>
      <c r="F45" s="54"/>
      <c r="G45" s="55"/>
      <c r="H45" s="56"/>
      <c r="I45" s="57"/>
    </row>
    <row r="46" spans="2:9" ht="12.75" customHeight="1" x14ac:dyDescent="0.2">
      <c r="B46" s="92"/>
      <c r="C46" s="90"/>
      <c r="D46" s="91"/>
      <c r="E46" s="55"/>
      <c r="F46" s="54"/>
      <c r="G46" s="55"/>
      <c r="H46" s="56"/>
      <c r="I46" s="57"/>
    </row>
    <row r="47" spans="2:9" ht="12.75" customHeight="1" x14ac:dyDescent="0.2">
      <c r="B47" s="92"/>
      <c r="C47" s="90"/>
      <c r="D47" s="91"/>
      <c r="E47" s="55"/>
      <c r="F47" s="54"/>
      <c r="G47" s="55"/>
      <c r="H47" s="56"/>
      <c r="I47" s="57"/>
    </row>
    <row r="48" spans="2:9" ht="12.75" customHeight="1" x14ac:dyDescent="0.2">
      <c r="B48" s="92"/>
      <c r="C48" s="90"/>
      <c r="D48" s="91"/>
      <c r="E48" s="55"/>
      <c r="F48" s="54"/>
      <c r="G48" s="55"/>
      <c r="H48" s="56"/>
      <c r="I48" s="57"/>
    </row>
    <row r="49" spans="2:9" ht="12.75" customHeight="1" x14ac:dyDescent="0.2">
      <c r="B49" s="92"/>
      <c r="C49" s="90"/>
      <c r="D49" s="91"/>
      <c r="E49" s="55"/>
      <c r="F49" s="54"/>
      <c r="G49" s="55"/>
      <c r="H49" s="56"/>
      <c r="I49" s="57"/>
    </row>
    <row r="50" spans="2:9" ht="12.75" customHeight="1" x14ac:dyDescent="0.2">
      <c r="B50" s="92"/>
      <c r="C50" s="90"/>
      <c r="D50" s="91"/>
      <c r="E50" s="55"/>
      <c r="F50" s="54"/>
      <c r="G50" s="55"/>
      <c r="H50" s="56"/>
      <c r="I50" s="57"/>
    </row>
    <row r="51" spans="2:9" ht="12.75" customHeight="1" x14ac:dyDescent="0.2">
      <c r="B51" s="92"/>
      <c r="C51" s="90"/>
      <c r="D51" s="91"/>
      <c r="E51" s="55"/>
      <c r="F51" s="54"/>
      <c r="G51" s="55"/>
      <c r="H51" s="56"/>
      <c r="I51" s="57"/>
    </row>
    <row r="52" spans="2:9" ht="12.75" customHeight="1" x14ac:dyDescent="0.2">
      <c r="B52" s="92">
        <v>5</v>
      </c>
      <c r="C52" s="90"/>
      <c r="D52" s="91" t="str">
        <f>IFERROR(VLOOKUP(C52,Cadastro!B:G,2,0)&amp;" - "&amp;VLOOKUP(C52,Cadastro!B:G,3,0)&amp;" - "&amp;VLOOKUP(C52,Cadastro!B:G,4,0),"")</f>
        <v/>
      </c>
      <c r="E52" s="55"/>
      <c r="F52" s="54"/>
      <c r="G52" s="55"/>
      <c r="H52" s="56"/>
      <c r="I52" s="57"/>
    </row>
    <row r="53" spans="2:9" ht="12.75" customHeight="1" x14ac:dyDescent="0.2">
      <c r="B53" s="92"/>
      <c r="C53" s="90"/>
      <c r="D53" s="91"/>
      <c r="E53" s="55"/>
      <c r="F53" s="54"/>
      <c r="G53" s="55"/>
      <c r="H53" s="56"/>
      <c r="I53" s="57"/>
    </row>
    <row r="54" spans="2:9" ht="12.75" customHeight="1" x14ac:dyDescent="0.2">
      <c r="B54" s="92"/>
      <c r="C54" s="90"/>
      <c r="D54" s="91"/>
      <c r="E54" s="55"/>
      <c r="F54" s="54"/>
      <c r="G54" s="55"/>
      <c r="H54" s="56"/>
      <c r="I54" s="57"/>
    </row>
    <row r="55" spans="2:9" ht="12.75" customHeight="1" x14ac:dyDescent="0.2">
      <c r="B55" s="92"/>
      <c r="C55" s="90"/>
      <c r="D55" s="91"/>
      <c r="E55" s="55"/>
      <c r="F55" s="54"/>
      <c r="G55" s="55"/>
      <c r="H55" s="56"/>
      <c r="I55" s="57"/>
    </row>
    <row r="56" spans="2:9" ht="12.75" customHeight="1" x14ac:dyDescent="0.2">
      <c r="B56" s="92"/>
      <c r="C56" s="90"/>
      <c r="D56" s="91"/>
      <c r="E56" s="55"/>
      <c r="F56" s="54"/>
      <c r="G56" s="55"/>
      <c r="H56" s="56"/>
      <c r="I56" s="57"/>
    </row>
    <row r="57" spans="2:9" ht="12.75" customHeight="1" x14ac:dyDescent="0.2">
      <c r="B57" s="92"/>
      <c r="C57" s="90"/>
      <c r="D57" s="91"/>
      <c r="E57" s="55"/>
      <c r="F57" s="54"/>
      <c r="G57" s="55"/>
      <c r="H57" s="56"/>
      <c r="I57" s="57"/>
    </row>
    <row r="58" spans="2:9" ht="12.75" customHeight="1" x14ac:dyDescent="0.2">
      <c r="B58" s="92"/>
      <c r="C58" s="90"/>
      <c r="D58" s="91"/>
      <c r="E58" s="55"/>
      <c r="F58" s="54"/>
      <c r="G58" s="55"/>
      <c r="H58" s="56"/>
      <c r="I58" s="57"/>
    </row>
    <row r="59" spans="2:9" ht="12.75" customHeight="1" x14ac:dyDescent="0.2">
      <c r="B59" s="92"/>
      <c r="C59" s="90"/>
      <c r="D59" s="91"/>
      <c r="E59" s="55"/>
      <c r="F59" s="54"/>
      <c r="G59" s="55"/>
      <c r="H59" s="56"/>
      <c r="I59" s="57"/>
    </row>
    <row r="60" spans="2:9" ht="12.75" customHeight="1" x14ac:dyDescent="0.2">
      <c r="B60" s="92"/>
      <c r="C60" s="90"/>
      <c r="D60" s="91"/>
      <c r="E60" s="55"/>
      <c r="F60" s="54"/>
      <c r="G60" s="55"/>
      <c r="H60" s="56"/>
      <c r="I60" s="57"/>
    </row>
    <row r="61" spans="2:9" ht="12.75" customHeight="1" x14ac:dyDescent="0.2">
      <c r="B61" s="92"/>
      <c r="C61" s="90"/>
      <c r="D61" s="91"/>
      <c r="E61" s="55"/>
      <c r="F61" s="54"/>
      <c r="G61" s="55"/>
      <c r="H61" s="56"/>
      <c r="I61" s="57"/>
    </row>
    <row r="62" spans="2:9" ht="12.75" customHeight="1" x14ac:dyDescent="0.2">
      <c r="B62" s="92">
        <v>6</v>
      </c>
      <c r="C62" s="90"/>
      <c r="D62" s="91" t="str">
        <f>IFERROR(VLOOKUP(C62,Cadastro!B:G,2,0)&amp;" - "&amp;VLOOKUP(C62,Cadastro!B:G,3,0)&amp;" - "&amp;VLOOKUP(C62,Cadastro!B:G,4,0),"")</f>
        <v/>
      </c>
      <c r="E62" s="55"/>
      <c r="F62" s="54"/>
      <c r="G62" s="55"/>
      <c r="H62" s="56"/>
      <c r="I62" s="57"/>
    </row>
    <row r="63" spans="2:9" ht="12.75" customHeight="1" x14ac:dyDescent="0.2">
      <c r="B63" s="92"/>
      <c r="C63" s="90"/>
      <c r="D63" s="91"/>
      <c r="E63" s="55"/>
      <c r="F63" s="54"/>
      <c r="G63" s="55"/>
      <c r="H63" s="56"/>
      <c r="I63" s="57"/>
    </row>
    <row r="64" spans="2:9" ht="12.75" customHeight="1" x14ac:dyDescent="0.2">
      <c r="B64" s="92"/>
      <c r="C64" s="90"/>
      <c r="D64" s="91"/>
      <c r="E64" s="55"/>
      <c r="F64" s="54"/>
      <c r="G64" s="55"/>
      <c r="H64" s="56"/>
      <c r="I64" s="57"/>
    </row>
    <row r="65" spans="2:9" ht="12.75" customHeight="1" x14ac:dyDescent="0.2">
      <c r="B65" s="92"/>
      <c r="C65" s="90"/>
      <c r="D65" s="91"/>
      <c r="E65" s="55"/>
      <c r="F65" s="54"/>
      <c r="G65" s="55"/>
      <c r="H65" s="56"/>
      <c r="I65" s="57"/>
    </row>
    <row r="66" spans="2:9" ht="12.75" customHeight="1" x14ac:dyDescent="0.2">
      <c r="B66" s="92"/>
      <c r="C66" s="90"/>
      <c r="D66" s="91"/>
      <c r="E66" s="55"/>
      <c r="F66" s="54"/>
      <c r="G66" s="55"/>
      <c r="H66" s="56"/>
      <c r="I66" s="57"/>
    </row>
    <row r="67" spans="2:9" ht="12.75" customHeight="1" x14ac:dyDescent="0.2">
      <c r="B67" s="92"/>
      <c r="C67" s="90"/>
      <c r="D67" s="91"/>
      <c r="E67" s="55"/>
      <c r="F67" s="54"/>
      <c r="G67" s="55"/>
      <c r="H67" s="56"/>
      <c r="I67" s="57"/>
    </row>
    <row r="68" spans="2:9" ht="12.75" customHeight="1" x14ac:dyDescent="0.2">
      <c r="B68" s="92"/>
      <c r="C68" s="90"/>
      <c r="D68" s="91"/>
      <c r="E68" s="55"/>
      <c r="F68" s="54"/>
      <c r="G68" s="55"/>
      <c r="H68" s="56"/>
      <c r="I68" s="57"/>
    </row>
    <row r="69" spans="2:9" ht="12.75" customHeight="1" x14ac:dyDescent="0.2">
      <c r="B69" s="92"/>
      <c r="C69" s="90"/>
      <c r="D69" s="91"/>
      <c r="E69" s="55"/>
      <c r="F69" s="54"/>
      <c r="G69" s="55"/>
      <c r="H69" s="56"/>
      <c r="I69" s="57"/>
    </row>
    <row r="70" spans="2:9" ht="12.75" customHeight="1" x14ac:dyDescent="0.2">
      <c r="B70" s="92"/>
      <c r="C70" s="90"/>
      <c r="D70" s="91"/>
      <c r="E70" s="55"/>
      <c r="F70" s="54"/>
      <c r="G70" s="55"/>
      <c r="H70" s="56"/>
      <c r="I70" s="57"/>
    </row>
    <row r="71" spans="2:9" ht="12.75" customHeight="1" x14ac:dyDescent="0.2">
      <c r="B71" s="92"/>
      <c r="C71" s="90"/>
      <c r="D71" s="91"/>
      <c r="E71" s="55"/>
      <c r="F71" s="54"/>
      <c r="G71" s="55"/>
      <c r="H71" s="56"/>
      <c r="I71" s="57"/>
    </row>
    <row r="72" spans="2:9" ht="12.75" customHeight="1" x14ac:dyDescent="0.2">
      <c r="B72" s="92">
        <v>7</v>
      </c>
      <c r="C72" s="90"/>
      <c r="D72" s="91" t="str">
        <f>IFERROR(VLOOKUP(C72,Cadastro!B:G,2,0)&amp;" - "&amp;VLOOKUP(C72,Cadastro!B:G,3,0)&amp;" - "&amp;VLOOKUP(C72,Cadastro!B:G,4,0),"")</f>
        <v/>
      </c>
      <c r="E72" s="55"/>
      <c r="F72" s="54"/>
      <c r="G72" s="55"/>
      <c r="H72" s="56"/>
      <c r="I72" s="57"/>
    </row>
    <row r="73" spans="2:9" ht="12.75" customHeight="1" x14ac:dyDescent="0.2">
      <c r="B73" s="92"/>
      <c r="C73" s="90"/>
      <c r="D73" s="91"/>
      <c r="E73" s="55"/>
      <c r="F73" s="54"/>
      <c r="G73" s="55"/>
      <c r="H73" s="56"/>
      <c r="I73" s="57"/>
    </row>
    <row r="74" spans="2:9" ht="12.75" customHeight="1" x14ac:dyDescent="0.2">
      <c r="B74" s="92"/>
      <c r="C74" s="90"/>
      <c r="D74" s="91"/>
      <c r="E74" s="55"/>
      <c r="F74" s="54"/>
      <c r="G74" s="55"/>
      <c r="H74" s="56"/>
      <c r="I74" s="57"/>
    </row>
    <row r="75" spans="2:9" ht="12.75" customHeight="1" x14ac:dyDescent="0.2">
      <c r="B75" s="92"/>
      <c r="C75" s="90"/>
      <c r="D75" s="91"/>
      <c r="E75" s="55"/>
      <c r="F75" s="54"/>
      <c r="G75" s="55"/>
      <c r="H75" s="56"/>
      <c r="I75" s="57"/>
    </row>
    <row r="76" spans="2:9" ht="12.75" customHeight="1" x14ac:dyDescent="0.2">
      <c r="B76" s="92"/>
      <c r="C76" s="90"/>
      <c r="D76" s="91"/>
      <c r="E76" s="55"/>
      <c r="F76" s="54"/>
      <c r="G76" s="55"/>
      <c r="H76" s="56"/>
      <c r="I76" s="57"/>
    </row>
    <row r="77" spans="2:9" ht="12.75" customHeight="1" x14ac:dyDescent="0.2">
      <c r="B77" s="92"/>
      <c r="C77" s="90"/>
      <c r="D77" s="91"/>
      <c r="E77" s="55"/>
      <c r="F77" s="54"/>
      <c r="G77" s="55"/>
      <c r="H77" s="56"/>
      <c r="I77" s="57"/>
    </row>
    <row r="78" spans="2:9" ht="12.75" customHeight="1" x14ac:dyDescent="0.2">
      <c r="B78" s="92"/>
      <c r="C78" s="90"/>
      <c r="D78" s="91"/>
      <c r="E78" s="55"/>
      <c r="F78" s="54"/>
      <c r="G78" s="55"/>
      <c r="H78" s="56"/>
      <c r="I78" s="57"/>
    </row>
    <row r="79" spans="2:9" ht="12.75" customHeight="1" x14ac:dyDescent="0.2">
      <c r="B79" s="92"/>
      <c r="C79" s="90"/>
      <c r="D79" s="91"/>
      <c r="E79" s="55"/>
      <c r="F79" s="54"/>
      <c r="G79" s="55"/>
      <c r="H79" s="56"/>
      <c r="I79" s="57"/>
    </row>
    <row r="80" spans="2:9" ht="12.75" customHeight="1" x14ac:dyDescent="0.2">
      <c r="B80" s="92"/>
      <c r="C80" s="90"/>
      <c r="D80" s="91"/>
      <c r="E80" s="55"/>
      <c r="F80" s="54"/>
      <c r="G80" s="55"/>
      <c r="H80" s="56"/>
      <c r="I80" s="57"/>
    </row>
    <row r="81" spans="2:9" ht="12.75" customHeight="1" x14ac:dyDescent="0.2">
      <c r="B81" s="92"/>
      <c r="C81" s="90"/>
      <c r="D81" s="91"/>
      <c r="E81" s="55"/>
      <c r="F81" s="54"/>
      <c r="G81" s="55"/>
      <c r="H81" s="56"/>
      <c r="I81" s="57"/>
    </row>
    <row r="82" spans="2:9" ht="12.75" customHeight="1" x14ac:dyDescent="0.2">
      <c r="B82" s="92">
        <v>8</v>
      </c>
      <c r="C82" s="90"/>
      <c r="D82" s="91" t="str">
        <f>IFERROR(VLOOKUP(C82,Cadastro!B:G,2,0)&amp;" - "&amp;VLOOKUP(C82,Cadastro!B:G,3,0)&amp;" - "&amp;VLOOKUP(C82,Cadastro!B:G,4,0),"")</f>
        <v/>
      </c>
      <c r="E82" s="55"/>
      <c r="F82" s="54"/>
      <c r="G82" s="55"/>
      <c r="H82" s="56"/>
      <c r="I82" s="57"/>
    </row>
    <row r="83" spans="2:9" ht="12.75" customHeight="1" x14ac:dyDescent="0.2">
      <c r="B83" s="92"/>
      <c r="C83" s="90"/>
      <c r="D83" s="91"/>
      <c r="E83" s="55"/>
      <c r="F83" s="54"/>
      <c r="G83" s="55"/>
      <c r="H83" s="56"/>
      <c r="I83" s="57"/>
    </row>
    <row r="84" spans="2:9" ht="12.75" customHeight="1" x14ac:dyDescent="0.2">
      <c r="B84" s="92"/>
      <c r="C84" s="90"/>
      <c r="D84" s="91"/>
      <c r="E84" s="55"/>
      <c r="F84" s="54"/>
      <c r="G84" s="55"/>
      <c r="H84" s="56"/>
      <c r="I84" s="57"/>
    </row>
    <row r="85" spans="2:9" ht="12.75" customHeight="1" x14ac:dyDescent="0.2">
      <c r="B85" s="92"/>
      <c r="C85" s="90"/>
      <c r="D85" s="91"/>
      <c r="E85" s="55"/>
      <c r="F85" s="54"/>
      <c r="G85" s="55"/>
      <c r="H85" s="56"/>
      <c r="I85" s="57"/>
    </row>
    <row r="86" spans="2:9" ht="12.75" customHeight="1" x14ac:dyDescent="0.2">
      <c r="B86" s="92"/>
      <c r="C86" s="90"/>
      <c r="D86" s="91"/>
      <c r="E86" s="55"/>
      <c r="F86" s="54"/>
      <c r="G86" s="55"/>
      <c r="H86" s="56"/>
      <c r="I86" s="57"/>
    </row>
    <row r="87" spans="2:9" ht="12.75" customHeight="1" x14ac:dyDescent="0.2">
      <c r="B87" s="92"/>
      <c r="C87" s="90"/>
      <c r="D87" s="91"/>
      <c r="E87" s="55"/>
      <c r="F87" s="54"/>
      <c r="G87" s="55"/>
      <c r="H87" s="56"/>
      <c r="I87" s="57"/>
    </row>
    <row r="88" spans="2:9" ht="12.75" customHeight="1" x14ac:dyDescent="0.2">
      <c r="B88" s="92"/>
      <c r="C88" s="90"/>
      <c r="D88" s="91"/>
      <c r="E88" s="55"/>
      <c r="F88" s="54"/>
      <c r="G88" s="55"/>
      <c r="H88" s="56"/>
      <c r="I88" s="57"/>
    </row>
    <row r="89" spans="2:9" ht="12.75" customHeight="1" x14ac:dyDescent="0.2">
      <c r="B89" s="92"/>
      <c r="C89" s="90"/>
      <c r="D89" s="91"/>
      <c r="E89" s="55"/>
      <c r="F89" s="54"/>
      <c r="G89" s="55"/>
      <c r="H89" s="56"/>
      <c r="I89" s="57"/>
    </row>
    <row r="90" spans="2:9" ht="12.75" customHeight="1" x14ac:dyDescent="0.2">
      <c r="B90" s="92"/>
      <c r="C90" s="90"/>
      <c r="D90" s="91"/>
      <c r="E90" s="55"/>
      <c r="F90" s="54"/>
      <c r="G90" s="55"/>
      <c r="H90" s="56"/>
      <c r="I90" s="57"/>
    </row>
    <row r="91" spans="2:9" ht="12.75" customHeight="1" x14ac:dyDescent="0.2">
      <c r="B91" s="92"/>
      <c r="C91" s="90"/>
      <c r="D91" s="91"/>
      <c r="E91" s="55"/>
      <c r="F91" s="54"/>
      <c r="G91" s="55"/>
      <c r="H91" s="56"/>
      <c r="I91" s="57"/>
    </row>
    <row r="92" spans="2:9" ht="12.75" customHeight="1" x14ac:dyDescent="0.2">
      <c r="B92" s="92">
        <v>9</v>
      </c>
      <c r="C92" s="90"/>
      <c r="D92" s="91" t="str">
        <f>IFERROR(VLOOKUP(C92,Cadastro!B:G,2,0)&amp;" - "&amp;VLOOKUP(C92,Cadastro!B:G,3,0)&amp;" - "&amp;VLOOKUP(C92,Cadastro!B:G,4,0),"")</f>
        <v/>
      </c>
      <c r="E92" s="55"/>
      <c r="F92" s="54"/>
      <c r="G92" s="55"/>
      <c r="H92" s="56"/>
      <c r="I92" s="57"/>
    </row>
    <row r="93" spans="2:9" ht="12.75" customHeight="1" x14ac:dyDescent="0.2">
      <c r="B93" s="92"/>
      <c r="C93" s="90"/>
      <c r="D93" s="91"/>
      <c r="E93" s="55"/>
      <c r="F93" s="54"/>
      <c r="G93" s="55"/>
      <c r="H93" s="56"/>
      <c r="I93" s="57"/>
    </row>
    <row r="94" spans="2:9" ht="12.75" customHeight="1" x14ac:dyDescent="0.2">
      <c r="B94" s="92"/>
      <c r="C94" s="90"/>
      <c r="D94" s="91"/>
      <c r="E94" s="55"/>
      <c r="F94" s="54"/>
      <c r="G94" s="55"/>
      <c r="H94" s="56"/>
      <c r="I94" s="57"/>
    </row>
    <row r="95" spans="2:9" ht="12.75" customHeight="1" x14ac:dyDescent="0.2">
      <c r="B95" s="92"/>
      <c r="C95" s="90"/>
      <c r="D95" s="91"/>
      <c r="E95" s="55"/>
      <c r="F95" s="54"/>
      <c r="G95" s="55"/>
      <c r="H95" s="56"/>
      <c r="I95" s="57"/>
    </row>
    <row r="96" spans="2:9" ht="12.75" customHeight="1" x14ac:dyDescent="0.2">
      <c r="B96" s="92"/>
      <c r="C96" s="90"/>
      <c r="D96" s="91"/>
      <c r="E96" s="55"/>
      <c r="F96" s="54"/>
      <c r="G96" s="55"/>
      <c r="H96" s="56"/>
      <c r="I96" s="57"/>
    </row>
    <row r="97" spans="2:9" ht="12.75" customHeight="1" x14ac:dyDescent="0.2">
      <c r="B97" s="92"/>
      <c r="C97" s="90"/>
      <c r="D97" s="91"/>
      <c r="E97" s="55"/>
      <c r="F97" s="54"/>
      <c r="G97" s="55"/>
      <c r="H97" s="56"/>
      <c r="I97" s="57"/>
    </row>
    <row r="98" spans="2:9" ht="12.75" customHeight="1" x14ac:dyDescent="0.2">
      <c r="B98" s="92"/>
      <c r="C98" s="90"/>
      <c r="D98" s="91"/>
      <c r="E98" s="55"/>
      <c r="F98" s="54"/>
      <c r="G98" s="55"/>
      <c r="H98" s="56"/>
      <c r="I98" s="57"/>
    </row>
    <row r="99" spans="2:9" ht="12.75" customHeight="1" x14ac:dyDescent="0.2">
      <c r="B99" s="92"/>
      <c r="C99" s="90"/>
      <c r="D99" s="91"/>
      <c r="E99" s="55"/>
      <c r="F99" s="54"/>
      <c r="G99" s="55"/>
      <c r="H99" s="56"/>
      <c r="I99" s="57"/>
    </row>
    <row r="100" spans="2:9" ht="12.75" customHeight="1" x14ac:dyDescent="0.2">
      <c r="B100" s="92"/>
      <c r="C100" s="90"/>
      <c r="D100" s="91"/>
      <c r="E100" s="55"/>
      <c r="F100" s="54"/>
      <c r="G100" s="55"/>
      <c r="H100" s="56"/>
      <c r="I100" s="57"/>
    </row>
    <row r="101" spans="2:9" ht="12.75" customHeight="1" x14ac:dyDescent="0.2">
      <c r="B101" s="92"/>
      <c r="C101" s="90"/>
      <c r="D101" s="91"/>
      <c r="E101" s="55"/>
      <c r="F101" s="54"/>
      <c r="G101" s="55"/>
      <c r="H101" s="56"/>
      <c r="I101" s="57"/>
    </row>
    <row r="102" spans="2:9" ht="12.75" customHeight="1" x14ac:dyDescent="0.2">
      <c r="B102" s="92">
        <v>10</v>
      </c>
      <c r="C102" s="90"/>
      <c r="D102" s="91" t="str">
        <f>IFERROR(VLOOKUP(C102,Cadastro!B:G,2,0)&amp;" - "&amp;VLOOKUP(C102,Cadastro!B:G,3,0)&amp;" - "&amp;VLOOKUP(C102,Cadastro!B:G,4,0),"")</f>
        <v/>
      </c>
      <c r="E102" s="55"/>
      <c r="F102" s="54"/>
      <c r="G102" s="55"/>
      <c r="H102" s="56"/>
      <c r="I102" s="57"/>
    </row>
    <row r="103" spans="2:9" ht="12.75" customHeight="1" x14ac:dyDescent="0.2">
      <c r="B103" s="92"/>
      <c r="C103" s="90"/>
      <c r="D103" s="91"/>
      <c r="E103" s="55"/>
      <c r="F103" s="54"/>
      <c r="G103" s="55"/>
      <c r="H103" s="56"/>
      <c r="I103" s="57"/>
    </row>
    <row r="104" spans="2:9" ht="12.75" customHeight="1" x14ac:dyDescent="0.2">
      <c r="B104" s="92"/>
      <c r="C104" s="90"/>
      <c r="D104" s="91"/>
      <c r="E104" s="55"/>
      <c r="F104" s="54"/>
      <c r="G104" s="55"/>
      <c r="H104" s="56"/>
      <c r="I104" s="57"/>
    </row>
    <row r="105" spans="2:9" ht="12.75" customHeight="1" x14ac:dyDescent="0.2">
      <c r="B105" s="92"/>
      <c r="C105" s="90"/>
      <c r="D105" s="91"/>
      <c r="E105" s="55"/>
      <c r="F105" s="54"/>
      <c r="G105" s="55"/>
      <c r="H105" s="56"/>
      <c r="I105" s="57"/>
    </row>
    <row r="106" spans="2:9" ht="12.75" customHeight="1" x14ac:dyDescent="0.2">
      <c r="B106" s="92"/>
      <c r="C106" s="90"/>
      <c r="D106" s="91"/>
      <c r="E106" s="55"/>
      <c r="F106" s="54"/>
      <c r="G106" s="55"/>
      <c r="H106" s="56"/>
      <c r="I106" s="57"/>
    </row>
    <row r="107" spans="2:9" ht="12.75" customHeight="1" x14ac:dyDescent="0.2">
      <c r="B107" s="92"/>
      <c r="C107" s="90"/>
      <c r="D107" s="91"/>
      <c r="E107" s="55"/>
      <c r="F107" s="54"/>
      <c r="G107" s="55"/>
      <c r="H107" s="56"/>
      <c r="I107" s="57"/>
    </row>
    <row r="108" spans="2:9" ht="12.75" customHeight="1" x14ac:dyDescent="0.2">
      <c r="B108" s="92"/>
      <c r="C108" s="90"/>
      <c r="D108" s="91"/>
      <c r="E108" s="55"/>
      <c r="F108" s="54"/>
      <c r="G108" s="55"/>
      <c r="H108" s="56"/>
      <c r="I108" s="57"/>
    </row>
    <row r="109" spans="2:9" ht="12.75" customHeight="1" x14ac:dyDescent="0.2">
      <c r="B109" s="92"/>
      <c r="C109" s="90"/>
      <c r="D109" s="91"/>
      <c r="E109" s="55"/>
      <c r="F109" s="54"/>
      <c r="G109" s="55"/>
      <c r="H109" s="56"/>
      <c r="I109" s="57"/>
    </row>
    <row r="110" spans="2:9" ht="12.75" customHeight="1" x14ac:dyDescent="0.2">
      <c r="B110" s="92"/>
      <c r="C110" s="90"/>
      <c r="D110" s="91"/>
      <c r="E110" s="55"/>
      <c r="F110" s="54"/>
      <c r="G110" s="55"/>
      <c r="H110" s="56"/>
      <c r="I110" s="57"/>
    </row>
    <row r="111" spans="2:9" ht="12.75" customHeight="1" x14ac:dyDescent="0.2">
      <c r="B111" s="92"/>
      <c r="C111" s="90"/>
      <c r="D111" s="91"/>
      <c r="E111" s="55"/>
      <c r="F111" s="54"/>
      <c r="G111" s="55"/>
      <c r="H111" s="56"/>
      <c r="I111" s="57"/>
    </row>
    <row r="112" spans="2:9" ht="12.75" customHeight="1" x14ac:dyDescent="0.2">
      <c r="B112" s="92">
        <v>11</v>
      </c>
      <c r="C112" s="90"/>
      <c r="D112" s="91" t="str">
        <f>IFERROR(VLOOKUP(C112,Cadastro!B:G,2,0)&amp;" - "&amp;VLOOKUP(C112,Cadastro!B:G,3,0)&amp;" - "&amp;VLOOKUP(C112,Cadastro!B:G,4,0),"")</f>
        <v/>
      </c>
      <c r="E112" s="55"/>
      <c r="F112" s="54"/>
      <c r="G112" s="55"/>
      <c r="H112" s="56"/>
      <c r="I112" s="57"/>
    </row>
    <row r="113" spans="2:9" ht="12.75" customHeight="1" x14ac:dyDescent="0.2">
      <c r="B113" s="92"/>
      <c r="C113" s="90"/>
      <c r="D113" s="91"/>
      <c r="E113" s="55"/>
      <c r="F113" s="54"/>
      <c r="G113" s="55"/>
      <c r="H113" s="56"/>
      <c r="I113" s="66"/>
    </row>
    <row r="114" spans="2:9" ht="12.75" customHeight="1" x14ac:dyDescent="0.2">
      <c r="B114" s="92"/>
      <c r="C114" s="90"/>
      <c r="D114" s="91"/>
      <c r="E114" s="55"/>
      <c r="F114" s="54"/>
      <c r="G114" s="55"/>
      <c r="H114" s="56"/>
      <c r="I114" s="57"/>
    </row>
    <row r="115" spans="2:9" ht="12.75" customHeight="1" x14ac:dyDescent="0.2">
      <c r="B115" s="92"/>
      <c r="C115" s="90"/>
      <c r="D115" s="91"/>
      <c r="E115" s="55"/>
      <c r="F115" s="54"/>
      <c r="G115" s="55"/>
      <c r="H115" s="56"/>
      <c r="I115" s="57"/>
    </row>
    <row r="116" spans="2:9" ht="12.75" customHeight="1" x14ac:dyDescent="0.2">
      <c r="B116" s="92"/>
      <c r="C116" s="90"/>
      <c r="D116" s="91"/>
      <c r="E116" s="55"/>
      <c r="F116" s="54"/>
      <c r="G116" s="55"/>
      <c r="H116" s="56"/>
      <c r="I116" s="57"/>
    </row>
    <row r="117" spans="2:9" ht="12.75" customHeight="1" x14ac:dyDescent="0.2">
      <c r="B117" s="92"/>
      <c r="C117" s="90"/>
      <c r="D117" s="91"/>
      <c r="E117" s="55"/>
      <c r="F117" s="54"/>
      <c r="G117" s="55"/>
      <c r="H117" s="56"/>
      <c r="I117" s="57"/>
    </row>
    <row r="118" spans="2:9" ht="12.75" customHeight="1" x14ac:dyDescent="0.2">
      <c r="B118" s="92"/>
      <c r="C118" s="90"/>
      <c r="D118" s="91"/>
      <c r="E118" s="55"/>
      <c r="F118" s="54"/>
      <c r="G118" s="55"/>
      <c r="H118" s="56"/>
      <c r="I118" s="57"/>
    </row>
    <row r="119" spans="2:9" ht="12.75" customHeight="1" x14ac:dyDescent="0.2">
      <c r="B119" s="92"/>
      <c r="C119" s="90"/>
      <c r="D119" s="91"/>
      <c r="E119" s="55"/>
      <c r="F119" s="54"/>
      <c r="G119" s="55"/>
      <c r="H119" s="56"/>
      <c r="I119" s="57"/>
    </row>
    <row r="120" spans="2:9" ht="12.75" customHeight="1" x14ac:dyDescent="0.2">
      <c r="B120" s="92"/>
      <c r="C120" s="90"/>
      <c r="D120" s="91"/>
      <c r="E120" s="55"/>
      <c r="F120" s="54"/>
      <c r="G120" s="55"/>
      <c r="H120" s="56"/>
      <c r="I120" s="57"/>
    </row>
    <row r="121" spans="2:9" ht="12.75" customHeight="1" x14ac:dyDescent="0.2">
      <c r="B121" s="92"/>
      <c r="C121" s="90"/>
      <c r="D121" s="91"/>
      <c r="E121" s="55"/>
      <c r="F121" s="54"/>
      <c r="G121" s="55"/>
      <c r="H121" s="56"/>
      <c r="I121" s="57"/>
    </row>
    <row r="122" spans="2:9" ht="12.75" customHeight="1" x14ac:dyDescent="0.2">
      <c r="B122" s="92">
        <v>12</v>
      </c>
      <c r="C122" s="90"/>
      <c r="D122" s="91" t="str">
        <f>IFERROR(VLOOKUP(C122,Cadastro!B:G,2,0)&amp;" - "&amp;VLOOKUP(C122,Cadastro!B:G,3,0)&amp;" - "&amp;VLOOKUP(C122,Cadastro!B:G,4,0),"")</f>
        <v/>
      </c>
      <c r="E122" s="55"/>
      <c r="F122" s="54"/>
      <c r="G122" s="55"/>
      <c r="H122" s="56"/>
      <c r="I122" s="57"/>
    </row>
    <row r="123" spans="2:9" ht="12.75" customHeight="1" x14ac:dyDescent="0.2">
      <c r="B123" s="92"/>
      <c r="C123" s="90"/>
      <c r="D123" s="91"/>
      <c r="E123" s="55"/>
      <c r="F123" s="54"/>
      <c r="G123" s="55"/>
      <c r="H123" s="56"/>
      <c r="I123" s="57"/>
    </row>
    <row r="124" spans="2:9" ht="12.75" customHeight="1" x14ac:dyDescent="0.2">
      <c r="B124" s="92"/>
      <c r="C124" s="90"/>
      <c r="D124" s="91"/>
      <c r="E124" s="55"/>
      <c r="F124" s="54"/>
      <c r="G124" s="55"/>
      <c r="H124" s="56"/>
      <c r="I124" s="57"/>
    </row>
    <row r="125" spans="2:9" ht="12.75" customHeight="1" x14ac:dyDescent="0.2">
      <c r="B125" s="92"/>
      <c r="C125" s="90"/>
      <c r="D125" s="91"/>
      <c r="E125" s="55"/>
      <c r="F125" s="54"/>
      <c r="G125" s="55"/>
      <c r="H125" s="56"/>
      <c r="I125" s="57"/>
    </row>
    <row r="126" spans="2:9" ht="12.75" customHeight="1" x14ac:dyDescent="0.2">
      <c r="B126" s="92"/>
      <c r="C126" s="90"/>
      <c r="D126" s="91"/>
      <c r="E126" s="55"/>
      <c r="F126" s="54"/>
      <c r="G126" s="55"/>
      <c r="H126" s="56"/>
      <c r="I126" s="57"/>
    </row>
    <row r="127" spans="2:9" ht="12.75" customHeight="1" x14ac:dyDescent="0.2">
      <c r="B127" s="92"/>
      <c r="C127" s="90"/>
      <c r="D127" s="91"/>
      <c r="E127" s="55"/>
      <c r="F127" s="54"/>
      <c r="G127" s="55"/>
      <c r="H127" s="56"/>
      <c r="I127" s="57"/>
    </row>
    <row r="128" spans="2:9" ht="12.75" customHeight="1" x14ac:dyDescent="0.2">
      <c r="B128" s="92"/>
      <c r="C128" s="90"/>
      <c r="D128" s="91"/>
      <c r="E128" s="55"/>
      <c r="F128" s="54"/>
      <c r="G128" s="55"/>
      <c r="H128" s="56"/>
      <c r="I128" s="57"/>
    </row>
    <row r="129" spans="2:9" ht="12.75" customHeight="1" x14ac:dyDescent="0.2">
      <c r="B129" s="92"/>
      <c r="C129" s="90"/>
      <c r="D129" s="91"/>
      <c r="E129" s="55"/>
      <c r="F129" s="54"/>
      <c r="G129" s="55"/>
      <c r="H129" s="56"/>
      <c r="I129" s="57"/>
    </row>
    <row r="130" spans="2:9" ht="12.75" customHeight="1" x14ac:dyDescent="0.2">
      <c r="B130" s="92"/>
      <c r="C130" s="90"/>
      <c r="D130" s="91"/>
      <c r="E130" s="55"/>
      <c r="F130" s="54"/>
      <c r="G130" s="55"/>
      <c r="H130" s="56"/>
      <c r="I130" s="57"/>
    </row>
    <row r="131" spans="2:9" ht="12.75" customHeight="1" x14ac:dyDescent="0.2">
      <c r="B131" s="92"/>
      <c r="C131" s="90"/>
      <c r="D131" s="91"/>
      <c r="E131" s="55"/>
      <c r="F131" s="54"/>
      <c r="G131" s="55"/>
      <c r="H131" s="56"/>
      <c r="I131" s="57"/>
    </row>
    <row r="132" spans="2:9" ht="12.75" customHeight="1" x14ac:dyDescent="0.2">
      <c r="B132" s="92">
        <v>13</v>
      </c>
      <c r="C132" s="90"/>
      <c r="D132" s="91" t="str">
        <f>IFERROR(VLOOKUP(C132,Cadastro!B:G,2,0)&amp;" - "&amp;VLOOKUP(C132,Cadastro!B:G,3,0)&amp;" - "&amp;VLOOKUP(C132,Cadastro!B:G,4,0),"")</f>
        <v/>
      </c>
      <c r="E132" s="55"/>
      <c r="F132" s="54"/>
      <c r="G132" s="55"/>
      <c r="H132" s="56"/>
      <c r="I132" s="57"/>
    </row>
    <row r="133" spans="2:9" ht="12.75" customHeight="1" x14ac:dyDescent="0.2">
      <c r="B133" s="92"/>
      <c r="C133" s="90"/>
      <c r="D133" s="91"/>
      <c r="E133" s="55"/>
      <c r="F133" s="54"/>
      <c r="G133" s="55"/>
      <c r="H133" s="56"/>
      <c r="I133" s="57"/>
    </row>
    <row r="134" spans="2:9" ht="12.75" customHeight="1" x14ac:dyDescent="0.2">
      <c r="B134" s="92"/>
      <c r="C134" s="90"/>
      <c r="D134" s="91"/>
      <c r="E134" s="55"/>
      <c r="F134" s="54"/>
      <c r="G134" s="55"/>
      <c r="H134" s="56"/>
      <c r="I134" s="57"/>
    </row>
    <row r="135" spans="2:9" ht="12.75" customHeight="1" x14ac:dyDescent="0.2">
      <c r="B135" s="92"/>
      <c r="C135" s="90"/>
      <c r="D135" s="91"/>
      <c r="E135" s="55"/>
      <c r="F135" s="54"/>
      <c r="G135" s="55"/>
      <c r="H135" s="56"/>
      <c r="I135" s="57"/>
    </row>
    <row r="136" spans="2:9" ht="12.75" customHeight="1" x14ac:dyDescent="0.2">
      <c r="B136" s="92"/>
      <c r="C136" s="90"/>
      <c r="D136" s="91"/>
      <c r="E136" s="55"/>
      <c r="F136" s="54"/>
      <c r="G136" s="55"/>
      <c r="H136" s="56"/>
      <c r="I136" s="57"/>
    </row>
    <row r="137" spans="2:9" ht="12.75" customHeight="1" x14ac:dyDescent="0.2">
      <c r="B137" s="92"/>
      <c r="C137" s="90"/>
      <c r="D137" s="91"/>
      <c r="E137" s="55"/>
      <c r="F137" s="54"/>
      <c r="G137" s="55"/>
      <c r="H137" s="56"/>
      <c r="I137" s="57"/>
    </row>
    <row r="138" spans="2:9" ht="12.75" customHeight="1" x14ac:dyDescent="0.2">
      <c r="B138" s="92"/>
      <c r="C138" s="90"/>
      <c r="D138" s="91"/>
      <c r="E138" s="55"/>
      <c r="F138" s="54"/>
      <c r="G138" s="55"/>
      <c r="H138" s="56"/>
      <c r="I138" s="57"/>
    </row>
    <row r="139" spans="2:9" ht="12.75" customHeight="1" x14ac:dyDescent="0.2">
      <c r="B139" s="92"/>
      <c r="C139" s="90"/>
      <c r="D139" s="91"/>
      <c r="E139" s="55"/>
      <c r="F139" s="54"/>
      <c r="G139" s="55"/>
      <c r="H139" s="56"/>
      <c r="I139" s="57"/>
    </row>
    <row r="140" spans="2:9" ht="12.75" customHeight="1" x14ac:dyDescent="0.2">
      <c r="B140" s="92"/>
      <c r="C140" s="90"/>
      <c r="D140" s="91"/>
      <c r="E140" s="55"/>
      <c r="F140" s="54"/>
      <c r="G140" s="55"/>
      <c r="H140" s="56"/>
      <c r="I140" s="57"/>
    </row>
    <row r="141" spans="2:9" ht="12.75" customHeight="1" x14ac:dyDescent="0.2">
      <c r="B141" s="92"/>
      <c r="C141" s="90"/>
      <c r="D141" s="91"/>
      <c r="E141" s="55"/>
      <c r="F141" s="54"/>
      <c r="G141" s="55"/>
      <c r="H141" s="56"/>
      <c r="I141" s="57"/>
    </row>
    <row r="142" spans="2:9" ht="12.75" customHeight="1" x14ac:dyDescent="0.2">
      <c r="B142" s="92">
        <v>14</v>
      </c>
      <c r="C142" s="90"/>
      <c r="D142" s="91" t="str">
        <f>IFERROR(VLOOKUP(C142,Cadastro!B:G,2,0)&amp;" - "&amp;VLOOKUP(C142,Cadastro!B:G,3,0)&amp;" - "&amp;VLOOKUP(C142,Cadastro!B:G,4,0),"")</f>
        <v/>
      </c>
      <c r="E142" s="55"/>
      <c r="F142" s="54"/>
      <c r="G142" s="55"/>
      <c r="H142" s="56"/>
      <c r="I142" s="57"/>
    </row>
    <row r="143" spans="2:9" ht="12.75" customHeight="1" x14ac:dyDescent="0.2">
      <c r="B143" s="92"/>
      <c r="C143" s="90"/>
      <c r="D143" s="91"/>
      <c r="E143" s="55"/>
      <c r="F143" s="54"/>
      <c r="G143" s="55"/>
      <c r="H143" s="56"/>
      <c r="I143" s="57"/>
    </row>
    <row r="144" spans="2:9" ht="12.75" customHeight="1" x14ac:dyDescent="0.2">
      <c r="B144" s="92"/>
      <c r="C144" s="90"/>
      <c r="D144" s="91"/>
      <c r="E144" s="55"/>
      <c r="F144" s="54"/>
      <c r="G144" s="55"/>
      <c r="H144" s="56"/>
      <c r="I144" s="57"/>
    </row>
    <row r="145" spans="2:9" ht="12.75" customHeight="1" x14ac:dyDescent="0.2">
      <c r="B145" s="92"/>
      <c r="C145" s="90"/>
      <c r="D145" s="91"/>
      <c r="E145" s="55"/>
      <c r="F145" s="54"/>
      <c r="G145" s="55"/>
      <c r="H145" s="56"/>
      <c r="I145" s="57"/>
    </row>
    <row r="146" spans="2:9" ht="12.75" customHeight="1" x14ac:dyDescent="0.2">
      <c r="B146" s="92"/>
      <c r="C146" s="90"/>
      <c r="D146" s="91"/>
      <c r="E146" s="55"/>
      <c r="F146" s="54"/>
      <c r="G146" s="55"/>
      <c r="H146" s="56"/>
      <c r="I146" s="57"/>
    </row>
    <row r="147" spans="2:9" ht="12.75" customHeight="1" x14ac:dyDescent="0.2">
      <c r="B147" s="92"/>
      <c r="C147" s="90"/>
      <c r="D147" s="91"/>
      <c r="E147" s="55"/>
      <c r="F147" s="54"/>
      <c r="G147" s="55"/>
      <c r="H147" s="56"/>
      <c r="I147" s="57"/>
    </row>
    <row r="148" spans="2:9" ht="12.75" customHeight="1" x14ac:dyDescent="0.2">
      <c r="B148" s="92"/>
      <c r="C148" s="90"/>
      <c r="D148" s="91"/>
      <c r="E148" s="55"/>
      <c r="F148" s="54"/>
      <c r="G148" s="55"/>
      <c r="H148" s="56"/>
      <c r="I148" s="57"/>
    </row>
    <row r="149" spans="2:9" ht="12.75" customHeight="1" x14ac:dyDescent="0.2">
      <c r="B149" s="92"/>
      <c r="C149" s="90"/>
      <c r="D149" s="91"/>
      <c r="E149" s="55"/>
      <c r="F149" s="54"/>
      <c r="G149" s="55"/>
      <c r="H149" s="56"/>
      <c r="I149" s="57"/>
    </row>
    <row r="150" spans="2:9" ht="12.75" customHeight="1" x14ac:dyDescent="0.2">
      <c r="B150" s="92"/>
      <c r="C150" s="90"/>
      <c r="D150" s="91"/>
      <c r="E150" s="55"/>
      <c r="F150" s="54"/>
      <c r="G150" s="55"/>
      <c r="H150" s="56"/>
      <c r="I150" s="57"/>
    </row>
    <row r="151" spans="2:9" ht="12.75" customHeight="1" x14ac:dyDescent="0.2">
      <c r="B151" s="92"/>
      <c r="C151" s="90"/>
      <c r="D151" s="91"/>
      <c r="E151" s="55"/>
      <c r="F151" s="54"/>
      <c r="G151" s="55"/>
      <c r="H151" s="56"/>
      <c r="I151" s="57"/>
    </row>
    <row r="152" spans="2:9" ht="12.75" customHeight="1" x14ac:dyDescent="0.2">
      <c r="B152" s="92">
        <v>15</v>
      </c>
      <c r="C152" s="90"/>
      <c r="D152" s="91" t="str">
        <f>IFERROR(VLOOKUP(C152,Cadastro!B:G,2,0)&amp;" - "&amp;VLOOKUP(C152,Cadastro!B:G,3,0)&amp;" - "&amp;VLOOKUP(C152,Cadastro!B:G,4,0),"")</f>
        <v/>
      </c>
      <c r="E152" s="55"/>
      <c r="F152" s="60"/>
      <c r="G152" s="55"/>
      <c r="H152" s="56"/>
      <c r="I152" s="57"/>
    </row>
    <row r="153" spans="2:9" ht="12.75" customHeight="1" x14ac:dyDescent="0.2">
      <c r="B153" s="92"/>
      <c r="C153" s="90"/>
      <c r="D153" s="91"/>
      <c r="E153" s="55"/>
      <c r="F153" s="54"/>
      <c r="G153" s="55"/>
      <c r="H153" s="56"/>
      <c r="I153" s="57"/>
    </row>
    <row r="154" spans="2:9" ht="12.75" customHeight="1" x14ac:dyDescent="0.2">
      <c r="B154" s="92"/>
      <c r="C154" s="90"/>
      <c r="D154" s="91"/>
      <c r="E154" s="55"/>
      <c r="F154" s="54"/>
      <c r="G154" s="55"/>
      <c r="H154" s="56"/>
      <c r="I154" s="57"/>
    </row>
    <row r="155" spans="2:9" ht="12.75" customHeight="1" x14ac:dyDescent="0.2">
      <c r="B155" s="92"/>
      <c r="C155" s="90"/>
      <c r="D155" s="91"/>
      <c r="E155" s="55"/>
      <c r="F155" s="54"/>
      <c r="G155" s="55"/>
      <c r="H155" s="56"/>
      <c r="I155" s="57"/>
    </row>
    <row r="156" spans="2:9" ht="12.75" customHeight="1" x14ac:dyDescent="0.2">
      <c r="B156" s="92"/>
      <c r="C156" s="90"/>
      <c r="D156" s="91"/>
      <c r="E156" s="55"/>
      <c r="F156" s="54"/>
      <c r="G156" s="55"/>
      <c r="H156" s="56"/>
      <c r="I156" s="57"/>
    </row>
    <row r="157" spans="2:9" ht="12.75" customHeight="1" x14ac:dyDescent="0.2">
      <c r="B157" s="92"/>
      <c r="C157" s="90"/>
      <c r="D157" s="91"/>
      <c r="E157" s="55"/>
      <c r="F157" s="54"/>
      <c r="G157" s="55"/>
      <c r="H157" s="56"/>
      <c r="I157" s="57"/>
    </row>
    <row r="158" spans="2:9" ht="12.75" customHeight="1" x14ac:dyDescent="0.2">
      <c r="B158" s="92"/>
      <c r="C158" s="90"/>
      <c r="D158" s="91"/>
      <c r="E158" s="55"/>
      <c r="F158" s="54"/>
      <c r="G158" s="55"/>
      <c r="H158" s="56"/>
      <c r="I158" s="57"/>
    </row>
    <row r="159" spans="2:9" ht="12.75" customHeight="1" x14ac:dyDescent="0.2">
      <c r="B159" s="92"/>
      <c r="C159" s="90"/>
      <c r="D159" s="91"/>
      <c r="E159" s="55"/>
      <c r="F159" s="54"/>
      <c r="G159" s="55"/>
      <c r="H159" s="56"/>
      <c r="I159" s="57"/>
    </row>
    <row r="160" spans="2:9" ht="12.75" customHeight="1" x14ac:dyDescent="0.2">
      <c r="B160" s="92"/>
      <c r="C160" s="90"/>
      <c r="D160" s="91"/>
      <c r="E160" s="55"/>
      <c r="F160" s="54"/>
      <c r="G160" s="55"/>
      <c r="H160" s="56"/>
      <c r="I160" s="57"/>
    </row>
    <row r="161" spans="2:9" ht="12.75" customHeight="1" x14ac:dyDescent="0.2">
      <c r="B161" s="92"/>
      <c r="C161" s="90"/>
      <c r="D161" s="91"/>
      <c r="E161" s="55"/>
      <c r="F161" s="54"/>
      <c r="G161" s="55"/>
      <c r="H161" s="56"/>
      <c r="I161" s="57"/>
    </row>
    <row r="162" spans="2:9" ht="12.75" customHeight="1" x14ac:dyDescent="0.2">
      <c r="B162" s="92">
        <v>16</v>
      </c>
      <c r="C162" s="90"/>
      <c r="D162" s="91" t="str">
        <f>IFERROR(VLOOKUP(C162,Cadastro!B:G,2,0)&amp;" - "&amp;VLOOKUP(C162,Cadastro!B:G,3,0)&amp;" - "&amp;VLOOKUP(C162,Cadastro!B:G,4,0),"")</f>
        <v/>
      </c>
      <c r="E162" s="55"/>
      <c r="F162" s="54"/>
      <c r="G162" s="55"/>
      <c r="H162" s="56"/>
      <c r="I162" s="57"/>
    </row>
    <row r="163" spans="2:9" ht="12.75" customHeight="1" x14ac:dyDescent="0.2">
      <c r="B163" s="92"/>
      <c r="C163" s="90"/>
      <c r="D163" s="91"/>
      <c r="E163" s="55"/>
      <c r="F163" s="54"/>
      <c r="G163" s="55"/>
      <c r="H163" s="56"/>
      <c r="I163" s="57"/>
    </row>
    <row r="164" spans="2:9" ht="12.75" customHeight="1" x14ac:dyDescent="0.2">
      <c r="B164" s="92"/>
      <c r="C164" s="90"/>
      <c r="D164" s="91"/>
      <c r="E164" s="55"/>
      <c r="F164" s="54"/>
      <c r="G164" s="55"/>
      <c r="H164" s="56"/>
      <c r="I164" s="57"/>
    </row>
    <row r="165" spans="2:9" ht="12.75" customHeight="1" x14ac:dyDescent="0.2">
      <c r="B165" s="92"/>
      <c r="C165" s="90"/>
      <c r="D165" s="91"/>
      <c r="E165" s="55"/>
      <c r="F165" s="54"/>
      <c r="G165" s="55"/>
      <c r="H165" s="56"/>
      <c r="I165" s="57"/>
    </row>
    <row r="166" spans="2:9" ht="12.75" customHeight="1" x14ac:dyDescent="0.2">
      <c r="B166" s="92"/>
      <c r="C166" s="90"/>
      <c r="D166" s="91"/>
      <c r="E166" s="55"/>
      <c r="F166" s="54"/>
      <c r="G166" s="55"/>
      <c r="H166" s="56"/>
      <c r="I166" s="57"/>
    </row>
    <row r="167" spans="2:9" ht="12.75" customHeight="1" x14ac:dyDescent="0.2">
      <c r="B167" s="92"/>
      <c r="C167" s="90"/>
      <c r="D167" s="91"/>
      <c r="E167" s="55"/>
      <c r="F167" s="54"/>
      <c r="G167" s="55"/>
      <c r="H167" s="56"/>
      <c r="I167" s="57"/>
    </row>
    <row r="168" spans="2:9" ht="12.75" customHeight="1" x14ac:dyDescent="0.2">
      <c r="B168" s="92"/>
      <c r="C168" s="90"/>
      <c r="D168" s="91"/>
      <c r="E168" s="55"/>
      <c r="F168" s="54"/>
      <c r="G168" s="55"/>
      <c r="H168" s="56"/>
      <c r="I168" s="57"/>
    </row>
    <row r="169" spans="2:9" ht="12.75" customHeight="1" x14ac:dyDescent="0.2">
      <c r="B169" s="92"/>
      <c r="C169" s="90"/>
      <c r="D169" s="91"/>
      <c r="E169" s="55"/>
      <c r="F169" s="54"/>
      <c r="G169" s="55"/>
      <c r="H169" s="56"/>
      <c r="I169" s="57"/>
    </row>
    <row r="170" spans="2:9" ht="12.75" customHeight="1" x14ac:dyDescent="0.2">
      <c r="B170" s="92"/>
      <c r="C170" s="90"/>
      <c r="D170" s="91"/>
      <c r="E170" s="55"/>
      <c r="F170" s="54"/>
      <c r="G170" s="55"/>
      <c r="H170" s="56"/>
      <c r="I170" s="57"/>
    </row>
    <row r="171" spans="2:9" ht="12.75" customHeight="1" x14ac:dyDescent="0.2">
      <c r="B171" s="92"/>
      <c r="C171" s="90"/>
      <c r="D171" s="91"/>
      <c r="E171" s="55"/>
      <c r="F171" s="54"/>
      <c r="G171" s="55"/>
      <c r="H171" s="56"/>
      <c r="I171" s="57"/>
    </row>
    <row r="172" spans="2:9" ht="12.75" customHeight="1" x14ac:dyDescent="0.2">
      <c r="B172" s="92">
        <v>17</v>
      </c>
      <c r="C172" s="90"/>
      <c r="D172" s="91" t="str">
        <f>IFERROR(VLOOKUP(C172,Cadastro!B:G,2,0)&amp;" - "&amp;VLOOKUP(C172,Cadastro!B:G,3,0)&amp;" - "&amp;VLOOKUP(C172,Cadastro!B:G,4,0),"")</f>
        <v/>
      </c>
      <c r="E172" s="55"/>
      <c r="F172" s="54"/>
      <c r="G172" s="55"/>
      <c r="H172" s="56"/>
      <c r="I172" s="57"/>
    </row>
    <row r="173" spans="2:9" ht="12.75" customHeight="1" x14ac:dyDescent="0.2">
      <c r="B173" s="92"/>
      <c r="C173" s="90"/>
      <c r="D173" s="91"/>
      <c r="E173" s="55"/>
      <c r="F173" s="54"/>
      <c r="G173" s="55"/>
      <c r="H173" s="56"/>
      <c r="I173" s="57"/>
    </row>
    <row r="174" spans="2:9" ht="12.75" customHeight="1" x14ac:dyDescent="0.2">
      <c r="B174" s="92"/>
      <c r="C174" s="90"/>
      <c r="D174" s="91"/>
      <c r="E174" s="55"/>
      <c r="F174" s="54"/>
      <c r="G174" s="55"/>
      <c r="H174" s="56"/>
      <c r="I174" s="57"/>
    </row>
    <row r="175" spans="2:9" ht="12.75" customHeight="1" x14ac:dyDescent="0.2">
      <c r="B175" s="92"/>
      <c r="C175" s="90"/>
      <c r="D175" s="91"/>
      <c r="E175" s="55"/>
      <c r="F175" s="54"/>
      <c r="G175" s="55"/>
      <c r="H175" s="56"/>
      <c r="I175" s="57"/>
    </row>
    <row r="176" spans="2:9" ht="12.75" customHeight="1" x14ac:dyDescent="0.2">
      <c r="B176" s="92"/>
      <c r="C176" s="90"/>
      <c r="D176" s="91"/>
      <c r="E176" s="55"/>
      <c r="F176" s="54"/>
      <c r="G176" s="55"/>
      <c r="H176" s="56"/>
      <c r="I176" s="57"/>
    </row>
    <row r="177" spans="2:9" ht="12.75" customHeight="1" x14ac:dyDescent="0.2">
      <c r="B177" s="92"/>
      <c r="C177" s="90"/>
      <c r="D177" s="91"/>
      <c r="E177" s="55"/>
      <c r="F177" s="54"/>
      <c r="G177" s="55"/>
      <c r="H177" s="56"/>
      <c r="I177" s="57"/>
    </row>
    <row r="178" spans="2:9" ht="12.75" customHeight="1" x14ac:dyDescent="0.2">
      <c r="B178" s="92"/>
      <c r="C178" s="90"/>
      <c r="D178" s="91"/>
      <c r="E178" s="55"/>
      <c r="F178" s="54"/>
      <c r="G178" s="55"/>
      <c r="H178" s="56"/>
      <c r="I178" s="57"/>
    </row>
    <row r="179" spans="2:9" ht="12.75" customHeight="1" x14ac:dyDescent="0.2">
      <c r="B179" s="92"/>
      <c r="C179" s="90"/>
      <c r="D179" s="91"/>
      <c r="E179" s="55"/>
      <c r="F179" s="54"/>
      <c r="G179" s="55"/>
      <c r="H179" s="56"/>
      <c r="I179" s="57"/>
    </row>
    <row r="180" spans="2:9" ht="12.75" customHeight="1" x14ac:dyDescent="0.2">
      <c r="B180" s="92"/>
      <c r="C180" s="90"/>
      <c r="D180" s="91"/>
      <c r="E180" s="55"/>
      <c r="F180" s="54"/>
      <c r="G180" s="55"/>
      <c r="H180" s="56"/>
      <c r="I180" s="57"/>
    </row>
    <row r="181" spans="2:9" ht="12.75" customHeight="1" x14ac:dyDescent="0.2">
      <c r="B181" s="92"/>
      <c r="C181" s="90"/>
      <c r="D181" s="91"/>
      <c r="E181" s="55"/>
      <c r="F181" s="54"/>
      <c r="G181" s="55"/>
      <c r="H181" s="56"/>
      <c r="I181" s="57"/>
    </row>
    <row r="182" spans="2:9" ht="12.75" customHeight="1" x14ac:dyDescent="0.2">
      <c r="B182" s="92">
        <v>18</v>
      </c>
      <c r="C182" s="90"/>
      <c r="D182" s="91" t="str">
        <f>IFERROR(VLOOKUP(C182,Cadastro!B:G,2,0)&amp;" - "&amp;VLOOKUP(C182,Cadastro!B:G,3,0)&amp;" - "&amp;VLOOKUP(C182,Cadastro!B:G,4,0),"")</f>
        <v/>
      </c>
      <c r="E182" s="55"/>
      <c r="F182" s="54"/>
      <c r="G182" s="55"/>
      <c r="H182" s="56"/>
      <c r="I182" s="57"/>
    </row>
    <row r="183" spans="2:9" ht="12.75" customHeight="1" x14ac:dyDescent="0.2">
      <c r="B183" s="92"/>
      <c r="C183" s="90"/>
      <c r="D183" s="91"/>
      <c r="E183" s="55"/>
      <c r="F183" s="54"/>
      <c r="G183" s="55"/>
      <c r="H183" s="56"/>
      <c r="I183" s="57"/>
    </row>
    <row r="184" spans="2:9" ht="12.75" customHeight="1" x14ac:dyDescent="0.2">
      <c r="B184" s="92"/>
      <c r="C184" s="90"/>
      <c r="D184" s="91"/>
      <c r="E184" s="55"/>
      <c r="F184" s="54"/>
      <c r="G184" s="55"/>
      <c r="H184" s="56"/>
      <c r="I184" s="57"/>
    </row>
    <row r="185" spans="2:9" ht="12.75" customHeight="1" x14ac:dyDescent="0.2">
      <c r="B185" s="92"/>
      <c r="C185" s="90"/>
      <c r="D185" s="91"/>
      <c r="E185" s="55"/>
      <c r="F185" s="54"/>
      <c r="G185" s="55"/>
      <c r="H185" s="56"/>
      <c r="I185" s="57"/>
    </row>
    <row r="186" spans="2:9" ht="12.75" customHeight="1" x14ac:dyDescent="0.2">
      <c r="B186" s="92"/>
      <c r="C186" s="90"/>
      <c r="D186" s="91"/>
      <c r="E186" s="55"/>
      <c r="F186" s="54"/>
      <c r="G186" s="55"/>
      <c r="H186" s="56"/>
      <c r="I186" s="57"/>
    </row>
    <row r="187" spans="2:9" ht="12.75" customHeight="1" x14ac:dyDescent="0.2">
      <c r="B187" s="92"/>
      <c r="C187" s="90"/>
      <c r="D187" s="91"/>
      <c r="E187" s="55"/>
      <c r="F187" s="54"/>
      <c r="G187" s="55"/>
      <c r="H187" s="56"/>
      <c r="I187" s="57"/>
    </row>
    <row r="188" spans="2:9" ht="12.75" customHeight="1" x14ac:dyDescent="0.2">
      <c r="B188" s="92"/>
      <c r="C188" s="90"/>
      <c r="D188" s="91"/>
      <c r="E188" s="55"/>
      <c r="F188" s="54"/>
      <c r="G188" s="55"/>
      <c r="H188" s="56"/>
      <c r="I188" s="57"/>
    </row>
    <row r="189" spans="2:9" ht="12.75" customHeight="1" x14ac:dyDescent="0.2">
      <c r="B189" s="92"/>
      <c r="C189" s="90"/>
      <c r="D189" s="91"/>
      <c r="E189" s="55"/>
      <c r="F189" s="54"/>
      <c r="G189" s="55"/>
      <c r="H189" s="56"/>
      <c r="I189" s="57"/>
    </row>
    <row r="190" spans="2:9" ht="12.75" customHeight="1" x14ac:dyDescent="0.2">
      <c r="B190" s="92"/>
      <c r="C190" s="90"/>
      <c r="D190" s="91"/>
      <c r="E190" s="55"/>
      <c r="F190" s="54"/>
      <c r="G190" s="55"/>
      <c r="H190" s="56"/>
      <c r="I190" s="57"/>
    </row>
    <row r="191" spans="2:9" ht="12.75" customHeight="1" x14ac:dyDescent="0.2">
      <c r="B191" s="92"/>
      <c r="C191" s="90"/>
      <c r="D191" s="91"/>
      <c r="E191" s="55"/>
      <c r="F191" s="54"/>
      <c r="G191" s="55"/>
      <c r="H191" s="56"/>
      <c r="I191" s="57"/>
    </row>
    <row r="192" spans="2:9" ht="12.75" customHeight="1" x14ac:dyDescent="0.2">
      <c r="B192" s="92">
        <v>19</v>
      </c>
      <c r="C192" s="90"/>
      <c r="D192" s="91" t="str">
        <f>IFERROR(VLOOKUP(C192,Cadastro!B:G,2,0)&amp;" - "&amp;VLOOKUP(C192,Cadastro!B:G,3,0)&amp;" - "&amp;VLOOKUP(C192,Cadastro!B:G,4,0),"")</f>
        <v/>
      </c>
      <c r="E192" s="55"/>
      <c r="F192" s="54"/>
      <c r="G192" s="55"/>
      <c r="H192" s="56"/>
      <c r="I192" s="57"/>
    </row>
    <row r="193" spans="2:9" ht="12.75" customHeight="1" x14ac:dyDescent="0.2">
      <c r="B193" s="92"/>
      <c r="C193" s="90"/>
      <c r="D193" s="91"/>
      <c r="E193" s="55"/>
      <c r="F193" s="54"/>
      <c r="G193" s="55"/>
      <c r="H193" s="56"/>
      <c r="I193" s="57"/>
    </row>
    <row r="194" spans="2:9" ht="12.75" customHeight="1" x14ac:dyDescent="0.2">
      <c r="B194" s="92"/>
      <c r="C194" s="90"/>
      <c r="D194" s="91"/>
      <c r="E194" s="55"/>
      <c r="F194" s="54"/>
      <c r="G194" s="55"/>
      <c r="H194" s="56"/>
      <c r="I194" s="57"/>
    </row>
    <row r="195" spans="2:9" ht="12.75" customHeight="1" x14ac:dyDescent="0.2">
      <c r="B195" s="92"/>
      <c r="C195" s="90"/>
      <c r="D195" s="91"/>
      <c r="E195" s="55"/>
      <c r="F195" s="54"/>
      <c r="G195" s="55"/>
      <c r="H195" s="56"/>
      <c r="I195" s="57"/>
    </row>
    <row r="196" spans="2:9" ht="12.75" customHeight="1" x14ac:dyDescent="0.2">
      <c r="B196" s="92"/>
      <c r="C196" s="90"/>
      <c r="D196" s="91"/>
      <c r="E196" s="55"/>
      <c r="F196" s="54"/>
      <c r="G196" s="55"/>
      <c r="H196" s="56"/>
      <c r="I196" s="57"/>
    </row>
    <row r="197" spans="2:9" ht="12.75" customHeight="1" x14ac:dyDescent="0.2">
      <c r="B197" s="92"/>
      <c r="C197" s="90"/>
      <c r="D197" s="91"/>
      <c r="E197" s="55"/>
      <c r="F197" s="54"/>
      <c r="G197" s="55"/>
      <c r="H197" s="56"/>
      <c r="I197" s="57"/>
    </row>
    <row r="198" spans="2:9" ht="12.75" customHeight="1" x14ac:dyDescent="0.2">
      <c r="B198" s="92"/>
      <c r="C198" s="90"/>
      <c r="D198" s="91"/>
      <c r="E198" s="55"/>
      <c r="F198" s="54"/>
      <c r="G198" s="55"/>
      <c r="H198" s="56"/>
      <c r="I198" s="57"/>
    </row>
    <row r="199" spans="2:9" ht="12.75" customHeight="1" x14ac:dyDescent="0.2">
      <c r="B199" s="92"/>
      <c r="C199" s="90"/>
      <c r="D199" s="91"/>
      <c r="E199" s="55"/>
      <c r="F199" s="54"/>
      <c r="G199" s="55"/>
      <c r="H199" s="56"/>
      <c r="I199" s="57"/>
    </row>
    <row r="200" spans="2:9" ht="12.75" customHeight="1" x14ac:dyDescent="0.2">
      <c r="B200" s="92"/>
      <c r="C200" s="90"/>
      <c r="D200" s="91"/>
      <c r="E200" s="55"/>
      <c r="F200" s="54"/>
      <c r="G200" s="55"/>
      <c r="H200" s="56"/>
      <c r="I200" s="57"/>
    </row>
    <row r="201" spans="2:9" ht="12.75" customHeight="1" x14ac:dyDescent="0.2">
      <c r="B201" s="92"/>
      <c r="C201" s="90"/>
      <c r="D201" s="91"/>
      <c r="E201" s="55"/>
      <c r="F201" s="54"/>
      <c r="G201" s="55"/>
      <c r="H201" s="56"/>
      <c r="I201" s="57"/>
    </row>
    <row r="202" spans="2:9" ht="12.75" customHeight="1" x14ac:dyDescent="0.2">
      <c r="B202" s="92">
        <v>20</v>
      </c>
      <c r="C202" s="90"/>
      <c r="D202" s="91" t="str">
        <f>IFERROR(VLOOKUP(C202,Cadastro!B:G,2,0)&amp;" - "&amp;VLOOKUP(C202,Cadastro!B:G,3,0)&amp;" - "&amp;VLOOKUP(C202,Cadastro!B:G,4,0),"")</f>
        <v/>
      </c>
      <c r="E202" s="55"/>
      <c r="F202" s="54"/>
      <c r="G202" s="55"/>
      <c r="H202" s="56"/>
      <c r="I202" s="57"/>
    </row>
    <row r="203" spans="2:9" ht="12.75" customHeight="1" x14ac:dyDescent="0.2">
      <c r="B203" s="92"/>
      <c r="C203" s="90"/>
      <c r="D203" s="91"/>
      <c r="E203" s="55"/>
      <c r="F203" s="54"/>
      <c r="G203" s="55"/>
      <c r="H203" s="56"/>
      <c r="I203" s="57"/>
    </row>
    <row r="204" spans="2:9" ht="12.75" customHeight="1" x14ac:dyDescent="0.2">
      <c r="B204" s="92"/>
      <c r="C204" s="90"/>
      <c r="D204" s="91"/>
      <c r="E204" s="55"/>
      <c r="F204" s="54"/>
      <c r="G204" s="55"/>
      <c r="H204" s="56"/>
      <c r="I204" s="57"/>
    </row>
    <row r="205" spans="2:9" ht="12.75" customHeight="1" x14ac:dyDescent="0.2">
      <c r="B205" s="92"/>
      <c r="C205" s="90"/>
      <c r="D205" s="91"/>
      <c r="E205" s="55"/>
      <c r="F205" s="54"/>
      <c r="G205" s="55"/>
      <c r="H205" s="56"/>
      <c r="I205" s="57"/>
    </row>
    <row r="206" spans="2:9" ht="12.75" customHeight="1" x14ac:dyDescent="0.2">
      <c r="B206" s="92"/>
      <c r="C206" s="90"/>
      <c r="D206" s="91"/>
      <c r="E206" s="55"/>
      <c r="F206" s="54"/>
      <c r="G206" s="55"/>
      <c r="H206" s="56"/>
      <c r="I206" s="57"/>
    </row>
    <row r="207" spans="2:9" ht="12.75" customHeight="1" x14ac:dyDescent="0.2">
      <c r="B207" s="92"/>
      <c r="C207" s="90"/>
      <c r="D207" s="91"/>
      <c r="E207" s="55"/>
      <c r="F207" s="54"/>
      <c r="G207" s="55"/>
      <c r="H207" s="56"/>
      <c r="I207" s="57"/>
    </row>
    <row r="208" spans="2:9" ht="12.75" customHeight="1" x14ac:dyDescent="0.2">
      <c r="B208" s="92"/>
      <c r="C208" s="90"/>
      <c r="D208" s="91"/>
      <c r="E208" s="55"/>
      <c r="F208" s="54"/>
      <c r="G208" s="55"/>
      <c r="H208" s="56"/>
      <c r="I208" s="57"/>
    </row>
    <row r="209" spans="2:9" ht="12.75" customHeight="1" x14ac:dyDescent="0.2">
      <c r="B209" s="92"/>
      <c r="C209" s="90"/>
      <c r="D209" s="91"/>
      <c r="E209" s="55"/>
      <c r="F209" s="54"/>
      <c r="G209" s="55"/>
      <c r="H209" s="56"/>
      <c r="I209" s="57"/>
    </row>
    <row r="210" spans="2:9" ht="12.75" customHeight="1" x14ac:dyDescent="0.2">
      <c r="B210" s="92"/>
      <c r="C210" s="90"/>
      <c r="D210" s="91"/>
      <c r="E210" s="55"/>
      <c r="F210" s="54"/>
      <c r="G210" s="55"/>
      <c r="H210" s="56"/>
      <c r="I210" s="57"/>
    </row>
    <row r="211" spans="2:9" ht="12.75" customHeight="1" x14ac:dyDescent="0.2">
      <c r="B211" s="92"/>
      <c r="C211" s="90"/>
      <c r="D211" s="91"/>
      <c r="E211" s="55"/>
      <c r="F211" s="54"/>
      <c r="G211" s="55"/>
      <c r="H211" s="56"/>
      <c r="I211" s="57"/>
    </row>
    <row r="212" spans="2:9" ht="12.75" customHeight="1" x14ac:dyDescent="0.2">
      <c r="B212" s="92">
        <v>21</v>
      </c>
      <c r="C212" s="90"/>
      <c r="D212" s="91" t="str">
        <f>IFERROR(VLOOKUP(C212,Cadastro!B:G,2,0)&amp;" - "&amp;VLOOKUP(C212,Cadastro!B:G,3,0)&amp;" - "&amp;VLOOKUP(C212,Cadastro!B:G,4,0),"")</f>
        <v/>
      </c>
      <c r="E212" s="55"/>
      <c r="F212" s="54"/>
      <c r="G212" s="55"/>
      <c r="H212" s="56"/>
      <c r="I212" s="57"/>
    </row>
    <row r="213" spans="2:9" ht="12.75" customHeight="1" x14ac:dyDescent="0.2">
      <c r="B213" s="92"/>
      <c r="C213" s="90"/>
      <c r="D213" s="91"/>
      <c r="E213" s="55"/>
      <c r="F213" s="54"/>
      <c r="G213" s="55"/>
      <c r="H213" s="56"/>
      <c r="I213" s="57"/>
    </row>
    <row r="214" spans="2:9" ht="12.75" customHeight="1" x14ac:dyDescent="0.2">
      <c r="B214" s="92"/>
      <c r="C214" s="90"/>
      <c r="D214" s="91"/>
      <c r="E214" s="55"/>
      <c r="F214" s="54"/>
      <c r="G214" s="55"/>
      <c r="H214" s="56"/>
      <c r="I214" s="57"/>
    </row>
    <row r="215" spans="2:9" ht="12.75" customHeight="1" x14ac:dyDescent="0.2">
      <c r="B215" s="92"/>
      <c r="C215" s="90"/>
      <c r="D215" s="91"/>
      <c r="E215" s="55"/>
      <c r="F215" s="54"/>
      <c r="G215" s="55"/>
      <c r="H215" s="56"/>
      <c r="I215" s="57"/>
    </row>
    <row r="216" spans="2:9" ht="12.75" customHeight="1" x14ac:dyDescent="0.2">
      <c r="B216" s="92"/>
      <c r="C216" s="90"/>
      <c r="D216" s="91"/>
      <c r="E216" s="55"/>
      <c r="F216" s="54"/>
      <c r="G216" s="55"/>
      <c r="H216" s="56"/>
      <c r="I216" s="57"/>
    </row>
    <row r="217" spans="2:9" ht="12.75" customHeight="1" x14ac:dyDescent="0.2">
      <c r="B217" s="92"/>
      <c r="C217" s="90"/>
      <c r="D217" s="91"/>
      <c r="E217" s="55"/>
      <c r="F217" s="54"/>
      <c r="G217" s="55"/>
      <c r="H217" s="56"/>
      <c r="I217" s="57"/>
    </row>
    <row r="218" spans="2:9" ht="12.75" customHeight="1" x14ac:dyDescent="0.2">
      <c r="B218" s="92"/>
      <c r="C218" s="90"/>
      <c r="D218" s="91"/>
      <c r="E218" s="55"/>
      <c r="F218" s="54"/>
      <c r="G218" s="55"/>
      <c r="H218" s="56"/>
      <c r="I218" s="57"/>
    </row>
    <row r="219" spans="2:9" ht="12.75" customHeight="1" x14ac:dyDescent="0.2">
      <c r="B219" s="92"/>
      <c r="C219" s="90"/>
      <c r="D219" s="91"/>
      <c r="E219" s="55"/>
      <c r="F219" s="54"/>
      <c r="G219" s="55"/>
      <c r="H219" s="56"/>
      <c r="I219" s="57"/>
    </row>
    <row r="220" spans="2:9" ht="12.75" customHeight="1" x14ac:dyDescent="0.2">
      <c r="B220" s="92"/>
      <c r="C220" s="90"/>
      <c r="D220" s="91"/>
      <c r="E220" s="55"/>
      <c r="F220" s="54"/>
      <c r="G220" s="55"/>
      <c r="H220" s="56"/>
      <c r="I220" s="57"/>
    </row>
    <row r="221" spans="2:9" ht="12.75" customHeight="1" x14ac:dyDescent="0.2">
      <c r="B221" s="92"/>
      <c r="C221" s="90"/>
      <c r="D221" s="91"/>
      <c r="E221" s="55"/>
      <c r="F221" s="54"/>
      <c r="G221" s="55"/>
      <c r="H221" s="56"/>
      <c r="I221" s="57"/>
    </row>
    <row r="222" spans="2:9" ht="12.75" customHeight="1" x14ac:dyDescent="0.2">
      <c r="B222" s="92">
        <v>22</v>
      </c>
      <c r="C222" s="90"/>
      <c r="D222" s="91" t="str">
        <f>IFERROR(VLOOKUP(C222,Cadastro!B:G,2,0)&amp;" - "&amp;VLOOKUP(C222,Cadastro!B:G,3,0)&amp;" - "&amp;VLOOKUP(C222,Cadastro!B:G,4,0),"")</f>
        <v/>
      </c>
      <c r="E222" s="55"/>
      <c r="F222" s="54"/>
      <c r="G222" s="55"/>
      <c r="H222" s="56"/>
      <c r="I222" s="57"/>
    </row>
    <row r="223" spans="2:9" ht="12.75" customHeight="1" x14ac:dyDescent="0.2">
      <c r="B223" s="92"/>
      <c r="C223" s="90"/>
      <c r="D223" s="91"/>
      <c r="E223" s="55"/>
      <c r="F223" s="54"/>
      <c r="G223" s="55"/>
      <c r="H223" s="56"/>
      <c r="I223" s="57"/>
    </row>
    <row r="224" spans="2:9" ht="12.75" customHeight="1" x14ac:dyDescent="0.2">
      <c r="B224" s="92"/>
      <c r="C224" s="90"/>
      <c r="D224" s="91"/>
      <c r="E224" s="55"/>
      <c r="F224" s="54"/>
      <c r="G224" s="55"/>
      <c r="H224" s="56"/>
      <c r="I224" s="57"/>
    </row>
    <row r="225" spans="2:9" ht="12.75" customHeight="1" x14ac:dyDescent="0.2">
      <c r="B225" s="92"/>
      <c r="C225" s="90"/>
      <c r="D225" s="91"/>
      <c r="E225" s="55"/>
      <c r="F225" s="54"/>
      <c r="G225" s="55"/>
      <c r="H225" s="56"/>
      <c r="I225" s="57"/>
    </row>
    <row r="226" spans="2:9" ht="12.75" customHeight="1" x14ac:dyDescent="0.2">
      <c r="B226" s="92"/>
      <c r="C226" s="90"/>
      <c r="D226" s="91"/>
      <c r="E226" s="55"/>
      <c r="F226" s="54"/>
      <c r="G226" s="55"/>
      <c r="H226" s="56"/>
      <c r="I226" s="57"/>
    </row>
    <row r="227" spans="2:9" ht="12.75" customHeight="1" x14ac:dyDescent="0.2">
      <c r="B227" s="92"/>
      <c r="C227" s="90"/>
      <c r="D227" s="91"/>
      <c r="E227" s="55"/>
      <c r="F227" s="54"/>
      <c r="G227" s="55"/>
      <c r="H227" s="56"/>
      <c r="I227" s="57"/>
    </row>
    <row r="228" spans="2:9" ht="12.75" customHeight="1" x14ac:dyDescent="0.2">
      <c r="B228" s="92"/>
      <c r="C228" s="90"/>
      <c r="D228" s="91"/>
      <c r="E228" s="55"/>
      <c r="F228" s="54"/>
      <c r="G228" s="55"/>
      <c r="H228" s="56"/>
      <c r="I228" s="57"/>
    </row>
    <row r="229" spans="2:9" ht="12.75" customHeight="1" x14ac:dyDescent="0.2">
      <c r="B229" s="92"/>
      <c r="C229" s="90"/>
      <c r="D229" s="91"/>
      <c r="E229" s="55"/>
      <c r="F229" s="54"/>
      <c r="G229" s="55"/>
      <c r="H229" s="56"/>
      <c r="I229" s="57"/>
    </row>
    <row r="230" spans="2:9" ht="12.75" customHeight="1" x14ac:dyDescent="0.2">
      <c r="B230" s="92"/>
      <c r="C230" s="90"/>
      <c r="D230" s="91"/>
      <c r="E230" s="55"/>
      <c r="F230" s="54"/>
      <c r="G230" s="55"/>
      <c r="H230" s="56"/>
      <c r="I230" s="57"/>
    </row>
    <row r="231" spans="2:9" ht="12.75" customHeight="1" x14ac:dyDescent="0.2">
      <c r="B231" s="92"/>
      <c r="C231" s="90"/>
      <c r="D231" s="91"/>
      <c r="E231" s="55"/>
      <c r="F231" s="54"/>
      <c r="G231" s="55"/>
      <c r="H231" s="56"/>
      <c r="I231" s="57"/>
    </row>
    <row r="232" spans="2:9" ht="12.75" customHeight="1" x14ac:dyDescent="0.2">
      <c r="B232" s="92">
        <v>23</v>
      </c>
      <c r="C232" s="90"/>
      <c r="D232" s="91" t="str">
        <f>IFERROR(VLOOKUP(C232,Cadastro!B:G,2,0)&amp;" - "&amp;VLOOKUP(C232,Cadastro!B:G,3,0)&amp;" - "&amp;VLOOKUP(C232,Cadastro!B:G,4,0),"")</f>
        <v/>
      </c>
      <c r="E232" s="55"/>
      <c r="F232" s="54"/>
      <c r="G232" s="55"/>
      <c r="H232" s="56"/>
      <c r="I232" s="57"/>
    </row>
    <row r="233" spans="2:9" ht="12.75" customHeight="1" x14ac:dyDescent="0.2">
      <c r="B233" s="92"/>
      <c r="C233" s="90"/>
      <c r="D233" s="91"/>
      <c r="E233" s="55"/>
      <c r="F233" s="54"/>
      <c r="G233" s="55"/>
      <c r="H233" s="56"/>
      <c r="I233" s="57"/>
    </row>
    <row r="234" spans="2:9" ht="12.75" customHeight="1" x14ac:dyDescent="0.2">
      <c r="B234" s="92"/>
      <c r="C234" s="90"/>
      <c r="D234" s="91"/>
      <c r="E234" s="55"/>
      <c r="F234" s="54"/>
      <c r="G234" s="55"/>
      <c r="H234" s="56"/>
      <c r="I234" s="57"/>
    </row>
    <row r="235" spans="2:9" ht="12.75" customHeight="1" x14ac:dyDescent="0.2">
      <c r="B235" s="92"/>
      <c r="C235" s="90"/>
      <c r="D235" s="91"/>
      <c r="E235" s="55"/>
      <c r="F235" s="54"/>
      <c r="G235" s="55"/>
      <c r="H235" s="56"/>
      <c r="I235" s="57"/>
    </row>
    <row r="236" spans="2:9" ht="12.75" customHeight="1" x14ac:dyDescent="0.2">
      <c r="B236" s="92"/>
      <c r="C236" s="90"/>
      <c r="D236" s="91"/>
      <c r="E236" s="55"/>
      <c r="F236" s="54"/>
      <c r="G236" s="55"/>
      <c r="H236" s="56"/>
      <c r="I236" s="57"/>
    </row>
    <row r="237" spans="2:9" ht="12.75" customHeight="1" x14ac:dyDescent="0.2">
      <c r="B237" s="92"/>
      <c r="C237" s="90"/>
      <c r="D237" s="91"/>
      <c r="E237" s="55"/>
      <c r="F237" s="54"/>
      <c r="G237" s="55"/>
      <c r="H237" s="56"/>
      <c r="I237" s="57"/>
    </row>
    <row r="238" spans="2:9" ht="12.75" customHeight="1" x14ac:dyDescent="0.2">
      <c r="B238" s="92"/>
      <c r="C238" s="90"/>
      <c r="D238" s="91"/>
      <c r="E238" s="55"/>
      <c r="F238" s="54"/>
      <c r="G238" s="55"/>
      <c r="H238" s="56"/>
      <c r="I238" s="57"/>
    </row>
    <row r="239" spans="2:9" ht="12.75" customHeight="1" x14ac:dyDescent="0.2">
      <c r="B239" s="92"/>
      <c r="C239" s="90"/>
      <c r="D239" s="91"/>
      <c r="E239" s="55"/>
      <c r="F239" s="54"/>
      <c r="G239" s="55"/>
      <c r="H239" s="56"/>
      <c r="I239" s="57"/>
    </row>
    <row r="240" spans="2:9" ht="12.75" customHeight="1" x14ac:dyDescent="0.2">
      <c r="B240" s="92"/>
      <c r="C240" s="90"/>
      <c r="D240" s="91"/>
      <c r="E240" s="55"/>
      <c r="F240" s="54"/>
      <c r="G240" s="55"/>
      <c r="H240" s="56"/>
      <c r="I240" s="57"/>
    </row>
    <row r="241" spans="2:9" ht="12.75" customHeight="1" x14ac:dyDescent="0.2">
      <c r="B241" s="92"/>
      <c r="C241" s="90"/>
      <c r="D241" s="91"/>
      <c r="E241" s="55"/>
      <c r="F241" s="54"/>
      <c r="G241" s="55"/>
      <c r="H241" s="56"/>
      <c r="I241" s="57"/>
    </row>
    <row r="242" spans="2:9" ht="12.75" customHeight="1" x14ac:dyDescent="0.2">
      <c r="B242" s="92">
        <v>24</v>
      </c>
      <c r="C242" s="90"/>
      <c r="D242" s="91" t="str">
        <f>IFERROR(VLOOKUP(C242,Cadastro!B:G,2,0)&amp;" - "&amp;VLOOKUP(C242,Cadastro!B:G,3,0)&amp;" - "&amp;VLOOKUP(C242,Cadastro!B:G,4,0),"")</f>
        <v/>
      </c>
      <c r="E242" s="55"/>
      <c r="F242" s="54"/>
      <c r="G242" s="55"/>
      <c r="H242" s="56"/>
      <c r="I242" s="57"/>
    </row>
    <row r="243" spans="2:9" ht="12.75" customHeight="1" x14ac:dyDescent="0.2">
      <c r="B243" s="92"/>
      <c r="C243" s="90"/>
      <c r="D243" s="91"/>
      <c r="E243" s="55"/>
      <c r="F243" s="54"/>
      <c r="G243" s="55"/>
      <c r="H243" s="56"/>
      <c r="I243" s="57"/>
    </row>
    <row r="244" spans="2:9" ht="12.75" customHeight="1" x14ac:dyDescent="0.2">
      <c r="B244" s="92"/>
      <c r="C244" s="90"/>
      <c r="D244" s="91"/>
      <c r="E244" s="55"/>
      <c r="F244" s="54"/>
      <c r="G244" s="55"/>
      <c r="H244" s="56"/>
      <c r="I244" s="57"/>
    </row>
    <row r="245" spans="2:9" ht="12.75" customHeight="1" x14ac:dyDescent="0.2">
      <c r="B245" s="92"/>
      <c r="C245" s="90"/>
      <c r="D245" s="91"/>
      <c r="E245" s="55"/>
      <c r="F245" s="54"/>
      <c r="G245" s="55"/>
      <c r="H245" s="56"/>
      <c r="I245" s="57"/>
    </row>
    <row r="246" spans="2:9" ht="12.75" customHeight="1" x14ac:dyDescent="0.2">
      <c r="B246" s="92"/>
      <c r="C246" s="90"/>
      <c r="D246" s="91"/>
      <c r="E246" s="55"/>
      <c r="F246" s="54"/>
      <c r="G246" s="55"/>
      <c r="H246" s="56"/>
      <c r="I246" s="57"/>
    </row>
    <row r="247" spans="2:9" ht="12.75" customHeight="1" x14ac:dyDescent="0.2">
      <c r="B247" s="92"/>
      <c r="C247" s="90"/>
      <c r="D247" s="91"/>
      <c r="E247" s="55"/>
      <c r="F247" s="54"/>
      <c r="G247" s="55"/>
      <c r="H247" s="56"/>
      <c r="I247" s="57"/>
    </row>
    <row r="248" spans="2:9" ht="12.75" customHeight="1" x14ac:dyDescent="0.2">
      <c r="B248" s="92"/>
      <c r="C248" s="90"/>
      <c r="D248" s="91"/>
      <c r="E248" s="55"/>
      <c r="F248" s="54"/>
      <c r="G248" s="55"/>
      <c r="H248" s="56"/>
      <c r="I248" s="57"/>
    </row>
    <row r="249" spans="2:9" ht="12.75" customHeight="1" x14ac:dyDescent="0.2">
      <c r="B249" s="92"/>
      <c r="C249" s="90"/>
      <c r="D249" s="91"/>
      <c r="E249" s="55"/>
      <c r="F249" s="54"/>
      <c r="G249" s="55"/>
      <c r="H249" s="56"/>
      <c r="I249" s="57"/>
    </row>
    <row r="250" spans="2:9" ht="12.75" customHeight="1" x14ac:dyDescent="0.2">
      <c r="B250" s="92"/>
      <c r="C250" s="90"/>
      <c r="D250" s="91"/>
      <c r="E250" s="55"/>
      <c r="F250" s="54"/>
      <c r="G250" s="55"/>
      <c r="H250" s="56"/>
      <c r="I250" s="57"/>
    </row>
    <row r="251" spans="2:9" ht="12.75" customHeight="1" x14ac:dyDescent="0.2">
      <c r="B251" s="92"/>
      <c r="C251" s="90"/>
      <c r="D251" s="91"/>
      <c r="E251" s="55"/>
      <c r="F251" s="54"/>
      <c r="G251" s="55"/>
      <c r="H251" s="56"/>
      <c r="I251" s="57"/>
    </row>
    <row r="252" spans="2:9" ht="12.75" customHeight="1" x14ac:dyDescent="0.2">
      <c r="B252" s="92">
        <v>25</v>
      </c>
      <c r="C252" s="90"/>
      <c r="D252" s="91" t="str">
        <f>IFERROR(VLOOKUP(C252,Cadastro!B:G,2,0)&amp;" - "&amp;VLOOKUP(C252,Cadastro!B:G,3,0)&amp;" - "&amp;VLOOKUP(C252,Cadastro!B:G,4,0),"")</f>
        <v/>
      </c>
      <c r="E252" s="55"/>
      <c r="F252" s="54"/>
      <c r="G252" s="55"/>
      <c r="H252" s="56"/>
      <c r="I252" s="57"/>
    </row>
    <row r="253" spans="2:9" ht="12.75" customHeight="1" x14ac:dyDescent="0.2">
      <c r="B253" s="92"/>
      <c r="C253" s="90"/>
      <c r="D253" s="91"/>
      <c r="E253" s="55"/>
      <c r="F253" s="54"/>
      <c r="G253" s="55"/>
      <c r="H253" s="56"/>
      <c r="I253" s="57"/>
    </row>
    <row r="254" spans="2:9" ht="12.75" customHeight="1" x14ac:dyDescent="0.2">
      <c r="B254" s="92"/>
      <c r="C254" s="90"/>
      <c r="D254" s="91"/>
      <c r="E254" s="55"/>
      <c r="F254" s="54"/>
      <c r="G254" s="55"/>
      <c r="H254" s="56"/>
      <c r="I254" s="57"/>
    </row>
    <row r="255" spans="2:9" ht="12.75" customHeight="1" x14ac:dyDescent="0.2">
      <c r="B255" s="92"/>
      <c r="C255" s="90"/>
      <c r="D255" s="91"/>
      <c r="E255" s="55"/>
      <c r="F255" s="54"/>
      <c r="G255" s="55"/>
      <c r="H255" s="56"/>
      <c r="I255" s="57"/>
    </row>
    <row r="256" spans="2:9" ht="12.75" customHeight="1" x14ac:dyDescent="0.2">
      <c r="B256" s="92"/>
      <c r="C256" s="90"/>
      <c r="D256" s="91"/>
      <c r="E256" s="55"/>
      <c r="F256" s="54"/>
      <c r="G256" s="55"/>
      <c r="H256" s="56"/>
      <c r="I256" s="57"/>
    </row>
    <row r="257" spans="2:9" ht="12.75" customHeight="1" x14ac:dyDescent="0.2">
      <c r="B257" s="92"/>
      <c r="C257" s="90"/>
      <c r="D257" s="91"/>
      <c r="E257" s="55"/>
      <c r="F257" s="54"/>
      <c r="G257" s="55"/>
      <c r="H257" s="56"/>
      <c r="I257" s="57"/>
    </row>
    <row r="258" spans="2:9" ht="12.75" customHeight="1" x14ac:dyDescent="0.2">
      <c r="B258" s="92"/>
      <c r="C258" s="90"/>
      <c r="D258" s="91"/>
      <c r="E258" s="55"/>
      <c r="F258" s="54"/>
      <c r="G258" s="55"/>
      <c r="H258" s="56"/>
      <c r="I258" s="57"/>
    </row>
    <row r="259" spans="2:9" ht="12.75" customHeight="1" x14ac:dyDescent="0.2">
      <c r="B259" s="92"/>
      <c r="C259" s="90"/>
      <c r="D259" s="91"/>
      <c r="E259" s="55"/>
      <c r="F259" s="54"/>
      <c r="G259" s="55"/>
      <c r="H259" s="56"/>
      <c r="I259" s="57"/>
    </row>
    <row r="260" spans="2:9" ht="12.75" customHeight="1" x14ac:dyDescent="0.2">
      <c r="B260" s="92"/>
      <c r="C260" s="90"/>
      <c r="D260" s="91"/>
      <c r="E260" s="55"/>
      <c r="F260" s="54"/>
      <c r="G260" s="55"/>
      <c r="H260" s="56"/>
      <c r="I260" s="57"/>
    </row>
    <row r="261" spans="2:9" ht="12.75" customHeight="1" x14ac:dyDescent="0.2">
      <c r="B261" s="93"/>
      <c r="C261" s="94"/>
      <c r="D261" s="95"/>
      <c r="E261" s="78"/>
      <c r="F261" s="79"/>
      <c r="G261" s="78"/>
      <c r="H261" s="80"/>
      <c r="I261" s="81"/>
    </row>
  </sheetData>
  <sheetProtection algorithmName="SHA-512" hashValue="Q76P519E0ItADThACheIWHfe7431CyhB7ofpyVT5nI6RWGEf6zRVR4lD6foZIR5lvPryA+sRdd/aduA5yA4YTw==" saltValue="8yLAhZ+Jp+XhAs5U7W66jA==" spinCount="100000" sheet="1" objects="1" scenarios="1" formatColumns="0" selectLockedCells="1"/>
  <autoFilter ref="K12:K24">
    <sortState ref="K13:K24">
      <sortCondition ref="K12:K24"/>
    </sortState>
  </autoFilter>
  <mergeCells count="75">
    <mergeCell ref="B252:B261"/>
    <mergeCell ref="C252:C261"/>
    <mergeCell ref="D252:D261"/>
    <mergeCell ref="B232:B241"/>
    <mergeCell ref="C232:C241"/>
    <mergeCell ref="D232:D241"/>
    <mergeCell ref="B242:B251"/>
    <mergeCell ref="C242:C251"/>
    <mergeCell ref="D242:D251"/>
    <mergeCell ref="B212:B221"/>
    <mergeCell ref="C212:C221"/>
    <mergeCell ref="D212:D221"/>
    <mergeCell ref="B222:B231"/>
    <mergeCell ref="C222:C231"/>
    <mergeCell ref="D222:D231"/>
    <mergeCell ref="B192:B201"/>
    <mergeCell ref="C192:C201"/>
    <mergeCell ref="D192:D201"/>
    <mergeCell ref="B202:B211"/>
    <mergeCell ref="C202:C211"/>
    <mergeCell ref="D202:D211"/>
    <mergeCell ref="B172:B181"/>
    <mergeCell ref="C172:C181"/>
    <mergeCell ref="D172:D181"/>
    <mergeCell ref="B182:B191"/>
    <mergeCell ref="C182:C191"/>
    <mergeCell ref="D182:D191"/>
    <mergeCell ref="B152:B161"/>
    <mergeCell ref="C152:C161"/>
    <mergeCell ref="D152:D161"/>
    <mergeCell ref="B162:B171"/>
    <mergeCell ref="C162:C171"/>
    <mergeCell ref="D162:D171"/>
    <mergeCell ref="B132:B141"/>
    <mergeCell ref="C132:C141"/>
    <mergeCell ref="D132:D141"/>
    <mergeCell ref="B142:B151"/>
    <mergeCell ref="C142:C151"/>
    <mergeCell ref="D142:D151"/>
    <mergeCell ref="B112:B121"/>
    <mergeCell ref="C112:C121"/>
    <mergeCell ref="D112:D121"/>
    <mergeCell ref="B122:B131"/>
    <mergeCell ref="C122:C131"/>
    <mergeCell ref="D122:D131"/>
    <mergeCell ref="B92:B101"/>
    <mergeCell ref="C92:C101"/>
    <mergeCell ref="D92:D101"/>
    <mergeCell ref="B102:B111"/>
    <mergeCell ref="C102:C111"/>
    <mergeCell ref="D102:D111"/>
    <mergeCell ref="B72:B81"/>
    <mergeCell ref="C72:C81"/>
    <mergeCell ref="D72:D81"/>
    <mergeCell ref="B82:B91"/>
    <mergeCell ref="C82:C91"/>
    <mergeCell ref="D82:D91"/>
    <mergeCell ref="B52:B61"/>
    <mergeCell ref="C52:C61"/>
    <mergeCell ref="D52:D61"/>
    <mergeCell ref="B62:B71"/>
    <mergeCell ref="C62:C71"/>
    <mergeCell ref="D62:D71"/>
    <mergeCell ref="B32:B41"/>
    <mergeCell ref="C32:C41"/>
    <mergeCell ref="D32:D41"/>
    <mergeCell ref="B42:B51"/>
    <mergeCell ref="C42:C51"/>
    <mergeCell ref="D42:D51"/>
    <mergeCell ref="B12:B21"/>
    <mergeCell ref="C12:C21"/>
    <mergeCell ref="D12:D21"/>
    <mergeCell ref="B22:B31"/>
    <mergeCell ref="C22:C31"/>
    <mergeCell ref="D22:D31"/>
  </mergeCells>
  <conditionalFormatting sqref="F12:I261">
    <cfRule type="expression" dxfId="16" priority="1" stopIfTrue="1">
      <formula>$E12="Concluído"</formula>
    </cfRule>
    <cfRule type="expression" dxfId="15" priority="4">
      <formula>$E12="Em Andamento"</formula>
    </cfRule>
    <cfRule type="expression" dxfId="14" priority="6">
      <formula>$E12="Pendente"</formula>
    </cfRule>
  </conditionalFormatting>
  <conditionalFormatting sqref="E12:E261">
    <cfRule type="containsText" dxfId="13" priority="2" stopIfTrue="1" operator="containsText" text="Concluído">
      <formula>NOT(ISERROR(SEARCH("Concluído",E12)))</formula>
    </cfRule>
    <cfRule type="containsText" dxfId="12" priority="5" operator="containsText" text="Em Andamento">
      <formula>NOT(ISERROR(SEARCH("Em Andamento",E12)))</formula>
    </cfRule>
    <cfRule type="containsText" dxfId="11" priority="7" operator="containsText" text="Pendente">
      <formula>NOT(ISERROR(SEARCH("Pendente",E12)))</formula>
    </cfRule>
  </conditionalFormatting>
  <conditionalFormatting sqref="I12:I261">
    <cfRule type="timePeriod" dxfId="10" priority="3" timePeriod="today">
      <formula>FLOOR(I12,1)=TODAY()</formula>
    </cfRule>
  </conditionalFormatting>
  <dataValidations count="2">
    <dataValidation type="list" allowBlank="1" showInputMessage="1" showErrorMessage="1" sqref="E12:E261">
      <formula1>$K$26:$K$29</formula1>
    </dataValidation>
    <dataValidation type="list" allowBlank="1" showInputMessage="1" showErrorMessage="1" sqref="G12:G261">
      <formula1>$K$12:$K$25</formula1>
    </dataValidation>
  </dataValidations>
  <hyperlinks>
    <hyperlink ref="E2" r:id="rId1" location="!download/cu9f"/>
  </hyperlinks>
  <pageMargins left="0.39370078740157483" right="0.39370078740157483" top="0.59055118110236227" bottom="0.39370078740157483" header="0.51181102362204722" footer="0.51181102362204722"/>
  <pageSetup paperSize="9" scale="95" orientation="landscape" horizontalDpi="300" verticalDpi="300" r:id="rId2"/>
  <headerFooter alignWithMargins="0"/>
  <drawing r:id="rId3"/>
  <legacyDrawing r:id="rId4"/>
  <tableParts count="1">
    <tablePart r:id="rId5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Cadastro!$B$12:$B$60</xm:f>
          </x14:formula1>
          <xm:sqref>C12:C261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Menu</vt:lpstr>
      <vt:lpstr>Cadastro</vt:lpstr>
      <vt:lpstr>Certidões</vt:lpstr>
      <vt:lpstr>Controle de Serviços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Bancos</dc:title>
  <dc:subject>Conciliação Bancária</dc:subject>
  <dc:creator>www.funcaocontabil.net</dc:creator>
  <cp:lastModifiedBy>Guilherme Fernando Ferrari</cp:lastModifiedBy>
  <cp:lastPrinted>2018-02-14T17:26:19Z</cp:lastPrinted>
  <dcterms:created xsi:type="dcterms:W3CDTF">2002-07-05T19:57:24Z</dcterms:created>
  <dcterms:modified xsi:type="dcterms:W3CDTF">2018-02-19T00:40:09Z</dcterms:modified>
  <cp:category>Cotabilidade</cp:category>
</cp:coreProperties>
</file>