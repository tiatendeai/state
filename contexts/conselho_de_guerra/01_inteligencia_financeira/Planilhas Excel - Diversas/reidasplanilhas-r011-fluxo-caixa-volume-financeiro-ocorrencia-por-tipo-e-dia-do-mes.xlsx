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TABELA!$B$1:$O$33</definedName>
    <definedName name="_xlnm.Print_Titles" localSheetId="0">TABELA!$B:$B,TABELA!$3:$10</definedName>
  </definedNames>
  <calcPr calcId="145621"/>
  <pivotCaches>
    <pivotCache cacheId="10" r:id="rId3"/>
  </pivotCaches>
</workbook>
</file>

<file path=xl/calcChain.xml><?xml version="1.0" encoding="utf-8"?>
<calcChain xmlns="http://schemas.openxmlformats.org/spreadsheetml/2006/main">
  <c r="E2" i="2" l="1"/>
  <c r="B2" i="3" s="1"/>
  <c r="E1" i="2"/>
</calcChain>
</file>

<file path=xl/sharedStrings.xml><?xml version="1.0" encoding="utf-8"?>
<sst xmlns="http://schemas.openxmlformats.org/spreadsheetml/2006/main" count="18" uniqueCount="16">
  <si>
    <t>Rótulos de Linha</t>
  </si>
  <si>
    <t>ANO</t>
  </si>
  <si>
    <t>(Tudo)</t>
  </si>
  <si>
    <t>SEMESTRE</t>
  </si>
  <si>
    <t>TRIMESTRE</t>
  </si>
  <si>
    <t>FILTROS</t>
  </si>
  <si>
    <t>VER GRÁFICO</t>
  </si>
  <si>
    <t>VER TABELA</t>
  </si>
  <si>
    <t>Total Geral</t>
  </si>
  <si>
    <t>TIPO</t>
  </si>
  <si>
    <t>MÊS</t>
  </si>
  <si>
    <t>ENTRADAS</t>
  </si>
  <si>
    <t>Valores</t>
  </si>
  <si>
    <t>VOLUME FINANCEIRO</t>
  </si>
  <si>
    <t>OCORRÊNCIA</t>
  </si>
  <si>
    <t>FLUXO DE CAIXA - VOLUME FINANCEIRO E OCORRÊNCIA POR TIPO E DIA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</si>
</sst>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41" fontId="0" fillId="0" borderId="0" xfId="0" applyNumberFormat="1"/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10">
    <dxf>
      <numFmt numFmtId="33" formatCode="_-* #,##0_-;\-* #,##0_-;_-* &quot;-&quot;_-;_-@_-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[reidasplanilhas-R013-Fluxo-Caixa-Volume-Financeiro-Ocorrencia-por-Tipo-e-Dia-do-Mes.xlsx]TABELA!Tabela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</c:pivotFmt>
      <c:pivotFmt>
        <c:idx val="209"/>
      </c:pivotFmt>
      <c:pivotFmt>
        <c:idx val="210"/>
        <c:spPr>
          <a:scene3d>
            <a:camera prst="orthographicFront"/>
            <a:lightRig rig="threePt" dir="t">
              <a:rot lat="0" lon="0" rev="1200000"/>
            </a:lightRig>
          </a:scene3d>
          <a:sp3d>
            <a:bevelT w="25400" h="12700"/>
          </a:sp3d>
        </c:spPr>
        <c:marker>
          <c:symbol val="none"/>
        </c:marker>
      </c:pivotFmt>
      <c:pivotFmt>
        <c:idx val="211"/>
        <c:spPr>
          <a:ln w="101600" cap="flat" cmpd="sng" algn="ctr">
            <a:solidFill>
              <a:srgbClr val="FF0000">
                <a:alpha val="72000"/>
              </a:srgbClr>
            </a:solidFill>
            <a:prstDash val="solid"/>
            <a:headEnd type="none" w="med" len="med"/>
            <a:tailEnd type="none" w="med" len="med"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665442782513259"/>
          <c:y val="8.3652805571049552E-2"/>
          <c:w val="0.83703729632424206"/>
          <c:h val="0.8098114947964557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TABELA!$C$9:$C$10</c:f>
              <c:strCache>
                <c:ptCount val="1"/>
                <c:pt idx="0">
                  <c:v>VOLUME FINANCEIRO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"/>
              </a:lightRig>
            </a:scene3d>
            <a:sp3d>
              <a:bevelT w="25400" h="12700"/>
            </a:sp3d>
          </c:spPr>
          <c:invertIfNegative val="0"/>
          <c:cat>
            <c:strRef>
              <c:f>TABELA!$B$11:$B$42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TABELA!$C$11:$C$42</c:f>
              <c:numCache>
                <c:formatCode>_(* #,##0.00_);_(* \(#,##0.00\);_(* "-"??_);_(@_)</c:formatCode>
                <c:ptCount val="31"/>
                <c:pt idx="0">
                  <c:v>36809.17</c:v>
                </c:pt>
                <c:pt idx="1">
                  <c:v>73716.58</c:v>
                </c:pt>
                <c:pt idx="2">
                  <c:v>114688.29</c:v>
                </c:pt>
                <c:pt idx="3">
                  <c:v>169982.03999999995</c:v>
                </c:pt>
                <c:pt idx="4">
                  <c:v>175856.19999999998</c:v>
                </c:pt>
                <c:pt idx="5">
                  <c:v>238632.53999999992</c:v>
                </c:pt>
                <c:pt idx="6">
                  <c:v>244098.60999999996</c:v>
                </c:pt>
                <c:pt idx="7">
                  <c:v>294910.39999999991</c:v>
                </c:pt>
                <c:pt idx="8">
                  <c:v>214706.16</c:v>
                </c:pt>
                <c:pt idx="9">
                  <c:v>246135.5</c:v>
                </c:pt>
                <c:pt idx="10">
                  <c:v>155650.43999999997</c:v>
                </c:pt>
                <c:pt idx="11">
                  <c:v>125212.68000000001</c:v>
                </c:pt>
                <c:pt idx="12">
                  <c:v>195915.46000000002</c:v>
                </c:pt>
                <c:pt idx="13">
                  <c:v>213642.38000000003</c:v>
                </c:pt>
                <c:pt idx="14">
                  <c:v>131987.70000000001</c:v>
                </c:pt>
                <c:pt idx="15">
                  <c:v>238115.52000000002</c:v>
                </c:pt>
                <c:pt idx="16">
                  <c:v>283802.08</c:v>
                </c:pt>
                <c:pt idx="17">
                  <c:v>238103.45999999996</c:v>
                </c:pt>
                <c:pt idx="18">
                  <c:v>343574.34</c:v>
                </c:pt>
                <c:pt idx="19">
                  <c:v>370676.1999999999</c:v>
                </c:pt>
                <c:pt idx="20">
                  <c:v>468789.30000000005</c:v>
                </c:pt>
                <c:pt idx="21">
                  <c:v>520808.42000000004</c:v>
                </c:pt>
                <c:pt idx="22">
                  <c:v>543306.4600000002</c:v>
                </c:pt>
                <c:pt idx="23">
                  <c:v>567587.76</c:v>
                </c:pt>
                <c:pt idx="24">
                  <c:v>657711.5</c:v>
                </c:pt>
                <c:pt idx="25">
                  <c:v>682168.49999999988</c:v>
                </c:pt>
                <c:pt idx="26">
                  <c:v>609614.64000000013</c:v>
                </c:pt>
                <c:pt idx="27">
                  <c:v>828455.87999999989</c:v>
                </c:pt>
                <c:pt idx="28">
                  <c:v>725841.57999999984</c:v>
                </c:pt>
                <c:pt idx="29">
                  <c:v>710012.39999999956</c:v>
                </c:pt>
                <c:pt idx="30">
                  <c:v>516763.49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7310720"/>
        <c:axId val="87312256"/>
      </c:barChart>
      <c:lineChart>
        <c:grouping val="standard"/>
        <c:varyColors val="1"/>
        <c:ser>
          <c:idx val="1"/>
          <c:order val="1"/>
          <c:tx>
            <c:strRef>
              <c:f>TABELA!$D$9:$D$10</c:f>
              <c:strCache>
                <c:ptCount val="1"/>
                <c:pt idx="0">
                  <c:v>OCORRÊNCIA</c:v>
                </c:pt>
              </c:strCache>
            </c:strRef>
          </c:tx>
          <c:spPr>
            <a:ln w="101600" cap="flat" cmpd="sng" algn="ctr">
              <a:solidFill>
                <a:srgbClr val="FF0000">
                  <a:alpha val="72000"/>
                </a:srgbClr>
              </a:solidFill>
              <a:prstDash val="solid"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strRef>
              <c:f>TABELA!$B$11:$B$42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TABELA!$D$11:$D$42</c:f>
              <c:numCache>
                <c:formatCode>_(* #,##0_);_(* \(#,##0\);_(* "-"_);_(@_)</c:formatCode>
                <c:ptCount val="31"/>
                <c:pt idx="0">
                  <c:v>99</c:v>
                </c:pt>
                <c:pt idx="1">
                  <c:v>104</c:v>
                </c:pt>
                <c:pt idx="2">
                  <c:v>107</c:v>
                </c:pt>
                <c:pt idx="3">
                  <c:v>111</c:v>
                </c:pt>
                <c:pt idx="4">
                  <c:v>98</c:v>
                </c:pt>
                <c:pt idx="5">
                  <c:v>101</c:v>
                </c:pt>
                <c:pt idx="6">
                  <c:v>90</c:v>
                </c:pt>
                <c:pt idx="7">
                  <c:v>76</c:v>
                </c:pt>
                <c:pt idx="8">
                  <c:v>63</c:v>
                </c:pt>
                <c:pt idx="9">
                  <c:v>61</c:v>
                </c:pt>
                <c:pt idx="10">
                  <c:v>46</c:v>
                </c:pt>
                <c:pt idx="11">
                  <c:v>37</c:v>
                </c:pt>
                <c:pt idx="12">
                  <c:v>42</c:v>
                </c:pt>
                <c:pt idx="13">
                  <c:v>46</c:v>
                </c:pt>
                <c:pt idx="14">
                  <c:v>41</c:v>
                </c:pt>
                <c:pt idx="15">
                  <c:v>45</c:v>
                </c:pt>
                <c:pt idx="16">
                  <c:v>59</c:v>
                </c:pt>
                <c:pt idx="17">
                  <c:v>49</c:v>
                </c:pt>
                <c:pt idx="18">
                  <c:v>61</c:v>
                </c:pt>
                <c:pt idx="19">
                  <c:v>62</c:v>
                </c:pt>
                <c:pt idx="20">
                  <c:v>64</c:v>
                </c:pt>
                <c:pt idx="21">
                  <c:v>70</c:v>
                </c:pt>
                <c:pt idx="22">
                  <c:v>72</c:v>
                </c:pt>
                <c:pt idx="23">
                  <c:v>70</c:v>
                </c:pt>
                <c:pt idx="24">
                  <c:v>75</c:v>
                </c:pt>
                <c:pt idx="25">
                  <c:v>81</c:v>
                </c:pt>
                <c:pt idx="26">
                  <c:v>82</c:v>
                </c:pt>
                <c:pt idx="27">
                  <c:v>89</c:v>
                </c:pt>
                <c:pt idx="28">
                  <c:v>76</c:v>
                </c:pt>
                <c:pt idx="29">
                  <c:v>88</c:v>
                </c:pt>
                <c:pt idx="30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31968"/>
        <c:axId val="87313792"/>
      </c:lineChart>
      <c:catAx>
        <c:axId val="87310720"/>
        <c:scaling>
          <c:orientation val="minMax"/>
        </c:scaling>
        <c:delete val="0"/>
        <c:axPos val="b"/>
        <c:majorTickMark val="out"/>
        <c:minorTickMark val="none"/>
        <c:tickLblPos val="low"/>
        <c:crossAx val="87312256"/>
        <c:crosses val="autoZero"/>
        <c:auto val="1"/>
        <c:lblAlgn val="ctr"/>
        <c:lblOffset val="100"/>
        <c:noMultiLvlLbl val="0"/>
      </c:catAx>
      <c:valAx>
        <c:axId val="8731225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87310720"/>
        <c:crosses val="autoZero"/>
        <c:crossBetween val="between"/>
      </c:valAx>
      <c:valAx>
        <c:axId val="87313792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7331968"/>
        <c:crosses val="max"/>
        <c:crossBetween val="between"/>
      </c:valAx>
      <c:catAx>
        <c:axId val="87331968"/>
        <c:scaling>
          <c:orientation val="minMax"/>
        </c:scaling>
        <c:delete val="1"/>
        <c:axPos val="b"/>
        <c:majorTickMark val="out"/>
        <c:minorTickMark val="none"/>
        <c:tickLblPos val="nextTo"/>
        <c:crossAx val="87313792"/>
        <c:crosses val="autoZero"/>
        <c:auto val="1"/>
        <c:lblAlgn val="ctr"/>
        <c:lblOffset val="100"/>
        <c:noMultiLvlLbl val="0"/>
      </c:cat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141" footer="0.31496062000000141"/>
    <c:pageSetup orientation="portrait"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203200</xdr:rowOff>
    </xdr:from>
    <xdr:to>
      <xdr:col>3</xdr:col>
      <xdr:colOff>454710</xdr:colOff>
      <xdr:row>3</xdr:row>
      <xdr:rowOff>30286</xdr:rowOff>
    </xdr:to>
    <xdr:sp macro="" textlink="">
      <xdr:nvSpPr>
        <xdr:cNvPr id="2" name="Seta para a direita 1"/>
        <xdr:cNvSpPr/>
      </xdr:nvSpPr>
      <xdr:spPr>
        <a:xfrm rot="10800000">
          <a:off x="2501900" y="812800"/>
          <a:ext cx="365810" cy="271586"/>
        </a:xfrm>
        <a:prstGeom prst="rightArrow">
          <a:avLst>
            <a:gd name="adj1" fmla="val 36466"/>
            <a:gd name="adj2" fmla="val 77223"/>
          </a:avLst>
        </a:prstGeom>
        <a:solidFill>
          <a:schemeClr val="accent6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08.555885648151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DIASEMANA" numFmtId="0">
      <sharedItems containsBlank="1"/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/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0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D42" firstHeaderRow="1" firstDataRow="2" firstDataCol="1" rowPageCount="5" colPageCount="1"/>
  <pivotFields count="14">
    <pivotField showAll="0" insertBlankRow="1"/>
    <pivotField axis="axisRow" showAll="0" insertBlankRow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 insertBlankRow="1"/>
    <pivotField axis="axisPage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Page" showAll="0" insertBlankRow="1" sortType="ascending">
      <items count="4">
        <item x="0"/>
        <item x="1"/>
        <item x="2"/>
        <item t="default"/>
      </items>
    </pivotField>
    <pivotField showAll="0" insertBlankRow="1">
      <items count="5">
        <item x="1"/>
        <item x="0"/>
        <item m="1" x="3"/>
        <item x="2"/>
        <item t="default"/>
      </items>
    </pivotField>
    <pivotField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dataField="1" showAll="0" insertBlankRow="1"/>
    <pivotField showAll="0" defaultSubtotal="0"/>
    <pivotField dataField="1"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pageFields count="5">
    <pageField fld="7" item="0" hier="-1"/>
    <pageField fld="6" item="1" hier="-1"/>
    <pageField fld="5" hier="-1"/>
    <pageField fld="4" hier="-1"/>
    <pageField fld="3" hier="-1"/>
  </pageFields>
  <dataFields count="2">
    <dataField name="VOLUME FINANCEIRO" fld="13" baseField="1" baseItem="0" numFmtId="43"/>
    <dataField name="OCORRÊNCIA" fld="11" subtotal="count" baseField="1" baseItem="0" numFmtId="41"/>
  </dataFields>
  <formats count="10">
    <format dxfId="9">
      <pivotArea field="7" dataOnly="0" labelOnly="1" outline="0" axis="axisPage" fieldPosition="0">
        <references count="1">
          <reference field="4294967294" count="1" selected="0">
            <x v="0"/>
          </reference>
        </references>
      </pivotArea>
    </format>
    <format dxfId="8">
      <pivotArea field="6" type="button" dataOnly="0" labelOnly="1" outline="0" axis="axisPage" fieldPosition="1"/>
    </format>
    <format dxfId="7">
      <pivotArea dataOnly="0" labelOnly="1" outline="0" fieldPosition="0">
        <references count="1">
          <reference field="6" count="1">
            <x v="1"/>
          </reference>
        </references>
      </pivotArea>
    </format>
    <format dxfId="6">
      <pivotArea field="5" type="button" dataOnly="0" labelOnly="1" outline="0" axis="axisPage" fieldPosition="2"/>
    </format>
    <format dxfId="5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4">
      <pivotArea field="4" type="button" dataOnly="0" labelOnly="1" outline="0" axis="axisPage" fieldPosition="3"/>
    </format>
    <format dxfId="3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2">
      <pivotArea field="8" type="button" dataOnly="0" labelOnly="1" outline="0"/>
    </format>
    <format dxfId="1">
      <pivotArea field="9" type="button" dataOnly="0" labelOnly="1" outline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43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2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42"/>
  <sheetViews>
    <sheetView showGridLines="0" zoomScale="75" zoomScaleNormal="75" zoomScaleSheetLayoutView="80" workbookViewId="0">
      <selection activeCell="E3" sqref="E3:N3"/>
    </sheetView>
  </sheetViews>
  <sheetFormatPr defaultColWidth="0" defaultRowHeight="15" x14ac:dyDescent="0.25"/>
  <cols>
    <col min="1" max="1" width="2.7109375" customWidth="1"/>
    <col min="2" max="15" width="16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4" s="6" customFormat="1" ht="48" customHeight="1" x14ac:dyDescent="0.4">
      <c r="B1" s="15" t="s">
        <v>5</v>
      </c>
      <c r="C1" s="15"/>
      <c r="E1" s="16" t="str">
        <f>GRAFICO!B1</f>
        <v>FLUXO DE CAIXA - VOLUME FINANCEIRO E OCORRÊNCIA POR TIPO E DIA DO MÊS</v>
      </c>
      <c r="F1" s="16"/>
      <c r="G1" s="16"/>
      <c r="H1" s="16"/>
      <c r="I1" s="16"/>
      <c r="J1" s="16"/>
      <c r="K1" s="16"/>
      <c r="L1" s="16"/>
      <c r="M1" s="16"/>
      <c r="N1" s="16"/>
    </row>
    <row r="2" spans="2:14" s="7" customFormat="1" ht="20.100000000000001" customHeight="1" x14ac:dyDescent="0.25">
      <c r="B2" s="5"/>
      <c r="C2" s="5"/>
      <c r="E2" s="17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TIPO=ENTRADAS, ANO=2011, SEMESTRE=(Tudo), TRIMESTRE=(Tudo), MÊS=(Tudo)</v>
      </c>
      <c r="F2" s="17"/>
      <c r="G2" s="17"/>
      <c r="H2" s="17"/>
      <c r="I2" s="17"/>
      <c r="J2" s="17"/>
      <c r="K2" s="17"/>
      <c r="L2" s="17"/>
      <c r="M2" s="17"/>
      <c r="N2" s="17"/>
    </row>
    <row r="3" spans="2:14" s="7" customFormat="1" ht="15" customHeight="1" x14ac:dyDescent="0.25">
      <c r="B3" s="3" t="s">
        <v>9</v>
      </c>
      <c r="C3" t="s">
        <v>11</v>
      </c>
      <c r="E3" s="18" t="s">
        <v>6</v>
      </c>
      <c r="F3" s="18"/>
      <c r="G3" s="18"/>
      <c r="H3" s="18"/>
      <c r="I3" s="18"/>
      <c r="J3" s="18"/>
      <c r="K3" s="18"/>
      <c r="L3" s="18"/>
      <c r="M3" s="18"/>
      <c r="N3" s="18"/>
    </row>
    <row r="4" spans="2:14" s="9" customFormat="1" ht="15" customHeight="1" x14ac:dyDescent="0.25">
      <c r="B4" s="12" t="s">
        <v>1</v>
      </c>
      <c r="C4" s="13">
        <v>2011</v>
      </c>
    </row>
    <row r="5" spans="2:14" s="9" customFormat="1" ht="15" customHeight="1" x14ac:dyDescent="0.25">
      <c r="B5" s="12" t="s">
        <v>3</v>
      </c>
      <c r="C5" s="9" t="s">
        <v>2</v>
      </c>
    </row>
    <row r="6" spans="2:14" s="9" customFormat="1" ht="15" customHeight="1" x14ac:dyDescent="0.25">
      <c r="B6" s="12" t="s">
        <v>4</v>
      </c>
      <c r="C6" s="9" t="s">
        <v>2</v>
      </c>
    </row>
    <row r="7" spans="2:14" s="9" customFormat="1" ht="15" customHeight="1" x14ac:dyDescent="0.25">
      <c r="B7" s="3" t="s">
        <v>10</v>
      </c>
      <c r="C7" t="s">
        <v>2</v>
      </c>
    </row>
    <row r="8" spans="2:14" s="9" customFormat="1" x14ac:dyDescent="0.25"/>
    <row r="9" spans="2:14" x14ac:dyDescent="0.25">
      <c r="C9" s="3" t="s">
        <v>12</v>
      </c>
    </row>
    <row r="10" spans="2:14" x14ac:dyDescent="0.25">
      <c r="B10" s="3" t="s">
        <v>0</v>
      </c>
      <c r="C10" t="s">
        <v>13</v>
      </c>
      <c r="D10" t="s">
        <v>14</v>
      </c>
    </row>
    <row r="11" spans="2:14" x14ac:dyDescent="0.25">
      <c r="B11" s="2">
        <v>1</v>
      </c>
      <c r="C11" s="1">
        <v>36809.17</v>
      </c>
      <c r="D11" s="14">
        <v>99</v>
      </c>
    </row>
    <row r="12" spans="2:14" x14ac:dyDescent="0.25">
      <c r="B12" s="2">
        <v>2</v>
      </c>
      <c r="C12" s="1">
        <v>73716.58</v>
      </c>
      <c r="D12" s="14">
        <v>104</v>
      </c>
    </row>
    <row r="13" spans="2:14" x14ac:dyDescent="0.25">
      <c r="B13" s="2">
        <v>3</v>
      </c>
      <c r="C13" s="1">
        <v>114688.29</v>
      </c>
      <c r="D13" s="14">
        <v>107</v>
      </c>
    </row>
    <row r="14" spans="2:14" x14ac:dyDescent="0.25">
      <c r="B14" s="2">
        <v>4</v>
      </c>
      <c r="C14" s="1">
        <v>169982.03999999995</v>
      </c>
      <c r="D14" s="14">
        <v>111</v>
      </c>
    </row>
    <row r="15" spans="2:14" x14ac:dyDescent="0.25">
      <c r="B15" s="2">
        <v>5</v>
      </c>
      <c r="C15" s="1">
        <v>175856.19999999998</v>
      </c>
      <c r="D15" s="14">
        <v>98</v>
      </c>
    </row>
    <row r="16" spans="2:14" x14ac:dyDescent="0.25">
      <c r="B16" s="2">
        <v>6</v>
      </c>
      <c r="C16" s="1">
        <v>238632.53999999992</v>
      </c>
      <c r="D16" s="14">
        <v>101</v>
      </c>
    </row>
    <row r="17" spans="2:4" x14ac:dyDescent="0.25">
      <c r="B17" s="2">
        <v>7</v>
      </c>
      <c r="C17" s="1">
        <v>244098.60999999996</v>
      </c>
      <c r="D17" s="14">
        <v>90</v>
      </c>
    </row>
    <row r="18" spans="2:4" x14ac:dyDescent="0.25">
      <c r="B18" s="2">
        <v>8</v>
      </c>
      <c r="C18" s="1">
        <v>294910.39999999991</v>
      </c>
      <c r="D18" s="14">
        <v>76</v>
      </c>
    </row>
    <row r="19" spans="2:4" x14ac:dyDescent="0.25">
      <c r="B19" s="2">
        <v>9</v>
      </c>
      <c r="C19" s="1">
        <v>214706.16</v>
      </c>
      <c r="D19" s="14">
        <v>63</v>
      </c>
    </row>
    <row r="20" spans="2:4" x14ac:dyDescent="0.25">
      <c r="B20" s="2">
        <v>10</v>
      </c>
      <c r="C20" s="1">
        <v>246135.5</v>
      </c>
      <c r="D20" s="14">
        <v>61</v>
      </c>
    </row>
    <row r="21" spans="2:4" x14ac:dyDescent="0.25">
      <c r="B21" s="2">
        <v>11</v>
      </c>
      <c r="C21" s="1">
        <v>155650.43999999997</v>
      </c>
      <c r="D21" s="14">
        <v>46</v>
      </c>
    </row>
    <row r="22" spans="2:4" x14ac:dyDescent="0.25">
      <c r="B22" s="2">
        <v>12</v>
      </c>
      <c r="C22" s="1">
        <v>125212.68000000001</v>
      </c>
      <c r="D22" s="14">
        <v>37</v>
      </c>
    </row>
    <row r="23" spans="2:4" x14ac:dyDescent="0.25">
      <c r="B23" s="2">
        <v>13</v>
      </c>
      <c r="C23" s="1">
        <v>195915.46000000002</v>
      </c>
      <c r="D23" s="14">
        <v>42</v>
      </c>
    </row>
    <row r="24" spans="2:4" x14ac:dyDescent="0.25">
      <c r="B24" s="2">
        <v>14</v>
      </c>
      <c r="C24" s="1">
        <v>213642.38000000003</v>
      </c>
      <c r="D24" s="14">
        <v>46</v>
      </c>
    </row>
    <row r="25" spans="2:4" x14ac:dyDescent="0.25">
      <c r="B25" s="2">
        <v>15</v>
      </c>
      <c r="C25" s="1">
        <v>131987.70000000001</v>
      </c>
      <c r="D25" s="14">
        <v>41</v>
      </c>
    </row>
    <row r="26" spans="2:4" x14ac:dyDescent="0.25">
      <c r="B26" s="2">
        <v>16</v>
      </c>
      <c r="C26" s="1">
        <v>238115.52000000002</v>
      </c>
      <c r="D26" s="14">
        <v>45</v>
      </c>
    </row>
    <row r="27" spans="2:4" x14ac:dyDescent="0.25">
      <c r="B27" s="2">
        <v>17</v>
      </c>
      <c r="C27" s="1">
        <v>283802.08</v>
      </c>
      <c r="D27" s="14">
        <v>59</v>
      </c>
    </row>
    <row r="28" spans="2:4" x14ac:dyDescent="0.25">
      <c r="B28" s="2">
        <v>18</v>
      </c>
      <c r="C28" s="1">
        <v>238103.45999999996</v>
      </c>
      <c r="D28" s="14">
        <v>49</v>
      </c>
    </row>
    <row r="29" spans="2:4" x14ac:dyDescent="0.25">
      <c r="B29" s="2">
        <v>19</v>
      </c>
      <c r="C29" s="1">
        <v>343574.34</v>
      </c>
      <c r="D29" s="14">
        <v>61</v>
      </c>
    </row>
    <row r="30" spans="2:4" x14ac:dyDescent="0.25">
      <c r="B30" s="2">
        <v>20</v>
      </c>
      <c r="C30" s="1">
        <v>370676.1999999999</v>
      </c>
      <c r="D30" s="14">
        <v>62</v>
      </c>
    </row>
    <row r="31" spans="2:4" x14ac:dyDescent="0.25">
      <c r="B31" s="2">
        <v>21</v>
      </c>
      <c r="C31" s="1">
        <v>468789.30000000005</v>
      </c>
      <c r="D31" s="14">
        <v>64</v>
      </c>
    </row>
    <row r="32" spans="2:4" x14ac:dyDescent="0.25">
      <c r="B32" s="2">
        <v>22</v>
      </c>
      <c r="C32" s="1">
        <v>520808.42000000004</v>
      </c>
      <c r="D32" s="14">
        <v>70</v>
      </c>
    </row>
    <row r="33" spans="2:4" x14ac:dyDescent="0.25">
      <c r="B33" s="2">
        <v>23</v>
      </c>
      <c r="C33" s="1">
        <v>543306.4600000002</v>
      </c>
      <c r="D33" s="14">
        <v>72</v>
      </c>
    </row>
    <row r="34" spans="2:4" x14ac:dyDescent="0.25">
      <c r="B34" s="2">
        <v>24</v>
      </c>
      <c r="C34" s="1">
        <v>567587.76</v>
      </c>
      <c r="D34" s="14">
        <v>70</v>
      </c>
    </row>
    <row r="35" spans="2:4" x14ac:dyDescent="0.25">
      <c r="B35" s="2">
        <v>25</v>
      </c>
      <c r="C35" s="1">
        <v>657711.5</v>
      </c>
      <c r="D35" s="14">
        <v>75</v>
      </c>
    </row>
    <row r="36" spans="2:4" x14ac:dyDescent="0.25">
      <c r="B36" s="2">
        <v>26</v>
      </c>
      <c r="C36" s="1">
        <v>682168.49999999988</v>
      </c>
      <c r="D36" s="14">
        <v>81</v>
      </c>
    </row>
    <row r="37" spans="2:4" x14ac:dyDescent="0.25">
      <c r="B37" s="2">
        <v>27</v>
      </c>
      <c r="C37" s="1">
        <v>609614.64000000013</v>
      </c>
      <c r="D37" s="14">
        <v>82</v>
      </c>
    </row>
    <row r="38" spans="2:4" x14ac:dyDescent="0.25">
      <c r="B38" s="2">
        <v>28</v>
      </c>
      <c r="C38" s="1">
        <v>828455.87999999989</v>
      </c>
      <c r="D38" s="14">
        <v>89</v>
      </c>
    </row>
    <row r="39" spans="2:4" x14ac:dyDescent="0.25">
      <c r="B39" s="2">
        <v>29</v>
      </c>
      <c r="C39" s="1">
        <v>725841.57999999984</v>
      </c>
      <c r="D39" s="14">
        <v>76</v>
      </c>
    </row>
    <row r="40" spans="2:4" x14ac:dyDescent="0.25">
      <c r="B40" s="2">
        <v>30</v>
      </c>
      <c r="C40" s="1">
        <v>710012.39999999956</v>
      </c>
      <c r="D40" s="14">
        <v>88</v>
      </c>
    </row>
    <row r="41" spans="2:4" x14ac:dyDescent="0.25">
      <c r="B41" s="2">
        <v>31</v>
      </c>
      <c r="C41" s="1">
        <v>516763.49</v>
      </c>
      <c r="D41" s="14">
        <v>59</v>
      </c>
    </row>
    <row r="42" spans="2:4" x14ac:dyDescent="0.25">
      <c r="B42" s="2" t="s">
        <v>8</v>
      </c>
      <c r="C42" s="1">
        <v>10937275.680000007</v>
      </c>
      <c r="D42" s="14">
        <v>2224</v>
      </c>
    </row>
  </sheetData>
  <mergeCells count="4">
    <mergeCell ref="B1:C1"/>
    <mergeCell ref="E1:N1"/>
    <mergeCell ref="E2:N2"/>
    <mergeCell ref="E3:N3"/>
  </mergeCells>
  <hyperlinks>
    <hyperlink ref="E3:N3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tabSelected="1" zoomScale="80" zoomScaleNormal="80" workbookViewId="0"/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4"/>
      <c r="B1" s="10" t="s">
        <v>15</v>
      </c>
      <c r="C1" s="6"/>
    </row>
    <row r="2" spans="1:3" s="9" customFormat="1" ht="20.100000000000001" customHeight="1" x14ac:dyDescent="0.25">
      <c r="A2" s="7"/>
      <c r="B2" s="8" t="str">
        <f>TRIM(TABELA!E2)</f>
        <v>PARÂMETROS DE CONSULTA: TIPO=ENTRADAS, ANO=2011, SEMESTRE=(Tudo), TRIMESTRE=(Tudo), MÊS=(Tudo)</v>
      </c>
      <c r="C2" s="7"/>
    </row>
    <row r="3" spans="1:3" x14ac:dyDescent="0.25">
      <c r="B3" s="11" t="s">
        <v>7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2011-12-31T10:48:29Z</dcterms:created>
  <dcterms:modified xsi:type="dcterms:W3CDTF">2011-12-31T16:21:42Z</dcterms:modified>
</cp:coreProperties>
</file>