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pto Pessoal 01\Desktop\"/>
    </mc:Choice>
  </mc:AlternateContent>
  <bookViews>
    <workbookView xWindow="0" yWindow="0" windowWidth="24000" windowHeight="9105"/>
  </bookViews>
  <sheets>
    <sheet name="Cálculo Horas Extras e DS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8" i="2" l="1"/>
  <c r="Q28" i="2" s="1"/>
  <c r="M27" i="2"/>
  <c r="Q27" i="2" s="1"/>
  <c r="Q29" i="2" s="1"/>
  <c r="M19" i="2"/>
  <c r="Q19" i="2" s="1"/>
  <c r="M18" i="2"/>
  <c r="Q18" i="2" s="1"/>
  <c r="Q30" i="2" l="1"/>
  <c r="Q20" i="2"/>
  <c r="Q21" i="2" s="1"/>
</calcChain>
</file>

<file path=xl/comments1.xml><?xml version="1.0" encoding="utf-8"?>
<comments xmlns="http://schemas.openxmlformats.org/spreadsheetml/2006/main">
  <authors>
    <author>DP Pessoal</author>
    <author>Usuário do Windows</author>
  </authors>
  <commentList>
    <comment ref="I6" authorId="0" shapeId="0">
      <text>
        <r>
          <rPr>
            <b/>
            <sz val="9"/>
            <color indexed="81"/>
            <rFont val="Tahoma"/>
            <family val="2"/>
          </rPr>
          <t>Digitar a quantidade de domingos que tem no mês para o cálculo da DSR.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Digitar a quantidade de feriados que tem no mês para o cálculo da DSR.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 xml:space="preserve">Digitar a quantidade de dias do mês.
</t>
        </r>
        <r>
          <rPr>
            <b/>
            <i/>
            <u/>
            <sz val="9"/>
            <color indexed="81"/>
            <rFont val="Tahoma"/>
            <family val="2"/>
          </rPr>
          <t>Exemplo:</t>
        </r>
        <r>
          <rPr>
            <b/>
            <sz val="9"/>
            <color indexed="81"/>
            <rFont val="Tahoma"/>
            <family val="2"/>
          </rPr>
          <t xml:space="preserve">
Julho -&gt; Digitar 31; 
Fevereiro -&gt; Digitar 28;
Novembro - &gt; Digitar 30.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Digite aqui o mês que está calculando o DSR.</t>
        </r>
      </text>
    </comment>
    <comment ref="AF15" authorId="1" shapeId="0">
      <text>
        <r>
          <rPr>
            <b/>
            <sz val="15"/>
            <color indexed="81"/>
            <rFont val="Segoe UI"/>
            <family val="2"/>
          </rPr>
          <t xml:space="preserve">Digite aqui o valor Bruto final
que você quer pagar ao seu funcionário:
</t>
        </r>
      </text>
    </comment>
    <comment ref="I18" authorId="0" shapeId="0">
      <text>
        <r>
          <rPr>
            <b/>
            <sz val="9"/>
            <color indexed="81"/>
            <rFont val="Tahoma"/>
            <family val="2"/>
          </rPr>
          <t>Horas</t>
        </r>
      </text>
    </comment>
    <comment ref="K18" authorId="0" shapeId="0">
      <text>
        <r>
          <rPr>
            <b/>
            <sz val="9"/>
            <color indexed="81"/>
            <rFont val="Tahoma"/>
            <family val="2"/>
          </rPr>
          <t>Minutos</t>
        </r>
      </text>
    </comment>
    <comment ref="I19" authorId="0" shapeId="0">
      <text>
        <r>
          <rPr>
            <b/>
            <sz val="9"/>
            <color indexed="81"/>
            <rFont val="Tahoma"/>
            <family val="2"/>
          </rPr>
          <t>Horas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9" authorId="0" shapeId="0">
      <text>
        <r>
          <rPr>
            <b/>
            <sz val="9"/>
            <color indexed="81"/>
            <rFont val="Tahoma"/>
            <family val="2"/>
          </rPr>
          <t>Minutos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7" authorId="0" shapeId="0">
      <text>
        <r>
          <rPr>
            <b/>
            <sz val="9"/>
            <color indexed="81"/>
            <rFont val="Tahoma"/>
            <family val="2"/>
          </rPr>
          <t>Horas</t>
        </r>
      </text>
    </comment>
    <comment ref="K27" authorId="0" shapeId="0">
      <text>
        <r>
          <rPr>
            <b/>
            <sz val="9"/>
            <color indexed="81"/>
            <rFont val="Tahoma"/>
            <family val="2"/>
          </rPr>
          <t>Minutos</t>
        </r>
      </text>
    </comment>
    <comment ref="I28" authorId="0" shapeId="0">
      <text>
        <r>
          <rPr>
            <b/>
            <sz val="9"/>
            <color indexed="81"/>
            <rFont val="Tahoma"/>
            <family val="2"/>
          </rPr>
          <t>Horas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>Minutos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<sst xmlns="http://schemas.openxmlformats.org/spreadsheetml/2006/main" count="41" uniqueCount="22">
  <si>
    <t>CONFIGURAÇÃO</t>
  </si>
  <si>
    <t>Preencher somente os campos em AMARELO.</t>
  </si>
  <si>
    <r>
      <t xml:space="preserve">Quantidade de </t>
    </r>
    <r>
      <rPr>
        <b/>
        <sz val="11"/>
        <color indexed="10"/>
        <rFont val="Calibri"/>
        <family val="2"/>
      </rPr>
      <t>DOMINGOS</t>
    </r>
    <r>
      <rPr>
        <b/>
        <sz val="11"/>
        <color indexed="8"/>
        <rFont val="Calibri"/>
        <family val="2"/>
      </rPr>
      <t xml:space="preserve"> no mês:</t>
    </r>
  </si>
  <si>
    <r>
      <t xml:space="preserve">Quantidade de </t>
    </r>
    <r>
      <rPr>
        <b/>
        <sz val="11"/>
        <color indexed="10"/>
        <rFont val="Calibri"/>
        <family val="2"/>
      </rPr>
      <t>FERIADOS</t>
    </r>
    <r>
      <rPr>
        <b/>
        <sz val="11"/>
        <color indexed="8"/>
        <rFont val="Calibri"/>
        <family val="2"/>
      </rPr>
      <t xml:space="preserve"> no mês:</t>
    </r>
  </si>
  <si>
    <r>
      <t xml:space="preserve">Quantidade de </t>
    </r>
    <r>
      <rPr>
        <b/>
        <sz val="11"/>
        <color indexed="10"/>
        <rFont val="Calibri"/>
        <family val="2"/>
      </rPr>
      <t>DIAS</t>
    </r>
    <r>
      <rPr>
        <b/>
        <sz val="11"/>
        <color indexed="8"/>
        <rFont val="Calibri"/>
        <family val="2"/>
      </rPr>
      <t xml:space="preserve"> no mês:</t>
    </r>
  </si>
  <si>
    <t>Funcionário:</t>
  </si>
  <si>
    <t>FULANO</t>
  </si>
  <si>
    <t>Salário - R$:</t>
  </si>
  <si>
    <t>CÁLCULOS</t>
  </si>
  <si>
    <t>Quantidade de Horas Extras 50%:</t>
  </si>
  <si>
    <t>:</t>
  </si>
  <si>
    <t>R$:</t>
  </si>
  <si>
    <t>Quantidade de Horas Extras 100%:</t>
  </si>
  <si>
    <t>D.S.R. sobre Horas Extras:</t>
  </si>
  <si>
    <t>TOTAL DE HORAS EXTRAS + D.S.R. SOBRE HORAS EXTRAS:</t>
  </si>
  <si>
    <t>DEZEMBRO DE 2014</t>
  </si>
  <si>
    <t>BELTRANO</t>
  </si>
  <si>
    <t xml:space="preserve">Total de Horas Extras + DSR </t>
  </si>
  <si>
    <t>R$</t>
  </si>
  <si>
    <t>Quantidade de Horas Extras</t>
  </si>
  <si>
    <t>Quantidade de DSR</t>
  </si>
  <si>
    <t>Quantidade de Horas Extras em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</si>
</sst>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i/>
      <u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/>
    <xf numFmtId="0" fontId="0" fillId="0" borderId="0" xfId="0" applyFill="1"/>
    <xf numFmtId="0" fontId="7" fillId="0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11" xfId="0" applyBorder="1"/>
    <xf numFmtId="0" fontId="0" fillId="3" borderId="0" xfId="0" applyNumberFormat="1" applyFill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0" fillId="0" borderId="10" xfId="0" applyBorder="1" applyAlignment="1">
      <alignment horizontal="right"/>
    </xf>
    <xf numFmtId="0" fontId="0" fillId="0" borderId="0" xfId="0" applyBorder="1" applyAlignment="1">
      <alignment horizontal="right"/>
    </xf>
    <xf numFmtId="2" fontId="3" fillId="0" borderId="0" xfId="0" applyNumberFormat="1" applyFont="1" applyBorder="1" applyAlignment="1">
      <alignment horizontal="center" vertical="center"/>
    </xf>
    <xf numFmtId="43" fontId="1" fillId="0" borderId="0" xfId="1" applyFont="1" applyBorder="1" applyAlignment="1">
      <alignment horizontal="right" vertical="center"/>
    </xf>
    <xf numFmtId="43" fontId="1" fillId="0" borderId="11" xfId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43" fontId="1" fillId="0" borderId="12" xfId="1" applyFont="1" applyBorder="1" applyAlignment="1">
      <alignment horizontal="right" vertical="center"/>
    </xf>
    <xf numFmtId="43" fontId="1" fillId="0" borderId="13" xfId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43" fontId="2" fillId="0" borderId="5" xfId="1" applyFont="1" applyBorder="1" applyAlignment="1">
      <alignment horizontal="right" vertical="center"/>
    </xf>
    <xf numFmtId="43" fontId="2" fillId="0" borderId="6" xfId="1" applyFont="1" applyBorder="1" applyAlignment="1">
      <alignment horizontal="right" vertical="center"/>
    </xf>
    <xf numFmtId="43" fontId="2" fillId="3" borderId="0" xfId="1" applyFont="1" applyFill="1" applyBorder="1" applyAlignment="1">
      <alignment horizontal="right" vertical="center"/>
    </xf>
    <xf numFmtId="0" fontId="8" fillId="0" borderId="1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4" xfId="0" applyFont="1" applyBorder="1"/>
    <xf numFmtId="0" fontId="2" fillId="0" borderId="5" xfId="0" applyFont="1" applyBorder="1"/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4" borderId="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28574</xdr:colOff>
      <xdr:row>14</xdr:row>
      <xdr:rowOff>200025</xdr:rowOff>
    </xdr:from>
    <xdr:to>
      <xdr:col>43</xdr:col>
      <xdr:colOff>66674</xdr:colOff>
      <xdr:row>19</xdr:row>
      <xdr:rowOff>171450</xdr:rowOff>
    </xdr:to>
    <xdr:sp macro="" textlink="">
      <xdr:nvSpPr>
        <xdr:cNvPr id="2" name="Seta para a Direita 1"/>
        <xdr:cNvSpPr/>
      </xdr:nvSpPr>
      <xdr:spPr>
        <a:xfrm flipH="1">
          <a:off x="11029949" y="3133725"/>
          <a:ext cx="2552700" cy="1019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Preciso da fórmula</a:t>
          </a:r>
          <a:r>
            <a:rPr lang="pt-BR" sz="1100" baseline="0"/>
            <a:t> que calcule o que está em verde: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31"/>
  <sheetViews>
    <sheetView tabSelected="1" workbookViewId="0">
      <selection activeCell="AN24" sqref="AN24"/>
    </sheetView>
  </sheetViews>
  <sheetFormatPr defaultColWidth="4.7109375" defaultRowHeight="17.100000000000001" customHeight="1" x14ac:dyDescent="0.25"/>
  <cols>
    <col min="30" max="30" width="4.7109375" customWidth="1"/>
  </cols>
  <sheetData>
    <row r="1" spans="1:34" ht="17.100000000000001" customHeight="1" x14ac:dyDescent="0.25">
      <c r="A1" s="45" t="s">
        <v>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7"/>
    </row>
    <row r="2" spans="1:34" ht="17.100000000000001" customHeight="1" thickBot="1" x14ac:dyDescent="0.3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</row>
    <row r="3" spans="1:34" ht="17.100000000000001" customHeight="1" thickBot="1" x14ac:dyDescent="0.3"/>
    <row r="4" spans="1:34" ht="17.100000000000001" customHeight="1" x14ac:dyDescent="0.25">
      <c r="B4" s="45" t="s">
        <v>0</v>
      </c>
      <c r="C4" s="46"/>
      <c r="D4" s="46"/>
      <c r="E4" s="46"/>
      <c r="F4" s="46"/>
      <c r="G4" s="46"/>
      <c r="H4" s="46"/>
      <c r="I4" s="46"/>
      <c r="J4" s="47"/>
    </row>
    <row r="5" spans="1:34" ht="17.100000000000001" customHeight="1" thickBot="1" x14ac:dyDescent="0.3">
      <c r="B5" s="48"/>
      <c r="C5" s="49"/>
      <c r="D5" s="49"/>
      <c r="E5" s="49"/>
      <c r="F5" s="49"/>
      <c r="G5" s="49"/>
      <c r="H5" s="49"/>
      <c r="I5" s="49"/>
      <c r="J5" s="50"/>
      <c r="K5" s="1"/>
    </row>
    <row r="6" spans="1:34" ht="17.100000000000001" customHeight="1" thickBot="1" x14ac:dyDescent="0.3">
      <c r="B6" s="51" t="s">
        <v>2</v>
      </c>
      <c r="C6" s="52"/>
      <c r="D6" s="52"/>
      <c r="E6" s="52"/>
      <c r="F6" s="52"/>
      <c r="G6" s="52"/>
      <c r="H6" s="52"/>
      <c r="I6" s="37">
        <v>4</v>
      </c>
      <c r="J6" s="38"/>
      <c r="K6" s="1"/>
    </row>
    <row r="7" spans="1:34" ht="17.100000000000001" customHeight="1" thickBot="1" x14ac:dyDescent="0.3">
      <c r="B7" s="53" t="s">
        <v>3</v>
      </c>
      <c r="C7" s="54"/>
      <c r="D7" s="54"/>
      <c r="E7" s="54"/>
      <c r="F7" s="54"/>
      <c r="G7" s="54"/>
      <c r="H7" s="54"/>
      <c r="I7" s="55">
        <v>1</v>
      </c>
      <c r="J7" s="56"/>
      <c r="K7" s="1"/>
    </row>
    <row r="8" spans="1:34" ht="17.100000000000001" customHeight="1" thickBot="1" x14ac:dyDescent="0.3">
      <c r="B8" s="34" t="s">
        <v>4</v>
      </c>
      <c r="C8" s="35"/>
      <c r="D8" s="35"/>
      <c r="E8" s="35"/>
      <c r="F8" s="35"/>
      <c r="G8" s="35"/>
      <c r="H8" s="36"/>
      <c r="I8" s="37">
        <v>31</v>
      </c>
      <c r="J8" s="38"/>
      <c r="K8" s="1"/>
    </row>
    <row r="9" spans="1:34" ht="17.100000000000001" customHeight="1" x14ac:dyDescent="0.25">
      <c r="C9" s="1"/>
      <c r="D9" s="1"/>
      <c r="E9" s="1"/>
      <c r="F9" s="1"/>
      <c r="G9" s="1"/>
      <c r="H9" s="1"/>
      <c r="I9" s="1"/>
      <c r="J9" s="1"/>
      <c r="K9" s="1"/>
    </row>
    <row r="10" spans="1:34" ht="17.100000000000001" customHeight="1" thickBot="1" x14ac:dyDescent="0.3">
      <c r="C10" s="2"/>
      <c r="D10" s="2"/>
      <c r="E10" s="2"/>
      <c r="F10" s="2"/>
      <c r="G10" s="2"/>
      <c r="H10" s="2"/>
      <c r="I10" s="2"/>
      <c r="J10" s="2"/>
      <c r="K10" s="2"/>
    </row>
    <row r="11" spans="1:34" ht="17.100000000000001" customHeight="1" x14ac:dyDescent="0.25">
      <c r="B11" s="39" t="s">
        <v>15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1"/>
    </row>
    <row r="12" spans="1:34" ht="17.100000000000001" customHeight="1" thickBot="1" x14ac:dyDescent="0.3">
      <c r="B12" s="42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4"/>
      <c r="T12" s="1"/>
    </row>
    <row r="13" spans="1:34" ht="17.100000000000001" customHeight="1" x14ac:dyDescent="0.25"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"/>
    </row>
    <row r="14" spans="1:34" ht="17.100000000000001" customHeight="1" thickBot="1" x14ac:dyDescent="0.3"/>
    <row r="15" spans="1:34" ht="17.100000000000001" customHeight="1" x14ac:dyDescent="0.25">
      <c r="B15" s="30" t="s">
        <v>5</v>
      </c>
      <c r="C15" s="31"/>
      <c r="D15" s="31"/>
      <c r="E15" s="32" t="s">
        <v>6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3"/>
      <c r="Y15" s="57" t="s">
        <v>17</v>
      </c>
      <c r="Z15" s="58"/>
      <c r="AA15" s="58"/>
      <c r="AB15" s="58"/>
      <c r="AC15" s="58"/>
      <c r="AD15" s="58"/>
      <c r="AE15" s="59" t="s">
        <v>18</v>
      </c>
      <c r="AF15" s="60"/>
      <c r="AG15" s="60"/>
      <c r="AH15" s="61"/>
    </row>
    <row r="16" spans="1:34" ht="17.100000000000001" customHeight="1" x14ac:dyDescent="0.25">
      <c r="B16" s="18" t="s">
        <v>7</v>
      </c>
      <c r="C16" s="19"/>
      <c r="D16" s="19"/>
      <c r="E16" s="26">
        <v>775</v>
      </c>
      <c r="F16" s="26"/>
      <c r="G16" s="26"/>
      <c r="H16" s="26"/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  <c r="T16" s="1"/>
      <c r="Y16" s="62"/>
      <c r="Z16" s="63"/>
      <c r="AA16" s="63"/>
      <c r="AB16" s="63"/>
      <c r="AC16" s="63"/>
      <c r="AD16" s="63"/>
      <c r="AE16" s="63"/>
      <c r="AF16" s="5"/>
      <c r="AG16" s="5"/>
      <c r="AH16" s="6"/>
    </row>
    <row r="17" spans="2:34" ht="17.100000000000001" customHeight="1" x14ac:dyDescent="0.3">
      <c r="B17" s="27" t="s">
        <v>8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9"/>
      <c r="T17" s="1"/>
      <c r="Y17" s="64" t="s">
        <v>19</v>
      </c>
      <c r="Z17" s="65"/>
      <c r="AA17" s="65"/>
      <c r="AB17" s="65"/>
      <c r="AC17" s="65"/>
      <c r="AD17" s="65"/>
      <c r="AE17" s="63" t="s">
        <v>18</v>
      </c>
      <c r="AF17" s="66"/>
      <c r="AG17" s="66"/>
      <c r="AH17" s="67"/>
    </row>
    <row r="18" spans="2:34" ht="17.100000000000001" customHeight="1" x14ac:dyDescent="0.25">
      <c r="B18" s="13" t="s">
        <v>9</v>
      </c>
      <c r="C18" s="14"/>
      <c r="D18" s="14"/>
      <c r="E18" s="14"/>
      <c r="F18" s="14"/>
      <c r="G18" s="14"/>
      <c r="H18" s="14"/>
      <c r="I18" s="7">
        <v>8</v>
      </c>
      <c r="J18" s="8" t="s">
        <v>10</v>
      </c>
      <c r="K18" s="9">
        <v>0</v>
      </c>
      <c r="L18" s="5"/>
      <c r="M18" s="15">
        <f>K18/60</f>
        <v>0</v>
      </c>
      <c r="N18" s="15"/>
      <c r="O18" s="5"/>
      <c r="P18" s="10" t="s">
        <v>11</v>
      </c>
      <c r="Q18" s="16">
        <f>((E16/220)*1.5)*SUM(I18+M18)</f>
        <v>42.272727272727273</v>
      </c>
      <c r="R18" s="16"/>
      <c r="S18" s="17"/>
      <c r="T18" s="1"/>
      <c r="Y18" s="64" t="s">
        <v>20</v>
      </c>
      <c r="Z18" s="65"/>
      <c r="AA18" s="65"/>
      <c r="AB18" s="65"/>
      <c r="AC18" s="65"/>
      <c r="AD18" s="65"/>
      <c r="AE18" s="63" t="s">
        <v>18</v>
      </c>
      <c r="AF18" s="66"/>
      <c r="AG18" s="66"/>
      <c r="AH18" s="67"/>
    </row>
    <row r="19" spans="2:34" ht="17.100000000000001" customHeight="1" x14ac:dyDescent="0.25">
      <c r="B19" s="13" t="s">
        <v>12</v>
      </c>
      <c r="C19" s="14"/>
      <c r="D19" s="14"/>
      <c r="E19" s="14"/>
      <c r="F19" s="14"/>
      <c r="G19" s="14"/>
      <c r="H19" s="14"/>
      <c r="I19" s="7">
        <v>0</v>
      </c>
      <c r="J19" s="8" t="s">
        <v>10</v>
      </c>
      <c r="K19" s="9">
        <v>0</v>
      </c>
      <c r="L19" s="5"/>
      <c r="M19" s="15">
        <f>K19/60</f>
        <v>0</v>
      </c>
      <c r="N19" s="15"/>
      <c r="O19" s="5"/>
      <c r="P19" s="10" t="s">
        <v>11</v>
      </c>
      <c r="Q19" s="16">
        <f>((E16/220)*2)*SUM(I19+M19)</f>
        <v>0</v>
      </c>
      <c r="R19" s="16"/>
      <c r="S19" s="17"/>
      <c r="T19" s="1"/>
      <c r="Y19" s="62"/>
      <c r="Z19" s="63"/>
      <c r="AA19" s="63"/>
      <c r="AB19" s="63"/>
      <c r="AC19" s="63"/>
      <c r="AD19" s="63"/>
      <c r="AE19" s="63"/>
      <c r="AF19" s="5"/>
      <c r="AG19" s="5"/>
      <c r="AH19" s="6"/>
    </row>
    <row r="20" spans="2:34" ht="17.100000000000001" customHeight="1" x14ac:dyDescent="0.25">
      <c r="B20" s="18" t="s">
        <v>13</v>
      </c>
      <c r="C20" s="19"/>
      <c r="D20" s="19"/>
      <c r="E20" s="19"/>
      <c r="F20" s="19"/>
      <c r="G20" s="19"/>
      <c r="H20" s="19"/>
      <c r="I20" s="5"/>
      <c r="J20" s="5"/>
      <c r="K20" s="5"/>
      <c r="L20" s="5"/>
      <c r="M20" s="5"/>
      <c r="N20" s="5"/>
      <c r="O20" s="5"/>
      <c r="P20" s="11" t="s">
        <v>11</v>
      </c>
      <c r="Q20" s="20">
        <f>(SUM(Q18:S19)/(I8-SUM(I6,I7)))*(SUM(I6,I7))</f>
        <v>8.12937062937063</v>
      </c>
      <c r="R20" s="20"/>
      <c r="S20" s="21"/>
      <c r="T20" s="1"/>
      <c r="Y20" s="64" t="s">
        <v>21</v>
      </c>
      <c r="Z20" s="65"/>
      <c r="AA20" s="65"/>
      <c r="AB20" s="65"/>
      <c r="AC20" s="65"/>
      <c r="AD20" s="65"/>
      <c r="AE20" s="65"/>
      <c r="AF20" s="66"/>
      <c r="AG20" s="66"/>
      <c r="AH20" s="67"/>
    </row>
    <row r="21" spans="2:34" ht="17.100000000000001" customHeight="1" thickBot="1" x14ac:dyDescent="0.3">
      <c r="B21" s="22" t="s">
        <v>14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2" t="s">
        <v>11</v>
      </c>
      <c r="Q21" s="24">
        <f>SUM(Q18:S20)</f>
        <v>50.402097902097907</v>
      </c>
      <c r="R21" s="24"/>
      <c r="S21" s="25"/>
      <c r="T21" s="1"/>
      <c r="Y21" s="68"/>
      <c r="Z21" s="69"/>
      <c r="AA21" s="69"/>
      <c r="AB21" s="69"/>
      <c r="AC21" s="69"/>
      <c r="AD21" s="69"/>
      <c r="AE21" s="69"/>
      <c r="AF21" s="69"/>
      <c r="AG21" s="69"/>
      <c r="AH21" s="70"/>
    </row>
    <row r="22" spans="2:34" ht="17.100000000000001" customHeight="1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34" ht="17.100000000000001" customHeight="1" thickBot="1" x14ac:dyDescent="0.3"/>
    <row r="24" spans="2:34" ht="17.100000000000001" customHeight="1" x14ac:dyDescent="0.25">
      <c r="B24" s="30" t="s">
        <v>5</v>
      </c>
      <c r="C24" s="31"/>
      <c r="D24" s="31"/>
      <c r="E24" s="32" t="s">
        <v>16</v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3"/>
    </row>
    <row r="25" spans="2:34" ht="17.100000000000001" customHeight="1" x14ac:dyDescent="0.25">
      <c r="B25" s="18" t="s">
        <v>7</v>
      </c>
      <c r="C25" s="19"/>
      <c r="D25" s="19"/>
      <c r="E25" s="26">
        <v>998</v>
      </c>
      <c r="F25" s="26"/>
      <c r="G25" s="26"/>
      <c r="H25" s="26"/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  <c r="T25" s="1"/>
    </row>
    <row r="26" spans="2:34" ht="17.100000000000001" customHeight="1" x14ac:dyDescent="0.3">
      <c r="B26" s="27" t="s">
        <v>8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9"/>
      <c r="T26" s="1"/>
    </row>
    <row r="27" spans="2:34" ht="17.100000000000001" customHeight="1" x14ac:dyDescent="0.25">
      <c r="B27" s="13" t="s">
        <v>9</v>
      </c>
      <c r="C27" s="14"/>
      <c r="D27" s="14"/>
      <c r="E27" s="14"/>
      <c r="F27" s="14"/>
      <c r="G27" s="14"/>
      <c r="H27" s="14"/>
      <c r="I27" s="7">
        <v>8</v>
      </c>
      <c r="J27" s="8" t="s">
        <v>10</v>
      </c>
      <c r="K27" s="9">
        <v>0</v>
      </c>
      <c r="L27" s="5"/>
      <c r="M27" s="15">
        <f>K27/60</f>
        <v>0</v>
      </c>
      <c r="N27" s="15"/>
      <c r="O27" s="5"/>
      <c r="P27" s="10" t="s">
        <v>11</v>
      </c>
      <c r="Q27" s="16">
        <f>((E25/220)*1.5)*SUM(I27+M27)</f>
        <v>54.436363636363637</v>
      </c>
      <c r="R27" s="16"/>
      <c r="S27" s="17"/>
      <c r="T27" s="1"/>
    </row>
    <row r="28" spans="2:34" ht="17.100000000000001" customHeight="1" x14ac:dyDescent="0.25">
      <c r="B28" s="13" t="s">
        <v>12</v>
      </c>
      <c r="C28" s="14"/>
      <c r="D28" s="14"/>
      <c r="E28" s="14"/>
      <c r="F28" s="14"/>
      <c r="G28" s="14"/>
      <c r="H28" s="14"/>
      <c r="I28" s="7">
        <v>0</v>
      </c>
      <c r="J28" s="8" t="s">
        <v>10</v>
      </c>
      <c r="K28" s="9">
        <v>0</v>
      </c>
      <c r="L28" s="5"/>
      <c r="M28" s="15">
        <f>K28/60</f>
        <v>0</v>
      </c>
      <c r="N28" s="15"/>
      <c r="O28" s="5"/>
      <c r="P28" s="10" t="s">
        <v>11</v>
      </c>
      <c r="Q28" s="16">
        <f>((E25/220)*2)*SUM(I28+M28)</f>
        <v>0</v>
      </c>
      <c r="R28" s="16"/>
      <c r="S28" s="17"/>
      <c r="T28" s="1"/>
    </row>
    <row r="29" spans="2:34" ht="17.100000000000001" customHeight="1" x14ac:dyDescent="0.25">
      <c r="B29" s="18" t="s">
        <v>13</v>
      </c>
      <c r="C29" s="19"/>
      <c r="D29" s="19"/>
      <c r="E29" s="19"/>
      <c r="F29" s="19"/>
      <c r="G29" s="19"/>
      <c r="H29" s="19"/>
      <c r="I29" s="5"/>
      <c r="J29" s="5"/>
      <c r="K29" s="5"/>
      <c r="L29" s="5"/>
      <c r="M29" s="5"/>
      <c r="N29" s="5"/>
      <c r="O29" s="5"/>
      <c r="P29" s="11" t="s">
        <v>11</v>
      </c>
      <c r="Q29" s="20">
        <f>(SUM(Q27:S28)/(I8-SUM(I6,I7)))*(SUM(I6,I7))</f>
        <v>10.468531468531468</v>
      </c>
      <c r="R29" s="20"/>
      <c r="S29" s="21"/>
      <c r="T29" s="1"/>
    </row>
    <row r="30" spans="2:34" ht="17.100000000000001" customHeight="1" thickBot="1" x14ac:dyDescent="0.3">
      <c r="B30" s="22" t="s">
        <v>14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12" t="s">
        <v>11</v>
      </c>
      <c r="Q30" s="24">
        <f>SUM(Q27:S29)</f>
        <v>64.904895104895104</v>
      </c>
      <c r="R30" s="24"/>
      <c r="S30" s="25"/>
      <c r="T30" s="1"/>
    </row>
    <row r="31" spans="2:34" ht="17.100000000000001" customHeight="1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</sheetData>
  <mergeCells count="47">
    <mergeCell ref="Y15:AD15"/>
    <mergeCell ref="AF15:AH15"/>
    <mergeCell ref="AF17:AH17"/>
    <mergeCell ref="AF18:AH18"/>
    <mergeCell ref="AF20:AH20"/>
    <mergeCell ref="Y20:AE20"/>
    <mergeCell ref="Y18:AD18"/>
    <mergeCell ref="Y17:AD17"/>
    <mergeCell ref="B16:D16"/>
    <mergeCell ref="E16:H16"/>
    <mergeCell ref="A1:S2"/>
    <mergeCell ref="B4:J5"/>
    <mergeCell ref="B6:H6"/>
    <mergeCell ref="I6:J6"/>
    <mergeCell ref="B7:H7"/>
    <mergeCell ref="I7:J7"/>
    <mergeCell ref="B8:H8"/>
    <mergeCell ref="I8:J8"/>
    <mergeCell ref="B11:S12"/>
    <mergeCell ref="B15:D15"/>
    <mergeCell ref="E15:S15"/>
    <mergeCell ref="B17:S17"/>
    <mergeCell ref="B18:H18"/>
    <mergeCell ref="M18:N18"/>
    <mergeCell ref="Q18:S18"/>
    <mergeCell ref="B19:H19"/>
    <mergeCell ref="M19:N19"/>
    <mergeCell ref="Q19:S19"/>
    <mergeCell ref="B20:H20"/>
    <mergeCell ref="Q20:S20"/>
    <mergeCell ref="B21:O21"/>
    <mergeCell ref="Q21:S21"/>
    <mergeCell ref="B24:D24"/>
    <mergeCell ref="E24:S24"/>
    <mergeCell ref="B30:O30"/>
    <mergeCell ref="Q30:S30"/>
    <mergeCell ref="B25:D25"/>
    <mergeCell ref="E25:H25"/>
    <mergeCell ref="B26:S26"/>
    <mergeCell ref="B27:H27"/>
    <mergeCell ref="M27:N27"/>
    <mergeCell ref="Q27:S27"/>
    <mergeCell ref="B28:H28"/>
    <mergeCell ref="M28:N28"/>
    <mergeCell ref="Q28:S28"/>
    <mergeCell ref="B29:H29"/>
    <mergeCell ref="Q29:S29"/>
  </mergeCells>
  <printOptions horizontalCentered="1"/>
  <pageMargins left="0" right="0" top="1" bottom="0" header="0" footer="0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Horas Extras e DSR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Usuário do Windows</cp:lastModifiedBy>
  <dcterms:created xsi:type="dcterms:W3CDTF">2014-12-11T18:38:50Z</dcterms:created>
  <dcterms:modified xsi:type="dcterms:W3CDTF">2018-06-25T13:27:02Z</dcterms:modified>
</cp:coreProperties>
</file>