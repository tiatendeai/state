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Cont Soluções\Desktop\"/>
    </mc:Choice>
  </mc:AlternateContent>
  <xr:revisionPtr revIDLastSave="0" documentId="10_ncr:8100000_{9AF65100-BCE9-43FC-A9EE-1961A9EE1BDA}" xr6:coauthVersionLast="34" xr6:coauthVersionMax="34" xr10:uidLastSave="{00000000-0000-0000-0000-000000000000}"/>
  <bookViews>
    <workbookView xWindow="0" yWindow="0" windowWidth="28800" windowHeight="12810" activeTab="1" xr2:uid="{9F88115E-5E45-4FA0-912A-CBE7C043F979}"/>
  </bookViews>
  <sheets>
    <sheet name="Planilha2" sheetId="2" r:id="rId1"/>
    <sheet name="Planilh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I12" i="1" l="1"/>
  <c r="I13" i="1"/>
  <c r="I14" i="1"/>
  <c r="I15" i="1"/>
  <c r="I16" i="1"/>
  <c r="I17" i="1"/>
  <c r="I18" i="1"/>
  <c r="I19" i="1"/>
  <c r="I20" i="1"/>
  <c r="I21" i="1"/>
  <c r="I22" i="1"/>
  <c r="I11" i="1"/>
  <c r="I23" i="1" s="1"/>
  <c r="D3" i="1"/>
  <c r="H13" i="1" s="1"/>
  <c r="F29" i="1"/>
  <c r="F30" i="1"/>
  <c r="F31" i="1"/>
  <c r="F32" i="1"/>
  <c r="F33" i="1"/>
  <c r="F34" i="1"/>
  <c r="F35" i="1"/>
  <c r="F36" i="1"/>
  <c r="F37" i="1"/>
  <c r="F38" i="1"/>
  <c r="F39" i="1"/>
  <c r="F28" i="1"/>
  <c r="C29" i="1"/>
  <c r="C30" i="1"/>
  <c r="C31" i="1"/>
  <c r="C32" i="1"/>
  <c r="C33" i="1"/>
  <c r="C34" i="1"/>
  <c r="C35" i="1"/>
  <c r="C36" i="1"/>
  <c r="C37" i="1"/>
  <c r="C38" i="1"/>
  <c r="C39" i="1"/>
  <c r="C28" i="1"/>
  <c r="C23" i="1"/>
  <c r="B23" i="1"/>
  <c r="D13" i="1"/>
  <c r="D14" i="1"/>
  <c r="D15" i="1"/>
  <c r="D16" i="1"/>
  <c r="D17" i="1"/>
  <c r="D18" i="1"/>
  <c r="D19" i="1"/>
  <c r="D20" i="1"/>
  <c r="D21" i="1"/>
  <c r="D22" i="1"/>
  <c r="D11" i="1"/>
  <c r="M5" i="1" l="1"/>
  <c r="I5" i="1"/>
  <c r="E5" i="1"/>
  <c r="L5" i="1"/>
  <c r="K5" i="1"/>
  <c r="G5" i="1"/>
  <c r="C5" i="1"/>
  <c r="D5" i="1"/>
  <c r="J5" i="1"/>
  <c r="F5" i="1"/>
  <c r="H5" i="1"/>
  <c r="K3" i="2"/>
  <c r="M3" i="2" s="1"/>
  <c r="N3" i="2" s="1"/>
  <c r="B5" i="1"/>
  <c r="H20" i="1"/>
  <c r="H16" i="1"/>
  <c r="H12" i="1"/>
  <c r="H11" i="1"/>
  <c r="H19" i="1"/>
  <c r="H15" i="1"/>
  <c r="H22" i="1"/>
  <c r="H18" i="1"/>
  <c r="H14" i="1"/>
  <c r="H21" i="1"/>
  <c r="H17" i="1"/>
  <c r="K14" i="2"/>
  <c r="M14" i="2" s="1"/>
  <c r="N14" i="2" s="1"/>
  <c r="K7" i="2"/>
  <c r="M7" i="2" s="1"/>
  <c r="N7" i="2" s="1"/>
  <c r="K11" i="2"/>
  <c r="M11" i="2" s="1"/>
  <c r="N11" i="2" s="1"/>
  <c r="K12" i="2"/>
  <c r="M12" i="2" s="1"/>
  <c r="N12" i="2" s="1"/>
  <c r="K4" i="2"/>
  <c r="M4" i="2" s="1"/>
  <c r="N4" i="2" s="1"/>
  <c r="K8" i="2"/>
  <c r="M8" i="2" s="1"/>
  <c r="N8" i="2" s="1"/>
  <c r="K5" i="2"/>
  <c r="M5" i="2" s="1"/>
  <c r="N5" i="2" s="1"/>
  <c r="K9" i="2"/>
  <c r="M9" i="2" s="1"/>
  <c r="N9" i="2" s="1"/>
  <c r="K13" i="2"/>
  <c r="M13" i="2" s="1"/>
  <c r="N13" i="2" s="1"/>
  <c r="K6" i="2"/>
  <c r="M6" i="2" s="1"/>
  <c r="N6" i="2" s="1"/>
  <c r="K10" i="2"/>
  <c r="M10" i="2" s="1"/>
  <c r="N10" i="2" s="1"/>
  <c r="D23" i="1"/>
  <c r="O3" i="2" l="1"/>
  <c r="B28" i="1" s="1"/>
  <c r="D28" i="1" s="1"/>
  <c r="P3" i="2"/>
  <c r="Q3" i="2"/>
  <c r="E28" i="1" s="1"/>
  <c r="G28" i="1" s="1"/>
  <c r="H23" i="1"/>
  <c r="Q10" i="2"/>
  <c r="O10" i="2"/>
  <c r="B35" i="1" s="1"/>
  <c r="Q5" i="2"/>
  <c r="O5" i="2"/>
  <c r="Q11" i="2"/>
  <c r="O11" i="2"/>
  <c r="O6" i="2"/>
  <c r="Q6" i="2"/>
  <c r="Q8" i="2"/>
  <c r="O8" i="2"/>
  <c r="Q7" i="2"/>
  <c r="O7" i="2"/>
  <c r="Q13" i="2"/>
  <c r="O13" i="2"/>
  <c r="Q4" i="2"/>
  <c r="O4" i="2"/>
  <c r="O14" i="2"/>
  <c r="Q14" i="2"/>
  <c r="Q9" i="2"/>
  <c r="O9" i="2"/>
  <c r="Q12" i="2"/>
  <c r="O12" i="2"/>
  <c r="P13" i="2"/>
  <c r="P9" i="2"/>
  <c r="P12" i="2"/>
  <c r="P10" i="2"/>
  <c r="P5" i="2"/>
  <c r="P11" i="2"/>
  <c r="P6" i="2"/>
  <c r="P8" i="2"/>
  <c r="P7" i="2"/>
  <c r="P4" i="2"/>
  <c r="P14" i="2"/>
  <c r="E33" i="1" l="1"/>
  <c r="G33" i="1" s="1"/>
  <c r="E35" i="1"/>
  <c r="G35" i="1" s="1"/>
  <c r="B36" i="1"/>
  <c r="D36" i="1" s="1"/>
  <c r="E38" i="1"/>
  <c r="G38" i="1" s="1"/>
  <c r="B29" i="1"/>
  <c r="D29" i="1" s="1"/>
  <c r="E29" i="1"/>
  <c r="G29" i="1" s="1"/>
  <c r="E34" i="1"/>
  <c r="G34" i="1" s="1"/>
  <c r="B31" i="1"/>
  <c r="D31" i="1" s="1"/>
  <c r="E30" i="1"/>
  <c r="G30" i="1" s="1"/>
  <c r="B38" i="1"/>
  <c r="D38" i="1" s="1"/>
  <c r="H28" i="1"/>
  <c r="G11" i="1" s="1"/>
  <c r="B39" i="1"/>
  <c r="D39" i="1" s="1"/>
  <c r="E36" i="1"/>
  <c r="G36" i="1" s="1"/>
  <c r="B34" i="1"/>
  <c r="D34" i="1" s="1"/>
  <c r="B37" i="1"/>
  <c r="D37" i="1" s="1"/>
  <c r="E39" i="1"/>
  <c r="G39" i="1" s="1"/>
  <c r="B32" i="1"/>
  <c r="D32" i="1" s="1"/>
  <c r="E31" i="1"/>
  <c r="G31" i="1" s="1"/>
  <c r="B30" i="1"/>
  <c r="D30" i="1" s="1"/>
  <c r="E37" i="1"/>
  <c r="G37" i="1" s="1"/>
  <c r="B33" i="1"/>
  <c r="D33" i="1" s="1"/>
  <c r="D35" i="1"/>
  <c r="E32" i="1"/>
  <c r="G32" i="1" s="1"/>
  <c r="J11" i="1" l="1"/>
  <c r="H33" i="1"/>
  <c r="G16" i="1" s="1"/>
  <c r="J16" i="1" s="1"/>
  <c r="H36" i="1"/>
  <c r="G19" i="1" s="1"/>
  <c r="J19" i="1" s="1"/>
  <c r="H31" i="1"/>
  <c r="G14" i="1" s="1"/>
  <c r="J14" i="1" s="1"/>
  <c r="H29" i="1"/>
  <c r="G12" i="1" s="1"/>
  <c r="J12" i="1" s="1"/>
  <c r="H30" i="1"/>
  <c r="G13" i="1" s="1"/>
  <c r="J13" i="1" s="1"/>
  <c r="H32" i="1"/>
  <c r="G15" i="1" s="1"/>
  <c r="J15" i="1" s="1"/>
  <c r="H37" i="1"/>
  <c r="G20" i="1" s="1"/>
  <c r="J20" i="1" s="1"/>
  <c r="H39" i="1"/>
  <c r="G22" i="1" s="1"/>
  <c r="J22" i="1" s="1"/>
  <c r="H38" i="1"/>
  <c r="G21" i="1" s="1"/>
  <c r="J21" i="1" s="1"/>
  <c r="H34" i="1"/>
  <c r="G17" i="1" s="1"/>
  <c r="J17" i="1" s="1"/>
  <c r="H35" i="1"/>
  <c r="G18" i="1" s="1"/>
  <c r="J18" i="1" s="1"/>
  <c r="J23" i="1" l="1"/>
  <c r="G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ProCont Soluções</author>
  </authors>
  <commentList>
    <comment ref="B3" authorId="0" shapeId="0" xr:uid="{69B2C277-13E5-44F1-B5F3-C80477569FDC}">
      <text>
        <r>
          <rPr>
            <b/>
            <sz val="9"/>
            <color indexed="81"/>
            <rFont val="Segoe UI"/>
            <family val="2"/>
          </rPr>
          <t>ProCont Soluções:</t>
        </r>
        <r>
          <rPr>
            <sz val="9"/>
            <color indexed="81"/>
            <rFont val="Segoe UI"/>
            <family val="2"/>
          </rPr>
          <t xml:space="preserve">
Informar aqui o valor do salário mensal desejado.</t>
        </r>
      </text>
    </comment>
    <comment ref="B5" authorId="0" shapeId="0" xr:uid="{46E39034-2297-475C-9A73-374536BA1FF5}">
      <text>
        <r>
          <rPr>
            <b/>
            <sz val="9"/>
            <color indexed="81"/>
            <rFont val="Segoe UI"/>
            <family val="2"/>
          </rPr>
          <t>ProCont Soluções:</t>
        </r>
        <r>
          <rPr>
            <sz val="9"/>
            <color indexed="81"/>
            <rFont val="Segoe UI"/>
            <family val="2"/>
          </rPr>
          <t xml:space="preserve">
Mês 01</t>
        </r>
      </text>
    </comment>
    <comment ref="C5" authorId="0" shapeId="0" xr:uid="{33A6E0BF-86F3-4B99-92A2-D31B5067B420}">
      <text>
        <r>
          <rPr>
            <b/>
            <sz val="9"/>
            <color indexed="81"/>
            <rFont val="Segoe UI"/>
            <family val="2"/>
          </rPr>
          <t>ProCont Soluções:</t>
        </r>
        <r>
          <rPr>
            <sz val="9"/>
            <color indexed="81"/>
            <rFont val="Segoe UI"/>
            <family val="2"/>
          </rPr>
          <t xml:space="preserve">
Mês 02</t>
        </r>
      </text>
    </comment>
    <comment ref="D5" authorId="0" shapeId="0" xr:uid="{9E114E42-5D2F-4565-8F0F-8FCB99BA6165}">
      <text>
        <r>
          <rPr>
            <b/>
            <sz val="9"/>
            <color indexed="81"/>
            <rFont val="Segoe UI"/>
            <family val="2"/>
          </rPr>
          <t>ProCont Soluções:</t>
        </r>
        <r>
          <rPr>
            <sz val="9"/>
            <color indexed="81"/>
            <rFont val="Segoe UI"/>
            <family val="2"/>
          </rPr>
          <t xml:space="preserve">
Mês 03</t>
        </r>
      </text>
    </comment>
    <comment ref="E5" authorId="0" shapeId="0" xr:uid="{332BAAC1-9BC0-4857-A720-F3AC07199FD1}">
      <text>
        <r>
          <rPr>
            <b/>
            <sz val="9"/>
            <color indexed="81"/>
            <rFont val="Segoe UI"/>
            <family val="2"/>
          </rPr>
          <t>ProCont Soluções:</t>
        </r>
        <r>
          <rPr>
            <sz val="9"/>
            <color indexed="81"/>
            <rFont val="Segoe UI"/>
            <family val="2"/>
          </rPr>
          <t xml:space="preserve">
Mês 04</t>
        </r>
      </text>
    </comment>
    <comment ref="F5" authorId="0" shapeId="0" xr:uid="{EB76C896-CFB3-4298-9CB6-CA8AF17C5F6E}">
      <text>
        <r>
          <rPr>
            <b/>
            <sz val="9"/>
            <color indexed="81"/>
            <rFont val="Segoe UI"/>
            <family val="2"/>
          </rPr>
          <t>ProCont Soluções:</t>
        </r>
        <r>
          <rPr>
            <sz val="9"/>
            <color indexed="81"/>
            <rFont val="Segoe UI"/>
            <family val="2"/>
          </rPr>
          <t xml:space="preserve">
Mês 05</t>
        </r>
      </text>
    </comment>
    <comment ref="G5" authorId="0" shapeId="0" xr:uid="{B22CCB23-922E-4154-B5A0-30D66E7B3D57}">
      <text>
        <r>
          <rPr>
            <b/>
            <sz val="9"/>
            <color indexed="81"/>
            <rFont val="Segoe UI"/>
            <family val="2"/>
          </rPr>
          <t>ProCont Soluções:</t>
        </r>
        <r>
          <rPr>
            <sz val="9"/>
            <color indexed="81"/>
            <rFont val="Segoe UI"/>
            <family val="2"/>
          </rPr>
          <t xml:space="preserve">
Mês 06</t>
        </r>
      </text>
    </comment>
    <comment ref="H5" authorId="0" shapeId="0" xr:uid="{F89F0311-1FDB-4EF0-8C1F-9651BCAAF46A}">
      <text>
        <r>
          <rPr>
            <b/>
            <sz val="9"/>
            <color indexed="81"/>
            <rFont val="Segoe UI"/>
            <family val="2"/>
          </rPr>
          <t>ProCont Soluções:</t>
        </r>
        <r>
          <rPr>
            <sz val="9"/>
            <color indexed="81"/>
            <rFont val="Segoe UI"/>
            <family val="2"/>
          </rPr>
          <t xml:space="preserve">
Mês 07</t>
        </r>
      </text>
    </comment>
    <comment ref="I5" authorId="0" shapeId="0" xr:uid="{43777B89-C2AA-4BDE-8410-C54253BF164F}">
      <text>
        <r>
          <rPr>
            <b/>
            <sz val="9"/>
            <color indexed="81"/>
            <rFont val="Segoe UI"/>
            <family val="2"/>
          </rPr>
          <t>ProCont Soluções:</t>
        </r>
        <r>
          <rPr>
            <sz val="9"/>
            <color indexed="81"/>
            <rFont val="Segoe UI"/>
            <family val="2"/>
          </rPr>
          <t xml:space="preserve">
Mês 08</t>
        </r>
      </text>
    </comment>
    <comment ref="J5" authorId="0" shapeId="0" xr:uid="{394A6C95-C11B-4E2E-86A7-23402F452E52}">
      <text>
        <r>
          <rPr>
            <b/>
            <sz val="9"/>
            <color indexed="81"/>
            <rFont val="Segoe UI"/>
            <family val="2"/>
          </rPr>
          <t>ProCont Soluções:</t>
        </r>
        <r>
          <rPr>
            <sz val="9"/>
            <color indexed="81"/>
            <rFont val="Segoe UI"/>
            <family val="2"/>
          </rPr>
          <t xml:space="preserve">
Mês 09</t>
        </r>
      </text>
    </comment>
    <comment ref="K5" authorId="0" shapeId="0" xr:uid="{4E2B64EE-AD10-4B45-BB1F-4180EB287AD8}">
      <text>
        <r>
          <rPr>
            <b/>
            <sz val="9"/>
            <color indexed="81"/>
            <rFont val="Segoe UI"/>
            <family val="2"/>
          </rPr>
          <t>ProCont Soluções:</t>
        </r>
        <r>
          <rPr>
            <sz val="9"/>
            <color indexed="81"/>
            <rFont val="Segoe UI"/>
            <family val="2"/>
          </rPr>
          <t xml:space="preserve">
Mês 10</t>
        </r>
      </text>
    </comment>
    <comment ref="L5" authorId="0" shapeId="0" xr:uid="{1D73F0AB-DC69-4B94-BBD4-E342B8F318C7}">
      <text>
        <r>
          <rPr>
            <b/>
            <sz val="9"/>
            <color indexed="81"/>
            <rFont val="Segoe UI"/>
            <family val="2"/>
          </rPr>
          <t>ProCont Soluções:</t>
        </r>
        <r>
          <rPr>
            <sz val="9"/>
            <color indexed="81"/>
            <rFont val="Segoe UI"/>
            <family val="2"/>
          </rPr>
          <t xml:space="preserve">
Mês 11</t>
        </r>
      </text>
    </comment>
    <comment ref="M5" authorId="0" shapeId="0" xr:uid="{683DC588-0391-42B6-9BED-5FC4ABF374FE}">
      <text>
        <r>
          <rPr>
            <b/>
            <sz val="9"/>
            <color indexed="81"/>
            <rFont val="Segoe UI"/>
            <family val="2"/>
          </rPr>
          <t>ProCont Soluções:</t>
        </r>
        <r>
          <rPr>
            <sz val="9"/>
            <color indexed="81"/>
            <rFont val="Segoe UI"/>
            <family val="2"/>
          </rPr>
          <t xml:space="preserve">
Mês 12</t>
        </r>
      </text>
    </comment>
  </commentList>
</comments>
</file>

<file path=xl/sharedStrings.xml><?xml version="1.0" encoding="utf-8"?>
<sst xmlns="http://schemas.openxmlformats.org/spreadsheetml/2006/main" count="134" uniqueCount="49">
  <si>
    <t>Planilha para Cálculo do Simples Nacional - Representantação e Comércio</t>
  </si>
  <si>
    <t>Faturamento</t>
  </si>
  <si>
    <t>Mês 01</t>
  </si>
  <si>
    <t>Mês 02</t>
  </si>
  <si>
    <t>Mês 03</t>
  </si>
  <si>
    <t>Mês 04</t>
  </si>
  <si>
    <t>Mês 05</t>
  </si>
  <si>
    <t>Mês 06</t>
  </si>
  <si>
    <t>Mês 07</t>
  </si>
  <si>
    <t>Mês 08</t>
  </si>
  <si>
    <t>Mês 09</t>
  </si>
  <si>
    <t>Mês 10</t>
  </si>
  <si>
    <t>Mês 11</t>
  </si>
  <si>
    <t>Mês 12</t>
  </si>
  <si>
    <t>Pró-Labore</t>
  </si>
  <si>
    <t>Representação</t>
  </si>
  <si>
    <t>Comércio</t>
  </si>
  <si>
    <t>Total</t>
  </si>
  <si>
    <t>Tabelas de Alíquotas Simples Nacional</t>
  </si>
  <si>
    <t>Receita Bruta Total em 12 meses</t>
  </si>
  <si>
    <t>Alíquota</t>
  </si>
  <si>
    <t>Quanto descontar do valor recolhido</t>
  </si>
  <si>
    <t>De</t>
  </si>
  <si>
    <t>Até</t>
  </si>
  <si>
    <t>INSS</t>
  </si>
  <si>
    <t>Cálculo Simples Nacional</t>
  </si>
  <si>
    <t>Alíquota Efetiva</t>
  </si>
  <si>
    <t>Competência</t>
  </si>
  <si>
    <t>Alíquota mês</t>
  </si>
  <si>
    <t>Receita Bruta 12</t>
  </si>
  <si>
    <t>Alíquota Rep</t>
  </si>
  <si>
    <t>Alíquota Com</t>
  </si>
  <si>
    <t>Dedução</t>
  </si>
  <si>
    <t>Base de Cálculo</t>
  </si>
  <si>
    <t>Imposto</t>
  </si>
  <si>
    <t>Esse é o salário do sócio da empresa. Ao menos um dos sócios é obrigado a ter um salário de pelo menos um salário mínimo nacional vigênte.</t>
  </si>
  <si>
    <t>INSS Pró-Labore</t>
  </si>
  <si>
    <t>Total a pagar</t>
  </si>
  <si>
    <t>Honorários Contábeis</t>
  </si>
  <si>
    <t>Valor negociável dependendo da quantidade de empresas.</t>
  </si>
  <si>
    <t>Receita Bruta</t>
  </si>
  <si>
    <t>Custo Mensal</t>
  </si>
  <si>
    <t>Mês</t>
  </si>
  <si>
    <t>Simples Nacional</t>
  </si>
  <si>
    <t>Contabilidade</t>
  </si>
  <si>
    <t>Fator R</t>
  </si>
  <si>
    <t>OBS:</t>
  </si>
  <si>
    <t>Quando a soma de Pró-Labore + INSS Acumulado nos últimos 12 meses for igual ou superior a 28% do valor da receita Bruta também dos últimos 12 mêses, a alíquota do Imposto será menor.</t>
  </si>
  <si>
    <t>Simulação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</si>
</sst>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0%"/>
    <numFmt numFmtId="165" formatCode="_-&quot;R$&quot;\ * #,##0.0000_-;\-&quot;R$&quot;\ * #,##0.0000_-;_-&quot;R$&quot;\ * &quot;-&quot;????_-;_-@_-"/>
    <numFmt numFmtId="169" formatCode="_-&quot;R$&quot;\ * #,##0.00_-;\-&quot;R$&quot;\ * #,##0.00_-;_-&quot;R$&quot;\ * &quot;-&quot;??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Protection="1"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0" fillId="0" borderId="11" xfId="0" applyBorder="1" applyProtection="1">
      <protection hidden="1"/>
    </xf>
    <xf numFmtId="44" fontId="0" fillId="0" borderId="3" xfId="1" applyFont="1" applyBorder="1" applyProtection="1">
      <protection hidden="1"/>
    </xf>
    <xf numFmtId="0" fontId="0" fillId="0" borderId="3" xfId="0" applyBorder="1" applyProtection="1">
      <protection hidden="1"/>
    </xf>
    <xf numFmtId="9" fontId="0" fillId="0" borderId="3" xfId="2" applyFont="1" applyBorder="1" applyAlignment="1" applyProtection="1">
      <alignment horizontal="center"/>
      <protection hidden="1"/>
    </xf>
    <xf numFmtId="0" fontId="4" fillId="2" borderId="12" xfId="0" applyFont="1" applyFill="1" applyBorder="1" applyAlignment="1" applyProtection="1">
      <alignment horizontal="center" vertical="center"/>
      <protection hidden="1"/>
    </xf>
    <xf numFmtId="0" fontId="0" fillId="0" borderId="6" xfId="0" applyBorder="1" applyProtection="1">
      <protection hidden="1"/>
    </xf>
    <xf numFmtId="44" fontId="0" fillId="0" borderId="4" xfId="1" applyFont="1" applyBorder="1" applyProtection="1">
      <protection hidden="1"/>
    </xf>
    <xf numFmtId="0" fontId="0" fillId="0" borderId="4" xfId="0" applyBorder="1" applyProtection="1">
      <protection hidden="1"/>
    </xf>
    <xf numFmtId="9" fontId="0" fillId="0" borderId="4" xfId="2" applyFont="1" applyBorder="1" applyAlignment="1" applyProtection="1">
      <alignment horizontal="center"/>
      <protection hidden="1"/>
    </xf>
    <xf numFmtId="8" fontId="4" fillId="2" borderId="7" xfId="0" applyNumberFormat="1" applyFont="1" applyFill="1" applyBorder="1" applyAlignment="1" applyProtection="1">
      <alignment horizontal="center" vertical="center"/>
      <protection hidden="1"/>
    </xf>
    <xf numFmtId="0" fontId="0" fillId="0" borderId="8" xfId="0" applyBorder="1" applyProtection="1">
      <protection hidden="1"/>
    </xf>
    <xf numFmtId="44" fontId="0" fillId="0" borderId="9" xfId="1" applyFont="1" applyBorder="1" applyProtection="1">
      <protection hidden="1"/>
    </xf>
    <xf numFmtId="0" fontId="0" fillId="0" borderId="9" xfId="0" applyBorder="1" applyProtection="1">
      <protection hidden="1"/>
    </xf>
    <xf numFmtId="9" fontId="0" fillId="0" borderId="9" xfId="2" applyFont="1" applyBorder="1" applyAlignment="1" applyProtection="1">
      <alignment horizontal="center"/>
      <protection hidden="1"/>
    </xf>
    <xf numFmtId="8" fontId="4" fillId="2" borderId="10" xfId="0" applyNumberFormat="1" applyFont="1" applyFill="1" applyBorder="1" applyAlignment="1" applyProtection="1">
      <alignment horizontal="center" vertical="center"/>
      <protection hidden="1"/>
    </xf>
    <xf numFmtId="9" fontId="0" fillId="0" borderId="3" xfId="2" applyFont="1" applyBorder="1" applyAlignment="1" applyProtection="1">
      <alignment horizontal="center" vertical="center"/>
      <protection hidden="1"/>
    </xf>
    <xf numFmtId="9" fontId="0" fillId="0" borderId="4" xfId="2" applyFont="1" applyBorder="1" applyAlignment="1" applyProtection="1">
      <alignment horizontal="center" vertical="center"/>
      <protection hidden="1"/>
    </xf>
    <xf numFmtId="9" fontId="0" fillId="0" borderId="9" xfId="2" applyFont="1" applyBorder="1" applyAlignment="1" applyProtection="1">
      <alignment horizontal="center" vertical="center"/>
      <protection hidden="1"/>
    </xf>
    <xf numFmtId="0" fontId="0" fillId="3" borderId="0" xfId="0" applyFill="1" applyAlignment="1" applyProtection="1">
      <protection hidden="1"/>
    </xf>
    <xf numFmtId="0" fontId="0" fillId="3" borderId="0" xfId="0" applyFill="1" applyProtection="1">
      <protection hidden="1"/>
    </xf>
    <xf numFmtId="0" fontId="2" fillId="3" borderId="0" xfId="0" applyFont="1" applyFill="1" applyAlignment="1" applyProtection="1">
      <protection hidden="1"/>
    </xf>
    <xf numFmtId="44" fontId="0" fillId="3" borderId="0" xfId="0" applyNumberFormat="1" applyFill="1" applyProtection="1">
      <protection hidden="1"/>
    </xf>
    <xf numFmtId="0" fontId="0" fillId="3" borderId="24" xfId="0" applyFill="1" applyBorder="1" applyAlignment="1" applyProtection="1">
      <protection hidden="1"/>
    </xf>
    <xf numFmtId="164" fontId="0" fillId="3" borderId="1" xfId="2" applyNumberFormat="1" applyFont="1" applyFill="1" applyBorder="1" applyAlignment="1" applyProtection="1">
      <protection hidden="1"/>
    </xf>
    <xf numFmtId="44" fontId="0" fillId="3" borderId="0" xfId="0" applyNumberFormat="1" applyFill="1" applyBorder="1" applyProtection="1">
      <protection hidden="1"/>
    </xf>
    <xf numFmtId="0" fontId="0" fillId="3" borderId="26" xfId="0" applyFill="1" applyBorder="1" applyAlignment="1" applyProtection="1">
      <protection hidden="1"/>
    </xf>
    <xf numFmtId="164" fontId="0" fillId="3" borderId="22" xfId="2" applyNumberFormat="1" applyFont="1" applyFill="1" applyBorder="1" applyAlignment="1" applyProtection="1">
      <protection hidden="1"/>
    </xf>
    <xf numFmtId="44" fontId="0" fillId="3" borderId="20" xfId="0" applyNumberFormat="1" applyFill="1" applyBorder="1" applyProtection="1">
      <protection hidden="1"/>
    </xf>
    <xf numFmtId="44" fontId="0" fillId="4" borderId="0" xfId="1" applyFont="1" applyFill="1" applyBorder="1" applyAlignment="1" applyProtection="1">
      <protection locked="0" hidden="1"/>
    </xf>
    <xf numFmtId="44" fontId="0" fillId="4" borderId="2" xfId="1" applyFont="1" applyFill="1" applyBorder="1" applyAlignment="1" applyProtection="1">
      <protection locked="0" hidden="1"/>
    </xf>
    <xf numFmtId="0" fontId="2" fillId="3" borderId="5" xfId="0" applyFont="1" applyFill="1" applyBorder="1" applyAlignment="1" applyProtection="1">
      <protection hidden="1"/>
    </xf>
    <xf numFmtId="0" fontId="2" fillId="3" borderId="5" xfId="0" applyFont="1" applyFill="1" applyBorder="1" applyProtection="1">
      <protection hidden="1"/>
    </xf>
    <xf numFmtId="44" fontId="2" fillId="6" borderId="5" xfId="0" applyNumberFormat="1" applyFont="1" applyFill="1" applyBorder="1" applyProtection="1">
      <protection hidden="1"/>
    </xf>
    <xf numFmtId="44" fontId="2" fillId="6" borderId="2" xfId="0" applyNumberFormat="1" applyFont="1" applyFill="1" applyBorder="1" applyProtection="1">
      <protection hidden="1"/>
    </xf>
    <xf numFmtId="44" fontId="2" fillId="6" borderId="23" xfId="0" applyNumberFormat="1" applyFont="1" applyFill="1" applyBorder="1" applyProtection="1">
      <protection hidden="1"/>
    </xf>
    <xf numFmtId="165" fontId="2" fillId="6" borderId="25" xfId="0" applyNumberFormat="1" applyFont="1" applyFill="1" applyBorder="1" applyProtection="1">
      <protection hidden="1"/>
    </xf>
    <xf numFmtId="165" fontId="2" fillId="6" borderId="19" xfId="0" applyNumberFormat="1" applyFont="1" applyFill="1" applyBorder="1" applyProtection="1">
      <protection hidden="1"/>
    </xf>
    <xf numFmtId="0" fontId="2" fillId="3" borderId="0" xfId="0" applyFont="1" applyFill="1" applyBorder="1" applyAlignment="1" applyProtection="1">
      <alignment horizontal="center"/>
      <protection hidden="1"/>
    </xf>
    <xf numFmtId="0" fontId="2" fillId="3" borderId="0" xfId="0" applyFont="1" applyFill="1" applyBorder="1" applyProtection="1">
      <protection hidden="1"/>
    </xf>
    <xf numFmtId="165" fontId="2" fillId="6" borderId="28" xfId="0" applyNumberFormat="1" applyFont="1" applyFill="1" applyBorder="1" applyProtection="1">
      <protection hidden="1"/>
    </xf>
    <xf numFmtId="165" fontId="2" fillId="6" borderId="2" xfId="0" applyNumberFormat="1" applyFont="1" applyFill="1" applyBorder="1" applyProtection="1">
      <protection hidden="1"/>
    </xf>
    <xf numFmtId="165" fontId="2" fillId="6" borderId="23" xfId="0" applyNumberFormat="1" applyFont="1" applyFill="1" applyBorder="1" applyProtection="1">
      <protection hidden="1"/>
    </xf>
    <xf numFmtId="0" fontId="2" fillId="3" borderId="0" xfId="0" applyFont="1" applyFill="1" applyBorder="1" applyAlignment="1" applyProtection="1">
      <protection hidden="1"/>
    </xf>
    <xf numFmtId="44" fontId="2" fillId="3" borderId="0" xfId="0" applyNumberFormat="1" applyFont="1" applyFill="1" applyBorder="1" applyProtection="1">
      <protection hidden="1"/>
    </xf>
    <xf numFmtId="44" fontId="2" fillId="6" borderId="16" xfId="0" applyNumberFormat="1" applyFont="1" applyFill="1" applyBorder="1" applyProtection="1">
      <protection hidden="1"/>
    </xf>
    <xf numFmtId="0" fontId="0" fillId="3" borderId="0" xfId="0" applyFill="1" applyBorder="1" applyProtection="1">
      <protection hidden="1"/>
    </xf>
    <xf numFmtId="44" fontId="0" fillId="3" borderId="0" xfId="1" applyFont="1" applyFill="1" applyBorder="1" applyProtection="1">
      <protection hidden="1"/>
    </xf>
    <xf numFmtId="44" fontId="2" fillId="3" borderId="0" xfId="1" applyFont="1" applyFill="1" applyBorder="1" applyProtection="1">
      <protection hidden="1"/>
    </xf>
    <xf numFmtId="0" fontId="2" fillId="3" borderId="0" xfId="0" applyFont="1" applyFill="1" applyBorder="1" applyAlignment="1" applyProtection="1">
      <alignment horizontal="left"/>
      <protection hidden="1"/>
    </xf>
    <xf numFmtId="17" fontId="2" fillId="3" borderId="16" xfId="0" applyNumberFormat="1" applyFont="1" applyFill="1" applyBorder="1" applyProtection="1">
      <protection hidden="1"/>
    </xf>
    <xf numFmtId="17" fontId="2" fillId="3" borderId="27" xfId="0" applyNumberFormat="1" applyFont="1" applyFill="1" applyBorder="1" applyProtection="1">
      <protection hidden="1"/>
    </xf>
    <xf numFmtId="17" fontId="2" fillId="3" borderId="17" xfId="0" applyNumberFormat="1" applyFont="1" applyFill="1" applyBorder="1" applyProtection="1">
      <protection hidden="1"/>
    </xf>
    <xf numFmtId="44" fontId="2" fillId="3" borderId="21" xfId="0" applyNumberFormat="1" applyFont="1" applyFill="1" applyBorder="1" applyAlignment="1" applyProtection="1">
      <protection hidden="1"/>
    </xf>
    <xf numFmtId="44" fontId="0" fillId="3" borderId="1" xfId="0" applyNumberFormat="1" applyFill="1" applyBorder="1" applyProtection="1">
      <protection hidden="1"/>
    </xf>
    <xf numFmtId="0" fontId="2" fillId="6" borderId="5" xfId="0" applyFont="1" applyFill="1" applyBorder="1" applyProtection="1">
      <protection hidden="1"/>
    </xf>
    <xf numFmtId="44" fontId="2" fillId="6" borderId="27" xfId="0" applyNumberFormat="1" applyFont="1" applyFill="1" applyBorder="1" applyProtection="1">
      <protection hidden="1"/>
    </xf>
    <xf numFmtId="17" fontId="2" fillId="6" borderId="13" xfId="0" applyNumberFormat="1" applyFont="1" applyFill="1" applyBorder="1" applyProtection="1">
      <protection hidden="1"/>
    </xf>
    <xf numFmtId="44" fontId="2" fillId="6" borderId="14" xfId="1" applyFont="1" applyFill="1" applyBorder="1" applyProtection="1">
      <protection hidden="1"/>
    </xf>
    <xf numFmtId="44" fontId="2" fillId="6" borderId="15" xfId="1" applyFont="1" applyFill="1" applyBorder="1" applyProtection="1">
      <protection hidden="1"/>
    </xf>
    <xf numFmtId="0" fontId="2" fillId="6" borderId="5" xfId="0" applyFont="1" applyFill="1" applyBorder="1" applyAlignment="1" applyProtection="1">
      <protection hidden="1"/>
    </xf>
    <xf numFmtId="165" fontId="2" fillId="6" borderId="5" xfId="0" applyNumberFormat="1" applyFont="1" applyFill="1" applyBorder="1" applyAlignment="1" applyProtection="1">
      <protection hidden="1"/>
    </xf>
    <xf numFmtId="44" fontId="2" fillId="6" borderId="16" xfId="1" applyFont="1" applyFill="1" applyBorder="1" applyProtection="1">
      <protection hidden="1"/>
    </xf>
    <xf numFmtId="44" fontId="2" fillId="6" borderId="27" xfId="1" applyFont="1" applyFill="1" applyBorder="1" applyProtection="1">
      <protection hidden="1"/>
    </xf>
    <xf numFmtId="44" fontId="2" fillId="6" borderId="17" xfId="1" applyFont="1" applyFill="1" applyBorder="1" applyProtection="1">
      <protection hidden="1"/>
    </xf>
    <xf numFmtId="44" fontId="2" fillId="6" borderId="5" xfId="1" applyFont="1" applyFill="1" applyBorder="1" applyProtection="1">
      <protection hidden="1"/>
    </xf>
    <xf numFmtId="44" fontId="0" fillId="4" borderId="5" xfId="1" applyFont="1" applyFill="1" applyBorder="1" applyProtection="1">
      <protection locked="0"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17" fontId="6" fillId="3" borderId="13" xfId="0" applyNumberFormat="1" applyFont="1" applyFill="1" applyBorder="1" applyAlignment="1" applyProtection="1">
      <alignment horizontal="center"/>
      <protection hidden="1"/>
    </xf>
    <xf numFmtId="17" fontId="6" fillId="3" borderId="14" xfId="0" applyNumberFormat="1" applyFont="1" applyFill="1" applyBorder="1" applyAlignment="1" applyProtection="1">
      <alignment horizontal="center"/>
      <protection hidden="1"/>
    </xf>
    <xf numFmtId="17" fontId="6" fillId="3" borderId="15" xfId="0" applyNumberFormat="1" applyFont="1" applyFill="1" applyBorder="1" applyAlignment="1" applyProtection="1">
      <alignment horizontal="center"/>
      <protection hidden="1"/>
    </xf>
    <xf numFmtId="0" fontId="2" fillId="6" borderId="16" xfId="0" applyFont="1" applyFill="1" applyBorder="1" applyAlignment="1" applyProtection="1">
      <alignment horizontal="center" vertical="center"/>
      <protection hidden="1"/>
    </xf>
    <xf numFmtId="0" fontId="2" fillId="6" borderId="19" xfId="0" applyFont="1" applyFill="1" applyBorder="1" applyAlignment="1" applyProtection="1">
      <alignment horizontal="center" vertical="center"/>
      <protection hidden="1"/>
    </xf>
    <xf numFmtId="0" fontId="2" fillId="7" borderId="13" xfId="0" applyFont="1" applyFill="1" applyBorder="1" applyAlignment="1" applyProtection="1">
      <alignment horizontal="left"/>
      <protection hidden="1"/>
    </xf>
    <xf numFmtId="0" fontId="2" fillId="7" borderId="14" xfId="0" applyFont="1" applyFill="1" applyBorder="1" applyAlignment="1" applyProtection="1">
      <alignment horizontal="left"/>
      <protection hidden="1"/>
    </xf>
    <xf numFmtId="0" fontId="2" fillId="7" borderId="15" xfId="0" applyFont="1" applyFill="1" applyBorder="1" applyAlignment="1" applyProtection="1">
      <alignment horizontal="left"/>
      <protection hidden="1"/>
    </xf>
    <xf numFmtId="0" fontId="2" fillId="3" borderId="13" xfId="0" applyFont="1" applyFill="1" applyBorder="1" applyAlignment="1" applyProtection="1">
      <alignment horizontal="center"/>
      <protection hidden="1"/>
    </xf>
    <xf numFmtId="0" fontId="2" fillId="3" borderId="14" xfId="0" applyFont="1" applyFill="1" applyBorder="1" applyAlignment="1" applyProtection="1">
      <alignment horizontal="center"/>
      <protection hidden="1"/>
    </xf>
    <xf numFmtId="0" fontId="2" fillId="3" borderId="15" xfId="0" applyFont="1" applyFill="1" applyBorder="1" applyAlignment="1" applyProtection="1">
      <alignment horizontal="center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18" xfId="0" applyFont="1" applyFill="1" applyBorder="1" applyAlignment="1" applyProtection="1">
      <alignment horizontal="center" vertical="center"/>
      <protection hidden="1"/>
    </xf>
    <xf numFmtId="0" fontId="7" fillId="3" borderId="13" xfId="0" applyFont="1" applyFill="1" applyBorder="1" applyAlignment="1" applyProtection="1">
      <alignment horizontal="center"/>
      <protection hidden="1"/>
    </xf>
    <xf numFmtId="0" fontId="7" fillId="3" borderId="14" xfId="0" applyFont="1" applyFill="1" applyBorder="1" applyAlignment="1" applyProtection="1">
      <alignment horizontal="center"/>
      <protection hidden="1"/>
    </xf>
    <xf numFmtId="0" fontId="7" fillId="3" borderId="15" xfId="0" applyFont="1" applyFill="1" applyBorder="1" applyAlignment="1" applyProtection="1">
      <alignment horizontal="center"/>
      <protection hidden="1"/>
    </xf>
    <xf numFmtId="10" fontId="0" fillId="0" borderId="3" xfId="2" applyNumberFormat="1" applyFont="1" applyBorder="1" applyAlignment="1" applyProtection="1">
      <alignment horizontal="center" vertical="center"/>
      <protection hidden="1"/>
    </xf>
    <xf numFmtId="10" fontId="0" fillId="0" borderId="4" xfId="2" applyNumberFormat="1" applyFont="1" applyBorder="1" applyAlignment="1" applyProtection="1">
      <alignment horizontal="center" vertical="center"/>
      <protection hidden="1"/>
    </xf>
    <xf numFmtId="10" fontId="0" fillId="0" borderId="9" xfId="2" applyNumberFormat="1" applyFont="1" applyBorder="1" applyAlignment="1" applyProtection="1">
      <alignment horizontal="center" vertical="center"/>
      <protection hidden="1"/>
    </xf>
    <xf numFmtId="0" fontId="3" fillId="4" borderId="0" xfId="0" applyFont="1" applyFill="1" applyAlignment="1" applyProtection="1">
      <alignment horizontal="left"/>
      <protection hidden="1"/>
    </xf>
    <xf numFmtId="0" fontId="3" fillId="4" borderId="0" xfId="0" applyFont="1" applyFill="1" applyProtection="1">
      <protection hidden="1"/>
    </xf>
    <xf numFmtId="44" fontId="3" fillId="4" borderId="0" xfId="0" applyNumberFormat="1" applyFont="1" applyFill="1" applyAlignment="1" applyProtection="1">
      <alignment horizontal="center"/>
      <protection hidden="1"/>
    </xf>
    <xf numFmtId="0" fontId="3" fillId="4" borderId="0" xfId="0" applyFont="1" applyFill="1" applyAlignment="1" applyProtection="1">
      <alignment horizontal="center"/>
      <protection hidden="1"/>
    </xf>
    <xf numFmtId="9" fontId="3" fillId="4" borderId="0" xfId="2" applyFont="1" applyFill="1" applyProtection="1">
      <protection hidden="1"/>
    </xf>
    <xf numFmtId="44" fontId="3" fillId="4" borderId="0" xfId="1" applyFont="1" applyFill="1" applyProtection="1">
      <protection hidden="1"/>
    </xf>
    <xf numFmtId="44" fontId="3" fillId="4" borderId="0" xfId="1" applyFont="1" applyFill="1" applyAlignment="1" applyProtection="1">
      <alignment horizontal="center"/>
      <protection hidden="1"/>
    </xf>
    <xf numFmtId="0" fontId="0" fillId="4" borderId="0" xfId="0" applyFont="1" applyFill="1" applyProtection="1">
      <protection hidden="1"/>
    </xf>
    <xf numFmtId="0" fontId="10" fillId="8" borderId="0" xfId="0" applyFont="1" applyFill="1" applyBorder="1" applyAlignment="1" applyProtection="1">
      <protection hidden="1"/>
    </xf>
    <xf numFmtId="169" fontId="2" fillId="3" borderId="2" xfId="0" applyNumberFormat="1" applyFont="1" applyFill="1" applyBorder="1" applyAlignment="1" applyProtection="1">
      <protection hidden="1"/>
    </xf>
    <xf numFmtId="9" fontId="11" fillId="3" borderId="0" xfId="2" applyFont="1" applyFill="1" applyBorder="1" applyProtection="1">
      <protection hidden="1"/>
    </xf>
    <xf numFmtId="0" fontId="10" fillId="7" borderId="0" xfId="0" applyFont="1" applyFill="1" applyBorder="1" applyAlignment="1" applyProtection="1">
      <protection hidden="1"/>
    </xf>
    <xf numFmtId="0" fontId="2" fillId="5" borderId="13" xfId="0" applyFont="1" applyFill="1" applyBorder="1" applyAlignment="1" applyProtection="1">
      <alignment horizontal="left"/>
      <protection hidden="1"/>
    </xf>
    <xf numFmtId="0" fontId="2" fillId="5" borderId="14" xfId="0" applyFont="1" applyFill="1" applyBorder="1" applyAlignment="1" applyProtection="1">
      <alignment horizontal="left"/>
      <protection hidden="1"/>
    </xf>
    <xf numFmtId="0" fontId="2" fillId="5" borderId="15" xfId="0" applyFont="1" applyFill="1" applyBorder="1" applyAlignment="1" applyProtection="1">
      <alignment horizontal="left"/>
      <protection hidden="1"/>
    </xf>
    <xf numFmtId="9" fontId="3" fillId="4" borderId="0" xfId="0" applyNumberFormat="1" applyFont="1" applyFill="1" applyProtection="1">
      <protection hidden="1"/>
    </xf>
    <xf numFmtId="9" fontId="3" fillId="4" borderId="0" xfId="2" applyFont="1" applyFill="1" applyAlignment="1" applyProtection="1">
      <alignment horizontal="center"/>
      <protection hidden="1"/>
    </xf>
    <xf numFmtId="44" fontId="10" fillId="7" borderId="13" xfId="1" applyFont="1" applyFill="1" applyBorder="1" applyAlignment="1" applyProtection="1">
      <alignment horizontal="left"/>
      <protection hidden="1"/>
    </xf>
    <xf numFmtId="44" fontId="10" fillId="7" borderId="14" xfId="1" applyFont="1" applyFill="1" applyBorder="1" applyAlignment="1" applyProtection="1">
      <alignment horizontal="left"/>
      <protection hidden="1"/>
    </xf>
    <xf numFmtId="44" fontId="10" fillId="7" borderId="15" xfId="1" applyFont="1" applyFill="1" applyBorder="1" applyAlignment="1" applyProtection="1">
      <alignment horizontal="left"/>
      <protection hidden="1"/>
    </xf>
  </cellXfs>
  <cellStyles count="3">
    <cellStyle name="Moeda" xfId="1" builtinId="4"/>
    <cellStyle name="Normal" xfId="0" builtinId="0"/>
    <cellStyle name="Porcentagem" xfId="2" builtinId="5"/>
  </cellStyles>
  <dxfs count="8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7B3E-6FF7-487D-8467-61EA39CAC83C}">
  <dimension ref="A1:T25"/>
  <sheetViews>
    <sheetView showGridLines="0" workbookViewId="0">
      <selection activeCell="K14" sqref="K14:L14"/>
    </sheetView>
  </sheetViews>
  <sheetFormatPr defaultRowHeight="15" x14ac:dyDescent="0.25"/>
  <cols>
    <col min="1" max="1" width="5.7109375" style="1" customWidth="1"/>
    <col min="2" max="2" width="17.7109375" style="1" customWidth="1"/>
    <col min="3" max="3" width="5.7109375" style="1" customWidth="1"/>
    <col min="4" max="4" width="17.7109375" style="1" customWidth="1"/>
    <col min="5" max="5" width="10.7109375" style="1" customWidth="1"/>
    <col min="6" max="6" width="39.140625" style="1" bestFit="1" customWidth="1"/>
    <col min="7" max="8" width="9.140625" style="102"/>
    <col min="9" max="13" width="9.140625" style="96"/>
    <col min="14" max="14" width="12.5703125" style="96" bestFit="1" customWidth="1"/>
    <col min="15" max="15" width="13.28515625" style="96" bestFit="1" customWidth="1"/>
    <col min="16" max="16" width="12.85546875" style="96" bestFit="1" customWidth="1"/>
    <col min="17" max="17" width="13.28515625" style="96" bestFit="1" customWidth="1"/>
    <col min="18" max="18" width="9.140625" style="96"/>
    <col min="19" max="20" width="9.140625" style="102"/>
    <col min="21" max="16384" width="9.140625" style="1"/>
  </cols>
  <sheetData>
    <row r="1" spans="1:17" ht="15.75" thickBot="1" x14ac:dyDescent="0.3">
      <c r="A1" s="73" t="s">
        <v>18</v>
      </c>
      <c r="B1" s="74"/>
      <c r="C1" s="74"/>
      <c r="D1" s="74"/>
      <c r="E1" s="74"/>
      <c r="F1" s="75"/>
      <c r="I1" s="110">
        <v>0.28000000000000003</v>
      </c>
    </row>
    <row r="2" spans="1:17" ht="15.75" thickBot="1" x14ac:dyDescent="0.3">
      <c r="I2" s="95" t="s">
        <v>28</v>
      </c>
      <c r="J2" s="95"/>
      <c r="K2" s="96" t="s">
        <v>29</v>
      </c>
      <c r="M2" s="96" t="s">
        <v>45</v>
      </c>
      <c r="N2" s="96" t="s">
        <v>30</v>
      </c>
      <c r="O2" s="96" t="s">
        <v>32</v>
      </c>
      <c r="P2" s="96" t="s">
        <v>31</v>
      </c>
      <c r="Q2" s="96" t="s">
        <v>32</v>
      </c>
    </row>
    <row r="3" spans="1:17" ht="15.75" thickBot="1" x14ac:dyDescent="0.3">
      <c r="A3" s="70" t="s">
        <v>19</v>
      </c>
      <c r="B3" s="71"/>
      <c r="C3" s="71"/>
      <c r="D3" s="72"/>
      <c r="E3" s="2" t="s">
        <v>20</v>
      </c>
      <c r="F3" s="3" t="s">
        <v>21</v>
      </c>
      <c r="I3" s="96" t="s">
        <v>2</v>
      </c>
      <c r="K3" s="97">
        <f>Planilha1!D11*12</f>
        <v>0</v>
      </c>
      <c r="L3" s="98"/>
      <c r="M3" s="111" t="e">
        <f>((Planilha1!$B$3+Planilha1!$D$3)*12)/Planilha2!K3</f>
        <v>#DIV/0!</v>
      </c>
      <c r="N3" s="99" t="e">
        <f>IF(M3&gt;=$I$1,(LOOKUP($K3,$B$12:$D$17,$E$12:$E$17)),(LOOKUP(K3,$B$20:$D$25,$E$20:$E$25)))</f>
        <v>#DIV/0!</v>
      </c>
      <c r="O3" s="100">
        <f>LOOKUP($K3,$B$12:$D$17,$F$12:$F$17)</f>
        <v>0</v>
      </c>
      <c r="P3" s="99">
        <f>LOOKUP($K3,$B$4:$D$9,$E$4:$E$9)</f>
        <v>0.04</v>
      </c>
      <c r="Q3" s="100">
        <f>LOOKUP($K3,$B$12:$D$17,$F$12:$F$17)</f>
        <v>0</v>
      </c>
    </row>
    <row r="4" spans="1:17" x14ac:dyDescent="0.25">
      <c r="A4" s="4" t="s">
        <v>22</v>
      </c>
      <c r="B4" s="5">
        <v>0</v>
      </c>
      <c r="C4" s="6" t="s">
        <v>23</v>
      </c>
      <c r="D4" s="5">
        <v>180000</v>
      </c>
      <c r="E4" s="7">
        <v>0.04</v>
      </c>
      <c r="F4" s="8">
        <v>0</v>
      </c>
      <c r="I4" s="96" t="s">
        <v>3</v>
      </c>
      <c r="K4" s="101">
        <f>((Planilha1!D12+Planilha1!D11)/2)*12</f>
        <v>0</v>
      </c>
      <c r="L4" s="101"/>
      <c r="M4" s="111" t="e">
        <f>((Planilha1!$B$3+Planilha1!$D$3)*12)/Planilha2!K4</f>
        <v>#DIV/0!</v>
      </c>
      <c r="N4" s="99" t="e">
        <f t="shared" ref="N4:N14" si="0">IF(M4&gt;=$I$1,(LOOKUP($K4,$B$12:$D$17,$E$12:$E$17)),(LOOKUP(K4,$B$20:$D$25,$E$20:$E$25)))</f>
        <v>#DIV/0!</v>
      </c>
      <c r="O4" s="100">
        <f t="shared" ref="O4:Q14" si="1">LOOKUP($K4,$B$12:$D$17,$F$12:$F$17)</f>
        <v>0</v>
      </c>
      <c r="P4" s="99">
        <f t="shared" ref="P4:P14" si="2">LOOKUP($K4,$B$4:$D$9,$E$4:$E$9)</f>
        <v>0.04</v>
      </c>
      <c r="Q4" s="100">
        <f t="shared" si="1"/>
        <v>0</v>
      </c>
    </row>
    <row r="5" spans="1:17" x14ac:dyDescent="0.25">
      <c r="A5" s="9" t="s">
        <v>22</v>
      </c>
      <c r="B5" s="10">
        <v>180000.01</v>
      </c>
      <c r="C5" s="11" t="s">
        <v>23</v>
      </c>
      <c r="D5" s="10">
        <v>360000</v>
      </c>
      <c r="E5" s="12">
        <v>7.2999999999999995E-2</v>
      </c>
      <c r="F5" s="13">
        <v>5940</v>
      </c>
      <c r="I5" s="96" t="s">
        <v>4</v>
      </c>
      <c r="K5" s="101">
        <f>((Planilha1!D11+Planilha1!D12+Planilha1!D13)/3)*12</f>
        <v>0</v>
      </c>
      <c r="L5" s="101"/>
      <c r="M5" s="111" t="e">
        <f>((Planilha1!$B$3+Planilha1!$D$3)*12)/Planilha2!K5</f>
        <v>#DIV/0!</v>
      </c>
      <c r="N5" s="99" t="e">
        <f t="shared" si="0"/>
        <v>#DIV/0!</v>
      </c>
      <c r="O5" s="100">
        <f t="shared" si="1"/>
        <v>0</v>
      </c>
      <c r="P5" s="99">
        <f t="shared" si="2"/>
        <v>0.04</v>
      </c>
      <c r="Q5" s="100">
        <f t="shared" si="1"/>
        <v>0</v>
      </c>
    </row>
    <row r="6" spans="1:17" x14ac:dyDescent="0.25">
      <c r="A6" s="9" t="s">
        <v>22</v>
      </c>
      <c r="B6" s="10">
        <v>360000.01</v>
      </c>
      <c r="C6" s="11" t="s">
        <v>23</v>
      </c>
      <c r="D6" s="10">
        <v>720000</v>
      </c>
      <c r="E6" s="12">
        <v>9.5000000000000001E-2</v>
      </c>
      <c r="F6" s="13">
        <v>13860</v>
      </c>
      <c r="I6" s="96" t="s">
        <v>5</v>
      </c>
      <c r="K6" s="101">
        <f>((Planilha1!D11+Planilha1!D12+Planilha1!D13+Planilha1!D14)/4)*12</f>
        <v>0</v>
      </c>
      <c r="L6" s="101"/>
      <c r="M6" s="111" t="e">
        <f>((Planilha1!$B$3+Planilha1!$D$3)*12)/Planilha2!K6</f>
        <v>#DIV/0!</v>
      </c>
      <c r="N6" s="99" t="e">
        <f t="shared" si="0"/>
        <v>#DIV/0!</v>
      </c>
      <c r="O6" s="100">
        <f t="shared" si="1"/>
        <v>0</v>
      </c>
      <c r="P6" s="99">
        <f t="shared" si="2"/>
        <v>0.04</v>
      </c>
      <c r="Q6" s="100">
        <f t="shared" si="1"/>
        <v>0</v>
      </c>
    </row>
    <row r="7" spans="1:17" x14ac:dyDescent="0.25">
      <c r="A7" s="9" t="s">
        <v>22</v>
      </c>
      <c r="B7" s="10">
        <v>720000.01</v>
      </c>
      <c r="C7" s="11" t="s">
        <v>23</v>
      </c>
      <c r="D7" s="10">
        <v>1800000</v>
      </c>
      <c r="E7" s="12">
        <v>0.107</v>
      </c>
      <c r="F7" s="13">
        <v>22500</v>
      </c>
      <c r="I7" s="96" t="s">
        <v>6</v>
      </c>
      <c r="K7" s="101">
        <f>((Planilha1!D15+Planilha1!D14+Planilha1!D13+Planilha1!D12+Planilha1!D11)/5)*12</f>
        <v>0</v>
      </c>
      <c r="L7" s="101"/>
      <c r="M7" s="111" t="e">
        <f>((Planilha1!$B$3+Planilha1!$D$3)*12)/Planilha2!K7</f>
        <v>#DIV/0!</v>
      </c>
      <c r="N7" s="99" t="e">
        <f t="shared" si="0"/>
        <v>#DIV/0!</v>
      </c>
      <c r="O7" s="100">
        <f t="shared" si="1"/>
        <v>0</v>
      </c>
      <c r="P7" s="99">
        <f t="shared" si="2"/>
        <v>0.04</v>
      </c>
      <c r="Q7" s="100">
        <f t="shared" si="1"/>
        <v>0</v>
      </c>
    </row>
    <row r="8" spans="1:17" x14ac:dyDescent="0.25">
      <c r="A8" s="9" t="s">
        <v>22</v>
      </c>
      <c r="B8" s="10">
        <v>1800000.01</v>
      </c>
      <c r="C8" s="11" t="s">
        <v>23</v>
      </c>
      <c r="D8" s="10">
        <v>3600000</v>
      </c>
      <c r="E8" s="12">
        <v>0.14299999999999999</v>
      </c>
      <c r="F8" s="13">
        <v>87300</v>
      </c>
      <c r="I8" s="96" t="s">
        <v>7</v>
      </c>
      <c r="K8" s="101">
        <f>((Planilha1!D11+Planilha1!D12+Planilha1!D13+Planilha1!D14+Planilha1!D15+Planilha1!D16)/6)*12</f>
        <v>0</v>
      </c>
      <c r="L8" s="101"/>
      <c r="M8" s="111" t="e">
        <f>((Planilha1!$B$3+Planilha1!$D$3)*12)/Planilha2!K8</f>
        <v>#DIV/0!</v>
      </c>
      <c r="N8" s="99" t="e">
        <f t="shared" si="0"/>
        <v>#DIV/0!</v>
      </c>
      <c r="O8" s="100">
        <f t="shared" si="1"/>
        <v>0</v>
      </c>
      <c r="P8" s="99">
        <f t="shared" si="2"/>
        <v>0.04</v>
      </c>
      <c r="Q8" s="100">
        <f t="shared" si="1"/>
        <v>0</v>
      </c>
    </row>
    <row r="9" spans="1:17" ht="15.75" thickBot="1" x14ac:dyDescent="0.3">
      <c r="A9" s="14" t="s">
        <v>22</v>
      </c>
      <c r="B9" s="15">
        <v>3600000.01</v>
      </c>
      <c r="C9" s="16" t="s">
        <v>23</v>
      </c>
      <c r="D9" s="15">
        <v>4800000</v>
      </c>
      <c r="E9" s="17">
        <v>0.19</v>
      </c>
      <c r="F9" s="18">
        <v>378000</v>
      </c>
      <c r="I9" s="96" t="s">
        <v>8</v>
      </c>
      <c r="K9" s="101">
        <f>((Planilha1!D11+Planilha1!D12+Planilha1!D13+Planilha1!D14+Planilha1!D15+Planilha1!D16+Planilha1!D17)/7)*12</f>
        <v>0</v>
      </c>
      <c r="L9" s="101"/>
      <c r="M9" s="111" t="e">
        <f>((Planilha1!$B$3+Planilha1!$D$3)*12)/Planilha2!K9</f>
        <v>#DIV/0!</v>
      </c>
      <c r="N9" s="99" t="e">
        <f t="shared" si="0"/>
        <v>#DIV/0!</v>
      </c>
      <c r="O9" s="100">
        <f t="shared" si="1"/>
        <v>0</v>
      </c>
      <c r="P9" s="99">
        <f t="shared" si="2"/>
        <v>0.04</v>
      </c>
      <c r="Q9" s="100">
        <f t="shared" si="1"/>
        <v>0</v>
      </c>
    </row>
    <row r="10" spans="1:17" ht="15.75" thickBot="1" x14ac:dyDescent="0.3">
      <c r="I10" s="96" t="s">
        <v>9</v>
      </c>
      <c r="K10" s="101">
        <f>((Planilha1!D11+Planilha1!D12+Planilha1!D13+Planilha1!D14+Planilha1!D15+Planilha1!D16+Planilha1!D17+Planilha1!D18)/8)*12</f>
        <v>0</v>
      </c>
      <c r="L10" s="101"/>
      <c r="M10" s="111" t="e">
        <f>((Planilha1!$B$3+Planilha1!$D$3)*12)/Planilha2!K10</f>
        <v>#DIV/0!</v>
      </c>
      <c r="N10" s="99" t="e">
        <f t="shared" si="0"/>
        <v>#DIV/0!</v>
      </c>
      <c r="O10" s="100">
        <f t="shared" si="1"/>
        <v>0</v>
      </c>
      <c r="P10" s="99">
        <f t="shared" si="2"/>
        <v>0.04</v>
      </c>
      <c r="Q10" s="100">
        <f t="shared" si="1"/>
        <v>0</v>
      </c>
    </row>
    <row r="11" spans="1:17" ht="15.75" thickBot="1" x14ac:dyDescent="0.3">
      <c r="A11" s="70" t="s">
        <v>19</v>
      </c>
      <c r="B11" s="71"/>
      <c r="C11" s="71"/>
      <c r="D11" s="72"/>
      <c r="E11" s="2" t="s">
        <v>20</v>
      </c>
      <c r="F11" s="3" t="s">
        <v>21</v>
      </c>
      <c r="I11" s="96" t="s">
        <v>10</v>
      </c>
      <c r="K11" s="101">
        <f>(SUM(Planilha1!D11:D19)/9)*12</f>
        <v>0</v>
      </c>
      <c r="L11" s="101"/>
      <c r="M11" s="111" t="e">
        <f>((Planilha1!$B$3+Planilha1!$D$3)*12)/Planilha2!K11</f>
        <v>#DIV/0!</v>
      </c>
      <c r="N11" s="99" t="e">
        <f t="shared" si="0"/>
        <v>#DIV/0!</v>
      </c>
      <c r="O11" s="100">
        <f t="shared" si="1"/>
        <v>0</v>
      </c>
      <c r="P11" s="99">
        <f t="shared" si="2"/>
        <v>0.04</v>
      </c>
      <c r="Q11" s="100">
        <f t="shared" si="1"/>
        <v>0</v>
      </c>
    </row>
    <row r="12" spans="1:17" x14ac:dyDescent="0.25">
      <c r="A12" s="4" t="s">
        <v>22</v>
      </c>
      <c r="B12" s="5">
        <v>0</v>
      </c>
      <c r="C12" s="6" t="s">
        <v>23</v>
      </c>
      <c r="D12" s="5">
        <v>180000</v>
      </c>
      <c r="E12" s="19">
        <v>0.06</v>
      </c>
      <c r="F12" s="8">
        <v>0</v>
      </c>
      <c r="I12" s="96" t="s">
        <v>11</v>
      </c>
      <c r="K12" s="101">
        <f>(SUM(Planilha1!D11:D20)/10)*12</f>
        <v>0</v>
      </c>
      <c r="L12" s="101"/>
      <c r="M12" s="111" t="e">
        <f>((Planilha1!$B$3+Planilha1!$D$3)*12)/Planilha2!K12</f>
        <v>#DIV/0!</v>
      </c>
      <c r="N12" s="99" t="e">
        <f t="shared" si="0"/>
        <v>#DIV/0!</v>
      </c>
      <c r="O12" s="100">
        <f t="shared" si="1"/>
        <v>0</v>
      </c>
      <c r="P12" s="99">
        <f t="shared" si="2"/>
        <v>0.04</v>
      </c>
      <c r="Q12" s="100">
        <f t="shared" si="1"/>
        <v>0</v>
      </c>
    </row>
    <row r="13" spans="1:17" x14ac:dyDescent="0.25">
      <c r="A13" s="9" t="s">
        <v>22</v>
      </c>
      <c r="B13" s="10">
        <v>180000.01</v>
      </c>
      <c r="C13" s="11" t="s">
        <v>23</v>
      </c>
      <c r="D13" s="10">
        <v>360000</v>
      </c>
      <c r="E13" s="20">
        <v>0.112</v>
      </c>
      <c r="F13" s="13">
        <v>9360</v>
      </c>
      <c r="I13" s="96" t="s">
        <v>12</v>
      </c>
      <c r="K13" s="101">
        <f>(SUM(Planilha1!$D$11:D21)/11)*12</f>
        <v>0</v>
      </c>
      <c r="L13" s="101"/>
      <c r="M13" s="111" t="e">
        <f>((Planilha1!$B$3+Planilha1!$D$3)*12)/Planilha2!K13</f>
        <v>#DIV/0!</v>
      </c>
      <c r="N13" s="99" t="e">
        <f t="shared" si="0"/>
        <v>#DIV/0!</v>
      </c>
      <c r="O13" s="100">
        <f t="shared" si="1"/>
        <v>0</v>
      </c>
      <c r="P13" s="99">
        <f t="shared" si="2"/>
        <v>0.04</v>
      </c>
      <c r="Q13" s="100">
        <f t="shared" si="1"/>
        <v>0</v>
      </c>
    </row>
    <row r="14" spans="1:17" x14ac:dyDescent="0.25">
      <c r="A14" s="9" t="s">
        <v>22</v>
      </c>
      <c r="B14" s="10">
        <v>360000.01</v>
      </c>
      <c r="C14" s="11" t="s">
        <v>23</v>
      </c>
      <c r="D14" s="10">
        <v>720000</v>
      </c>
      <c r="E14" s="20">
        <v>0.13500000000000001</v>
      </c>
      <c r="F14" s="13">
        <v>17640</v>
      </c>
      <c r="I14" s="96" t="s">
        <v>13</v>
      </c>
      <c r="K14" s="101">
        <f>(SUM(Planilha1!$D$11:D22))</f>
        <v>0</v>
      </c>
      <c r="L14" s="101"/>
      <c r="M14" s="111" t="e">
        <f>((Planilha1!$B$3+Planilha1!$D$3)*12)/Planilha2!K14</f>
        <v>#DIV/0!</v>
      </c>
      <c r="N14" s="99" t="e">
        <f t="shared" si="0"/>
        <v>#DIV/0!</v>
      </c>
      <c r="O14" s="100">
        <f t="shared" si="1"/>
        <v>0</v>
      </c>
      <c r="P14" s="99">
        <f t="shared" si="2"/>
        <v>0.04</v>
      </c>
      <c r="Q14" s="100">
        <f t="shared" si="1"/>
        <v>0</v>
      </c>
    </row>
    <row r="15" spans="1:17" x14ac:dyDescent="0.25">
      <c r="A15" s="9" t="s">
        <v>22</v>
      </c>
      <c r="B15" s="10">
        <v>720000.01</v>
      </c>
      <c r="C15" s="11" t="s">
        <v>23</v>
      </c>
      <c r="D15" s="10">
        <v>1800000</v>
      </c>
      <c r="E15" s="20">
        <v>0.16</v>
      </c>
      <c r="F15" s="13">
        <v>35640</v>
      </c>
    </row>
    <row r="16" spans="1:17" x14ac:dyDescent="0.25">
      <c r="A16" s="9" t="s">
        <v>22</v>
      </c>
      <c r="B16" s="10">
        <v>1800000.01</v>
      </c>
      <c r="C16" s="11" t="s">
        <v>23</v>
      </c>
      <c r="D16" s="10">
        <v>3600000</v>
      </c>
      <c r="E16" s="20">
        <v>0.21</v>
      </c>
      <c r="F16" s="13">
        <v>125640</v>
      </c>
    </row>
    <row r="17" spans="1:6" ht="15.75" thickBot="1" x14ac:dyDescent="0.3">
      <c r="A17" s="14" t="s">
        <v>22</v>
      </c>
      <c r="B17" s="15">
        <v>3600000.01</v>
      </c>
      <c r="C17" s="16" t="s">
        <v>23</v>
      </c>
      <c r="D17" s="15">
        <v>4800000</v>
      </c>
      <c r="E17" s="21">
        <v>0.33</v>
      </c>
      <c r="F17" s="18">
        <v>648000</v>
      </c>
    </row>
    <row r="18" spans="1:6" ht="15.75" thickBot="1" x14ac:dyDescent="0.3"/>
    <row r="19" spans="1:6" ht="15.75" thickBot="1" x14ac:dyDescent="0.3">
      <c r="A19" s="70" t="s">
        <v>19</v>
      </c>
      <c r="B19" s="71"/>
      <c r="C19" s="71"/>
      <c r="D19" s="72"/>
      <c r="E19" s="2" t="s">
        <v>20</v>
      </c>
      <c r="F19" s="3" t="s">
        <v>21</v>
      </c>
    </row>
    <row r="20" spans="1:6" x14ac:dyDescent="0.25">
      <c r="A20" s="4" t="s">
        <v>22</v>
      </c>
      <c r="B20" s="5">
        <v>0</v>
      </c>
      <c r="C20" s="6" t="s">
        <v>23</v>
      </c>
      <c r="D20" s="5">
        <v>180000</v>
      </c>
      <c r="E20" s="92">
        <v>0.155</v>
      </c>
      <c r="F20" s="8">
        <v>0</v>
      </c>
    </row>
    <row r="21" spans="1:6" x14ac:dyDescent="0.25">
      <c r="A21" s="9" t="s">
        <v>22</v>
      </c>
      <c r="B21" s="10">
        <v>180000.01</v>
      </c>
      <c r="C21" s="11" t="s">
        <v>23</v>
      </c>
      <c r="D21" s="10">
        <v>360000</v>
      </c>
      <c r="E21" s="93">
        <v>0.18</v>
      </c>
      <c r="F21" s="13">
        <v>4500</v>
      </c>
    </row>
    <row r="22" spans="1:6" x14ac:dyDescent="0.25">
      <c r="A22" s="9" t="s">
        <v>22</v>
      </c>
      <c r="B22" s="10">
        <v>360000.01</v>
      </c>
      <c r="C22" s="11" t="s">
        <v>23</v>
      </c>
      <c r="D22" s="10">
        <v>720000</v>
      </c>
      <c r="E22" s="93">
        <v>0.19500000000000001</v>
      </c>
      <c r="F22" s="13">
        <v>9900</v>
      </c>
    </row>
    <row r="23" spans="1:6" x14ac:dyDescent="0.25">
      <c r="A23" s="9" t="s">
        <v>22</v>
      </c>
      <c r="B23" s="10">
        <v>720000.01</v>
      </c>
      <c r="C23" s="11" t="s">
        <v>23</v>
      </c>
      <c r="D23" s="10">
        <v>1800000</v>
      </c>
      <c r="E23" s="93">
        <v>0.20499999999999999</v>
      </c>
      <c r="F23" s="13">
        <v>17100</v>
      </c>
    </row>
    <row r="24" spans="1:6" x14ac:dyDescent="0.25">
      <c r="A24" s="9" t="s">
        <v>22</v>
      </c>
      <c r="B24" s="10">
        <v>1800000.01</v>
      </c>
      <c r="C24" s="11" t="s">
        <v>23</v>
      </c>
      <c r="D24" s="10">
        <v>3600000</v>
      </c>
      <c r="E24" s="93">
        <v>0.23</v>
      </c>
      <c r="F24" s="13">
        <v>62100</v>
      </c>
    </row>
    <row r="25" spans="1:6" ht="15.75" thickBot="1" x14ac:dyDescent="0.3">
      <c r="A25" s="14" t="s">
        <v>22</v>
      </c>
      <c r="B25" s="15">
        <v>3600000.01</v>
      </c>
      <c r="C25" s="16" t="s">
        <v>23</v>
      </c>
      <c r="D25" s="15">
        <v>4800000</v>
      </c>
      <c r="E25" s="94">
        <v>0.30499999999999999</v>
      </c>
      <c r="F25" s="18">
        <v>540000</v>
      </c>
    </row>
  </sheetData>
  <sheetProtection algorithmName="SHA-512" hashValue="FZyvljJL5nEyw14/sKptkWFi6jtUQ1q5LQaq6Z517HqqE8jVuz35U7CMfw5trqoeoeLDPxzNHyiZbt/4E/2ZVw==" saltValue="oygwl3/DOWM/w8tcwdNrig==" spinCount="100000" sheet="1" objects="1" scenarios="1"/>
  <mergeCells count="17">
    <mergeCell ref="A19:D19"/>
    <mergeCell ref="A3:D3"/>
    <mergeCell ref="A11:D11"/>
    <mergeCell ref="I2:J2"/>
    <mergeCell ref="A1:F1"/>
    <mergeCell ref="K14:L14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P3:P14" formula="1"/>
    <ignoredError sqref="M3:N14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B348-2B09-4680-AFEC-920DBF628378}">
  <dimension ref="A1:R39"/>
  <sheetViews>
    <sheetView tabSelected="1" workbookViewId="0">
      <selection activeCell="J16" sqref="J16"/>
    </sheetView>
  </sheetViews>
  <sheetFormatPr defaultRowHeight="15" x14ac:dyDescent="0.25"/>
  <cols>
    <col min="1" max="13" width="18.7109375" style="23" customWidth="1"/>
    <col min="14" max="16384" width="9.140625" style="23"/>
  </cols>
  <sheetData>
    <row r="1" spans="1:18" ht="27" thickBot="1" x14ac:dyDescent="0.45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1"/>
      <c r="Q1" s="22"/>
      <c r="R1" s="22"/>
    </row>
    <row r="2" spans="1:18" ht="6" customHeight="1" thickBot="1" x14ac:dyDescent="0.3"/>
    <row r="3" spans="1:18" ht="15.75" thickBot="1" x14ac:dyDescent="0.3">
      <c r="A3" s="34" t="s">
        <v>14</v>
      </c>
      <c r="B3" s="69"/>
      <c r="C3" s="35" t="s">
        <v>36</v>
      </c>
      <c r="D3" s="36">
        <f>IF(B3&lt;=5645.8,B3*11%,5645.8*11%)</f>
        <v>0</v>
      </c>
      <c r="E3" s="107" t="s">
        <v>35</v>
      </c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9"/>
    </row>
    <row r="4" spans="1:18" s="49" customFormat="1" ht="19.5" thickBot="1" x14ac:dyDescent="0.35">
      <c r="A4" s="106" t="s">
        <v>46</v>
      </c>
      <c r="B4" s="112" t="s">
        <v>47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4"/>
    </row>
    <row r="5" spans="1:18" s="49" customFormat="1" ht="18.75" x14ac:dyDescent="0.3">
      <c r="A5" s="103" t="s">
        <v>48</v>
      </c>
      <c r="B5" s="105">
        <f>IFERROR((((B3+D3)*12)/($D11*12)),0)</f>
        <v>0</v>
      </c>
      <c r="C5" s="105">
        <f>IFERROR(((($B$3+$D$3)*12)/((($D12+$D11)/2)*12)),0)</f>
        <v>0</v>
      </c>
      <c r="D5" s="105">
        <f>IFERROR(((($B$3+$D$3)*12)/((($D12+$D11+D13)/3)*12)),0)</f>
        <v>0</v>
      </c>
      <c r="E5" s="105">
        <f>IFERROR(((($B$3+$D$3)*12)/((($D12+$D11+$D$13+$D$14)/4)*12)),0)</f>
        <v>0</v>
      </c>
      <c r="F5" s="105">
        <f>IFERROR(((($B$3+$D$3)*12)/((($D12+$D11+$D$13+$D$14+$D$15)/5)*12)),0)</f>
        <v>0</v>
      </c>
      <c r="G5" s="105">
        <f>IFERROR(((($B$3+$D$3)*12)/((($D12+$D11+$D$13+$D$14+$D$15+$D$16)/6)*12)),0)</f>
        <v>0</v>
      </c>
      <c r="H5" s="105">
        <f>IFERROR(((($B$3+$D$3)*12)/((($D12+$D11+$D$13+$D$14+$D$15+$D$16+$D$17)/7)*12)),0)</f>
        <v>0</v>
      </c>
      <c r="I5" s="105">
        <f>IFERROR(((($B$3+$D$3)*12)/((($D12+$D11+$D$13+$D$14+$D$15+$D$16+$D$17+$D$18)/8)*12)),0)</f>
        <v>0</v>
      </c>
      <c r="J5" s="105">
        <f>IFERROR(((($B$3+$D$3)*12)/((($D12+$D11+$D$13+$D$14+$D$15+$D$16+$D$17+$D$18+D19)/9)*12)),0)</f>
        <v>0</v>
      </c>
      <c r="K5" s="105">
        <f>IFERROR(((($B$3+$D$3)*12)/((SUM($D12:$D$20)/10)*12)),0)</f>
        <v>0</v>
      </c>
      <c r="L5" s="105">
        <f>IFERROR(((($B$3+$D$3)*12)/((SUM($D12:$D$21)/11)*12)),0)</f>
        <v>0</v>
      </c>
      <c r="M5" s="105">
        <f>IFERROR((($B$3+$D$3)*12)/SUM($D12:$D$22),0)</f>
        <v>0</v>
      </c>
      <c r="N5" s="41"/>
      <c r="O5" s="41"/>
      <c r="P5" s="41"/>
    </row>
    <row r="6" spans="1:18" s="49" customFormat="1" ht="3" customHeight="1" thickBot="1" x14ac:dyDescent="0.3">
      <c r="A6" s="46"/>
      <c r="B6" s="50"/>
      <c r="C6" s="42"/>
      <c r="D6" s="47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</row>
    <row r="7" spans="1:18" s="49" customFormat="1" ht="15.75" thickBot="1" x14ac:dyDescent="0.3">
      <c r="A7" s="35" t="s">
        <v>38</v>
      </c>
      <c r="B7" s="68">
        <v>300</v>
      </c>
      <c r="C7" s="81" t="s">
        <v>39</v>
      </c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3"/>
    </row>
    <row r="8" spans="1:18" s="49" customFormat="1" ht="3" customHeight="1" thickBot="1" x14ac:dyDescent="0.3">
      <c r="A8" s="42"/>
      <c r="B8" s="51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</row>
    <row r="9" spans="1:18" ht="15.75" thickBot="1" x14ac:dyDescent="0.3">
      <c r="A9" s="84" t="s">
        <v>40</v>
      </c>
      <c r="B9" s="85"/>
      <c r="C9" s="85"/>
      <c r="D9" s="86"/>
      <c r="F9" s="84" t="s">
        <v>41</v>
      </c>
      <c r="G9" s="85"/>
      <c r="H9" s="85"/>
      <c r="I9" s="85"/>
      <c r="J9" s="86"/>
    </row>
    <row r="10" spans="1:18" ht="15.75" thickBot="1" x14ac:dyDescent="0.3">
      <c r="A10" s="34" t="s">
        <v>1</v>
      </c>
      <c r="B10" s="34" t="s">
        <v>15</v>
      </c>
      <c r="C10" s="35" t="s">
        <v>16</v>
      </c>
      <c r="D10" s="58" t="s">
        <v>17</v>
      </c>
      <c r="F10" s="35" t="s">
        <v>42</v>
      </c>
      <c r="G10" s="35" t="s">
        <v>43</v>
      </c>
      <c r="H10" s="35" t="s">
        <v>24</v>
      </c>
      <c r="I10" s="35" t="s">
        <v>44</v>
      </c>
      <c r="J10" s="58" t="s">
        <v>17</v>
      </c>
    </row>
    <row r="11" spans="1:18" x14ac:dyDescent="0.25">
      <c r="A11" s="53" t="s">
        <v>2</v>
      </c>
      <c r="B11" s="33"/>
      <c r="C11" s="32"/>
      <c r="D11" s="48">
        <f>B11+C11</f>
        <v>0</v>
      </c>
      <c r="F11" s="53" t="s">
        <v>2</v>
      </c>
      <c r="G11" s="104">
        <f>H28</f>
        <v>0</v>
      </c>
      <c r="H11" s="56">
        <f>$D$3</f>
        <v>0</v>
      </c>
      <c r="I11" s="57">
        <f>$B$7</f>
        <v>300</v>
      </c>
      <c r="J11" s="65">
        <f>I11+H11+G11</f>
        <v>300</v>
      </c>
    </row>
    <row r="12" spans="1:18" x14ac:dyDescent="0.25">
      <c r="A12" s="54" t="s">
        <v>3</v>
      </c>
      <c r="B12" s="33"/>
      <c r="C12" s="32"/>
      <c r="D12" s="59">
        <f t="shared" ref="D12:D23" si="0">B12+C12</f>
        <v>0</v>
      </c>
      <c r="F12" s="54" t="s">
        <v>3</v>
      </c>
      <c r="G12" s="104">
        <f t="shared" ref="G12:G22" si="1">H29</f>
        <v>0</v>
      </c>
      <c r="H12" s="56">
        <f t="shared" ref="H12:H22" si="2">$D$3</f>
        <v>0</v>
      </c>
      <c r="I12" s="57">
        <f t="shared" ref="I12:I22" si="3">$B$7</f>
        <v>300</v>
      </c>
      <c r="J12" s="66">
        <f t="shared" ref="J12:J22" si="4">I12+H12+G12</f>
        <v>300</v>
      </c>
    </row>
    <row r="13" spans="1:18" x14ac:dyDescent="0.25">
      <c r="A13" s="54" t="s">
        <v>4</v>
      </c>
      <c r="B13" s="33"/>
      <c r="C13" s="32"/>
      <c r="D13" s="59">
        <f t="shared" si="0"/>
        <v>0</v>
      </c>
      <c r="F13" s="54" t="s">
        <v>4</v>
      </c>
      <c r="G13" s="104">
        <f t="shared" si="1"/>
        <v>0</v>
      </c>
      <c r="H13" s="56">
        <f t="shared" si="2"/>
        <v>0</v>
      </c>
      <c r="I13" s="57">
        <f t="shared" si="3"/>
        <v>300</v>
      </c>
      <c r="J13" s="66">
        <f t="shared" si="4"/>
        <v>300</v>
      </c>
    </row>
    <row r="14" spans="1:18" x14ac:dyDescent="0.25">
      <c r="A14" s="54" t="s">
        <v>5</v>
      </c>
      <c r="B14" s="33"/>
      <c r="C14" s="32"/>
      <c r="D14" s="59">
        <f t="shared" si="0"/>
        <v>0</v>
      </c>
      <c r="F14" s="54" t="s">
        <v>5</v>
      </c>
      <c r="G14" s="104">
        <f t="shared" si="1"/>
        <v>0</v>
      </c>
      <c r="H14" s="56">
        <f t="shared" si="2"/>
        <v>0</v>
      </c>
      <c r="I14" s="57">
        <f t="shared" si="3"/>
        <v>300</v>
      </c>
      <c r="J14" s="66">
        <f t="shared" si="4"/>
        <v>300</v>
      </c>
    </row>
    <row r="15" spans="1:18" x14ac:dyDescent="0.25">
      <c r="A15" s="54" t="s">
        <v>6</v>
      </c>
      <c r="B15" s="33"/>
      <c r="C15" s="32"/>
      <c r="D15" s="59">
        <f t="shared" si="0"/>
        <v>0</v>
      </c>
      <c r="F15" s="54" t="s">
        <v>6</v>
      </c>
      <c r="G15" s="104">
        <f t="shared" si="1"/>
        <v>0</v>
      </c>
      <c r="H15" s="56">
        <f t="shared" si="2"/>
        <v>0</v>
      </c>
      <c r="I15" s="57">
        <f t="shared" si="3"/>
        <v>300</v>
      </c>
      <c r="J15" s="66">
        <f t="shared" si="4"/>
        <v>300</v>
      </c>
    </row>
    <row r="16" spans="1:18" x14ac:dyDescent="0.25">
      <c r="A16" s="54" t="s">
        <v>7</v>
      </c>
      <c r="B16" s="33"/>
      <c r="C16" s="32"/>
      <c r="D16" s="59">
        <f t="shared" si="0"/>
        <v>0</v>
      </c>
      <c r="F16" s="54" t="s">
        <v>7</v>
      </c>
      <c r="G16" s="104">
        <f t="shared" si="1"/>
        <v>0</v>
      </c>
      <c r="H16" s="56">
        <f t="shared" si="2"/>
        <v>0</v>
      </c>
      <c r="I16" s="57">
        <f t="shared" si="3"/>
        <v>300</v>
      </c>
      <c r="J16" s="66">
        <f t="shared" si="4"/>
        <v>300</v>
      </c>
    </row>
    <row r="17" spans="1:11" x14ac:dyDescent="0.25">
      <c r="A17" s="54" t="s">
        <v>8</v>
      </c>
      <c r="B17" s="33"/>
      <c r="C17" s="32"/>
      <c r="D17" s="59">
        <f t="shared" si="0"/>
        <v>0</v>
      </c>
      <c r="F17" s="54" t="s">
        <v>8</v>
      </c>
      <c r="G17" s="104">
        <f t="shared" si="1"/>
        <v>0</v>
      </c>
      <c r="H17" s="56">
        <f t="shared" si="2"/>
        <v>0</v>
      </c>
      <c r="I17" s="57">
        <f t="shared" si="3"/>
        <v>300</v>
      </c>
      <c r="J17" s="66">
        <f t="shared" si="4"/>
        <v>300</v>
      </c>
    </row>
    <row r="18" spans="1:11" x14ac:dyDescent="0.25">
      <c r="A18" s="54" t="s">
        <v>9</v>
      </c>
      <c r="B18" s="33"/>
      <c r="C18" s="32"/>
      <c r="D18" s="59">
        <f t="shared" si="0"/>
        <v>0</v>
      </c>
      <c r="F18" s="54" t="s">
        <v>9</v>
      </c>
      <c r="G18" s="104">
        <f t="shared" si="1"/>
        <v>0</v>
      </c>
      <c r="H18" s="56">
        <f t="shared" si="2"/>
        <v>0</v>
      </c>
      <c r="I18" s="57">
        <f t="shared" si="3"/>
        <v>300</v>
      </c>
      <c r="J18" s="66">
        <f t="shared" si="4"/>
        <v>300</v>
      </c>
    </row>
    <row r="19" spans="1:11" x14ac:dyDescent="0.25">
      <c r="A19" s="54" t="s">
        <v>10</v>
      </c>
      <c r="B19" s="33"/>
      <c r="C19" s="32"/>
      <c r="D19" s="59">
        <f t="shared" si="0"/>
        <v>0</v>
      </c>
      <c r="F19" s="54" t="s">
        <v>10</v>
      </c>
      <c r="G19" s="104">
        <f t="shared" si="1"/>
        <v>0</v>
      </c>
      <c r="H19" s="56">
        <f t="shared" si="2"/>
        <v>0</v>
      </c>
      <c r="I19" s="57">
        <f t="shared" si="3"/>
        <v>300</v>
      </c>
      <c r="J19" s="66">
        <f t="shared" si="4"/>
        <v>300</v>
      </c>
    </row>
    <row r="20" spans="1:11" x14ac:dyDescent="0.25">
      <c r="A20" s="54" t="s">
        <v>11</v>
      </c>
      <c r="B20" s="33"/>
      <c r="C20" s="32"/>
      <c r="D20" s="59">
        <f t="shared" si="0"/>
        <v>0</v>
      </c>
      <c r="F20" s="54" t="s">
        <v>11</v>
      </c>
      <c r="G20" s="104">
        <f t="shared" si="1"/>
        <v>0</v>
      </c>
      <c r="H20" s="56">
        <f t="shared" si="2"/>
        <v>0</v>
      </c>
      <c r="I20" s="57">
        <f t="shared" si="3"/>
        <v>300</v>
      </c>
      <c r="J20" s="66">
        <f t="shared" si="4"/>
        <v>300</v>
      </c>
    </row>
    <row r="21" spans="1:11" x14ac:dyDescent="0.25">
      <c r="A21" s="54" t="s">
        <v>12</v>
      </c>
      <c r="B21" s="33"/>
      <c r="C21" s="32"/>
      <c r="D21" s="59">
        <f t="shared" si="0"/>
        <v>0</v>
      </c>
      <c r="F21" s="54" t="s">
        <v>12</v>
      </c>
      <c r="G21" s="104">
        <f t="shared" si="1"/>
        <v>0</v>
      </c>
      <c r="H21" s="56">
        <f t="shared" si="2"/>
        <v>0</v>
      </c>
      <c r="I21" s="57">
        <f t="shared" si="3"/>
        <v>300</v>
      </c>
      <c r="J21" s="66">
        <f t="shared" si="4"/>
        <v>300</v>
      </c>
    </row>
    <row r="22" spans="1:11" ht="15.75" thickBot="1" x14ac:dyDescent="0.3">
      <c r="A22" s="55" t="s">
        <v>13</v>
      </c>
      <c r="B22" s="33"/>
      <c r="C22" s="32"/>
      <c r="D22" s="59">
        <f t="shared" si="0"/>
        <v>0</v>
      </c>
      <c r="F22" s="55" t="s">
        <v>13</v>
      </c>
      <c r="G22" s="104">
        <f t="shared" si="1"/>
        <v>0</v>
      </c>
      <c r="H22" s="56">
        <f t="shared" si="2"/>
        <v>0</v>
      </c>
      <c r="I22" s="57">
        <f t="shared" si="3"/>
        <v>300</v>
      </c>
      <c r="J22" s="67">
        <f t="shared" si="4"/>
        <v>300</v>
      </c>
    </row>
    <row r="23" spans="1:11" ht="15.75" thickBot="1" x14ac:dyDescent="0.3">
      <c r="A23" s="60" t="s">
        <v>17</v>
      </c>
      <c r="B23" s="61">
        <f>SUM(B11:B22)</f>
        <v>0</v>
      </c>
      <c r="C23" s="62">
        <f>SUM(C11:C22)</f>
        <v>0</v>
      </c>
      <c r="D23" s="36">
        <f t="shared" si="0"/>
        <v>0</v>
      </c>
      <c r="F23" s="63" t="s">
        <v>17</v>
      </c>
      <c r="G23" s="64">
        <f>SUM(G11:G22)</f>
        <v>0</v>
      </c>
      <c r="H23" s="64">
        <f t="shared" ref="H23:J23" si="5">SUM(H11:H22)</f>
        <v>0</v>
      </c>
      <c r="I23" s="64">
        <f t="shared" si="5"/>
        <v>3600</v>
      </c>
      <c r="J23" s="64">
        <f t="shared" si="5"/>
        <v>3600</v>
      </c>
    </row>
    <row r="24" spans="1:11" ht="3" customHeight="1" thickBot="1" x14ac:dyDescent="0.3">
      <c r="F24" s="24"/>
      <c r="G24" s="24"/>
      <c r="H24" s="24"/>
      <c r="I24" s="25"/>
    </row>
    <row r="25" spans="1:11" ht="21.75" thickBot="1" x14ac:dyDescent="0.4">
      <c r="A25" s="76" t="s">
        <v>25</v>
      </c>
      <c r="B25" s="77"/>
      <c r="C25" s="77"/>
      <c r="D25" s="77"/>
      <c r="E25" s="77"/>
      <c r="F25" s="77"/>
      <c r="G25" s="77"/>
      <c r="H25" s="78"/>
      <c r="I25" s="25"/>
      <c r="J25" s="42"/>
      <c r="K25" s="47"/>
    </row>
    <row r="26" spans="1:11" ht="15.75" thickBot="1" x14ac:dyDescent="0.3">
      <c r="A26" s="87" t="s">
        <v>27</v>
      </c>
      <c r="B26" s="84" t="s">
        <v>15</v>
      </c>
      <c r="C26" s="85"/>
      <c r="D26" s="86"/>
      <c r="E26" s="84" t="s">
        <v>16</v>
      </c>
      <c r="F26" s="85"/>
      <c r="G26" s="86"/>
      <c r="H26" s="79" t="s">
        <v>37</v>
      </c>
    </row>
    <row r="27" spans="1:11" ht="15.75" thickBot="1" x14ac:dyDescent="0.3">
      <c r="A27" s="88"/>
      <c r="B27" s="35" t="s">
        <v>26</v>
      </c>
      <c r="C27" s="35" t="s">
        <v>33</v>
      </c>
      <c r="D27" s="58" t="s">
        <v>34</v>
      </c>
      <c r="E27" s="35" t="s">
        <v>26</v>
      </c>
      <c r="F27" s="35" t="s">
        <v>33</v>
      </c>
      <c r="G27" s="58" t="s">
        <v>34</v>
      </c>
      <c r="H27" s="80"/>
    </row>
    <row r="28" spans="1:11" x14ac:dyDescent="0.25">
      <c r="A28" s="26" t="s">
        <v>2</v>
      </c>
      <c r="B28" s="27">
        <f>IFERROR((Planilha2!K3*Planilha2!N3-Planilha2!O3)/Planilha2!K3,)</f>
        <v>0</v>
      </c>
      <c r="C28" s="28">
        <f>B11</f>
        <v>0</v>
      </c>
      <c r="D28" s="37">
        <f>C28*B28</f>
        <v>0</v>
      </c>
      <c r="E28" s="27">
        <f>IFERROR((Planilha2!K3*Planilha2!P3-Planilha2!Q3)/Planilha2!K3,0)</f>
        <v>0</v>
      </c>
      <c r="F28" s="28">
        <f>C11</f>
        <v>0</v>
      </c>
      <c r="G28" s="43">
        <f>F28*E28</f>
        <v>0</v>
      </c>
      <c r="H28" s="39">
        <f>G28+D28</f>
        <v>0</v>
      </c>
    </row>
    <row r="29" spans="1:11" x14ac:dyDescent="0.25">
      <c r="A29" s="26" t="s">
        <v>3</v>
      </c>
      <c r="B29" s="27">
        <f>IFERROR((Planilha2!K4*Planilha2!N4-Planilha2!O4)/Planilha2!K4,0)</f>
        <v>0</v>
      </c>
      <c r="C29" s="28">
        <f t="shared" ref="C29:C39" si="6">B12</f>
        <v>0</v>
      </c>
      <c r="D29" s="37">
        <f t="shared" ref="D29:D39" si="7">C29*B29</f>
        <v>0</v>
      </c>
      <c r="E29" s="27">
        <f>IFERROR((Planilha2!K4*Planilha2!P4-Planilha2!Q4)/Planilha2!K4,0)</f>
        <v>0</v>
      </c>
      <c r="F29" s="28">
        <f t="shared" ref="F29:F39" si="8">C12</f>
        <v>0</v>
      </c>
      <c r="G29" s="44">
        <f t="shared" ref="G29:G39" si="9">F29*E29</f>
        <v>0</v>
      </c>
      <c r="H29" s="39">
        <f t="shared" ref="H29:H39" si="10">G29+D29</f>
        <v>0</v>
      </c>
    </row>
    <row r="30" spans="1:11" x14ac:dyDescent="0.25">
      <c r="A30" s="26" t="s">
        <v>4</v>
      </c>
      <c r="B30" s="27">
        <f>IFERROR((Planilha2!K5*Planilha2!N5-Planilha2!O5)/Planilha2!K5,0)</f>
        <v>0</v>
      </c>
      <c r="C30" s="28">
        <f t="shared" si="6"/>
        <v>0</v>
      </c>
      <c r="D30" s="37">
        <f t="shared" si="7"/>
        <v>0</v>
      </c>
      <c r="E30" s="27">
        <f>IFERROR((Planilha2!K5*Planilha2!P5-Planilha2!Q5)/Planilha2!K5,0)</f>
        <v>0</v>
      </c>
      <c r="F30" s="28">
        <f t="shared" si="8"/>
        <v>0</v>
      </c>
      <c r="G30" s="44">
        <f t="shared" si="9"/>
        <v>0</v>
      </c>
      <c r="H30" s="39">
        <f t="shared" si="10"/>
        <v>0</v>
      </c>
    </row>
    <row r="31" spans="1:11" x14ac:dyDescent="0.25">
      <c r="A31" s="26" t="s">
        <v>5</v>
      </c>
      <c r="B31" s="27">
        <f>IFERROR((Planilha2!K6*Planilha2!N6-Planilha2!O6)/Planilha2!K6,0)</f>
        <v>0</v>
      </c>
      <c r="C31" s="28">
        <f t="shared" si="6"/>
        <v>0</v>
      </c>
      <c r="D31" s="37">
        <f t="shared" si="7"/>
        <v>0</v>
      </c>
      <c r="E31" s="27">
        <f>IFERROR((Planilha2!K6*Planilha2!P6-Planilha2!Q6)/Planilha2!K6,0)</f>
        <v>0</v>
      </c>
      <c r="F31" s="28">
        <f t="shared" si="8"/>
        <v>0</v>
      </c>
      <c r="G31" s="44">
        <f t="shared" si="9"/>
        <v>0</v>
      </c>
      <c r="H31" s="39">
        <f t="shared" si="10"/>
        <v>0</v>
      </c>
    </row>
    <row r="32" spans="1:11" x14ac:dyDescent="0.25">
      <c r="A32" s="26" t="s">
        <v>6</v>
      </c>
      <c r="B32" s="27">
        <f>IFERROR((Planilha2!K7*Planilha2!N7-Planilha2!O7)/Planilha2!K7,0)</f>
        <v>0</v>
      </c>
      <c r="C32" s="28">
        <f t="shared" si="6"/>
        <v>0</v>
      </c>
      <c r="D32" s="37">
        <f t="shared" si="7"/>
        <v>0</v>
      </c>
      <c r="E32" s="27">
        <f>IFERROR((Planilha2!K7*Planilha2!P7-Planilha2!Q7)/Planilha2!K7,0)</f>
        <v>0</v>
      </c>
      <c r="F32" s="28">
        <f t="shared" si="8"/>
        <v>0</v>
      </c>
      <c r="G32" s="44">
        <f t="shared" si="9"/>
        <v>0</v>
      </c>
      <c r="H32" s="39">
        <f t="shared" si="10"/>
        <v>0</v>
      </c>
    </row>
    <row r="33" spans="1:8" x14ac:dyDescent="0.25">
      <c r="A33" s="26" t="s">
        <v>7</v>
      </c>
      <c r="B33" s="27">
        <f>IFERROR((Planilha2!K8*Planilha2!N8-Planilha2!O8)/Planilha2!K8,0)</f>
        <v>0</v>
      </c>
      <c r="C33" s="28">
        <f t="shared" si="6"/>
        <v>0</v>
      </c>
      <c r="D33" s="37">
        <f t="shared" si="7"/>
        <v>0</v>
      </c>
      <c r="E33" s="27">
        <f>IFERROR((Planilha2!K8*Planilha2!P8-Planilha2!Q8)/Planilha2!K8,0)</f>
        <v>0</v>
      </c>
      <c r="F33" s="28">
        <f t="shared" si="8"/>
        <v>0</v>
      </c>
      <c r="G33" s="44">
        <f t="shared" si="9"/>
        <v>0</v>
      </c>
      <c r="H33" s="39">
        <f t="shared" si="10"/>
        <v>0</v>
      </c>
    </row>
    <row r="34" spans="1:8" x14ac:dyDescent="0.25">
      <c r="A34" s="26" t="s">
        <v>8</v>
      </c>
      <c r="B34" s="27">
        <f>IFERROR((Planilha2!K9*Planilha2!N9-Planilha2!O9)/Planilha2!K9,0)</f>
        <v>0</v>
      </c>
      <c r="C34" s="28">
        <f t="shared" si="6"/>
        <v>0</v>
      </c>
      <c r="D34" s="37">
        <f t="shared" si="7"/>
        <v>0</v>
      </c>
      <c r="E34" s="27">
        <f>IFERROR((Planilha2!K9*Planilha2!P9-Planilha2!Q9)/Planilha2!K9,0)</f>
        <v>0</v>
      </c>
      <c r="F34" s="28">
        <f t="shared" si="8"/>
        <v>0</v>
      </c>
      <c r="G34" s="44">
        <f t="shared" si="9"/>
        <v>0</v>
      </c>
      <c r="H34" s="39">
        <f t="shared" si="10"/>
        <v>0</v>
      </c>
    </row>
    <row r="35" spans="1:8" x14ac:dyDescent="0.25">
      <c r="A35" s="26" t="s">
        <v>9</v>
      </c>
      <c r="B35" s="27">
        <f>IFERROR((Planilha2!K10*Planilha2!N10-Planilha2!O10)/Planilha2!K10,0)</f>
        <v>0</v>
      </c>
      <c r="C35" s="28">
        <f t="shared" si="6"/>
        <v>0</v>
      </c>
      <c r="D35" s="37">
        <f t="shared" si="7"/>
        <v>0</v>
      </c>
      <c r="E35" s="27">
        <f>IFERROR((Planilha2!K10*Planilha2!P10-Planilha2!Q10)/Planilha2!K10,0)</f>
        <v>0</v>
      </c>
      <c r="F35" s="28">
        <f t="shared" si="8"/>
        <v>0</v>
      </c>
      <c r="G35" s="44">
        <f t="shared" si="9"/>
        <v>0</v>
      </c>
      <c r="H35" s="39">
        <f t="shared" si="10"/>
        <v>0</v>
      </c>
    </row>
    <row r="36" spans="1:8" x14ac:dyDescent="0.25">
      <c r="A36" s="26" t="s">
        <v>10</v>
      </c>
      <c r="B36" s="27">
        <f>IFERROR((Planilha2!K11*Planilha2!N11-Planilha2!O11)/Planilha2!K11,0)</f>
        <v>0</v>
      </c>
      <c r="C36" s="28">
        <f t="shared" si="6"/>
        <v>0</v>
      </c>
      <c r="D36" s="37">
        <f t="shared" si="7"/>
        <v>0</v>
      </c>
      <c r="E36" s="27">
        <f>IFERROR((Planilha2!K11*Planilha2!P11-Planilha2!Q11)/Planilha2!K11,0)</f>
        <v>0</v>
      </c>
      <c r="F36" s="28">
        <f t="shared" si="8"/>
        <v>0</v>
      </c>
      <c r="G36" s="44">
        <f t="shared" si="9"/>
        <v>0</v>
      </c>
      <c r="H36" s="39">
        <f t="shared" si="10"/>
        <v>0</v>
      </c>
    </row>
    <row r="37" spans="1:8" x14ac:dyDescent="0.25">
      <c r="A37" s="26" t="s">
        <v>11</v>
      </c>
      <c r="B37" s="27">
        <f>IFERROR((Planilha2!K12*Planilha2!N12-Planilha2!O12)/Planilha2!K12,0)</f>
        <v>0</v>
      </c>
      <c r="C37" s="28">
        <f t="shared" si="6"/>
        <v>0</v>
      </c>
      <c r="D37" s="37">
        <f t="shared" si="7"/>
        <v>0</v>
      </c>
      <c r="E37" s="27">
        <f>IFERROR((Planilha2!K12*Planilha2!P12-Planilha2!Q12)/Planilha2!K12,0)</f>
        <v>0</v>
      </c>
      <c r="F37" s="28">
        <f t="shared" si="8"/>
        <v>0</v>
      </c>
      <c r="G37" s="44">
        <f t="shared" si="9"/>
        <v>0</v>
      </c>
      <c r="H37" s="39">
        <f t="shared" si="10"/>
        <v>0</v>
      </c>
    </row>
    <row r="38" spans="1:8" x14ac:dyDescent="0.25">
      <c r="A38" s="26" t="s">
        <v>12</v>
      </c>
      <c r="B38" s="27">
        <f>IFERROR((Planilha2!K13*Planilha2!N13-Planilha2!O13)/Planilha2!K13,0)</f>
        <v>0</v>
      </c>
      <c r="C38" s="28">
        <f t="shared" si="6"/>
        <v>0</v>
      </c>
      <c r="D38" s="37">
        <f t="shared" si="7"/>
        <v>0</v>
      </c>
      <c r="E38" s="27">
        <f>IFERROR((Planilha2!K13*Planilha2!P13-Planilha2!Q13)/Planilha2!K13,0)</f>
        <v>0</v>
      </c>
      <c r="F38" s="28">
        <f t="shared" si="8"/>
        <v>0</v>
      </c>
      <c r="G38" s="44">
        <f t="shared" si="9"/>
        <v>0</v>
      </c>
      <c r="H38" s="39">
        <f t="shared" si="10"/>
        <v>0</v>
      </c>
    </row>
    <row r="39" spans="1:8" ht="15.75" thickBot="1" x14ac:dyDescent="0.3">
      <c r="A39" s="29" t="s">
        <v>13</v>
      </c>
      <c r="B39" s="30">
        <f>IFERROR((Planilha2!K14*Planilha2!N14-Planilha2!O14)/Planilha2!K14,0)</f>
        <v>0</v>
      </c>
      <c r="C39" s="31">
        <f t="shared" si="6"/>
        <v>0</v>
      </c>
      <c r="D39" s="38">
        <f t="shared" si="7"/>
        <v>0</v>
      </c>
      <c r="E39" s="30">
        <f>IFERROR((Planilha2!K14*Planilha2!P14-Planilha2!Q14)/Planilha2!K14,0)</f>
        <v>0</v>
      </c>
      <c r="F39" s="31">
        <f t="shared" si="8"/>
        <v>0</v>
      </c>
      <c r="G39" s="45">
        <f t="shared" si="9"/>
        <v>0</v>
      </c>
      <c r="H39" s="40">
        <f t="shared" si="10"/>
        <v>0</v>
      </c>
    </row>
  </sheetData>
  <sheetProtection algorithmName="SHA-512" hashValue="mAEAn1teLSSgRk1PSqtWElGmmuRNTotVVNeAcKQwB2Snua+jtKwZfmwyDgYOvhU3PEsnEqVlvFm3ZU2/UUFIjg==" saltValue="jaDqDTffpm2za+16TOtF1A==" spinCount="100000" sheet="1" objects="1" scenarios="1"/>
  <mergeCells count="11">
    <mergeCell ref="B4:P4"/>
    <mergeCell ref="A1:P1"/>
    <mergeCell ref="A25:H25"/>
    <mergeCell ref="H26:H27"/>
    <mergeCell ref="E3:P3"/>
    <mergeCell ref="C7:P7"/>
    <mergeCell ref="A9:D9"/>
    <mergeCell ref="F9:J9"/>
    <mergeCell ref="A26:A27"/>
    <mergeCell ref="B26:D26"/>
    <mergeCell ref="E26:G26"/>
  </mergeCells>
  <conditionalFormatting sqref="B5">
    <cfRule type="expression" dxfId="7" priority="5">
      <formula>B$5&lt;28%</formula>
    </cfRule>
    <cfRule type="expression" dxfId="6" priority="6">
      <formula>B$5&gt;=28%</formula>
    </cfRule>
  </conditionalFormatting>
  <conditionalFormatting sqref="C5:M5">
    <cfRule type="expression" dxfId="3" priority="1">
      <formula>C$5&lt;28%</formula>
    </cfRule>
    <cfRule type="expression" dxfId="2" priority="2">
      <formula>C$5&gt;=28%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ProCont Soluções</dc:creator>
  <cp:lastModifiedBy>ProCont Soluções</cp:lastModifiedBy>
  <dcterms:created xsi:type="dcterms:W3CDTF">2018-07-25T11:01:28Z</dcterms:created>
  <dcterms:modified xsi:type="dcterms:W3CDTF">2018-07-25T17:21:14Z</dcterms:modified>
</cp:coreProperties>
</file>