
<file path=[Content_Types].xml><?xml version="1.0" encoding="utf-8"?>
<Types xmlns="http://schemas.openxmlformats.org/package/2006/content-types"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worksheet+xml" PartName="/xl/worksheets/sheet2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ARGA LINEAR" sheetId="1" r:id="rId4"/>
    <sheet state="visible" name="DADOS" sheetId="2" r:id="rId5"/>
  </sheets>
  <definedNames>
    <definedName name="MATRIZ">DADOS!$B$2:$F$10</definedName>
    <definedName name="PARA">DADOS!$B$1:$F$1</definedName>
    <definedName name="DE">DADOS!$A$2:$A$10</definedName>
  </definedNames>
  <calcPr/>
</workbook>
</file>

<file path=xl/sharedStrings.xml><?xml version="1.0" encoding="utf-8"?>
<sst xmlns="http://schemas.openxmlformats.org/spreadsheetml/2006/main" count="44" uniqueCount="35">
  <si>
    <t>CARGA LINEAR DE ALVENARIA</t>
  </si>
  <si>
    <t>Bloco</t>
  </si>
  <si>
    <t>peso</t>
  </si>
  <si>
    <t>largura</t>
  </si>
  <si>
    <t>altura</t>
  </si>
  <si>
    <t>comprimento</t>
  </si>
  <si>
    <t>qtd/m²</t>
  </si>
  <si>
    <t>PESO ARGAMASSA(kg/m³)</t>
  </si>
  <si>
    <t>9x19x19</t>
  </si>
  <si>
    <t>ESPESSURA MASSA DE ASSENTAMENTO (cm)</t>
  </si>
  <si>
    <t>ESPESSURA REVESTIMENTO INTERNO (cm)</t>
  </si>
  <si>
    <t>ESPESSURA REVESTIMENTO EXTERNO (cm)</t>
  </si>
  <si>
    <t>REVESTIMENTO CERÂMICO INTERNO? (SIM OU NÃO)</t>
  </si>
  <si>
    <t>NÃO</t>
  </si>
  <si>
    <t>REVESTIMENTO CERÂMICO EXTERNO? (SIM OU NÃO)</t>
  </si>
  <si>
    <t>CARGA LINEAR</t>
  </si>
  <si>
    <t>BLOCO ASSENTADO</t>
  </si>
  <si>
    <t>REVESTIMENTO INTERNO</t>
  </si>
  <si>
    <t>REVESTIMENTO EXTERNO</t>
  </si>
  <si>
    <t>REVESTIMENTO CERÂMICO INTERNO</t>
  </si>
  <si>
    <t>ACESSE O CANAL</t>
  </si>
  <si>
    <t>REVESTIMENTO CERÂMICO EXTERNO</t>
  </si>
  <si>
    <t>TOTAL</t>
  </si>
  <si>
    <t>kg/m²</t>
  </si>
  <si>
    <t>ACESSE TAMBEM O NOSSO SITE DE CURSOS ONLINE!</t>
  </si>
  <si>
    <t>CLIQUE AQUI!</t>
  </si>
  <si>
    <t>9x19x29</t>
  </si>
  <si>
    <t>9x19x39</t>
  </si>
  <si>
    <t>11,5x19x29</t>
  </si>
  <si>
    <t>11,5x19x39</t>
  </si>
  <si>
    <t>14x19x29</t>
  </si>
  <si>
    <t>14x19x39</t>
  </si>
  <si>
    <t>19x19x29</t>
  </si>
  <si>
    <t>19x19x39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</si>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</sst>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00B05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17"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0" numFmtId="0" xfId="0" applyBorder="1" applyFont="1"/>
    <xf borderId="5" fillId="0" fontId="0" numFmtId="0" xfId="0" applyBorder="1" applyFont="1"/>
    <xf borderId="6" fillId="0" fontId="0" numFmtId="0" xfId="0" applyBorder="1" applyFont="1"/>
    <xf borderId="7" fillId="0" fontId="0" numFmtId="0" xfId="0" applyBorder="1" applyFont="1"/>
    <xf borderId="8" fillId="2" fontId="1" numFmtId="0" xfId="0" applyBorder="1" applyFill="1" applyFont="1"/>
    <xf borderId="0" fillId="0" fontId="0" numFmtId="0" xfId="0" applyFont="1"/>
    <xf borderId="9" fillId="2" fontId="1" numFmtId="0" xfId="0" applyAlignment="1" applyBorder="1" applyFont="1">
      <alignment horizontal="center"/>
    </xf>
    <xf borderId="10" fillId="0" fontId="2" numFmtId="0" xfId="0" applyBorder="1" applyFont="1"/>
    <xf borderId="11" fillId="0" fontId="0" numFmtId="0" xfId="0" applyBorder="1" applyFont="1"/>
    <xf borderId="8" fillId="0" fontId="0" numFmtId="0" xfId="0" applyAlignment="1" applyBorder="1" applyFont="1">
      <alignment/>
    </xf>
    <xf borderId="8" fillId="0" fontId="0" numFmtId="0" xfId="0" applyBorder="1" applyFont="1"/>
    <xf borderId="9" fillId="0" fontId="0" numFmtId="0" xfId="0" applyAlignment="1" applyBorder="1" applyFont="1">
      <alignment horizontal="center"/>
    </xf>
    <xf borderId="9" fillId="0" fontId="0" numFmtId="0" xfId="0" applyAlignment="1" applyBorder="1" applyFont="1">
      <alignment horizontal="left"/>
    </xf>
    <xf borderId="12" fillId="0" fontId="2" numFmtId="0" xfId="0" applyBorder="1" applyFont="1"/>
    <xf borderId="8" fillId="0" fontId="0" numFmtId="0" xfId="0" applyAlignment="1" applyBorder="1" applyFont="1">
      <alignment horizontal="center"/>
    </xf>
    <xf borderId="8" fillId="0" fontId="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3" fillId="0" fontId="0" numFmtId="164" xfId="0" applyAlignment="1" applyBorder="1" applyFont="1" applyNumberFormat="1">
      <alignment horizontal="right"/>
    </xf>
    <xf borderId="13" fillId="0" fontId="2" numFmtId="0" xfId="0" applyBorder="1" applyFont="1"/>
    <xf borderId="9" fillId="0" fontId="1" numFmtId="164" xfId="0" applyAlignment="1" applyBorder="1" applyFont="1" applyNumberFormat="1">
      <alignment horizontal="center"/>
    </xf>
    <xf borderId="0" fillId="0" fontId="1" numFmtId="0" xfId="0" applyFont="1"/>
    <xf borderId="14" fillId="0" fontId="0" numFmtId="0" xfId="0" applyBorder="1" applyFont="1"/>
    <xf borderId="15" fillId="0" fontId="0" numFmtId="0" xfId="0" applyBorder="1" applyFont="1"/>
    <xf borderId="16" fillId="0" fontId="0" numFmtId="0" xfId="0" applyBorder="1" applyFont="1"/>
    <xf borderId="14" fillId="0" fontId="3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_rels/worksheetdrawing1.xml.rels><?xml version="1.0" encoding="UTF-8" standalone="yes"?>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worksheet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8</xdr:col>
      <xdr:colOff>133350</xdr:colOff>
      <xdr:row>7</xdr:row>
      <xdr:rowOff>161925</xdr:rowOff>
    </xdr:from>
    <xdr:to>
      <xdr:col>10</xdr:col>
      <xdr:colOff>876300</xdr:colOff>
      <xdr:row>16</xdr:row>
      <xdr:rowOff>47625</xdr:rowOff>
    </xdr:to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543050" cy="1600200"/>
        </a:xfrm>
        <a:prstGeom prst="rect">
          <a:avLst/>
        </a:prstGeom>
        <a:noFill/>
      </xdr:spPr>
    </xdr:pic>
    <xdr:clientData fLocksWithSheet="0"/>
  </xdr:twoCellAnchor>
  <xdr:twoCellAnchor>
    <xdr:from>
      <xdr:col>12</xdr:col>
      <xdr:colOff>190500</xdr:colOff>
      <xdr:row>1</xdr:row>
      <xdr:rowOff>0</xdr:rowOff>
    </xdr:from>
    <xdr:to>
      <xdr:col>18</xdr:col>
      <xdr:colOff>342900</xdr:colOff>
      <xdr:row>19</xdr:row>
      <xdr:rowOff>133350</xdr:rowOff>
    </xdr:to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3638550" cy="3571875"/>
        </a:xfrm>
        <a:prstGeom prst="rect">
          <a:avLst/>
        </a:prstGeom>
        <a:noFill/>
      </xdr:spPr>
    </xdr:pic>
    <xdr:clientData fLocksWithSheet="0"/>
  </xdr:two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10</xdr:row>
      <xdr:rowOff>95250</xdr:rowOff>
    </xdr:from>
    <xdr:to>
      <xdr:col>6</xdr:col>
      <xdr:colOff>9525</xdr:colOff>
      <xdr:row>43</xdr:row>
      <xdr:rowOff>57150</xdr:rowOff>
    </xdr:to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5210175" cy="62484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2.13"/>
    <col customWidth="1" min="3" max="3" width="10.38"/>
    <col customWidth="1" min="4" max="6" width="7.63"/>
    <col customWidth="1" min="7" max="7" width="11.5"/>
    <col customWidth="1" min="8" max="8" width="8.88"/>
    <col customWidth="1" min="9" max="9" width="2.88"/>
    <col customWidth="1" min="10" max="10" width="7.63"/>
    <col customWidth="1" min="11" max="11" width="13.0"/>
    <col customWidth="1" min="12" max="12" width="2.63"/>
    <col customWidth="1" min="13" max="19" width="7.63"/>
  </cols>
  <sheetData>
    <row r="1" ht="12.0" customHeight="1"/>
    <row r="2" ht="15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B3" s="4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B4" s="7"/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9"/>
      <c r="J4" s="10" t="s">
        <v>7</v>
      </c>
      <c r="K4" s="11"/>
      <c r="L4" s="12"/>
    </row>
    <row r="5">
      <c r="B5" s="7"/>
      <c r="C5" s="13" t="s">
        <v>8</v>
      </c>
      <c r="D5" s="14" t="str">
        <f t="array" ref="D5">INDEX(MATRIZ,MATCH(C5,DE,0),MATCH(D4,PARA,0))</f>
        <v>2.3</v>
      </c>
      <c r="E5" s="14" t="str">
        <f t="array" ref="E5">INDEX(MATRIZ,MATCH(C5,DE,0),MATCH(E4,PARA,0))</f>
        <v>0.09</v>
      </c>
      <c r="F5" s="14" t="str">
        <f t="array" ref="F5">INDEX(MATRIZ,MATCH(C5,DE,0),MATCH(F4,PARA,0))</f>
        <v>0.19</v>
      </c>
      <c r="G5" s="14" t="str">
        <f t="array" ref="G5">INDEX(MATRIZ,MATCH(C5,DE,0),MATCH(G4,PARA,0))</f>
        <v>0.19</v>
      </c>
      <c r="H5" s="14" t="str">
        <f t="array" ref="H5">INDEX(MATRIZ,MATCH(C5,DE,0),MATCH(H4,PARA,0))</f>
        <v>25</v>
      </c>
      <c r="I5" s="9"/>
      <c r="J5" s="15">
        <v>1900.0</v>
      </c>
      <c r="K5" s="11"/>
      <c r="L5" s="12"/>
    </row>
    <row r="6">
      <c r="B6" s="7"/>
      <c r="C6" s="9"/>
      <c r="D6" s="9"/>
      <c r="E6" s="9"/>
      <c r="F6" s="9"/>
      <c r="G6" s="9"/>
      <c r="H6" s="9"/>
      <c r="I6" s="9"/>
      <c r="J6" s="9"/>
      <c r="K6" s="9"/>
      <c r="L6" s="12"/>
    </row>
    <row r="7">
      <c r="B7" s="7"/>
      <c r="C7" s="16" t="s">
        <v>9</v>
      </c>
      <c r="D7" s="17"/>
      <c r="E7" s="17"/>
      <c r="F7" s="17"/>
      <c r="G7" s="11"/>
      <c r="H7" s="18">
        <v>1.0</v>
      </c>
      <c r="I7" s="9"/>
      <c r="J7" s="9"/>
      <c r="K7" s="9"/>
      <c r="L7" s="12"/>
    </row>
    <row r="8">
      <c r="B8" s="7"/>
      <c r="C8" s="16" t="s">
        <v>10</v>
      </c>
      <c r="D8" s="17"/>
      <c r="E8" s="17"/>
      <c r="F8" s="17"/>
      <c r="G8" s="11"/>
      <c r="H8" s="18">
        <v>1.0</v>
      </c>
      <c r="I8" s="9"/>
      <c r="J8" s="9"/>
      <c r="K8" s="9"/>
      <c r="L8" s="12"/>
    </row>
    <row r="9">
      <c r="B9" s="7"/>
      <c r="C9" s="16" t="s">
        <v>11</v>
      </c>
      <c r="D9" s="17"/>
      <c r="E9" s="17"/>
      <c r="F9" s="17"/>
      <c r="G9" s="11"/>
      <c r="H9" s="18">
        <v>1.0</v>
      </c>
      <c r="I9" s="9"/>
      <c r="J9" s="9"/>
      <c r="K9" s="9"/>
      <c r="L9" s="12"/>
    </row>
    <row r="10">
      <c r="B10" s="7"/>
      <c r="C10" s="16" t="s">
        <v>12</v>
      </c>
      <c r="D10" s="17"/>
      <c r="E10" s="17"/>
      <c r="F10" s="17"/>
      <c r="G10" s="11"/>
      <c r="H10" s="19" t="s">
        <v>13</v>
      </c>
      <c r="I10" s="9"/>
      <c r="J10" s="9"/>
      <c r="K10" s="9"/>
      <c r="L10" s="12"/>
    </row>
    <row r="11">
      <c r="B11" s="7"/>
      <c r="C11" s="16" t="s">
        <v>14</v>
      </c>
      <c r="D11" s="17"/>
      <c r="E11" s="17"/>
      <c r="F11" s="17"/>
      <c r="G11" s="11"/>
      <c r="H11" s="18" t="s">
        <v>13</v>
      </c>
      <c r="I11" s="9"/>
      <c r="J11" s="9"/>
      <c r="K11" s="9"/>
      <c r="L11" s="12"/>
    </row>
    <row r="12">
      <c r="B12" s="7"/>
      <c r="C12" s="9"/>
      <c r="D12" s="9"/>
      <c r="E12" s="9"/>
      <c r="F12" s="9"/>
      <c r="G12" s="9"/>
      <c r="H12" s="9"/>
      <c r="I12" s="9"/>
      <c r="J12" s="9"/>
      <c r="K12" s="9"/>
      <c r="L12" s="12"/>
    </row>
    <row r="13">
      <c r="B13" s="7"/>
      <c r="C13" s="10" t="s">
        <v>15</v>
      </c>
      <c r="D13" s="17"/>
      <c r="E13" s="17"/>
      <c r="F13" s="17"/>
      <c r="G13" s="17"/>
      <c r="H13" s="11"/>
      <c r="I13" s="9"/>
      <c r="J13" s="9"/>
      <c r="K13" s="9"/>
      <c r="L13" s="12"/>
    </row>
    <row r="14">
      <c r="B14" s="7"/>
      <c r="C14" s="15" t="s">
        <v>16</v>
      </c>
      <c r="D14" s="17"/>
      <c r="E14" s="17"/>
      <c r="F14" s="11"/>
      <c r="G14" s="15" t="str">
        <f>(D5*H5)+((E5*F5*(H7/100)*J5)+(E5*G5*(H7/100)*J5))*H5</f>
        <v>73.745</v>
      </c>
      <c r="H14" s="11"/>
      <c r="I14" s="9"/>
      <c r="J14" s="9"/>
      <c r="K14" s="9"/>
      <c r="L14" s="12"/>
    </row>
    <row r="15">
      <c r="B15" s="7"/>
      <c r="C15" s="15" t="s">
        <v>17</v>
      </c>
      <c r="D15" s="17"/>
      <c r="E15" s="17"/>
      <c r="F15" s="11"/>
      <c r="G15" s="15" t="str">
        <f>(H8/100)*J5</f>
        <v>19</v>
      </c>
      <c r="H15" s="11"/>
      <c r="I15" s="9"/>
      <c r="J15" s="9"/>
      <c r="K15" s="9"/>
      <c r="L15" s="12"/>
    </row>
    <row r="16">
      <c r="B16" s="7"/>
      <c r="C16" s="15" t="s">
        <v>18</v>
      </c>
      <c r="D16" s="17"/>
      <c r="E16" s="17"/>
      <c r="F16" s="11"/>
      <c r="G16" s="15" t="str">
        <f>(H9/100)*J5</f>
        <v>19</v>
      </c>
      <c r="H16" s="11"/>
      <c r="I16" s="9"/>
      <c r="J16" s="9"/>
      <c r="K16" s="9"/>
      <c r="L16" s="12"/>
    </row>
    <row r="17">
      <c r="B17" s="7"/>
      <c r="C17" s="15" t="s">
        <v>19</v>
      </c>
      <c r="D17" s="17"/>
      <c r="E17" s="17"/>
      <c r="F17" s="11"/>
      <c r="G17" s="15" t="str">
        <f t="shared" ref="G17:G18" si="1">IF(H10="SIM",14,0)</f>
        <v>0</v>
      </c>
      <c r="H17" s="11"/>
      <c r="I17" s="9"/>
      <c r="J17" s="20" t="s">
        <v>20</v>
      </c>
      <c r="L17" s="12"/>
    </row>
    <row r="18">
      <c r="B18" s="7"/>
      <c r="C18" s="15" t="s">
        <v>21</v>
      </c>
      <c r="D18" s="17"/>
      <c r="E18" s="17"/>
      <c r="F18" s="11"/>
      <c r="G18" s="15" t="str">
        <f t="shared" si="1"/>
        <v>0</v>
      </c>
      <c r="H18" s="11"/>
      <c r="I18" s="9"/>
      <c r="J18" s="9"/>
      <c r="K18" s="9"/>
      <c r="L18" s="12"/>
    </row>
    <row r="19">
      <c r="B19" s="7"/>
      <c r="C19" s="21" t="s">
        <v>22</v>
      </c>
      <c r="D19" s="22"/>
      <c r="E19" s="22"/>
      <c r="F19" s="22"/>
      <c r="G19" s="23" t="str">
        <f>SUM(G14:H18)</f>
        <v>111.7</v>
      </c>
      <c r="H19" s="11"/>
      <c r="I19" s="24" t="s">
        <v>23</v>
      </c>
      <c r="J19" s="24"/>
      <c r="K19" s="9"/>
      <c r="L19" s="12"/>
    </row>
    <row r="20" ht="15.75" customHeight="1"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ht="15.75" customHeight="1"/>
    <row r="22" ht="15.75" customHeight="1">
      <c r="C22" s="1" t="s">
        <v>24</v>
      </c>
      <c r="D22" s="2"/>
      <c r="E22" s="2"/>
      <c r="F22" s="2"/>
      <c r="G22" s="3"/>
    </row>
    <row r="23" ht="15.75" customHeight="1">
      <c r="C23" s="28" t="s">
        <v>25</v>
      </c>
      <c r="D23" s="29"/>
      <c r="E23" s="29"/>
      <c r="F23" s="29"/>
      <c r="G23" s="30"/>
    </row>
  </sheetData>
  <mergeCells count="24">
    <mergeCell ref="G18:H18"/>
    <mergeCell ref="G19:H19"/>
    <mergeCell ref="G15:H15"/>
    <mergeCell ref="C11:G11"/>
    <mergeCell ref="C14:F14"/>
    <mergeCell ref="C15:F15"/>
    <mergeCell ref="G14:H14"/>
    <mergeCell ref="C13:H13"/>
    <mergeCell ref="C10:G10"/>
    <mergeCell ref="J4:K4"/>
    <mergeCell ref="J5:K5"/>
    <mergeCell ref="C16:F16"/>
    <mergeCell ref="C17:F17"/>
    <mergeCell ref="B2:L2"/>
    <mergeCell ref="C7:G7"/>
    <mergeCell ref="C8:G8"/>
    <mergeCell ref="C9:G9"/>
    <mergeCell ref="J17:K17"/>
    <mergeCell ref="C23:G23"/>
    <mergeCell ref="C22:G22"/>
    <mergeCell ref="G16:H16"/>
    <mergeCell ref="G17:H17"/>
    <mergeCell ref="C19:F19"/>
    <mergeCell ref="C18:F18"/>
  </mergeCells>
  <dataValidations>
    <dataValidation type="list" allowBlank="1" showErrorMessage="1" sqref="C5">
      <formula1>DE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6" width="11.38"/>
    <col customWidth="1" min="7" max="13" width="7.63"/>
  </cols>
  <sheetData>
    <row r="1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</row>
    <row r="2">
      <c r="A2" s="14" t="s">
        <v>8</v>
      </c>
      <c r="B2" s="14">
        <v>2.3</v>
      </c>
      <c r="C2" s="14">
        <v>0.09</v>
      </c>
      <c r="D2" s="14">
        <v>0.19</v>
      </c>
      <c r="E2" s="14">
        <v>0.19</v>
      </c>
      <c r="F2" s="14">
        <v>25.0</v>
      </c>
    </row>
    <row r="3">
      <c r="A3" s="14" t="s">
        <v>26</v>
      </c>
      <c r="B3" s="14">
        <v>3.5</v>
      </c>
      <c r="C3" s="14">
        <v>0.09</v>
      </c>
      <c r="D3" s="14">
        <v>0.19</v>
      </c>
      <c r="E3" s="14">
        <v>0.29</v>
      </c>
      <c r="F3" s="14">
        <v>16.5</v>
      </c>
    </row>
    <row r="4">
      <c r="A4" s="14" t="s">
        <v>27</v>
      </c>
      <c r="B4" s="14">
        <v>4.7</v>
      </c>
      <c r="C4" s="14">
        <v>0.09</v>
      </c>
      <c r="D4" s="14">
        <v>0.19</v>
      </c>
      <c r="E4" s="14">
        <v>0.39</v>
      </c>
      <c r="F4" s="14">
        <v>12.5</v>
      </c>
    </row>
    <row r="5">
      <c r="A5" s="14" t="s">
        <v>28</v>
      </c>
      <c r="B5" s="14">
        <v>3.8</v>
      </c>
      <c r="C5" s="14">
        <v>0.115</v>
      </c>
      <c r="D5" s="14">
        <v>0.19</v>
      </c>
      <c r="E5" s="14">
        <v>0.29</v>
      </c>
      <c r="F5" s="14">
        <v>16.5</v>
      </c>
    </row>
    <row r="6">
      <c r="A6" s="14" t="s">
        <v>29</v>
      </c>
      <c r="B6" s="14">
        <v>5.5</v>
      </c>
      <c r="C6" s="14">
        <v>0.115</v>
      </c>
      <c r="D6" s="14">
        <v>0.19</v>
      </c>
      <c r="E6" s="14">
        <v>0.39</v>
      </c>
      <c r="F6" s="14">
        <v>12.5</v>
      </c>
    </row>
    <row r="7">
      <c r="A7" s="14" t="s">
        <v>30</v>
      </c>
      <c r="B7" s="14">
        <v>4.45</v>
      </c>
      <c r="C7" s="14">
        <v>0.14</v>
      </c>
      <c r="D7" s="14">
        <v>0.19</v>
      </c>
      <c r="E7" s="14">
        <v>0.29</v>
      </c>
      <c r="F7" s="14">
        <v>16.5</v>
      </c>
    </row>
    <row r="8">
      <c r="A8" s="14" t="s">
        <v>31</v>
      </c>
      <c r="B8" s="14">
        <v>6.1</v>
      </c>
      <c r="C8" s="14">
        <v>0.14</v>
      </c>
      <c r="D8" s="14">
        <v>0.19</v>
      </c>
      <c r="E8" s="14">
        <v>0.39</v>
      </c>
      <c r="F8" s="14">
        <v>12.5</v>
      </c>
    </row>
    <row r="9">
      <c r="A9" s="14" t="s">
        <v>32</v>
      </c>
      <c r="B9" s="14">
        <v>6.0</v>
      </c>
      <c r="C9" s="14">
        <v>0.19</v>
      </c>
      <c r="D9" s="14">
        <v>0.19</v>
      </c>
      <c r="E9" s="14">
        <v>0.29</v>
      </c>
      <c r="F9" s="14">
        <v>16.5</v>
      </c>
    </row>
    <row r="10">
      <c r="A10" s="14" t="s">
        <v>33</v>
      </c>
      <c r="B10" s="14">
        <v>8.0</v>
      </c>
      <c r="C10" s="14">
        <v>0.19</v>
      </c>
      <c r="D10" s="14">
        <v>0.19</v>
      </c>
      <c r="E10" s="14">
        <v>0.39</v>
      </c>
      <c r="F10" s="14">
        <v>12.5</v>
      </c>
    </row>
    <row r="13">
      <c r="A13" t="s">
        <v>34</v>
      </c>
    </row>
    <row r="14">
      <c r="A14" t="s">
        <v>13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baseType="lpstr" size="5">
      <vt:lpstr>CARGA LINEAR</vt:lpstr>
      <vt:lpstr>DADOS</vt:lpstr>
      <vt:lpstr>DE</vt:lpstr>
      <vt:lpstr>MATRIZ</vt:lpstr>
      <vt:lpstr>PARA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2017-05-03T22:24:43Z</dcterms:created>
  <dc:creator>Felipe</dc:creator>
  <cp:lastModifiedBy>Felipe</cp:lastModifiedBy>
  <dcterms:modified xsi:type="dcterms:W3CDTF">2017-06-09T18:23:09Z</dcterms:modified>
</cp:coreProperties>
</file>