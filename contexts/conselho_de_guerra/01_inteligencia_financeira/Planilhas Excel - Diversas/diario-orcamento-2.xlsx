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427050\Desktop\TALITA\"/>
    </mc:Choice>
  </mc:AlternateContent>
  <bookViews>
    <workbookView xWindow="0" yWindow="0" windowWidth="24000" windowHeight="9510"/>
  </bookViews>
  <sheets>
    <sheet name="Orçamento" sheetId="2" r:id="rId1"/>
  </sheets>
  <calcPr calcId="171027"/>
</workbook>
</file>

<file path=xl/calcChain.xml><?xml version="1.0" encoding="utf-8"?>
<calcChain xmlns="http://schemas.openxmlformats.org/spreadsheetml/2006/main">
  <c r="H61" i="2" l="1"/>
  <c r="G61" i="2"/>
  <c r="F61" i="2"/>
  <c r="C61" i="2"/>
  <c r="B61" i="2"/>
  <c r="A61" i="2"/>
  <c r="I60" i="2"/>
  <c r="D60" i="2"/>
  <c r="I59" i="2"/>
  <c r="D59" i="2"/>
  <c r="I58" i="2"/>
  <c r="D58" i="2"/>
  <c r="I57" i="2"/>
  <c r="F57" i="2"/>
  <c r="D57" i="2"/>
  <c r="D61" i="2" s="1"/>
  <c r="H54" i="2"/>
  <c r="G54" i="2"/>
  <c r="F54" i="2"/>
  <c r="C54" i="2"/>
  <c r="B54" i="2"/>
  <c r="A54" i="2"/>
  <c r="I53" i="2"/>
  <c r="D53" i="2"/>
  <c r="I52" i="2"/>
  <c r="D52" i="2"/>
  <c r="I51" i="2"/>
  <c r="D51" i="2"/>
  <c r="I50" i="2"/>
  <c r="F50" i="2"/>
  <c r="D50" i="2"/>
  <c r="I49" i="2"/>
  <c r="I48" i="2"/>
  <c r="I47" i="2"/>
  <c r="C47" i="2"/>
  <c r="B47" i="2"/>
  <c r="A47" i="2"/>
  <c r="D46" i="2"/>
  <c r="D45" i="2"/>
  <c r="H44" i="2"/>
  <c r="G44" i="2"/>
  <c r="F44" i="2"/>
  <c r="D44" i="2"/>
  <c r="I43" i="2"/>
  <c r="D43" i="2"/>
  <c r="I42" i="2"/>
  <c r="D42" i="2"/>
  <c r="I41" i="2"/>
  <c r="D41" i="2"/>
  <c r="I40" i="2"/>
  <c r="F40" i="2"/>
  <c r="D40" i="2"/>
  <c r="D47" i="2" s="1"/>
  <c r="I39" i="2"/>
  <c r="I38" i="2"/>
  <c r="F38" i="2"/>
  <c r="C37" i="2"/>
  <c r="B37" i="2"/>
  <c r="A37" i="2"/>
  <c r="D36" i="2"/>
  <c r="H35" i="2"/>
  <c r="G35" i="2"/>
  <c r="F35" i="2"/>
  <c r="D35" i="2"/>
  <c r="I34" i="2"/>
  <c r="D34" i="2"/>
  <c r="I33" i="2"/>
  <c r="D33" i="2"/>
  <c r="I32" i="2"/>
  <c r="D32" i="2"/>
  <c r="I31" i="2"/>
  <c r="F31" i="2"/>
  <c r="D31" i="2"/>
  <c r="D37" i="2" s="1"/>
  <c r="A31" i="2"/>
  <c r="I30" i="2"/>
  <c r="D30" i="2"/>
  <c r="I29" i="2"/>
  <c r="I28" i="2"/>
  <c r="I27" i="2"/>
  <c r="C27" i="2"/>
  <c r="B27" i="2"/>
  <c r="A27" i="2"/>
  <c r="I26" i="2"/>
  <c r="D26" i="2"/>
  <c r="I25" i="2"/>
  <c r="F25" i="2"/>
  <c r="D25" i="2"/>
  <c r="I24" i="2"/>
  <c r="D24" i="2"/>
  <c r="I23" i="2"/>
  <c r="D23" i="2"/>
  <c r="I22" i="2"/>
  <c r="D22" i="2"/>
  <c r="I21" i="2"/>
  <c r="F21" i="2"/>
  <c r="D21" i="2"/>
  <c r="D20" i="2"/>
  <c r="D19" i="2"/>
  <c r="H18" i="2"/>
  <c r="G18" i="2"/>
  <c r="F18" i="2"/>
  <c r="D18" i="2"/>
  <c r="A18" i="2"/>
  <c r="I17" i="2"/>
  <c r="D17" i="2"/>
  <c r="A17" i="2"/>
  <c r="I16" i="2"/>
  <c r="D16" i="2"/>
  <c r="A16" i="2"/>
  <c r="I15" i="2"/>
  <c r="D15" i="2"/>
  <c r="I14" i="2"/>
  <c r="D14" i="2"/>
  <c r="D27" i="2" s="1"/>
  <c r="I13" i="2"/>
  <c r="I12" i="2"/>
  <c r="I11" i="2"/>
  <c r="C11" i="2"/>
  <c r="H3" i="2" s="1"/>
  <c r="B11" i="2"/>
  <c r="I10" i="2"/>
  <c r="D10" i="2"/>
  <c r="I9" i="2"/>
  <c r="I18" i="2" s="1"/>
  <c r="F9" i="2"/>
  <c r="D9" i="2"/>
  <c r="A9" i="2"/>
  <c r="D8" i="2"/>
  <c r="D7" i="2"/>
  <c r="D6" i="2"/>
  <c r="D5" i="2"/>
  <c r="G4" i="2"/>
  <c r="D4" i="2"/>
  <c r="G3" i="2"/>
  <c r="D3" i="2"/>
  <c r="A3" i="2"/>
  <c r="H4" i="2" l="1"/>
  <c r="D54" i="2"/>
  <c r="D11" i="2"/>
  <c r="I35" i="2"/>
  <c r="I3" i="2"/>
  <c r="I44" i="2"/>
  <c r="I54" i="2"/>
  <c r="I61" i="2"/>
  <c r="H5" i="2"/>
  <c r="I5" i="2" s="1"/>
  <c r="I4" i="2"/>
  <c r="G5" i="2"/>
</calcChain>
</file>

<file path=xl/sharedStrings.xml><?xml version="1.0" encoding="utf-8"?>
<sst xmlns="http://schemas.openxmlformats.org/spreadsheetml/2006/main" count="123" uniqueCount="72">
  <si>
    <t>RENDA</t>
  </si>
  <si>
    <t>Orçamento</t>
  </si>
  <si>
    <t>Atual</t>
  </si>
  <si>
    <t>Diferença</t>
  </si>
  <si>
    <t>[42]</t>
  </si>
  <si>
    <t>RESUMO DO ORÇAMENTO</t>
  </si>
  <si>
    <t>Renda Total</t>
  </si>
  <si>
    <t>Renda de Juros</t>
  </si>
  <si>
    <t>Despesas Totais</t>
  </si>
  <si>
    <t>Dividendos</t>
  </si>
  <si>
    <t>Resultado</t>
  </si>
  <si>
    <t>Dinheiro Inesperado</t>
  </si>
  <si>
    <t>Reembolsos</t>
  </si>
  <si>
    <t>Transferência de Poupança</t>
  </si>
  <si>
    <t>VIDA DIÁRIA</t>
  </si>
  <si>
    <t>Outros</t>
  </si>
  <si>
    <t>Suprimentos Pessoais</t>
  </si>
  <si>
    <t>Roupas</t>
  </si>
  <si>
    <t>Produtos de Limpeza</t>
  </si>
  <si>
    <t>DESPESAS DE MORADIA</t>
  </si>
  <si>
    <t>Educação</t>
  </si>
  <si>
    <t>Aluguel/Parcelas do Imóvel</t>
  </si>
  <si>
    <t>Jantar/Comer Fora</t>
  </si>
  <si>
    <t>Seguros</t>
  </si>
  <si>
    <t>Salão de Beleza</t>
  </si>
  <si>
    <t>PetShop</t>
  </si>
  <si>
    <t>Telefone</t>
  </si>
  <si>
    <t>Tv a Cabo</t>
  </si>
  <si>
    <t>ENTRETENIMENTO</t>
  </si>
  <si>
    <t>Internet</t>
  </si>
  <si>
    <t>Eletrodomésticos</t>
  </si>
  <si>
    <t>Música</t>
  </si>
  <si>
    <t>Jardinagem</t>
  </si>
  <si>
    <t>Games</t>
  </si>
  <si>
    <t>Manutenção</t>
  </si>
  <si>
    <t>Shows</t>
  </si>
  <si>
    <t>Melhorias</t>
  </si>
  <si>
    <t>Hobbies</t>
  </si>
  <si>
    <t>Fotografia</t>
  </si>
  <si>
    <t>Esportes</t>
  </si>
  <si>
    <t>TRANSPORTE</t>
  </si>
  <si>
    <t>Passeios</t>
  </si>
  <si>
    <t>Parcelamento do Carro</t>
  </si>
  <si>
    <t>Brinquedos</t>
  </si>
  <si>
    <t>Combustível</t>
  </si>
  <si>
    <t>Viagem</t>
  </si>
  <si>
    <t>Ônibus/Táxi</t>
  </si>
  <si>
    <t>Teatro</t>
  </si>
  <si>
    <t>Reparos</t>
  </si>
  <si>
    <t>ECONOMIAS</t>
  </si>
  <si>
    <t>SAÚDE</t>
  </si>
  <si>
    <t>Seguro de Vida</t>
  </si>
  <si>
    <t>Consulta</t>
  </si>
  <si>
    <t>Dentista</t>
  </si>
  <si>
    <t>Medicamentos</t>
  </si>
  <si>
    <t>Rotina saúdavel</t>
  </si>
  <si>
    <t>Veterinário</t>
  </si>
  <si>
    <t>OBRIGAÇÕES</t>
  </si>
  <si>
    <t>Diferenças</t>
  </si>
  <si>
    <t>Dívidas</t>
  </si>
  <si>
    <t>Empréstimo estudantil</t>
  </si>
  <si>
    <t>CARIDADE/PRESENTES</t>
  </si>
  <si>
    <t>Outro empréstimo</t>
  </si>
  <si>
    <t>Presentes</t>
  </si>
  <si>
    <t>Doações para Caridade</t>
  </si>
  <si>
    <t>Taxas e Impostos</t>
  </si>
  <si>
    <t>Doações Religiosas</t>
  </si>
  <si>
    <t>ASSINATURAS</t>
  </si>
  <si>
    <t>DIVERSOS</t>
  </si>
  <si>
    <t>Jornal</t>
  </si>
  <si>
    <t>Revistas</t>
  </si>
  <si>
    <t>Associações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</si>
</sst>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5" x14ac:knownFonts="1">
    <font>
      <sz val="11"/>
      <color rgb="FF000000"/>
      <name val="Arial"/>
    </font>
    <font>
      <sz val="10"/>
      <name val="Trebuchet MS"/>
    </font>
    <font>
      <sz val="8"/>
      <name val="Trebuchet MS"/>
    </font>
    <font>
      <b/>
      <sz val="8"/>
      <name val="Trebuchet MS"/>
    </font>
    <font>
      <b/>
      <sz val="10"/>
      <name val="Arial"/>
    </font>
    <font>
      <sz val="9"/>
      <name val="Arial"/>
    </font>
    <font>
      <sz val="10"/>
      <color rgb="FFFFFFFF"/>
      <name val="Trebuchet MS"/>
    </font>
    <font>
      <b/>
      <sz val="10"/>
      <color rgb="FFFFFFFF"/>
      <name val="Arial"/>
    </font>
    <font>
      <u/>
      <sz val="10"/>
      <color rgb="FF0000FF"/>
      <name val="Trebuchet MS"/>
    </font>
    <font>
      <b/>
      <sz val="11"/>
      <color rgb="FF000000"/>
      <name val="Trebuchet MS"/>
    </font>
    <font>
      <b/>
      <sz val="9"/>
      <color rgb="FF000000"/>
      <name val="Trebuchet MS"/>
    </font>
    <font>
      <b/>
      <sz val="10"/>
      <name val="Trebuchet MS"/>
    </font>
    <font>
      <sz val="11"/>
      <name val="Trebuchet MS"/>
    </font>
    <font>
      <u/>
      <sz val="11"/>
      <color rgb="FF0000FF"/>
      <name val="Trebuchet MS"/>
    </font>
    <font>
      <sz val="6"/>
      <color rgb="FFFFFFFF"/>
      <name val="Trebuchet MS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F2F2F2"/>
        <bgColor rgb="FFF2F2F2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 style="double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3" borderId="0" xfId="0" applyFont="1" applyFill="1"/>
    <xf numFmtId="16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4" fontId="1" fillId="0" borderId="2" xfId="0" applyNumberFormat="1" applyFont="1" applyBorder="1"/>
    <xf numFmtId="164" fontId="1" fillId="0" borderId="0" xfId="0" applyNumberFormat="1" applyFont="1"/>
    <xf numFmtId="0" fontId="9" fillId="0" borderId="0" xfId="0" applyFont="1" applyAlignment="1">
      <alignment horizontal="right" vertical="center"/>
    </xf>
    <xf numFmtId="40" fontId="10" fillId="0" borderId="0" xfId="0" applyNumberFormat="1" applyFont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40" fontId="10" fillId="4" borderId="3" xfId="0" applyNumberFormat="1" applyFont="1" applyFill="1" applyBorder="1" applyAlignment="1">
      <alignment horizontal="right" vertical="center"/>
    </xf>
    <xf numFmtId="4" fontId="1" fillId="0" borderId="4" xfId="0" applyNumberFormat="1" applyFont="1" applyBorder="1"/>
    <xf numFmtId="4" fontId="1" fillId="0" borderId="5" xfId="0" applyNumberFormat="1" applyFont="1" applyBorder="1"/>
    <xf numFmtId="0" fontId="11" fillId="5" borderId="0" xfId="0" applyFont="1" applyFill="1" applyAlignment="1">
      <alignment horizontal="right"/>
    </xf>
    <xf numFmtId="4" fontId="11" fillId="5" borderId="0" xfId="0" applyNumberFormat="1" applyFont="1" applyFill="1"/>
    <xf numFmtId="164" fontId="11" fillId="5" borderId="0" xfId="0" applyNumberFormat="1" applyFont="1" applyFill="1"/>
    <xf numFmtId="0" fontId="11" fillId="6" borderId="0" xfId="0" applyFont="1" applyFill="1" applyAlignment="1">
      <alignment horizontal="right"/>
    </xf>
    <xf numFmtId="4" fontId="11" fillId="6" borderId="0" xfId="0" applyNumberFormat="1" applyFont="1" applyFill="1"/>
    <xf numFmtId="164" fontId="11" fillId="6" borderId="0" xfId="0" applyNumberFormat="1" applyFont="1" applyFill="1"/>
    <xf numFmtId="0" fontId="11" fillId="0" borderId="0" xfId="0" applyFont="1"/>
    <xf numFmtId="0" fontId="1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8"/>
  <sheetViews>
    <sheetView showGridLines="0" tabSelected="1" workbookViewId="0">
      <selection activeCell="M13" sqref="M13"/>
    </sheetView>
  </sheetViews>
  <sheetFormatPr defaultColWidth="12.625" defaultRowHeight="15" customHeight="1" x14ac:dyDescent="0.2"/>
  <cols>
    <col min="1" max="1" width="22.5" customWidth="1"/>
    <col min="2" max="4" width="9.625" customWidth="1"/>
    <col min="5" max="5" width="2.625" customWidth="1"/>
    <col min="6" max="6" width="22.5" customWidth="1"/>
    <col min="7" max="9" width="9.625" customWidth="1"/>
    <col min="10" max="19" width="8.625" customWidth="1"/>
  </cols>
  <sheetData>
    <row r="1" spans="1:19" ht="15.75" x14ac:dyDescent="0.3">
      <c r="A1" s="2"/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x14ac:dyDescent="0.3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  <c r="G2" s="9" t="s">
        <v>1</v>
      </c>
      <c r="H2" s="9" t="s">
        <v>2</v>
      </c>
      <c r="I2" s="9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6.5" x14ac:dyDescent="0.3">
      <c r="A3" s="10" t="str">
        <f>HYPERLINK("https://blog.mobills.com.br/dicas-aumentar-salario-pouco-tempo/","Salário")</f>
        <v>Salário</v>
      </c>
      <c r="B3" s="11">
        <v>2000</v>
      </c>
      <c r="C3" s="11">
        <v>2000</v>
      </c>
      <c r="D3" s="12">
        <f t="shared" ref="D3:D10" si="0">C3-B3</f>
        <v>0</v>
      </c>
      <c r="E3" s="1"/>
      <c r="F3" s="13" t="s">
        <v>6</v>
      </c>
      <c r="G3" s="14">
        <f>Orçamento!$B$11</f>
        <v>2000</v>
      </c>
      <c r="H3" s="14">
        <f>Orçamento!$C$11</f>
        <v>2000</v>
      </c>
      <c r="I3" s="14">
        <f t="shared" ref="I3:I4" si="1">G3-H3</f>
        <v>0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6.5" x14ac:dyDescent="0.3">
      <c r="A4" s="1" t="s">
        <v>7</v>
      </c>
      <c r="B4" s="11"/>
      <c r="C4" s="11"/>
      <c r="D4" s="12">
        <f t="shared" si="0"/>
        <v>0</v>
      </c>
      <c r="E4" s="1"/>
      <c r="F4" s="13" t="s">
        <v>8</v>
      </c>
      <c r="G4" s="14">
        <f>SUM(,Orçamento!$B$27,Orçamento!$B$37,Orçamento!$B$47,Orçamento!$B$54,Orçamento!$B$61,Orçamento!$G$61,Orçamento!$G$54,Orçamento!$G$44,Orçamento!$G$35,Orçamento!$G$18)</f>
        <v>1345</v>
      </c>
      <c r="H4" s="14">
        <f>SUM(Orçamento!$C$27,Orçamento!$C$37,Orçamento!$C$47,Orçamento!$C$54,Orçamento!$C$61,Orçamento!$H$61,Orçamento!$H$54,Orçamento!$H$44,Orçamento!$H$35,Orçamento!$H$18)</f>
        <v>1486</v>
      </c>
      <c r="I4" s="14">
        <f t="shared" si="1"/>
        <v>-141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6.5" x14ac:dyDescent="0.3">
      <c r="A5" s="1" t="s">
        <v>9</v>
      </c>
      <c r="B5" s="11"/>
      <c r="C5" s="11"/>
      <c r="D5" s="12">
        <f t="shared" si="0"/>
        <v>0</v>
      </c>
      <c r="E5" s="1"/>
      <c r="F5" s="15" t="s">
        <v>10</v>
      </c>
      <c r="G5" s="16">
        <f t="shared" ref="G5:H5" si="2">G3-G4</f>
        <v>655</v>
      </c>
      <c r="H5" s="16">
        <f t="shared" si="2"/>
        <v>514</v>
      </c>
      <c r="I5" s="16">
        <f>H5-G5</f>
        <v>-141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75" x14ac:dyDescent="0.3">
      <c r="A6" s="1" t="s">
        <v>11</v>
      </c>
      <c r="B6" s="11"/>
      <c r="C6" s="11"/>
      <c r="D6" s="12">
        <f t="shared" si="0"/>
        <v>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.75" x14ac:dyDescent="0.3">
      <c r="A7" s="1" t="s">
        <v>12</v>
      </c>
      <c r="B7" s="11"/>
      <c r="C7" s="11"/>
      <c r="D7" s="12">
        <f t="shared" si="0"/>
        <v>0</v>
      </c>
      <c r="E7" s="1"/>
      <c r="F7" s="2"/>
      <c r="G7" s="2"/>
      <c r="H7" s="2"/>
      <c r="I7" s="2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75" x14ac:dyDescent="0.3">
      <c r="A8" s="1" t="s">
        <v>13</v>
      </c>
      <c r="B8" s="11"/>
      <c r="C8" s="11"/>
      <c r="D8" s="12">
        <f t="shared" si="0"/>
        <v>0</v>
      </c>
      <c r="E8" s="1"/>
      <c r="F8" s="4" t="s">
        <v>14</v>
      </c>
      <c r="G8" s="5" t="s">
        <v>1</v>
      </c>
      <c r="H8" s="6" t="s">
        <v>2</v>
      </c>
      <c r="I8" s="6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75" x14ac:dyDescent="0.3">
      <c r="A9" s="10" t="str">
        <f>HYPERLINK("https://blog.mobills.com.br/como-fazer-uma-renda-extra/","Renda extra")</f>
        <v>Renda extra</v>
      </c>
      <c r="B9" s="11"/>
      <c r="C9" s="11"/>
      <c r="D9" s="12">
        <f t="shared" si="0"/>
        <v>0</v>
      </c>
      <c r="E9" s="1"/>
      <c r="F9" s="10" t="str">
        <f>HYPERLINK("https://blog.mobills.com.br/economizar-no-supermercado/","Supermercado")</f>
        <v>Supermercado</v>
      </c>
      <c r="G9" s="17"/>
      <c r="H9" s="17"/>
      <c r="I9" s="12">
        <f t="shared" ref="I9:I17" si="3">G9-H9</f>
        <v>0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.75" x14ac:dyDescent="0.3">
      <c r="A10" s="1" t="s">
        <v>15</v>
      </c>
      <c r="B10" s="18"/>
      <c r="C10" s="18"/>
      <c r="D10" s="12">
        <f t="shared" si="0"/>
        <v>0</v>
      </c>
      <c r="E10" s="1"/>
      <c r="F10" s="1" t="s">
        <v>16</v>
      </c>
      <c r="G10" s="17"/>
      <c r="H10" s="17"/>
      <c r="I10" s="12">
        <f t="shared" si="3"/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.75" x14ac:dyDescent="0.3">
      <c r="A11" s="19" t="s">
        <v>6</v>
      </c>
      <c r="B11" s="20">
        <f>SUBTOTAL(9,Orçamento!$B$3:$B$10)</f>
        <v>2000</v>
      </c>
      <c r="C11" s="20">
        <f>SUBTOTAL(9,Orçamento!$C$3:$C$10)</f>
        <v>2000</v>
      </c>
      <c r="D11" s="21">
        <f>SUBTOTAL(9,Orçamento!$D$3:$D$10)</f>
        <v>0</v>
      </c>
      <c r="E11" s="1"/>
      <c r="F11" s="1" t="s">
        <v>17</v>
      </c>
      <c r="G11" s="17"/>
      <c r="H11" s="17"/>
      <c r="I11" s="12">
        <f t="shared" si="3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.75" x14ac:dyDescent="0.3">
      <c r="A12" s="1"/>
      <c r="B12" s="1"/>
      <c r="C12" s="1"/>
      <c r="D12" s="1"/>
      <c r="E12" s="1"/>
      <c r="F12" s="1" t="s">
        <v>18</v>
      </c>
      <c r="G12" s="17"/>
      <c r="H12" s="17"/>
      <c r="I12" s="12">
        <f t="shared" si="3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.75" x14ac:dyDescent="0.3">
      <c r="A13" s="4" t="s">
        <v>19</v>
      </c>
      <c r="B13" s="5" t="s">
        <v>1</v>
      </c>
      <c r="C13" s="6" t="s">
        <v>2</v>
      </c>
      <c r="D13" s="6" t="s">
        <v>3</v>
      </c>
      <c r="E13" s="1"/>
      <c r="F13" s="1" t="s">
        <v>20</v>
      </c>
      <c r="G13" s="17"/>
      <c r="H13" s="17"/>
      <c r="I13" s="12">
        <f t="shared" si="3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.75" x14ac:dyDescent="0.3">
      <c r="A14" s="1" t="s">
        <v>21</v>
      </c>
      <c r="B14" s="11">
        <v>1100</v>
      </c>
      <c r="C14" s="11">
        <v>1100</v>
      </c>
      <c r="D14" s="12">
        <f t="shared" ref="D14:D26" si="4">B14-C14</f>
        <v>0</v>
      </c>
      <c r="E14" s="1"/>
      <c r="F14" s="1" t="s">
        <v>22</v>
      </c>
      <c r="G14" s="17"/>
      <c r="H14" s="17"/>
      <c r="I14" s="12">
        <f t="shared" si="3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.75" x14ac:dyDescent="0.3">
      <c r="A15" s="1" t="s">
        <v>23</v>
      </c>
      <c r="B15" s="11">
        <v>50</v>
      </c>
      <c r="C15" s="11">
        <v>67</v>
      </c>
      <c r="D15" s="12">
        <f t="shared" si="4"/>
        <v>-17</v>
      </c>
      <c r="E15" s="1"/>
      <c r="F15" s="1" t="s">
        <v>24</v>
      </c>
      <c r="G15" s="17"/>
      <c r="H15" s="17"/>
      <c r="I15" s="12">
        <f t="shared" si="3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.75" x14ac:dyDescent="0.3">
      <c r="A16" s="10" t="str">
        <f>HYPERLINK("https://blog.mobills.com.br/consumo-de-energia-eletrica-reduzir/","Conta de Luz")</f>
        <v>Conta de Luz</v>
      </c>
      <c r="B16" s="11">
        <v>43</v>
      </c>
      <c r="C16" s="11">
        <v>52</v>
      </c>
      <c r="D16" s="12">
        <f t="shared" si="4"/>
        <v>-9</v>
      </c>
      <c r="E16" s="1"/>
      <c r="F16" s="1" t="s">
        <v>25</v>
      </c>
      <c r="G16" s="17"/>
      <c r="H16" s="17"/>
      <c r="I16" s="12">
        <f t="shared" si="3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.75" x14ac:dyDescent="0.3">
      <c r="A17" s="10" t="str">
        <f>HYPERLINK("https://blog.mobills.com.br/gasolina-ou-alcool/","Gasolina")</f>
        <v>Gasolina</v>
      </c>
      <c r="B17" s="11">
        <v>7</v>
      </c>
      <c r="C17" s="11">
        <v>7</v>
      </c>
      <c r="D17" s="12">
        <f t="shared" si="4"/>
        <v>0</v>
      </c>
      <c r="E17" s="1"/>
      <c r="F17" s="1" t="s">
        <v>15</v>
      </c>
      <c r="G17" s="17"/>
      <c r="H17" s="17"/>
      <c r="I17" s="12">
        <f t="shared" si="3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.75" x14ac:dyDescent="0.3">
      <c r="A18" s="10" t="str">
        <f>HYPERLINK("https://blog.mobills.com.br/formas-de-economizar-agua/","Conta de Água")</f>
        <v>Conta de Água</v>
      </c>
      <c r="B18" s="11">
        <v>25</v>
      </c>
      <c r="C18" s="11">
        <v>25</v>
      </c>
      <c r="D18" s="12">
        <f t="shared" si="4"/>
        <v>0</v>
      </c>
      <c r="E18" s="1"/>
      <c r="F18" s="22" t="str">
        <f>"Total " &amp; Orçamento!$F$8</f>
        <v>Total VIDA DIÁRIA</v>
      </c>
      <c r="G18" s="23">
        <f>SUBTOTAL(9,Orçamento!$G$9:$G$17)</f>
        <v>0</v>
      </c>
      <c r="H18" s="23">
        <f>SUBTOTAL(9,Orçamento!$H$9:$H$17)</f>
        <v>0</v>
      </c>
      <c r="I18" s="24">
        <f>SUBTOTAL(9,Orçamento!$I$9:$I$17)</f>
        <v>0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spans="1:19" ht="15.75" customHeight="1" x14ac:dyDescent="0.3">
      <c r="A19" s="1" t="s">
        <v>26</v>
      </c>
      <c r="B19" s="11">
        <v>35</v>
      </c>
      <c r="C19" s="11">
        <v>35</v>
      </c>
      <c r="D19" s="12">
        <f t="shared" si="4"/>
        <v>0</v>
      </c>
      <c r="E19" s="1"/>
      <c r="F19" s="1"/>
      <c r="G19" s="26"/>
      <c r="H19" s="26"/>
      <c r="I19" s="26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.75" customHeight="1" x14ac:dyDescent="0.3">
      <c r="A20" s="1" t="s">
        <v>27</v>
      </c>
      <c r="B20" s="11">
        <v>15</v>
      </c>
      <c r="C20" s="11">
        <v>15</v>
      </c>
      <c r="D20" s="12">
        <f t="shared" si="4"/>
        <v>0</v>
      </c>
      <c r="E20" s="1"/>
      <c r="F20" s="4" t="s">
        <v>28</v>
      </c>
      <c r="G20" s="5" t="s">
        <v>1</v>
      </c>
      <c r="H20" s="6" t="s">
        <v>2</v>
      </c>
      <c r="I20" s="6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 x14ac:dyDescent="0.3">
      <c r="A21" s="1" t="s">
        <v>29</v>
      </c>
      <c r="B21" s="11">
        <v>0</v>
      </c>
      <c r="C21" s="11">
        <v>150</v>
      </c>
      <c r="D21" s="12">
        <f t="shared" si="4"/>
        <v>-150</v>
      </c>
      <c r="E21" s="1"/>
      <c r="F21" s="10" t="str">
        <f>HYPERLINK("https://blog.mobills.com.br/filmes-sobre-financas/","Filmes/Cinema")</f>
        <v>Filmes/Cinema</v>
      </c>
      <c r="G21" s="17"/>
      <c r="H21" s="17"/>
      <c r="I21" s="12">
        <f t="shared" ref="I21:I34" si="5">G21-H21</f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 x14ac:dyDescent="0.3">
      <c r="A22" s="1" t="s">
        <v>30</v>
      </c>
      <c r="B22" s="11">
        <v>0</v>
      </c>
      <c r="C22" s="11">
        <v>0</v>
      </c>
      <c r="D22" s="12">
        <f t="shared" si="4"/>
        <v>0</v>
      </c>
      <c r="E22" s="1"/>
      <c r="F22" s="1" t="s">
        <v>31</v>
      </c>
      <c r="G22" s="17"/>
      <c r="H22" s="17"/>
      <c r="I22" s="12">
        <f t="shared" si="5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 x14ac:dyDescent="0.3">
      <c r="A23" s="1" t="s">
        <v>32</v>
      </c>
      <c r="B23" s="11">
        <v>20</v>
      </c>
      <c r="C23" s="11">
        <v>15</v>
      </c>
      <c r="D23" s="12">
        <f t="shared" si="4"/>
        <v>5</v>
      </c>
      <c r="E23" s="1"/>
      <c r="F23" s="1" t="s">
        <v>33</v>
      </c>
      <c r="G23" s="17"/>
      <c r="H23" s="17"/>
      <c r="I23" s="12">
        <f t="shared" si="5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 x14ac:dyDescent="0.3">
      <c r="A24" s="1" t="s">
        <v>34</v>
      </c>
      <c r="B24" s="11">
        <v>50</v>
      </c>
      <c r="C24" s="11">
        <v>20</v>
      </c>
      <c r="D24" s="12">
        <f t="shared" si="4"/>
        <v>30</v>
      </c>
      <c r="E24" s="1"/>
      <c r="F24" s="1" t="s">
        <v>35</v>
      </c>
      <c r="G24" s="17"/>
      <c r="H24" s="17"/>
      <c r="I24" s="12">
        <f t="shared" si="5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 x14ac:dyDescent="0.3">
      <c r="A25" s="1" t="s">
        <v>36</v>
      </c>
      <c r="B25" s="11">
        <v>0</v>
      </c>
      <c r="C25" s="11">
        <v>0</v>
      </c>
      <c r="D25" s="12">
        <f t="shared" si="4"/>
        <v>0</v>
      </c>
      <c r="E25" s="1"/>
      <c r="F25" s="10" t="str">
        <f>HYPERLINK("https://blog.mobills.com.br/livros-que-voce-deve-ler-se-quiser-se-tornar-rico/","Livros")</f>
        <v>Livros</v>
      </c>
      <c r="G25" s="17"/>
      <c r="H25" s="17"/>
      <c r="I25" s="12">
        <f t="shared" si="5"/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 x14ac:dyDescent="0.3">
      <c r="A26" s="1" t="s">
        <v>15</v>
      </c>
      <c r="B26" s="17">
        <v>0</v>
      </c>
      <c r="C26" s="17">
        <v>0</v>
      </c>
      <c r="D26" s="12">
        <f t="shared" si="4"/>
        <v>0</v>
      </c>
      <c r="E26" s="1"/>
      <c r="F26" s="1" t="s">
        <v>37</v>
      </c>
      <c r="G26" s="17"/>
      <c r="H26" s="17"/>
      <c r="I26" s="12">
        <f t="shared" si="5"/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 x14ac:dyDescent="0.3">
      <c r="A27" s="22" t="str">
        <f>"Total " &amp; Orçamento!$A$13</f>
        <v>Total DESPESAS DE MORADIA</v>
      </c>
      <c r="B27" s="23">
        <f>SUBTOTAL(9,Orçamento!$B$14:$B$26)</f>
        <v>1345</v>
      </c>
      <c r="C27" s="23">
        <f>SUBTOTAL(9,Orçamento!$C$14:$C$26)</f>
        <v>1486</v>
      </c>
      <c r="D27" s="24">
        <f>SUBTOTAL(9,Orçamento!$D$14:$D$26)</f>
        <v>-141</v>
      </c>
      <c r="E27" s="1"/>
      <c r="F27" s="1" t="s">
        <v>38</v>
      </c>
      <c r="G27" s="17"/>
      <c r="H27" s="17"/>
      <c r="I27" s="12">
        <f t="shared" si="5"/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 x14ac:dyDescent="0.3">
      <c r="A28" s="1"/>
      <c r="B28" s="26"/>
      <c r="C28" s="26"/>
      <c r="D28" s="26"/>
      <c r="E28" s="1"/>
      <c r="F28" s="1" t="s">
        <v>39</v>
      </c>
      <c r="G28" s="17"/>
      <c r="H28" s="17"/>
      <c r="I28" s="12">
        <f t="shared" si="5"/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 x14ac:dyDescent="0.3">
      <c r="A29" s="4" t="s">
        <v>40</v>
      </c>
      <c r="B29" s="5" t="s">
        <v>1</v>
      </c>
      <c r="C29" s="6" t="s">
        <v>2</v>
      </c>
      <c r="D29" s="6" t="s">
        <v>3</v>
      </c>
      <c r="E29" s="1"/>
      <c r="F29" s="1" t="s">
        <v>41</v>
      </c>
      <c r="G29" s="17"/>
      <c r="H29" s="17"/>
      <c r="I29" s="12">
        <f t="shared" si="5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 x14ac:dyDescent="0.3">
      <c r="A30" s="1" t="s">
        <v>42</v>
      </c>
      <c r="B30" s="17"/>
      <c r="C30" s="17"/>
      <c r="D30" s="12">
        <f t="shared" ref="D30:D36" si="6">B30-C30</f>
        <v>0</v>
      </c>
      <c r="E30" s="1"/>
      <c r="F30" s="1" t="s">
        <v>43</v>
      </c>
      <c r="G30" s="17"/>
      <c r="H30" s="17"/>
      <c r="I30" s="12">
        <f t="shared" si="5"/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3">
      <c r="A31" s="10" t="str">
        <f>HYPERLINK("https://blog.mobills.com.br/como-pagar-menos-no-seguro-do-carro/","Seguro do Carro")</f>
        <v>Seguro do Carro</v>
      </c>
      <c r="B31" s="17"/>
      <c r="C31" s="17"/>
      <c r="D31" s="12">
        <f t="shared" si="6"/>
        <v>0</v>
      </c>
      <c r="E31" s="1"/>
      <c r="F31" s="10" t="str">
        <f>HYPERLINK("https://blog.mobills.com.br/viagem-de-ferias-como-se-preparar/","Férias")</f>
        <v>Férias</v>
      </c>
      <c r="G31" s="17"/>
      <c r="H31" s="17"/>
      <c r="I31" s="12">
        <f t="shared" si="5"/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 x14ac:dyDescent="0.3">
      <c r="A32" s="1" t="s">
        <v>44</v>
      </c>
      <c r="B32" s="17"/>
      <c r="C32" s="17"/>
      <c r="D32" s="12">
        <f t="shared" si="6"/>
        <v>0</v>
      </c>
      <c r="E32" s="1"/>
      <c r="F32" s="1" t="s">
        <v>45</v>
      </c>
      <c r="G32" s="17"/>
      <c r="H32" s="17"/>
      <c r="I32" s="12">
        <f t="shared" si="5"/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3">
      <c r="A33" s="1" t="s">
        <v>46</v>
      </c>
      <c r="B33" s="17"/>
      <c r="C33" s="17"/>
      <c r="D33" s="12">
        <f t="shared" si="6"/>
        <v>0</v>
      </c>
      <c r="E33" s="1"/>
      <c r="F33" s="1" t="s">
        <v>47</v>
      </c>
      <c r="G33" s="17"/>
      <c r="H33" s="17"/>
      <c r="I33" s="12">
        <f t="shared" si="5"/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3">
      <c r="A34" s="1" t="s">
        <v>48</v>
      </c>
      <c r="B34" s="17"/>
      <c r="C34" s="17"/>
      <c r="D34" s="12">
        <f t="shared" si="6"/>
        <v>0</v>
      </c>
      <c r="E34" s="1"/>
      <c r="F34" s="1" t="s">
        <v>15</v>
      </c>
      <c r="G34" s="17"/>
      <c r="H34" s="17"/>
      <c r="I34" s="12">
        <f t="shared" si="5"/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3">
      <c r="A35" s="1" t="s">
        <v>15</v>
      </c>
      <c r="B35" s="17"/>
      <c r="C35" s="17"/>
      <c r="D35" s="12">
        <f t="shared" si="6"/>
        <v>0</v>
      </c>
      <c r="E35" s="1"/>
      <c r="F35" s="22" t="str">
        <f>"Total " &amp; Orçamento!$F$20</f>
        <v>Total ENTRETENIMENTO</v>
      </c>
      <c r="G35" s="23">
        <f>SUBTOTAL(9,Orçamento!$G$21:$G$34)</f>
        <v>0</v>
      </c>
      <c r="H35" s="23">
        <f>SUBTOTAL(9,Orçamento!$H$21:$H$34)</f>
        <v>0</v>
      </c>
      <c r="I35" s="24">
        <f>SUBTOTAL(9,Orçamento!$I$21:$I$34)</f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3">
      <c r="A36" s="1" t="s">
        <v>15</v>
      </c>
      <c r="B36" s="17"/>
      <c r="C36" s="17"/>
      <c r="D36" s="12">
        <f t="shared" si="6"/>
        <v>0</v>
      </c>
      <c r="E36" s="1"/>
      <c r="F36" s="1"/>
      <c r="G36" s="26"/>
      <c r="H36" s="26"/>
      <c r="I36" s="26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3">
      <c r="A37" s="22" t="str">
        <f>"Total " &amp; Orçamento!$A$29</f>
        <v>Total TRANSPORTE</v>
      </c>
      <c r="B37" s="23">
        <f>SUBTOTAL(9,Orçamento!$B$30:$B$36)</f>
        <v>0</v>
      </c>
      <c r="C37" s="23">
        <f>SUBTOTAL(9,Orçamento!$C$30:$C$36)</f>
        <v>0</v>
      </c>
      <c r="D37" s="24">
        <f>SUBTOTAL(9,Orçamento!$D$30:$D$36)</f>
        <v>0</v>
      </c>
      <c r="E37" s="1"/>
      <c r="F37" s="4" t="s">
        <v>49</v>
      </c>
      <c r="G37" s="5" t="s">
        <v>1</v>
      </c>
      <c r="H37" s="6" t="s">
        <v>2</v>
      </c>
      <c r="I37" s="6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3">
      <c r="A38" s="1"/>
      <c r="B38" s="26"/>
      <c r="C38" s="26"/>
      <c r="D38" s="26"/>
      <c r="E38" s="1"/>
      <c r="F38" s="10" t="str">
        <f>HYPERLINK("https://blog.mobills.com.br/importancia-fundo-de-emergencia/","Fundo de Emergência")</f>
        <v>Fundo de Emergência</v>
      </c>
      <c r="G38" s="17"/>
      <c r="H38" s="17"/>
      <c r="I38" s="12">
        <f t="shared" ref="I38:I43" si="7">G38-H38</f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3">
      <c r="A39" s="4" t="s">
        <v>50</v>
      </c>
      <c r="B39" s="5" t="s">
        <v>1</v>
      </c>
      <c r="C39" s="6" t="s">
        <v>2</v>
      </c>
      <c r="D39" s="6" t="s">
        <v>3</v>
      </c>
      <c r="E39" s="1"/>
      <c r="F39" s="1" t="s">
        <v>13</v>
      </c>
      <c r="G39" s="17"/>
      <c r="H39" s="17"/>
      <c r="I39" s="12">
        <f t="shared" si="7"/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3">
      <c r="A40" s="1" t="s">
        <v>51</v>
      </c>
      <c r="B40" s="17"/>
      <c r="C40" s="17"/>
      <c r="D40" s="12">
        <f t="shared" ref="D40:D46" si="8">B40-C40</f>
        <v>0</v>
      </c>
      <c r="E40" s="1"/>
      <c r="F40" s="10" t="str">
        <f>HYPERLINK("https://blog.mobills.com.br/construir-seu-plano-de-investimentos/","Investimentos")</f>
        <v>Investimentos</v>
      </c>
      <c r="G40" s="17"/>
      <c r="H40" s="17"/>
      <c r="I40" s="12">
        <f t="shared" si="7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3">
      <c r="A41" s="1" t="s">
        <v>52</v>
      </c>
      <c r="B41" s="17"/>
      <c r="C41" s="17"/>
      <c r="D41" s="12">
        <f t="shared" si="8"/>
        <v>0</v>
      </c>
      <c r="E41" s="1"/>
      <c r="F41" s="1" t="s">
        <v>20</v>
      </c>
      <c r="G41" s="17"/>
      <c r="H41" s="17"/>
      <c r="I41" s="12">
        <f t="shared" si="7"/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3">
      <c r="A42" s="1" t="s">
        <v>53</v>
      </c>
      <c r="B42" s="17"/>
      <c r="C42" s="17"/>
      <c r="D42" s="12">
        <f t="shared" si="8"/>
        <v>0</v>
      </c>
      <c r="E42" s="1"/>
      <c r="F42" s="1" t="s">
        <v>15</v>
      </c>
      <c r="G42" s="17"/>
      <c r="H42" s="17"/>
      <c r="I42" s="12">
        <f t="shared" si="7"/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3">
      <c r="A43" s="1" t="s">
        <v>54</v>
      </c>
      <c r="B43" s="17"/>
      <c r="C43" s="17"/>
      <c r="D43" s="12">
        <f t="shared" si="8"/>
        <v>0</v>
      </c>
      <c r="E43" s="1"/>
      <c r="F43" s="1" t="s">
        <v>15</v>
      </c>
      <c r="G43" s="17"/>
      <c r="H43" s="17"/>
      <c r="I43" s="12">
        <f t="shared" si="7"/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3">
      <c r="A44" s="1" t="s">
        <v>55</v>
      </c>
      <c r="B44" s="17"/>
      <c r="C44" s="17"/>
      <c r="D44" s="12">
        <f t="shared" si="8"/>
        <v>0</v>
      </c>
      <c r="E44" s="1"/>
      <c r="F44" s="22" t="str">
        <f>"Total " &amp; Orçamento!$F$37</f>
        <v>Total ECONOMIAS</v>
      </c>
      <c r="G44" s="23">
        <f>SUBTOTAL(9,Orçamento!$G$38:$G$43)</f>
        <v>0</v>
      </c>
      <c r="H44" s="23">
        <f>SUBTOTAL(9,Orçamento!$H$38:$H$43)</f>
        <v>0</v>
      </c>
      <c r="I44" s="24">
        <f>SUBTOTAL(9,Orçamento!$I$38:$I$43)</f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3">
      <c r="A45" s="1" t="s">
        <v>56</v>
      </c>
      <c r="B45" s="17"/>
      <c r="C45" s="17"/>
      <c r="D45" s="12">
        <f t="shared" si="8"/>
        <v>0</v>
      </c>
      <c r="E45" s="1"/>
      <c r="F45" s="1"/>
      <c r="G45" s="26"/>
      <c r="H45" s="26"/>
      <c r="I45" s="26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3">
      <c r="A46" s="1" t="s">
        <v>15</v>
      </c>
      <c r="B46" s="17"/>
      <c r="C46" s="17"/>
      <c r="D46" s="12">
        <f t="shared" si="8"/>
        <v>0</v>
      </c>
      <c r="E46" s="1"/>
      <c r="F46" s="4" t="s">
        <v>57</v>
      </c>
      <c r="G46" s="5" t="s">
        <v>1</v>
      </c>
      <c r="H46" s="6" t="s">
        <v>2</v>
      </c>
      <c r="I46" s="6" t="s">
        <v>58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3">
      <c r="A47" s="22" t="str">
        <f>"Total " &amp; Orçamento!$A$39</f>
        <v>Total SAÚDE</v>
      </c>
      <c r="B47" s="23">
        <f>SUBTOTAL(9,Orçamento!$B$40:$B$46)</f>
        <v>0</v>
      </c>
      <c r="C47" s="23">
        <f>SUBTOTAL(9,Orçamento!$C$40:$C$46)</f>
        <v>0</v>
      </c>
      <c r="D47" s="24">
        <f>SUBTOTAL(9,Orçamento!$D$40:$D$46)</f>
        <v>0</v>
      </c>
      <c r="E47" s="1"/>
      <c r="F47" s="1" t="s">
        <v>59</v>
      </c>
      <c r="G47" s="17"/>
      <c r="H47" s="17"/>
      <c r="I47" s="12">
        <f t="shared" ref="I47:I53" si="9">G47-H47</f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3">
      <c r="A48" s="1"/>
      <c r="B48" s="26"/>
      <c r="C48" s="26"/>
      <c r="D48" s="26"/>
      <c r="E48" s="1"/>
      <c r="F48" s="1" t="s">
        <v>60</v>
      </c>
      <c r="G48" s="17"/>
      <c r="H48" s="17"/>
      <c r="I48" s="12">
        <f t="shared" si="9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3">
      <c r="A49" s="4" t="s">
        <v>61</v>
      </c>
      <c r="B49" s="5" t="s">
        <v>1</v>
      </c>
      <c r="C49" s="6" t="s">
        <v>2</v>
      </c>
      <c r="D49" s="6" t="s">
        <v>58</v>
      </c>
      <c r="E49" s="1"/>
      <c r="F49" s="27" t="s">
        <v>62</v>
      </c>
      <c r="G49" s="17"/>
      <c r="H49" s="17"/>
      <c r="I49" s="12">
        <f t="shared" si="9"/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 x14ac:dyDescent="0.3">
      <c r="A50" s="1" t="s">
        <v>63</v>
      </c>
      <c r="B50" s="17"/>
      <c r="C50" s="17"/>
      <c r="D50" s="12">
        <f t="shared" ref="D50:D53" si="10">B50-C50</f>
        <v>0</v>
      </c>
      <c r="E50" s="1"/>
      <c r="F50" s="28" t="str">
        <f>HYPERLINK("https://blog.mobills.com.br/cartao-de-credito/","Cartões de crédito")</f>
        <v>Cartões de crédito</v>
      </c>
      <c r="G50" s="17"/>
      <c r="H50" s="17"/>
      <c r="I50" s="12">
        <f t="shared" si="9"/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 x14ac:dyDescent="0.3">
      <c r="A51" s="1" t="s">
        <v>64</v>
      </c>
      <c r="B51" s="17"/>
      <c r="C51" s="17"/>
      <c r="D51" s="12">
        <f t="shared" si="10"/>
        <v>0</v>
      </c>
      <c r="E51" s="1"/>
      <c r="F51" s="1" t="s">
        <v>65</v>
      </c>
      <c r="G51" s="17"/>
      <c r="H51" s="17"/>
      <c r="I51" s="12">
        <f t="shared" si="9"/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 x14ac:dyDescent="0.3">
      <c r="A52" s="1" t="s">
        <v>66</v>
      </c>
      <c r="B52" s="17"/>
      <c r="C52" s="17"/>
      <c r="D52" s="12">
        <f t="shared" si="10"/>
        <v>0</v>
      </c>
      <c r="E52" s="1"/>
      <c r="F52" s="1" t="s">
        <v>15</v>
      </c>
      <c r="G52" s="17"/>
      <c r="H52" s="17"/>
      <c r="I52" s="12">
        <f t="shared" si="9"/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 x14ac:dyDescent="0.3">
      <c r="A53" s="1" t="s">
        <v>15</v>
      </c>
      <c r="B53" s="17"/>
      <c r="C53" s="17"/>
      <c r="D53" s="12">
        <f t="shared" si="10"/>
        <v>0</v>
      </c>
      <c r="E53" s="1"/>
      <c r="F53" s="1" t="s">
        <v>15</v>
      </c>
      <c r="G53" s="17"/>
      <c r="H53" s="17"/>
      <c r="I53" s="12">
        <f t="shared" si="9"/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 x14ac:dyDescent="0.3">
      <c r="A54" s="22" t="str">
        <f>"Total " &amp; Orçamento!$A$49</f>
        <v>Total CARIDADE/PRESENTES</v>
      </c>
      <c r="B54" s="23">
        <f>SUBTOTAL(9,Orçamento!$B$50:$B$53)</f>
        <v>0</v>
      </c>
      <c r="C54" s="23">
        <f>SUBTOTAL(9,Orçamento!$C$50:$C$53)</f>
        <v>0</v>
      </c>
      <c r="D54" s="24">
        <f>SUBTOTAL(9,Orçamento!$D$50:$D$53)</f>
        <v>0</v>
      </c>
      <c r="E54" s="1"/>
      <c r="F54" s="22" t="str">
        <f>"Total " &amp; Orçamento!$F$46</f>
        <v>Total OBRIGAÇÕES</v>
      </c>
      <c r="G54" s="23">
        <f>SUBTOTAL(9,Orçamento!$G$47:$G$53)</f>
        <v>0</v>
      </c>
      <c r="H54" s="23">
        <f>SUBTOTAL(9,Orçamento!$H$47:$H$53)</f>
        <v>0</v>
      </c>
      <c r="I54" s="24">
        <f>SUBTOTAL(9,Orçamento!$I$47:$I$53)</f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 x14ac:dyDescent="0.3">
      <c r="A55" s="1"/>
      <c r="B55" s="26"/>
      <c r="C55" s="26"/>
      <c r="D55" s="26"/>
      <c r="E55" s="1"/>
      <c r="F55" s="1"/>
      <c r="G55" s="26"/>
      <c r="H55" s="26"/>
      <c r="I55" s="26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 x14ac:dyDescent="0.3">
      <c r="A56" s="4" t="s">
        <v>67</v>
      </c>
      <c r="B56" s="5" t="s">
        <v>1</v>
      </c>
      <c r="C56" s="6" t="s">
        <v>2</v>
      </c>
      <c r="D56" s="6" t="s">
        <v>58</v>
      </c>
      <c r="E56" s="1"/>
      <c r="F56" s="4" t="s">
        <v>68</v>
      </c>
      <c r="G56" s="5" t="s">
        <v>1</v>
      </c>
      <c r="H56" s="6" t="s">
        <v>2</v>
      </c>
      <c r="I56" s="6" t="s">
        <v>58</v>
      </c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 x14ac:dyDescent="0.3">
      <c r="A57" s="1" t="s">
        <v>69</v>
      </c>
      <c r="B57" s="17"/>
      <c r="C57" s="17"/>
      <c r="D57" s="12">
        <f t="shared" ref="D57:D60" si="11">B57-C57</f>
        <v>0</v>
      </c>
      <c r="E57" s="1"/>
      <c r="F57" s="10" t="str">
        <f>HYPERLINK("https://blog.mobills.com.br/como-pagar-menos-tarifas-bancarias/","Taxas Bancárias")</f>
        <v>Taxas Bancárias</v>
      </c>
      <c r="G57" s="11"/>
      <c r="H57" s="11"/>
      <c r="I57" s="12">
        <f t="shared" ref="I57:I60" si="12">G57-H57</f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 x14ac:dyDescent="0.3">
      <c r="A58" s="1" t="s">
        <v>70</v>
      </c>
      <c r="B58" s="17"/>
      <c r="C58" s="17"/>
      <c r="D58" s="12">
        <f t="shared" si="11"/>
        <v>0</v>
      </c>
      <c r="E58" s="1"/>
      <c r="F58" s="1" t="s">
        <v>15</v>
      </c>
      <c r="G58" s="11"/>
      <c r="H58" s="11"/>
      <c r="I58" s="12">
        <f t="shared" si="12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 x14ac:dyDescent="0.3">
      <c r="A59" s="1" t="s">
        <v>71</v>
      </c>
      <c r="B59" s="17"/>
      <c r="C59" s="17"/>
      <c r="D59" s="12">
        <f t="shared" si="11"/>
        <v>0</v>
      </c>
      <c r="E59" s="1"/>
      <c r="F59" s="1" t="s">
        <v>15</v>
      </c>
      <c r="G59" s="11"/>
      <c r="H59" s="11"/>
      <c r="I59" s="12">
        <f t="shared" si="12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 x14ac:dyDescent="0.3">
      <c r="A60" s="1" t="s">
        <v>15</v>
      </c>
      <c r="B60" s="17"/>
      <c r="C60" s="17"/>
      <c r="D60" s="12">
        <f t="shared" si="11"/>
        <v>0</v>
      </c>
      <c r="E60" s="1"/>
      <c r="F60" s="1" t="s">
        <v>15</v>
      </c>
      <c r="G60" s="17"/>
      <c r="H60" s="17"/>
      <c r="I60" s="12">
        <f t="shared" si="12"/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 x14ac:dyDescent="0.3">
      <c r="A61" s="22" t="str">
        <f>"Total " &amp; Orçamento!$A$56</f>
        <v>Total ASSINATURAS</v>
      </c>
      <c r="B61" s="23">
        <f>SUBTOTAL(9,Orçamento!$B$57:$B$60)</f>
        <v>0</v>
      </c>
      <c r="C61" s="23">
        <f>SUBTOTAL(9,Orçamento!$C$57:$C$60)</f>
        <v>0</v>
      </c>
      <c r="D61" s="24">
        <f>SUBTOTAL(9,Orçamento!$D$57:$D$60)</f>
        <v>0</v>
      </c>
      <c r="E61" s="1"/>
      <c r="F61" s="22" t="str">
        <f>"Total " &amp; Orçamento!$F$56</f>
        <v>Total DIVERSOS</v>
      </c>
      <c r="G61" s="23">
        <f>SUBTOTAL(9,Orçamento!$G$57:$G$60)</f>
        <v>0</v>
      </c>
      <c r="H61" s="23">
        <f>SUBTOTAL(9,Orçamento!$H$57:$H$60)</f>
        <v>0</v>
      </c>
      <c r="I61" s="24">
        <f>SUBTOTAL(9,Orçamento!$I$57:$I$60)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 x14ac:dyDescent="0.3">
      <c r="A62" s="1"/>
      <c r="B62" s="1"/>
      <c r="C62" s="1"/>
      <c r="D62" s="1"/>
      <c r="E62" s="1"/>
      <c r="F62" s="2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 x14ac:dyDescent="0.3">
      <c r="A63" s="1"/>
      <c r="B63" s="1"/>
      <c r="C63" s="1"/>
      <c r="D63" s="1"/>
      <c r="E63" s="1"/>
      <c r="F63" s="2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 x14ac:dyDescent="0.3">
      <c r="A64" s="1"/>
      <c r="B64" s="1"/>
      <c r="C64" s="1"/>
      <c r="D64" s="1"/>
      <c r="E64" s="1"/>
      <c r="F64" s="2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 x14ac:dyDescent="0.3">
      <c r="A65" s="1"/>
      <c r="B65" s="1"/>
      <c r="C65" s="1"/>
      <c r="D65" s="1"/>
      <c r="E65" s="1"/>
      <c r="F65" s="2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 x14ac:dyDescent="0.3">
      <c r="A66" s="1"/>
      <c r="B66" s="1"/>
      <c r="C66" s="1"/>
      <c r="D66" s="1"/>
      <c r="E66" s="1"/>
      <c r="F66" s="2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 x14ac:dyDescent="0.3">
      <c r="A67" s="1"/>
      <c r="B67" s="1"/>
      <c r="C67" s="1"/>
      <c r="D67" s="1"/>
      <c r="E67" s="1"/>
      <c r="F67" s="2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 x14ac:dyDescent="0.3">
      <c r="A70" s="1"/>
      <c r="B70" s="1"/>
      <c r="C70" s="1"/>
      <c r="D70" s="1"/>
      <c r="E70" s="1"/>
      <c r="F70" s="2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 x14ac:dyDescent="0.3">
      <c r="A71" s="1"/>
      <c r="B71" s="1"/>
      <c r="C71" s="1"/>
      <c r="D71" s="1"/>
      <c r="E71" s="1"/>
      <c r="F71" s="2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 x14ac:dyDescent="0.3">
      <c r="A72" s="1"/>
      <c r="B72" s="1"/>
      <c r="C72" s="1"/>
      <c r="D72" s="1"/>
      <c r="E72" s="1"/>
      <c r="F72" s="2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 x14ac:dyDescent="0.3">
      <c r="A73" s="1"/>
      <c r="B73" s="1"/>
      <c r="C73" s="1"/>
      <c r="D73" s="1"/>
      <c r="E73" s="29"/>
      <c r="F73" s="2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 x14ac:dyDescent="0.3">
      <c r="A74" s="1"/>
      <c r="B74" s="1"/>
      <c r="C74" s="1"/>
      <c r="D74" s="1"/>
      <c r="E74" s="29"/>
      <c r="F74" s="2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3">
      <c r="A75" s="1"/>
      <c r="B75" s="1"/>
      <c r="C75" s="1"/>
      <c r="D75" s="1"/>
      <c r="E75" s="29"/>
      <c r="F75" s="2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3">
      <c r="A76" s="1"/>
      <c r="B76" s="1"/>
      <c r="C76" s="1"/>
      <c r="D76" s="1"/>
      <c r="E76" s="29"/>
      <c r="F76" s="2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3">
      <c r="A77" s="1"/>
      <c r="B77" s="1"/>
      <c r="C77" s="1"/>
      <c r="D77" s="1"/>
      <c r="E77" s="1"/>
      <c r="F77" s="2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3">
      <c r="A78" s="1"/>
      <c r="B78" s="1"/>
      <c r="C78" s="1"/>
      <c r="D78" s="1"/>
      <c r="E78" s="1"/>
      <c r="F78" s="2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3">
      <c r="A79" s="1"/>
      <c r="B79" s="1"/>
      <c r="C79" s="1"/>
      <c r="D79" s="1"/>
      <c r="E79" s="29"/>
      <c r="F79" s="2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3">
      <c r="A80" s="1"/>
      <c r="B80" s="1"/>
      <c r="C80" s="1"/>
      <c r="D80" s="1"/>
      <c r="E80" s="2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3">
      <c r="A81" s="1"/>
      <c r="B81" s="1"/>
      <c r="C81" s="1"/>
      <c r="D81" s="1"/>
      <c r="E81" s="2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3">
      <c r="A82" s="1"/>
      <c r="B82" s="1"/>
      <c r="C82" s="1"/>
      <c r="D82" s="1"/>
      <c r="E82" s="30" t="s">
        <v>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3">
      <c r="A83" s="1"/>
      <c r="B83" s="1"/>
      <c r="C83" s="1"/>
      <c r="D83" s="1"/>
      <c r="E83" s="2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3">
      <c r="A84" s="1"/>
      <c r="B84" s="1"/>
      <c r="C84" s="1"/>
      <c r="D84" s="1"/>
      <c r="E84" s="2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3">
      <c r="A85" s="1"/>
      <c r="B85" s="1"/>
      <c r="C85" s="1"/>
      <c r="D85" s="1"/>
      <c r="E85" s="2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3">
      <c r="A86" s="1"/>
      <c r="B86" s="1"/>
      <c r="C86" s="1"/>
      <c r="D86" s="1"/>
      <c r="E86" s="2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3">
      <c r="A87" s="1"/>
      <c r="B87" s="1"/>
      <c r="C87" s="1"/>
      <c r="D87" s="1"/>
      <c r="E87" s="2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3">
      <c r="A90" s="1"/>
      <c r="B90" s="1"/>
      <c r="C90" s="1"/>
      <c r="D90" s="1"/>
      <c r="E90" s="2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3">
      <c r="A91" s="1"/>
      <c r="B91" s="1"/>
      <c r="C91" s="1"/>
      <c r="D91" s="1"/>
      <c r="E91" s="2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3">
      <c r="A92" s="1"/>
      <c r="B92" s="1"/>
      <c r="C92" s="1"/>
      <c r="D92" s="1"/>
      <c r="E92" s="2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3">
      <c r="A93" s="1"/>
      <c r="B93" s="1"/>
      <c r="C93" s="1"/>
      <c r="D93" s="1"/>
      <c r="E93" s="2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3">
      <c r="A94" s="1"/>
      <c r="B94" s="1"/>
      <c r="C94" s="1"/>
      <c r="D94" s="1"/>
      <c r="E94" s="2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3">
      <c r="A95" s="1"/>
      <c r="B95" s="1"/>
      <c r="C95" s="1"/>
      <c r="D95" s="1"/>
      <c r="E95" s="2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3">
      <c r="A96" s="1"/>
      <c r="B96" s="1"/>
      <c r="C96" s="1"/>
      <c r="D96" s="1"/>
      <c r="E96" s="2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3">
      <c r="A97" s="1"/>
      <c r="B97" s="1"/>
      <c r="C97" s="1"/>
      <c r="D97" s="1"/>
      <c r="E97" s="2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3">
      <c r="A98" s="1"/>
      <c r="B98" s="1"/>
      <c r="C98" s="1"/>
      <c r="D98" s="1"/>
      <c r="E98" s="2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3">
      <c r="A99" s="1"/>
      <c r="B99" s="1"/>
      <c r="C99" s="1"/>
      <c r="D99" s="1"/>
      <c r="E99" s="2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3">
      <c r="A120" s="1"/>
      <c r="B120" s="1"/>
      <c r="C120" s="1"/>
      <c r="D120" s="1"/>
      <c r="E120" s="1"/>
      <c r="F120" s="2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3">
      <c r="A121" s="1"/>
      <c r="B121" s="1"/>
      <c r="C121" s="1"/>
      <c r="D121" s="1"/>
      <c r="E121" s="1"/>
      <c r="F121" s="2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3">
      <c r="A122" s="1"/>
      <c r="B122" s="1"/>
      <c r="C122" s="1"/>
      <c r="D122" s="1"/>
      <c r="E122" s="1"/>
      <c r="F122" s="2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3">
      <c r="A123" s="1"/>
      <c r="B123" s="1"/>
      <c r="C123" s="1"/>
      <c r="D123" s="1"/>
      <c r="E123" s="1"/>
      <c r="F123" s="2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3">
      <c r="A124" s="1"/>
      <c r="B124" s="1"/>
      <c r="C124" s="1"/>
      <c r="D124" s="1"/>
      <c r="E124" s="1"/>
      <c r="F124" s="2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3">
      <c r="A125" s="1"/>
      <c r="B125" s="1"/>
      <c r="C125" s="1"/>
      <c r="D125" s="1"/>
      <c r="E125" s="1"/>
      <c r="F125" s="2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3">
      <c r="A126" s="1"/>
      <c r="B126" s="1"/>
      <c r="C126" s="1"/>
      <c r="D126" s="1"/>
      <c r="E126" s="1"/>
      <c r="F126" s="2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3">
      <c r="A129" s="1"/>
      <c r="B129" s="1"/>
      <c r="C129" s="1"/>
      <c r="D129" s="1"/>
      <c r="E129" s="1"/>
      <c r="F129" s="2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3">
      <c r="A130" s="1"/>
      <c r="B130" s="1"/>
      <c r="C130" s="1"/>
      <c r="D130" s="1"/>
      <c r="E130" s="1"/>
      <c r="F130" s="2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3">
      <c r="A131" s="1"/>
      <c r="B131" s="1"/>
      <c r="C131" s="1"/>
      <c r="D131" s="1"/>
      <c r="E131" s="1"/>
      <c r="F131" s="2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3">
      <c r="A132" s="1"/>
      <c r="B132" s="1"/>
      <c r="C132" s="1"/>
      <c r="D132" s="1"/>
      <c r="E132" s="1"/>
      <c r="F132" s="2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3">
      <c r="A133" s="1"/>
      <c r="B133" s="1"/>
      <c r="C133" s="1"/>
      <c r="D133" s="1"/>
      <c r="E133" s="1"/>
      <c r="F133" s="2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3">
      <c r="A134" s="1"/>
      <c r="B134" s="1"/>
      <c r="C134" s="1"/>
      <c r="D134" s="1"/>
      <c r="E134" s="1"/>
      <c r="F134" s="2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3">
      <c r="A135" s="1"/>
      <c r="B135" s="1"/>
      <c r="C135" s="1"/>
      <c r="D135" s="1"/>
      <c r="E135" s="1"/>
      <c r="F135" s="2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3">
      <c r="A140" s="1"/>
      <c r="B140" s="1"/>
      <c r="C140" s="1"/>
      <c r="D140" s="1"/>
      <c r="E140" s="2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3">
      <c r="A141" s="1"/>
      <c r="B141" s="1"/>
      <c r="C141" s="1"/>
      <c r="D141" s="1"/>
      <c r="E141" s="2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3">
      <c r="A142" s="1"/>
      <c r="B142" s="1"/>
      <c r="C142" s="1"/>
      <c r="D142" s="1"/>
      <c r="E142" s="2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3">
      <c r="A143" s="1"/>
      <c r="B143" s="1"/>
      <c r="C143" s="1"/>
      <c r="D143" s="1"/>
      <c r="E143" s="2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3">
      <c r="A144" s="1"/>
      <c r="B144" s="1"/>
      <c r="C144" s="1"/>
      <c r="D144" s="1"/>
      <c r="E144" s="2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3">
      <c r="A145" s="1"/>
      <c r="B145" s="1"/>
      <c r="C145" s="1"/>
      <c r="D145" s="1"/>
      <c r="E145" s="2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3">
      <c r="A146" s="1"/>
      <c r="B146" s="1"/>
      <c r="C146" s="1"/>
      <c r="D146" s="1"/>
      <c r="E146" s="2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3">
      <c r="A149" s="1"/>
      <c r="B149" s="1"/>
      <c r="C149" s="1"/>
      <c r="D149" s="1"/>
      <c r="E149" s="2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2"/>
    <row r="152" spans="1:19" ht="15.75" customHeight="1" x14ac:dyDescent="0.2"/>
    <row r="153" spans="1:19" ht="15.75" customHeight="1" x14ac:dyDescent="0.2"/>
    <row r="154" spans="1:19" ht="15.75" customHeight="1" x14ac:dyDescent="0.2"/>
    <row r="155" spans="1:19" ht="15.75" customHeight="1" x14ac:dyDescent="0.2"/>
    <row r="156" spans="1:19" ht="15.75" customHeight="1" x14ac:dyDescent="0.2"/>
    <row r="157" spans="1:19" ht="15.75" customHeight="1" x14ac:dyDescent="0.2"/>
    <row r="158" spans="1:19" ht="15.75" customHeight="1" x14ac:dyDescent="0.2"/>
    <row r="159" spans="1:19" ht="15.75" customHeight="1" x14ac:dyDescent="0.2"/>
    <row r="160" spans="1:19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conditionalFormatting sqref="D30:D36 D50:D53 D57:D60 D14:D26 I47:I53 D3:D11 D40:D46 I9:I17 I21:I34 I38:I43 I57:I60">
    <cfRule type="cellIs" dxfId="0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Talita Botelho Maia</dc:creator>
  <cp:lastModifiedBy>Talita Botelho Maia</cp:lastModifiedBy>
  <dcterms:created xsi:type="dcterms:W3CDTF">2019-03-29T11:56:53Z</dcterms:created>
  <dcterms:modified xsi:type="dcterms:W3CDTF">2019-03-29T11:56:53Z</dcterms:modified>
</cp:coreProperties>
</file>