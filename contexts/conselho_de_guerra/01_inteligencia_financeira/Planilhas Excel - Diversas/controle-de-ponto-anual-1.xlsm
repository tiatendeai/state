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date1904="1" codeName="EstaPasta_de_trabalho"/>
  <bookViews>
    <workbookView xWindow="0" yWindow="0" windowWidth="3795" windowHeight="2760" tabRatio="742" activeTab="5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7"/>
  <definedNames>
    <definedName name="CARENCIA">Config!$D$5</definedName>
    <definedName name="CONT_MES_ANTERIOR">Config!$D$7</definedName>
    <definedName name="JORNADA">Config!$D$9</definedName>
    <definedName name="JORNADA_PERIODO_1">Config!$D$24</definedName>
    <definedName name="JORNADA_PERIODO_2">Config!$D$25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5" l="1"/>
  <c r="P9" i="15" l="1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7" i="1" l="1"/>
  <c r="G14" i="3"/>
  <c r="G15" i="3"/>
  <c r="G16" i="3"/>
  <c r="G17" i="3"/>
  <c r="G18" i="3"/>
  <c r="G19" i="3"/>
  <c r="G20" i="3"/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N9" i="15" s="1"/>
  <c r="J10" i="15"/>
  <c r="N10" i="15" s="1"/>
  <c r="J11" i="15"/>
  <c r="J12" i="15"/>
  <c r="J13" i="15"/>
  <c r="N13" i="15" s="1"/>
  <c r="J14" i="15"/>
  <c r="N14" i="15" s="1"/>
  <c r="J15" i="15"/>
  <c r="J16" i="15"/>
  <c r="J17" i="15"/>
  <c r="N17" i="15" s="1"/>
  <c r="J18" i="15"/>
  <c r="N18" i="15" s="1"/>
  <c r="J19" i="15"/>
  <c r="J20" i="15"/>
  <c r="J21" i="15"/>
  <c r="N21" i="15" s="1"/>
  <c r="J22" i="15"/>
  <c r="N22" i="15" s="1"/>
  <c r="J23" i="15"/>
  <c r="J24" i="15"/>
  <c r="J25" i="15"/>
  <c r="N25" i="15" s="1"/>
  <c r="J26" i="15"/>
  <c r="N26" i="15" s="1"/>
  <c r="J27" i="15"/>
  <c r="J28" i="15"/>
  <c r="J29" i="15"/>
  <c r="N29" i="15" s="1"/>
  <c r="J30" i="15"/>
  <c r="N30" i="15" s="1"/>
  <c r="J31" i="15"/>
  <c r="J32" i="15"/>
  <c r="J33" i="15"/>
  <c r="N33" i="15" s="1"/>
  <c r="J34" i="15"/>
  <c r="N34" i="15" s="1"/>
  <c r="J35" i="15"/>
  <c r="J36" i="15"/>
  <c r="J37" i="15"/>
  <c r="N37" i="15" s="1"/>
  <c r="J38" i="15"/>
  <c r="J39" i="15"/>
  <c r="J9" i="14"/>
  <c r="J10" i="14"/>
  <c r="N10" i="14" s="1"/>
  <c r="J11" i="14"/>
  <c r="N11" i="14" s="1"/>
  <c r="J12" i="14"/>
  <c r="J13" i="14"/>
  <c r="J14" i="14"/>
  <c r="N14" i="14" s="1"/>
  <c r="J15" i="14"/>
  <c r="N15" i="14" s="1"/>
  <c r="J16" i="14"/>
  <c r="J17" i="14"/>
  <c r="J18" i="14"/>
  <c r="N18" i="14" s="1"/>
  <c r="J19" i="14"/>
  <c r="N19" i="14" s="1"/>
  <c r="J20" i="14"/>
  <c r="J21" i="14"/>
  <c r="J22" i="14"/>
  <c r="N22" i="14" s="1"/>
  <c r="J23" i="14"/>
  <c r="N23" i="14" s="1"/>
  <c r="J24" i="14"/>
  <c r="J25" i="14"/>
  <c r="J26" i="14"/>
  <c r="N26" i="14" s="1"/>
  <c r="J27" i="14"/>
  <c r="N27" i="14" s="1"/>
  <c r="J28" i="14"/>
  <c r="J29" i="14"/>
  <c r="J30" i="14"/>
  <c r="N30" i="14" s="1"/>
  <c r="J31" i="14"/>
  <c r="N31" i="14" s="1"/>
  <c r="J32" i="14"/>
  <c r="J33" i="14"/>
  <c r="J34" i="14"/>
  <c r="N34" i="14" s="1"/>
  <c r="J35" i="14"/>
  <c r="N35" i="14" s="1"/>
  <c r="J36" i="14"/>
  <c r="J37" i="14"/>
  <c r="J38" i="14"/>
  <c r="N38" i="14" s="1"/>
  <c r="J39" i="14"/>
  <c r="N39" i="14" s="1"/>
  <c r="J9" i="13"/>
  <c r="J10" i="13"/>
  <c r="J11" i="13"/>
  <c r="N11" i="13" s="1"/>
  <c r="J12" i="13"/>
  <c r="N12" i="13" s="1"/>
  <c r="J13" i="13"/>
  <c r="J14" i="13"/>
  <c r="J15" i="13"/>
  <c r="N15" i="13" s="1"/>
  <c r="J16" i="13"/>
  <c r="N16" i="13" s="1"/>
  <c r="J17" i="13"/>
  <c r="J18" i="13"/>
  <c r="J19" i="13"/>
  <c r="N19" i="13" s="1"/>
  <c r="J20" i="13"/>
  <c r="N20" i="13" s="1"/>
  <c r="J21" i="13"/>
  <c r="J22" i="13"/>
  <c r="J23" i="13"/>
  <c r="N23" i="13" s="1"/>
  <c r="J24" i="13"/>
  <c r="N24" i="13" s="1"/>
  <c r="J25" i="13"/>
  <c r="J26" i="13"/>
  <c r="J27" i="13"/>
  <c r="N27" i="13" s="1"/>
  <c r="J28" i="13"/>
  <c r="N28" i="13" s="1"/>
  <c r="J29" i="13"/>
  <c r="J30" i="13"/>
  <c r="J31" i="13"/>
  <c r="N31" i="13" s="1"/>
  <c r="J32" i="13"/>
  <c r="N32" i="13" s="1"/>
  <c r="J33" i="13"/>
  <c r="J34" i="13"/>
  <c r="J35" i="13"/>
  <c r="N35" i="13" s="1"/>
  <c r="J36" i="13"/>
  <c r="N36" i="13" s="1"/>
  <c r="J37" i="13"/>
  <c r="J38" i="13"/>
  <c r="J39" i="13"/>
  <c r="N39" i="13" s="1"/>
  <c r="J9" i="12"/>
  <c r="N9" i="12" s="1"/>
  <c r="J10" i="12"/>
  <c r="J11" i="12"/>
  <c r="J12" i="12"/>
  <c r="N12" i="12" s="1"/>
  <c r="J13" i="12"/>
  <c r="N13" i="12" s="1"/>
  <c r="J14" i="12"/>
  <c r="J15" i="12"/>
  <c r="J16" i="12"/>
  <c r="N16" i="12" s="1"/>
  <c r="J17" i="12"/>
  <c r="N17" i="12" s="1"/>
  <c r="J18" i="12"/>
  <c r="J19" i="12"/>
  <c r="J20" i="12"/>
  <c r="N20" i="12" s="1"/>
  <c r="J21" i="12"/>
  <c r="N21" i="12" s="1"/>
  <c r="J22" i="12"/>
  <c r="J23" i="12"/>
  <c r="J24" i="12"/>
  <c r="N24" i="12" s="1"/>
  <c r="J25" i="12"/>
  <c r="N25" i="12" s="1"/>
  <c r="J26" i="12"/>
  <c r="J27" i="12"/>
  <c r="J28" i="12"/>
  <c r="N28" i="12" s="1"/>
  <c r="J29" i="12"/>
  <c r="N29" i="12" s="1"/>
  <c r="J30" i="12"/>
  <c r="J31" i="12"/>
  <c r="J32" i="12"/>
  <c r="N32" i="12" s="1"/>
  <c r="J33" i="12"/>
  <c r="N33" i="12" s="1"/>
  <c r="J34" i="12"/>
  <c r="J35" i="12"/>
  <c r="J36" i="12"/>
  <c r="N36" i="12" s="1"/>
  <c r="J37" i="12"/>
  <c r="N37" i="12" s="1"/>
  <c r="J38" i="12"/>
  <c r="J39" i="12"/>
  <c r="J9" i="11"/>
  <c r="N9" i="11" s="1"/>
  <c r="J10" i="11"/>
  <c r="N10" i="11" s="1"/>
  <c r="J11" i="11"/>
  <c r="J12" i="11"/>
  <c r="J13" i="11"/>
  <c r="N13" i="11" s="1"/>
  <c r="J14" i="11"/>
  <c r="N14" i="11" s="1"/>
  <c r="J15" i="11"/>
  <c r="J16" i="11"/>
  <c r="J17" i="11"/>
  <c r="N17" i="11" s="1"/>
  <c r="J18" i="11"/>
  <c r="N18" i="11" s="1"/>
  <c r="J19" i="11"/>
  <c r="J20" i="11"/>
  <c r="J21" i="11"/>
  <c r="N21" i="11" s="1"/>
  <c r="J22" i="11"/>
  <c r="N22" i="11" s="1"/>
  <c r="J23" i="11"/>
  <c r="J24" i="11"/>
  <c r="J25" i="11"/>
  <c r="N25" i="11" s="1"/>
  <c r="J26" i="11"/>
  <c r="N26" i="11" s="1"/>
  <c r="J27" i="11"/>
  <c r="J28" i="11"/>
  <c r="J29" i="11"/>
  <c r="N29" i="11" s="1"/>
  <c r="J30" i="11"/>
  <c r="N30" i="11" s="1"/>
  <c r="J31" i="11"/>
  <c r="J32" i="11"/>
  <c r="J33" i="11"/>
  <c r="N33" i="11" s="1"/>
  <c r="J34" i="11"/>
  <c r="N34" i="11" s="1"/>
  <c r="J35" i="11"/>
  <c r="J36" i="11"/>
  <c r="J37" i="11"/>
  <c r="N37" i="11" s="1"/>
  <c r="J38" i="11"/>
  <c r="N38" i="11" s="1"/>
  <c r="J39" i="11"/>
  <c r="J9" i="10"/>
  <c r="J10" i="10"/>
  <c r="N10" i="10" s="1"/>
  <c r="J11" i="10"/>
  <c r="N11" i="10" s="1"/>
  <c r="J12" i="10"/>
  <c r="J13" i="10"/>
  <c r="J14" i="10"/>
  <c r="N14" i="10" s="1"/>
  <c r="J15" i="10"/>
  <c r="N15" i="10" s="1"/>
  <c r="J16" i="10"/>
  <c r="J17" i="10"/>
  <c r="J18" i="10"/>
  <c r="N18" i="10" s="1"/>
  <c r="J19" i="10"/>
  <c r="N19" i="10" s="1"/>
  <c r="J20" i="10"/>
  <c r="J21" i="10"/>
  <c r="J22" i="10"/>
  <c r="N22" i="10" s="1"/>
  <c r="J23" i="10"/>
  <c r="N23" i="10" s="1"/>
  <c r="J24" i="10"/>
  <c r="J25" i="10"/>
  <c r="J26" i="10"/>
  <c r="N26" i="10" s="1"/>
  <c r="J27" i="10"/>
  <c r="N27" i="10" s="1"/>
  <c r="J28" i="10"/>
  <c r="J29" i="10"/>
  <c r="J30" i="10"/>
  <c r="N30" i="10" s="1"/>
  <c r="J31" i="10"/>
  <c r="N31" i="10" s="1"/>
  <c r="J32" i="10"/>
  <c r="J33" i="10"/>
  <c r="J34" i="10"/>
  <c r="N34" i="10" s="1"/>
  <c r="J35" i="10"/>
  <c r="N35" i="10" s="1"/>
  <c r="J36" i="10"/>
  <c r="J37" i="10"/>
  <c r="J38" i="10"/>
  <c r="N38" i="10" s="1"/>
  <c r="J39" i="10"/>
  <c r="N39" i="10" s="1"/>
  <c r="J9" i="9"/>
  <c r="J10" i="9"/>
  <c r="J11" i="9"/>
  <c r="N11" i="9" s="1"/>
  <c r="J12" i="9"/>
  <c r="N12" i="9" s="1"/>
  <c r="J13" i="9"/>
  <c r="J14" i="9"/>
  <c r="J15" i="9"/>
  <c r="N15" i="9" s="1"/>
  <c r="J16" i="9"/>
  <c r="N16" i="9" s="1"/>
  <c r="J17" i="9"/>
  <c r="J18" i="9"/>
  <c r="J19" i="9"/>
  <c r="N19" i="9" s="1"/>
  <c r="J20" i="9"/>
  <c r="N20" i="9" s="1"/>
  <c r="J21" i="9"/>
  <c r="J22" i="9"/>
  <c r="J23" i="9"/>
  <c r="N23" i="9" s="1"/>
  <c r="J24" i="9"/>
  <c r="N24" i="9" s="1"/>
  <c r="J25" i="9"/>
  <c r="J26" i="9"/>
  <c r="J27" i="9"/>
  <c r="N27" i="9" s="1"/>
  <c r="J28" i="9"/>
  <c r="N28" i="9" s="1"/>
  <c r="J29" i="9"/>
  <c r="J30" i="9"/>
  <c r="J31" i="9"/>
  <c r="N31" i="9" s="1"/>
  <c r="J32" i="9"/>
  <c r="N32" i="9" s="1"/>
  <c r="J33" i="9"/>
  <c r="J34" i="9"/>
  <c r="J35" i="9"/>
  <c r="N35" i="9" s="1"/>
  <c r="J36" i="9"/>
  <c r="N36" i="9" s="1"/>
  <c r="J37" i="9"/>
  <c r="J38" i="9"/>
  <c r="J39" i="9"/>
  <c r="N39" i="9" s="1"/>
  <c r="J9" i="8"/>
  <c r="N9" i="8" s="1"/>
  <c r="J10" i="8"/>
  <c r="J11" i="8"/>
  <c r="J12" i="8"/>
  <c r="N12" i="8" s="1"/>
  <c r="J13" i="8"/>
  <c r="N13" i="8" s="1"/>
  <c r="J14" i="8"/>
  <c r="J15" i="8"/>
  <c r="J16" i="8"/>
  <c r="N16" i="8" s="1"/>
  <c r="J17" i="8"/>
  <c r="N17" i="8" s="1"/>
  <c r="J18" i="8"/>
  <c r="J19" i="8"/>
  <c r="J20" i="8"/>
  <c r="N20" i="8" s="1"/>
  <c r="J21" i="8"/>
  <c r="N21" i="8" s="1"/>
  <c r="J22" i="8"/>
  <c r="J23" i="8"/>
  <c r="J24" i="8"/>
  <c r="N24" i="8" s="1"/>
  <c r="J25" i="8"/>
  <c r="N25" i="8" s="1"/>
  <c r="J26" i="8"/>
  <c r="J27" i="8"/>
  <c r="J28" i="8"/>
  <c r="N28" i="8" s="1"/>
  <c r="J29" i="8"/>
  <c r="N29" i="8" s="1"/>
  <c r="J30" i="8"/>
  <c r="J31" i="8"/>
  <c r="J32" i="8"/>
  <c r="N32" i="8" s="1"/>
  <c r="J33" i="8"/>
  <c r="N33" i="8" s="1"/>
  <c r="J34" i="8"/>
  <c r="J35" i="8"/>
  <c r="J36" i="8"/>
  <c r="N36" i="8" s="1"/>
  <c r="J37" i="8"/>
  <c r="N37" i="8" s="1"/>
  <c r="J38" i="8"/>
  <c r="J39" i="8"/>
  <c r="J9" i="7"/>
  <c r="N9" i="7" s="1"/>
  <c r="J10" i="7"/>
  <c r="N10" i="7" s="1"/>
  <c r="J11" i="7"/>
  <c r="J12" i="7"/>
  <c r="J13" i="7"/>
  <c r="N13" i="7" s="1"/>
  <c r="J14" i="7"/>
  <c r="N14" i="7" s="1"/>
  <c r="J15" i="7"/>
  <c r="J16" i="7"/>
  <c r="J17" i="7"/>
  <c r="N17" i="7" s="1"/>
  <c r="J18" i="7"/>
  <c r="N18" i="7" s="1"/>
  <c r="J19" i="7"/>
  <c r="J20" i="7"/>
  <c r="J21" i="7"/>
  <c r="N21" i="7" s="1"/>
  <c r="J22" i="7"/>
  <c r="N22" i="7" s="1"/>
  <c r="J23" i="7"/>
  <c r="J24" i="7"/>
  <c r="J25" i="7"/>
  <c r="N25" i="7" s="1"/>
  <c r="J26" i="7"/>
  <c r="N26" i="7" s="1"/>
  <c r="J27" i="7"/>
  <c r="J28" i="7"/>
  <c r="J29" i="7"/>
  <c r="N29" i="7" s="1"/>
  <c r="J30" i="7"/>
  <c r="N30" i="7" s="1"/>
  <c r="J31" i="7"/>
  <c r="J32" i="7"/>
  <c r="J33" i="7"/>
  <c r="N33" i="7" s="1"/>
  <c r="J34" i="7"/>
  <c r="N34" i="7" s="1"/>
  <c r="J35" i="7"/>
  <c r="J36" i="7"/>
  <c r="J37" i="7"/>
  <c r="N37" i="7" s="1"/>
  <c r="J38" i="7"/>
  <c r="N38" i="7" s="1"/>
  <c r="J39" i="7"/>
  <c r="J9" i="6"/>
  <c r="J10" i="6"/>
  <c r="N10" i="6" s="1"/>
  <c r="J11" i="6"/>
  <c r="J12" i="6"/>
  <c r="J13" i="6"/>
  <c r="J14" i="6"/>
  <c r="N14" i="6" s="1"/>
  <c r="J15" i="6"/>
  <c r="J16" i="6"/>
  <c r="J17" i="6"/>
  <c r="J18" i="6"/>
  <c r="N18" i="6" s="1"/>
  <c r="J19" i="6"/>
  <c r="J20" i="6"/>
  <c r="J21" i="6"/>
  <c r="J22" i="6"/>
  <c r="N22" i="6" s="1"/>
  <c r="J23" i="6"/>
  <c r="J24" i="6"/>
  <c r="J25" i="6"/>
  <c r="J26" i="6"/>
  <c r="N26" i="6" s="1"/>
  <c r="J27" i="6"/>
  <c r="J28" i="6"/>
  <c r="J29" i="6"/>
  <c r="J30" i="6"/>
  <c r="N30" i="6" s="1"/>
  <c r="J31" i="6"/>
  <c r="J32" i="6"/>
  <c r="J33" i="6"/>
  <c r="J34" i="6"/>
  <c r="N34" i="6" s="1"/>
  <c r="J35" i="6"/>
  <c r="J36" i="6"/>
  <c r="J37" i="6"/>
  <c r="J38" i="6"/>
  <c r="N38" i="6" s="1"/>
  <c r="J39" i="6"/>
  <c r="J9" i="5"/>
  <c r="J10" i="5"/>
  <c r="J11" i="5"/>
  <c r="N11" i="5" s="1"/>
  <c r="J12" i="5"/>
  <c r="N12" i="5" s="1"/>
  <c r="J13" i="5"/>
  <c r="J14" i="5"/>
  <c r="J15" i="5"/>
  <c r="N15" i="5" s="1"/>
  <c r="J16" i="5"/>
  <c r="N16" i="5" s="1"/>
  <c r="J17" i="5"/>
  <c r="J18" i="5"/>
  <c r="J19" i="5"/>
  <c r="N19" i="5" s="1"/>
  <c r="J20" i="5"/>
  <c r="N20" i="5" s="1"/>
  <c r="J21" i="5"/>
  <c r="J22" i="5"/>
  <c r="J23" i="5"/>
  <c r="N23" i="5" s="1"/>
  <c r="J24" i="5"/>
  <c r="N24" i="5" s="1"/>
  <c r="J25" i="5"/>
  <c r="J26" i="5"/>
  <c r="J27" i="5"/>
  <c r="N27" i="5" s="1"/>
  <c r="J28" i="5"/>
  <c r="N28" i="5" s="1"/>
  <c r="J29" i="5"/>
  <c r="J30" i="5"/>
  <c r="J31" i="5"/>
  <c r="N31" i="5" s="1"/>
  <c r="J32" i="5"/>
  <c r="N32" i="5" s="1"/>
  <c r="J33" i="5"/>
  <c r="J34" i="5"/>
  <c r="J35" i="5"/>
  <c r="N35" i="5" s="1"/>
  <c r="J36" i="5"/>
  <c r="N36" i="5" s="1"/>
  <c r="J37" i="5"/>
  <c r="J38" i="5"/>
  <c r="J39" i="5"/>
  <c r="N39" i="5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J12" i="1"/>
  <c r="J13" i="1"/>
  <c r="J14" i="1"/>
  <c r="J15" i="1"/>
  <c r="N15" i="1" s="1"/>
  <c r="J16" i="1"/>
  <c r="J17" i="1"/>
  <c r="J18" i="1"/>
  <c r="J19" i="1"/>
  <c r="N19" i="1" s="1"/>
  <c r="J20" i="1"/>
  <c r="J21" i="1"/>
  <c r="J22" i="1"/>
  <c r="J23" i="1"/>
  <c r="N23" i="1" s="1"/>
  <c r="J24" i="1"/>
  <c r="J25" i="1"/>
  <c r="J26" i="1"/>
  <c r="J27" i="1"/>
  <c r="N27" i="1" s="1"/>
  <c r="J28" i="1"/>
  <c r="J29" i="1"/>
  <c r="J30" i="1"/>
  <c r="J31" i="1"/>
  <c r="N31" i="1" s="1"/>
  <c r="J32" i="1"/>
  <c r="J33" i="1"/>
  <c r="J34" i="1"/>
  <c r="J35" i="1"/>
  <c r="N35" i="1" s="1"/>
  <c r="J36" i="1"/>
  <c r="J37" i="1"/>
  <c r="J38" i="1"/>
  <c r="J39" i="1"/>
  <c r="N39" i="1" s="1"/>
  <c r="F22" i="3"/>
  <c r="G22" i="3" s="1"/>
  <c r="N11" i="1" l="1"/>
  <c r="N39" i="6"/>
  <c r="N35" i="6"/>
  <c r="N31" i="6"/>
  <c r="N27" i="6"/>
  <c r="N23" i="6"/>
  <c r="N19" i="6"/>
  <c r="N15" i="6"/>
  <c r="N11" i="6"/>
  <c r="N38" i="15"/>
  <c r="N37" i="5"/>
  <c r="N33" i="5"/>
  <c r="N29" i="5"/>
  <c r="N25" i="5"/>
  <c r="N21" i="5"/>
  <c r="N17" i="5"/>
  <c r="N13" i="5"/>
  <c r="N9" i="5"/>
  <c r="N36" i="6"/>
  <c r="N32" i="6"/>
  <c r="N28" i="6"/>
  <c r="N24" i="6"/>
  <c r="N20" i="6"/>
  <c r="N16" i="6"/>
  <c r="N12" i="6"/>
  <c r="N39" i="7"/>
  <c r="N35" i="7"/>
  <c r="N31" i="7"/>
  <c r="N27" i="7"/>
  <c r="N23" i="7"/>
  <c r="N19" i="7"/>
  <c r="N15" i="7"/>
  <c r="N11" i="7"/>
  <c r="N38" i="8"/>
  <c r="N34" i="8"/>
  <c r="N30" i="8"/>
  <c r="N26" i="8"/>
  <c r="N22" i="8"/>
  <c r="N18" i="8"/>
  <c r="N14" i="8"/>
  <c r="N10" i="8"/>
  <c r="N37" i="9"/>
  <c r="N33" i="9"/>
  <c r="N29" i="9"/>
  <c r="N25" i="9"/>
  <c r="N21" i="9"/>
  <c r="N17" i="9"/>
  <c r="N13" i="9"/>
  <c r="N9" i="9"/>
  <c r="N36" i="10"/>
  <c r="N32" i="10"/>
  <c r="N28" i="10"/>
  <c r="N24" i="10"/>
  <c r="N20" i="10"/>
  <c r="N16" i="10"/>
  <c r="N12" i="10"/>
  <c r="N39" i="11"/>
  <c r="N35" i="11"/>
  <c r="N31" i="11"/>
  <c r="N27" i="11"/>
  <c r="N23" i="11"/>
  <c r="N19" i="11"/>
  <c r="N15" i="11"/>
  <c r="N11" i="11"/>
  <c r="N38" i="12"/>
  <c r="N34" i="12"/>
  <c r="N30" i="12"/>
  <c r="N26" i="12"/>
  <c r="N22" i="12"/>
  <c r="N18" i="12"/>
  <c r="N14" i="12"/>
  <c r="N10" i="12"/>
  <c r="N37" i="13"/>
  <c r="N33" i="13"/>
  <c r="N29" i="13"/>
  <c r="N25" i="13"/>
  <c r="N21" i="13"/>
  <c r="N17" i="13"/>
  <c r="N13" i="13"/>
  <c r="N9" i="13"/>
  <c r="N36" i="14"/>
  <c r="N32" i="14"/>
  <c r="N28" i="14"/>
  <c r="N24" i="14"/>
  <c r="N20" i="14"/>
  <c r="N16" i="14"/>
  <c r="N12" i="14"/>
  <c r="N39" i="15"/>
  <c r="N35" i="15"/>
  <c r="N31" i="15"/>
  <c r="N27" i="15"/>
  <c r="N23" i="15"/>
  <c r="N19" i="15"/>
  <c r="N15" i="15"/>
  <c r="N11" i="15"/>
  <c r="N38" i="1"/>
  <c r="N26" i="1"/>
  <c r="N34" i="1"/>
  <c r="N22" i="1"/>
  <c r="N14" i="1"/>
  <c r="N37" i="1"/>
  <c r="N29" i="1"/>
  <c r="N21" i="1"/>
  <c r="N13" i="1"/>
  <c r="N30" i="1"/>
  <c r="N18" i="1"/>
  <c r="N33" i="1"/>
  <c r="N25" i="1"/>
  <c r="N17" i="1"/>
  <c r="N9" i="1"/>
  <c r="O9" i="1" s="1"/>
  <c r="N36" i="1"/>
  <c r="N32" i="1"/>
  <c r="N28" i="1"/>
  <c r="N24" i="1"/>
  <c r="N20" i="1"/>
  <c r="N16" i="1"/>
  <c r="N12" i="1"/>
  <c r="N38" i="5"/>
  <c r="N34" i="5"/>
  <c r="N30" i="5"/>
  <c r="N26" i="5"/>
  <c r="N22" i="5"/>
  <c r="N18" i="5"/>
  <c r="N14" i="5"/>
  <c r="N10" i="5"/>
  <c r="N37" i="6"/>
  <c r="N33" i="6"/>
  <c r="N29" i="6"/>
  <c r="N25" i="6"/>
  <c r="N21" i="6"/>
  <c r="N17" i="6"/>
  <c r="N13" i="6"/>
  <c r="N9" i="6"/>
  <c r="N36" i="7"/>
  <c r="N32" i="7"/>
  <c r="N28" i="7"/>
  <c r="N24" i="7"/>
  <c r="N20" i="7"/>
  <c r="N16" i="7"/>
  <c r="N12" i="7"/>
  <c r="N39" i="8"/>
  <c r="N35" i="8"/>
  <c r="N31" i="8"/>
  <c r="N27" i="8"/>
  <c r="N23" i="8"/>
  <c r="N19" i="8"/>
  <c r="N15" i="8"/>
  <c r="N11" i="8"/>
  <c r="N38" i="9"/>
  <c r="N34" i="9"/>
  <c r="N30" i="9"/>
  <c r="N26" i="9"/>
  <c r="N22" i="9"/>
  <c r="N18" i="9"/>
  <c r="N14" i="9"/>
  <c r="N10" i="9"/>
  <c r="N37" i="10"/>
  <c r="N33" i="10"/>
  <c r="N29" i="10"/>
  <c r="N25" i="10"/>
  <c r="N21" i="10"/>
  <c r="N17" i="10"/>
  <c r="N13" i="10"/>
  <c r="N9" i="10"/>
  <c r="N36" i="11"/>
  <c r="N32" i="11"/>
  <c r="N28" i="11"/>
  <c r="N24" i="11"/>
  <c r="N20" i="11"/>
  <c r="N16" i="11"/>
  <c r="N12" i="11"/>
  <c r="N39" i="12"/>
  <c r="N35" i="12"/>
  <c r="N31" i="12"/>
  <c r="N27" i="12"/>
  <c r="N23" i="12"/>
  <c r="N19" i="12"/>
  <c r="N15" i="12"/>
  <c r="N11" i="12"/>
  <c r="N38" i="13"/>
  <c r="N34" i="13"/>
  <c r="N30" i="13"/>
  <c r="N26" i="13"/>
  <c r="N22" i="13"/>
  <c r="N18" i="13"/>
  <c r="N14" i="13"/>
  <c r="N10" i="13"/>
  <c r="N37" i="14"/>
  <c r="N33" i="14"/>
  <c r="N29" i="14"/>
  <c r="N25" i="14"/>
  <c r="N21" i="14"/>
  <c r="N17" i="14"/>
  <c r="N13" i="14"/>
  <c r="N9" i="14"/>
  <c r="N36" i="15"/>
  <c r="N32" i="15"/>
  <c r="N28" i="15"/>
  <c r="N24" i="15"/>
  <c r="N20" i="15"/>
  <c r="N16" i="15"/>
  <c r="N12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E6" i="15"/>
  <c r="D6" i="15"/>
  <c r="O1" i="15"/>
  <c r="U39" i="14"/>
  <c r="U38" i="14"/>
  <c r="U37" i="14"/>
  <c r="U36" i="14"/>
  <c r="U35" i="14"/>
  <c r="U34" i="14"/>
  <c r="U33" i="14"/>
  <c r="U32" i="14"/>
  <c r="U31" i="14"/>
  <c r="U30" i="14"/>
  <c r="U29" i="14"/>
  <c r="U28" i="14"/>
  <c r="U27" i="14"/>
  <c r="U26" i="14"/>
  <c r="U25" i="14"/>
  <c r="U24" i="14"/>
  <c r="U23" i="14"/>
  <c r="U22" i="14"/>
  <c r="U21" i="14"/>
  <c r="U20" i="14"/>
  <c r="U19" i="14"/>
  <c r="L19" i="14"/>
  <c r="U18" i="14"/>
  <c r="U17" i="14"/>
  <c r="U16" i="14"/>
  <c r="U15" i="14"/>
  <c r="U14" i="14"/>
  <c r="U13" i="14"/>
  <c r="U12" i="14"/>
  <c r="U11" i="14"/>
  <c r="U10" i="14"/>
  <c r="U9" i="14"/>
  <c r="E6" i="14"/>
  <c r="D6" i="14"/>
  <c r="O1" i="14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E6" i="13"/>
  <c r="D6" i="13"/>
  <c r="O1" i="13"/>
  <c r="U39" i="12"/>
  <c r="U38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9" i="12"/>
  <c r="E6" i="12"/>
  <c r="D6" i="12"/>
  <c r="O1" i="12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E6" i="11"/>
  <c r="D6" i="11"/>
  <c r="O1" i="11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E6" i="10"/>
  <c r="D6" i="10"/>
  <c r="O1" i="10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E6" i="9"/>
  <c r="D6" i="9"/>
  <c r="O1" i="9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E6" i="8"/>
  <c r="D6" i="8"/>
  <c r="O1" i="8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E6" i="7"/>
  <c r="D6" i="7"/>
  <c r="O1" i="7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E6" i="6"/>
  <c r="D6" i="6"/>
  <c r="O1" i="6"/>
  <c r="E6" i="5"/>
  <c r="D6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O1" i="5"/>
  <c r="F6" i="9" l="1"/>
  <c r="B9" i="9" s="1"/>
  <c r="F6" i="6"/>
  <c r="B9" i="6" s="1"/>
  <c r="F6" i="7"/>
  <c r="B9" i="7" s="1"/>
  <c r="C9" i="7" s="1"/>
  <c r="F6" i="8"/>
  <c r="B9" i="8" s="1"/>
  <c r="L16" i="15"/>
  <c r="L32" i="15"/>
  <c r="F6" i="11"/>
  <c r="B9" i="11" s="1"/>
  <c r="B10" i="11" s="1"/>
  <c r="F6" i="12"/>
  <c r="B9" i="12" s="1"/>
  <c r="F6" i="15"/>
  <c r="B9" i="15" s="1"/>
  <c r="B10" i="15" s="1"/>
  <c r="L39" i="15"/>
  <c r="L28" i="10"/>
  <c r="L33" i="12"/>
  <c r="L18" i="14"/>
  <c r="L33" i="14"/>
  <c r="T11" i="15"/>
  <c r="S27" i="15"/>
  <c r="Q18" i="15"/>
  <c r="Q22" i="15"/>
  <c r="T34" i="15"/>
  <c r="Q38" i="15"/>
  <c r="S9" i="15"/>
  <c r="S13" i="15"/>
  <c r="T25" i="15"/>
  <c r="Q29" i="15"/>
  <c r="Q21" i="14"/>
  <c r="L25" i="14"/>
  <c r="Q33" i="14"/>
  <c r="Q38" i="14"/>
  <c r="L12" i="7"/>
  <c r="L28" i="7"/>
  <c r="L24" i="8"/>
  <c r="S30" i="11"/>
  <c r="L18" i="12"/>
  <c r="L26" i="12"/>
  <c r="L30" i="12"/>
  <c r="S35" i="12"/>
  <c r="F6" i="13"/>
  <c r="B9" i="13" s="1"/>
  <c r="C9" i="13" s="1"/>
  <c r="L10" i="13"/>
  <c r="L14" i="13"/>
  <c r="L19" i="13"/>
  <c r="S30" i="13"/>
  <c r="L31" i="13"/>
  <c r="T22" i="14"/>
  <c r="S31" i="14"/>
  <c r="L35" i="14"/>
  <c r="Q17" i="15"/>
  <c r="S21" i="15"/>
  <c r="Q26" i="15"/>
  <c r="Q30" i="15"/>
  <c r="Q35" i="15"/>
  <c r="S39" i="15"/>
  <c r="L23" i="9"/>
  <c r="L31" i="9"/>
  <c r="F6" i="10"/>
  <c r="B9" i="10" s="1"/>
  <c r="B10" i="10" s="1"/>
  <c r="M10" i="10" s="1"/>
  <c r="L11" i="10"/>
  <c r="L15" i="10"/>
  <c r="S26" i="10"/>
  <c r="L27" i="10"/>
  <c r="Q35" i="10"/>
  <c r="L36" i="10"/>
  <c r="T15" i="11"/>
  <c r="L20" i="11"/>
  <c r="L11" i="12"/>
  <c r="L19" i="12"/>
  <c r="L27" i="12"/>
  <c r="L31" i="12"/>
  <c r="T36" i="12"/>
  <c r="L37" i="12"/>
  <c r="Q12" i="13"/>
  <c r="L16" i="13"/>
  <c r="L20" i="13"/>
  <c r="L28" i="13"/>
  <c r="L32" i="13"/>
  <c r="L9" i="14"/>
  <c r="Q12" i="14"/>
  <c r="L17" i="14"/>
  <c r="T24" i="14"/>
  <c r="T28" i="14"/>
  <c r="Q10" i="15"/>
  <c r="Q14" i="15"/>
  <c r="Q19" i="15"/>
  <c r="L24" i="15"/>
  <c r="Q33" i="15"/>
  <c r="S37" i="15"/>
  <c r="T35" i="13"/>
  <c r="S15" i="14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Q17" i="14"/>
  <c r="S23" i="14"/>
  <c r="L31" i="14"/>
  <c r="L34" i="14"/>
  <c r="T37" i="14"/>
  <c r="L12" i="15"/>
  <c r="L14" i="15"/>
  <c r="L15" i="15"/>
  <c r="T16" i="15"/>
  <c r="L20" i="15"/>
  <c r="L22" i="15"/>
  <c r="L23" i="15"/>
  <c r="S24" i="15"/>
  <c r="L28" i="15"/>
  <c r="L30" i="15"/>
  <c r="L31" i="15"/>
  <c r="S32" i="15"/>
  <c r="L36" i="15"/>
  <c r="L38" i="15"/>
  <c r="T9" i="15"/>
  <c r="S34" i="15"/>
  <c r="S11" i="15"/>
  <c r="T13" i="15"/>
  <c r="T21" i="15"/>
  <c r="Q39" i="15"/>
  <c r="S25" i="15"/>
  <c r="L9" i="15"/>
  <c r="L13" i="15"/>
  <c r="L17" i="15"/>
  <c r="L21" i="15"/>
  <c r="L25" i="15"/>
  <c r="L29" i="15"/>
  <c r="L33" i="15"/>
  <c r="L37" i="15"/>
  <c r="L37" i="14"/>
  <c r="T11" i="13"/>
  <c r="Q15" i="13"/>
  <c r="Q24" i="13"/>
  <c r="L36" i="13"/>
  <c r="Q9" i="14"/>
  <c r="L11" i="14"/>
  <c r="S20" i="14"/>
  <c r="L22" i="14"/>
  <c r="L26" i="14"/>
  <c r="Q29" i="14"/>
  <c r="S30" i="14"/>
  <c r="T32" i="14"/>
  <c r="T34" i="14"/>
  <c r="L39" i="14"/>
  <c r="L17" i="12"/>
  <c r="L25" i="12"/>
  <c r="L38" i="12"/>
  <c r="T9" i="13"/>
  <c r="T13" i="13"/>
  <c r="L22" i="13"/>
  <c r="L23" i="13"/>
  <c r="L26" i="13"/>
  <c r="L27" i="13"/>
  <c r="L39" i="13"/>
  <c r="L10" i="14"/>
  <c r="Q13" i="14"/>
  <c r="T14" i="14"/>
  <c r="L15" i="14"/>
  <c r="Q16" i="14"/>
  <c r="L23" i="14"/>
  <c r="Q25" i="14"/>
  <c r="L27" i="14"/>
  <c r="S36" i="14"/>
  <c r="L38" i="14"/>
  <c r="Q14" i="14"/>
  <c r="Q22" i="14"/>
  <c r="F6" i="14"/>
  <c r="B9" i="14" s="1"/>
  <c r="T12" i="14"/>
  <c r="S13" i="14"/>
  <c r="Q15" i="14"/>
  <c r="T21" i="14"/>
  <c r="L12" i="14"/>
  <c r="L16" i="14"/>
  <c r="L20" i="14"/>
  <c r="L24" i="14"/>
  <c r="L28" i="14"/>
  <c r="L32" i="14"/>
  <c r="L36" i="14"/>
  <c r="L22" i="11"/>
  <c r="L23" i="11"/>
  <c r="L26" i="11"/>
  <c r="L27" i="11"/>
  <c r="L39" i="11"/>
  <c r="T10" i="12"/>
  <c r="L39" i="12"/>
  <c r="L15" i="13"/>
  <c r="Q20" i="13"/>
  <c r="S21" i="13"/>
  <c r="S23" i="13"/>
  <c r="L30" i="13"/>
  <c r="Q32" i="13"/>
  <c r="L34" i="13"/>
  <c r="L35" i="13"/>
  <c r="S39" i="13"/>
  <c r="L35" i="8"/>
  <c r="Q12" i="9"/>
  <c r="Q16" i="9"/>
  <c r="L20" i="9"/>
  <c r="Q28" i="9"/>
  <c r="S36" i="9"/>
  <c r="Q12" i="10"/>
  <c r="Q16" i="10"/>
  <c r="T13" i="11"/>
  <c r="Q9" i="12"/>
  <c r="L13" i="12"/>
  <c r="L21" i="12"/>
  <c r="Q29" i="12"/>
  <c r="Q33" i="12"/>
  <c r="S34" i="12"/>
  <c r="T10" i="13"/>
  <c r="L11" i="13"/>
  <c r="L12" i="13"/>
  <c r="S14" i="13"/>
  <c r="S19" i="13"/>
  <c r="S22" i="13"/>
  <c r="L24" i="13"/>
  <c r="Q28" i="13"/>
  <c r="S29" i="13"/>
  <c r="S31" i="13"/>
  <c r="L38" i="13"/>
  <c r="Q24" i="11"/>
  <c r="L28" i="11"/>
  <c r="L32" i="11"/>
  <c r="L36" i="11"/>
  <c r="Q12" i="12"/>
  <c r="Q16" i="12"/>
  <c r="T20" i="12"/>
  <c r="T24" i="12"/>
  <c r="Q16" i="13"/>
  <c r="L18" i="13"/>
  <c r="T27" i="13"/>
  <c r="Q36" i="13"/>
  <c r="T37" i="13"/>
  <c r="Q10" i="13"/>
  <c r="L9" i="13"/>
  <c r="L13" i="13"/>
  <c r="L17" i="13"/>
  <c r="L21" i="13"/>
  <c r="L25" i="13"/>
  <c r="L29" i="13"/>
  <c r="L33" i="13"/>
  <c r="L37" i="13"/>
  <c r="Q17" i="10"/>
  <c r="S18" i="10"/>
  <c r="L11" i="11"/>
  <c r="L14" i="11"/>
  <c r="L19" i="11"/>
  <c r="L31" i="11"/>
  <c r="Q35" i="11"/>
  <c r="L10" i="12"/>
  <c r="L14" i="12"/>
  <c r="Q17" i="12"/>
  <c r="Q18" i="12"/>
  <c r="L22" i="12"/>
  <c r="Q25" i="12"/>
  <c r="Q26" i="12"/>
  <c r="Q28" i="12"/>
  <c r="L35" i="12"/>
  <c r="S37" i="12"/>
  <c r="Q38" i="12"/>
  <c r="L9" i="12"/>
  <c r="T11" i="12"/>
  <c r="S19" i="12"/>
  <c r="S27" i="12"/>
  <c r="L29" i="12"/>
  <c r="Q39" i="12"/>
  <c r="Q12" i="11"/>
  <c r="L16" i="11"/>
  <c r="Q13" i="12"/>
  <c r="L15" i="12"/>
  <c r="Q21" i="12"/>
  <c r="L23" i="12"/>
  <c r="Q32" i="12"/>
  <c r="L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Q38" i="10"/>
  <c r="L39" i="10"/>
  <c r="S11" i="11"/>
  <c r="L15" i="11"/>
  <c r="Q20" i="11"/>
  <c r="T21" i="11"/>
  <c r="Q23" i="11"/>
  <c r="L30" i="11"/>
  <c r="Q32" i="11"/>
  <c r="L34" i="11"/>
  <c r="L35" i="11"/>
  <c r="S39" i="11"/>
  <c r="L10" i="9"/>
  <c r="S14" i="9"/>
  <c r="L22" i="9"/>
  <c r="L26" i="9"/>
  <c r="S30" i="9"/>
  <c r="S10" i="10"/>
  <c r="L14" i="10"/>
  <c r="L16" i="10"/>
  <c r="S19" i="10"/>
  <c r="S23" i="10"/>
  <c r="Q28" i="10"/>
  <c r="S33" i="10"/>
  <c r="L10" i="11"/>
  <c r="L12" i="11"/>
  <c r="S14" i="11"/>
  <c r="S19" i="11"/>
  <c r="S22" i="11"/>
  <c r="L24" i="11"/>
  <c r="Q28" i="11"/>
  <c r="S29" i="11"/>
  <c r="Q31" i="11"/>
  <c r="Q38" i="11"/>
  <c r="L26" i="10"/>
  <c r="Q32" i="10"/>
  <c r="Q16" i="11"/>
  <c r="L18" i="11"/>
  <c r="S27" i="11"/>
  <c r="T36" i="11"/>
  <c r="Q37" i="11"/>
  <c r="T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T12" i="8"/>
  <c r="L16" i="8"/>
  <c r="Q20" i="8"/>
  <c r="T32" i="8"/>
  <c r="L36" i="8"/>
  <c r="S13" i="9"/>
  <c r="L24" i="9"/>
  <c r="T27" i="9"/>
  <c r="T31" i="9"/>
  <c r="Q32" i="9"/>
  <c r="Q37" i="9"/>
  <c r="Q15" i="10"/>
  <c r="L19" i="10"/>
  <c r="Q24" i="10"/>
  <c r="S25" i="10"/>
  <c r="S27" i="10"/>
  <c r="L34" i="10"/>
  <c r="L35" i="10"/>
  <c r="Q39" i="10"/>
  <c r="L11" i="7"/>
  <c r="L27" i="7"/>
  <c r="T14" i="8"/>
  <c r="S18" i="8"/>
  <c r="L23" i="8"/>
  <c r="L26" i="8"/>
  <c r="L27" i="8"/>
  <c r="L30" i="8"/>
  <c r="T11" i="9"/>
  <c r="S15" i="9"/>
  <c r="Q19" i="9"/>
  <c r="Q20" i="9"/>
  <c r="S29" i="9"/>
  <c r="S35" i="9"/>
  <c r="S39" i="9"/>
  <c r="T9" i="10"/>
  <c r="L10" i="10"/>
  <c r="T11" i="10"/>
  <c r="L18" i="10"/>
  <c r="Q20" i="10"/>
  <c r="L22" i="10"/>
  <c r="L23" i="10"/>
  <c r="L24" i="10"/>
  <c r="S31" i="10"/>
  <c r="T36" i="10"/>
  <c r="S37" i="10"/>
  <c r="T35" i="10"/>
  <c r="L9" i="10"/>
  <c r="L13" i="10"/>
  <c r="L17" i="10"/>
  <c r="L21" i="10"/>
  <c r="L25" i="10"/>
  <c r="L29" i="10"/>
  <c r="L33" i="10"/>
  <c r="L37" i="10"/>
  <c r="L38" i="10"/>
  <c r="L35" i="9"/>
  <c r="L36" i="9"/>
  <c r="L27" i="6"/>
  <c r="Q31" i="6"/>
  <c r="T39" i="6"/>
  <c r="S21" i="7"/>
  <c r="L31" i="7"/>
  <c r="L36" i="7"/>
  <c r="T11" i="8"/>
  <c r="L15" i="8"/>
  <c r="S19" i="8"/>
  <c r="T23" i="8"/>
  <c r="Q24" i="8"/>
  <c r="T33" i="8"/>
  <c r="Q39" i="8"/>
  <c r="S23" i="9"/>
  <c r="T24" i="9"/>
  <c r="L38" i="9"/>
  <c r="S10" i="9"/>
  <c r="L11" i="9"/>
  <c r="L12" i="9"/>
  <c r="L15" i="9"/>
  <c r="L16" i="9"/>
  <c r="Q26" i="9"/>
  <c r="L27" i="9"/>
  <c r="L28" i="9"/>
  <c r="T17" i="6"/>
  <c r="T22" i="6"/>
  <c r="T25" i="6"/>
  <c r="T15" i="7"/>
  <c r="Q19" i="7"/>
  <c r="Q23" i="7"/>
  <c r="T9" i="8"/>
  <c r="S17" i="8"/>
  <c r="L28" i="8"/>
  <c r="T31" i="8"/>
  <c r="S35" i="8"/>
  <c r="S36" i="8"/>
  <c r="T37" i="8"/>
  <c r="L14" i="9"/>
  <c r="L18" i="9"/>
  <c r="L30" i="9"/>
  <c r="L34" i="9"/>
  <c r="B10" i="9"/>
  <c r="C9" i="9"/>
  <c r="T12" i="9"/>
  <c r="L9" i="9"/>
  <c r="L13" i="9"/>
  <c r="L17" i="9"/>
  <c r="L21" i="9"/>
  <c r="L25" i="9"/>
  <c r="L29" i="9"/>
  <c r="L33" i="9"/>
  <c r="L37" i="9"/>
  <c r="L11" i="6"/>
  <c r="L23" i="6"/>
  <c r="Q20" i="7"/>
  <c r="Q24" i="7"/>
  <c r="L33" i="7"/>
  <c r="L10" i="8"/>
  <c r="S27" i="8"/>
  <c r="Q28" i="8"/>
  <c r="L38" i="8"/>
  <c r="L15" i="7"/>
  <c r="L11" i="8"/>
  <c r="L12" i="8"/>
  <c r="L19" i="8"/>
  <c r="L20" i="8"/>
  <c r="S30" i="8"/>
  <c r="L31" i="8"/>
  <c r="L32" i="8"/>
  <c r="L39" i="8"/>
  <c r="L16" i="6"/>
  <c r="Q20" i="6"/>
  <c r="T34" i="6"/>
  <c r="L38" i="6"/>
  <c r="L18" i="7"/>
  <c r="S22" i="7"/>
  <c r="L29" i="7"/>
  <c r="T34" i="7"/>
  <c r="T39" i="7"/>
  <c r="L14" i="8"/>
  <c r="Q15" i="8"/>
  <c r="Q16" i="8"/>
  <c r="L18" i="8"/>
  <c r="L22" i="8"/>
  <c r="T25" i="8"/>
  <c r="T34" i="8"/>
  <c r="L9" i="8"/>
  <c r="L13" i="8"/>
  <c r="L17" i="8"/>
  <c r="L21" i="8"/>
  <c r="L25" i="8"/>
  <c r="L29" i="8"/>
  <c r="L33" i="8"/>
  <c r="L37" i="8"/>
  <c r="L34" i="8"/>
  <c r="T16" i="7"/>
  <c r="L21" i="7"/>
  <c r="L25" i="7"/>
  <c r="Q31" i="7"/>
  <c r="Q32" i="7"/>
  <c r="T33" i="7"/>
  <c r="T38" i="7"/>
  <c r="L12" i="6"/>
  <c r="L15" i="6"/>
  <c r="Q19" i="6"/>
  <c r="L24" i="6"/>
  <c r="T27" i="6"/>
  <c r="Q28" i="6"/>
  <c r="L39" i="6"/>
  <c r="S11" i="7"/>
  <c r="Q12" i="7"/>
  <c r="L14" i="7"/>
  <c r="Q18" i="7"/>
  <c r="L19" i="7"/>
  <c r="L20" i="7"/>
  <c r="L23" i="7"/>
  <c r="L24" i="7"/>
  <c r="Q27" i="7"/>
  <c r="Q28" i="7"/>
  <c r="L30" i="7"/>
  <c r="Q36" i="7"/>
  <c r="Q37" i="7"/>
  <c r="L39" i="7"/>
  <c r="L10" i="6"/>
  <c r="L14" i="6"/>
  <c r="Q32" i="6"/>
  <c r="L10" i="7"/>
  <c r="L22" i="7"/>
  <c r="L26" i="7"/>
  <c r="T29" i="7"/>
  <c r="L35" i="7"/>
  <c r="L9" i="7"/>
  <c r="L13" i="7"/>
  <c r="L17" i="7"/>
  <c r="L34" i="7"/>
  <c r="L38" i="7"/>
  <c r="L19" i="6"/>
  <c r="L20" i="6"/>
  <c r="L31" i="6"/>
  <c r="L32" i="6"/>
  <c r="L22" i="6"/>
  <c r="T23" i="6"/>
  <c r="Q24" i="6"/>
  <c r="L26" i="6"/>
  <c r="T35" i="6"/>
  <c r="T36" i="6"/>
  <c r="T37" i="6"/>
  <c r="S38" i="6"/>
  <c r="Q9" i="6"/>
  <c r="Q15" i="6"/>
  <c r="Q16" i="6"/>
  <c r="L18" i="6"/>
  <c r="L30" i="6"/>
  <c r="S33" i="6"/>
  <c r="L35" i="6"/>
  <c r="L36" i="6"/>
  <c r="C9" i="6"/>
  <c r="L9" i="6"/>
  <c r="L13" i="6"/>
  <c r="L17" i="6"/>
  <c r="L21" i="6"/>
  <c r="L25" i="6"/>
  <c r="L29" i="6"/>
  <c r="L33" i="6"/>
  <c r="L37" i="6"/>
  <c r="L34" i="6"/>
  <c r="F6" i="5"/>
  <c r="B9" i="5" s="1"/>
  <c r="S24" i="5"/>
  <c r="T28" i="5"/>
  <c r="L32" i="5"/>
  <c r="Q19" i="5"/>
  <c r="S23" i="5"/>
  <c r="Q25" i="5"/>
  <c r="L21" i="5"/>
  <c r="L10" i="5"/>
  <c r="L14" i="5"/>
  <c r="L22" i="5"/>
  <c r="L24" i="5"/>
  <c r="L25" i="5"/>
  <c r="Q17" i="5"/>
  <c r="L31" i="5"/>
  <c r="L35" i="5"/>
  <c r="S36" i="5"/>
  <c r="S37" i="5"/>
  <c r="L38" i="5"/>
  <c r="L16" i="5"/>
  <c r="L17" i="5"/>
  <c r="L13" i="5"/>
  <c r="L20" i="5"/>
  <c r="Q29" i="5"/>
  <c r="L33" i="5"/>
  <c r="S35" i="5"/>
  <c r="L36" i="5"/>
  <c r="L37" i="5"/>
  <c r="L12" i="5"/>
  <c r="L19" i="5"/>
  <c r="Q20" i="5"/>
  <c r="Q21" i="5"/>
  <c r="L23" i="5"/>
  <c r="L27" i="5"/>
  <c r="L30" i="5"/>
  <c r="L39" i="5"/>
  <c r="L9" i="5"/>
  <c r="L28" i="5"/>
  <c r="L29" i="5"/>
  <c r="L11" i="5"/>
  <c r="L15" i="5"/>
  <c r="S32" i="5"/>
  <c r="T33" i="5"/>
  <c r="L18" i="5"/>
  <c r="L34" i="5"/>
  <c r="L26" i="5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M9" i="7" l="1"/>
  <c r="B10" i="7"/>
  <c r="M10" i="7" s="1"/>
  <c r="R10" i="7" s="1"/>
  <c r="M9" i="6"/>
  <c r="R9" i="6" s="1"/>
  <c r="M9" i="9"/>
  <c r="R9" i="9" s="1"/>
  <c r="B10" i="6"/>
  <c r="B10" i="5"/>
  <c r="B11" i="5" s="1"/>
  <c r="B10" i="13"/>
  <c r="B11" i="13" s="1"/>
  <c r="M9" i="13"/>
  <c r="R9" i="13" s="1"/>
  <c r="C9" i="12"/>
  <c r="M9" i="12"/>
  <c r="R9" i="12" s="1"/>
  <c r="B10" i="8"/>
  <c r="C9" i="11"/>
  <c r="M9" i="11"/>
  <c r="R9" i="11" s="1"/>
  <c r="C9" i="10"/>
  <c r="M9" i="10"/>
  <c r="C9" i="15"/>
  <c r="M9" i="15" s="1"/>
  <c r="R9" i="15" s="1"/>
  <c r="Q24" i="14"/>
  <c r="Q15" i="11"/>
  <c r="T35" i="9"/>
  <c r="Q34" i="6"/>
  <c r="T35" i="11"/>
  <c r="Q25" i="6"/>
  <c r="S12" i="12"/>
  <c r="Q35" i="13"/>
  <c r="T22" i="15"/>
  <c r="T24" i="8"/>
  <c r="S23" i="11"/>
  <c r="Q21" i="13"/>
  <c r="S17" i="15"/>
  <c r="T35" i="15"/>
  <c r="Q11" i="11"/>
  <c r="C9" i="8"/>
  <c r="M9" i="8" s="1"/>
  <c r="R9" i="8" s="1"/>
  <c r="S37" i="9"/>
  <c r="S9" i="13"/>
  <c r="S28" i="10"/>
  <c r="S28" i="11"/>
  <c r="T11" i="11"/>
  <c r="B10" i="12"/>
  <c r="T16" i="10"/>
  <c r="T23" i="11"/>
  <c r="Q29" i="11"/>
  <c r="S38" i="15"/>
  <c r="Q27" i="15"/>
  <c r="S28" i="9"/>
  <c r="Q31" i="14"/>
  <c r="S29" i="15"/>
  <c r="T35" i="8"/>
  <c r="Q11" i="8"/>
  <c r="Q24" i="9"/>
  <c r="S35" i="10"/>
  <c r="T34" i="12"/>
  <c r="T23" i="13"/>
  <c r="T15" i="14"/>
  <c r="S33" i="14"/>
  <c r="S12" i="14"/>
  <c r="S22" i="14"/>
  <c r="Q25" i="15"/>
  <c r="T39" i="15"/>
  <c r="Q34" i="15"/>
  <c r="Q39" i="6"/>
  <c r="S9" i="8"/>
  <c r="Q31" i="9"/>
  <c r="T15" i="9"/>
  <c r="Q36" i="12"/>
  <c r="Q21" i="15"/>
  <c r="Q11" i="15"/>
  <c r="S11" i="8"/>
  <c r="S12" i="10"/>
  <c r="S36" i="12"/>
  <c r="Q34" i="12"/>
  <c r="Q37" i="13"/>
  <c r="T33" i="14"/>
  <c r="S34" i="7"/>
  <c r="T19" i="8"/>
  <c r="Q20" i="12"/>
  <c r="Q30" i="13"/>
  <c r="T12" i="13"/>
  <c r="T18" i="15"/>
  <c r="T28" i="6"/>
  <c r="Q14" i="8"/>
  <c r="Q36" i="9"/>
  <c r="T26" i="10"/>
  <c r="S15" i="11"/>
  <c r="T21" i="13"/>
  <c r="S35" i="13"/>
  <c r="Q36" i="14"/>
  <c r="S24" i="14"/>
  <c r="S21" i="14"/>
  <c r="T17" i="15"/>
  <c r="Q13" i="15"/>
  <c r="S35" i="15"/>
  <c r="S19" i="15"/>
  <c r="Q26" i="10"/>
  <c r="T39" i="10"/>
  <c r="S12" i="13"/>
  <c r="T36" i="14"/>
  <c r="S16" i="14"/>
  <c r="T19" i="15"/>
  <c r="S22" i="15"/>
  <c r="S39" i="6"/>
  <c r="S11" i="13"/>
  <c r="R9" i="7"/>
  <c r="S16" i="12"/>
  <c r="T29" i="15"/>
  <c r="T27" i="15"/>
  <c r="S10" i="15"/>
  <c r="S33" i="15"/>
  <c r="T38" i="15"/>
  <c r="Q9" i="15"/>
  <c r="S30" i="15"/>
  <c r="T14" i="15"/>
  <c r="T30" i="15"/>
  <c r="S18" i="15"/>
  <c r="Q16" i="15"/>
  <c r="T37" i="15"/>
  <c r="Q23" i="14"/>
  <c r="Q37" i="14"/>
  <c r="S28" i="14"/>
  <c r="T23" i="14"/>
  <c r="Q28" i="14"/>
  <c r="T30" i="14"/>
  <c r="T38" i="14"/>
  <c r="T29" i="14"/>
  <c r="S38" i="14"/>
  <c r="S29" i="14"/>
  <c r="T13" i="14"/>
  <c r="S36" i="13"/>
  <c r="S15" i="13"/>
  <c r="Q13" i="13"/>
  <c r="T15" i="13"/>
  <c r="Q9" i="13"/>
  <c r="T30" i="13"/>
  <c r="S20" i="13"/>
  <c r="Q14" i="13"/>
  <c r="Q27" i="13"/>
  <c r="Q11" i="13"/>
  <c r="T37" i="12"/>
  <c r="S33" i="12"/>
  <c r="S24" i="12"/>
  <c r="Q10" i="12"/>
  <c r="S9" i="12"/>
  <c r="S21" i="12"/>
  <c r="T27" i="11"/>
  <c r="T30" i="11"/>
  <c r="S12" i="11"/>
  <c r="Q25" i="10"/>
  <c r="R9" i="10"/>
  <c r="T37" i="10"/>
  <c r="Q11" i="10"/>
  <c r="T19" i="10"/>
  <c r="T28" i="10"/>
  <c r="S17" i="10"/>
  <c r="S24" i="9"/>
  <c r="S20" i="9"/>
  <c r="T37" i="9"/>
  <c r="T36" i="9"/>
  <c r="T10" i="9"/>
  <c r="T20" i="9"/>
  <c r="S20" i="8"/>
  <c r="T18" i="8"/>
  <c r="T20" i="8"/>
  <c r="S34" i="8"/>
  <c r="Q18" i="8"/>
  <c r="S9" i="6"/>
  <c r="Q21" i="7"/>
  <c r="Q29" i="9"/>
  <c r="Q19" i="10"/>
  <c r="S38" i="10"/>
  <c r="T12" i="10"/>
  <c r="Q30" i="11"/>
  <c r="T18" i="12"/>
  <c r="T12" i="12"/>
  <c r="S37" i="13"/>
  <c r="S28" i="13"/>
  <c r="Q23" i="13"/>
  <c r="Q32" i="14"/>
  <c r="S34" i="14"/>
  <c r="T9" i="14"/>
  <c r="S14" i="15"/>
  <c r="T10" i="15"/>
  <c r="Q24" i="15"/>
  <c r="Q37" i="15"/>
  <c r="C9" i="5"/>
  <c r="Q15" i="7"/>
  <c r="T30" i="9"/>
  <c r="S16" i="9"/>
  <c r="T18" i="10"/>
  <c r="T38" i="10"/>
  <c r="S20" i="11"/>
  <c r="S24" i="11"/>
  <c r="T32" i="11"/>
  <c r="T35" i="12"/>
  <c r="S28" i="12"/>
  <c r="T17" i="12"/>
  <c r="T28" i="13"/>
  <c r="S32" i="14"/>
  <c r="T33" i="15"/>
  <c r="S26" i="15"/>
  <c r="S16" i="15"/>
  <c r="Q30" i="9"/>
  <c r="T16" i="9"/>
  <c r="S31" i="11"/>
  <c r="T20" i="11"/>
  <c r="T24" i="11"/>
  <c r="Q35" i="12"/>
  <c r="Q27" i="12"/>
  <c r="T14" i="13"/>
  <c r="S16" i="13"/>
  <c r="T31" i="14"/>
  <c r="T26" i="15"/>
  <c r="Q32" i="15"/>
  <c r="S32" i="7"/>
  <c r="T28" i="9"/>
  <c r="T37" i="11"/>
  <c r="T31" i="11"/>
  <c r="T22" i="11"/>
  <c r="Q13" i="11"/>
  <c r="T19" i="11"/>
  <c r="S20" i="12"/>
  <c r="T29" i="12"/>
  <c r="T31" i="13"/>
  <c r="T20" i="13"/>
  <c r="T16" i="13"/>
  <c r="S37" i="14"/>
  <c r="T25" i="14"/>
  <c r="T17" i="14"/>
  <c r="Q30" i="14"/>
  <c r="T32" i="15"/>
  <c r="T24" i="15"/>
  <c r="S16" i="7"/>
  <c r="Q37" i="8"/>
  <c r="T33" i="10"/>
  <c r="T25" i="10"/>
  <c r="S39" i="10"/>
  <c r="Q33" i="10"/>
  <c r="S37" i="11"/>
  <c r="Q22" i="11"/>
  <c r="S13" i="11"/>
  <c r="S32" i="11"/>
  <c r="T16" i="11"/>
  <c r="T39" i="12"/>
  <c r="S29" i="12"/>
  <c r="S11" i="12"/>
  <c r="Q31" i="13"/>
  <c r="T22" i="13"/>
  <c r="S32" i="13"/>
  <c r="T24" i="13"/>
  <c r="Q20" i="14"/>
  <c r="S17" i="14"/>
  <c r="Q11" i="12"/>
  <c r="S39" i="8"/>
  <c r="T32" i="10"/>
  <c r="S36" i="11"/>
  <c r="Q39" i="11"/>
  <c r="T32" i="13"/>
  <c r="T20" i="14"/>
  <c r="T28" i="15"/>
  <c r="Q28" i="15"/>
  <c r="S28" i="15"/>
  <c r="T12" i="15"/>
  <c r="Q12" i="15"/>
  <c r="S12" i="15"/>
  <c r="Q23" i="15"/>
  <c r="S23" i="15"/>
  <c r="T23" i="15"/>
  <c r="Q31" i="15"/>
  <c r="S31" i="15"/>
  <c r="T31" i="15"/>
  <c r="T36" i="15"/>
  <c r="S36" i="15"/>
  <c r="Q36" i="15"/>
  <c r="T20" i="15"/>
  <c r="Q20" i="15"/>
  <c r="S20" i="15"/>
  <c r="Q15" i="15"/>
  <c r="S15" i="15"/>
  <c r="T15" i="15"/>
  <c r="B11" i="15"/>
  <c r="M11" i="15" s="1"/>
  <c r="C10" i="15"/>
  <c r="M10" i="15" s="1"/>
  <c r="R10" i="15" s="1"/>
  <c r="S25" i="6"/>
  <c r="Q35" i="8"/>
  <c r="Q9" i="8"/>
  <c r="S24" i="8"/>
  <c r="Q32" i="8"/>
  <c r="Q11" i="9"/>
  <c r="S32" i="10"/>
  <c r="S15" i="10"/>
  <c r="Q36" i="11"/>
  <c r="T12" i="11"/>
  <c r="S35" i="11"/>
  <c r="Q19" i="11"/>
  <c r="T33" i="12"/>
  <c r="T28" i="12"/>
  <c r="T9" i="12"/>
  <c r="Q24" i="12"/>
  <c r="Q37" i="12"/>
  <c r="S10" i="12"/>
  <c r="T36" i="13"/>
  <c r="S24" i="13"/>
  <c r="T16" i="14"/>
  <c r="Q34" i="14"/>
  <c r="S25" i="14"/>
  <c r="S9" i="14"/>
  <c r="S32" i="12"/>
  <c r="T13" i="12"/>
  <c r="S19" i="7"/>
  <c r="S12" i="9"/>
  <c r="Q27" i="9"/>
  <c r="T27" i="10"/>
  <c r="T17" i="10"/>
  <c r="T29" i="11"/>
  <c r="T39" i="11"/>
  <c r="T25" i="12"/>
  <c r="Q19" i="12"/>
  <c r="S18" i="12"/>
  <c r="T32" i="12"/>
  <c r="S13" i="12"/>
  <c r="T39" i="13"/>
  <c r="T19" i="13"/>
  <c r="S13" i="13"/>
  <c r="S14" i="14"/>
  <c r="Q35" i="14"/>
  <c r="T35" i="14"/>
  <c r="S35" i="14"/>
  <c r="Q19" i="14"/>
  <c r="T19" i="14"/>
  <c r="S19" i="14"/>
  <c r="Q26" i="14"/>
  <c r="S26" i="14"/>
  <c r="T26" i="14"/>
  <c r="B10" i="14"/>
  <c r="C9" i="14"/>
  <c r="M9" i="14" s="1"/>
  <c r="Q27" i="14"/>
  <c r="T27" i="14"/>
  <c r="S27" i="14"/>
  <c r="Q18" i="14"/>
  <c r="S18" i="14"/>
  <c r="T18" i="14"/>
  <c r="Q11" i="14"/>
  <c r="T11" i="14"/>
  <c r="S11" i="14"/>
  <c r="Q39" i="14"/>
  <c r="T39" i="14"/>
  <c r="S39" i="14"/>
  <c r="Q10" i="14"/>
  <c r="S10" i="14"/>
  <c r="T10" i="14"/>
  <c r="Q17" i="6"/>
  <c r="S32" i="6"/>
  <c r="S37" i="7"/>
  <c r="T11" i="7"/>
  <c r="Q39" i="7"/>
  <c r="T19" i="7"/>
  <c r="Q19" i="8"/>
  <c r="S37" i="8"/>
  <c r="T39" i="8"/>
  <c r="T13" i="9"/>
  <c r="S19" i="9"/>
  <c r="Q10" i="9"/>
  <c r="Q18" i="10"/>
  <c r="Q27" i="11"/>
  <c r="T26" i="12"/>
  <c r="T16" i="12"/>
  <c r="S26" i="12"/>
  <c r="Q22" i="13"/>
  <c r="Q39" i="13"/>
  <c r="S27" i="13"/>
  <c r="Q19" i="13"/>
  <c r="S10" i="13"/>
  <c r="S17" i="6"/>
  <c r="S27" i="7"/>
  <c r="T30" i="8"/>
  <c r="S38" i="11"/>
  <c r="S38" i="12"/>
  <c r="T29" i="13"/>
  <c r="Q29" i="13"/>
  <c r="S20" i="7"/>
  <c r="S38" i="7"/>
  <c r="T39" i="9"/>
  <c r="S16" i="10"/>
  <c r="T38" i="12"/>
  <c r="S17" i="13"/>
  <c r="Q17" i="13"/>
  <c r="T17" i="13"/>
  <c r="Q34" i="13"/>
  <c r="T34" i="13"/>
  <c r="S34" i="13"/>
  <c r="Q18" i="13"/>
  <c r="T18" i="13"/>
  <c r="S18" i="13"/>
  <c r="S38" i="13"/>
  <c r="Q38" i="13"/>
  <c r="T38" i="13"/>
  <c r="S33" i="13"/>
  <c r="Q33" i="13"/>
  <c r="T33" i="13"/>
  <c r="Q26" i="13"/>
  <c r="T26" i="13"/>
  <c r="S26" i="13"/>
  <c r="S25" i="13"/>
  <c r="Q25" i="13"/>
  <c r="T25" i="13"/>
  <c r="C10" i="13"/>
  <c r="T22" i="7"/>
  <c r="S16" i="8"/>
  <c r="Q17" i="8"/>
  <c r="Q15" i="9"/>
  <c r="Q35" i="9"/>
  <c r="Q37" i="10"/>
  <c r="T10" i="10"/>
  <c r="T23" i="10"/>
  <c r="T28" i="11"/>
  <c r="Q14" i="11"/>
  <c r="S39" i="12"/>
  <c r="T27" i="12"/>
  <c r="S25" i="12"/>
  <c r="T19" i="12"/>
  <c r="S17" i="12"/>
  <c r="T21" i="12"/>
  <c r="Q12" i="8"/>
  <c r="S12" i="8"/>
  <c r="Q33" i="8"/>
  <c r="S31" i="9"/>
  <c r="S11" i="10"/>
  <c r="Q21" i="11"/>
  <c r="T24" i="7"/>
  <c r="S15" i="7"/>
  <c r="Q36" i="8"/>
  <c r="S33" i="8"/>
  <c r="Q31" i="12"/>
  <c r="T31" i="12"/>
  <c r="S31" i="12"/>
  <c r="Q30" i="12"/>
  <c r="S30" i="12"/>
  <c r="T30" i="12"/>
  <c r="Q22" i="12"/>
  <c r="S22" i="12"/>
  <c r="T22" i="12"/>
  <c r="Q15" i="12"/>
  <c r="T15" i="12"/>
  <c r="S15" i="12"/>
  <c r="Q14" i="12"/>
  <c r="S14" i="12"/>
  <c r="T14" i="12"/>
  <c r="Q23" i="12"/>
  <c r="T23" i="12"/>
  <c r="S23" i="12"/>
  <c r="T36" i="7"/>
  <c r="T16" i="6"/>
  <c r="Q37" i="6"/>
  <c r="Q34" i="7"/>
  <c r="Q34" i="8"/>
  <c r="T16" i="8"/>
  <c r="S32" i="8"/>
  <c r="T29" i="9"/>
  <c r="T14" i="9"/>
  <c r="Q36" i="10"/>
  <c r="Q27" i="10"/>
  <c r="Q10" i="10"/>
  <c r="Q23" i="10"/>
  <c r="T15" i="10"/>
  <c r="T38" i="11"/>
  <c r="S21" i="11"/>
  <c r="S37" i="6"/>
  <c r="S24" i="6"/>
  <c r="Q14" i="9"/>
  <c r="S27" i="9"/>
  <c r="S11" i="9"/>
  <c r="S36" i="10"/>
  <c r="T31" i="10"/>
  <c r="T19" i="6"/>
  <c r="Q31" i="10"/>
  <c r="S20" i="10"/>
  <c r="S16" i="11"/>
  <c r="Q18" i="11"/>
  <c r="T18" i="11"/>
  <c r="S18" i="11"/>
  <c r="S33" i="11"/>
  <c r="Q33" i="11"/>
  <c r="T33" i="11"/>
  <c r="Q26" i="11"/>
  <c r="T26" i="11"/>
  <c r="S26" i="11"/>
  <c r="S9" i="11"/>
  <c r="Q9" i="11"/>
  <c r="T9" i="11"/>
  <c r="Q34" i="11"/>
  <c r="T34" i="11"/>
  <c r="S34" i="11"/>
  <c r="S25" i="11"/>
  <c r="Q25" i="11"/>
  <c r="T25" i="11"/>
  <c r="B11" i="11"/>
  <c r="C10" i="11"/>
  <c r="M10" i="11" s="1"/>
  <c r="S17" i="11"/>
  <c r="Q17" i="11"/>
  <c r="T17" i="11"/>
  <c r="Q10" i="11"/>
  <c r="T10" i="11"/>
  <c r="S10" i="11"/>
  <c r="T31" i="6"/>
  <c r="S35" i="6"/>
  <c r="Q16" i="7"/>
  <c r="S23" i="8"/>
  <c r="S31" i="8"/>
  <c r="S32" i="9"/>
  <c r="T19" i="9"/>
  <c r="Q13" i="9"/>
  <c r="Q39" i="9"/>
  <c r="S24" i="10"/>
  <c r="Q9" i="10"/>
  <c r="T20" i="10"/>
  <c r="S22" i="6"/>
  <c r="S27" i="6"/>
  <c r="Q35" i="6"/>
  <c r="T23" i="7"/>
  <c r="T28" i="7"/>
  <c r="Q23" i="8"/>
  <c r="Q31" i="8"/>
  <c r="T32" i="9"/>
  <c r="T23" i="9"/>
  <c r="T24" i="10"/>
  <c r="S9" i="10"/>
  <c r="Q27" i="6"/>
  <c r="Q22" i="6"/>
  <c r="S39" i="7"/>
  <c r="T27" i="8"/>
  <c r="S14" i="8"/>
  <c r="T26" i="9"/>
  <c r="B11" i="10"/>
  <c r="R10" i="10"/>
  <c r="C10" i="10"/>
  <c r="S29" i="10"/>
  <c r="Q29" i="10"/>
  <c r="T29" i="10"/>
  <c r="Q22" i="10"/>
  <c r="T22" i="10"/>
  <c r="S22" i="10"/>
  <c r="S34" i="10"/>
  <c r="Q34" i="10"/>
  <c r="T34" i="10"/>
  <c r="S21" i="10"/>
  <c r="Q21" i="10"/>
  <c r="T21" i="10"/>
  <c r="S13" i="10"/>
  <c r="Q13" i="10"/>
  <c r="T13" i="10"/>
  <c r="Q30" i="10"/>
  <c r="T30" i="10"/>
  <c r="S30" i="10"/>
  <c r="Q14" i="10"/>
  <c r="T14" i="10"/>
  <c r="S14" i="10"/>
  <c r="T32" i="7"/>
  <c r="S15" i="8"/>
  <c r="S31" i="6"/>
  <c r="S28" i="6"/>
  <c r="S34" i="6"/>
  <c r="S23" i="7"/>
  <c r="T21" i="7"/>
  <c r="Q11" i="7"/>
  <c r="Q38" i="7"/>
  <c r="T17" i="8"/>
  <c r="T15" i="8"/>
  <c r="T36" i="8"/>
  <c r="S25" i="8"/>
  <c r="Q27" i="8"/>
  <c r="S26" i="9"/>
  <c r="Q23" i="9"/>
  <c r="T24" i="5"/>
  <c r="T32" i="6"/>
  <c r="T20" i="7"/>
  <c r="T37" i="7"/>
  <c r="T27" i="7"/>
  <c r="Q30" i="8"/>
  <c r="S17" i="9"/>
  <c r="Q17" i="9"/>
  <c r="T17" i="9"/>
  <c r="S25" i="9"/>
  <c r="Q25" i="9"/>
  <c r="T25" i="9"/>
  <c r="Q38" i="9"/>
  <c r="S38" i="9"/>
  <c r="T38" i="9"/>
  <c r="S21" i="9"/>
  <c r="Q21" i="9"/>
  <c r="T21" i="9"/>
  <c r="Q18" i="9"/>
  <c r="T18" i="9"/>
  <c r="S18" i="9"/>
  <c r="Q22" i="9"/>
  <c r="T22" i="9"/>
  <c r="S22" i="9"/>
  <c r="S33" i="9"/>
  <c r="Q33" i="9"/>
  <c r="T33" i="9"/>
  <c r="Q34" i="9"/>
  <c r="T34" i="9"/>
  <c r="S34" i="9"/>
  <c r="B11" i="9"/>
  <c r="C10" i="9"/>
  <c r="M10" i="9" s="1"/>
  <c r="R10" i="9" s="1"/>
  <c r="S9" i="9"/>
  <c r="Q9" i="9"/>
  <c r="T9" i="9"/>
  <c r="T38" i="6"/>
  <c r="Q22" i="7"/>
  <c r="Q29" i="7"/>
  <c r="Q33" i="7"/>
  <c r="T31" i="7"/>
  <c r="T12" i="7"/>
  <c r="T18" i="7"/>
  <c r="S28" i="8"/>
  <c r="Q25" i="8"/>
  <c r="S20" i="6"/>
  <c r="S29" i="7"/>
  <c r="T28" i="8"/>
  <c r="Q38" i="6"/>
  <c r="T20" i="6"/>
  <c r="S36" i="7"/>
  <c r="S24" i="7"/>
  <c r="Q38" i="8"/>
  <c r="T38" i="8"/>
  <c r="S38" i="8"/>
  <c r="S29" i="8"/>
  <c r="Q29" i="8"/>
  <c r="T29" i="8"/>
  <c r="B11" i="8"/>
  <c r="C10" i="8"/>
  <c r="S21" i="8"/>
  <c r="Q21" i="8"/>
  <c r="T21" i="8"/>
  <c r="Q22" i="8"/>
  <c r="T22" i="8"/>
  <c r="S22" i="8"/>
  <c r="Q26" i="8"/>
  <c r="T26" i="8"/>
  <c r="S26" i="8"/>
  <c r="S13" i="8"/>
  <c r="Q13" i="8"/>
  <c r="T13" i="8"/>
  <c r="Q10" i="8"/>
  <c r="T10" i="8"/>
  <c r="S10" i="8"/>
  <c r="S15" i="6"/>
  <c r="Q23" i="6"/>
  <c r="S19" i="6"/>
  <c r="S16" i="6"/>
  <c r="Q36" i="6"/>
  <c r="T9" i="6"/>
  <c r="S33" i="7"/>
  <c r="S31" i="7"/>
  <c r="S28" i="7"/>
  <c r="S12" i="7"/>
  <c r="T24" i="6"/>
  <c r="S18" i="7"/>
  <c r="Q35" i="7"/>
  <c r="T35" i="7"/>
  <c r="S35" i="7"/>
  <c r="S25" i="7"/>
  <c r="Q25" i="7"/>
  <c r="T25" i="7"/>
  <c r="S13" i="7"/>
  <c r="Q13" i="7"/>
  <c r="T13" i="7"/>
  <c r="Q10" i="7"/>
  <c r="T10" i="7"/>
  <c r="S10" i="7"/>
  <c r="S9" i="7"/>
  <c r="Q9" i="7"/>
  <c r="T9" i="7"/>
  <c r="Q26" i="7"/>
  <c r="T26" i="7"/>
  <c r="S26" i="7"/>
  <c r="S17" i="7"/>
  <c r="Q17" i="7"/>
  <c r="T17" i="7"/>
  <c r="Q14" i="7"/>
  <c r="T14" i="7"/>
  <c r="S14" i="7"/>
  <c r="Q35" i="5"/>
  <c r="Q9" i="5"/>
  <c r="Q33" i="6"/>
  <c r="T15" i="6"/>
  <c r="S36" i="6"/>
  <c r="T33" i="6"/>
  <c r="S23" i="6"/>
  <c r="Q30" i="6"/>
  <c r="T30" i="6"/>
  <c r="S30" i="6"/>
  <c r="Q18" i="6"/>
  <c r="T18" i="6"/>
  <c r="S18" i="6"/>
  <c r="B11" i="6"/>
  <c r="C10" i="6"/>
  <c r="Q14" i="6"/>
  <c r="T14" i="6"/>
  <c r="S14" i="6"/>
  <c r="S13" i="6"/>
  <c r="Q13" i="6"/>
  <c r="T13" i="6"/>
  <c r="Q10" i="6"/>
  <c r="T10" i="6"/>
  <c r="S10" i="6"/>
  <c r="S21" i="6"/>
  <c r="Q21" i="6"/>
  <c r="T21" i="6"/>
  <c r="S29" i="6"/>
  <c r="Q29" i="6"/>
  <c r="T29" i="6"/>
  <c r="T23" i="5"/>
  <c r="Q24" i="5"/>
  <c r="Q23" i="5"/>
  <c r="S17" i="5"/>
  <c r="L9" i="1"/>
  <c r="T19" i="5"/>
  <c r="S19" i="5"/>
  <c r="T20" i="5"/>
  <c r="Q28" i="5"/>
  <c r="T25" i="5"/>
  <c r="S28" i="5"/>
  <c r="S25" i="5"/>
  <c r="T37" i="5"/>
  <c r="T9" i="5"/>
  <c r="Q37" i="5"/>
  <c r="L26" i="1"/>
  <c r="L30" i="1"/>
  <c r="L34" i="1"/>
  <c r="L38" i="1"/>
  <c r="S9" i="5"/>
  <c r="T17" i="5"/>
  <c r="T21" i="5"/>
  <c r="Q36" i="5"/>
  <c r="S33" i="5"/>
  <c r="T36" i="5"/>
  <c r="T29" i="5"/>
  <c r="T35" i="5"/>
  <c r="Q33" i="5"/>
  <c r="S21" i="5"/>
  <c r="S29" i="5"/>
  <c r="L15" i="1"/>
  <c r="L39" i="1"/>
  <c r="T32" i="5"/>
  <c r="S20" i="5"/>
  <c r="Q32" i="5"/>
  <c r="Q31" i="5"/>
  <c r="T31" i="5"/>
  <c r="S31" i="5"/>
  <c r="Q15" i="5"/>
  <c r="T15" i="5"/>
  <c r="S15" i="5"/>
  <c r="Q30" i="5"/>
  <c r="S30" i="5"/>
  <c r="T30" i="5"/>
  <c r="Q14" i="5"/>
  <c r="S14" i="5"/>
  <c r="T14" i="5"/>
  <c r="Q27" i="5"/>
  <c r="T27" i="5"/>
  <c r="S27" i="5"/>
  <c r="Q10" i="5"/>
  <c r="S10" i="5"/>
  <c r="T10" i="5"/>
  <c r="Q34" i="5"/>
  <c r="S34" i="5"/>
  <c r="T34" i="5"/>
  <c r="Q39" i="5"/>
  <c r="T39" i="5"/>
  <c r="S39" i="5"/>
  <c r="Q26" i="5"/>
  <c r="S26" i="5"/>
  <c r="T26" i="5"/>
  <c r="Q38" i="5"/>
  <c r="T38" i="5"/>
  <c r="S38" i="5"/>
  <c r="Q22" i="5"/>
  <c r="S22" i="5"/>
  <c r="T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F6" i="1"/>
  <c r="M10" i="13" l="1"/>
  <c r="R10" i="13" s="1"/>
  <c r="P7" i="12"/>
  <c r="P7" i="14"/>
  <c r="C10" i="5"/>
  <c r="B11" i="7"/>
  <c r="P7" i="9"/>
  <c r="P7" i="8"/>
  <c r="M10" i="8"/>
  <c r="R10" i="8" s="1"/>
  <c r="P7" i="10"/>
  <c r="P7" i="13"/>
  <c r="C10" i="7"/>
  <c r="R9" i="14"/>
  <c r="M10" i="6"/>
  <c r="R10" i="6" s="1"/>
  <c r="P7" i="11"/>
  <c r="P7" i="15"/>
  <c r="M9" i="5"/>
  <c r="R9" i="5" s="1"/>
  <c r="B11" i="12"/>
  <c r="M11" i="12" s="1"/>
  <c r="R11" i="12" s="1"/>
  <c r="C10" i="12"/>
  <c r="M10" i="12" s="1"/>
  <c r="R10" i="11"/>
  <c r="S7" i="14"/>
  <c r="S7" i="15"/>
  <c r="T7" i="15"/>
  <c r="Q7" i="15"/>
  <c r="T7" i="14"/>
  <c r="B12" i="15"/>
  <c r="R11" i="15"/>
  <c r="C11" i="15"/>
  <c r="Q7" i="14"/>
  <c r="S7" i="12"/>
  <c r="B11" i="14"/>
  <c r="C10" i="14"/>
  <c r="M10" i="14" s="1"/>
  <c r="S7" i="13"/>
  <c r="T7" i="13"/>
  <c r="Q7" i="13"/>
  <c r="C11" i="13"/>
  <c r="B12" i="13"/>
  <c r="T7" i="12"/>
  <c r="Q7" i="12"/>
  <c r="B12" i="12"/>
  <c r="C11" i="12"/>
  <c r="T7" i="10"/>
  <c r="T7" i="11"/>
  <c r="B12" i="11"/>
  <c r="C11" i="11"/>
  <c r="Q7" i="11"/>
  <c r="S7" i="11"/>
  <c r="Q7" i="10"/>
  <c r="S7" i="10"/>
  <c r="C11" i="10"/>
  <c r="M11" i="10" s="1"/>
  <c r="R11" i="10" s="1"/>
  <c r="B12" i="10"/>
  <c r="S7" i="9"/>
  <c r="T7" i="9"/>
  <c r="Q7" i="9"/>
  <c r="C11" i="9"/>
  <c r="B12" i="9"/>
  <c r="M12" i="9" s="1"/>
  <c r="Q7" i="8"/>
  <c r="S7" i="8"/>
  <c r="B12" i="8"/>
  <c r="C11" i="8"/>
  <c r="M11" i="8" s="1"/>
  <c r="T7" i="8"/>
  <c r="C11" i="7"/>
  <c r="B12" i="7"/>
  <c r="C11" i="6"/>
  <c r="M11" i="6" s="1"/>
  <c r="B12" i="6"/>
  <c r="B12" i="5"/>
  <c r="C11" i="5"/>
  <c r="M11" i="5" s="1"/>
  <c r="Q36" i="1"/>
  <c r="T36" i="1"/>
  <c r="S36" i="1"/>
  <c r="Q24" i="1"/>
  <c r="T24" i="1"/>
  <c r="S24" i="1"/>
  <c r="Q31" i="1"/>
  <c r="T31" i="1"/>
  <c r="S31" i="1"/>
  <c r="Q27" i="1"/>
  <c r="T27" i="1"/>
  <c r="S27" i="1"/>
  <c r="Q23" i="1"/>
  <c r="T23" i="1"/>
  <c r="S23" i="1"/>
  <c r="Q19" i="1"/>
  <c r="T19" i="1"/>
  <c r="S19" i="1"/>
  <c r="Q32" i="1"/>
  <c r="T32" i="1"/>
  <c r="S32" i="1"/>
  <c r="Q20" i="1"/>
  <c r="T20" i="1"/>
  <c r="S20" i="1"/>
  <c r="Q35" i="1"/>
  <c r="T35" i="1"/>
  <c r="S35" i="1"/>
  <c r="Q38" i="1"/>
  <c r="T38" i="1"/>
  <c r="S38" i="1"/>
  <c r="Q34" i="1"/>
  <c r="T34" i="1"/>
  <c r="S34" i="1"/>
  <c r="Q30" i="1"/>
  <c r="T30" i="1"/>
  <c r="S30" i="1"/>
  <c r="Q26" i="1"/>
  <c r="T26" i="1"/>
  <c r="S26" i="1"/>
  <c r="Q22" i="1"/>
  <c r="T22" i="1"/>
  <c r="S22" i="1"/>
  <c r="Q18" i="1"/>
  <c r="T18" i="1"/>
  <c r="S18" i="1"/>
  <c r="Q28" i="1"/>
  <c r="T28" i="1"/>
  <c r="S28" i="1"/>
  <c r="Q16" i="1"/>
  <c r="T16" i="1"/>
  <c r="S16" i="1"/>
  <c r="Q39" i="1"/>
  <c r="T39" i="1"/>
  <c r="S39" i="1"/>
  <c r="Q11" i="1"/>
  <c r="T11" i="1"/>
  <c r="S11" i="1"/>
  <c r="Q37" i="1"/>
  <c r="T37" i="1"/>
  <c r="S37" i="1"/>
  <c r="Q33" i="1"/>
  <c r="T33" i="1"/>
  <c r="S33" i="1"/>
  <c r="Q29" i="1"/>
  <c r="T29" i="1"/>
  <c r="S29" i="1"/>
  <c r="Q25" i="1"/>
  <c r="T25" i="1"/>
  <c r="S25" i="1"/>
  <c r="Q21" i="1"/>
  <c r="T21" i="1"/>
  <c r="S21" i="1"/>
  <c r="Q17" i="1"/>
  <c r="T17" i="1"/>
  <c r="S17" i="1"/>
  <c r="H3" i="2"/>
  <c r="M11" i="7" l="1"/>
  <c r="R11" i="7" s="1"/>
  <c r="M11" i="9"/>
  <c r="R11" i="9" s="1"/>
  <c r="R10" i="14"/>
  <c r="M11" i="13"/>
  <c r="R11" i="13" s="1"/>
  <c r="M10" i="5"/>
  <c r="R10" i="5" s="1"/>
  <c r="R11" i="8"/>
  <c r="R10" i="12"/>
  <c r="M11" i="11"/>
  <c r="R11" i="11" s="1"/>
  <c r="R11" i="6"/>
  <c r="R11" i="5"/>
  <c r="B13" i="15"/>
  <c r="C12" i="15"/>
  <c r="M12" i="15" s="1"/>
  <c r="R12" i="15" s="1"/>
  <c r="B12" i="14"/>
  <c r="C11" i="14"/>
  <c r="M11" i="14" s="1"/>
  <c r="B13" i="13"/>
  <c r="C12" i="13"/>
  <c r="M12" i="13" s="1"/>
  <c r="C12" i="12"/>
  <c r="M12" i="12" s="1"/>
  <c r="R12" i="12" s="1"/>
  <c r="B13" i="12"/>
  <c r="B13" i="11"/>
  <c r="C12" i="11"/>
  <c r="B13" i="10"/>
  <c r="C12" i="10"/>
  <c r="M12" i="10" s="1"/>
  <c r="B13" i="9"/>
  <c r="R12" i="9"/>
  <c r="C12" i="9"/>
  <c r="B13" i="8"/>
  <c r="C12" i="8"/>
  <c r="B13" i="7"/>
  <c r="C12" i="7"/>
  <c r="M12" i="7" s="1"/>
  <c r="B13" i="6"/>
  <c r="M13" i="6" s="1"/>
  <c r="C12" i="6"/>
  <c r="M12" i="6" s="1"/>
  <c r="C12" i="5"/>
  <c r="M12" i="5" s="1"/>
  <c r="B13" i="5"/>
  <c r="B9" i="1"/>
  <c r="R12" i="13" l="1"/>
  <c r="M12" i="11"/>
  <c r="R12" i="11" s="1"/>
  <c r="R12" i="7"/>
  <c r="R11" i="14"/>
  <c r="M12" i="8"/>
  <c r="R12" i="8" s="1"/>
  <c r="R12" i="10"/>
  <c r="R12" i="6"/>
  <c r="Q11" i="6"/>
  <c r="T11" i="6"/>
  <c r="S11" i="6"/>
  <c r="R12" i="5"/>
  <c r="S11" i="5"/>
  <c r="T11" i="5"/>
  <c r="Q11" i="5"/>
  <c r="B14" i="15"/>
  <c r="C13" i="15"/>
  <c r="B13" i="14"/>
  <c r="M13" i="14" s="1"/>
  <c r="C12" i="14"/>
  <c r="B14" i="13"/>
  <c r="C13" i="13"/>
  <c r="M13" i="13" s="1"/>
  <c r="B14" i="12"/>
  <c r="C13" i="12"/>
  <c r="M13" i="12" s="1"/>
  <c r="B14" i="11"/>
  <c r="M14" i="11" s="1"/>
  <c r="C13" i="11"/>
  <c r="B14" i="10"/>
  <c r="C13" i="10"/>
  <c r="M13" i="10" s="1"/>
  <c r="B14" i="9"/>
  <c r="C13" i="9"/>
  <c r="M13" i="9" s="1"/>
  <c r="R13" i="9" s="1"/>
  <c r="B14" i="8"/>
  <c r="C13" i="8"/>
  <c r="B14" i="7"/>
  <c r="C13" i="7"/>
  <c r="M13" i="7" s="1"/>
  <c r="B14" i="6"/>
  <c r="R13" i="6"/>
  <c r="C13" i="6"/>
  <c r="B14" i="5"/>
  <c r="C13" i="5"/>
  <c r="M13" i="5" s="1"/>
  <c r="B10" i="1"/>
  <c r="C9" i="1"/>
  <c r="M9" i="1" s="1"/>
  <c r="O1" i="1"/>
  <c r="R13" i="13" l="1"/>
  <c r="R13" i="10"/>
  <c r="R13" i="12"/>
  <c r="M12" i="14"/>
  <c r="R12" i="14" s="1"/>
  <c r="M13" i="15"/>
  <c r="R13" i="15" s="1"/>
  <c r="R13" i="7"/>
  <c r="M13" i="11"/>
  <c r="R13" i="11" s="1"/>
  <c r="M13" i="8"/>
  <c r="R13" i="8" s="1"/>
  <c r="Q12" i="6"/>
  <c r="S12" i="6"/>
  <c r="T12" i="6"/>
  <c r="R13" i="5"/>
  <c r="S12" i="5"/>
  <c r="T12" i="5"/>
  <c r="Q12" i="5"/>
  <c r="B15" i="15"/>
  <c r="C14" i="15"/>
  <c r="M14" i="15" s="1"/>
  <c r="B14" i="14"/>
  <c r="R13" i="14"/>
  <c r="C13" i="14"/>
  <c r="B15" i="13"/>
  <c r="C14" i="13"/>
  <c r="B15" i="12"/>
  <c r="C14" i="12"/>
  <c r="M14" i="12" s="1"/>
  <c r="B15" i="11"/>
  <c r="R14" i="11"/>
  <c r="C14" i="11"/>
  <c r="B15" i="10"/>
  <c r="C14" i="10"/>
  <c r="B15" i="9"/>
  <c r="C14" i="9"/>
  <c r="B15" i="8"/>
  <c r="M15" i="8" s="1"/>
  <c r="C14" i="8"/>
  <c r="B15" i="7"/>
  <c r="C14" i="7"/>
  <c r="B15" i="6"/>
  <c r="C14" i="6"/>
  <c r="M14" i="6" s="1"/>
  <c r="R14" i="6" s="1"/>
  <c r="B15" i="5"/>
  <c r="C14" i="5"/>
  <c r="M14" i="5" s="1"/>
  <c r="R14" i="5" s="1"/>
  <c r="B11" i="1"/>
  <c r="C10" i="1"/>
  <c r="I1" i="2"/>
  <c r="J1" i="2" s="1"/>
  <c r="M10" i="1" l="1"/>
  <c r="R10" i="1" s="1"/>
  <c r="N10" i="1"/>
  <c r="M14" i="7"/>
  <c r="R14" i="7" s="1"/>
  <c r="R14" i="15"/>
  <c r="M14" i="13"/>
  <c r="R14" i="13" s="1"/>
  <c r="M14" i="8"/>
  <c r="R14" i="8" s="1"/>
  <c r="M14" i="10"/>
  <c r="R14" i="10" s="1"/>
  <c r="R14" i="12"/>
  <c r="M14" i="9"/>
  <c r="R14" i="9" s="1"/>
  <c r="S9" i="1"/>
  <c r="T9" i="1"/>
  <c r="Q9" i="1"/>
  <c r="R9" i="1"/>
  <c r="Q13" i="5"/>
  <c r="T13" i="5"/>
  <c r="S13" i="5"/>
  <c r="B16" i="15"/>
  <c r="C15" i="15"/>
  <c r="M15" i="15" s="1"/>
  <c r="R15" i="15" s="1"/>
  <c r="B15" i="14"/>
  <c r="C14" i="14"/>
  <c r="M14" i="14" s="1"/>
  <c r="R14" i="14" s="1"/>
  <c r="C15" i="13"/>
  <c r="M15" i="13" s="1"/>
  <c r="B16" i="13"/>
  <c r="M16" i="13" s="1"/>
  <c r="B16" i="12"/>
  <c r="C15" i="12"/>
  <c r="M15" i="12" s="1"/>
  <c r="C15" i="11"/>
  <c r="M15" i="11" s="1"/>
  <c r="R15" i="11" s="1"/>
  <c r="B16" i="11"/>
  <c r="B16" i="10"/>
  <c r="C15" i="10"/>
  <c r="C15" i="9"/>
  <c r="B16" i="9"/>
  <c r="R15" i="8"/>
  <c r="C15" i="8"/>
  <c r="B16" i="8"/>
  <c r="B16" i="7"/>
  <c r="C15" i="7"/>
  <c r="M15" i="7" s="1"/>
  <c r="C15" i="6"/>
  <c r="B16" i="6"/>
  <c r="B16" i="5"/>
  <c r="C15" i="5"/>
  <c r="M15" i="5" s="1"/>
  <c r="R15" i="5" s="1"/>
  <c r="C11" i="1"/>
  <c r="M11" i="1" s="1"/>
  <c r="R11" i="1" s="1"/>
  <c r="B12" i="1"/>
  <c r="B1" i="2"/>
  <c r="C1" i="2" s="1"/>
  <c r="D1" i="2" s="1"/>
  <c r="T10" i="1" l="1"/>
  <c r="S10" i="1"/>
  <c r="Q10" i="1"/>
  <c r="O10" i="1"/>
  <c r="O11" i="1" s="1"/>
  <c r="M15" i="9"/>
  <c r="R15" i="9" s="1"/>
  <c r="R15" i="13"/>
  <c r="R15" i="7"/>
  <c r="R15" i="12"/>
  <c r="M15" i="6"/>
  <c r="R15" i="6" s="1"/>
  <c r="M15" i="10"/>
  <c r="R15" i="10" s="1"/>
  <c r="B17" i="15"/>
  <c r="C16" i="15"/>
  <c r="M16" i="15" s="1"/>
  <c r="B16" i="14"/>
  <c r="C15" i="14"/>
  <c r="B17" i="13"/>
  <c r="R16" i="13"/>
  <c r="C16" i="13"/>
  <c r="B17" i="12"/>
  <c r="C16" i="12"/>
  <c r="M16" i="12" s="1"/>
  <c r="B17" i="11"/>
  <c r="C16" i="11"/>
  <c r="M16" i="11" s="1"/>
  <c r="B17" i="10"/>
  <c r="M17" i="10" s="1"/>
  <c r="C16" i="10"/>
  <c r="B17" i="9"/>
  <c r="C16" i="9"/>
  <c r="B17" i="8"/>
  <c r="C16" i="8"/>
  <c r="M16" i="8" s="1"/>
  <c r="R16" i="8" s="1"/>
  <c r="B17" i="7"/>
  <c r="M17" i="7" s="1"/>
  <c r="C16" i="7"/>
  <c r="M16" i="7" s="1"/>
  <c r="B17" i="6"/>
  <c r="C16" i="6"/>
  <c r="B17" i="5"/>
  <c r="C16" i="5"/>
  <c r="M16" i="5" s="1"/>
  <c r="B13" i="1"/>
  <c r="C12" i="1"/>
  <c r="M12" i="1" s="1"/>
  <c r="L13" i="1"/>
  <c r="R16" i="12" l="1"/>
  <c r="M16" i="10"/>
  <c r="R16" i="10" s="1"/>
  <c r="M16" i="6"/>
  <c r="R16" i="6" s="1"/>
  <c r="R16" i="11"/>
  <c r="M16" i="9"/>
  <c r="R16" i="9" s="1"/>
  <c r="R16" i="7"/>
  <c r="R16" i="15"/>
  <c r="M15" i="14"/>
  <c r="R15" i="14" s="1"/>
  <c r="R12" i="1"/>
  <c r="R16" i="5"/>
  <c r="C17" i="15"/>
  <c r="B18" i="15"/>
  <c r="M18" i="15" s="1"/>
  <c r="C16" i="14"/>
  <c r="M16" i="14" s="1"/>
  <c r="R16" i="14" s="1"/>
  <c r="B17" i="14"/>
  <c r="B18" i="13"/>
  <c r="C17" i="13"/>
  <c r="M17" i="13" s="1"/>
  <c r="R17" i="13" s="1"/>
  <c r="B18" i="12"/>
  <c r="M18" i="12" s="1"/>
  <c r="C17" i="12"/>
  <c r="B18" i="11"/>
  <c r="C17" i="11"/>
  <c r="B18" i="10"/>
  <c r="R17" i="10"/>
  <c r="C17" i="10"/>
  <c r="B18" i="9"/>
  <c r="C17" i="9"/>
  <c r="B18" i="8"/>
  <c r="C17" i="8"/>
  <c r="B18" i="7"/>
  <c r="R17" i="7"/>
  <c r="C17" i="7"/>
  <c r="B18" i="6"/>
  <c r="C17" i="6"/>
  <c r="B18" i="5"/>
  <c r="C17" i="5"/>
  <c r="C13" i="1"/>
  <c r="M13" i="1" s="1"/>
  <c r="B14" i="1"/>
  <c r="L14" i="1"/>
  <c r="M17" i="5" l="1"/>
  <c r="R17" i="5" s="1"/>
  <c r="M17" i="15"/>
  <c r="R17" i="15" s="1"/>
  <c r="M17" i="11"/>
  <c r="R17" i="11" s="1"/>
  <c r="M17" i="9"/>
  <c r="R17" i="9" s="1"/>
  <c r="M17" i="12"/>
  <c r="R17" i="12" s="1"/>
  <c r="M17" i="8"/>
  <c r="R17" i="8" s="1"/>
  <c r="M17" i="6"/>
  <c r="R17" i="6" s="1"/>
  <c r="T12" i="1"/>
  <c r="S12" i="1"/>
  <c r="Q12" i="1"/>
  <c r="O12" i="1"/>
  <c r="R13" i="1"/>
  <c r="Q16" i="5"/>
  <c r="T16" i="5"/>
  <c r="S16" i="5"/>
  <c r="B19" i="15"/>
  <c r="R18" i="15"/>
  <c r="C18" i="15"/>
  <c r="B18" i="14"/>
  <c r="C17" i="14"/>
  <c r="B19" i="13"/>
  <c r="C18" i="13"/>
  <c r="B19" i="12"/>
  <c r="R18" i="12"/>
  <c r="C18" i="12"/>
  <c r="B19" i="11"/>
  <c r="C18" i="11"/>
  <c r="M18" i="11" s="1"/>
  <c r="B19" i="10"/>
  <c r="C18" i="10"/>
  <c r="M18" i="10" s="1"/>
  <c r="R18" i="10" s="1"/>
  <c r="B19" i="9"/>
  <c r="M19" i="9" s="1"/>
  <c r="C18" i="9"/>
  <c r="B19" i="8"/>
  <c r="C18" i="8"/>
  <c r="M18" i="8" s="1"/>
  <c r="B19" i="7"/>
  <c r="C18" i="7"/>
  <c r="M18" i="7" s="1"/>
  <c r="R18" i="7" s="1"/>
  <c r="B19" i="6"/>
  <c r="C18" i="6"/>
  <c r="B19" i="5"/>
  <c r="C18" i="5"/>
  <c r="M18" i="5" s="1"/>
  <c r="B15" i="1"/>
  <c r="C14" i="1"/>
  <c r="M14" i="1" s="1"/>
  <c r="M19" i="5" l="1"/>
  <c r="R18" i="11"/>
  <c r="M18" i="6"/>
  <c r="R18" i="6" s="1"/>
  <c r="M18" i="9"/>
  <c r="R18" i="9" s="1"/>
  <c r="R18" i="8"/>
  <c r="M18" i="13"/>
  <c r="R18" i="13" s="1"/>
  <c r="M17" i="14"/>
  <c r="R17" i="14" s="1"/>
  <c r="R14" i="1"/>
  <c r="S13" i="1"/>
  <c r="O13" i="1"/>
  <c r="T13" i="1"/>
  <c r="Q13" i="1"/>
  <c r="R18" i="5"/>
  <c r="B20" i="15"/>
  <c r="C19" i="15"/>
  <c r="M19" i="15" s="1"/>
  <c r="R19" i="15" s="1"/>
  <c r="B19" i="14"/>
  <c r="C18" i="14"/>
  <c r="M18" i="14" s="1"/>
  <c r="B20" i="13"/>
  <c r="C19" i="13"/>
  <c r="M19" i="13" s="1"/>
  <c r="R19" i="13" s="1"/>
  <c r="B20" i="12"/>
  <c r="C19" i="12"/>
  <c r="M19" i="12" s="1"/>
  <c r="R19" i="12" s="1"/>
  <c r="B20" i="11"/>
  <c r="C19" i="11"/>
  <c r="M19" i="11" s="1"/>
  <c r="C19" i="10"/>
  <c r="B20" i="10"/>
  <c r="B20" i="9"/>
  <c r="R19" i="9"/>
  <c r="C19" i="9"/>
  <c r="C19" i="8"/>
  <c r="B20" i="8"/>
  <c r="C19" i="7"/>
  <c r="M19" i="7" s="1"/>
  <c r="R19" i="7" s="1"/>
  <c r="B20" i="7"/>
  <c r="C19" i="6"/>
  <c r="M19" i="6" s="1"/>
  <c r="B20" i="6"/>
  <c r="M20" i="6" s="1"/>
  <c r="B20" i="5"/>
  <c r="C19" i="5"/>
  <c r="C15" i="1"/>
  <c r="M15" i="1" s="1"/>
  <c r="B16" i="1"/>
  <c r="R19" i="5" l="1"/>
  <c r="R19" i="11"/>
  <c r="R18" i="14"/>
  <c r="M19" i="10"/>
  <c r="R19" i="10" s="1"/>
  <c r="R19" i="6"/>
  <c r="M19" i="8"/>
  <c r="R19" i="8" s="1"/>
  <c r="Q14" i="1"/>
  <c r="O14" i="1"/>
  <c r="S14" i="1"/>
  <c r="T14" i="1"/>
  <c r="R15" i="1"/>
  <c r="S18" i="5"/>
  <c r="S7" i="5" s="1"/>
  <c r="T18" i="5"/>
  <c r="T7" i="5" s="1"/>
  <c r="Q18" i="5"/>
  <c r="B21" i="15"/>
  <c r="C20" i="15"/>
  <c r="B20" i="14"/>
  <c r="M20" i="14" s="1"/>
  <c r="C19" i="14"/>
  <c r="B21" i="13"/>
  <c r="C20" i="13"/>
  <c r="M20" i="13" s="1"/>
  <c r="R20" i="13" s="1"/>
  <c r="C20" i="12"/>
  <c r="M20" i="12" s="1"/>
  <c r="B21" i="12"/>
  <c r="B21" i="11"/>
  <c r="M21" i="11" s="1"/>
  <c r="C20" i="11"/>
  <c r="M20" i="11" s="1"/>
  <c r="B21" i="10"/>
  <c r="C20" i="10"/>
  <c r="M20" i="10" s="1"/>
  <c r="B21" i="9"/>
  <c r="C20" i="9"/>
  <c r="M20" i="9" s="1"/>
  <c r="R20" i="9" s="1"/>
  <c r="B21" i="8"/>
  <c r="C20" i="8"/>
  <c r="B21" i="7"/>
  <c r="C20" i="7"/>
  <c r="B21" i="6"/>
  <c r="R20" i="6"/>
  <c r="C20" i="6"/>
  <c r="C20" i="5"/>
  <c r="M20" i="5" s="1"/>
  <c r="R20" i="5" s="1"/>
  <c r="B21" i="5"/>
  <c r="B17" i="1"/>
  <c r="C16" i="1"/>
  <c r="M16" i="1" s="1"/>
  <c r="R16" i="1" s="1"/>
  <c r="R20" i="10" l="1"/>
  <c r="M20" i="8"/>
  <c r="R20" i="8" s="1"/>
  <c r="R20" i="12"/>
  <c r="Q7" i="5"/>
  <c r="P7" i="5"/>
  <c r="M20" i="15"/>
  <c r="R20" i="15" s="1"/>
  <c r="M20" i="7"/>
  <c r="R20" i="7" s="1"/>
  <c r="R20" i="11"/>
  <c r="M19" i="14"/>
  <c r="R19" i="14" s="1"/>
  <c r="S15" i="1"/>
  <c r="S7" i="1" s="1"/>
  <c r="T15" i="1"/>
  <c r="T7" i="1" s="1"/>
  <c r="Q15" i="1"/>
  <c r="Q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B22" i="15"/>
  <c r="R20" i="14"/>
  <c r="B21" i="14"/>
  <c r="C20" i="14"/>
  <c r="B22" i="13"/>
  <c r="C21" i="13"/>
  <c r="M21" i="13" s="1"/>
  <c r="R21" i="13" s="1"/>
  <c r="B22" i="12"/>
  <c r="C21" i="12"/>
  <c r="M21" i="12" s="1"/>
  <c r="B22" i="11"/>
  <c r="R21" i="11"/>
  <c r="C21" i="11"/>
  <c r="B22" i="10"/>
  <c r="C21" i="10"/>
  <c r="M21" i="10" s="1"/>
  <c r="B22" i="9"/>
  <c r="C21" i="9"/>
  <c r="M21" i="9" s="1"/>
  <c r="R21" i="9" s="1"/>
  <c r="B22" i="8"/>
  <c r="M22" i="8" s="1"/>
  <c r="C21" i="8"/>
  <c r="M21" i="8" s="1"/>
  <c r="B22" i="7"/>
  <c r="C21" i="7"/>
  <c r="B22" i="6"/>
  <c r="C21" i="6"/>
  <c r="M21" i="6" s="1"/>
  <c r="R21" i="6" s="1"/>
  <c r="B22" i="5"/>
  <c r="C21" i="5"/>
  <c r="M21" i="5" s="1"/>
  <c r="R21" i="5" s="1"/>
  <c r="B18" i="1"/>
  <c r="C17" i="1"/>
  <c r="M17" i="1" s="1"/>
  <c r="R17" i="1" s="1"/>
  <c r="R21" i="10" l="1"/>
  <c r="R21" i="8"/>
  <c r="R21" i="12"/>
  <c r="M21" i="7"/>
  <c r="R21" i="7" s="1"/>
  <c r="M21" i="15"/>
  <c r="R21" i="15" s="1"/>
  <c r="C5" i="16"/>
  <c r="O9" i="5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7" i="6" s="1"/>
  <c r="B23" i="15"/>
  <c r="C22" i="15"/>
  <c r="B22" i="14"/>
  <c r="C21" i="14"/>
  <c r="M21" i="14" s="1"/>
  <c r="R21" i="14" s="1"/>
  <c r="B23" i="13"/>
  <c r="M23" i="13" s="1"/>
  <c r="C22" i="13"/>
  <c r="B23" i="12"/>
  <c r="C22" i="12"/>
  <c r="M22" i="12" s="1"/>
  <c r="B23" i="11"/>
  <c r="C22" i="11"/>
  <c r="M22" i="11" s="1"/>
  <c r="R22" i="11" s="1"/>
  <c r="B23" i="10"/>
  <c r="C22" i="10"/>
  <c r="B23" i="9"/>
  <c r="C22" i="9"/>
  <c r="B23" i="8"/>
  <c r="R22" i="8"/>
  <c r="C22" i="8"/>
  <c r="B23" i="7"/>
  <c r="C22" i="7"/>
  <c r="M22" i="7" s="1"/>
  <c r="B23" i="6"/>
  <c r="C22" i="6"/>
  <c r="M22" i="6" s="1"/>
  <c r="B23" i="5"/>
  <c r="C22" i="5"/>
  <c r="M22" i="5" s="1"/>
  <c r="R22" i="5" s="1"/>
  <c r="C18" i="1"/>
  <c r="M18" i="1" s="1"/>
  <c r="R18" i="1" s="1"/>
  <c r="B19" i="1"/>
  <c r="M23" i="7" l="1"/>
  <c r="M22" i="13"/>
  <c r="R22" i="13" s="1"/>
  <c r="M22" i="10"/>
  <c r="R22" i="10" s="1"/>
  <c r="R22" i="6"/>
  <c r="R22" i="7"/>
  <c r="R22" i="12"/>
  <c r="M22" i="15"/>
  <c r="R22" i="15" s="1"/>
  <c r="M22" i="9"/>
  <c r="R22" i="9" s="1"/>
  <c r="O9" i="6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M23" i="15" s="1"/>
  <c r="B23" i="14"/>
  <c r="C22" i="14"/>
  <c r="C23" i="13"/>
  <c r="R23" i="13"/>
  <c r="B24" i="13"/>
  <c r="B24" i="12"/>
  <c r="C23" i="12"/>
  <c r="C23" i="11"/>
  <c r="M23" i="11" s="1"/>
  <c r="B24" i="11"/>
  <c r="B24" i="10"/>
  <c r="M24" i="10" s="1"/>
  <c r="C23" i="10"/>
  <c r="B24" i="9"/>
  <c r="C23" i="9"/>
  <c r="M23" i="9" s="1"/>
  <c r="C23" i="8"/>
  <c r="M23" i="8" s="1"/>
  <c r="R23" i="8" s="1"/>
  <c r="B24" i="8"/>
  <c r="C23" i="7"/>
  <c r="B24" i="7"/>
  <c r="M24" i="7" s="1"/>
  <c r="B24" i="6"/>
  <c r="C23" i="6"/>
  <c r="M23" i="6" s="1"/>
  <c r="B24" i="5"/>
  <c r="C23" i="5"/>
  <c r="M23" i="5" s="1"/>
  <c r="C19" i="1"/>
  <c r="M19" i="1" s="1"/>
  <c r="B20" i="1"/>
  <c r="R23" i="9" l="1"/>
  <c r="R19" i="1"/>
  <c r="M24" i="15"/>
  <c r="M22" i="14"/>
  <c r="R22" i="14" s="1"/>
  <c r="R23" i="5"/>
  <c r="R23" i="7"/>
  <c r="R23" i="6"/>
  <c r="R23" i="11"/>
  <c r="R23" i="15"/>
  <c r="M23" i="10"/>
  <c r="R23" i="10" s="1"/>
  <c r="M23" i="12"/>
  <c r="R23" i="12" s="1"/>
  <c r="B25" i="15"/>
  <c r="M25" i="15" s="1"/>
  <c r="C24" i="15"/>
  <c r="B24" i="14"/>
  <c r="C23" i="14"/>
  <c r="B25" i="13"/>
  <c r="C24" i="13"/>
  <c r="M24" i="13" s="1"/>
  <c r="R24" i="13" s="1"/>
  <c r="B25" i="12"/>
  <c r="M25" i="12" s="1"/>
  <c r="C24" i="12"/>
  <c r="B25" i="11"/>
  <c r="C24" i="11"/>
  <c r="M24" i="11" s="1"/>
  <c r="R24" i="11" s="1"/>
  <c r="B25" i="10"/>
  <c r="R24" i="10"/>
  <c r="C24" i="10"/>
  <c r="B25" i="9"/>
  <c r="C24" i="9"/>
  <c r="B25" i="8"/>
  <c r="C24" i="8"/>
  <c r="B25" i="7"/>
  <c r="R24" i="7"/>
  <c r="C24" i="7"/>
  <c r="B25" i="6"/>
  <c r="C24" i="6"/>
  <c r="M24" i="6" s="1"/>
  <c r="C24" i="5"/>
  <c r="B25" i="5"/>
  <c r="B21" i="1"/>
  <c r="C20" i="1"/>
  <c r="M20" i="1" s="1"/>
  <c r="R20" i="1" s="1"/>
  <c r="R24" i="15" l="1"/>
  <c r="M24" i="9"/>
  <c r="R24" i="9" s="1"/>
  <c r="M23" i="14"/>
  <c r="R23" i="14" s="1"/>
  <c r="R24" i="6"/>
  <c r="M24" i="8"/>
  <c r="R24" i="8" s="1"/>
  <c r="M24" i="12"/>
  <c r="R24" i="12" s="1"/>
  <c r="M24" i="5"/>
  <c r="R24" i="5" s="1"/>
  <c r="R25" i="15"/>
  <c r="B26" i="15"/>
  <c r="C25" i="15"/>
  <c r="C24" i="14"/>
  <c r="B25" i="14"/>
  <c r="B26" i="13"/>
  <c r="C25" i="13"/>
  <c r="M25" i="13" s="1"/>
  <c r="R25" i="13" s="1"/>
  <c r="B26" i="12"/>
  <c r="R25" i="12"/>
  <c r="C25" i="12"/>
  <c r="B26" i="11"/>
  <c r="C25" i="11"/>
  <c r="M25" i="11" s="1"/>
  <c r="R25" i="11" s="1"/>
  <c r="B26" i="10"/>
  <c r="C25" i="10"/>
  <c r="M25" i="10" s="1"/>
  <c r="R25" i="10" s="1"/>
  <c r="B26" i="9"/>
  <c r="M26" i="9" s="1"/>
  <c r="C25" i="9"/>
  <c r="M25" i="9" s="1"/>
  <c r="R25" i="9" s="1"/>
  <c r="B26" i="8"/>
  <c r="C25" i="8"/>
  <c r="B26" i="7"/>
  <c r="C25" i="7"/>
  <c r="M25" i="7" s="1"/>
  <c r="R25" i="7" s="1"/>
  <c r="B26" i="6"/>
  <c r="C25" i="6"/>
  <c r="M25" i="6" s="1"/>
  <c r="R25" i="6" s="1"/>
  <c r="B26" i="5"/>
  <c r="C25" i="5"/>
  <c r="M25" i="5" s="1"/>
  <c r="B22" i="1"/>
  <c r="C21" i="1"/>
  <c r="R25" i="5" l="1"/>
  <c r="M21" i="1"/>
  <c r="R21" i="1" s="1"/>
  <c r="M22" i="1"/>
  <c r="M24" i="14"/>
  <c r="R24" i="14" s="1"/>
  <c r="M25" i="8"/>
  <c r="R25" i="8" s="1"/>
  <c r="B27" i="15"/>
  <c r="C26" i="15"/>
  <c r="M26" i="15" s="1"/>
  <c r="R26" i="15" s="1"/>
  <c r="B26" i="14"/>
  <c r="C25" i="14"/>
  <c r="M25" i="14" s="1"/>
  <c r="B27" i="13"/>
  <c r="C26" i="13"/>
  <c r="M26" i="13" s="1"/>
  <c r="R26" i="13" s="1"/>
  <c r="B27" i="12"/>
  <c r="C26" i="12"/>
  <c r="M26" i="12" s="1"/>
  <c r="R26" i="12" s="1"/>
  <c r="B27" i="11"/>
  <c r="C26" i="11"/>
  <c r="M26" i="11" s="1"/>
  <c r="R26" i="11" s="1"/>
  <c r="B27" i="10"/>
  <c r="C26" i="10"/>
  <c r="B27" i="9"/>
  <c r="R26" i="9"/>
  <c r="C26" i="9"/>
  <c r="B27" i="8"/>
  <c r="C26" i="8"/>
  <c r="B27" i="7"/>
  <c r="C26" i="7"/>
  <c r="M26" i="7" s="1"/>
  <c r="R26" i="7" s="1"/>
  <c r="B27" i="6"/>
  <c r="M27" i="6" s="1"/>
  <c r="C26" i="6"/>
  <c r="M26" i="6" s="1"/>
  <c r="B27" i="5"/>
  <c r="C26" i="5"/>
  <c r="B23" i="1"/>
  <c r="C22" i="1"/>
  <c r="R22" i="1" l="1"/>
  <c r="M26" i="5"/>
  <c r="R26" i="5" s="1"/>
  <c r="R25" i="14"/>
  <c r="M26" i="8"/>
  <c r="R26" i="8" s="1"/>
  <c r="M26" i="10"/>
  <c r="R26" i="10" s="1"/>
  <c r="R26" i="6"/>
  <c r="B28" i="15"/>
  <c r="C27" i="15"/>
  <c r="M27" i="15" s="1"/>
  <c r="R27" i="15" s="1"/>
  <c r="B27" i="14"/>
  <c r="M27" i="14" s="1"/>
  <c r="C26" i="14"/>
  <c r="B28" i="13"/>
  <c r="C27" i="13"/>
  <c r="B28" i="12"/>
  <c r="C27" i="12"/>
  <c r="M27" i="12" s="1"/>
  <c r="R27" i="12" s="1"/>
  <c r="B28" i="11"/>
  <c r="M28" i="11" s="1"/>
  <c r="C27" i="11"/>
  <c r="C27" i="10"/>
  <c r="M27" i="10" s="1"/>
  <c r="B28" i="10"/>
  <c r="C27" i="9"/>
  <c r="M27" i="9" s="1"/>
  <c r="R27" i="9" s="1"/>
  <c r="B28" i="9"/>
  <c r="B28" i="8"/>
  <c r="C27" i="8"/>
  <c r="M27" i="8" s="1"/>
  <c r="R27" i="8" s="1"/>
  <c r="C27" i="7"/>
  <c r="B28" i="7"/>
  <c r="R27" i="6"/>
  <c r="C27" i="6"/>
  <c r="B28" i="6"/>
  <c r="B28" i="5"/>
  <c r="C27" i="5"/>
  <c r="M27" i="5" s="1"/>
  <c r="R27" i="5" s="1"/>
  <c r="B24" i="1"/>
  <c r="C23" i="1"/>
  <c r="R27" i="10" l="1"/>
  <c r="M27" i="13"/>
  <c r="R27" i="13" s="1"/>
  <c r="M26" i="14"/>
  <c r="R26" i="14" s="1"/>
  <c r="M27" i="7"/>
  <c r="R27" i="7" s="1"/>
  <c r="M27" i="11"/>
  <c r="R27" i="11" s="1"/>
  <c r="M23" i="1"/>
  <c r="R23" i="1" s="1"/>
  <c r="S26" i="6"/>
  <c r="S7" i="6" s="1"/>
  <c r="Q26" i="6"/>
  <c r="T26" i="6"/>
  <c r="T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O7" i="7" s="1"/>
  <c r="B29" i="15"/>
  <c r="C28" i="15"/>
  <c r="B28" i="14"/>
  <c r="R27" i="14"/>
  <c r="C27" i="14"/>
  <c r="B29" i="13"/>
  <c r="C28" i="13"/>
  <c r="M28" i="13" s="1"/>
  <c r="R28" i="13" s="1"/>
  <c r="C28" i="12"/>
  <c r="M28" i="12" s="1"/>
  <c r="R28" i="12" s="1"/>
  <c r="B29" i="12"/>
  <c r="B29" i="11"/>
  <c r="R28" i="11"/>
  <c r="C28" i="11"/>
  <c r="B29" i="10"/>
  <c r="C28" i="10"/>
  <c r="B29" i="9"/>
  <c r="C28" i="9"/>
  <c r="B29" i="8"/>
  <c r="M29" i="8" s="1"/>
  <c r="C28" i="8"/>
  <c r="B29" i="7"/>
  <c r="C28" i="7"/>
  <c r="B29" i="6"/>
  <c r="C28" i="6"/>
  <c r="M28" i="6" s="1"/>
  <c r="R28" i="6" s="1"/>
  <c r="C28" i="5"/>
  <c r="M28" i="5" s="1"/>
  <c r="R28" i="5" s="1"/>
  <c r="B29" i="5"/>
  <c r="B25" i="1"/>
  <c r="C24" i="1"/>
  <c r="M24" i="1" s="1"/>
  <c r="R24" i="1" s="1"/>
  <c r="Q7" i="6" l="1"/>
  <c r="P7" i="6"/>
  <c r="M28" i="7"/>
  <c r="R28" i="7" s="1"/>
  <c r="M28" i="10"/>
  <c r="R28" i="10" s="1"/>
  <c r="M28" i="15"/>
  <c r="R28" i="15" s="1"/>
  <c r="M28" i="8"/>
  <c r="R28" i="8" s="1"/>
  <c r="M28" i="9"/>
  <c r="R28" i="9" s="1"/>
  <c r="O9" i="7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B30" i="15"/>
  <c r="C29" i="15"/>
  <c r="M29" i="15" s="1"/>
  <c r="R29" i="15" s="1"/>
  <c r="B29" i="14"/>
  <c r="C28" i="14"/>
  <c r="M28" i="14" s="1"/>
  <c r="R28" i="14" s="1"/>
  <c r="B30" i="13"/>
  <c r="M30" i="13" s="1"/>
  <c r="C29" i="13"/>
  <c r="B30" i="12"/>
  <c r="C29" i="12"/>
  <c r="B30" i="11"/>
  <c r="C29" i="11"/>
  <c r="M29" i="11" s="1"/>
  <c r="R29" i="11" s="1"/>
  <c r="B30" i="10"/>
  <c r="C29" i="10"/>
  <c r="B30" i="9"/>
  <c r="C29" i="9"/>
  <c r="M29" i="9" s="1"/>
  <c r="B30" i="8"/>
  <c r="R29" i="8"/>
  <c r="C29" i="8"/>
  <c r="B30" i="7"/>
  <c r="C29" i="7"/>
  <c r="B30" i="6"/>
  <c r="C29" i="6"/>
  <c r="M29" i="6" s="1"/>
  <c r="B30" i="5"/>
  <c r="C29" i="5"/>
  <c r="M29" i="5" s="1"/>
  <c r="R29" i="5" s="1"/>
  <c r="B26" i="1"/>
  <c r="C25" i="1"/>
  <c r="M25" i="1" s="1"/>
  <c r="R25" i="1" s="1"/>
  <c r="M29" i="10" l="1"/>
  <c r="R29" i="10" s="1"/>
  <c r="R29" i="9"/>
  <c r="M29" i="7"/>
  <c r="R29" i="7" s="1"/>
  <c r="R29" i="6"/>
  <c r="M29" i="12"/>
  <c r="R29" i="12" s="1"/>
  <c r="M29" i="13"/>
  <c r="R29" i="13" s="1"/>
  <c r="B31" i="15"/>
  <c r="C30" i="15"/>
  <c r="B30" i="14"/>
  <c r="C29" i="14"/>
  <c r="B31" i="13"/>
  <c r="R30" i="13"/>
  <c r="C30" i="13"/>
  <c r="B31" i="12"/>
  <c r="C30" i="12"/>
  <c r="M30" i="12" s="1"/>
  <c r="B31" i="11"/>
  <c r="C30" i="11"/>
  <c r="M30" i="11" s="1"/>
  <c r="R30" i="11" s="1"/>
  <c r="B31" i="10"/>
  <c r="M31" i="10" s="1"/>
  <c r="C30" i="10"/>
  <c r="B31" i="9"/>
  <c r="C30" i="9"/>
  <c r="M30" i="9" s="1"/>
  <c r="R30" i="9" s="1"/>
  <c r="B31" i="8"/>
  <c r="C30" i="8"/>
  <c r="M30" i="8" s="1"/>
  <c r="R30" i="8" s="1"/>
  <c r="B31" i="7"/>
  <c r="M31" i="7" s="1"/>
  <c r="C30" i="7"/>
  <c r="M30" i="7" s="1"/>
  <c r="B31" i="6"/>
  <c r="C30" i="6"/>
  <c r="B31" i="5"/>
  <c r="C30" i="5"/>
  <c r="M30" i="5" s="1"/>
  <c r="R30" i="5" s="1"/>
  <c r="C26" i="1"/>
  <c r="M26" i="1" s="1"/>
  <c r="R26" i="1" s="1"/>
  <c r="B27" i="1"/>
  <c r="M29" i="14" l="1"/>
  <c r="R29" i="14" s="1"/>
  <c r="M30" i="15"/>
  <c r="R30" i="15" s="1"/>
  <c r="M30" i="6"/>
  <c r="R30" i="6" s="1"/>
  <c r="R30" i="12"/>
  <c r="M30" i="10"/>
  <c r="R30" i="10" s="1"/>
  <c r="R30" i="7"/>
  <c r="B32" i="15"/>
  <c r="M32" i="15" s="1"/>
  <c r="C31" i="15"/>
  <c r="M31" i="15" s="1"/>
  <c r="R31" i="15" s="1"/>
  <c r="B31" i="14"/>
  <c r="C30" i="14"/>
  <c r="M30" i="14" s="1"/>
  <c r="C31" i="13"/>
  <c r="M31" i="13" s="1"/>
  <c r="R31" i="13" s="1"/>
  <c r="B32" i="13"/>
  <c r="B32" i="12"/>
  <c r="M32" i="12" s="1"/>
  <c r="C31" i="12"/>
  <c r="M31" i="12" s="1"/>
  <c r="R31" i="12" s="1"/>
  <c r="C31" i="11"/>
  <c r="M31" i="11" s="1"/>
  <c r="R31" i="11" s="1"/>
  <c r="B32" i="11"/>
  <c r="R31" i="10"/>
  <c r="B32" i="10"/>
  <c r="C31" i="10"/>
  <c r="C31" i="9"/>
  <c r="M31" i="9" s="1"/>
  <c r="R31" i="9" s="1"/>
  <c r="B32" i="9"/>
  <c r="B32" i="8"/>
  <c r="C31" i="8"/>
  <c r="M31" i="8" s="1"/>
  <c r="R31" i="8" s="1"/>
  <c r="B32" i="7"/>
  <c r="R31" i="7"/>
  <c r="C31" i="7"/>
  <c r="B32" i="6"/>
  <c r="C31" i="6"/>
  <c r="B32" i="5"/>
  <c r="C31" i="5"/>
  <c r="M31" i="5" s="1"/>
  <c r="R31" i="5" s="1"/>
  <c r="C27" i="1"/>
  <c r="M27" i="1" s="1"/>
  <c r="B28" i="1"/>
  <c r="R30" i="14" l="1"/>
  <c r="R27" i="1"/>
  <c r="M31" i="6"/>
  <c r="R31" i="6" s="1"/>
  <c r="Q30" i="7"/>
  <c r="T30" i="7"/>
  <c r="T7" i="7" s="1"/>
  <c r="S30" i="7"/>
  <c r="S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O7" i="8" s="1"/>
  <c r="B33" i="15"/>
  <c r="R32" i="15"/>
  <c r="C32" i="15"/>
  <c r="B32" i="14"/>
  <c r="C31" i="14"/>
  <c r="M31" i="14" s="1"/>
  <c r="B33" i="13"/>
  <c r="C32" i="13"/>
  <c r="M32" i="13" s="1"/>
  <c r="R32" i="13" s="1"/>
  <c r="R32" i="12"/>
  <c r="B33" i="12"/>
  <c r="C32" i="12"/>
  <c r="B33" i="11"/>
  <c r="C32" i="11"/>
  <c r="M32" i="11" s="1"/>
  <c r="R32" i="11" s="1"/>
  <c r="B33" i="10"/>
  <c r="C32" i="10"/>
  <c r="M32" i="10" s="1"/>
  <c r="R32" i="10" s="1"/>
  <c r="B33" i="9"/>
  <c r="M33" i="9" s="1"/>
  <c r="C32" i="9"/>
  <c r="M32" i="9" s="1"/>
  <c r="R32" i="9" s="1"/>
  <c r="B33" i="8"/>
  <c r="C32" i="8"/>
  <c r="M32" i="8" s="1"/>
  <c r="B33" i="7"/>
  <c r="C32" i="7"/>
  <c r="M32" i="7" s="1"/>
  <c r="R32" i="7" s="1"/>
  <c r="B33" i="6"/>
  <c r="C32" i="6"/>
  <c r="B33" i="5"/>
  <c r="C32" i="5"/>
  <c r="M32" i="5" s="1"/>
  <c r="R32" i="5" s="1"/>
  <c r="B29" i="1"/>
  <c r="C28" i="1"/>
  <c r="M28" i="1" l="1"/>
  <c r="R28" i="1" s="1"/>
  <c r="R32" i="8"/>
  <c r="R31" i="14"/>
  <c r="Q7" i="7"/>
  <c r="P7" i="7"/>
  <c r="M32" i="6"/>
  <c r="R32" i="6" s="1"/>
  <c r="O9" i="8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7" i="9" s="1"/>
  <c r="C8" i="16"/>
  <c r="B34" i="15"/>
  <c r="C33" i="15"/>
  <c r="M33" i="15" s="1"/>
  <c r="R33" i="15" s="1"/>
  <c r="C32" i="14"/>
  <c r="M32" i="14" s="1"/>
  <c r="B33" i="14"/>
  <c r="B34" i="13"/>
  <c r="C33" i="13"/>
  <c r="M33" i="13" s="1"/>
  <c r="R33" i="13" s="1"/>
  <c r="B34" i="12"/>
  <c r="C33" i="12"/>
  <c r="M33" i="12" s="1"/>
  <c r="R33" i="12" s="1"/>
  <c r="B34" i="11"/>
  <c r="C33" i="11"/>
  <c r="M33" i="11" s="1"/>
  <c r="B34" i="10"/>
  <c r="C33" i="10"/>
  <c r="M33" i="10" s="1"/>
  <c r="R33" i="10" s="1"/>
  <c r="B34" i="9"/>
  <c r="R33" i="9"/>
  <c r="C33" i="9"/>
  <c r="B34" i="8"/>
  <c r="C33" i="8"/>
  <c r="M33" i="8" s="1"/>
  <c r="R33" i="8" s="1"/>
  <c r="B34" i="7"/>
  <c r="C33" i="7"/>
  <c r="M33" i="7" s="1"/>
  <c r="B34" i="6"/>
  <c r="M34" i="6" s="1"/>
  <c r="C33" i="6"/>
  <c r="M33" i="6" s="1"/>
  <c r="B34" i="5"/>
  <c r="C33" i="5"/>
  <c r="B30" i="1"/>
  <c r="C29" i="1"/>
  <c r="M29" i="1" s="1"/>
  <c r="R33" i="7" l="1"/>
  <c r="R32" i="14"/>
  <c r="M33" i="5"/>
  <c r="R33" i="5" s="1"/>
  <c r="R33" i="11"/>
  <c r="R29" i="1"/>
  <c r="R33" i="6"/>
  <c r="O9" i="9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O7" i="10" s="1"/>
  <c r="C9" i="16"/>
  <c r="B35" i="15"/>
  <c r="C34" i="15"/>
  <c r="M34" i="15" s="1"/>
  <c r="B34" i="14"/>
  <c r="M34" i="14" s="1"/>
  <c r="C33" i="14"/>
  <c r="B35" i="13"/>
  <c r="C34" i="13"/>
  <c r="B35" i="12"/>
  <c r="C34" i="12"/>
  <c r="M34" i="12" s="1"/>
  <c r="R34" i="12" s="1"/>
  <c r="B35" i="11"/>
  <c r="M35" i="11" s="1"/>
  <c r="C34" i="11"/>
  <c r="B35" i="10"/>
  <c r="C34" i="10"/>
  <c r="B35" i="9"/>
  <c r="C34" i="9"/>
  <c r="M34" i="9" s="1"/>
  <c r="R34" i="9" s="1"/>
  <c r="B35" i="8"/>
  <c r="C34" i="8"/>
  <c r="M34" i="8" s="1"/>
  <c r="B35" i="7"/>
  <c r="C34" i="7"/>
  <c r="B35" i="6"/>
  <c r="R34" i="6"/>
  <c r="C34" i="6"/>
  <c r="B35" i="5"/>
  <c r="C34" i="5"/>
  <c r="B31" i="1"/>
  <c r="C30" i="1"/>
  <c r="M34" i="10" l="1"/>
  <c r="R34" i="10" s="1"/>
  <c r="M30" i="1"/>
  <c r="R30" i="1" s="1"/>
  <c r="R34" i="8"/>
  <c r="R34" i="15"/>
  <c r="M34" i="13"/>
  <c r="R34" i="13" s="1"/>
  <c r="M34" i="7"/>
  <c r="R34" i="7" s="1"/>
  <c r="M34" i="5"/>
  <c r="R34" i="5" s="1"/>
  <c r="M34" i="11"/>
  <c r="R34" i="11" s="1"/>
  <c r="M33" i="14"/>
  <c r="R33" i="14" s="1"/>
  <c r="O9" i="10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O7" i="11" s="1"/>
  <c r="C10" i="16"/>
  <c r="B36" i="15"/>
  <c r="C35" i="15"/>
  <c r="B35" i="14"/>
  <c r="R34" i="14"/>
  <c r="C34" i="14"/>
  <c r="C35" i="13"/>
  <c r="M35" i="13" s="1"/>
  <c r="B36" i="13"/>
  <c r="B36" i="12"/>
  <c r="C35" i="12"/>
  <c r="M35" i="12" s="1"/>
  <c r="R35" i="11"/>
  <c r="B36" i="11"/>
  <c r="C35" i="11"/>
  <c r="B36" i="10"/>
  <c r="C35" i="10"/>
  <c r="M35" i="10" s="1"/>
  <c r="B36" i="9"/>
  <c r="C35" i="9"/>
  <c r="M35" i="9" s="1"/>
  <c r="B36" i="8"/>
  <c r="M36" i="8" s="1"/>
  <c r="C35" i="8"/>
  <c r="M35" i="8" s="1"/>
  <c r="R35" i="8" s="1"/>
  <c r="B36" i="7"/>
  <c r="C35" i="7"/>
  <c r="M35" i="7" s="1"/>
  <c r="C35" i="6"/>
  <c r="M35" i="6" s="1"/>
  <c r="R35" i="6" s="1"/>
  <c r="B36" i="6"/>
  <c r="B36" i="5"/>
  <c r="C35" i="5"/>
  <c r="M35" i="5" s="1"/>
  <c r="R35" i="5" s="1"/>
  <c r="C31" i="1"/>
  <c r="M31" i="1" s="1"/>
  <c r="R31" i="1" s="1"/>
  <c r="B32" i="1"/>
  <c r="R35" i="12" l="1"/>
  <c r="R35" i="10"/>
  <c r="R35" i="13"/>
  <c r="R35" i="7"/>
  <c r="R35" i="9"/>
  <c r="M35" i="15"/>
  <c r="R35" i="15" s="1"/>
  <c r="C11" i="16"/>
  <c r="O9" i="1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O7" i="12" s="1"/>
  <c r="B37" i="15"/>
  <c r="C36" i="15"/>
  <c r="M36" i="15" s="1"/>
  <c r="R36" i="15" s="1"/>
  <c r="B36" i="14"/>
  <c r="C35" i="14"/>
  <c r="M35" i="14" s="1"/>
  <c r="R35" i="14" s="1"/>
  <c r="B37" i="13"/>
  <c r="M37" i="13" s="1"/>
  <c r="C36" i="13"/>
  <c r="M36" i="13" s="1"/>
  <c r="C36" i="12"/>
  <c r="B37" i="12"/>
  <c r="B37" i="11"/>
  <c r="C36" i="11"/>
  <c r="M36" i="11" s="1"/>
  <c r="R36" i="11" s="1"/>
  <c r="B37" i="10"/>
  <c r="C36" i="10"/>
  <c r="B37" i="9"/>
  <c r="C36" i="9"/>
  <c r="M36" i="9" s="1"/>
  <c r="B37" i="8"/>
  <c r="R36" i="8"/>
  <c r="C36" i="8"/>
  <c r="B37" i="7"/>
  <c r="C36" i="7"/>
  <c r="M36" i="7" s="1"/>
  <c r="B37" i="6"/>
  <c r="C36" i="6"/>
  <c r="B37" i="5"/>
  <c r="C36" i="5"/>
  <c r="M36" i="5" s="1"/>
  <c r="R36" i="5" s="1"/>
  <c r="B33" i="1"/>
  <c r="C32" i="1"/>
  <c r="M32" i="1" s="1"/>
  <c r="R32" i="1" s="1"/>
  <c r="R36" i="13" l="1"/>
  <c r="R36" i="7"/>
  <c r="M36" i="10"/>
  <c r="R36" i="10" s="1"/>
  <c r="R36" i="9"/>
  <c r="M36" i="12"/>
  <c r="R36" i="12" s="1"/>
  <c r="M36" i="6"/>
  <c r="R36" i="6" s="1"/>
  <c r="O9" i="12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7" i="13" s="1"/>
  <c r="C12" i="16"/>
  <c r="B38" i="15"/>
  <c r="C37" i="15"/>
  <c r="M37" i="15" s="1"/>
  <c r="R37" i="15" s="1"/>
  <c r="C36" i="14"/>
  <c r="M36" i="14" s="1"/>
  <c r="R36" i="14" s="1"/>
  <c r="B37" i="14"/>
  <c r="B38" i="13"/>
  <c r="R37" i="13"/>
  <c r="C37" i="13"/>
  <c r="B38" i="12"/>
  <c r="C37" i="12"/>
  <c r="M37" i="12" s="1"/>
  <c r="R37" i="12" s="1"/>
  <c r="B38" i="11"/>
  <c r="C37" i="11"/>
  <c r="B38" i="10"/>
  <c r="M38" i="10" s="1"/>
  <c r="C37" i="10"/>
  <c r="B38" i="9"/>
  <c r="C37" i="9"/>
  <c r="B38" i="8"/>
  <c r="C37" i="8"/>
  <c r="M37" i="8" s="1"/>
  <c r="R37" i="8" s="1"/>
  <c r="B38" i="7"/>
  <c r="M38" i="7" s="1"/>
  <c r="C37" i="7"/>
  <c r="B38" i="6"/>
  <c r="C37" i="6"/>
  <c r="M37" i="6" s="1"/>
  <c r="B38" i="5"/>
  <c r="M38" i="5" s="1"/>
  <c r="C37" i="5"/>
  <c r="M37" i="5" s="1"/>
  <c r="R37" i="5" s="1"/>
  <c r="B34" i="1"/>
  <c r="C33" i="1"/>
  <c r="M33" i="1" l="1"/>
  <c r="R33" i="1" s="1"/>
  <c r="M38" i="12"/>
  <c r="R37" i="6"/>
  <c r="M37" i="7"/>
  <c r="R37" i="7" s="1"/>
  <c r="M37" i="9"/>
  <c r="R37" i="9" s="1"/>
  <c r="M37" i="10"/>
  <c r="R37" i="10" s="1"/>
  <c r="M37" i="11"/>
  <c r="R37" i="11" s="1"/>
  <c r="O9" i="13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7" i="14" s="1"/>
  <c r="C13" i="16"/>
  <c r="B39" i="15"/>
  <c r="M39" i="15" s="1"/>
  <c r="C38" i="15"/>
  <c r="B38" i="14"/>
  <c r="C37" i="14"/>
  <c r="M37" i="14" s="1"/>
  <c r="B39" i="13"/>
  <c r="C38" i="13"/>
  <c r="M38" i="13" s="1"/>
  <c r="R38" i="13" s="1"/>
  <c r="B39" i="12"/>
  <c r="M39" i="12" s="1"/>
  <c r="C38" i="12"/>
  <c r="B39" i="11"/>
  <c r="C38" i="11"/>
  <c r="M38" i="11" s="1"/>
  <c r="R38" i="11" s="1"/>
  <c r="B39" i="10"/>
  <c r="R38" i="10"/>
  <c r="C38" i="10"/>
  <c r="B39" i="9"/>
  <c r="M39" i="9" s="1"/>
  <c r="C38" i="9"/>
  <c r="M38" i="9" s="1"/>
  <c r="B39" i="8"/>
  <c r="C38" i="8"/>
  <c r="M38" i="8" s="1"/>
  <c r="R38" i="8" s="1"/>
  <c r="B39" i="7"/>
  <c r="M39" i="7" s="1"/>
  <c r="R38" i="7"/>
  <c r="C38" i="7"/>
  <c r="B39" i="6"/>
  <c r="C38" i="6"/>
  <c r="M38" i="6" s="1"/>
  <c r="R38" i="6" s="1"/>
  <c r="B39" i="5"/>
  <c r="M39" i="5" s="1"/>
  <c r="R38" i="5"/>
  <c r="C38" i="5"/>
  <c r="C34" i="1"/>
  <c r="B35" i="1"/>
  <c r="M38" i="15" l="1"/>
  <c r="R38" i="15" s="1"/>
  <c r="R38" i="9"/>
  <c r="M34" i="1"/>
  <c r="R34" i="1" s="1"/>
  <c r="R38" i="12"/>
  <c r="R37" i="14"/>
  <c r="C14" i="16"/>
  <c r="O9" i="14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O7" i="15" s="1"/>
  <c r="R39" i="15"/>
  <c r="C39" i="15"/>
  <c r="B39" i="14"/>
  <c r="M39" i="14" s="1"/>
  <c r="C38" i="14"/>
  <c r="M38" i="14" s="1"/>
  <c r="C39" i="13"/>
  <c r="R39" i="12"/>
  <c r="C39" i="12"/>
  <c r="C39" i="11"/>
  <c r="M39" i="11" s="1"/>
  <c r="R39" i="11" s="1"/>
  <c r="R7" i="11" s="1"/>
  <c r="C39" i="10"/>
  <c r="M39" i="10" s="1"/>
  <c r="R39" i="10" s="1"/>
  <c r="R7" i="10" s="1"/>
  <c r="R39" i="9"/>
  <c r="C39" i="9"/>
  <c r="C39" i="8"/>
  <c r="M39" i="8" s="1"/>
  <c r="R39" i="8" s="1"/>
  <c r="R7" i="8" s="1"/>
  <c r="C39" i="7"/>
  <c r="R39" i="7"/>
  <c r="R7" i="7" s="1"/>
  <c r="C39" i="6"/>
  <c r="M39" i="6" s="1"/>
  <c r="R39" i="5"/>
  <c r="R7" i="5" s="1"/>
  <c r="C39" i="5"/>
  <c r="C35" i="1"/>
  <c r="M35" i="1" s="1"/>
  <c r="B36" i="1"/>
  <c r="R7" i="12" l="1"/>
  <c r="R7" i="9"/>
  <c r="R38" i="14"/>
  <c r="R35" i="1"/>
  <c r="R7" i="15"/>
  <c r="M39" i="13"/>
  <c r="R39" i="13" s="1"/>
  <c r="R7" i="13" s="1"/>
  <c r="R39" i="6"/>
  <c r="R7" i="6" s="1"/>
  <c r="C15" i="16"/>
  <c r="O9" i="15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C17" i="16" s="1"/>
  <c r="R39" i="14"/>
  <c r="R7" i="14" s="1"/>
  <c r="C39" i="14"/>
  <c r="B37" i="1"/>
  <c r="C36" i="1"/>
  <c r="M36" i="1" l="1"/>
  <c r="R36" i="1" s="1"/>
  <c r="B38" i="1"/>
  <c r="C37" i="1"/>
  <c r="M37" i="1" s="1"/>
  <c r="R37" i="1" s="1"/>
  <c r="M38" i="1" l="1"/>
  <c r="B39" i="1"/>
  <c r="C38" i="1"/>
  <c r="R38" i="1" l="1"/>
  <c r="M39" i="1"/>
  <c r="R39" i="1" s="1"/>
  <c r="R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<sst xmlns="http://schemas.openxmlformats.org/spreadsheetml/2006/main" count="622" uniqueCount="112">
  <si>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</si>
  <si>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</si>
  <si>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</si>
  <si>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</si>
  <si>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</si>
  <si>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</si>
  <si>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</si>
  <si>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</si>
  <si>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</si>
  <si>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</si>
  <si>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</si>
  <si>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</si>
  <si>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</si>
  <si>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</si>
  <si>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</si>
  <si>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</si>
  <si>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</si>
  <si>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</si>
  <si>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</si>
  <si>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</si>
  <si>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</si>
  <si>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</si>
  <si>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</si>
  <si>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</si>
  <si>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</si>
  <si>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</si>
  <si>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</si>
  <si>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</si>
  <si>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</si>
  <si>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</si>
  <si>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</si>
  <si>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</si>
  <si>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</si>
  <si>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</si>
  <si>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</si>
  <si>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</si>
  <si>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</si>
  <si>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</si>
  <si>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</si>
  <si>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</si>
  <si>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</si>
  <si>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</si>
  <si>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</si>
  <si>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</si>
  <si>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</si>
  <si>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</si>
  <si>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</si>
  <si>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</si>
  <si>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</si>
  <si>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</si>
  <si>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</si>
  <si>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</si>
  <si>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</si>
  <si>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</si>
  <si>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</si>
  <si>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</si>
  <si>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</si>
  <si>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</si>
  <si>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</si>
  <si>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</si>
  <si>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</si>
  <si>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</si>
  <si>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</si>
  <si>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</si>
  <si>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</si>
  <si>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</si>
  <si>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</si>
  <si>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</si>
  <si>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</si>
  <si>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</si>
  <si>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</si>
  <si>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</si>
  <si>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</si>
  <si>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</si>
  <si>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</si>
  <si>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</si>
  <si>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</si>
  <si>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</si>
  <si>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</si>
  <si>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</si>
  <si>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</si>
  <si>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</si>
  <si>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</si>
  <si>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</si>
  <si>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</si>
  <si>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</si>
  <si>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</si>
  <si>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</si>
  <si>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</si>
  <si>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</si>
  <si>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</si>
  <si>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</si>
  <si>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</si>
  <si>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</si>
  <si>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</si>
  <si>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</si>
  <si>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</si>
  <si>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</si>
  <si>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</si>
  <si>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</si>
  <si>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</si>
  <si>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</si>
  <si>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</si>
  <si>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</si>
  <si>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</si>
  <si>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</si>
  <si>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</si>
  <si>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</si>
  <si>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</si>
  <si>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</si>
  <si>
    <t>Intervalo Almoço</t>
  </si>
  <si>
    <t>Contabiliza mês anterior?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</si>
</sst>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8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166" fontId="0" fillId="0" borderId="26" xfId="0" applyNumberForma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166" fontId="0" fillId="0" borderId="25" xfId="0" applyNumberFormat="1" applyBorder="1" applyAlignment="1" applyProtection="1">
      <alignment horizontal="center"/>
    </xf>
    <xf numFmtId="166" fontId="0" fillId="0" borderId="27" xfId="0" applyNumberFormat="1" applyBorder="1" applyAlignment="1" applyProtection="1">
      <alignment horizontal="center"/>
      <protection locked="0"/>
    </xf>
    <xf numFmtId="166" fontId="0" fillId="0" borderId="28" xfId="0" applyNumberForma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 shrinkToFit="1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</cellXfs>
  <cellStyles count="2">
    <cellStyle name="Hiperlink" xfId="1" builtinId="8"/>
    <cellStyle name="Normal" xfId="0" builtinId="0"/>
  </cellStyles>
  <dxfs count="428"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427" dataDxfId="426">
  <sortState ref="A3:F13">
    <sortCondition ref="A8"/>
  </sortState>
  <tableColumns count="6">
    <tableColumn id="1" name="Evento" dataDxfId="425"/>
    <tableColumn id="2" name="Colorir Linha" dataDxfId="424"/>
    <tableColumn id="5" name="Colorir Período" dataDxfId="423"/>
    <tableColumn id="6" name="Libera o Período" dataDxfId="422"/>
    <tableColumn id="4" name="Conta hora Extra" dataDxfId="421"/>
    <tableColumn id="3" name="Descrição" dataDxfId="42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419" dataDxfId="418">
  <autoFilter ref="H2:J4"/>
  <tableColumns count="3">
    <tableColumn id="1" name="Limite de horas" dataDxfId="417"/>
    <tableColumn id="3" name="Limite" dataDxfId="416"/>
    <tableColumn id="2" name="h" dataDxfId="41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414" dataDxfId="413">
  <autoFilter ref="L2:L14"/>
  <tableColumns count="1">
    <tableColumn id="1" name="Mês" dataDxfId="412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3:G20" totalsRowShown="0" headerRowDxfId="410" dataDxfId="409">
  <tableColumns count="6">
    <tableColumn id="1" name="Dia da Semana" dataDxfId="408"/>
    <tableColumn id="4" name="Abreviatura" dataDxfId="407"/>
    <tableColumn id="2" name="É dia util?" dataDxfId="406"/>
    <tableColumn id="3" name="1º Período" dataDxfId="405"/>
    <tableColumn id="5" name="2º Período" dataDxfId="404"/>
    <tableColumn id="6" name="Total Jornada" dataDxfId="403">
      <calculatedColumnFormula>IF(tblDiaUtil[[#This Row],[1º Período]]+tblDiaUtil[[#This Row],[2º Período]]&gt;0,tblDiaUtil[[#This Row],[1º Período]]+tblDiaUtil[[#This Row],[2º Período]],"")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3:D25" totalsRowShown="0" headerRowDxfId="402" dataDxfId="401">
  <tableColumns count="3">
    <tableColumn id="1" name="Período" dataDxfId="400"/>
    <tableColumn id="4" name="Abreviatura" dataDxfId="399"/>
    <tableColumn id="2" name="Qtd. Horas por Jornada" dataDxfId="398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blRelatorioSaldoHoras" displayName="tblRelatorioSaldoHoras" ref="B4:C17" totalsRowCount="1" headerRowDxfId="397">
  <tableColumns count="2">
    <tableColumn id="1" name="Mês" totalsRowLabel="Total" dataDxfId="396" totalsRowDxfId="395"/>
    <tableColumn id="2" name="Saldo de Horas" totalsRowFunction="custom" dataDxfId="394" totalsRowDxfId="393">
      <calculatedColumnFormula>Janeiro!O39</calculatedColumnFormula>
      <totalsRowFormula>C16</totalsRow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U39" totalsRowShown="0" headerRowDxfId="382" dataDxfId="381">
  <tableColumns count="20">
    <tableColumn id="1" name="Data" dataDxfId="380">
      <calculatedColumnFormula>IF(B8&lt;&gt;"",IF(DAY(B8+1)=1,"",B8+1),"")</calculatedColumnFormula>
    </tableColumn>
    <tableColumn id="2" name="Dia" dataDxfId="379">
      <calculatedColumnFormula>TEXT(tblHorasJan[[#This Row],[Data]],"ddd")</calculatedColumnFormula>
    </tableColumn>
    <tableColumn id="3" name="Evento _x000a_(1º Período)" dataDxfId="378"/>
    <tableColumn id="4" name="Entrada - 1" dataDxfId="377"/>
    <tableColumn id="5" name="Saída - 1 (Almoço)" dataDxfId="376"/>
    <tableColumn id="6" name="Entrada - 2 (Almoço)" dataDxfId="375"/>
    <tableColumn id="7" name="Saída - 2" dataDxfId="374"/>
    <tableColumn id="13" name="Evento _x000a_(2º Período)" dataDxfId="373"/>
    <tableColumn id="15" name="Horas Trabalhadas (1º Período)" dataDxfId="372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371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70">
      <calculatedColumnFormula>tblHorasJan[[#This Row],[Horas Trabalhadas (1º Período)]]+tblHorasJan[[#This Row],[Horas Trabalhadas (2º Período)]]</calculatedColumnFormula>
    </tableColumn>
    <tableColumn id="17" name="Jornada Diária" dataDxfId="369">
      <calculatedColumnFormula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calculatedColumnFormula>
    </tableColumn>
    <tableColumn id="11" name="Horas Trabalhadas Além Jornada" dataDxfId="368">
      <calculatedColumnFormula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calculatedColumnFormula>
    </tableColumn>
    <tableColumn id="18" name="Saldo de Horas" dataDxfId="367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20" name="Intervalo Almoço" dataDxfId="366">
      <calculatedColumnFormula>G9-F9</calculatedColumnFormula>
    </tableColumn>
    <tableColumn id="19" name="Atrasos_x000a_(horas)" dataDxfId="365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64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63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62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61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U39" totalsRowShown="0" headerRowDxfId="347" dataDxfId="346">
  <tableColumns count="20">
    <tableColumn id="1" name="Data" dataDxfId="345">
      <calculatedColumnFormula>IF(B8&lt;&gt;"",IF(DAY(B8+1)=1,"",B8+1),"")</calculatedColumnFormula>
    </tableColumn>
    <tableColumn id="2" name="Dia" dataDxfId="344">
      <calculatedColumnFormula>TEXT(tblHorasFev[Data],"ddd")</calculatedColumnFormula>
    </tableColumn>
    <tableColumn id="3" name="Evento _x000a_(1º Período)" dataDxfId="343"/>
    <tableColumn id="4" name="Entrada - 1" dataDxfId="342"/>
    <tableColumn id="5" name="Saída - 1 (Almoço)" dataDxfId="341"/>
    <tableColumn id="6" name="Entrada - 2 (Almoço)" dataDxfId="340"/>
    <tableColumn id="7" name="Saída - 2" dataDxfId="339"/>
    <tableColumn id="13" name="Evento _x000a_(2º Período)" dataDxfId="338"/>
    <tableColumn id="15" name="Horas Trabalhadas (1º Período)" dataDxfId="337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336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35">
      <calculatedColumnFormula>tblHorasFev[Horas Trabalhadas (1º Período)]+tblHorasFev[Horas Trabalhadas (2º Período)]</calculatedColumnFormula>
    </tableColumn>
    <tableColumn id="17" name="Jornada Diária" dataDxfId="334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calculatedColumnFormula>
    </tableColumn>
    <tableColumn id="11" name="Horas Trabalhadas Além Jornada" dataDxfId="333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calculatedColumnFormula>
    </tableColumn>
    <tableColumn id="18" name="Saldo de Horas" dataDxfId="332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20" name="Intervalo Almoço" dataDxfId="331">
      <calculatedColumnFormula>G9-F9</calculatedColumnFormula>
    </tableColumn>
    <tableColumn id="19" name="Atrasos_x000a_(horas)" dataDxfId="330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29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28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27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26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U39" totalsRowShown="0" headerRowDxfId="312" dataDxfId="311">
  <tableColumns count="20">
    <tableColumn id="1" name="Data" dataDxfId="310">
      <calculatedColumnFormula>IF(B8&lt;&gt;"",IF(DAY(B8+1)=1,"",B8+1),"")</calculatedColumnFormula>
    </tableColumn>
    <tableColumn id="2" name="Dia" dataDxfId="309">
      <calculatedColumnFormula>TEXT(tblHorasMar[Data],"ddd")</calculatedColumnFormula>
    </tableColumn>
    <tableColumn id="3" name="Evento _x000a_(1º Período)" dataDxfId="308"/>
    <tableColumn id="4" name="Entrada - 1" dataDxfId="307"/>
    <tableColumn id="5" name="Saída - 1 (Almoço)" dataDxfId="306"/>
    <tableColumn id="6" name="Entrada - 2 (Almoço)" dataDxfId="305"/>
    <tableColumn id="7" name="Saída - 2" dataDxfId="304"/>
    <tableColumn id="13" name="Evento _x000a_(2º Período)" dataDxfId="303"/>
    <tableColumn id="15" name="Horas Trabalhadas (1º Período)" dataDxfId="302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301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300">
      <calculatedColumnFormula>tblHorasMar[Horas Trabalhadas (1º Período)]+tblHorasMar[Horas Trabalhadas (2º Período)]</calculatedColumnFormula>
    </tableColumn>
    <tableColumn id="17" name="Jornada Diária" dataDxfId="299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calculatedColumnFormula>
    </tableColumn>
    <tableColumn id="11" name="Horas Trabalhadas Além Jornada" dataDxfId="298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calculatedColumnFormula>
    </tableColumn>
    <tableColumn id="18" name="Saldo de Horas" dataDxfId="297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20" name="Intervalo Almoço" dataDxfId="296">
      <calculatedColumnFormula>G9-F9</calculatedColumnFormula>
    </tableColumn>
    <tableColumn id="19" name="Atrasos_x000a_(horas)" dataDxfId="295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294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293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292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291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U39" totalsRowShown="0" headerRowDxfId="277" dataDxfId="276">
  <tableColumns count="20">
    <tableColumn id="1" name="Data" dataDxfId="275">
      <calculatedColumnFormula>IF(B8&lt;&gt;"",IF(DAY(B8+1)=1,"",B8+1),"")</calculatedColumnFormula>
    </tableColumn>
    <tableColumn id="2" name="Dia" dataDxfId="274">
      <calculatedColumnFormula>TEXT(tblHorasAbr[Data],"ddd")</calculatedColumnFormula>
    </tableColumn>
    <tableColumn id="3" name="Evento _x000a_(1º Período)" dataDxfId="273"/>
    <tableColumn id="4" name="Entrada - 1" dataDxfId="272"/>
    <tableColumn id="5" name="Saída - 1 (Almoço)" dataDxfId="271"/>
    <tableColumn id="6" name="Entrada - 2 (Almoço)" dataDxfId="270"/>
    <tableColumn id="7" name="Saída - 2" dataDxfId="269"/>
    <tableColumn id="13" name="Evento _x000a_(2º Período)" dataDxfId="268"/>
    <tableColumn id="15" name="Horas Trabalhadas (1º Período)" dataDxfId="267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266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265">
      <calculatedColumnFormula>tblHorasAbr[Horas Trabalhadas (1º Período)]+tblHorasAbr[Horas Trabalhadas (2º Período)]</calculatedColumnFormula>
    </tableColumn>
    <tableColumn id="17" name="Jornada Diária" dataDxfId="264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calculatedColumnFormula>
    </tableColumn>
    <tableColumn id="11" name="Horas Trabalhadas Além Jornada" dataDxfId="263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calculatedColumnFormula>
    </tableColumn>
    <tableColumn id="18" name="Saldo de Horas" dataDxfId="262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20" name="Intervalo Almoço" dataDxfId="261">
      <calculatedColumnFormula>G9-F9</calculatedColumnFormula>
    </tableColumn>
    <tableColumn id="19" name="Atrasos_x000a_(horas)" dataDxfId="260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259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258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257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256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U39" totalsRowShown="0" headerRowDxfId="245" dataDxfId="244">
  <tableColumns count="20">
    <tableColumn id="1" name="Data" dataDxfId="243">
      <calculatedColumnFormula>IF(B8&lt;&gt;"",IF(DAY(B8+1)=1,"",B8+1),"")</calculatedColumnFormula>
    </tableColumn>
    <tableColumn id="2" name="Dia" dataDxfId="242">
      <calculatedColumnFormula>TEXT(tblHorasMai[Data],"ddd")</calculatedColumnFormula>
    </tableColumn>
    <tableColumn id="3" name="Evento _x000a_(1º Período)" dataDxfId="241"/>
    <tableColumn id="4" name="Entrada - 1" dataDxfId="240"/>
    <tableColumn id="5" name="Saída - 1 (Almoço)" dataDxfId="239"/>
    <tableColumn id="6" name="Entrada - 2 (Almoço)" dataDxfId="238"/>
    <tableColumn id="7" name="Saída - 2" dataDxfId="237"/>
    <tableColumn id="13" name="Evento _x000a_(2º Período)" dataDxfId="236"/>
    <tableColumn id="15" name="Horas Trabalhadas (1º Período)" dataDxfId="235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234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33">
      <calculatedColumnFormula>tblHorasMai[Horas Trabalhadas (1º Período)]+tblHorasMai[Horas Trabalhadas (2º Período)]</calculatedColumnFormula>
    </tableColumn>
    <tableColumn id="17" name="Jornada Diária" dataDxfId="232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calculatedColumnFormula>
    </tableColumn>
    <tableColumn id="11" name="Horas Trabalhadas Além Jornada" dataDxfId="231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calculatedColumnFormula>
    </tableColumn>
    <tableColumn id="18" name="Saldo de Horas" dataDxfId="230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20" name="Intervalo Almoço" dataDxfId="229">
      <calculatedColumnFormula>G9-F9</calculatedColumnFormula>
    </tableColumn>
    <tableColumn id="19" name="Atrasos_x000a_(horas)" dataDxfId="228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27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26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25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24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U39" totalsRowShown="0" headerRowDxfId="213" dataDxfId="212">
  <tableColumns count="20">
    <tableColumn id="1" name="Data" dataDxfId="211">
      <calculatedColumnFormula>IF(B8&lt;&gt;"",IF(DAY(B8+1)=1,"",B8+1),"")</calculatedColumnFormula>
    </tableColumn>
    <tableColumn id="2" name="Dia" dataDxfId="210">
      <calculatedColumnFormula>TEXT(tblHorasJun[Data],"ddd")</calculatedColumnFormula>
    </tableColumn>
    <tableColumn id="3" name="Evento _x000a_(1º Período)" dataDxfId="209"/>
    <tableColumn id="4" name="Entrada - 1" dataDxfId="208"/>
    <tableColumn id="5" name="Saída - 1 (Almoço)" dataDxfId="207"/>
    <tableColumn id="6" name="Entrada - 2 (Almoço)" dataDxfId="206"/>
    <tableColumn id="7" name="Saída - 2" dataDxfId="205"/>
    <tableColumn id="13" name="Evento _x000a_(2º Período)" dataDxfId="204"/>
    <tableColumn id="15" name="Horas Trabalhadas (1º Período)" dataDxfId="203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202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201">
      <calculatedColumnFormula>tblHorasJun[Horas Trabalhadas (1º Período)]+tblHorasJun[Horas Trabalhadas (2º Período)]</calculatedColumnFormula>
    </tableColumn>
    <tableColumn id="17" name="Jornada Diária" dataDxfId="200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calculatedColumnFormula>
    </tableColumn>
    <tableColumn id="11" name="Horas Trabalhadas Além Jornada" dataDxfId="199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calculatedColumnFormula>
    </tableColumn>
    <tableColumn id="18" name="Saldo de Horas" dataDxfId="198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20" name="Intervalo Almoço" dataDxfId="197">
      <calculatedColumnFormula>G9-F9</calculatedColumnFormula>
    </tableColumn>
    <tableColumn id="19" name="Atrasos_x000a_(horas)" dataDxfId="196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195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194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193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192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U39" totalsRowShown="0" headerRowDxfId="181" dataDxfId="180">
  <tableColumns count="20">
    <tableColumn id="1" name="Data" dataDxfId="179">
      <calculatedColumnFormula>IF(B8&lt;&gt;"",IF(DAY(B8+1)=1,"",B8+1),"")</calculatedColumnFormula>
    </tableColumn>
    <tableColumn id="2" name="Dia" dataDxfId="178">
      <calculatedColumnFormula>TEXT(tblHorasJul[Data],"ddd")</calculatedColumnFormula>
    </tableColumn>
    <tableColumn id="3" name="Evento _x000a_(1º Período)" dataDxfId="177"/>
    <tableColumn id="4" name="Entrada - 1" dataDxfId="176"/>
    <tableColumn id="5" name="Saída - 1 (Almoço)" dataDxfId="175"/>
    <tableColumn id="6" name="Entrada - 2 (Almoço)" dataDxfId="174"/>
    <tableColumn id="7" name="Saída - 2" dataDxfId="173"/>
    <tableColumn id="13" name="Evento _x000a_(2º Período)" dataDxfId="172"/>
    <tableColumn id="15" name="Horas Trabalhadas (1º Período)" dataDxfId="171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170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169">
      <calculatedColumnFormula>tblHorasJul[Horas Trabalhadas (1º Período)]+tblHorasJul[Horas Trabalhadas (2º Período)]</calculatedColumnFormula>
    </tableColumn>
    <tableColumn id="17" name="Jornada Diária" dataDxfId="168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calculatedColumnFormula>
    </tableColumn>
    <tableColumn id="11" name="Horas Trabalhadas Além Jornada" dataDxfId="167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calculatedColumnFormula>
    </tableColumn>
    <tableColumn id="18" name="Saldo de Horas" dataDxfId="166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20" name="Intervalo Almoço" dataDxfId="165">
      <calculatedColumnFormula>G9-F9</calculatedColumnFormula>
    </tableColumn>
    <tableColumn id="19" name="Atrasos_x000a_(horas)" dataDxfId="164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163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162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161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160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U39" totalsRowShown="0" headerRowDxfId="149" dataDxfId="148">
  <tableColumns count="20">
    <tableColumn id="1" name="Data" dataDxfId="147">
      <calculatedColumnFormula>IF(B8&lt;&gt;"",IF(DAY(B8+1)=1,"",B8+1),"")</calculatedColumnFormula>
    </tableColumn>
    <tableColumn id="2" name="Dia" dataDxfId="146">
      <calculatedColumnFormula>TEXT(tblHorasAgo[Data],"ddd")</calculatedColumnFormula>
    </tableColumn>
    <tableColumn id="3" name="Evento _x000a_(1º Período)" dataDxfId="145"/>
    <tableColumn id="4" name="Entrada - 1" dataDxfId="144"/>
    <tableColumn id="5" name="Saída - 1 (Almoço)" dataDxfId="143"/>
    <tableColumn id="6" name="Entrada - 2 (Almoço)" dataDxfId="142"/>
    <tableColumn id="7" name="Saída - 2" dataDxfId="141"/>
    <tableColumn id="13" name="Evento _x000a_(2º Período)" dataDxfId="140"/>
    <tableColumn id="15" name="Horas Trabalhadas (1º Período)" dataDxfId="139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138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137">
      <calculatedColumnFormula>tblHorasAgo[Horas Trabalhadas (1º Período)]+tblHorasAgo[Horas Trabalhadas (2º Período)]</calculatedColumnFormula>
    </tableColumn>
    <tableColumn id="17" name="Jornada Diária" dataDxfId="136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calculatedColumnFormula>
    </tableColumn>
    <tableColumn id="11" name="Horas Trabalhadas Além Jornada" dataDxfId="135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calculatedColumnFormula>
    </tableColumn>
    <tableColumn id="18" name="Saldo de Horas" dataDxfId="134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20" name="Intervalo Almoço" dataDxfId="133">
      <calculatedColumnFormula>G9-F9</calculatedColumnFormula>
    </tableColumn>
    <tableColumn id="19" name="Atrasos_x000a_(horas)" dataDxfId="132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131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130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129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128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U39" totalsRowShown="0" headerRowDxfId="117" dataDxfId="116">
  <tableColumns count="20">
    <tableColumn id="1" name="Data" dataDxfId="115">
      <calculatedColumnFormula>IF(B8&lt;&gt;"",IF(DAY(B8+1)=1,"",B8+1),"")</calculatedColumnFormula>
    </tableColumn>
    <tableColumn id="2" name="Dia" dataDxfId="114">
      <calculatedColumnFormula>TEXT(tblHorasSet[Data],"ddd")</calculatedColumnFormula>
    </tableColumn>
    <tableColumn id="3" name="Evento _x000a_(1º Período)" dataDxfId="113"/>
    <tableColumn id="4" name="Entrada - 1" dataDxfId="112"/>
    <tableColumn id="5" name="Saída - 1 (Almoço)" dataDxfId="111"/>
    <tableColumn id="6" name="Entrada - 2 (Almoço)" dataDxfId="110"/>
    <tableColumn id="7" name="Saída - 2" dataDxfId="109"/>
    <tableColumn id="13" name="Evento _x000a_(2º Período)" dataDxfId="108"/>
    <tableColumn id="15" name="Horas Trabalhadas (1º Período)" dataDxfId="107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106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105">
      <calculatedColumnFormula>tblHorasSet[Horas Trabalhadas (1º Período)]+tblHorasSet[Horas Trabalhadas (2º Período)]</calculatedColumnFormula>
    </tableColumn>
    <tableColumn id="17" name="Jornada Diária" dataDxfId="104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calculatedColumnFormula>
    </tableColumn>
    <tableColumn id="11" name="Horas Trabalhadas Além Jornada" dataDxfId="103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calculatedColumnFormula>
    </tableColumn>
    <tableColumn id="18" name="Saldo de Horas" dataDxfId="102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20" name="Intervalo Almoço" dataDxfId="101">
      <calculatedColumnFormula>G9-F9</calculatedColumnFormula>
    </tableColumn>
    <tableColumn id="19" name="Atrasos_x000a_(horas)" dataDxfId="100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99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98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97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96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U39" totalsRowShown="0" headerRowDxfId="85" dataDxfId="84">
  <tableColumns count="20">
    <tableColumn id="1" name="Data" dataDxfId="83">
      <calculatedColumnFormula>IF(B8&lt;&gt;"",IF(DAY(B8+1)=1,"",B8+1),"")</calculatedColumnFormula>
    </tableColumn>
    <tableColumn id="2" name="Dia" dataDxfId="82">
      <calculatedColumnFormula>TEXT(tblHorasOut[Data],"ddd")</calculatedColumnFormula>
    </tableColumn>
    <tableColumn id="3" name="Evento _x000a_(1º Período)" dataDxfId="81"/>
    <tableColumn id="4" name="Entrada - 1" dataDxfId="80"/>
    <tableColumn id="5" name="Saída - 1 (Almoço)" dataDxfId="79"/>
    <tableColumn id="6" name="Entrada - 2 (Almoço)" dataDxfId="78"/>
    <tableColumn id="7" name="Saída - 2" dataDxfId="77"/>
    <tableColumn id="13" name="Evento _x000a_(2º Período)" dataDxfId="76"/>
    <tableColumn id="15" name="Horas Trabalhadas (1º Período)" dataDxfId="75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74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73">
      <calculatedColumnFormula>tblHorasOut[Horas Trabalhadas (1º Período)]+tblHorasOut[Horas Trabalhadas (2º Período)]</calculatedColumnFormula>
    </tableColumn>
    <tableColumn id="17" name="Jornada Diária" dataDxfId="72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calculatedColumnFormula>
    </tableColumn>
    <tableColumn id="11" name="Horas Trabalhadas Além Jornada" dataDxfId="71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calculatedColumnFormula>
    </tableColumn>
    <tableColumn id="18" name="Saldo de Horas" dataDxfId="70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20" name="Intervalo Almoço" dataDxfId="69">
      <calculatedColumnFormula>G9-F9</calculatedColumnFormula>
    </tableColumn>
    <tableColumn id="19" name="Atrasos_x000a_(horas)" dataDxfId="68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67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66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65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64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U39" totalsRowShown="0" headerRowDxfId="53" dataDxfId="52">
  <tableColumns count="20">
    <tableColumn id="1" name="Data" dataDxfId="51">
      <calculatedColumnFormula>IF(B8&lt;&gt;"",IF(DAY(B8+1)=1,"",B8+1),"")</calculatedColumnFormula>
    </tableColumn>
    <tableColumn id="2" name="Dia" dataDxfId="50">
      <calculatedColumnFormula>TEXT(tblHorasNov[Data],"ddd")</calculatedColumnFormula>
    </tableColumn>
    <tableColumn id="3" name="Evento _x000a_(1º Período)" dataDxfId="49"/>
    <tableColumn id="4" name="Entrada - 1" dataDxfId="48"/>
    <tableColumn id="5" name="Saída - 1 (Almoço)" dataDxfId="47"/>
    <tableColumn id="6" name="Entrada - 2 (Almoço)" dataDxfId="46"/>
    <tableColumn id="7" name="Saída - 2" dataDxfId="45"/>
    <tableColumn id="13" name="Evento _x000a_(2º Período)" dataDxfId="44"/>
    <tableColumn id="15" name="Horas Trabalhadas (1º Período)" dataDxfId="43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42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41">
      <calculatedColumnFormula>tblHorasNov[Horas Trabalhadas (1º Período)]+tblHorasNov[Horas Trabalhadas (2º Período)]</calculatedColumnFormula>
    </tableColumn>
    <tableColumn id="17" name="Jornada Diária" dataDxfId="40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calculatedColumnFormula>
    </tableColumn>
    <tableColumn id="11" name="Horas Trabalhadas Além Jornada" dataDxfId="39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calculatedColumnFormula>
    </tableColumn>
    <tableColumn id="18" name="Saldo de Horas" dataDxfId="38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20" name="Intervalo Almoço" dataDxfId="37">
      <calculatedColumnFormula>G9-F9</calculatedColumnFormula>
    </tableColumn>
    <tableColumn id="19" name="Atrasos_x000a_(horas)" dataDxfId="36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35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34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33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32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U39" totalsRowShown="0" headerRowDxfId="21" dataDxfId="20">
  <tableColumns count="20">
    <tableColumn id="1" name="Data" dataDxfId="19">
      <calculatedColumnFormula>IF(B8&lt;&gt;"",IF(DAY(B8+1)=1,"",B8+1),"")</calculatedColumnFormula>
    </tableColumn>
    <tableColumn id="2" name="Dia" dataDxfId="18">
      <calculatedColumnFormula>TEXT(tblHorasDez[Data],"ddd")</calculatedColumnFormula>
    </tableColumn>
    <tableColumn id="3" name="Evento _x000a_(1º Período)" dataDxfId="17"/>
    <tableColumn id="4" name="Entrada - 1" dataDxfId="16"/>
    <tableColumn id="5" name="Saída - 1 (Almoço)" dataDxfId="15"/>
    <tableColumn id="6" name="Entrada - 2 (Almoço)" dataDxfId="14"/>
    <tableColumn id="7" name="Saída - 2" dataDxfId="13"/>
    <tableColumn id="13" name="Evento _x000a_(2º Período)" dataDxfId="12"/>
    <tableColumn id="15" name="Horas Trabalhadas (1º Período)" dataDxfId="11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10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9">
      <calculatedColumnFormula>tblHorasDez[Horas Trabalhadas (1º Período)]+tblHorasDez[Horas Trabalhadas (2º Período)]</calculatedColumnFormula>
    </tableColumn>
    <tableColumn id="17" name="Jornada Diária" dataDxfId="8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calculatedColumnFormula>
    </tableColumn>
    <tableColumn id="11" name="Horas Trabalhadas Além Jornada" dataDxfId="7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calculatedColumnFormula>
    </tableColumn>
    <tableColumn id="18" name="Saldo de Horas" dataDxfId="6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20" name="Intervalo Almoço" dataDxfId="5">
      <calculatedColumnFormula>G9-F9</calculatedColumnFormula>
    </tableColumn>
    <tableColumn id="19" name="Atrasos_x000a_(horas)" dataDxfId="4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3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2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0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 customWidth="1"/>
    <col min="12" max="12" width="12.5703125" style="5" hidden="1" customWidth="1"/>
    <col min="13" max="14" width="9.140625" style="5" customWidth="1"/>
    <col min="15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ct5J3k9l0n/jF80JAYMgxcb8v6kgkotgvTh+Y4CiOL4UtHK8/W3cW2t2fE67DbcuC3/i3Z2JvMLej5jjIA/lrg==" saltValue="YWcusoCa4o5muklscWUr2g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5"/>
  <sheetViews>
    <sheetView showGridLines="0" workbookViewId="0">
      <selection activeCell="D3" sqref="D3"/>
    </sheetView>
  </sheetViews>
  <sheetFormatPr defaultRowHeight="15" x14ac:dyDescent="0.25"/>
  <cols>
    <col min="1" max="1" width="9.140625" style="5"/>
    <col min="2" max="2" width="20.7109375" style="5" customWidth="1"/>
    <col min="3" max="3" width="18" style="5" hidden="1" customWidth="1"/>
    <col min="4" max="4" width="16.7109375" style="5" customWidth="1"/>
    <col min="5" max="7" width="12.7109375" style="5" customWidth="1"/>
    <col min="8" max="9" width="9.140625" style="5"/>
    <col min="10" max="14" width="9.140625" style="5" customWidth="1"/>
    <col min="15" max="16384" width="9.140625" style="5"/>
  </cols>
  <sheetData>
    <row r="1" spans="2:7" x14ac:dyDescent="0.25">
      <c r="B1" s="69" t="s">
        <v>21</v>
      </c>
      <c r="C1" s="70"/>
      <c r="D1" s="71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6.9444444444444441E-3</v>
      </c>
      <c r="E5" s="20" t="s">
        <v>56</v>
      </c>
    </row>
    <row r="7" spans="2:7" ht="15.75" thickBot="1" x14ac:dyDescent="0.3">
      <c r="B7" s="68" t="s">
        <v>111</v>
      </c>
      <c r="C7" s="67"/>
      <c r="D7" s="2" t="s">
        <v>30</v>
      </c>
    </row>
    <row r="9" spans="2:7" ht="15.75" thickBot="1" x14ac:dyDescent="0.3">
      <c r="B9" s="19" t="s">
        <v>37</v>
      </c>
      <c r="C9" s="33"/>
      <c r="D9" s="3">
        <v>0.33333333333333331</v>
      </c>
    </row>
    <row r="11" spans="2:7" ht="15.75" thickBot="1" x14ac:dyDescent="0.3">
      <c r="B11" s="72" t="s">
        <v>38</v>
      </c>
      <c r="C11" s="73"/>
      <c r="D11" s="73"/>
      <c r="E11" s="73"/>
      <c r="F11" s="73"/>
      <c r="G11" s="73"/>
    </row>
    <row r="12" spans="2:7" ht="15.75" thickBot="1" x14ac:dyDescent="0.3">
      <c r="B12" s="54"/>
      <c r="C12" s="54"/>
      <c r="D12" s="54"/>
      <c r="E12" s="74" t="s">
        <v>77</v>
      </c>
      <c r="F12" s="75"/>
      <c r="G12" s="76"/>
    </row>
    <row r="13" spans="2:7" ht="30" customHeight="1" x14ac:dyDescent="0.25">
      <c r="B13" s="9" t="s">
        <v>85</v>
      </c>
      <c r="C13" s="9" t="s">
        <v>86</v>
      </c>
      <c r="D13" s="9" t="s">
        <v>75</v>
      </c>
      <c r="E13" s="55" t="s">
        <v>103</v>
      </c>
      <c r="F13" s="56" t="s">
        <v>104</v>
      </c>
      <c r="G13" s="57" t="s">
        <v>105</v>
      </c>
    </row>
    <row r="14" spans="2:7" x14ac:dyDescent="0.25">
      <c r="B14" s="21" t="s">
        <v>41</v>
      </c>
      <c r="C14" s="21" t="s">
        <v>78</v>
      </c>
      <c r="D14" s="22" t="s">
        <v>30</v>
      </c>
      <c r="E14" s="61"/>
      <c r="F14" s="63"/>
      <c r="G14" s="64" t="str">
        <f>IF(tblDiaUtil[[#This Row],[1º Período]]+tblDiaUtil[[#This Row],[2º Período]]&gt;0,tblDiaUtil[[#This Row],[1º Período]]+tblDiaUtil[[#This Row],[2º Período]],"")</f>
        <v/>
      </c>
    </row>
    <row r="15" spans="2:7" x14ac:dyDescent="0.25">
      <c r="B15" s="21" t="s">
        <v>42</v>
      </c>
      <c r="C15" s="21" t="s">
        <v>79</v>
      </c>
      <c r="D15" s="22" t="s">
        <v>30</v>
      </c>
      <c r="E15" s="61"/>
      <c r="F15" s="63"/>
      <c r="G15" s="64" t="str">
        <f>IF(tblDiaUtil[[#This Row],[1º Período]]+tblDiaUtil[[#This Row],[2º Período]]&gt;0,tblDiaUtil[[#This Row],[1º Período]]+tblDiaUtil[[#This Row],[2º Período]],"")</f>
        <v/>
      </c>
    </row>
    <row r="16" spans="2:7" x14ac:dyDescent="0.25">
      <c r="B16" s="21" t="s">
        <v>43</v>
      </c>
      <c r="C16" s="21" t="s">
        <v>80</v>
      </c>
      <c r="D16" s="22" t="s">
        <v>30</v>
      </c>
      <c r="E16" s="61"/>
      <c r="F16" s="63"/>
      <c r="G16" s="64" t="str">
        <f>IF(tblDiaUtil[[#This Row],[1º Período]]+tblDiaUtil[[#This Row],[2º Período]]&gt;0,tblDiaUtil[[#This Row],[1º Período]]+tblDiaUtil[[#This Row],[2º Período]],"")</f>
        <v/>
      </c>
    </row>
    <row r="17" spans="2:7" x14ac:dyDescent="0.25">
      <c r="B17" s="21" t="s">
        <v>44</v>
      </c>
      <c r="C17" s="21" t="s">
        <v>81</v>
      </c>
      <c r="D17" s="22" t="s">
        <v>30</v>
      </c>
      <c r="E17" s="61"/>
      <c r="F17" s="63"/>
      <c r="G17" s="64" t="str">
        <f>IF(tblDiaUtil[[#This Row],[1º Período]]+tblDiaUtil[[#This Row],[2º Período]]&gt;0,tblDiaUtil[[#This Row],[1º Período]]+tblDiaUtil[[#This Row],[2º Período]],"")</f>
        <v/>
      </c>
    </row>
    <row r="18" spans="2:7" x14ac:dyDescent="0.25">
      <c r="B18" s="21" t="s">
        <v>45</v>
      </c>
      <c r="C18" s="21" t="s">
        <v>82</v>
      </c>
      <c r="D18" s="22" t="s">
        <v>30</v>
      </c>
      <c r="E18" s="61"/>
      <c r="F18" s="63"/>
      <c r="G18" s="64" t="str">
        <f>IF(tblDiaUtil[[#This Row],[1º Período]]+tblDiaUtil[[#This Row],[2º Período]]&gt;0,tblDiaUtil[[#This Row],[1º Período]]+tblDiaUtil[[#This Row],[2º Período]],"")</f>
        <v/>
      </c>
    </row>
    <row r="19" spans="2:7" x14ac:dyDescent="0.25">
      <c r="B19" s="21" t="s">
        <v>39</v>
      </c>
      <c r="C19" s="21" t="s">
        <v>83</v>
      </c>
      <c r="D19" s="22" t="s">
        <v>31</v>
      </c>
      <c r="E19" s="61"/>
      <c r="F19" s="63"/>
      <c r="G19" s="64" t="str">
        <f>IF(tblDiaUtil[[#This Row],[1º Período]]+tblDiaUtil[[#This Row],[2º Período]]&gt;0,tblDiaUtil[[#This Row],[1º Período]]+tblDiaUtil[[#This Row],[2º Período]],"")</f>
        <v/>
      </c>
    </row>
    <row r="20" spans="2:7" ht="15.75" thickBot="1" x14ac:dyDescent="0.3">
      <c r="B20" s="21" t="s">
        <v>40</v>
      </c>
      <c r="C20" s="21" t="s">
        <v>84</v>
      </c>
      <c r="D20" s="22" t="s">
        <v>31</v>
      </c>
      <c r="E20" s="62"/>
      <c r="F20" s="65"/>
      <c r="G20" s="66" t="str">
        <f>IF(tblDiaUtil[[#This Row],[1º Período]]+tblDiaUtil[[#This Row],[2º Período]]&gt;0,tblDiaUtil[[#This Row],[1º Período]]+tblDiaUtil[[#This Row],[2º Período]],"")</f>
        <v/>
      </c>
    </row>
    <row r="21" spans="2:7" ht="15.75" thickTop="1" x14ac:dyDescent="0.25"/>
    <row r="22" spans="2:7" ht="15.75" thickBot="1" x14ac:dyDescent="0.3">
      <c r="B22" s="72" t="s">
        <v>48</v>
      </c>
      <c r="C22" s="73"/>
      <c r="D22" s="77"/>
      <c r="E22" s="58" t="s">
        <v>102</v>
      </c>
      <c r="F22" s="59">
        <f>SUM(tblDiaUtil7[Qtd. Horas por Jornada])</f>
        <v>0.33333333333333331</v>
      </c>
      <c r="G22" s="5">
        <f>IF(F22&gt;0,IF(F22=JORNADA,1,0),"")</f>
        <v>1</v>
      </c>
    </row>
    <row r="23" spans="2:7" ht="30" x14ac:dyDescent="0.25">
      <c r="B23" s="9" t="s">
        <v>106</v>
      </c>
      <c r="C23" s="9" t="s">
        <v>86</v>
      </c>
      <c r="D23" s="9" t="s">
        <v>107</v>
      </c>
      <c r="E23" s="9"/>
    </row>
    <row r="24" spans="2:7" x14ac:dyDescent="0.25">
      <c r="B24" s="21" t="s">
        <v>108</v>
      </c>
      <c r="C24" s="21" t="s">
        <v>78</v>
      </c>
      <c r="D24" s="60">
        <v>0.16666666666666666</v>
      </c>
      <c r="E24" s="39"/>
    </row>
    <row r="25" spans="2:7" x14ac:dyDescent="0.25">
      <c r="B25" s="21" t="s">
        <v>109</v>
      </c>
      <c r="C25" s="21" t="s">
        <v>79</v>
      </c>
      <c r="D25" s="60">
        <v>0.16666666666666666</v>
      </c>
      <c r="E25" s="39"/>
    </row>
  </sheetData>
  <sheetProtection algorithmName="SHA-512" hashValue="ly1ecHcMFLb2ADWWYrlihBj2rM58WBAA85Oei9rtXFXAJOWdK6bqXOFkhcZnRCXqq1ABcKSuGSwfiAxktgdHfg==" saltValue="FzUEy8y4DUK7exw77CNTgA==" spinCount="100000" sheet="1" formatCells="0" formatColumns="0" formatRows="0" selectLockedCells="1" autoFilter="0" pivotTables="0"/>
  <mergeCells count="4">
    <mergeCell ref="B1:D1"/>
    <mergeCell ref="B11:G11"/>
    <mergeCell ref="E12:G12"/>
    <mergeCell ref="B22:D22"/>
  </mergeCells>
  <conditionalFormatting sqref="D9">
    <cfRule type="timePeriod" dxfId="411" priority="4" timePeriod="lastMonth">
      <formula>AND(MONTH(D9)=MONTH(EDATE(TODAY(),0-1)),YEAR(D9)=YEAR(EDATE(TODAY(),0-1)))</formula>
    </cfRule>
  </conditionalFormatting>
  <conditionalFormatting sqref="G22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4">
    <dataValidation type="list" allowBlank="1" showInputMessage="1" showErrorMessage="1" sqref="D3">
      <formula1>lstLimiteHora</formula1>
    </dataValidation>
    <dataValidation type="list" allowBlank="1" showInputMessage="1" showErrorMessage="1" sqref="D14:D20">
      <formula1>"Sim,Não"</formula1>
    </dataValidation>
    <dataValidation type="time" allowBlank="1" showInputMessage="1" showErrorMessage="1" sqref="D24:D25 F22 E14:F20">
      <formula1>0</formula1>
      <formula2>0.999305555555556</formula2>
    </dataValidation>
    <dataValidation type="list" showInputMessage="1" showErrorMessage="1" sqref="D7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B6" sqref="B6"/>
    </sheetView>
  </sheetViews>
  <sheetFormatPr defaultRowHeight="15" x14ac:dyDescent="0.25"/>
  <cols>
    <col min="2" max="2" width="17.42578125" customWidth="1"/>
    <col min="3" max="3" width="16.140625" customWidth="1"/>
    <col min="10" max="14" width="9.140625" customWidth="1"/>
  </cols>
  <sheetData>
    <row r="1" spans="2:3" x14ac:dyDescent="0.25">
      <c r="B1" s="78" t="s">
        <v>101</v>
      </c>
      <c r="C1" s="79"/>
    </row>
    <row r="2" spans="2:3" ht="15.75" thickBot="1" x14ac:dyDescent="0.3">
      <c r="B2" s="80"/>
      <c r="C2" s="81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C16</f>
        <v>0</v>
      </c>
    </row>
  </sheetData>
  <sheetProtection algorithmName="SHA-512" hashValue="mFCiWF180xwWj3d7QooA5XO/NDfzGtLE+MfnYun+Urgq1ssDMoz+psTYfLgqkQMs3qEmUMs9czVqF/JYqEHVRQ==" saltValue="WW5GKUga7vqykNUQ9FpBJ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aneiro">
    <tabColor theme="4" tint="0.59999389629810485"/>
    <pageSetUpPr fitToPage="1"/>
  </sheetPr>
  <dimension ref="A1:AD47"/>
  <sheetViews>
    <sheetView showGridLines="0" workbookViewId="0">
      <pane xSplit="1" ySplit="8" topLeftCell="B33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2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4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29" t="s">
        <v>62</v>
      </c>
      <c r="E5" s="43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63</v>
      </c>
      <c r="C6" s="89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SUM(tblHorasJan[Intervalo Almoço])</f>
        <v>0</v>
      </c>
      <c r="Q7" s="45">
        <f>SUM(tblHorasJan[Atrasos
(horas)])</f>
        <v>0</v>
      </c>
      <c r="R7" s="46">
        <f>SUM(tblHorasJan[Faltas
(dias)])</f>
        <v>0</v>
      </c>
      <c r="S7" s="45">
        <f>SUM(tblHorasJan[Hora Extra Normal])</f>
        <v>0</v>
      </c>
      <c r="T7" s="45">
        <f>SUM(tblHorasJan[Hora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Jornada])+O7</f>
        <v>0</v>
      </c>
      <c r="P9" s="14">
        <f t="shared" ref="P9:P39" si="0">G9-F9</f>
        <v>0</v>
      </c>
      <c r="Q9" s="14" t="str">
        <f>IF(tblHorasJan[Horas Trabalhadas Além Jornada]&lt;0,IF(OR(tblHorasJan[Evento 
(1º Período)]="",tblHorasJan[Evento 
(2º Período)]=""),tblHorasJan[Horas Trabalhadas Além Jornada],""),"")</f>
        <v/>
      </c>
      <c r="R9" s="14" t="str">
        <f>IF(tblHorasJan[Jornada Diária]&lt;&gt;"",IF((N(tblHorasJan[Jornada Diária])-ABS(N(tblHorasJan[Horas Trabalhadas Além Jornada])))=0,1,""),"")</f>
        <v/>
      </c>
      <c r="S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>
        <f t="shared" si="0"/>
        <v>0</v>
      </c>
      <c r="Q10" s="14" t="str">
        <f>IF(tblHorasJan[Horas Trabalhadas Além Jornada]&lt;0,IF(OR(tblHorasJan[Evento 
(1º Período)]="",tblHorasJan[Evento 
(2º Período)]=""),tblHorasJan[Horas Trabalhadas Além Jornada],""),"")</f>
        <v/>
      </c>
      <c r="R10" s="14" t="str">
        <f>IF(tblHorasJan[Jornada Diária]&lt;&gt;"",IF((N(tblHorasJan[Jornada Diária])-ABS(N(tblHorasJan[Horas Trabalhadas Além Jornada])))=0,1,""),"")</f>
        <v/>
      </c>
      <c r="S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>
        <f t="shared" si="0"/>
        <v>0</v>
      </c>
      <c r="Q11" s="14" t="str">
        <f>IF(tblHorasJan[Horas Trabalhadas Além Jornada]&lt;0,IF(OR(tblHorasJan[Evento 
(1º Período)]="",tblHorasJan[Evento 
(2º Período)]=""),tblHorasJan[Horas Trabalhadas Além Jornada],""),"")</f>
        <v/>
      </c>
      <c r="R11" s="14" t="str">
        <f>IF(tblHorasJan[Jornada Diária]&lt;&gt;"",IF((N(tblHorasJan[Jornada Diária])-ABS(N(tblHorasJan[Horas Trabalhadas Além Jornada])))=0,1,""),"")</f>
        <v/>
      </c>
      <c r="S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>
        <f t="shared" si="0"/>
        <v>0</v>
      </c>
      <c r="Q12" s="14" t="str">
        <f>IF(tblHorasJan[Horas Trabalhadas Além Jornada]&lt;0,IF(OR(tblHorasJan[Evento 
(1º Período)]="",tblHorasJan[Evento 
(2º Período)]=""),tblHorasJan[Horas Trabalhadas Além Jornada],""),"")</f>
        <v/>
      </c>
      <c r="R12" s="14" t="str">
        <f>IF(tblHorasJan[Jornada Diária]&lt;&gt;"",IF((N(tblHorasJan[Jornada Diária])-ABS(N(tblHorasJan[Horas Trabalhadas Além Jornada])))=0,1,""),"")</f>
        <v/>
      </c>
      <c r="S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>
        <f t="shared" si="0"/>
        <v>0</v>
      </c>
      <c r="Q13" s="14" t="str">
        <f>IF(tblHorasJan[Horas Trabalhadas Além Jornada]&lt;0,IF(OR(tblHorasJan[Evento 
(1º Período)]="",tblHorasJan[Evento 
(2º Período)]=""),tblHorasJan[Horas Trabalhadas Além Jornada],""),"")</f>
        <v/>
      </c>
      <c r="R13" s="14" t="str">
        <f>IF(tblHorasJan[Jornada Diária]&lt;&gt;"",IF((N(tblHorasJan[Jornada Diária])-ABS(N(tblHorasJan[Horas Trabalhadas Além Jornada])))=0,1,""),"")</f>
        <v/>
      </c>
      <c r="S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>
        <f t="shared" si="0"/>
        <v>0</v>
      </c>
      <c r="Q14" s="14" t="str">
        <f>IF(tblHorasJan[Horas Trabalhadas Além Jornada]&lt;0,IF(OR(tblHorasJan[Evento 
(1º Período)]="",tblHorasJan[Evento 
(2º Período)]=""),tblHorasJan[Horas Trabalhadas Além Jornada],""),"")</f>
        <v/>
      </c>
      <c r="R14" s="14" t="str">
        <f>IF(tblHorasJan[Jornada Diária]&lt;&gt;"",IF((N(tblHorasJan[Jornada Diária])-ABS(N(tblHorasJan[Horas Trabalhadas Além Jornada])))=0,1,""),"")</f>
        <v/>
      </c>
      <c r="S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>
        <f t="shared" si="0"/>
        <v>0</v>
      </c>
      <c r="Q15" s="14" t="str">
        <f>IF(tblHorasJan[Horas Trabalhadas Além Jornada]&lt;0,IF(OR(tblHorasJan[Evento 
(1º Período)]="",tblHorasJan[Evento 
(2º Período)]=""),tblHorasJan[Horas Trabalhadas Além Jornada],""),"")</f>
        <v/>
      </c>
      <c r="R15" s="14" t="str">
        <f>IF(tblHorasJan[Jornada Diária]&lt;&gt;"",IF((N(tblHorasJan[Jornada Diária])-ABS(N(tblHorasJan[Horas Trabalhadas Além Jornada])))=0,1,""),"")</f>
        <v/>
      </c>
      <c r="S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>
        <f t="shared" si="0"/>
        <v>0</v>
      </c>
      <c r="Q16" s="14" t="str">
        <f>IF(tblHorasJan[Horas Trabalhadas Além Jornada]&lt;0,IF(OR(tblHorasJan[Evento 
(1º Período)]="",tblHorasJan[Evento 
(2º Período)]=""),tblHorasJan[Horas Trabalhadas Além Jornada],""),"")</f>
        <v/>
      </c>
      <c r="R16" s="14" t="str">
        <f>IF(tblHorasJan[Jornada Diária]&lt;&gt;"",IF((N(tblHorasJan[Jornada Diária])-ABS(N(tblHorasJan[Horas Trabalhadas Além Jornada])))=0,1,""),"")</f>
        <v/>
      </c>
      <c r="S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>
        <f t="shared" si="0"/>
        <v>0</v>
      </c>
      <c r="Q17" s="14" t="str">
        <f>IF(tblHorasJan[Horas Trabalhadas Além Jornada]&lt;0,IF(OR(tblHorasJan[Evento 
(1º Período)]="",tblHorasJan[Evento 
(2º Período)]=""),tblHorasJan[Horas Trabalhadas Além Jornada],""),"")</f>
        <v/>
      </c>
      <c r="R17" s="14" t="str">
        <f>IF(tblHorasJan[Jornada Diária]&lt;&gt;"",IF((N(tblHorasJan[Jornada Diária])-ABS(N(tblHorasJan[Horas Trabalhadas Além Jornada])))=0,1,""),"")</f>
        <v/>
      </c>
      <c r="S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>
        <f t="shared" si="0"/>
        <v>0</v>
      </c>
      <c r="Q18" s="14" t="str">
        <f>IF(tblHorasJan[Horas Trabalhadas Além Jornada]&lt;0,IF(OR(tblHorasJan[Evento 
(1º Período)]="",tblHorasJan[Evento 
(2º Período)]=""),tblHorasJan[Horas Trabalhadas Além Jornada],""),"")</f>
        <v/>
      </c>
      <c r="R18" s="14" t="str">
        <f>IF(tblHorasJan[Jornada Diária]&lt;&gt;"",IF((N(tblHorasJan[Jornada Diária])-ABS(N(tblHorasJan[Horas Trabalhadas Além Jornada])))=0,1,""),"")</f>
        <v/>
      </c>
      <c r="S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>
        <f t="shared" si="0"/>
        <v>0</v>
      </c>
      <c r="Q19" s="14" t="str">
        <f>IF(tblHorasJan[Horas Trabalhadas Além Jornada]&lt;0,IF(OR(tblHorasJan[Evento 
(1º Período)]="",tblHorasJan[Evento 
(2º Período)]=""),tblHorasJan[Horas Trabalhadas Além Jornada],""),"")</f>
        <v/>
      </c>
      <c r="R19" s="14" t="str">
        <f>IF(tblHorasJan[Jornada Diária]&lt;&gt;"",IF((N(tblHorasJan[Jornada Diária])-ABS(N(tblHorasJan[Horas Trabalhadas Além Jornada])))=0,1,""),"")</f>
        <v/>
      </c>
      <c r="S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>
        <f t="shared" si="0"/>
        <v>0</v>
      </c>
      <c r="Q20" s="14" t="str">
        <f>IF(tblHorasJan[Horas Trabalhadas Além Jornada]&lt;0,IF(OR(tblHorasJan[Evento 
(1º Período)]="",tblHorasJan[Evento 
(2º Período)]=""),tblHorasJan[Horas Trabalhadas Além Jornada],""),"")</f>
        <v/>
      </c>
      <c r="R20" s="14" t="str">
        <f>IF(tblHorasJan[Jornada Diária]&lt;&gt;"",IF((N(tblHorasJan[Jornada Diária])-ABS(N(tblHorasJan[Horas Trabalhadas Além Jornada])))=0,1,""),"")</f>
        <v/>
      </c>
      <c r="S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>
        <f t="shared" si="0"/>
        <v>0</v>
      </c>
      <c r="Q21" s="14" t="str">
        <f>IF(tblHorasJan[Horas Trabalhadas Além Jornada]&lt;0,IF(OR(tblHorasJan[Evento 
(1º Período)]="",tblHorasJan[Evento 
(2º Período)]=""),tblHorasJan[Horas Trabalhadas Além Jornada],""),"")</f>
        <v/>
      </c>
      <c r="R21" s="14" t="str">
        <f>IF(tblHorasJan[Jornada Diária]&lt;&gt;"",IF((N(tblHorasJan[Jornada Diária])-ABS(N(tblHorasJan[Horas Trabalhadas Além Jornada])))=0,1,""),"")</f>
        <v/>
      </c>
      <c r="S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>
        <f t="shared" si="0"/>
        <v>0</v>
      </c>
      <c r="Q22" s="14" t="str">
        <f>IF(tblHorasJan[Horas Trabalhadas Além Jornada]&lt;0,IF(OR(tblHorasJan[Evento 
(1º Período)]="",tblHorasJan[Evento 
(2º Período)]=""),tblHorasJan[Horas Trabalhadas Além Jornada],""),"")</f>
        <v/>
      </c>
      <c r="R22" s="14" t="str">
        <f>IF(tblHorasJan[Jornada Diária]&lt;&gt;"",IF((N(tblHorasJan[Jornada Diária])-ABS(N(tblHorasJan[Horas Trabalhadas Além Jornada])))=0,1,""),"")</f>
        <v/>
      </c>
      <c r="S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>
        <f t="shared" si="0"/>
        <v>0</v>
      </c>
      <c r="Q23" s="14" t="str">
        <f>IF(tblHorasJan[Horas Trabalhadas Além Jornada]&lt;0,IF(OR(tblHorasJan[Evento 
(1º Período)]="",tblHorasJan[Evento 
(2º Período)]=""),tblHorasJan[Horas Trabalhadas Além Jornada],""),"")</f>
        <v/>
      </c>
      <c r="R23" s="14" t="str">
        <f>IF(tblHorasJan[Jornada Diária]&lt;&gt;"",IF((N(tblHorasJan[Jornada Diária])-ABS(N(tblHorasJan[Horas Trabalhadas Além Jornada])))=0,1,""),"")</f>
        <v/>
      </c>
      <c r="S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>
        <f t="shared" si="0"/>
        <v>0</v>
      </c>
      <c r="Q24" s="14" t="str">
        <f>IF(tblHorasJan[Horas Trabalhadas Além Jornada]&lt;0,IF(OR(tblHorasJan[Evento 
(1º Período)]="",tblHorasJan[Evento 
(2º Período)]=""),tblHorasJan[Horas Trabalhadas Além Jornada],""),"")</f>
        <v/>
      </c>
      <c r="R24" s="14" t="str">
        <f>IF(tblHorasJan[Jornada Diária]&lt;&gt;"",IF((N(tblHorasJan[Jornada Diária])-ABS(N(tblHorasJan[Horas Trabalhadas Além Jornada])))=0,1,""),"")</f>
        <v/>
      </c>
      <c r="S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>
        <f t="shared" si="0"/>
        <v>0</v>
      </c>
      <c r="Q25" s="14" t="str">
        <f>IF(tblHorasJan[Horas Trabalhadas Além Jornada]&lt;0,IF(OR(tblHorasJan[Evento 
(1º Período)]="",tblHorasJan[Evento 
(2º Período)]=""),tblHorasJan[Horas Trabalhadas Além Jornada],""),"")</f>
        <v/>
      </c>
      <c r="R25" s="14" t="str">
        <f>IF(tblHorasJan[Jornada Diária]&lt;&gt;"",IF((N(tblHorasJan[Jornada Diária])-ABS(N(tblHorasJan[Horas Trabalhadas Além Jornada])))=0,1,""),"")</f>
        <v/>
      </c>
      <c r="S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>
        <f t="shared" si="0"/>
        <v>0</v>
      </c>
      <c r="Q26" s="14" t="str">
        <f>IF(tblHorasJan[Horas Trabalhadas Além Jornada]&lt;0,IF(OR(tblHorasJan[Evento 
(1º Período)]="",tblHorasJan[Evento 
(2º Período)]=""),tblHorasJan[Horas Trabalhadas Além Jornada],""),"")</f>
        <v/>
      </c>
      <c r="R26" s="14" t="str">
        <f>IF(tblHorasJan[Jornada Diária]&lt;&gt;"",IF((N(tblHorasJan[Jornada Diária])-ABS(N(tblHorasJan[Horas Trabalhadas Além Jornada])))=0,1,""),"")</f>
        <v/>
      </c>
      <c r="S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>
        <f t="shared" si="0"/>
        <v>0</v>
      </c>
      <c r="Q27" s="14" t="str">
        <f>IF(tblHorasJan[Horas Trabalhadas Além Jornada]&lt;0,IF(OR(tblHorasJan[Evento 
(1º Período)]="",tblHorasJan[Evento 
(2º Período)]=""),tblHorasJan[Horas Trabalhadas Além Jornada],""),"")</f>
        <v/>
      </c>
      <c r="R27" s="14" t="str">
        <f>IF(tblHorasJan[Jornada Diária]&lt;&gt;"",IF((N(tblHorasJan[Jornada Diária])-ABS(N(tblHorasJan[Horas Trabalhadas Além Jornada])))=0,1,""),"")</f>
        <v/>
      </c>
      <c r="S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>
        <f t="shared" si="0"/>
        <v>0</v>
      </c>
      <c r="Q28" s="14" t="str">
        <f>IF(tblHorasJan[Horas Trabalhadas Além Jornada]&lt;0,IF(OR(tblHorasJan[Evento 
(1º Período)]="",tblHorasJan[Evento 
(2º Período)]=""),tblHorasJan[Horas Trabalhadas Além Jornada],""),"")</f>
        <v/>
      </c>
      <c r="R28" s="14" t="str">
        <f>IF(tblHorasJan[Jornada Diária]&lt;&gt;"",IF((N(tblHorasJan[Jornada Diária])-ABS(N(tblHorasJan[Horas Trabalhadas Além Jornada])))=0,1,""),"")</f>
        <v/>
      </c>
      <c r="S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>
        <f t="shared" si="0"/>
        <v>0</v>
      </c>
      <c r="Q29" s="14" t="str">
        <f>IF(tblHorasJan[Horas Trabalhadas Além Jornada]&lt;0,IF(OR(tblHorasJan[Evento 
(1º Período)]="",tblHorasJan[Evento 
(2º Período)]=""),tblHorasJan[Horas Trabalhadas Além Jornada],""),"")</f>
        <v/>
      </c>
      <c r="R29" s="14" t="str">
        <f>IF(tblHorasJan[Jornada Diária]&lt;&gt;"",IF((N(tblHorasJan[Jornada Diária])-ABS(N(tblHorasJan[Horas Trabalhadas Além Jornada])))=0,1,""),"")</f>
        <v/>
      </c>
      <c r="S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>
        <f t="shared" si="0"/>
        <v>0</v>
      </c>
      <c r="Q30" s="14" t="str">
        <f>IF(tblHorasJan[Horas Trabalhadas Além Jornada]&lt;0,IF(OR(tblHorasJan[Evento 
(1º Período)]="",tblHorasJan[Evento 
(2º Período)]=""),tblHorasJan[Horas Trabalhadas Além Jornada],""),"")</f>
        <v/>
      </c>
      <c r="R30" s="14" t="str">
        <f>IF(tblHorasJan[Jornada Diária]&lt;&gt;"",IF((N(tblHorasJan[Jornada Diária])-ABS(N(tblHorasJan[Horas Trabalhadas Além Jornada])))=0,1,""),"")</f>
        <v/>
      </c>
      <c r="S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>
        <f t="shared" si="0"/>
        <v>0</v>
      </c>
      <c r="Q31" s="14" t="str">
        <f>IF(tblHorasJan[Horas Trabalhadas Além Jornada]&lt;0,IF(OR(tblHorasJan[Evento 
(1º Período)]="",tblHorasJan[Evento 
(2º Período)]=""),tblHorasJan[Horas Trabalhadas Além Jornada],""),"")</f>
        <v/>
      </c>
      <c r="R31" s="14" t="str">
        <f>IF(tblHorasJan[Jornada Diária]&lt;&gt;"",IF((N(tblHorasJan[Jornada Diária])-ABS(N(tblHorasJan[Horas Trabalhadas Além Jornada])))=0,1,""),"")</f>
        <v/>
      </c>
      <c r="S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>
        <f t="shared" si="0"/>
        <v>0</v>
      </c>
      <c r="Q32" s="14" t="str">
        <f>IF(tblHorasJan[Horas Trabalhadas Além Jornada]&lt;0,IF(OR(tblHorasJan[Evento 
(1º Período)]="",tblHorasJan[Evento 
(2º Período)]=""),tblHorasJan[Horas Trabalhadas Além Jornada],""),"")</f>
        <v/>
      </c>
      <c r="R32" s="14" t="str">
        <f>IF(tblHorasJan[Jornada Diária]&lt;&gt;"",IF((N(tblHorasJan[Jornada Diária])-ABS(N(tblHorasJan[Horas Trabalhadas Além Jornada])))=0,1,""),"")</f>
        <v/>
      </c>
      <c r="S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>
        <f t="shared" si="0"/>
        <v>0</v>
      </c>
      <c r="Q33" s="14" t="str">
        <f>IF(tblHorasJan[Horas Trabalhadas Além Jornada]&lt;0,IF(OR(tblHorasJan[Evento 
(1º Período)]="",tblHorasJan[Evento 
(2º Período)]=""),tblHorasJan[Horas Trabalhadas Além Jornada],""),"")</f>
        <v/>
      </c>
      <c r="R33" s="14" t="str">
        <f>IF(tblHorasJan[Jornada Diária]&lt;&gt;"",IF((N(tblHorasJan[Jornada Diária])-ABS(N(tblHorasJan[Horas Trabalhadas Além Jornada])))=0,1,""),"")</f>
        <v/>
      </c>
      <c r="S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>
        <f t="shared" si="0"/>
        <v>0</v>
      </c>
      <c r="Q34" s="14" t="str">
        <f>IF(tblHorasJan[Horas Trabalhadas Além Jornada]&lt;0,IF(OR(tblHorasJan[Evento 
(1º Período)]="",tblHorasJan[Evento 
(2º Período)]=""),tblHorasJan[Horas Trabalhadas Além Jornada],""),"")</f>
        <v/>
      </c>
      <c r="R34" s="14" t="str">
        <f>IF(tblHorasJan[Jornada Diária]&lt;&gt;"",IF((N(tblHorasJan[Jornada Diária])-ABS(N(tblHorasJan[Horas Trabalhadas Além Jornada])))=0,1,""),"")</f>
        <v/>
      </c>
      <c r="S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>
        <f t="shared" si="0"/>
        <v>0</v>
      </c>
      <c r="Q35" s="14" t="str">
        <f>IF(tblHorasJan[Horas Trabalhadas Além Jornada]&lt;0,IF(OR(tblHorasJan[Evento 
(1º Período)]="",tblHorasJan[Evento 
(2º Período)]=""),tblHorasJan[Horas Trabalhadas Além Jornada],""),"")</f>
        <v/>
      </c>
      <c r="R35" s="14" t="str">
        <f>IF(tblHorasJan[Jornada Diária]&lt;&gt;"",IF((N(tblHorasJan[Jornada Diária])-ABS(N(tblHorasJan[Horas Trabalhadas Além Jornada])))=0,1,""),"")</f>
        <v/>
      </c>
      <c r="S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>
        <f t="shared" si="0"/>
        <v>0</v>
      </c>
      <c r="Q36" s="14" t="str">
        <f>IF(tblHorasJan[Horas Trabalhadas Além Jornada]&lt;0,IF(OR(tblHorasJan[Evento 
(1º Período)]="",tblHorasJan[Evento 
(2º Período)]=""),tblHorasJan[Horas Trabalhadas Além Jornada],""),"")</f>
        <v/>
      </c>
      <c r="R36" s="14" t="str">
        <f>IF(tblHorasJan[Jornada Diária]&lt;&gt;"",IF((N(tblHorasJan[Jornada Diária])-ABS(N(tblHorasJan[Horas Trabalhadas Além Jornada])))=0,1,""),"")</f>
        <v/>
      </c>
      <c r="S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>
        <f t="shared" si="0"/>
        <v>0</v>
      </c>
      <c r="Q37" s="14" t="str">
        <f>IF(tblHorasJan[Horas Trabalhadas Além Jornada]&lt;0,IF(OR(tblHorasJan[Evento 
(1º Período)]="",tblHorasJan[Evento 
(2º Período)]=""),tblHorasJan[Horas Trabalhadas Além Jornada],""),"")</f>
        <v/>
      </c>
      <c r="R37" s="14" t="str">
        <f>IF(tblHorasJan[Jornada Diária]&lt;&gt;"",IF((N(tblHorasJan[Jornada Diária])-ABS(N(tblHorasJan[Horas Trabalhadas Além Jornada])))=0,1,""),"")</f>
        <v/>
      </c>
      <c r="S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>
        <f t="shared" si="0"/>
        <v>0</v>
      </c>
      <c r="Q38" s="14" t="str">
        <f>IF(tblHorasJan[Horas Trabalhadas Além Jornada]&lt;0,IF(OR(tblHorasJan[Evento 
(1º Período)]="",tblHorasJan[Evento 
(2º Período)]=""),tblHorasJan[Horas Trabalhadas Além Jornada],""),"")</f>
        <v/>
      </c>
      <c r="R38" s="14" t="str">
        <f>IF(tblHorasJan[Jornada Diária]&lt;&gt;"",IF((N(tblHorasJan[Jornada Diária])-ABS(N(tblHorasJan[Horas Trabalhadas Além Jornada])))=0,1,""),"")</f>
        <v/>
      </c>
      <c r="S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IF(VLOOKUP(tblHorasJan[Dia],tblDiaUtil[[Abreviatura]:[Total Jornada]],5,FALSE)&lt;&gt;"",VLOOKUP(tblHorasJan[Dia],tblDiaUtil[[Abreviatura]:[Total Jornada]],5,FALSE),JORNADA),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
-IF(VLOOKUP(tblHorasJan[Dia],tblDiaUtil[[Abreviatura]:[Total Jornada]],5,FALSE)&lt;&gt;"",VLOOKUP(tblHorasJan[Dia],tblDiaUtil[[Abreviatura]:[Total Jornada]],5,FALSE),JORNADA),
IF(IF(ISERROR(VLOOKUP(tblHorasJan[Evento 
(1º Período)],tblEvento[[Evento]:[Libera o Período]],4,FALSE)),FALSE,
IF(VLOOKUP(tblHorasJan[Evento 
(1º Período)],tblEvento[[Evento]:[Libera o Período]],4,FALSE)="Não",TRUE,FALSE)
),
-IF(VLOOKUP(tblHorasJan[Dia],tblDiaUtil[[Abreviatura]:[1º Período]],3,FALSE)&lt;&gt;"",VLOOKUP(tblHorasJan[Dia],tblDiaUtil[[Abreviatura]:[1º Período]],3,FALSE),JORNADA_PERIODO_1),
IF(IF(ISERROR(VLOOKUP(tblHorasJan[Evento 
(2º Período)],tblEvento[[Evento]:[Libera o Período]],4,FALSE)),FALSE,IF(VLOOKUP(tblHorasJan[Evento 
(2º Período)],tblEvento[[Evento]:[Libera o Período]],4,FALSE)="Não",TRUE,FALSE)),
-IF(VLOOKUP(tblHorasJan[Dia],tblDiaUtil[[Abreviatura]:[2º Período]],4,FALSE)&lt;&gt;"",VLOOKUP(tblHorasJan[Dia],tblDiaUtil[[Abreviatura]:[2º Período]],4,FALSE),JORNADA_PERIODO_2),0))))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>
        <f t="shared" si="0"/>
        <v>0</v>
      </c>
      <c r="Q39" s="14" t="str">
        <f>IF(tblHorasJan[Horas Trabalhadas Além Jornada]&lt;0,IF(OR(tblHorasJan[Evento 
(1º Período)]="",tblHorasJan[Evento 
(2º Período)]=""),tblHorasJan[Horas Trabalhadas Além Jornada],""),"")</f>
        <v/>
      </c>
      <c r="R39" s="14" t="str">
        <f>IF(tblHorasJan[Jornada Diária]&lt;&gt;"",IF((N(tblHorasJan[Jornada Diária])-ABS(N(tblHorasJan[Horas Trabalhadas Além Jornada])))=0,1,""),"")</f>
        <v/>
      </c>
      <c r="S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T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U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c2mqgOfyIwWQEj6XvMsp3ZhjeczZNUPQKD4SDsmbLFPbx3Qvh0usGAx5lwuGEOz9jAfqEIW0eAVXAkad7y3naQ==" saltValue="Ra//F6bdmUfODRv2SZX87g==" spinCount="100000" sheet="1" formatCells="0" formatColumns="0" formatRows="0" selectLockedCells="1" autoFilter="0" pivotTables="0"/>
  <dataConsolidate/>
  <mergeCells count="8">
    <mergeCell ref="O1:U4"/>
    <mergeCell ref="H4:I4"/>
    <mergeCell ref="B5:C5"/>
    <mergeCell ref="B6:C6"/>
    <mergeCell ref="G2:I2"/>
    <mergeCell ref="H3:I3"/>
    <mergeCell ref="O5:O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33616478-990B-44FE-BB07-40117DF3ADA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J10:O39 Q9:U39</xm:sqref>
        </x14:conditionalFormatting>
        <x14:conditionalFormatting xmlns:xm="http://schemas.microsoft.com/office/excel/2006/main">
          <x14:cfRule type="expression" priority="15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21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11" id="{CF3EF681-ADA3-454F-BD4D-136E8407E816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015B1FB-D320-45D4-903E-B40FCBE5CA6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</xm:sqref>
        </x14:conditionalFormatting>
        <x14:conditionalFormatting xmlns:xm="http://schemas.microsoft.com/office/excel/2006/main">
          <x14:cfRule type="expression" priority="5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7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BB16051-391C-4CE1-AC4C-93FFD8B63522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5D487DB-F1D7-4DAF-B0BD-A1FD2C7DDDC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1223596-A3AC-45F8-989A-1B77C1FB5E86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64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IF(CONT_MES_ANTERIOR="Sim",Janeiro!O39,0)</f>
        <v>0</v>
      </c>
      <c r="P7" s="45">
        <f>SUM(tblHorasFev[Atrasos
(horas)])</f>
        <v>0</v>
      </c>
      <c r="Q7" s="45">
        <f>SUM(tblHorasFev[Atrasos
(horas)])</f>
        <v>0</v>
      </c>
      <c r="R7" s="46">
        <f>SUM(tblHorasFev[Faltas
(dias)])</f>
        <v>0</v>
      </c>
      <c r="S7" s="45">
        <f>SUM(tblHorasFev[Hora Extra Normal])</f>
        <v>0</v>
      </c>
      <c r="T7" s="45">
        <f>SUM(tblHorasFev[Hora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>
        <f t="shared" ref="P9:P39" si="0">G9-F9</f>
        <v>0</v>
      </c>
      <c r="Q9" s="14" t="str">
        <f>IF(tblHorasFev[Horas Trabalhadas Além Jornada]&lt;0,IF(OR(tblHorasFev[Evento 
(1º Período)]="",tblHorasFev[Evento 
(2º Período)]=""),tblHorasFev[Horas Trabalhadas Além Jornada],""),"")</f>
        <v/>
      </c>
      <c r="R9" s="14" t="str">
        <f>IF(tblHorasFev[Jornada Diária]&lt;&gt;"",IF((N(tblHorasFev[Jornada Diária])-ABS(N(tblHorasFev[Horas Trabalhadas Além Jornada])))=0,1,""),"")</f>
        <v/>
      </c>
      <c r="S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>
        <f t="shared" si="0"/>
        <v>0</v>
      </c>
      <c r="Q10" s="14" t="str">
        <f>IF(tblHorasFev[Horas Trabalhadas Além Jornada]&lt;0,IF(OR(tblHorasFev[Evento 
(1º Período)]="",tblHorasFev[Evento 
(2º Período)]=""),tblHorasFev[Horas Trabalhadas Além Jornada],""),"")</f>
        <v/>
      </c>
      <c r="R10" s="14" t="str">
        <f>IF(tblHorasFev[Jornada Diária]&lt;&gt;"",IF((N(tblHorasFev[Jornada Diária])-ABS(N(tblHorasFev[Horas Trabalhadas Além Jornada])))=0,1,""),"")</f>
        <v/>
      </c>
      <c r="S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>
        <f t="shared" si="0"/>
        <v>0</v>
      </c>
      <c r="Q11" s="14" t="str">
        <f>IF(tblHorasFev[Horas Trabalhadas Além Jornada]&lt;0,IF(OR(tblHorasFev[Evento 
(1º Período)]="",tblHorasFev[Evento 
(2º Período)]=""),tblHorasFev[Horas Trabalhadas Além Jornada],""),"")</f>
        <v/>
      </c>
      <c r="R11" s="14" t="str">
        <f>IF(tblHorasFev[Jornada Diária]&lt;&gt;"",IF((N(tblHorasFev[Jornada Diária])-ABS(N(tblHorasFev[Horas Trabalhadas Além Jornada])))=0,1,""),"")</f>
        <v/>
      </c>
      <c r="S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>
        <f t="shared" si="0"/>
        <v>0</v>
      </c>
      <c r="Q12" s="14" t="str">
        <f>IF(tblHorasFev[Horas Trabalhadas Além Jornada]&lt;0,IF(OR(tblHorasFev[Evento 
(1º Período)]="",tblHorasFev[Evento 
(2º Período)]=""),tblHorasFev[Horas Trabalhadas Além Jornada],""),"")</f>
        <v/>
      </c>
      <c r="R12" s="14" t="str">
        <f>IF(tblHorasFev[Jornada Diária]&lt;&gt;"",IF((N(tblHorasFev[Jornada Diária])-ABS(N(tblHorasFev[Horas Trabalhadas Além Jornada])))=0,1,""),"")</f>
        <v/>
      </c>
      <c r="S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>
        <f t="shared" si="0"/>
        <v>0</v>
      </c>
      <c r="Q13" s="14" t="str">
        <f>IF(tblHorasFev[Horas Trabalhadas Além Jornada]&lt;0,IF(OR(tblHorasFev[Evento 
(1º Período)]="",tblHorasFev[Evento 
(2º Período)]=""),tblHorasFev[Horas Trabalhadas Além Jornada],""),"")</f>
        <v/>
      </c>
      <c r="R13" s="14" t="str">
        <f>IF(tblHorasFev[Jornada Diária]&lt;&gt;"",IF((N(tblHorasFev[Jornada Diária])-ABS(N(tblHorasFev[Horas Trabalhadas Além Jornada])))=0,1,""),"")</f>
        <v/>
      </c>
      <c r="S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>
        <f t="shared" si="0"/>
        <v>0</v>
      </c>
      <c r="Q14" s="14" t="str">
        <f>IF(tblHorasFev[Horas Trabalhadas Além Jornada]&lt;0,IF(OR(tblHorasFev[Evento 
(1º Período)]="",tblHorasFev[Evento 
(2º Período)]=""),tblHorasFev[Horas Trabalhadas Além Jornada],""),"")</f>
        <v/>
      </c>
      <c r="R14" s="14" t="str">
        <f>IF(tblHorasFev[Jornada Diária]&lt;&gt;"",IF((N(tblHorasFev[Jornada Diária])-ABS(N(tblHorasFev[Horas Trabalhadas Além Jornada])))=0,1,""),"")</f>
        <v/>
      </c>
      <c r="S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>
        <f t="shared" si="0"/>
        <v>0</v>
      </c>
      <c r="Q15" s="14" t="str">
        <f>IF(tblHorasFev[Horas Trabalhadas Além Jornada]&lt;0,IF(OR(tblHorasFev[Evento 
(1º Período)]="",tblHorasFev[Evento 
(2º Período)]=""),tblHorasFev[Horas Trabalhadas Além Jornada],""),"")</f>
        <v/>
      </c>
      <c r="R15" s="14" t="str">
        <f>IF(tblHorasFev[Jornada Diária]&lt;&gt;"",IF((N(tblHorasFev[Jornada Diária])-ABS(N(tblHorasFev[Horas Trabalhadas Além Jornada])))=0,1,""),"")</f>
        <v/>
      </c>
      <c r="S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>
        <f t="shared" si="0"/>
        <v>0</v>
      </c>
      <c r="Q16" s="14" t="str">
        <f>IF(tblHorasFev[Horas Trabalhadas Além Jornada]&lt;0,IF(OR(tblHorasFev[Evento 
(1º Período)]="",tblHorasFev[Evento 
(2º Período)]=""),tblHorasFev[Horas Trabalhadas Além Jornada],""),"")</f>
        <v/>
      </c>
      <c r="R16" s="14" t="str">
        <f>IF(tblHorasFev[Jornada Diária]&lt;&gt;"",IF((N(tblHorasFev[Jornada Diária])-ABS(N(tblHorasFev[Horas Trabalhadas Além Jornada])))=0,1,""),"")</f>
        <v/>
      </c>
      <c r="S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>
        <f t="shared" si="0"/>
        <v>0</v>
      </c>
      <c r="Q17" s="14" t="str">
        <f>IF(tblHorasFev[Horas Trabalhadas Além Jornada]&lt;0,IF(OR(tblHorasFev[Evento 
(1º Período)]="",tblHorasFev[Evento 
(2º Período)]=""),tblHorasFev[Horas Trabalhadas Além Jornada],""),"")</f>
        <v/>
      </c>
      <c r="R17" s="14" t="str">
        <f>IF(tblHorasFev[Jornada Diária]&lt;&gt;"",IF((N(tblHorasFev[Jornada Diária])-ABS(N(tblHorasFev[Horas Trabalhadas Além Jornada])))=0,1,""),"")</f>
        <v/>
      </c>
      <c r="S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>
        <f t="shared" si="0"/>
        <v>0</v>
      </c>
      <c r="Q18" s="14" t="str">
        <f>IF(tblHorasFev[Horas Trabalhadas Além Jornada]&lt;0,IF(OR(tblHorasFev[Evento 
(1º Período)]="",tblHorasFev[Evento 
(2º Período)]=""),tblHorasFev[Horas Trabalhadas Além Jornada],""),"")</f>
        <v/>
      </c>
      <c r="R18" s="14" t="str">
        <f>IF(tblHorasFev[Jornada Diária]&lt;&gt;"",IF((N(tblHorasFev[Jornada Diária])-ABS(N(tblHorasFev[Horas Trabalhadas Além Jornada])))=0,1,""),"")</f>
        <v/>
      </c>
      <c r="S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>
        <f t="shared" si="0"/>
        <v>0</v>
      </c>
      <c r="Q19" s="14" t="str">
        <f>IF(tblHorasFev[Horas Trabalhadas Além Jornada]&lt;0,IF(OR(tblHorasFev[Evento 
(1º Período)]="",tblHorasFev[Evento 
(2º Período)]=""),tblHorasFev[Horas Trabalhadas Além Jornada],""),"")</f>
        <v/>
      </c>
      <c r="R19" s="14" t="str">
        <f>IF(tblHorasFev[Jornada Diária]&lt;&gt;"",IF((N(tblHorasFev[Jornada Diária])-ABS(N(tblHorasFev[Horas Trabalhadas Além Jornada])))=0,1,""),"")</f>
        <v/>
      </c>
      <c r="S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>
        <f t="shared" si="0"/>
        <v>0</v>
      </c>
      <c r="Q20" s="14" t="str">
        <f>IF(tblHorasFev[Horas Trabalhadas Além Jornada]&lt;0,IF(OR(tblHorasFev[Evento 
(1º Período)]="",tblHorasFev[Evento 
(2º Período)]=""),tblHorasFev[Horas Trabalhadas Além Jornada],""),"")</f>
        <v/>
      </c>
      <c r="R20" s="14" t="str">
        <f>IF(tblHorasFev[Jornada Diária]&lt;&gt;"",IF((N(tblHorasFev[Jornada Diária])-ABS(N(tblHorasFev[Horas Trabalhadas Além Jornada])))=0,1,""),"")</f>
        <v/>
      </c>
      <c r="S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>
        <f t="shared" si="0"/>
        <v>0</v>
      </c>
      <c r="Q21" s="14" t="str">
        <f>IF(tblHorasFev[Horas Trabalhadas Além Jornada]&lt;0,IF(OR(tblHorasFev[Evento 
(1º Período)]="",tblHorasFev[Evento 
(2º Período)]=""),tblHorasFev[Horas Trabalhadas Além Jornada],""),"")</f>
        <v/>
      </c>
      <c r="R21" s="14" t="str">
        <f>IF(tblHorasFev[Jornada Diária]&lt;&gt;"",IF((N(tblHorasFev[Jornada Diária])-ABS(N(tblHorasFev[Horas Trabalhadas Além Jornada])))=0,1,""),"")</f>
        <v/>
      </c>
      <c r="S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>
        <f t="shared" si="0"/>
        <v>0</v>
      </c>
      <c r="Q22" s="14" t="str">
        <f>IF(tblHorasFev[Horas Trabalhadas Além Jornada]&lt;0,IF(OR(tblHorasFev[Evento 
(1º Período)]="",tblHorasFev[Evento 
(2º Período)]=""),tblHorasFev[Horas Trabalhadas Além Jornada],""),"")</f>
        <v/>
      </c>
      <c r="R22" s="14" t="str">
        <f>IF(tblHorasFev[Jornada Diária]&lt;&gt;"",IF((N(tblHorasFev[Jornada Diária])-ABS(N(tblHorasFev[Horas Trabalhadas Além Jornada])))=0,1,""),"")</f>
        <v/>
      </c>
      <c r="S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>
        <f t="shared" si="0"/>
        <v>0</v>
      </c>
      <c r="Q23" s="14" t="str">
        <f>IF(tblHorasFev[Horas Trabalhadas Além Jornada]&lt;0,IF(OR(tblHorasFev[Evento 
(1º Período)]="",tblHorasFev[Evento 
(2º Período)]=""),tblHorasFev[Horas Trabalhadas Além Jornada],""),"")</f>
        <v/>
      </c>
      <c r="R23" s="14" t="str">
        <f>IF(tblHorasFev[Jornada Diária]&lt;&gt;"",IF((N(tblHorasFev[Jornada Diária])-ABS(N(tblHorasFev[Horas Trabalhadas Além Jornada])))=0,1,""),"")</f>
        <v/>
      </c>
      <c r="S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>
        <f t="shared" si="0"/>
        <v>0</v>
      </c>
      <c r="Q24" s="14" t="str">
        <f>IF(tblHorasFev[Horas Trabalhadas Além Jornada]&lt;0,IF(OR(tblHorasFev[Evento 
(1º Período)]="",tblHorasFev[Evento 
(2º Período)]=""),tblHorasFev[Horas Trabalhadas Além Jornada],""),"")</f>
        <v/>
      </c>
      <c r="R24" s="14" t="str">
        <f>IF(tblHorasFev[Jornada Diária]&lt;&gt;"",IF((N(tblHorasFev[Jornada Diária])-ABS(N(tblHorasFev[Horas Trabalhadas Além Jornada])))=0,1,""),"")</f>
        <v/>
      </c>
      <c r="S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>
        <f t="shared" si="0"/>
        <v>0</v>
      </c>
      <c r="Q25" s="14" t="str">
        <f>IF(tblHorasFev[Horas Trabalhadas Além Jornada]&lt;0,IF(OR(tblHorasFev[Evento 
(1º Período)]="",tblHorasFev[Evento 
(2º Período)]=""),tblHorasFev[Horas Trabalhadas Além Jornada],""),"")</f>
        <v/>
      </c>
      <c r="R25" s="14" t="str">
        <f>IF(tblHorasFev[Jornada Diária]&lt;&gt;"",IF((N(tblHorasFev[Jornada Diária])-ABS(N(tblHorasFev[Horas Trabalhadas Além Jornada])))=0,1,""),"")</f>
        <v/>
      </c>
      <c r="S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>
        <f t="shared" si="0"/>
        <v>0</v>
      </c>
      <c r="Q26" s="14" t="str">
        <f>IF(tblHorasFev[Horas Trabalhadas Além Jornada]&lt;0,IF(OR(tblHorasFev[Evento 
(1º Período)]="",tblHorasFev[Evento 
(2º Período)]=""),tblHorasFev[Horas Trabalhadas Além Jornada],""),"")</f>
        <v/>
      </c>
      <c r="R26" s="14" t="str">
        <f>IF(tblHorasFev[Jornada Diária]&lt;&gt;"",IF((N(tblHorasFev[Jornada Diária])-ABS(N(tblHorasFev[Horas Trabalhadas Além Jornada])))=0,1,""),"")</f>
        <v/>
      </c>
      <c r="S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>
        <f t="shared" si="0"/>
        <v>0</v>
      </c>
      <c r="Q27" s="14" t="str">
        <f>IF(tblHorasFev[Horas Trabalhadas Além Jornada]&lt;0,IF(OR(tblHorasFev[Evento 
(1º Período)]="",tblHorasFev[Evento 
(2º Período)]=""),tblHorasFev[Horas Trabalhadas Além Jornada],""),"")</f>
        <v/>
      </c>
      <c r="R27" s="14" t="str">
        <f>IF(tblHorasFev[Jornada Diária]&lt;&gt;"",IF((N(tblHorasFev[Jornada Diária])-ABS(N(tblHorasFev[Horas Trabalhadas Além Jornada])))=0,1,""),"")</f>
        <v/>
      </c>
      <c r="S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>
        <f t="shared" si="0"/>
        <v>0</v>
      </c>
      <c r="Q28" s="14" t="str">
        <f>IF(tblHorasFev[Horas Trabalhadas Além Jornada]&lt;0,IF(OR(tblHorasFev[Evento 
(1º Período)]="",tblHorasFev[Evento 
(2º Período)]=""),tblHorasFev[Horas Trabalhadas Além Jornada],""),"")</f>
        <v/>
      </c>
      <c r="R28" s="14" t="str">
        <f>IF(tblHorasFev[Jornada Diária]&lt;&gt;"",IF((N(tblHorasFev[Jornada Diária])-ABS(N(tblHorasFev[Horas Trabalhadas Além Jornada])))=0,1,""),"")</f>
        <v/>
      </c>
      <c r="S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>
        <f t="shared" si="0"/>
        <v>0</v>
      </c>
      <c r="Q29" s="14" t="str">
        <f>IF(tblHorasFev[Horas Trabalhadas Além Jornada]&lt;0,IF(OR(tblHorasFev[Evento 
(1º Período)]="",tblHorasFev[Evento 
(2º Período)]=""),tblHorasFev[Horas Trabalhadas Além Jornada],""),"")</f>
        <v/>
      </c>
      <c r="R29" s="14" t="str">
        <f>IF(tblHorasFev[Jornada Diária]&lt;&gt;"",IF((N(tblHorasFev[Jornada Diária])-ABS(N(tblHorasFev[Horas Trabalhadas Além Jornada])))=0,1,""),"")</f>
        <v/>
      </c>
      <c r="S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>
        <f t="shared" si="0"/>
        <v>0</v>
      </c>
      <c r="Q30" s="14" t="str">
        <f>IF(tblHorasFev[Horas Trabalhadas Além Jornada]&lt;0,IF(OR(tblHorasFev[Evento 
(1º Período)]="",tblHorasFev[Evento 
(2º Período)]=""),tblHorasFev[Horas Trabalhadas Além Jornada],""),"")</f>
        <v/>
      </c>
      <c r="R30" s="14" t="str">
        <f>IF(tblHorasFev[Jornada Diária]&lt;&gt;"",IF((N(tblHorasFev[Jornada Diária])-ABS(N(tblHorasFev[Horas Trabalhadas Além Jornada])))=0,1,""),"")</f>
        <v/>
      </c>
      <c r="S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>
        <f t="shared" si="0"/>
        <v>0</v>
      </c>
      <c r="Q31" s="14" t="str">
        <f>IF(tblHorasFev[Horas Trabalhadas Além Jornada]&lt;0,IF(OR(tblHorasFev[Evento 
(1º Período)]="",tblHorasFev[Evento 
(2º Período)]=""),tblHorasFev[Horas Trabalhadas Além Jornada],""),"")</f>
        <v/>
      </c>
      <c r="R31" s="14" t="str">
        <f>IF(tblHorasFev[Jornada Diária]&lt;&gt;"",IF((N(tblHorasFev[Jornada Diária])-ABS(N(tblHorasFev[Horas Trabalhadas Além Jornada])))=0,1,""),"")</f>
        <v/>
      </c>
      <c r="S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>
        <f t="shared" si="0"/>
        <v>0</v>
      </c>
      <c r="Q32" s="14" t="str">
        <f>IF(tblHorasFev[Horas Trabalhadas Além Jornada]&lt;0,IF(OR(tblHorasFev[Evento 
(1º Período)]="",tblHorasFev[Evento 
(2º Período)]=""),tblHorasFev[Horas Trabalhadas Além Jornada],""),"")</f>
        <v/>
      </c>
      <c r="R32" s="14" t="str">
        <f>IF(tblHorasFev[Jornada Diária]&lt;&gt;"",IF((N(tblHorasFev[Jornada Diária])-ABS(N(tblHorasFev[Horas Trabalhadas Além Jornada])))=0,1,""),"")</f>
        <v/>
      </c>
      <c r="S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>
        <f t="shared" si="0"/>
        <v>0</v>
      </c>
      <c r="Q33" s="14" t="str">
        <f>IF(tblHorasFev[Horas Trabalhadas Além Jornada]&lt;0,IF(OR(tblHorasFev[Evento 
(1º Período)]="",tblHorasFev[Evento 
(2º Período)]=""),tblHorasFev[Horas Trabalhadas Além Jornada],""),"")</f>
        <v/>
      </c>
      <c r="R33" s="14" t="str">
        <f>IF(tblHorasFev[Jornada Diária]&lt;&gt;"",IF((N(tblHorasFev[Jornada Diária])-ABS(N(tblHorasFev[Horas Trabalhadas Além Jornada])))=0,1,""),"")</f>
        <v/>
      </c>
      <c r="S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>
        <f t="shared" si="0"/>
        <v>0</v>
      </c>
      <c r="Q34" s="14" t="str">
        <f>IF(tblHorasFev[Horas Trabalhadas Além Jornada]&lt;0,IF(OR(tblHorasFev[Evento 
(1º Período)]="",tblHorasFev[Evento 
(2º Período)]=""),tblHorasFev[Horas Trabalhadas Além Jornada],""),"")</f>
        <v/>
      </c>
      <c r="R34" s="14" t="str">
        <f>IF(tblHorasFev[Jornada Diária]&lt;&gt;"",IF((N(tblHorasFev[Jornada Diária])-ABS(N(tblHorasFev[Horas Trabalhadas Além Jornada])))=0,1,""),"")</f>
        <v/>
      </c>
      <c r="S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>
        <f t="shared" si="0"/>
        <v>0</v>
      </c>
      <c r="Q35" s="14" t="str">
        <f>IF(tblHorasFev[Horas Trabalhadas Além Jornada]&lt;0,IF(OR(tblHorasFev[Evento 
(1º Período)]="",tblHorasFev[Evento 
(2º Período)]=""),tblHorasFev[Horas Trabalhadas Além Jornada],""),"")</f>
        <v/>
      </c>
      <c r="R35" s="14" t="str">
        <f>IF(tblHorasFev[Jornada Diária]&lt;&gt;"",IF((N(tblHorasFev[Jornada Diária])-ABS(N(tblHorasFev[Horas Trabalhadas Além Jornada])))=0,1,""),"")</f>
        <v/>
      </c>
      <c r="S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>
        <f t="shared" si="0"/>
        <v>0</v>
      </c>
      <c r="Q36" s="14" t="str">
        <f>IF(tblHorasFev[Horas Trabalhadas Além Jornada]&lt;0,IF(OR(tblHorasFev[Evento 
(1º Período)]="",tblHorasFev[Evento 
(2º Período)]=""),tblHorasFev[Horas Trabalhadas Além Jornada],""),"")</f>
        <v/>
      </c>
      <c r="R36" s="14" t="str">
        <f>IF(tblHorasFev[Jornada Diária]&lt;&gt;"",IF((N(tblHorasFev[Jornada Diária])-ABS(N(tblHorasFev[Horas Trabalhadas Além Jornada])))=0,1,""),"")</f>
        <v/>
      </c>
      <c r="S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>
        <f t="shared" si="0"/>
        <v>0</v>
      </c>
      <c r="Q37" s="14" t="str">
        <f>IF(tblHorasFev[Horas Trabalhadas Além Jornada]&lt;0,IF(OR(tblHorasFev[Evento 
(1º Período)]="",tblHorasFev[Evento 
(2º Período)]=""),tblHorasFev[Horas Trabalhadas Além Jornada],""),"")</f>
        <v/>
      </c>
      <c r="R37" s="14" t="str">
        <f>IF(tblHorasFev[Jornada Diária]&lt;&gt;"",IF((N(tblHorasFev[Jornada Diária])-ABS(N(tblHorasFev[Horas Trabalhadas Além Jornada])))=0,1,""),"")</f>
        <v/>
      </c>
      <c r="S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>
        <f t="shared" si="0"/>
        <v>0</v>
      </c>
      <c r="Q38" s="14" t="str">
        <f>IF(tblHorasFev[Horas Trabalhadas Além Jornada]&lt;0,IF(OR(tblHorasFev[Evento 
(1º Período)]="",tblHorasFev[Evento 
(2º Período)]=""),tblHorasFev[Horas Trabalhadas Além Jornada],""),"")</f>
        <v/>
      </c>
      <c r="R38" s="14" t="str">
        <f>IF(tblHorasFev[Jornada Diária]&lt;&gt;"",IF((N(tblHorasFev[Jornada Diária])-ABS(N(tblHorasFev[Horas Trabalhadas Além Jornada])))=0,1,""),"")</f>
        <v/>
      </c>
      <c r="S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IF(VLOOKUP(tblHorasFev[Dia],tblDiaUtil[[Abreviatura]:[Total Jornada]],5,FALSE)&lt;&gt;"",VLOOKUP(tblHorasFev[Dia],tblDiaUtil[[Abreviatura]:[Total Jornada]],5,FALSE),JORNADA),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
-IF(VLOOKUP(tblHorasFev[Dia],tblDiaUtil[[Abreviatura]:[Total Jornada]],5,FALSE)&lt;&gt;"",VLOOKUP(tblHorasFev[Dia],tblDiaUtil[[Abreviatura]:[Total Jornada]],5,FALSE),JORNADA),
IF(IF(ISERROR(VLOOKUP(tblHorasFev[Evento 
(1º Período)],tblEvento[[Evento]:[Libera o Período]],4,FALSE)),FALSE,
IF(VLOOKUP(tblHorasFev[Evento 
(1º Período)],tblEvento[[Evento]:[Libera o Período]],4,FALSE)="Não",TRUE,FALSE)
),
-IF(VLOOKUP(tblHorasFev[Dia],tblDiaUtil[[Abreviatura]:[1º Período]],3,FALSE)&lt;&gt;"",VLOOKUP(tblHorasFev[Dia],tblDiaUtil[[Abreviatura]:[1º Período]],3,FALSE),JORNADA_PERIODO_1),
IF(IF(ISERROR(VLOOKUP(tblHorasFev[Evento 
(2º Período)],tblEvento[[Evento]:[Libera o Período]],4,FALSE)),FALSE,IF(VLOOKUP(tblHorasFev[Evento 
(2º Período)],tblEvento[[Evento]:[Libera o Período]],4,FALSE)="Não",TRUE,FALSE)),
-IF(VLOOKUP(tblHorasFev[Dia],tblDiaUtil[[Abreviatura]:[2º Período]],4,FALSE)&lt;&gt;"",VLOOKUP(tblHorasFev[Dia],tblDiaUtil[[Abreviatura]:[2º Período]],4,FALSE),JORNADA_PERIODO_2),0))))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>
        <f t="shared" si="0"/>
        <v>0</v>
      </c>
      <c r="Q39" s="14" t="str">
        <f>IF(tblHorasFev[Horas Trabalhadas Além Jornada]&lt;0,IF(OR(tblHorasFev[Evento 
(1º Período)]="",tblHorasFev[Evento 
(2º Período)]=""),tblHorasFev[Horas Trabalhadas Além Jornada],""),"")</f>
        <v/>
      </c>
      <c r="R39" s="14" t="str">
        <f>IF(tblHorasFev[Jornada Diária]&lt;&gt;"",IF((N(tblHorasFev[Jornada Diária])-ABS(N(tblHorasFev[Horas Trabalhadas Além Jornada])))=0,1,""),"")</f>
        <v/>
      </c>
      <c r="S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T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U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HAFQK+EyHxzzuZ40lqq4pOdtMDFxJJa4VAEtBkIMMnkNuig+AmjnWlGFh7M9C0ZddOde476+b0dSRYxdkPmvaQ==" saltValue="2u1mU9yuQ/o4mJKz8JHyUw==" spinCount="100000" sheet="1" formatCells="0" formatColumns="0" formatRows="0" selectLockedCells="1" autoFilter="0" pivotTables="0"/>
  <dataConsolidate/>
  <mergeCells count="8">
    <mergeCell ref="B6:C6"/>
    <mergeCell ref="O5:O6"/>
    <mergeCell ref="O1:U4"/>
    <mergeCell ref="G2:I2"/>
    <mergeCell ref="H3:I3"/>
    <mergeCell ref="H4:I4"/>
    <mergeCell ref="B5:C5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919B187-41D6-419B-8266-B73BB61136E8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L9:O9 Q9:U39</xm:sqref>
        </x14:conditionalFormatting>
        <x14:conditionalFormatting xmlns:xm="http://schemas.microsoft.com/office/excel/2006/main">
          <x14:cfRule type="expression" priority="12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4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11" id="{2ED1A9A5-4E58-4247-9D74-D644E232B3A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8FE425F5-FAC1-4F3E-883A-A37694DD054D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4231C1B-CEC7-4336-8E20-ED3DB24E0AD5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6D364920-23D9-4947-A072-D898005A9CC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4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6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3" id="{5F0E1F24-E38A-4166-AABD-605D4644FB1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19F07A9-14D8-4C50-86E2-AA5CAA4A203E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D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F13" sqref="F13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65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IF(CONT_MES_ANTERIOR="Sim",Fevereiro!O39,0)</f>
        <v>0</v>
      </c>
      <c r="P7" s="45">
        <f>SUM(tblHorasMar[Atrasos
(horas)])</f>
        <v>0</v>
      </c>
      <c r="Q7" s="45">
        <f>SUM(tblHorasMar[Atrasos
(horas)])</f>
        <v>0</v>
      </c>
      <c r="R7" s="46">
        <f>SUM(tblHorasMar[Faltas
(dias)])</f>
        <v>0</v>
      </c>
      <c r="S7" s="45">
        <f>SUM(tblHorasMar[Hora Extra Normal])</f>
        <v>0</v>
      </c>
      <c r="T7" s="45">
        <f>SUM(tblHorasMar[Hora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>
        <f t="shared" ref="P9:P39" si="0">G9-F9</f>
        <v>0</v>
      </c>
      <c r="Q9" s="14" t="str">
        <f>IF(tblHorasMar[Horas Trabalhadas Além Jornada]&lt;0,IF(OR(tblHorasMar[Evento 
(1º Período)]="",tblHorasMar[Evento 
(2º Período)]=""),tblHorasMar[Horas Trabalhadas Além Jornada],""),"")</f>
        <v/>
      </c>
      <c r="R9" s="14" t="str">
        <f>IF(tblHorasMar[Jornada Diária]&lt;&gt;"",IF((N(tblHorasMar[Jornada Diária])-ABS(N(tblHorasMar[Horas Trabalhadas Além Jornada])))=0,1,""),"")</f>
        <v/>
      </c>
      <c r="S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>
        <f t="shared" si="0"/>
        <v>0</v>
      </c>
      <c r="Q10" s="14" t="str">
        <f>IF(tblHorasMar[Horas Trabalhadas Além Jornada]&lt;0,IF(OR(tblHorasMar[Evento 
(1º Período)]="",tblHorasMar[Evento 
(2º Período)]=""),tblHorasMar[Horas Trabalhadas Além Jornada],""),"")</f>
        <v/>
      </c>
      <c r="R10" s="14" t="str">
        <f>IF(tblHorasMar[Jornada Diária]&lt;&gt;"",IF((N(tblHorasMar[Jornada Diária])-ABS(N(tblHorasMar[Horas Trabalhadas Além Jornada])))=0,1,""),"")</f>
        <v/>
      </c>
      <c r="S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>
        <f t="shared" si="0"/>
        <v>0</v>
      </c>
      <c r="Q11" s="14" t="str">
        <f>IF(tblHorasMar[Horas Trabalhadas Além Jornada]&lt;0,IF(OR(tblHorasMar[Evento 
(1º Período)]="",tblHorasMar[Evento 
(2º Período)]=""),tblHorasMar[Horas Trabalhadas Além Jornada],""),"")</f>
        <v/>
      </c>
      <c r="R11" s="14" t="str">
        <f>IF(tblHorasMar[Jornada Diária]&lt;&gt;"",IF((N(tblHorasMar[Jornada Diária])-ABS(N(tblHorasMar[Horas Trabalhadas Além Jornada])))=0,1,""),"")</f>
        <v/>
      </c>
      <c r="S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>
        <f t="shared" si="0"/>
        <v>0</v>
      </c>
      <c r="Q12" s="14" t="str">
        <f>IF(tblHorasMar[Horas Trabalhadas Além Jornada]&lt;0,IF(OR(tblHorasMar[Evento 
(1º Período)]="",tblHorasMar[Evento 
(2º Período)]=""),tblHorasMar[Horas Trabalhadas Além Jornada],""),"")</f>
        <v/>
      </c>
      <c r="R12" s="14" t="str">
        <f>IF(tblHorasMar[Jornada Diária]&lt;&gt;"",IF((N(tblHorasMar[Jornada Diária])-ABS(N(tblHorasMar[Horas Trabalhadas Além Jornada])))=0,1,""),"")</f>
        <v/>
      </c>
      <c r="S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>
        <f t="shared" si="0"/>
        <v>0</v>
      </c>
      <c r="Q13" s="14" t="str">
        <f>IF(tblHorasMar[Horas Trabalhadas Além Jornada]&lt;0,IF(OR(tblHorasMar[Evento 
(1º Período)]="",tblHorasMar[Evento 
(2º Período)]=""),tblHorasMar[Horas Trabalhadas Além Jornada],""),"")</f>
        <v/>
      </c>
      <c r="R13" s="14" t="str">
        <f>IF(tblHorasMar[Jornada Diária]&lt;&gt;"",IF((N(tblHorasMar[Jornada Diária])-ABS(N(tblHorasMar[Horas Trabalhadas Além Jornada])))=0,1,""),"")</f>
        <v/>
      </c>
      <c r="S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>
        <f t="shared" si="0"/>
        <v>0</v>
      </c>
      <c r="Q14" s="14" t="str">
        <f>IF(tblHorasMar[Horas Trabalhadas Além Jornada]&lt;0,IF(OR(tblHorasMar[Evento 
(1º Período)]="",tblHorasMar[Evento 
(2º Período)]=""),tblHorasMar[Horas Trabalhadas Além Jornada],""),"")</f>
        <v/>
      </c>
      <c r="R14" s="14" t="str">
        <f>IF(tblHorasMar[Jornada Diária]&lt;&gt;"",IF((N(tblHorasMar[Jornada Diária])-ABS(N(tblHorasMar[Horas Trabalhadas Além Jornada])))=0,1,""),"")</f>
        <v/>
      </c>
      <c r="S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>
        <f t="shared" si="0"/>
        <v>0</v>
      </c>
      <c r="Q15" s="14" t="str">
        <f>IF(tblHorasMar[Horas Trabalhadas Além Jornada]&lt;0,IF(OR(tblHorasMar[Evento 
(1º Período)]="",tblHorasMar[Evento 
(2º Período)]=""),tblHorasMar[Horas Trabalhadas Além Jornada],""),"")</f>
        <v/>
      </c>
      <c r="R15" s="14" t="str">
        <f>IF(tblHorasMar[Jornada Diária]&lt;&gt;"",IF((N(tblHorasMar[Jornada Diária])-ABS(N(tblHorasMar[Horas Trabalhadas Além Jornada])))=0,1,""),"")</f>
        <v/>
      </c>
      <c r="S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>
        <f t="shared" si="0"/>
        <v>0</v>
      </c>
      <c r="Q16" s="14" t="str">
        <f>IF(tblHorasMar[Horas Trabalhadas Além Jornada]&lt;0,IF(OR(tblHorasMar[Evento 
(1º Período)]="",tblHorasMar[Evento 
(2º Período)]=""),tblHorasMar[Horas Trabalhadas Além Jornada],""),"")</f>
        <v/>
      </c>
      <c r="R16" s="14" t="str">
        <f>IF(tblHorasMar[Jornada Diária]&lt;&gt;"",IF((N(tblHorasMar[Jornada Diária])-ABS(N(tblHorasMar[Horas Trabalhadas Além Jornada])))=0,1,""),"")</f>
        <v/>
      </c>
      <c r="S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>
        <f t="shared" si="0"/>
        <v>0</v>
      </c>
      <c r="Q17" s="14" t="str">
        <f>IF(tblHorasMar[Horas Trabalhadas Além Jornada]&lt;0,IF(OR(tblHorasMar[Evento 
(1º Período)]="",tblHorasMar[Evento 
(2º Período)]=""),tblHorasMar[Horas Trabalhadas Além Jornada],""),"")</f>
        <v/>
      </c>
      <c r="R17" s="14" t="str">
        <f>IF(tblHorasMar[Jornada Diária]&lt;&gt;"",IF((N(tblHorasMar[Jornada Diária])-ABS(N(tblHorasMar[Horas Trabalhadas Além Jornada])))=0,1,""),"")</f>
        <v/>
      </c>
      <c r="S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>
        <f t="shared" si="0"/>
        <v>0</v>
      </c>
      <c r="Q18" s="14" t="str">
        <f>IF(tblHorasMar[Horas Trabalhadas Além Jornada]&lt;0,IF(OR(tblHorasMar[Evento 
(1º Período)]="",tblHorasMar[Evento 
(2º Período)]=""),tblHorasMar[Horas Trabalhadas Além Jornada],""),"")</f>
        <v/>
      </c>
      <c r="R18" s="14" t="str">
        <f>IF(tblHorasMar[Jornada Diária]&lt;&gt;"",IF((N(tblHorasMar[Jornada Diária])-ABS(N(tblHorasMar[Horas Trabalhadas Além Jornada])))=0,1,""),"")</f>
        <v/>
      </c>
      <c r="S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>
        <f t="shared" si="0"/>
        <v>0</v>
      </c>
      <c r="Q19" s="14" t="str">
        <f>IF(tblHorasMar[Horas Trabalhadas Além Jornada]&lt;0,IF(OR(tblHorasMar[Evento 
(1º Período)]="",tblHorasMar[Evento 
(2º Período)]=""),tblHorasMar[Horas Trabalhadas Além Jornada],""),"")</f>
        <v/>
      </c>
      <c r="R19" s="14" t="str">
        <f>IF(tblHorasMar[Jornada Diária]&lt;&gt;"",IF((N(tblHorasMar[Jornada Diária])-ABS(N(tblHorasMar[Horas Trabalhadas Além Jornada])))=0,1,""),"")</f>
        <v/>
      </c>
      <c r="S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>
        <f t="shared" si="0"/>
        <v>0</v>
      </c>
      <c r="Q20" s="14" t="str">
        <f>IF(tblHorasMar[Horas Trabalhadas Além Jornada]&lt;0,IF(OR(tblHorasMar[Evento 
(1º Período)]="",tblHorasMar[Evento 
(2º Período)]=""),tblHorasMar[Horas Trabalhadas Além Jornada],""),"")</f>
        <v/>
      </c>
      <c r="R20" s="14" t="str">
        <f>IF(tblHorasMar[Jornada Diária]&lt;&gt;"",IF((N(tblHorasMar[Jornada Diária])-ABS(N(tblHorasMar[Horas Trabalhadas Além Jornada])))=0,1,""),"")</f>
        <v/>
      </c>
      <c r="S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>
        <f t="shared" si="0"/>
        <v>0</v>
      </c>
      <c r="Q21" s="14" t="str">
        <f>IF(tblHorasMar[Horas Trabalhadas Além Jornada]&lt;0,IF(OR(tblHorasMar[Evento 
(1º Período)]="",tblHorasMar[Evento 
(2º Período)]=""),tblHorasMar[Horas Trabalhadas Além Jornada],""),"")</f>
        <v/>
      </c>
      <c r="R21" s="14" t="str">
        <f>IF(tblHorasMar[Jornada Diária]&lt;&gt;"",IF((N(tblHorasMar[Jornada Diária])-ABS(N(tblHorasMar[Horas Trabalhadas Além Jornada])))=0,1,""),"")</f>
        <v/>
      </c>
      <c r="S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>
        <f t="shared" si="0"/>
        <v>0</v>
      </c>
      <c r="Q22" s="14" t="str">
        <f>IF(tblHorasMar[Horas Trabalhadas Além Jornada]&lt;0,IF(OR(tblHorasMar[Evento 
(1º Período)]="",tblHorasMar[Evento 
(2º Período)]=""),tblHorasMar[Horas Trabalhadas Além Jornada],""),"")</f>
        <v/>
      </c>
      <c r="R22" s="14" t="str">
        <f>IF(tblHorasMar[Jornada Diária]&lt;&gt;"",IF((N(tblHorasMar[Jornada Diária])-ABS(N(tblHorasMar[Horas Trabalhadas Além Jornada])))=0,1,""),"")</f>
        <v/>
      </c>
      <c r="S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>
        <f t="shared" si="0"/>
        <v>0</v>
      </c>
      <c r="Q23" s="14" t="str">
        <f>IF(tblHorasMar[Horas Trabalhadas Além Jornada]&lt;0,IF(OR(tblHorasMar[Evento 
(1º Período)]="",tblHorasMar[Evento 
(2º Período)]=""),tblHorasMar[Horas Trabalhadas Além Jornada],""),"")</f>
        <v/>
      </c>
      <c r="R23" s="14" t="str">
        <f>IF(tblHorasMar[Jornada Diária]&lt;&gt;"",IF((N(tblHorasMar[Jornada Diária])-ABS(N(tblHorasMar[Horas Trabalhadas Além Jornada])))=0,1,""),"")</f>
        <v/>
      </c>
      <c r="S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>
        <f t="shared" si="0"/>
        <v>0</v>
      </c>
      <c r="Q24" s="14" t="str">
        <f>IF(tblHorasMar[Horas Trabalhadas Além Jornada]&lt;0,IF(OR(tblHorasMar[Evento 
(1º Período)]="",tblHorasMar[Evento 
(2º Período)]=""),tblHorasMar[Horas Trabalhadas Além Jornada],""),"")</f>
        <v/>
      </c>
      <c r="R24" s="14" t="str">
        <f>IF(tblHorasMar[Jornada Diária]&lt;&gt;"",IF((N(tblHorasMar[Jornada Diária])-ABS(N(tblHorasMar[Horas Trabalhadas Além Jornada])))=0,1,""),"")</f>
        <v/>
      </c>
      <c r="S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>
        <f t="shared" si="0"/>
        <v>0</v>
      </c>
      <c r="Q25" s="14" t="str">
        <f>IF(tblHorasMar[Horas Trabalhadas Além Jornada]&lt;0,IF(OR(tblHorasMar[Evento 
(1º Período)]="",tblHorasMar[Evento 
(2º Período)]=""),tblHorasMar[Horas Trabalhadas Além Jornada],""),"")</f>
        <v/>
      </c>
      <c r="R25" s="14" t="str">
        <f>IF(tblHorasMar[Jornada Diária]&lt;&gt;"",IF((N(tblHorasMar[Jornada Diária])-ABS(N(tblHorasMar[Horas Trabalhadas Além Jornada])))=0,1,""),"")</f>
        <v/>
      </c>
      <c r="S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>
        <f t="shared" si="0"/>
        <v>0</v>
      </c>
      <c r="Q26" s="14" t="str">
        <f>IF(tblHorasMar[Horas Trabalhadas Além Jornada]&lt;0,IF(OR(tblHorasMar[Evento 
(1º Período)]="",tblHorasMar[Evento 
(2º Período)]=""),tblHorasMar[Horas Trabalhadas Além Jornada],""),"")</f>
        <v/>
      </c>
      <c r="R26" s="14" t="str">
        <f>IF(tblHorasMar[Jornada Diária]&lt;&gt;"",IF((N(tblHorasMar[Jornada Diária])-ABS(N(tblHorasMar[Horas Trabalhadas Além Jornada])))=0,1,""),"")</f>
        <v/>
      </c>
      <c r="S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>
        <f t="shared" si="0"/>
        <v>0</v>
      </c>
      <c r="Q27" s="14" t="str">
        <f>IF(tblHorasMar[Horas Trabalhadas Além Jornada]&lt;0,IF(OR(tblHorasMar[Evento 
(1º Período)]="",tblHorasMar[Evento 
(2º Período)]=""),tblHorasMar[Horas Trabalhadas Além Jornada],""),"")</f>
        <v/>
      </c>
      <c r="R27" s="14" t="str">
        <f>IF(tblHorasMar[Jornada Diária]&lt;&gt;"",IF((N(tblHorasMar[Jornada Diária])-ABS(N(tblHorasMar[Horas Trabalhadas Além Jornada])))=0,1,""),"")</f>
        <v/>
      </c>
      <c r="S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>
        <f t="shared" si="0"/>
        <v>0</v>
      </c>
      <c r="Q28" s="14" t="str">
        <f>IF(tblHorasMar[Horas Trabalhadas Além Jornada]&lt;0,IF(OR(tblHorasMar[Evento 
(1º Período)]="",tblHorasMar[Evento 
(2º Período)]=""),tblHorasMar[Horas Trabalhadas Além Jornada],""),"")</f>
        <v/>
      </c>
      <c r="R28" s="14" t="str">
        <f>IF(tblHorasMar[Jornada Diária]&lt;&gt;"",IF((N(tblHorasMar[Jornada Diária])-ABS(N(tblHorasMar[Horas Trabalhadas Além Jornada])))=0,1,""),"")</f>
        <v/>
      </c>
      <c r="S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>
        <f t="shared" si="0"/>
        <v>0</v>
      </c>
      <c r="Q29" s="14" t="str">
        <f>IF(tblHorasMar[Horas Trabalhadas Além Jornada]&lt;0,IF(OR(tblHorasMar[Evento 
(1º Período)]="",tblHorasMar[Evento 
(2º Período)]=""),tblHorasMar[Horas Trabalhadas Além Jornada],""),"")</f>
        <v/>
      </c>
      <c r="R29" s="14" t="str">
        <f>IF(tblHorasMar[Jornada Diária]&lt;&gt;"",IF((N(tblHorasMar[Jornada Diária])-ABS(N(tblHorasMar[Horas Trabalhadas Além Jornada])))=0,1,""),"")</f>
        <v/>
      </c>
      <c r="S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>
        <f t="shared" si="0"/>
        <v>0</v>
      </c>
      <c r="Q30" s="14" t="str">
        <f>IF(tblHorasMar[Horas Trabalhadas Além Jornada]&lt;0,IF(OR(tblHorasMar[Evento 
(1º Período)]="",tblHorasMar[Evento 
(2º Período)]=""),tblHorasMar[Horas Trabalhadas Além Jornada],""),"")</f>
        <v/>
      </c>
      <c r="R30" s="14" t="str">
        <f>IF(tblHorasMar[Jornada Diária]&lt;&gt;"",IF((N(tblHorasMar[Jornada Diária])-ABS(N(tblHorasMar[Horas Trabalhadas Além Jornada])))=0,1,""),"")</f>
        <v/>
      </c>
      <c r="S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>
        <f t="shared" si="0"/>
        <v>0</v>
      </c>
      <c r="Q31" s="14" t="str">
        <f>IF(tblHorasMar[Horas Trabalhadas Além Jornada]&lt;0,IF(OR(tblHorasMar[Evento 
(1º Período)]="",tblHorasMar[Evento 
(2º Período)]=""),tblHorasMar[Horas Trabalhadas Além Jornada],""),"")</f>
        <v/>
      </c>
      <c r="R31" s="14" t="str">
        <f>IF(tblHorasMar[Jornada Diária]&lt;&gt;"",IF((N(tblHorasMar[Jornada Diária])-ABS(N(tblHorasMar[Horas Trabalhadas Além Jornada])))=0,1,""),"")</f>
        <v/>
      </c>
      <c r="S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>
        <f t="shared" si="0"/>
        <v>0</v>
      </c>
      <c r="Q32" s="14" t="str">
        <f>IF(tblHorasMar[Horas Trabalhadas Além Jornada]&lt;0,IF(OR(tblHorasMar[Evento 
(1º Período)]="",tblHorasMar[Evento 
(2º Período)]=""),tblHorasMar[Horas Trabalhadas Além Jornada],""),"")</f>
        <v/>
      </c>
      <c r="R32" s="14" t="str">
        <f>IF(tblHorasMar[Jornada Diária]&lt;&gt;"",IF((N(tblHorasMar[Jornada Diária])-ABS(N(tblHorasMar[Horas Trabalhadas Além Jornada])))=0,1,""),"")</f>
        <v/>
      </c>
      <c r="S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>
        <f t="shared" si="0"/>
        <v>0</v>
      </c>
      <c r="Q33" s="14" t="str">
        <f>IF(tblHorasMar[Horas Trabalhadas Além Jornada]&lt;0,IF(OR(tblHorasMar[Evento 
(1º Período)]="",tblHorasMar[Evento 
(2º Período)]=""),tblHorasMar[Horas Trabalhadas Além Jornada],""),"")</f>
        <v/>
      </c>
      <c r="R33" s="14" t="str">
        <f>IF(tblHorasMar[Jornada Diária]&lt;&gt;"",IF((N(tblHorasMar[Jornada Diária])-ABS(N(tblHorasMar[Horas Trabalhadas Além Jornada])))=0,1,""),"")</f>
        <v/>
      </c>
      <c r="S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>
        <f t="shared" si="0"/>
        <v>0</v>
      </c>
      <c r="Q34" s="14" t="str">
        <f>IF(tblHorasMar[Horas Trabalhadas Além Jornada]&lt;0,IF(OR(tblHorasMar[Evento 
(1º Período)]="",tblHorasMar[Evento 
(2º Período)]=""),tblHorasMar[Horas Trabalhadas Além Jornada],""),"")</f>
        <v/>
      </c>
      <c r="R34" s="14" t="str">
        <f>IF(tblHorasMar[Jornada Diária]&lt;&gt;"",IF((N(tblHorasMar[Jornada Diária])-ABS(N(tblHorasMar[Horas Trabalhadas Além Jornada])))=0,1,""),"")</f>
        <v/>
      </c>
      <c r="S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>
        <f t="shared" si="0"/>
        <v>0</v>
      </c>
      <c r="Q35" s="14" t="str">
        <f>IF(tblHorasMar[Horas Trabalhadas Além Jornada]&lt;0,IF(OR(tblHorasMar[Evento 
(1º Período)]="",tblHorasMar[Evento 
(2º Período)]=""),tblHorasMar[Horas Trabalhadas Além Jornada],""),"")</f>
        <v/>
      </c>
      <c r="R35" s="14" t="str">
        <f>IF(tblHorasMar[Jornada Diária]&lt;&gt;"",IF((N(tblHorasMar[Jornada Diária])-ABS(N(tblHorasMar[Horas Trabalhadas Além Jornada])))=0,1,""),"")</f>
        <v/>
      </c>
      <c r="S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>
        <f t="shared" si="0"/>
        <v>0</v>
      </c>
      <c r="Q36" s="14" t="str">
        <f>IF(tblHorasMar[Horas Trabalhadas Além Jornada]&lt;0,IF(OR(tblHorasMar[Evento 
(1º Período)]="",tblHorasMar[Evento 
(2º Período)]=""),tblHorasMar[Horas Trabalhadas Além Jornada],""),"")</f>
        <v/>
      </c>
      <c r="R36" s="14" t="str">
        <f>IF(tblHorasMar[Jornada Diária]&lt;&gt;"",IF((N(tblHorasMar[Jornada Diária])-ABS(N(tblHorasMar[Horas Trabalhadas Além Jornada])))=0,1,""),"")</f>
        <v/>
      </c>
      <c r="S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>
        <f t="shared" si="0"/>
        <v>0</v>
      </c>
      <c r="Q37" s="14" t="str">
        <f>IF(tblHorasMar[Horas Trabalhadas Além Jornada]&lt;0,IF(OR(tblHorasMar[Evento 
(1º Período)]="",tblHorasMar[Evento 
(2º Período)]=""),tblHorasMar[Horas Trabalhadas Além Jornada],""),"")</f>
        <v/>
      </c>
      <c r="R37" s="14" t="str">
        <f>IF(tblHorasMar[Jornada Diária]&lt;&gt;"",IF((N(tblHorasMar[Jornada Diária])-ABS(N(tblHorasMar[Horas Trabalhadas Além Jornada])))=0,1,""),"")</f>
        <v/>
      </c>
      <c r="S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>
        <f t="shared" si="0"/>
        <v>0</v>
      </c>
      <c r="Q38" s="14" t="str">
        <f>IF(tblHorasMar[Horas Trabalhadas Além Jornada]&lt;0,IF(OR(tblHorasMar[Evento 
(1º Período)]="",tblHorasMar[Evento 
(2º Período)]=""),tblHorasMar[Horas Trabalhadas Além Jornada],""),"")</f>
        <v/>
      </c>
      <c r="R38" s="14" t="str">
        <f>IF(tblHorasMar[Jornada Diária]&lt;&gt;"",IF((N(tblHorasMar[Jornada Diária])-ABS(N(tblHorasMar[Horas Trabalhadas Além Jornada])))=0,1,""),"")</f>
        <v/>
      </c>
      <c r="S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IF(VLOOKUP(tblHorasMar[Dia],tblDiaUtil[[Abreviatura]:[Total Jornada]],5,FALSE)&lt;&gt;"",VLOOKUP(tblHorasMar[Dia],tblDiaUtil[[Abreviatura]:[Total Jornada]],5,FALSE),JORNADA),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
-IF(VLOOKUP(tblHorasMar[Dia],tblDiaUtil[[Abreviatura]:[Total Jornada]],5,FALSE)&lt;&gt;"",VLOOKUP(tblHorasMar[Dia],tblDiaUtil[[Abreviatura]:[Total Jornada]],5,FALSE),JORNADA),
IF(IF(ISERROR(VLOOKUP(tblHorasMar[Evento 
(1º Período)],tblEvento[[Evento]:[Libera o Período]],4,FALSE)),FALSE,
IF(VLOOKUP(tblHorasMar[Evento 
(1º Período)],tblEvento[[Evento]:[Libera o Período]],4,FALSE)="Não",TRUE,FALSE)
),
-IF(VLOOKUP(tblHorasMar[Dia],tblDiaUtil[[Abreviatura]:[1º Período]],3,FALSE)&lt;&gt;"",VLOOKUP(tblHorasMar[Dia],tblDiaUtil[[Abreviatura]:[1º Período]],3,FALSE),JORNADA_PERIODO_1),
IF(IF(ISERROR(VLOOKUP(tblHorasMar[Evento 
(2º Período)],tblEvento[[Evento]:[Libera o Período]],4,FALSE)),FALSE,IF(VLOOKUP(tblHorasMar[Evento 
(2º Período)],tblEvento[[Evento]:[Libera o Período]],4,FALSE)="Não",TRUE,FALSE)),
-IF(VLOOKUP(tblHorasMar[Dia],tblDiaUtil[[Abreviatura]:[2º Período]],4,FALSE)&lt;&gt;"",VLOOKUP(tblHorasMar[Dia],tblDiaUtil[[Abreviatura]:[2º Período]],4,FALSE),JORNADA_PERIODO_2),0))))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>
        <f t="shared" si="0"/>
        <v>0</v>
      </c>
      <c r="Q39" s="14" t="str">
        <f>IF(tblHorasMar[Horas Trabalhadas Além Jornada]&lt;0,IF(OR(tblHorasMar[Evento 
(1º Período)]="",tblHorasMar[Evento 
(2º Período)]=""),tblHorasMar[Horas Trabalhadas Além Jornada],""),"")</f>
        <v/>
      </c>
      <c r="R39" s="14" t="str">
        <f>IF(tblHorasMar[Jornada Diária]&lt;&gt;"",IF((N(tblHorasMar[Jornada Diária])-ABS(N(tblHorasMar[Horas Trabalhadas Além Jornada])))=0,1,""),"")</f>
        <v/>
      </c>
      <c r="S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T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U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4kaG1qKEk9aFdUclVLdGNrX5eCTP9IdFR/DASv9/B0pX39VmzyQXWhhl4RO4FVwYAtRNZeP0G/mPBJJ5raYqvg==" saltValue="4+WSKpMx34YI8ikjApbuX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E4C2BFA4-DB4E-45F6-A2C0-EAA861F2B1F5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Q9:U39</xm:sqref>
        </x14:conditionalFormatting>
        <x14:conditionalFormatting xmlns:xm="http://schemas.microsoft.com/office/excel/2006/main">
          <x14:cfRule type="expression" priority="12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C8F1A40A-AC09-4823-8F21-79150CAD3DE2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7F279991-609A-4DA3-997E-2474E6746B1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2FC4B283-BAA8-41A4-855B-797F4EECEF4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1B7F0661-598B-41FB-892D-D50078AD4A22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A5B383A8-742E-4462-AF18-34A5D583803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4A6BCECA-4F6C-4FE0-ACE4-62BF09C84FE0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66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IF(CONT_MES_ANTERIOR="Sim",Março!O39,0)</f>
        <v>0</v>
      </c>
      <c r="P7" s="45">
        <f>SUM(tblHorasAbr[Atrasos
(horas)])</f>
        <v>0</v>
      </c>
      <c r="Q7" s="45">
        <f>SUM(tblHorasAbr[Atrasos
(horas)])</f>
        <v>0</v>
      </c>
      <c r="R7" s="46">
        <f>SUM(tblHorasAbr[Faltas
(dias)])</f>
        <v>0</v>
      </c>
      <c r="S7" s="45">
        <f>SUM(tblHorasAbr[Hora Extra Normal])</f>
        <v>0</v>
      </c>
      <c r="T7" s="45">
        <f>SUM(tblHorasAbr[Hora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>
        <f t="shared" ref="P9:P39" si="0">G9-F9</f>
        <v>0</v>
      </c>
      <c r="Q9" s="14" t="str">
        <f>IF(tblHorasAbr[Horas Trabalhadas Além Jornada]&lt;0,IF(OR(tblHorasAbr[Evento 
(1º Período)]="",tblHorasAbr[Evento 
(2º Período)]=""),tblHorasAbr[Horas Trabalhadas Além Jornada],""),"")</f>
        <v/>
      </c>
      <c r="R9" s="14" t="str">
        <f>IF(tblHorasAbr[Jornada Diária]&lt;&gt;"",IF((N(tblHorasAbr[Jornada Diária])-ABS(N(tblHorasAbr[Horas Trabalhadas Além Jornada])))=0,1,""),"")</f>
        <v/>
      </c>
      <c r="S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>
        <f t="shared" si="0"/>
        <v>0</v>
      </c>
      <c r="Q10" s="14" t="str">
        <f>IF(tblHorasAbr[Horas Trabalhadas Além Jornada]&lt;0,IF(OR(tblHorasAbr[Evento 
(1º Período)]="",tblHorasAbr[Evento 
(2º Período)]=""),tblHorasAbr[Horas Trabalhadas Além Jornada],""),"")</f>
        <v/>
      </c>
      <c r="R10" s="14" t="str">
        <f>IF(tblHorasAbr[Jornada Diária]&lt;&gt;"",IF((N(tblHorasAbr[Jornada Diária])-ABS(N(tblHorasAbr[Horas Trabalhadas Além Jornada])))=0,1,""),"")</f>
        <v/>
      </c>
      <c r="S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>
        <f t="shared" si="0"/>
        <v>0</v>
      </c>
      <c r="Q11" s="14" t="str">
        <f>IF(tblHorasAbr[Horas Trabalhadas Além Jornada]&lt;0,IF(OR(tblHorasAbr[Evento 
(1º Período)]="",tblHorasAbr[Evento 
(2º Período)]=""),tblHorasAbr[Horas Trabalhadas Além Jornada],""),"")</f>
        <v/>
      </c>
      <c r="R11" s="14" t="str">
        <f>IF(tblHorasAbr[Jornada Diária]&lt;&gt;"",IF((N(tblHorasAbr[Jornada Diária])-ABS(N(tblHorasAbr[Horas Trabalhadas Além Jornada])))=0,1,""),"")</f>
        <v/>
      </c>
      <c r="S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>
        <f t="shared" si="0"/>
        <v>0</v>
      </c>
      <c r="Q12" s="14" t="str">
        <f>IF(tblHorasAbr[Horas Trabalhadas Além Jornada]&lt;0,IF(OR(tblHorasAbr[Evento 
(1º Período)]="",tblHorasAbr[Evento 
(2º Período)]=""),tblHorasAbr[Horas Trabalhadas Além Jornada],""),"")</f>
        <v/>
      </c>
      <c r="R12" s="14" t="str">
        <f>IF(tblHorasAbr[Jornada Diária]&lt;&gt;"",IF((N(tblHorasAbr[Jornada Diária])-ABS(N(tblHorasAbr[Horas Trabalhadas Além Jornada])))=0,1,""),"")</f>
        <v/>
      </c>
      <c r="S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>
        <f t="shared" si="0"/>
        <v>0</v>
      </c>
      <c r="Q13" s="14" t="str">
        <f>IF(tblHorasAbr[Horas Trabalhadas Além Jornada]&lt;0,IF(OR(tblHorasAbr[Evento 
(1º Período)]="",tblHorasAbr[Evento 
(2º Período)]=""),tblHorasAbr[Horas Trabalhadas Além Jornada],""),"")</f>
        <v/>
      </c>
      <c r="R13" s="14" t="str">
        <f>IF(tblHorasAbr[Jornada Diária]&lt;&gt;"",IF((N(tblHorasAbr[Jornada Diária])-ABS(N(tblHorasAbr[Horas Trabalhadas Além Jornada])))=0,1,""),"")</f>
        <v/>
      </c>
      <c r="S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>
        <f t="shared" si="0"/>
        <v>0</v>
      </c>
      <c r="Q14" s="14" t="str">
        <f>IF(tblHorasAbr[Horas Trabalhadas Além Jornada]&lt;0,IF(OR(tblHorasAbr[Evento 
(1º Período)]="",tblHorasAbr[Evento 
(2º Período)]=""),tblHorasAbr[Horas Trabalhadas Além Jornada],""),"")</f>
        <v/>
      </c>
      <c r="R14" s="14" t="str">
        <f>IF(tblHorasAbr[Jornada Diária]&lt;&gt;"",IF((N(tblHorasAbr[Jornada Diária])-ABS(N(tblHorasAbr[Horas Trabalhadas Além Jornada])))=0,1,""),"")</f>
        <v/>
      </c>
      <c r="S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>
        <f t="shared" si="0"/>
        <v>0</v>
      </c>
      <c r="Q15" s="14" t="str">
        <f>IF(tblHorasAbr[Horas Trabalhadas Além Jornada]&lt;0,IF(OR(tblHorasAbr[Evento 
(1º Período)]="",tblHorasAbr[Evento 
(2º Período)]=""),tblHorasAbr[Horas Trabalhadas Além Jornada],""),"")</f>
        <v/>
      </c>
      <c r="R15" s="14" t="str">
        <f>IF(tblHorasAbr[Jornada Diária]&lt;&gt;"",IF((N(tblHorasAbr[Jornada Diária])-ABS(N(tblHorasAbr[Horas Trabalhadas Além Jornada])))=0,1,""),"")</f>
        <v/>
      </c>
      <c r="S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>
        <f t="shared" si="0"/>
        <v>0</v>
      </c>
      <c r="Q16" s="14" t="str">
        <f>IF(tblHorasAbr[Horas Trabalhadas Além Jornada]&lt;0,IF(OR(tblHorasAbr[Evento 
(1º Período)]="",tblHorasAbr[Evento 
(2º Período)]=""),tblHorasAbr[Horas Trabalhadas Além Jornada],""),"")</f>
        <v/>
      </c>
      <c r="R16" s="14" t="str">
        <f>IF(tblHorasAbr[Jornada Diária]&lt;&gt;"",IF((N(tblHorasAbr[Jornada Diária])-ABS(N(tblHorasAbr[Horas Trabalhadas Além Jornada])))=0,1,""),"")</f>
        <v/>
      </c>
      <c r="S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>
        <f t="shared" si="0"/>
        <v>0</v>
      </c>
      <c r="Q17" s="14" t="str">
        <f>IF(tblHorasAbr[Horas Trabalhadas Além Jornada]&lt;0,IF(OR(tblHorasAbr[Evento 
(1º Período)]="",tblHorasAbr[Evento 
(2º Período)]=""),tblHorasAbr[Horas Trabalhadas Além Jornada],""),"")</f>
        <v/>
      </c>
      <c r="R17" s="14" t="str">
        <f>IF(tblHorasAbr[Jornada Diária]&lt;&gt;"",IF((N(tblHorasAbr[Jornada Diária])-ABS(N(tblHorasAbr[Horas Trabalhadas Além Jornada])))=0,1,""),"")</f>
        <v/>
      </c>
      <c r="S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>
        <f t="shared" si="0"/>
        <v>0</v>
      </c>
      <c r="Q18" s="14" t="str">
        <f>IF(tblHorasAbr[Horas Trabalhadas Além Jornada]&lt;0,IF(OR(tblHorasAbr[Evento 
(1º Período)]="",tblHorasAbr[Evento 
(2º Período)]=""),tblHorasAbr[Horas Trabalhadas Além Jornada],""),"")</f>
        <v/>
      </c>
      <c r="R18" s="14" t="str">
        <f>IF(tblHorasAbr[Jornada Diária]&lt;&gt;"",IF((N(tblHorasAbr[Jornada Diária])-ABS(N(tblHorasAbr[Horas Trabalhadas Além Jornada])))=0,1,""),"")</f>
        <v/>
      </c>
      <c r="S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>
        <f t="shared" si="0"/>
        <v>0</v>
      </c>
      <c r="Q19" s="14" t="str">
        <f>IF(tblHorasAbr[Horas Trabalhadas Além Jornada]&lt;0,IF(OR(tblHorasAbr[Evento 
(1º Período)]="",tblHorasAbr[Evento 
(2º Período)]=""),tblHorasAbr[Horas Trabalhadas Além Jornada],""),"")</f>
        <v/>
      </c>
      <c r="R19" s="14" t="str">
        <f>IF(tblHorasAbr[Jornada Diária]&lt;&gt;"",IF((N(tblHorasAbr[Jornada Diária])-ABS(N(tblHorasAbr[Horas Trabalhadas Além Jornada])))=0,1,""),"")</f>
        <v/>
      </c>
      <c r="S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>
        <f t="shared" si="0"/>
        <v>0</v>
      </c>
      <c r="Q20" s="14" t="str">
        <f>IF(tblHorasAbr[Horas Trabalhadas Além Jornada]&lt;0,IF(OR(tblHorasAbr[Evento 
(1º Período)]="",tblHorasAbr[Evento 
(2º Período)]=""),tblHorasAbr[Horas Trabalhadas Além Jornada],""),"")</f>
        <v/>
      </c>
      <c r="R20" s="14" t="str">
        <f>IF(tblHorasAbr[Jornada Diária]&lt;&gt;"",IF((N(tblHorasAbr[Jornada Diária])-ABS(N(tblHorasAbr[Horas Trabalhadas Além Jornada])))=0,1,""),"")</f>
        <v/>
      </c>
      <c r="S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>
        <f t="shared" si="0"/>
        <v>0</v>
      </c>
      <c r="Q21" s="14" t="str">
        <f>IF(tblHorasAbr[Horas Trabalhadas Além Jornada]&lt;0,IF(OR(tblHorasAbr[Evento 
(1º Período)]="",tblHorasAbr[Evento 
(2º Período)]=""),tblHorasAbr[Horas Trabalhadas Além Jornada],""),"")</f>
        <v/>
      </c>
      <c r="R21" s="14" t="str">
        <f>IF(tblHorasAbr[Jornada Diária]&lt;&gt;"",IF((N(tblHorasAbr[Jornada Diária])-ABS(N(tblHorasAbr[Horas Trabalhadas Além Jornada])))=0,1,""),"")</f>
        <v/>
      </c>
      <c r="S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>
        <f t="shared" si="0"/>
        <v>0</v>
      </c>
      <c r="Q22" s="14" t="str">
        <f>IF(tblHorasAbr[Horas Trabalhadas Além Jornada]&lt;0,IF(OR(tblHorasAbr[Evento 
(1º Período)]="",tblHorasAbr[Evento 
(2º Período)]=""),tblHorasAbr[Horas Trabalhadas Além Jornada],""),"")</f>
        <v/>
      </c>
      <c r="R22" s="14" t="str">
        <f>IF(tblHorasAbr[Jornada Diária]&lt;&gt;"",IF((N(tblHorasAbr[Jornada Diária])-ABS(N(tblHorasAbr[Horas Trabalhadas Além Jornada])))=0,1,""),"")</f>
        <v/>
      </c>
      <c r="S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>
        <f t="shared" si="0"/>
        <v>0</v>
      </c>
      <c r="Q23" s="14" t="str">
        <f>IF(tblHorasAbr[Horas Trabalhadas Além Jornada]&lt;0,IF(OR(tblHorasAbr[Evento 
(1º Período)]="",tblHorasAbr[Evento 
(2º Período)]=""),tblHorasAbr[Horas Trabalhadas Além Jornada],""),"")</f>
        <v/>
      </c>
      <c r="R23" s="14" t="str">
        <f>IF(tblHorasAbr[Jornada Diária]&lt;&gt;"",IF((N(tblHorasAbr[Jornada Diária])-ABS(N(tblHorasAbr[Horas Trabalhadas Além Jornada])))=0,1,""),"")</f>
        <v/>
      </c>
      <c r="S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>
        <f t="shared" si="0"/>
        <v>0</v>
      </c>
      <c r="Q24" s="14" t="str">
        <f>IF(tblHorasAbr[Horas Trabalhadas Além Jornada]&lt;0,IF(OR(tblHorasAbr[Evento 
(1º Período)]="",tblHorasAbr[Evento 
(2º Período)]=""),tblHorasAbr[Horas Trabalhadas Além Jornada],""),"")</f>
        <v/>
      </c>
      <c r="R24" s="14" t="str">
        <f>IF(tblHorasAbr[Jornada Diária]&lt;&gt;"",IF((N(tblHorasAbr[Jornada Diária])-ABS(N(tblHorasAbr[Horas Trabalhadas Além Jornada])))=0,1,""),"")</f>
        <v/>
      </c>
      <c r="S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>
        <f t="shared" si="0"/>
        <v>0</v>
      </c>
      <c r="Q25" s="14" t="str">
        <f>IF(tblHorasAbr[Horas Trabalhadas Além Jornada]&lt;0,IF(OR(tblHorasAbr[Evento 
(1º Período)]="",tblHorasAbr[Evento 
(2º Período)]=""),tblHorasAbr[Horas Trabalhadas Além Jornada],""),"")</f>
        <v/>
      </c>
      <c r="R25" s="14" t="str">
        <f>IF(tblHorasAbr[Jornada Diária]&lt;&gt;"",IF((N(tblHorasAbr[Jornada Diária])-ABS(N(tblHorasAbr[Horas Trabalhadas Além Jornada])))=0,1,""),"")</f>
        <v/>
      </c>
      <c r="S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>
        <f t="shared" si="0"/>
        <v>0</v>
      </c>
      <c r="Q26" s="14" t="str">
        <f>IF(tblHorasAbr[Horas Trabalhadas Além Jornada]&lt;0,IF(OR(tblHorasAbr[Evento 
(1º Período)]="",tblHorasAbr[Evento 
(2º Período)]=""),tblHorasAbr[Horas Trabalhadas Além Jornada],""),"")</f>
        <v/>
      </c>
      <c r="R26" s="14" t="str">
        <f>IF(tblHorasAbr[Jornada Diária]&lt;&gt;"",IF((N(tblHorasAbr[Jornada Diária])-ABS(N(tblHorasAbr[Horas Trabalhadas Além Jornada])))=0,1,""),"")</f>
        <v/>
      </c>
      <c r="S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>
        <f t="shared" si="0"/>
        <v>0</v>
      </c>
      <c r="Q27" s="14" t="str">
        <f>IF(tblHorasAbr[Horas Trabalhadas Além Jornada]&lt;0,IF(OR(tblHorasAbr[Evento 
(1º Período)]="",tblHorasAbr[Evento 
(2º Período)]=""),tblHorasAbr[Horas Trabalhadas Além Jornada],""),"")</f>
        <v/>
      </c>
      <c r="R27" s="14" t="str">
        <f>IF(tblHorasAbr[Jornada Diária]&lt;&gt;"",IF((N(tblHorasAbr[Jornada Diária])-ABS(N(tblHorasAbr[Horas Trabalhadas Além Jornada])))=0,1,""),"")</f>
        <v/>
      </c>
      <c r="S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>
        <f t="shared" si="0"/>
        <v>0</v>
      </c>
      <c r="Q28" s="14" t="str">
        <f>IF(tblHorasAbr[Horas Trabalhadas Além Jornada]&lt;0,IF(OR(tblHorasAbr[Evento 
(1º Período)]="",tblHorasAbr[Evento 
(2º Período)]=""),tblHorasAbr[Horas Trabalhadas Além Jornada],""),"")</f>
        <v/>
      </c>
      <c r="R28" s="14" t="str">
        <f>IF(tblHorasAbr[Jornada Diária]&lt;&gt;"",IF((N(tblHorasAbr[Jornada Diária])-ABS(N(tblHorasAbr[Horas Trabalhadas Além Jornada])))=0,1,""),"")</f>
        <v/>
      </c>
      <c r="S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>
        <f t="shared" si="0"/>
        <v>0</v>
      </c>
      <c r="Q29" s="14" t="str">
        <f>IF(tblHorasAbr[Horas Trabalhadas Além Jornada]&lt;0,IF(OR(tblHorasAbr[Evento 
(1º Período)]="",tblHorasAbr[Evento 
(2º Período)]=""),tblHorasAbr[Horas Trabalhadas Além Jornada],""),"")</f>
        <v/>
      </c>
      <c r="R29" s="14" t="str">
        <f>IF(tblHorasAbr[Jornada Diária]&lt;&gt;"",IF((N(tblHorasAbr[Jornada Diária])-ABS(N(tblHorasAbr[Horas Trabalhadas Além Jornada])))=0,1,""),"")</f>
        <v/>
      </c>
      <c r="S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>
        <f t="shared" si="0"/>
        <v>0</v>
      </c>
      <c r="Q30" s="14" t="str">
        <f>IF(tblHorasAbr[Horas Trabalhadas Além Jornada]&lt;0,IF(OR(tblHorasAbr[Evento 
(1º Período)]="",tblHorasAbr[Evento 
(2º Período)]=""),tblHorasAbr[Horas Trabalhadas Além Jornada],""),"")</f>
        <v/>
      </c>
      <c r="R30" s="14" t="str">
        <f>IF(tblHorasAbr[Jornada Diária]&lt;&gt;"",IF((N(tblHorasAbr[Jornada Diária])-ABS(N(tblHorasAbr[Horas Trabalhadas Além Jornada])))=0,1,""),"")</f>
        <v/>
      </c>
      <c r="S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>
        <f t="shared" si="0"/>
        <v>0</v>
      </c>
      <c r="Q31" s="14" t="str">
        <f>IF(tblHorasAbr[Horas Trabalhadas Além Jornada]&lt;0,IF(OR(tblHorasAbr[Evento 
(1º Período)]="",tblHorasAbr[Evento 
(2º Período)]=""),tblHorasAbr[Horas Trabalhadas Além Jornada],""),"")</f>
        <v/>
      </c>
      <c r="R31" s="14" t="str">
        <f>IF(tblHorasAbr[Jornada Diária]&lt;&gt;"",IF((N(tblHorasAbr[Jornada Diária])-ABS(N(tblHorasAbr[Horas Trabalhadas Além Jornada])))=0,1,""),"")</f>
        <v/>
      </c>
      <c r="S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>
        <f t="shared" si="0"/>
        <v>0</v>
      </c>
      <c r="Q32" s="14" t="str">
        <f>IF(tblHorasAbr[Horas Trabalhadas Além Jornada]&lt;0,IF(OR(tblHorasAbr[Evento 
(1º Período)]="",tblHorasAbr[Evento 
(2º Período)]=""),tblHorasAbr[Horas Trabalhadas Além Jornada],""),"")</f>
        <v/>
      </c>
      <c r="R32" s="14" t="str">
        <f>IF(tblHorasAbr[Jornada Diária]&lt;&gt;"",IF((N(tblHorasAbr[Jornada Diária])-ABS(N(tblHorasAbr[Horas Trabalhadas Além Jornada])))=0,1,""),"")</f>
        <v/>
      </c>
      <c r="S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>
        <f t="shared" si="0"/>
        <v>0</v>
      </c>
      <c r="Q33" s="14" t="str">
        <f>IF(tblHorasAbr[Horas Trabalhadas Além Jornada]&lt;0,IF(OR(tblHorasAbr[Evento 
(1º Período)]="",tblHorasAbr[Evento 
(2º Período)]=""),tblHorasAbr[Horas Trabalhadas Além Jornada],""),"")</f>
        <v/>
      </c>
      <c r="R33" s="14" t="str">
        <f>IF(tblHorasAbr[Jornada Diária]&lt;&gt;"",IF((N(tblHorasAbr[Jornada Diária])-ABS(N(tblHorasAbr[Horas Trabalhadas Além Jornada])))=0,1,""),"")</f>
        <v/>
      </c>
      <c r="S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>
        <f t="shared" si="0"/>
        <v>0</v>
      </c>
      <c r="Q34" s="14" t="str">
        <f>IF(tblHorasAbr[Horas Trabalhadas Além Jornada]&lt;0,IF(OR(tblHorasAbr[Evento 
(1º Período)]="",tblHorasAbr[Evento 
(2º Período)]=""),tblHorasAbr[Horas Trabalhadas Além Jornada],""),"")</f>
        <v/>
      </c>
      <c r="R34" s="14" t="str">
        <f>IF(tblHorasAbr[Jornada Diária]&lt;&gt;"",IF((N(tblHorasAbr[Jornada Diária])-ABS(N(tblHorasAbr[Horas Trabalhadas Além Jornada])))=0,1,""),"")</f>
        <v/>
      </c>
      <c r="S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>
        <f t="shared" si="0"/>
        <v>0</v>
      </c>
      <c r="Q35" s="14" t="str">
        <f>IF(tblHorasAbr[Horas Trabalhadas Além Jornada]&lt;0,IF(OR(tblHorasAbr[Evento 
(1º Período)]="",tblHorasAbr[Evento 
(2º Período)]=""),tblHorasAbr[Horas Trabalhadas Além Jornada],""),"")</f>
        <v/>
      </c>
      <c r="R35" s="14" t="str">
        <f>IF(tblHorasAbr[Jornada Diária]&lt;&gt;"",IF((N(tblHorasAbr[Jornada Diária])-ABS(N(tblHorasAbr[Horas Trabalhadas Além Jornada])))=0,1,""),"")</f>
        <v/>
      </c>
      <c r="S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>
        <f t="shared" si="0"/>
        <v>0</v>
      </c>
      <c r="Q36" s="14" t="str">
        <f>IF(tblHorasAbr[Horas Trabalhadas Além Jornada]&lt;0,IF(OR(tblHorasAbr[Evento 
(1º Período)]="",tblHorasAbr[Evento 
(2º Período)]=""),tblHorasAbr[Horas Trabalhadas Além Jornada],""),"")</f>
        <v/>
      </c>
      <c r="R36" s="14" t="str">
        <f>IF(tblHorasAbr[Jornada Diária]&lt;&gt;"",IF((N(tblHorasAbr[Jornada Diária])-ABS(N(tblHorasAbr[Horas Trabalhadas Além Jornada])))=0,1,""),"")</f>
        <v/>
      </c>
      <c r="S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>
        <f t="shared" si="0"/>
        <v>0</v>
      </c>
      <c r="Q37" s="14" t="str">
        <f>IF(tblHorasAbr[Horas Trabalhadas Além Jornada]&lt;0,IF(OR(tblHorasAbr[Evento 
(1º Período)]="",tblHorasAbr[Evento 
(2º Período)]=""),tblHorasAbr[Horas Trabalhadas Além Jornada],""),"")</f>
        <v/>
      </c>
      <c r="R37" s="14" t="str">
        <f>IF(tblHorasAbr[Jornada Diária]&lt;&gt;"",IF((N(tblHorasAbr[Jornada Diária])-ABS(N(tblHorasAbr[Horas Trabalhadas Além Jornada])))=0,1,""),"")</f>
        <v/>
      </c>
      <c r="S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>
        <f t="shared" si="0"/>
        <v>0</v>
      </c>
      <c r="Q38" s="14" t="str">
        <f>IF(tblHorasAbr[Horas Trabalhadas Além Jornada]&lt;0,IF(OR(tblHorasAbr[Evento 
(1º Período)]="",tblHorasAbr[Evento 
(2º Período)]=""),tblHorasAbr[Horas Trabalhadas Além Jornada],""),"")</f>
        <v/>
      </c>
      <c r="R38" s="14" t="str">
        <f>IF(tblHorasAbr[Jornada Diária]&lt;&gt;"",IF((N(tblHorasAbr[Jornada Diária])-ABS(N(tblHorasAbr[Horas Trabalhadas Além Jornada])))=0,1,""),"")</f>
        <v/>
      </c>
      <c r="S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IF(VLOOKUP(tblHorasAbr[Dia],tblDiaUtil[[Abreviatura]:[Total Jornada]],5,FALSE)&lt;&gt;"",VLOOKUP(tblHorasAbr[Dia],tblDiaUtil[[Abreviatura]:[Total Jornada]],5,FALSE),JORNADA),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
-IF(VLOOKUP(tblHorasAbr[Dia],tblDiaUtil[[Abreviatura]:[Total Jornada]],5,FALSE)&lt;&gt;"",VLOOKUP(tblHorasAbr[Dia],tblDiaUtil[[Abreviatura]:[Total Jornada]],5,FALSE),JORNADA),
IF(IF(ISERROR(VLOOKUP(tblHorasAbr[Evento 
(1º Período)],tblEvento[[Evento]:[Libera o Período]],4,FALSE)),FALSE,
IF(VLOOKUP(tblHorasAbr[Evento 
(1º Período)],tblEvento[[Evento]:[Libera o Período]],4,FALSE)="Não",TRUE,FALSE)
),
-IF(VLOOKUP(tblHorasAbr[Dia],tblDiaUtil[[Abreviatura]:[1º Período]],3,FALSE)&lt;&gt;"",VLOOKUP(tblHorasAbr[Dia],tblDiaUtil[[Abreviatura]:[1º Período]],3,FALSE),JORNADA_PERIODO_1),
IF(IF(ISERROR(VLOOKUP(tblHorasAbr[Evento 
(2º Período)],tblEvento[[Evento]:[Libera o Período]],4,FALSE)),FALSE,IF(VLOOKUP(tblHorasAbr[Evento 
(2º Período)],tblEvento[[Evento]:[Libera o Período]],4,FALSE)="Não",TRUE,FALSE)),
-IF(VLOOKUP(tblHorasAbr[Dia],tblDiaUtil[[Abreviatura]:[2º Período]],4,FALSE)&lt;&gt;"",VLOOKUP(tblHorasAbr[Dia],tblDiaUtil[[Abreviatura]:[2º Período]],4,FALSE),JORNADA_PERIODO_2),0))))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>
        <f t="shared" si="0"/>
        <v>0</v>
      </c>
      <c r="Q39" s="14" t="str">
        <f>IF(tblHorasAbr[Horas Trabalhadas Além Jornada]&lt;0,IF(OR(tblHorasAbr[Evento 
(1º Período)]="",tblHorasAbr[Evento 
(2º Período)]=""),tblHorasAbr[Horas Trabalhadas Além Jornada],""),"")</f>
        <v/>
      </c>
      <c r="R39" s="14" t="str">
        <f>IF(tblHorasAbr[Jornada Diária]&lt;&gt;"",IF((N(tblHorasAbr[Jornada Diária])-ABS(N(tblHorasAbr[Horas Trabalhadas Além Jornada])))=0,1,""),"")</f>
        <v/>
      </c>
      <c r="S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T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U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8RGu9wFohprv/hwB6efFatw2UAWDnB68vVTWwBlI8Bg8MlsRO1G0OZzdZXv08OYmocdUl8L4UT5hQ9yuZekEg==" saltValue="NCGFop144Vwhw0dCHiVU2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61E7509D-2379-404D-88E3-C67A7CC702B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I9:O9 Q9:U39</xm:sqref>
        </x14:conditionalFormatting>
        <x14:conditionalFormatting xmlns:xm="http://schemas.microsoft.com/office/excel/2006/main">
          <x14:cfRule type="expression" priority="12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4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11" id="{833ADBBF-0A81-4BF5-A135-54726D7CFA6D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9" id="{0CCECDB3-C675-4715-8108-565D257DEA58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8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10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7" id="{3678236B-08B9-405F-BEB6-95687F52B593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5" id="{CEEF2D23-A00F-4AE5-852E-3AF957721118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4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6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  <x14:conditionalFormatting xmlns:xm="http://schemas.microsoft.com/office/excel/2006/main">
          <x14:cfRule type="expression" priority="3" id="{9836C34E-3BF1-4B11-8BCA-D5C2E304994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DF6EF90C-465A-4A27-B1A7-7EC5292DDAA9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67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IF(CONT_MES_ANTERIOR="Sim",Abril!O39,0)</f>
        <v>0</v>
      </c>
      <c r="P7" s="45">
        <f>SUM(tblHorasMai[Atrasos
(horas)])</f>
        <v>0</v>
      </c>
      <c r="Q7" s="45">
        <f>SUM(tblHorasMai[Atrasos
(horas)])</f>
        <v>0</v>
      </c>
      <c r="R7" s="46">
        <f>SUM(tblHorasMai[Faltas
(dias)])</f>
        <v>0</v>
      </c>
      <c r="S7" s="45">
        <f>SUM(tblHorasMai[Hora Extra Normal])</f>
        <v>0</v>
      </c>
      <c r="T7" s="45">
        <f>SUM(tblHorasMai[Hora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>
        <f t="shared" ref="P9:P39" si="0">G9-F9</f>
        <v>0</v>
      </c>
      <c r="Q9" s="14" t="str">
        <f>IF(tblHorasMai[Horas Trabalhadas Além Jornada]&lt;0,IF(OR(tblHorasMai[Evento 
(1º Período)]="",tblHorasMai[Evento 
(2º Período)]=""),tblHorasMai[Horas Trabalhadas Além Jornada],""),"")</f>
        <v/>
      </c>
      <c r="R9" s="14" t="str">
        <f>IF(tblHorasMai[Jornada Diária]&lt;&gt;"",IF((N(tblHorasMai[Jornada Diária])-ABS(N(tblHorasMai[Horas Trabalhadas Além Jornada])))=0,1,""),"")</f>
        <v/>
      </c>
      <c r="S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>
        <f t="shared" si="0"/>
        <v>0</v>
      </c>
      <c r="Q10" s="14" t="str">
        <f>IF(tblHorasMai[Horas Trabalhadas Além Jornada]&lt;0,IF(OR(tblHorasMai[Evento 
(1º Período)]="",tblHorasMai[Evento 
(2º Período)]=""),tblHorasMai[Horas Trabalhadas Além Jornada],""),"")</f>
        <v/>
      </c>
      <c r="R10" s="14" t="str">
        <f>IF(tblHorasMai[Jornada Diária]&lt;&gt;"",IF((N(tblHorasMai[Jornada Diária])-ABS(N(tblHorasMai[Horas Trabalhadas Além Jornada])))=0,1,""),"")</f>
        <v/>
      </c>
      <c r="S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>
        <f t="shared" si="0"/>
        <v>0</v>
      </c>
      <c r="Q11" s="14" t="str">
        <f>IF(tblHorasMai[Horas Trabalhadas Além Jornada]&lt;0,IF(OR(tblHorasMai[Evento 
(1º Período)]="",tblHorasMai[Evento 
(2º Período)]=""),tblHorasMai[Horas Trabalhadas Além Jornada],""),"")</f>
        <v/>
      </c>
      <c r="R11" s="14" t="str">
        <f>IF(tblHorasMai[Jornada Diária]&lt;&gt;"",IF((N(tblHorasMai[Jornada Diária])-ABS(N(tblHorasMai[Horas Trabalhadas Além Jornada])))=0,1,""),"")</f>
        <v/>
      </c>
      <c r="S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>
        <f t="shared" si="0"/>
        <v>0</v>
      </c>
      <c r="Q12" s="14" t="str">
        <f>IF(tblHorasMai[Horas Trabalhadas Além Jornada]&lt;0,IF(OR(tblHorasMai[Evento 
(1º Período)]="",tblHorasMai[Evento 
(2º Período)]=""),tblHorasMai[Horas Trabalhadas Além Jornada],""),"")</f>
        <v/>
      </c>
      <c r="R12" s="14" t="str">
        <f>IF(tblHorasMai[Jornada Diária]&lt;&gt;"",IF((N(tblHorasMai[Jornada Diária])-ABS(N(tblHorasMai[Horas Trabalhadas Além Jornada])))=0,1,""),"")</f>
        <v/>
      </c>
      <c r="S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>
        <f t="shared" si="0"/>
        <v>0</v>
      </c>
      <c r="Q13" s="14" t="str">
        <f>IF(tblHorasMai[Horas Trabalhadas Além Jornada]&lt;0,IF(OR(tblHorasMai[Evento 
(1º Período)]="",tblHorasMai[Evento 
(2º Período)]=""),tblHorasMai[Horas Trabalhadas Além Jornada],""),"")</f>
        <v/>
      </c>
      <c r="R13" s="14" t="str">
        <f>IF(tblHorasMai[Jornada Diária]&lt;&gt;"",IF((N(tblHorasMai[Jornada Diária])-ABS(N(tblHorasMai[Horas Trabalhadas Além Jornada])))=0,1,""),"")</f>
        <v/>
      </c>
      <c r="S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>
        <f t="shared" si="0"/>
        <v>0</v>
      </c>
      <c r="Q14" s="14" t="str">
        <f>IF(tblHorasMai[Horas Trabalhadas Além Jornada]&lt;0,IF(OR(tblHorasMai[Evento 
(1º Período)]="",tblHorasMai[Evento 
(2º Período)]=""),tblHorasMai[Horas Trabalhadas Além Jornada],""),"")</f>
        <v/>
      </c>
      <c r="R14" s="14" t="str">
        <f>IF(tblHorasMai[Jornada Diária]&lt;&gt;"",IF((N(tblHorasMai[Jornada Diária])-ABS(N(tblHorasMai[Horas Trabalhadas Além Jornada])))=0,1,""),"")</f>
        <v/>
      </c>
      <c r="S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>
        <f t="shared" si="0"/>
        <v>0</v>
      </c>
      <c r="Q15" s="14" t="str">
        <f>IF(tblHorasMai[Horas Trabalhadas Além Jornada]&lt;0,IF(OR(tblHorasMai[Evento 
(1º Período)]="",tblHorasMai[Evento 
(2º Período)]=""),tblHorasMai[Horas Trabalhadas Além Jornada],""),"")</f>
        <v/>
      </c>
      <c r="R15" s="14" t="str">
        <f>IF(tblHorasMai[Jornada Diária]&lt;&gt;"",IF((N(tblHorasMai[Jornada Diária])-ABS(N(tblHorasMai[Horas Trabalhadas Além Jornada])))=0,1,""),"")</f>
        <v/>
      </c>
      <c r="S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>
        <f t="shared" si="0"/>
        <v>0</v>
      </c>
      <c r="Q16" s="14" t="str">
        <f>IF(tblHorasMai[Horas Trabalhadas Além Jornada]&lt;0,IF(OR(tblHorasMai[Evento 
(1º Período)]="",tblHorasMai[Evento 
(2º Período)]=""),tblHorasMai[Horas Trabalhadas Além Jornada],""),"")</f>
        <v/>
      </c>
      <c r="R16" s="14" t="str">
        <f>IF(tblHorasMai[Jornada Diária]&lt;&gt;"",IF((N(tblHorasMai[Jornada Diária])-ABS(N(tblHorasMai[Horas Trabalhadas Além Jornada])))=0,1,""),"")</f>
        <v/>
      </c>
      <c r="S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>
        <f t="shared" si="0"/>
        <v>0</v>
      </c>
      <c r="Q17" s="14" t="str">
        <f>IF(tblHorasMai[Horas Trabalhadas Além Jornada]&lt;0,IF(OR(tblHorasMai[Evento 
(1º Período)]="",tblHorasMai[Evento 
(2º Período)]=""),tblHorasMai[Horas Trabalhadas Além Jornada],""),"")</f>
        <v/>
      </c>
      <c r="R17" s="14" t="str">
        <f>IF(tblHorasMai[Jornada Diária]&lt;&gt;"",IF((N(tblHorasMai[Jornada Diária])-ABS(N(tblHorasMai[Horas Trabalhadas Além Jornada])))=0,1,""),"")</f>
        <v/>
      </c>
      <c r="S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>
        <f t="shared" si="0"/>
        <v>0</v>
      </c>
      <c r="Q18" s="14" t="str">
        <f>IF(tblHorasMai[Horas Trabalhadas Além Jornada]&lt;0,IF(OR(tblHorasMai[Evento 
(1º Período)]="",tblHorasMai[Evento 
(2º Período)]=""),tblHorasMai[Horas Trabalhadas Além Jornada],""),"")</f>
        <v/>
      </c>
      <c r="R18" s="14" t="str">
        <f>IF(tblHorasMai[Jornada Diária]&lt;&gt;"",IF((N(tblHorasMai[Jornada Diária])-ABS(N(tblHorasMai[Horas Trabalhadas Além Jornada])))=0,1,""),"")</f>
        <v/>
      </c>
      <c r="S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>
        <f t="shared" si="0"/>
        <v>0</v>
      </c>
      <c r="Q19" s="14" t="str">
        <f>IF(tblHorasMai[Horas Trabalhadas Além Jornada]&lt;0,IF(OR(tblHorasMai[Evento 
(1º Período)]="",tblHorasMai[Evento 
(2º Período)]=""),tblHorasMai[Horas Trabalhadas Além Jornada],""),"")</f>
        <v/>
      </c>
      <c r="R19" s="14" t="str">
        <f>IF(tblHorasMai[Jornada Diária]&lt;&gt;"",IF((N(tblHorasMai[Jornada Diária])-ABS(N(tblHorasMai[Horas Trabalhadas Além Jornada])))=0,1,""),"")</f>
        <v/>
      </c>
      <c r="S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>
        <f t="shared" si="0"/>
        <v>0</v>
      </c>
      <c r="Q20" s="14" t="str">
        <f>IF(tblHorasMai[Horas Trabalhadas Além Jornada]&lt;0,IF(OR(tblHorasMai[Evento 
(1º Período)]="",tblHorasMai[Evento 
(2º Período)]=""),tblHorasMai[Horas Trabalhadas Além Jornada],""),"")</f>
        <v/>
      </c>
      <c r="R20" s="14" t="str">
        <f>IF(tblHorasMai[Jornada Diária]&lt;&gt;"",IF((N(tblHorasMai[Jornada Diária])-ABS(N(tblHorasMai[Horas Trabalhadas Além Jornada])))=0,1,""),"")</f>
        <v/>
      </c>
      <c r="S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>
        <f t="shared" si="0"/>
        <v>0</v>
      </c>
      <c r="Q21" s="14" t="str">
        <f>IF(tblHorasMai[Horas Trabalhadas Além Jornada]&lt;0,IF(OR(tblHorasMai[Evento 
(1º Período)]="",tblHorasMai[Evento 
(2º Período)]=""),tblHorasMai[Horas Trabalhadas Além Jornada],""),"")</f>
        <v/>
      </c>
      <c r="R21" s="14" t="str">
        <f>IF(tblHorasMai[Jornada Diária]&lt;&gt;"",IF((N(tblHorasMai[Jornada Diária])-ABS(N(tblHorasMai[Horas Trabalhadas Além Jornada])))=0,1,""),"")</f>
        <v/>
      </c>
      <c r="S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>
        <f t="shared" si="0"/>
        <v>0</v>
      </c>
      <c r="Q22" s="14" t="str">
        <f>IF(tblHorasMai[Horas Trabalhadas Além Jornada]&lt;0,IF(OR(tblHorasMai[Evento 
(1º Período)]="",tblHorasMai[Evento 
(2º Período)]=""),tblHorasMai[Horas Trabalhadas Além Jornada],""),"")</f>
        <v/>
      </c>
      <c r="R22" s="14" t="str">
        <f>IF(tblHorasMai[Jornada Diária]&lt;&gt;"",IF((N(tblHorasMai[Jornada Diária])-ABS(N(tblHorasMai[Horas Trabalhadas Além Jornada])))=0,1,""),"")</f>
        <v/>
      </c>
      <c r="S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>
        <f t="shared" si="0"/>
        <v>0</v>
      </c>
      <c r="Q23" s="14" t="str">
        <f>IF(tblHorasMai[Horas Trabalhadas Além Jornada]&lt;0,IF(OR(tblHorasMai[Evento 
(1º Período)]="",tblHorasMai[Evento 
(2º Período)]=""),tblHorasMai[Horas Trabalhadas Além Jornada],""),"")</f>
        <v/>
      </c>
      <c r="R23" s="14" t="str">
        <f>IF(tblHorasMai[Jornada Diária]&lt;&gt;"",IF((N(tblHorasMai[Jornada Diária])-ABS(N(tblHorasMai[Horas Trabalhadas Além Jornada])))=0,1,""),"")</f>
        <v/>
      </c>
      <c r="S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>
        <f t="shared" si="0"/>
        <v>0</v>
      </c>
      <c r="Q24" s="14" t="str">
        <f>IF(tblHorasMai[Horas Trabalhadas Além Jornada]&lt;0,IF(OR(tblHorasMai[Evento 
(1º Período)]="",tblHorasMai[Evento 
(2º Período)]=""),tblHorasMai[Horas Trabalhadas Além Jornada],""),"")</f>
        <v/>
      </c>
      <c r="R24" s="14" t="str">
        <f>IF(tblHorasMai[Jornada Diária]&lt;&gt;"",IF((N(tblHorasMai[Jornada Diária])-ABS(N(tblHorasMai[Horas Trabalhadas Além Jornada])))=0,1,""),"")</f>
        <v/>
      </c>
      <c r="S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>
        <f t="shared" si="0"/>
        <v>0</v>
      </c>
      <c r="Q25" s="14" t="str">
        <f>IF(tblHorasMai[Horas Trabalhadas Além Jornada]&lt;0,IF(OR(tblHorasMai[Evento 
(1º Período)]="",tblHorasMai[Evento 
(2º Período)]=""),tblHorasMai[Horas Trabalhadas Além Jornada],""),"")</f>
        <v/>
      </c>
      <c r="R25" s="14" t="str">
        <f>IF(tblHorasMai[Jornada Diária]&lt;&gt;"",IF((N(tblHorasMai[Jornada Diária])-ABS(N(tblHorasMai[Horas Trabalhadas Além Jornada])))=0,1,""),"")</f>
        <v/>
      </c>
      <c r="S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>
        <f t="shared" si="0"/>
        <v>0</v>
      </c>
      <c r="Q26" s="14" t="str">
        <f>IF(tblHorasMai[Horas Trabalhadas Além Jornada]&lt;0,IF(OR(tblHorasMai[Evento 
(1º Período)]="",tblHorasMai[Evento 
(2º Período)]=""),tblHorasMai[Horas Trabalhadas Além Jornada],""),"")</f>
        <v/>
      </c>
      <c r="R26" s="14" t="str">
        <f>IF(tblHorasMai[Jornada Diária]&lt;&gt;"",IF((N(tblHorasMai[Jornada Diária])-ABS(N(tblHorasMai[Horas Trabalhadas Além Jornada])))=0,1,""),"")</f>
        <v/>
      </c>
      <c r="S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>
        <f t="shared" si="0"/>
        <v>0</v>
      </c>
      <c r="Q27" s="14" t="str">
        <f>IF(tblHorasMai[Horas Trabalhadas Além Jornada]&lt;0,IF(OR(tblHorasMai[Evento 
(1º Período)]="",tblHorasMai[Evento 
(2º Período)]=""),tblHorasMai[Horas Trabalhadas Além Jornada],""),"")</f>
        <v/>
      </c>
      <c r="R27" s="14" t="str">
        <f>IF(tblHorasMai[Jornada Diária]&lt;&gt;"",IF((N(tblHorasMai[Jornada Diária])-ABS(N(tblHorasMai[Horas Trabalhadas Além Jornada])))=0,1,""),"")</f>
        <v/>
      </c>
      <c r="S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>
        <f t="shared" si="0"/>
        <v>0</v>
      </c>
      <c r="Q28" s="14" t="str">
        <f>IF(tblHorasMai[Horas Trabalhadas Além Jornada]&lt;0,IF(OR(tblHorasMai[Evento 
(1º Período)]="",tblHorasMai[Evento 
(2º Período)]=""),tblHorasMai[Horas Trabalhadas Além Jornada],""),"")</f>
        <v/>
      </c>
      <c r="R28" s="14" t="str">
        <f>IF(tblHorasMai[Jornada Diária]&lt;&gt;"",IF((N(tblHorasMai[Jornada Diária])-ABS(N(tblHorasMai[Horas Trabalhadas Além Jornada])))=0,1,""),"")</f>
        <v/>
      </c>
      <c r="S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>
        <f t="shared" si="0"/>
        <v>0</v>
      </c>
      <c r="Q29" s="14" t="str">
        <f>IF(tblHorasMai[Horas Trabalhadas Além Jornada]&lt;0,IF(OR(tblHorasMai[Evento 
(1º Período)]="",tblHorasMai[Evento 
(2º Período)]=""),tblHorasMai[Horas Trabalhadas Além Jornada],""),"")</f>
        <v/>
      </c>
      <c r="R29" s="14" t="str">
        <f>IF(tblHorasMai[Jornada Diária]&lt;&gt;"",IF((N(tblHorasMai[Jornada Diária])-ABS(N(tblHorasMai[Horas Trabalhadas Além Jornada])))=0,1,""),"")</f>
        <v/>
      </c>
      <c r="S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>
        <f t="shared" si="0"/>
        <v>0</v>
      </c>
      <c r="Q30" s="14" t="str">
        <f>IF(tblHorasMai[Horas Trabalhadas Além Jornada]&lt;0,IF(OR(tblHorasMai[Evento 
(1º Período)]="",tblHorasMai[Evento 
(2º Período)]=""),tblHorasMai[Horas Trabalhadas Além Jornada],""),"")</f>
        <v/>
      </c>
      <c r="R30" s="14" t="str">
        <f>IF(tblHorasMai[Jornada Diária]&lt;&gt;"",IF((N(tblHorasMai[Jornada Diária])-ABS(N(tblHorasMai[Horas Trabalhadas Além Jornada])))=0,1,""),"")</f>
        <v/>
      </c>
      <c r="S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>
        <f t="shared" si="0"/>
        <v>0</v>
      </c>
      <c r="Q31" s="14" t="str">
        <f>IF(tblHorasMai[Horas Trabalhadas Além Jornada]&lt;0,IF(OR(tblHorasMai[Evento 
(1º Período)]="",tblHorasMai[Evento 
(2º Período)]=""),tblHorasMai[Horas Trabalhadas Além Jornada],""),"")</f>
        <v/>
      </c>
      <c r="R31" s="14" t="str">
        <f>IF(tblHorasMai[Jornada Diária]&lt;&gt;"",IF((N(tblHorasMai[Jornada Diária])-ABS(N(tblHorasMai[Horas Trabalhadas Além Jornada])))=0,1,""),"")</f>
        <v/>
      </c>
      <c r="S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>
        <f t="shared" si="0"/>
        <v>0</v>
      </c>
      <c r="Q32" s="14" t="str">
        <f>IF(tblHorasMai[Horas Trabalhadas Além Jornada]&lt;0,IF(OR(tblHorasMai[Evento 
(1º Período)]="",tblHorasMai[Evento 
(2º Período)]=""),tblHorasMai[Horas Trabalhadas Além Jornada],""),"")</f>
        <v/>
      </c>
      <c r="R32" s="14" t="str">
        <f>IF(tblHorasMai[Jornada Diária]&lt;&gt;"",IF((N(tblHorasMai[Jornada Diária])-ABS(N(tblHorasMai[Horas Trabalhadas Além Jornada])))=0,1,""),"")</f>
        <v/>
      </c>
      <c r="S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>
        <f t="shared" si="0"/>
        <v>0</v>
      </c>
      <c r="Q33" s="14" t="str">
        <f>IF(tblHorasMai[Horas Trabalhadas Além Jornada]&lt;0,IF(OR(tblHorasMai[Evento 
(1º Período)]="",tblHorasMai[Evento 
(2º Período)]=""),tblHorasMai[Horas Trabalhadas Além Jornada],""),"")</f>
        <v/>
      </c>
      <c r="R33" s="14" t="str">
        <f>IF(tblHorasMai[Jornada Diária]&lt;&gt;"",IF((N(tblHorasMai[Jornada Diária])-ABS(N(tblHorasMai[Horas Trabalhadas Além Jornada])))=0,1,""),"")</f>
        <v/>
      </c>
      <c r="S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>
        <f t="shared" si="0"/>
        <v>0</v>
      </c>
      <c r="Q34" s="14" t="str">
        <f>IF(tblHorasMai[Horas Trabalhadas Além Jornada]&lt;0,IF(OR(tblHorasMai[Evento 
(1º Período)]="",tblHorasMai[Evento 
(2º Período)]=""),tblHorasMai[Horas Trabalhadas Além Jornada],""),"")</f>
        <v/>
      </c>
      <c r="R34" s="14" t="str">
        <f>IF(tblHorasMai[Jornada Diária]&lt;&gt;"",IF((N(tblHorasMai[Jornada Diária])-ABS(N(tblHorasMai[Horas Trabalhadas Além Jornada])))=0,1,""),"")</f>
        <v/>
      </c>
      <c r="S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>
        <f t="shared" si="0"/>
        <v>0</v>
      </c>
      <c r="Q35" s="14" t="str">
        <f>IF(tblHorasMai[Horas Trabalhadas Além Jornada]&lt;0,IF(OR(tblHorasMai[Evento 
(1º Período)]="",tblHorasMai[Evento 
(2º Período)]=""),tblHorasMai[Horas Trabalhadas Além Jornada],""),"")</f>
        <v/>
      </c>
      <c r="R35" s="14" t="str">
        <f>IF(tblHorasMai[Jornada Diária]&lt;&gt;"",IF((N(tblHorasMai[Jornada Diária])-ABS(N(tblHorasMai[Horas Trabalhadas Além Jornada])))=0,1,""),"")</f>
        <v/>
      </c>
      <c r="S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>
        <f t="shared" si="0"/>
        <v>0</v>
      </c>
      <c r="Q36" s="14" t="str">
        <f>IF(tblHorasMai[Horas Trabalhadas Além Jornada]&lt;0,IF(OR(tblHorasMai[Evento 
(1º Período)]="",tblHorasMai[Evento 
(2º Período)]=""),tblHorasMai[Horas Trabalhadas Além Jornada],""),"")</f>
        <v/>
      </c>
      <c r="R36" s="14" t="str">
        <f>IF(tblHorasMai[Jornada Diária]&lt;&gt;"",IF((N(tblHorasMai[Jornada Diária])-ABS(N(tblHorasMai[Horas Trabalhadas Além Jornada])))=0,1,""),"")</f>
        <v/>
      </c>
      <c r="S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>
        <f t="shared" si="0"/>
        <v>0</v>
      </c>
      <c r="Q37" s="14" t="str">
        <f>IF(tblHorasMai[Horas Trabalhadas Além Jornada]&lt;0,IF(OR(tblHorasMai[Evento 
(1º Período)]="",tblHorasMai[Evento 
(2º Período)]=""),tblHorasMai[Horas Trabalhadas Além Jornada],""),"")</f>
        <v/>
      </c>
      <c r="R37" s="14" t="str">
        <f>IF(tblHorasMai[Jornada Diária]&lt;&gt;"",IF((N(tblHorasMai[Jornada Diária])-ABS(N(tblHorasMai[Horas Trabalhadas Além Jornada])))=0,1,""),"")</f>
        <v/>
      </c>
      <c r="S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>
        <f t="shared" si="0"/>
        <v>0</v>
      </c>
      <c r="Q38" s="14" t="str">
        <f>IF(tblHorasMai[Horas Trabalhadas Além Jornada]&lt;0,IF(OR(tblHorasMai[Evento 
(1º Período)]="",tblHorasMai[Evento 
(2º Período)]=""),tblHorasMai[Horas Trabalhadas Além Jornada],""),"")</f>
        <v/>
      </c>
      <c r="R38" s="14" t="str">
        <f>IF(tblHorasMai[Jornada Diária]&lt;&gt;"",IF((N(tblHorasMai[Jornada Diária])-ABS(N(tblHorasMai[Horas Trabalhadas Além Jornada])))=0,1,""),"")</f>
        <v/>
      </c>
      <c r="S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IF(VLOOKUP(tblHorasMai[Dia],tblDiaUtil[[Abreviatura]:[Total Jornada]],5,FALSE)&lt;&gt;"",VLOOKUP(tblHorasMai[Dia],tblDiaUtil[[Abreviatura]:[Total Jornada]],5,FALSE),JORNADA),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
-IF(VLOOKUP(tblHorasMai[Dia],tblDiaUtil[[Abreviatura]:[Total Jornada]],5,FALSE)&lt;&gt;"",VLOOKUP(tblHorasMai[Dia],tblDiaUtil[[Abreviatura]:[Total Jornada]],5,FALSE),JORNADA),
IF(IF(ISERROR(VLOOKUP(tblHorasMai[Evento 
(1º Período)],tblEvento[[Evento]:[Libera o Período]],4,FALSE)),FALSE,
IF(VLOOKUP(tblHorasMai[Evento 
(1º Período)],tblEvento[[Evento]:[Libera o Período]],4,FALSE)="Não",TRUE,FALSE)
),
-IF(VLOOKUP(tblHorasMai[Dia],tblDiaUtil[[Abreviatura]:[1º Período]],3,FALSE)&lt;&gt;"",VLOOKUP(tblHorasMai[Dia],tblDiaUtil[[Abreviatura]:[1º Período]],3,FALSE),JORNADA_PERIODO_1),
IF(IF(ISERROR(VLOOKUP(tblHorasMai[Evento 
(2º Período)],tblEvento[[Evento]:[Libera o Período]],4,FALSE)),FALSE,IF(VLOOKUP(tblHorasMai[Evento 
(2º Período)],tblEvento[[Evento]:[Libera o Período]],4,FALSE)="Não",TRUE,FALSE)),
-IF(VLOOKUP(tblHorasMai[Dia],tblDiaUtil[[Abreviatura]:[2º Período]],4,FALSE)&lt;&gt;"",VLOOKUP(tblHorasMai[Dia],tblDiaUtil[[Abreviatura]:[2º Período]],4,FALSE),JORNADA_PERIODO_2),0))))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>
        <f t="shared" si="0"/>
        <v>0</v>
      </c>
      <c r="Q39" s="14" t="str">
        <f>IF(tblHorasMai[Horas Trabalhadas Além Jornada]&lt;0,IF(OR(tblHorasMai[Evento 
(1º Período)]="",tblHorasMai[Evento 
(2º Período)]=""),tblHorasMai[Horas Trabalhadas Além Jornada],""),"")</f>
        <v/>
      </c>
      <c r="R39" s="14" t="str">
        <f>IF(tblHorasMai[Jornada Diária]&lt;&gt;"",IF((N(tblHorasMai[Jornada Diária])-ABS(N(tblHorasMai[Horas Trabalhadas Além Jornada])))=0,1,""),"")</f>
        <v/>
      </c>
      <c r="S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T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U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Ohx4JOP6ozRsEjtL+UU5/Wfpx7pQBfs9k5tp+k6YnH12nLM2RJefUaRn5sBj5Be/NjCR7Q8crlYQFfzWD7TOjw==" saltValue="6nvC2kNi6Nb2hi0847O6g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34D004E8-071A-45B7-BB35-38410EF2511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32932BA0-F751-47CF-954D-F96812AD874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81DDAE87-779D-4947-8EE8-175CA190D1A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52365AFC-0359-49F5-A897-6A50D5F33F5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61A92C1-98FD-4AC7-93E5-6148CEB5CDC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0E6B1DFE-57C2-40D8-BA22-D7F9821F6B95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68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IF(CONT_MES_ANTERIOR="Sim",Maio!O39,0)</f>
        <v>0</v>
      </c>
      <c r="P7" s="45">
        <f>SUM(tblHorasJun[Atrasos
(horas)])</f>
        <v>0</v>
      </c>
      <c r="Q7" s="45">
        <f>SUM(tblHorasJun[Atrasos
(horas)])</f>
        <v>0</v>
      </c>
      <c r="R7" s="46">
        <f>SUM(tblHorasJun[Faltas
(dias)])</f>
        <v>0</v>
      </c>
      <c r="S7" s="45">
        <f>SUM(tblHorasJun[Hora Extra Normal])</f>
        <v>0</v>
      </c>
      <c r="T7" s="45">
        <f>SUM(tblHorasJun[Hora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>
        <f t="shared" ref="P9:P39" si="0">G9-F9</f>
        <v>0</v>
      </c>
      <c r="Q9" s="14" t="str">
        <f>IF(tblHorasJun[Horas Trabalhadas Além Jornada]&lt;0,IF(OR(tblHorasJun[Evento 
(1º Período)]="",tblHorasJun[Evento 
(2º Período)]=""),tblHorasJun[Horas Trabalhadas Além Jornada],""),"")</f>
        <v/>
      </c>
      <c r="R9" s="14" t="str">
        <f>IF(tblHorasJun[Jornada Diária]&lt;&gt;"",IF((N(tblHorasJun[Jornada Diária])-ABS(N(tblHorasJun[Horas Trabalhadas Além Jornada])))=0,1,""),"")</f>
        <v/>
      </c>
      <c r="S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>
        <f t="shared" si="0"/>
        <v>0</v>
      </c>
      <c r="Q10" s="14" t="str">
        <f>IF(tblHorasJun[Horas Trabalhadas Além Jornada]&lt;0,IF(OR(tblHorasJun[Evento 
(1º Período)]="",tblHorasJun[Evento 
(2º Período)]=""),tblHorasJun[Horas Trabalhadas Além Jornada],""),"")</f>
        <v/>
      </c>
      <c r="R10" s="14" t="str">
        <f>IF(tblHorasJun[Jornada Diária]&lt;&gt;"",IF((N(tblHorasJun[Jornada Diária])-ABS(N(tblHorasJun[Horas Trabalhadas Além Jornada])))=0,1,""),"")</f>
        <v/>
      </c>
      <c r="S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>
        <f t="shared" si="0"/>
        <v>0</v>
      </c>
      <c r="Q11" s="14" t="str">
        <f>IF(tblHorasJun[Horas Trabalhadas Além Jornada]&lt;0,IF(OR(tblHorasJun[Evento 
(1º Período)]="",tblHorasJun[Evento 
(2º Período)]=""),tblHorasJun[Horas Trabalhadas Além Jornada],""),"")</f>
        <v/>
      </c>
      <c r="R11" s="14" t="str">
        <f>IF(tblHorasJun[Jornada Diária]&lt;&gt;"",IF((N(tblHorasJun[Jornada Diária])-ABS(N(tblHorasJun[Horas Trabalhadas Além Jornada])))=0,1,""),"")</f>
        <v/>
      </c>
      <c r="S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>
        <f t="shared" si="0"/>
        <v>0</v>
      </c>
      <c r="Q12" s="14" t="str">
        <f>IF(tblHorasJun[Horas Trabalhadas Além Jornada]&lt;0,IF(OR(tblHorasJun[Evento 
(1º Período)]="",tblHorasJun[Evento 
(2º Período)]=""),tblHorasJun[Horas Trabalhadas Além Jornada],""),"")</f>
        <v/>
      </c>
      <c r="R12" s="14" t="str">
        <f>IF(tblHorasJun[Jornada Diária]&lt;&gt;"",IF((N(tblHorasJun[Jornada Diária])-ABS(N(tblHorasJun[Horas Trabalhadas Além Jornada])))=0,1,""),"")</f>
        <v/>
      </c>
      <c r="S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>
        <f t="shared" si="0"/>
        <v>0</v>
      </c>
      <c r="Q13" s="14" t="str">
        <f>IF(tblHorasJun[Horas Trabalhadas Além Jornada]&lt;0,IF(OR(tblHorasJun[Evento 
(1º Período)]="",tblHorasJun[Evento 
(2º Período)]=""),tblHorasJun[Horas Trabalhadas Além Jornada],""),"")</f>
        <v/>
      </c>
      <c r="R13" s="14" t="str">
        <f>IF(tblHorasJun[Jornada Diária]&lt;&gt;"",IF((N(tblHorasJun[Jornada Diária])-ABS(N(tblHorasJun[Horas Trabalhadas Além Jornada])))=0,1,""),"")</f>
        <v/>
      </c>
      <c r="S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>
        <f t="shared" si="0"/>
        <v>0</v>
      </c>
      <c r="Q14" s="14" t="str">
        <f>IF(tblHorasJun[Horas Trabalhadas Além Jornada]&lt;0,IF(OR(tblHorasJun[Evento 
(1º Período)]="",tblHorasJun[Evento 
(2º Período)]=""),tblHorasJun[Horas Trabalhadas Além Jornada],""),"")</f>
        <v/>
      </c>
      <c r="R14" s="14" t="str">
        <f>IF(tblHorasJun[Jornada Diária]&lt;&gt;"",IF((N(tblHorasJun[Jornada Diária])-ABS(N(tblHorasJun[Horas Trabalhadas Além Jornada])))=0,1,""),"")</f>
        <v/>
      </c>
      <c r="S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>
        <f t="shared" si="0"/>
        <v>0</v>
      </c>
      <c r="Q15" s="14" t="str">
        <f>IF(tblHorasJun[Horas Trabalhadas Além Jornada]&lt;0,IF(OR(tblHorasJun[Evento 
(1º Período)]="",tblHorasJun[Evento 
(2º Período)]=""),tblHorasJun[Horas Trabalhadas Além Jornada],""),"")</f>
        <v/>
      </c>
      <c r="R15" s="14" t="str">
        <f>IF(tblHorasJun[Jornada Diária]&lt;&gt;"",IF((N(tblHorasJun[Jornada Diária])-ABS(N(tblHorasJun[Horas Trabalhadas Além Jornada])))=0,1,""),"")</f>
        <v/>
      </c>
      <c r="S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>
        <f t="shared" si="0"/>
        <v>0</v>
      </c>
      <c r="Q16" s="14" t="str">
        <f>IF(tblHorasJun[Horas Trabalhadas Além Jornada]&lt;0,IF(OR(tblHorasJun[Evento 
(1º Período)]="",tblHorasJun[Evento 
(2º Período)]=""),tblHorasJun[Horas Trabalhadas Além Jornada],""),"")</f>
        <v/>
      </c>
      <c r="R16" s="14" t="str">
        <f>IF(tblHorasJun[Jornada Diária]&lt;&gt;"",IF((N(tblHorasJun[Jornada Diária])-ABS(N(tblHorasJun[Horas Trabalhadas Além Jornada])))=0,1,""),"")</f>
        <v/>
      </c>
      <c r="S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>
        <f t="shared" si="0"/>
        <v>0</v>
      </c>
      <c r="Q17" s="14" t="str">
        <f>IF(tblHorasJun[Horas Trabalhadas Além Jornada]&lt;0,IF(OR(tblHorasJun[Evento 
(1º Período)]="",tblHorasJun[Evento 
(2º Período)]=""),tblHorasJun[Horas Trabalhadas Além Jornada],""),"")</f>
        <v/>
      </c>
      <c r="R17" s="14" t="str">
        <f>IF(tblHorasJun[Jornada Diária]&lt;&gt;"",IF((N(tblHorasJun[Jornada Diária])-ABS(N(tblHorasJun[Horas Trabalhadas Além Jornada])))=0,1,""),"")</f>
        <v/>
      </c>
      <c r="S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>
        <f t="shared" si="0"/>
        <v>0</v>
      </c>
      <c r="Q18" s="14" t="str">
        <f>IF(tblHorasJun[Horas Trabalhadas Além Jornada]&lt;0,IF(OR(tblHorasJun[Evento 
(1º Período)]="",tblHorasJun[Evento 
(2º Período)]=""),tblHorasJun[Horas Trabalhadas Além Jornada],""),"")</f>
        <v/>
      </c>
      <c r="R18" s="14" t="str">
        <f>IF(tblHorasJun[Jornada Diária]&lt;&gt;"",IF((N(tblHorasJun[Jornada Diária])-ABS(N(tblHorasJun[Horas Trabalhadas Além Jornada])))=0,1,""),"")</f>
        <v/>
      </c>
      <c r="S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>
        <f t="shared" si="0"/>
        <v>0</v>
      </c>
      <c r="Q19" s="14" t="str">
        <f>IF(tblHorasJun[Horas Trabalhadas Além Jornada]&lt;0,IF(OR(tblHorasJun[Evento 
(1º Período)]="",tblHorasJun[Evento 
(2º Período)]=""),tblHorasJun[Horas Trabalhadas Além Jornada],""),"")</f>
        <v/>
      </c>
      <c r="R19" s="14" t="str">
        <f>IF(tblHorasJun[Jornada Diária]&lt;&gt;"",IF((N(tblHorasJun[Jornada Diária])-ABS(N(tblHorasJun[Horas Trabalhadas Além Jornada])))=0,1,""),"")</f>
        <v/>
      </c>
      <c r="S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>
        <f t="shared" si="0"/>
        <v>0</v>
      </c>
      <c r="Q20" s="14" t="str">
        <f>IF(tblHorasJun[Horas Trabalhadas Além Jornada]&lt;0,IF(OR(tblHorasJun[Evento 
(1º Período)]="",tblHorasJun[Evento 
(2º Período)]=""),tblHorasJun[Horas Trabalhadas Além Jornada],""),"")</f>
        <v/>
      </c>
      <c r="R20" s="14" t="str">
        <f>IF(tblHorasJun[Jornada Diária]&lt;&gt;"",IF((N(tblHorasJun[Jornada Diária])-ABS(N(tblHorasJun[Horas Trabalhadas Além Jornada])))=0,1,""),"")</f>
        <v/>
      </c>
      <c r="S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>
        <f t="shared" si="0"/>
        <v>0</v>
      </c>
      <c r="Q21" s="14" t="str">
        <f>IF(tblHorasJun[Horas Trabalhadas Além Jornada]&lt;0,IF(OR(tblHorasJun[Evento 
(1º Período)]="",tblHorasJun[Evento 
(2º Período)]=""),tblHorasJun[Horas Trabalhadas Além Jornada],""),"")</f>
        <v/>
      </c>
      <c r="R21" s="14" t="str">
        <f>IF(tblHorasJun[Jornada Diária]&lt;&gt;"",IF((N(tblHorasJun[Jornada Diária])-ABS(N(tblHorasJun[Horas Trabalhadas Além Jornada])))=0,1,""),"")</f>
        <v/>
      </c>
      <c r="S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>
        <f t="shared" si="0"/>
        <v>0</v>
      </c>
      <c r="Q22" s="14" t="str">
        <f>IF(tblHorasJun[Horas Trabalhadas Além Jornada]&lt;0,IF(OR(tblHorasJun[Evento 
(1º Período)]="",tblHorasJun[Evento 
(2º Período)]=""),tblHorasJun[Horas Trabalhadas Além Jornada],""),"")</f>
        <v/>
      </c>
      <c r="R22" s="14" t="str">
        <f>IF(tblHorasJun[Jornada Diária]&lt;&gt;"",IF((N(tblHorasJun[Jornada Diária])-ABS(N(tblHorasJun[Horas Trabalhadas Além Jornada])))=0,1,""),"")</f>
        <v/>
      </c>
      <c r="S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>
        <f t="shared" si="0"/>
        <v>0</v>
      </c>
      <c r="Q23" s="14" t="str">
        <f>IF(tblHorasJun[Horas Trabalhadas Além Jornada]&lt;0,IF(OR(tblHorasJun[Evento 
(1º Período)]="",tblHorasJun[Evento 
(2º Período)]=""),tblHorasJun[Horas Trabalhadas Além Jornada],""),"")</f>
        <v/>
      </c>
      <c r="R23" s="14" t="str">
        <f>IF(tblHorasJun[Jornada Diária]&lt;&gt;"",IF((N(tblHorasJun[Jornada Diária])-ABS(N(tblHorasJun[Horas Trabalhadas Além Jornada])))=0,1,""),"")</f>
        <v/>
      </c>
      <c r="S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>
        <f t="shared" si="0"/>
        <v>0</v>
      </c>
      <c r="Q24" s="14" t="str">
        <f>IF(tblHorasJun[Horas Trabalhadas Além Jornada]&lt;0,IF(OR(tblHorasJun[Evento 
(1º Período)]="",tblHorasJun[Evento 
(2º Período)]=""),tblHorasJun[Horas Trabalhadas Além Jornada],""),"")</f>
        <v/>
      </c>
      <c r="R24" s="14" t="str">
        <f>IF(tblHorasJun[Jornada Diária]&lt;&gt;"",IF((N(tblHorasJun[Jornada Diária])-ABS(N(tblHorasJun[Horas Trabalhadas Além Jornada])))=0,1,""),"")</f>
        <v/>
      </c>
      <c r="S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>
        <f t="shared" si="0"/>
        <v>0</v>
      </c>
      <c r="Q25" s="14" t="str">
        <f>IF(tblHorasJun[Horas Trabalhadas Além Jornada]&lt;0,IF(OR(tblHorasJun[Evento 
(1º Período)]="",tblHorasJun[Evento 
(2º Período)]=""),tblHorasJun[Horas Trabalhadas Além Jornada],""),"")</f>
        <v/>
      </c>
      <c r="R25" s="14" t="str">
        <f>IF(tblHorasJun[Jornada Diária]&lt;&gt;"",IF((N(tblHorasJun[Jornada Diária])-ABS(N(tblHorasJun[Horas Trabalhadas Além Jornada])))=0,1,""),"")</f>
        <v/>
      </c>
      <c r="S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>
        <f t="shared" si="0"/>
        <v>0</v>
      </c>
      <c r="Q26" s="14" t="str">
        <f>IF(tblHorasJun[Horas Trabalhadas Além Jornada]&lt;0,IF(OR(tblHorasJun[Evento 
(1º Período)]="",tblHorasJun[Evento 
(2º Período)]=""),tblHorasJun[Horas Trabalhadas Além Jornada],""),"")</f>
        <v/>
      </c>
      <c r="R26" s="14" t="str">
        <f>IF(tblHorasJun[Jornada Diária]&lt;&gt;"",IF((N(tblHorasJun[Jornada Diária])-ABS(N(tblHorasJun[Horas Trabalhadas Além Jornada])))=0,1,""),"")</f>
        <v/>
      </c>
      <c r="S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>
        <f t="shared" si="0"/>
        <v>0</v>
      </c>
      <c r="Q27" s="14" t="str">
        <f>IF(tblHorasJun[Horas Trabalhadas Além Jornada]&lt;0,IF(OR(tblHorasJun[Evento 
(1º Período)]="",tblHorasJun[Evento 
(2º Período)]=""),tblHorasJun[Horas Trabalhadas Além Jornada],""),"")</f>
        <v/>
      </c>
      <c r="R27" s="14" t="str">
        <f>IF(tblHorasJun[Jornada Diária]&lt;&gt;"",IF((N(tblHorasJun[Jornada Diária])-ABS(N(tblHorasJun[Horas Trabalhadas Além Jornada])))=0,1,""),"")</f>
        <v/>
      </c>
      <c r="S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>
        <f t="shared" si="0"/>
        <v>0</v>
      </c>
      <c r="Q28" s="14" t="str">
        <f>IF(tblHorasJun[Horas Trabalhadas Além Jornada]&lt;0,IF(OR(tblHorasJun[Evento 
(1º Período)]="",tblHorasJun[Evento 
(2º Período)]=""),tblHorasJun[Horas Trabalhadas Além Jornada],""),"")</f>
        <v/>
      </c>
      <c r="R28" s="14" t="str">
        <f>IF(tblHorasJun[Jornada Diária]&lt;&gt;"",IF((N(tblHorasJun[Jornada Diária])-ABS(N(tblHorasJun[Horas Trabalhadas Além Jornada])))=0,1,""),"")</f>
        <v/>
      </c>
      <c r="S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>
        <f t="shared" si="0"/>
        <v>0</v>
      </c>
      <c r="Q29" s="14" t="str">
        <f>IF(tblHorasJun[Horas Trabalhadas Além Jornada]&lt;0,IF(OR(tblHorasJun[Evento 
(1º Período)]="",tblHorasJun[Evento 
(2º Período)]=""),tblHorasJun[Horas Trabalhadas Além Jornada],""),"")</f>
        <v/>
      </c>
      <c r="R29" s="14" t="str">
        <f>IF(tblHorasJun[Jornada Diária]&lt;&gt;"",IF((N(tblHorasJun[Jornada Diária])-ABS(N(tblHorasJun[Horas Trabalhadas Além Jornada])))=0,1,""),"")</f>
        <v/>
      </c>
      <c r="S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>
        <f t="shared" si="0"/>
        <v>0</v>
      </c>
      <c r="Q30" s="14" t="str">
        <f>IF(tblHorasJun[Horas Trabalhadas Além Jornada]&lt;0,IF(OR(tblHorasJun[Evento 
(1º Período)]="",tblHorasJun[Evento 
(2º Período)]=""),tblHorasJun[Horas Trabalhadas Além Jornada],""),"")</f>
        <v/>
      </c>
      <c r="R30" s="14" t="str">
        <f>IF(tblHorasJun[Jornada Diária]&lt;&gt;"",IF((N(tblHorasJun[Jornada Diária])-ABS(N(tblHorasJun[Horas Trabalhadas Além Jornada])))=0,1,""),"")</f>
        <v/>
      </c>
      <c r="S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>
        <f t="shared" si="0"/>
        <v>0</v>
      </c>
      <c r="Q31" s="14" t="str">
        <f>IF(tblHorasJun[Horas Trabalhadas Além Jornada]&lt;0,IF(OR(tblHorasJun[Evento 
(1º Período)]="",tblHorasJun[Evento 
(2º Período)]=""),tblHorasJun[Horas Trabalhadas Além Jornada],""),"")</f>
        <v/>
      </c>
      <c r="R31" s="14" t="str">
        <f>IF(tblHorasJun[Jornada Diária]&lt;&gt;"",IF((N(tblHorasJun[Jornada Diária])-ABS(N(tblHorasJun[Horas Trabalhadas Além Jornada])))=0,1,""),"")</f>
        <v/>
      </c>
      <c r="S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>
        <f t="shared" si="0"/>
        <v>0</v>
      </c>
      <c r="Q32" s="14" t="str">
        <f>IF(tblHorasJun[Horas Trabalhadas Além Jornada]&lt;0,IF(OR(tblHorasJun[Evento 
(1º Período)]="",tblHorasJun[Evento 
(2º Período)]=""),tblHorasJun[Horas Trabalhadas Além Jornada],""),"")</f>
        <v/>
      </c>
      <c r="R32" s="14" t="str">
        <f>IF(tblHorasJun[Jornada Diária]&lt;&gt;"",IF((N(tblHorasJun[Jornada Diária])-ABS(N(tblHorasJun[Horas Trabalhadas Além Jornada])))=0,1,""),"")</f>
        <v/>
      </c>
      <c r="S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>
        <f t="shared" si="0"/>
        <v>0</v>
      </c>
      <c r="Q33" s="14" t="str">
        <f>IF(tblHorasJun[Horas Trabalhadas Além Jornada]&lt;0,IF(OR(tblHorasJun[Evento 
(1º Período)]="",tblHorasJun[Evento 
(2º Período)]=""),tblHorasJun[Horas Trabalhadas Além Jornada],""),"")</f>
        <v/>
      </c>
      <c r="R33" s="14" t="str">
        <f>IF(tblHorasJun[Jornada Diária]&lt;&gt;"",IF((N(tblHorasJun[Jornada Diária])-ABS(N(tblHorasJun[Horas Trabalhadas Além Jornada])))=0,1,""),"")</f>
        <v/>
      </c>
      <c r="S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>
        <f t="shared" si="0"/>
        <v>0</v>
      </c>
      <c r="Q34" s="14" t="str">
        <f>IF(tblHorasJun[Horas Trabalhadas Além Jornada]&lt;0,IF(OR(tblHorasJun[Evento 
(1º Período)]="",tblHorasJun[Evento 
(2º Período)]=""),tblHorasJun[Horas Trabalhadas Além Jornada],""),"")</f>
        <v/>
      </c>
      <c r="R34" s="14" t="str">
        <f>IF(tblHorasJun[Jornada Diária]&lt;&gt;"",IF((N(tblHorasJun[Jornada Diária])-ABS(N(tblHorasJun[Horas Trabalhadas Além Jornada])))=0,1,""),"")</f>
        <v/>
      </c>
      <c r="S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>
        <f t="shared" si="0"/>
        <v>0</v>
      </c>
      <c r="Q35" s="14" t="str">
        <f>IF(tblHorasJun[Horas Trabalhadas Além Jornada]&lt;0,IF(OR(tblHorasJun[Evento 
(1º Período)]="",tblHorasJun[Evento 
(2º Período)]=""),tblHorasJun[Horas Trabalhadas Além Jornada],""),"")</f>
        <v/>
      </c>
      <c r="R35" s="14" t="str">
        <f>IF(tblHorasJun[Jornada Diária]&lt;&gt;"",IF((N(tblHorasJun[Jornada Diária])-ABS(N(tblHorasJun[Horas Trabalhadas Além Jornada])))=0,1,""),"")</f>
        <v/>
      </c>
      <c r="S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>
        <f t="shared" si="0"/>
        <v>0</v>
      </c>
      <c r="Q36" s="14" t="str">
        <f>IF(tblHorasJun[Horas Trabalhadas Além Jornada]&lt;0,IF(OR(tblHorasJun[Evento 
(1º Período)]="",tblHorasJun[Evento 
(2º Período)]=""),tblHorasJun[Horas Trabalhadas Além Jornada],""),"")</f>
        <v/>
      </c>
      <c r="R36" s="14" t="str">
        <f>IF(tblHorasJun[Jornada Diária]&lt;&gt;"",IF((N(tblHorasJun[Jornada Diária])-ABS(N(tblHorasJun[Horas Trabalhadas Além Jornada])))=0,1,""),"")</f>
        <v/>
      </c>
      <c r="S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>
        <f t="shared" si="0"/>
        <v>0</v>
      </c>
      <c r="Q37" s="14" t="str">
        <f>IF(tblHorasJun[Horas Trabalhadas Além Jornada]&lt;0,IF(OR(tblHorasJun[Evento 
(1º Período)]="",tblHorasJun[Evento 
(2º Período)]=""),tblHorasJun[Horas Trabalhadas Além Jornada],""),"")</f>
        <v/>
      </c>
      <c r="R37" s="14" t="str">
        <f>IF(tblHorasJun[Jornada Diária]&lt;&gt;"",IF((N(tblHorasJun[Jornada Diária])-ABS(N(tblHorasJun[Horas Trabalhadas Além Jornada])))=0,1,""),"")</f>
        <v/>
      </c>
      <c r="S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>
        <f t="shared" si="0"/>
        <v>0</v>
      </c>
      <c r="Q38" s="14" t="str">
        <f>IF(tblHorasJun[Horas Trabalhadas Além Jornada]&lt;0,IF(OR(tblHorasJun[Evento 
(1º Período)]="",tblHorasJun[Evento 
(2º Período)]=""),tblHorasJun[Horas Trabalhadas Além Jornada],""),"")</f>
        <v/>
      </c>
      <c r="R38" s="14" t="str">
        <f>IF(tblHorasJun[Jornada Diária]&lt;&gt;"",IF((N(tblHorasJun[Jornada Diária])-ABS(N(tblHorasJun[Horas Trabalhadas Além Jornada])))=0,1,""),"")</f>
        <v/>
      </c>
      <c r="S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IF(VLOOKUP(tblHorasJun[Dia],tblDiaUtil[[Abreviatura]:[Total Jornada]],5,FALSE)&lt;&gt;"",VLOOKUP(tblHorasJun[Dia],tblDiaUtil[[Abreviatura]:[Total Jornada]],5,FALSE),JORNADA),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
-IF(VLOOKUP(tblHorasJun[Dia],tblDiaUtil[[Abreviatura]:[Total Jornada]],5,FALSE)&lt;&gt;"",VLOOKUP(tblHorasJun[Dia],tblDiaUtil[[Abreviatura]:[Total Jornada]],5,FALSE),JORNADA),
IF(IF(ISERROR(VLOOKUP(tblHorasJun[Evento 
(1º Período)],tblEvento[[Evento]:[Libera o Período]],4,FALSE)),FALSE,
IF(VLOOKUP(tblHorasJun[Evento 
(1º Período)],tblEvento[[Evento]:[Libera o Período]],4,FALSE)="Não",TRUE,FALSE)
),
-IF(VLOOKUP(tblHorasJun[Dia],tblDiaUtil[[Abreviatura]:[1º Período]],3,FALSE)&lt;&gt;"",VLOOKUP(tblHorasJun[Dia],tblDiaUtil[[Abreviatura]:[1º Período]],3,FALSE),JORNADA_PERIODO_1),
IF(IF(ISERROR(VLOOKUP(tblHorasJun[Evento 
(2º Período)],tblEvento[[Evento]:[Libera o Período]],4,FALSE)),FALSE,IF(VLOOKUP(tblHorasJun[Evento 
(2º Período)],tblEvento[[Evento]:[Libera o Período]],4,FALSE)="Não",TRUE,FALSE)),
-IF(VLOOKUP(tblHorasJun[Dia],tblDiaUtil[[Abreviatura]:[2º Período]],4,FALSE)&lt;&gt;"",VLOOKUP(tblHorasJun[Dia],tblDiaUtil[[Abreviatura]:[2º Período]],4,FALSE),JORNADA_PERIODO_2),0))))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>
        <f t="shared" si="0"/>
        <v>0</v>
      </c>
      <c r="Q39" s="14" t="str">
        <f>IF(tblHorasJun[Horas Trabalhadas Além Jornada]&lt;0,IF(OR(tblHorasJun[Evento 
(1º Período)]="",tblHorasJun[Evento 
(2º Período)]=""),tblHorasJun[Horas Trabalhadas Além Jornada],""),"")</f>
        <v/>
      </c>
      <c r="R39" s="14" t="str">
        <f>IF(tblHorasJun[Jornada Diária]&lt;&gt;"",IF((N(tblHorasJun[Jornada Diária])-ABS(N(tblHorasJun[Horas Trabalhadas Além Jornada])))=0,1,""),"")</f>
        <v/>
      </c>
      <c r="S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T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U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8W94qyua+/RCwNGDdYZUZljRYXSthicxxsesvHILZhxp6hjMbnb7BAE3Pgf9++VParOzqw1dN4x1jSbjymdsw==" saltValue="bE+JAijk9LFLfk03cncHe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DBE7F75-3AF0-4006-9428-C8AE37E91B2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E1016E8-B030-418F-A53C-ECE8F26D315F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B52BCA18-C606-4667-9666-C87D0E3E891D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F91C7385-3909-4D83-A49B-F3BE3BC3A3DB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3481086A-8A49-49F4-B658-29139893CB5A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7B314C8-89F6-4E27-9A69-BBBC7963A2C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69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IF(CONT_MES_ANTERIOR="Sim",Junho!O39,0)</f>
        <v>0</v>
      </c>
      <c r="P7" s="45">
        <f>SUM(tblHorasJul[Atrasos
(horas)])</f>
        <v>0</v>
      </c>
      <c r="Q7" s="45">
        <f>SUM(tblHorasJul[Atrasos
(horas)])</f>
        <v>0</v>
      </c>
      <c r="R7" s="46">
        <f>SUM(tblHorasJul[Faltas
(dias)])</f>
        <v>0</v>
      </c>
      <c r="S7" s="45">
        <f>SUM(tblHorasJul[Hora Extra Normal])</f>
        <v>0</v>
      </c>
      <c r="T7" s="45">
        <f>SUM(tblHorasJul[Hora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>
        <f t="shared" ref="P9:P39" si="0">G9-F9</f>
        <v>0</v>
      </c>
      <c r="Q9" s="14" t="str">
        <f>IF(tblHorasJul[Horas Trabalhadas Além Jornada]&lt;0,IF(OR(tblHorasJul[Evento 
(1º Período)]="",tblHorasJul[Evento 
(2º Período)]=""),tblHorasJul[Horas Trabalhadas Além Jornada],""),"")</f>
        <v/>
      </c>
      <c r="R9" s="14" t="str">
        <f>IF(tblHorasJul[Jornada Diária]&lt;&gt;"",IF((N(tblHorasJul[Jornada Diária])-ABS(N(tblHorasJul[Horas Trabalhadas Além Jornada])))=0,1,""),"")</f>
        <v/>
      </c>
      <c r="S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>
        <f t="shared" si="0"/>
        <v>0</v>
      </c>
      <c r="Q10" s="14" t="str">
        <f>IF(tblHorasJul[Horas Trabalhadas Além Jornada]&lt;0,IF(OR(tblHorasJul[Evento 
(1º Período)]="",tblHorasJul[Evento 
(2º Período)]=""),tblHorasJul[Horas Trabalhadas Além Jornada],""),"")</f>
        <v/>
      </c>
      <c r="R10" s="14" t="str">
        <f>IF(tblHorasJul[Jornada Diária]&lt;&gt;"",IF((N(tblHorasJul[Jornada Diária])-ABS(N(tblHorasJul[Horas Trabalhadas Além Jornada])))=0,1,""),"")</f>
        <v/>
      </c>
      <c r="S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>
        <f t="shared" si="0"/>
        <v>0</v>
      </c>
      <c r="Q11" s="14" t="str">
        <f>IF(tblHorasJul[Horas Trabalhadas Além Jornada]&lt;0,IF(OR(tblHorasJul[Evento 
(1º Período)]="",tblHorasJul[Evento 
(2º Período)]=""),tblHorasJul[Horas Trabalhadas Além Jornada],""),"")</f>
        <v/>
      </c>
      <c r="R11" s="14" t="str">
        <f>IF(tblHorasJul[Jornada Diária]&lt;&gt;"",IF((N(tblHorasJul[Jornada Diária])-ABS(N(tblHorasJul[Horas Trabalhadas Além Jornada])))=0,1,""),"")</f>
        <v/>
      </c>
      <c r="S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>
        <f t="shared" si="0"/>
        <v>0</v>
      </c>
      <c r="Q12" s="14" t="str">
        <f>IF(tblHorasJul[Horas Trabalhadas Além Jornada]&lt;0,IF(OR(tblHorasJul[Evento 
(1º Período)]="",tblHorasJul[Evento 
(2º Período)]=""),tblHorasJul[Horas Trabalhadas Além Jornada],""),"")</f>
        <v/>
      </c>
      <c r="R12" s="14" t="str">
        <f>IF(tblHorasJul[Jornada Diária]&lt;&gt;"",IF((N(tblHorasJul[Jornada Diária])-ABS(N(tblHorasJul[Horas Trabalhadas Além Jornada])))=0,1,""),"")</f>
        <v/>
      </c>
      <c r="S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>
        <f t="shared" si="0"/>
        <v>0</v>
      </c>
      <c r="Q13" s="14" t="str">
        <f>IF(tblHorasJul[Horas Trabalhadas Além Jornada]&lt;0,IF(OR(tblHorasJul[Evento 
(1º Período)]="",tblHorasJul[Evento 
(2º Período)]=""),tblHorasJul[Horas Trabalhadas Além Jornada],""),"")</f>
        <v/>
      </c>
      <c r="R13" s="14" t="str">
        <f>IF(tblHorasJul[Jornada Diária]&lt;&gt;"",IF((N(tblHorasJul[Jornada Diária])-ABS(N(tblHorasJul[Horas Trabalhadas Além Jornada])))=0,1,""),"")</f>
        <v/>
      </c>
      <c r="S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>
        <f t="shared" si="0"/>
        <v>0</v>
      </c>
      <c r="Q14" s="14" t="str">
        <f>IF(tblHorasJul[Horas Trabalhadas Além Jornada]&lt;0,IF(OR(tblHorasJul[Evento 
(1º Período)]="",tblHorasJul[Evento 
(2º Período)]=""),tblHorasJul[Horas Trabalhadas Além Jornada],""),"")</f>
        <v/>
      </c>
      <c r="R14" s="14" t="str">
        <f>IF(tblHorasJul[Jornada Diária]&lt;&gt;"",IF((N(tblHorasJul[Jornada Diária])-ABS(N(tblHorasJul[Horas Trabalhadas Além Jornada])))=0,1,""),"")</f>
        <v/>
      </c>
      <c r="S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>
        <f t="shared" si="0"/>
        <v>0</v>
      </c>
      <c r="Q15" s="14" t="str">
        <f>IF(tblHorasJul[Horas Trabalhadas Além Jornada]&lt;0,IF(OR(tblHorasJul[Evento 
(1º Período)]="",tblHorasJul[Evento 
(2º Período)]=""),tblHorasJul[Horas Trabalhadas Além Jornada],""),"")</f>
        <v/>
      </c>
      <c r="R15" s="14" t="str">
        <f>IF(tblHorasJul[Jornada Diária]&lt;&gt;"",IF((N(tblHorasJul[Jornada Diária])-ABS(N(tblHorasJul[Horas Trabalhadas Além Jornada])))=0,1,""),"")</f>
        <v/>
      </c>
      <c r="S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>
        <f t="shared" si="0"/>
        <v>0</v>
      </c>
      <c r="Q16" s="14" t="str">
        <f>IF(tblHorasJul[Horas Trabalhadas Além Jornada]&lt;0,IF(OR(tblHorasJul[Evento 
(1º Período)]="",tblHorasJul[Evento 
(2º Período)]=""),tblHorasJul[Horas Trabalhadas Além Jornada],""),"")</f>
        <v/>
      </c>
      <c r="R16" s="14" t="str">
        <f>IF(tblHorasJul[Jornada Diária]&lt;&gt;"",IF((N(tblHorasJul[Jornada Diária])-ABS(N(tblHorasJul[Horas Trabalhadas Além Jornada])))=0,1,""),"")</f>
        <v/>
      </c>
      <c r="S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>
        <f t="shared" si="0"/>
        <v>0</v>
      </c>
      <c r="Q17" s="14" t="str">
        <f>IF(tblHorasJul[Horas Trabalhadas Além Jornada]&lt;0,IF(OR(tblHorasJul[Evento 
(1º Período)]="",tblHorasJul[Evento 
(2º Período)]=""),tblHorasJul[Horas Trabalhadas Além Jornada],""),"")</f>
        <v/>
      </c>
      <c r="R17" s="14" t="str">
        <f>IF(tblHorasJul[Jornada Diária]&lt;&gt;"",IF((N(tblHorasJul[Jornada Diária])-ABS(N(tblHorasJul[Horas Trabalhadas Além Jornada])))=0,1,""),"")</f>
        <v/>
      </c>
      <c r="S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>
        <f t="shared" si="0"/>
        <v>0</v>
      </c>
      <c r="Q18" s="14" t="str">
        <f>IF(tblHorasJul[Horas Trabalhadas Além Jornada]&lt;0,IF(OR(tblHorasJul[Evento 
(1º Período)]="",tblHorasJul[Evento 
(2º Período)]=""),tblHorasJul[Horas Trabalhadas Além Jornada],""),"")</f>
        <v/>
      </c>
      <c r="R18" s="14" t="str">
        <f>IF(tblHorasJul[Jornada Diária]&lt;&gt;"",IF((N(tblHorasJul[Jornada Diária])-ABS(N(tblHorasJul[Horas Trabalhadas Além Jornada])))=0,1,""),"")</f>
        <v/>
      </c>
      <c r="S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>
        <f t="shared" si="0"/>
        <v>0</v>
      </c>
      <c r="Q19" s="14" t="str">
        <f>IF(tblHorasJul[Horas Trabalhadas Além Jornada]&lt;0,IF(OR(tblHorasJul[Evento 
(1º Período)]="",tblHorasJul[Evento 
(2º Período)]=""),tblHorasJul[Horas Trabalhadas Além Jornada],""),"")</f>
        <v/>
      </c>
      <c r="R19" s="14" t="str">
        <f>IF(tblHorasJul[Jornada Diária]&lt;&gt;"",IF((N(tblHorasJul[Jornada Diária])-ABS(N(tblHorasJul[Horas Trabalhadas Além Jornada])))=0,1,""),"")</f>
        <v/>
      </c>
      <c r="S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>
        <f t="shared" si="0"/>
        <v>0</v>
      </c>
      <c r="Q20" s="14" t="str">
        <f>IF(tblHorasJul[Horas Trabalhadas Além Jornada]&lt;0,IF(OR(tblHorasJul[Evento 
(1º Período)]="",tblHorasJul[Evento 
(2º Período)]=""),tblHorasJul[Horas Trabalhadas Além Jornada],""),"")</f>
        <v/>
      </c>
      <c r="R20" s="14" t="str">
        <f>IF(tblHorasJul[Jornada Diária]&lt;&gt;"",IF((N(tblHorasJul[Jornada Diária])-ABS(N(tblHorasJul[Horas Trabalhadas Além Jornada])))=0,1,""),"")</f>
        <v/>
      </c>
      <c r="S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>
        <f t="shared" si="0"/>
        <v>0</v>
      </c>
      <c r="Q21" s="14" t="str">
        <f>IF(tblHorasJul[Horas Trabalhadas Além Jornada]&lt;0,IF(OR(tblHorasJul[Evento 
(1º Período)]="",tblHorasJul[Evento 
(2º Período)]=""),tblHorasJul[Horas Trabalhadas Além Jornada],""),"")</f>
        <v/>
      </c>
      <c r="R21" s="14" t="str">
        <f>IF(tblHorasJul[Jornada Diária]&lt;&gt;"",IF((N(tblHorasJul[Jornada Diária])-ABS(N(tblHorasJul[Horas Trabalhadas Além Jornada])))=0,1,""),"")</f>
        <v/>
      </c>
      <c r="S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>
        <f t="shared" si="0"/>
        <v>0</v>
      </c>
      <c r="Q22" s="14" t="str">
        <f>IF(tblHorasJul[Horas Trabalhadas Além Jornada]&lt;0,IF(OR(tblHorasJul[Evento 
(1º Período)]="",tblHorasJul[Evento 
(2º Período)]=""),tblHorasJul[Horas Trabalhadas Além Jornada],""),"")</f>
        <v/>
      </c>
      <c r="R22" s="14" t="str">
        <f>IF(tblHorasJul[Jornada Diária]&lt;&gt;"",IF((N(tblHorasJul[Jornada Diária])-ABS(N(tblHorasJul[Horas Trabalhadas Além Jornada])))=0,1,""),"")</f>
        <v/>
      </c>
      <c r="S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>
        <f t="shared" si="0"/>
        <v>0</v>
      </c>
      <c r="Q23" s="14" t="str">
        <f>IF(tblHorasJul[Horas Trabalhadas Além Jornada]&lt;0,IF(OR(tblHorasJul[Evento 
(1º Período)]="",tblHorasJul[Evento 
(2º Período)]=""),tblHorasJul[Horas Trabalhadas Além Jornada],""),"")</f>
        <v/>
      </c>
      <c r="R23" s="14" t="str">
        <f>IF(tblHorasJul[Jornada Diária]&lt;&gt;"",IF((N(tblHorasJul[Jornada Diária])-ABS(N(tblHorasJul[Horas Trabalhadas Além Jornada])))=0,1,""),"")</f>
        <v/>
      </c>
      <c r="S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>
        <f t="shared" si="0"/>
        <v>0</v>
      </c>
      <c r="Q24" s="14" t="str">
        <f>IF(tblHorasJul[Horas Trabalhadas Além Jornada]&lt;0,IF(OR(tblHorasJul[Evento 
(1º Período)]="",tblHorasJul[Evento 
(2º Período)]=""),tblHorasJul[Horas Trabalhadas Além Jornada],""),"")</f>
        <v/>
      </c>
      <c r="R24" s="14" t="str">
        <f>IF(tblHorasJul[Jornada Diária]&lt;&gt;"",IF((N(tblHorasJul[Jornada Diária])-ABS(N(tblHorasJul[Horas Trabalhadas Além Jornada])))=0,1,""),"")</f>
        <v/>
      </c>
      <c r="S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>
        <f t="shared" si="0"/>
        <v>0</v>
      </c>
      <c r="Q25" s="14" t="str">
        <f>IF(tblHorasJul[Horas Trabalhadas Além Jornada]&lt;0,IF(OR(tblHorasJul[Evento 
(1º Período)]="",tblHorasJul[Evento 
(2º Período)]=""),tblHorasJul[Horas Trabalhadas Além Jornada],""),"")</f>
        <v/>
      </c>
      <c r="R25" s="14" t="str">
        <f>IF(tblHorasJul[Jornada Diária]&lt;&gt;"",IF((N(tblHorasJul[Jornada Diária])-ABS(N(tblHorasJul[Horas Trabalhadas Além Jornada])))=0,1,""),"")</f>
        <v/>
      </c>
      <c r="S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>
        <f t="shared" si="0"/>
        <v>0</v>
      </c>
      <c r="Q26" s="14" t="str">
        <f>IF(tblHorasJul[Horas Trabalhadas Além Jornada]&lt;0,IF(OR(tblHorasJul[Evento 
(1º Período)]="",tblHorasJul[Evento 
(2º Período)]=""),tblHorasJul[Horas Trabalhadas Além Jornada],""),"")</f>
        <v/>
      </c>
      <c r="R26" s="14" t="str">
        <f>IF(tblHorasJul[Jornada Diária]&lt;&gt;"",IF((N(tblHorasJul[Jornada Diária])-ABS(N(tblHorasJul[Horas Trabalhadas Além Jornada])))=0,1,""),"")</f>
        <v/>
      </c>
      <c r="S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>
        <f t="shared" si="0"/>
        <v>0</v>
      </c>
      <c r="Q27" s="14" t="str">
        <f>IF(tblHorasJul[Horas Trabalhadas Além Jornada]&lt;0,IF(OR(tblHorasJul[Evento 
(1º Período)]="",tblHorasJul[Evento 
(2º Período)]=""),tblHorasJul[Horas Trabalhadas Além Jornada],""),"")</f>
        <v/>
      </c>
      <c r="R27" s="14" t="str">
        <f>IF(tblHorasJul[Jornada Diária]&lt;&gt;"",IF((N(tblHorasJul[Jornada Diária])-ABS(N(tblHorasJul[Horas Trabalhadas Além Jornada])))=0,1,""),"")</f>
        <v/>
      </c>
      <c r="S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>
        <f t="shared" si="0"/>
        <v>0</v>
      </c>
      <c r="Q28" s="14" t="str">
        <f>IF(tblHorasJul[Horas Trabalhadas Além Jornada]&lt;0,IF(OR(tblHorasJul[Evento 
(1º Período)]="",tblHorasJul[Evento 
(2º Período)]=""),tblHorasJul[Horas Trabalhadas Além Jornada],""),"")</f>
        <v/>
      </c>
      <c r="R28" s="14" t="str">
        <f>IF(tblHorasJul[Jornada Diária]&lt;&gt;"",IF((N(tblHorasJul[Jornada Diária])-ABS(N(tblHorasJul[Horas Trabalhadas Além Jornada])))=0,1,""),"")</f>
        <v/>
      </c>
      <c r="S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>
        <f t="shared" si="0"/>
        <v>0</v>
      </c>
      <c r="Q29" s="14" t="str">
        <f>IF(tblHorasJul[Horas Trabalhadas Além Jornada]&lt;0,IF(OR(tblHorasJul[Evento 
(1º Período)]="",tblHorasJul[Evento 
(2º Período)]=""),tblHorasJul[Horas Trabalhadas Além Jornada],""),"")</f>
        <v/>
      </c>
      <c r="R29" s="14" t="str">
        <f>IF(tblHorasJul[Jornada Diária]&lt;&gt;"",IF((N(tblHorasJul[Jornada Diária])-ABS(N(tblHorasJul[Horas Trabalhadas Além Jornada])))=0,1,""),"")</f>
        <v/>
      </c>
      <c r="S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>
        <f t="shared" si="0"/>
        <v>0</v>
      </c>
      <c r="Q30" s="14" t="str">
        <f>IF(tblHorasJul[Horas Trabalhadas Além Jornada]&lt;0,IF(OR(tblHorasJul[Evento 
(1º Período)]="",tblHorasJul[Evento 
(2º Período)]=""),tblHorasJul[Horas Trabalhadas Além Jornada],""),"")</f>
        <v/>
      </c>
      <c r="R30" s="14" t="str">
        <f>IF(tblHorasJul[Jornada Diária]&lt;&gt;"",IF((N(tblHorasJul[Jornada Diária])-ABS(N(tblHorasJul[Horas Trabalhadas Além Jornada])))=0,1,""),"")</f>
        <v/>
      </c>
      <c r="S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>
        <f t="shared" si="0"/>
        <v>0</v>
      </c>
      <c r="Q31" s="14" t="str">
        <f>IF(tblHorasJul[Horas Trabalhadas Além Jornada]&lt;0,IF(OR(tblHorasJul[Evento 
(1º Período)]="",tblHorasJul[Evento 
(2º Período)]=""),tblHorasJul[Horas Trabalhadas Além Jornada],""),"")</f>
        <v/>
      </c>
      <c r="R31" s="14" t="str">
        <f>IF(tblHorasJul[Jornada Diária]&lt;&gt;"",IF((N(tblHorasJul[Jornada Diária])-ABS(N(tblHorasJul[Horas Trabalhadas Além Jornada])))=0,1,""),"")</f>
        <v/>
      </c>
      <c r="S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>
        <f t="shared" si="0"/>
        <v>0</v>
      </c>
      <c r="Q32" s="14" t="str">
        <f>IF(tblHorasJul[Horas Trabalhadas Além Jornada]&lt;0,IF(OR(tblHorasJul[Evento 
(1º Período)]="",tblHorasJul[Evento 
(2º Período)]=""),tblHorasJul[Horas Trabalhadas Além Jornada],""),"")</f>
        <v/>
      </c>
      <c r="R32" s="14" t="str">
        <f>IF(tblHorasJul[Jornada Diária]&lt;&gt;"",IF((N(tblHorasJul[Jornada Diária])-ABS(N(tblHorasJul[Horas Trabalhadas Além Jornada])))=0,1,""),"")</f>
        <v/>
      </c>
      <c r="S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>
        <f t="shared" si="0"/>
        <v>0</v>
      </c>
      <c r="Q33" s="14" t="str">
        <f>IF(tblHorasJul[Horas Trabalhadas Além Jornada]&lt;0,IF(OR(tblHorasJul[Evento 
(1º Período)]="",tblHorasJul[Evento 
(2º Período)]=""),tblHorasJul[Horas Trabalhadas Além Jornada],""),"")</f>
        <v/>
      </c>
      <c r="R33" s="14" t="str">
        <f>IF(tblHorasJul[Jornada Diária]&lt;&gt;"",IF((N(tblHorasJul[Jornada Diária])-ABS(N(tblHorasJul[Horas Trabalhadas Além Jornada])))=0,1,""),"")</f>
        <v/>
      </c>
      <c r="S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>
        <f t="shared" si="0"/>
        <v>0</v>
      </c>
      <c r="Q34" s="14" t="str">
        <f>IF(tblHorasJul[Horas Trabalhadas Além Jornada]&lt;0,IF(OR(tblHorasJul[Evento 
(1º Período)]="",tblHorasJul[Evento 
(2º Período)]=""),tblHorasJul[Horas Trabalhadas Além Jornada],""),"")</f>
        <v/>
      </c>
      <c r="R34" s="14" t="str">
        <f>IF(tblHorasJul[Jornada Diária]&lt;&gt;"",IF((N(tblHorasJul[Jornada Diária])-ABS(N(tblHorasJul[Horas Trabalhadas Além Jornada])))=0,1,""),"")</f>
        <v/>
      </c>
      <c r="S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>
        <f t="shared" si="0"/>
        <v>0</v>
      </c>
      <c r="Q35" s="14" t="str">
        <f>IF(tblHorasJul[Horas Trabalhadas Além Jornada]&lt;0,IF(OR(tblHorasJul[Evento 
(1º Período)]="",tblHorasJul[Evento 
(2º Período)]=""),tblHorasJul[Horas Trabalhadas Além Jornada],""),"")</f>
        <v/>
      </c>
      <c r="R35" s="14" t="str">
        <f>IF(tblHorasJul[Jornada Diária]&lt;&gt;"",IF((N(tblHorasJul[Jornada Diária])-ABS(N(tblHorasJul[Horas Trabalhadas Além Jornada])))=0,1,""),"")</f>
        <v/>
      </c>
      <c r="S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>
        <f t="shared" si="0"/>
        <v>0</v>
      </c>
      <c r="Q36" s="14" t="str">
        <f>IF(tblHorasJul[Horas Trabalhadas Além Jornada]&lt;0,IF(OR(tblHorasJul[Evento 
(1º Período)]="",tblHorasJul[Evento 
(2º Período)]=""),tblHorasJul[Horas Trabalhadas Além Jornada],""),"")</f>
        <v/>
      </c>
      <c r="R36" s="14" t="str">
        <f>IF(tblHorasJul[Jornada Diária]&lt;&gt;"",IF((N(tblHorasJul[Jornada Diária])-ABS(N(tblHorasJul[Horas Trabalhadas Além Jornada])))=0,1,""),"")</f>
        <v/>
      </c>
      <c r="S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>
        <f t="shared" si="0"/>
        <v>0</v>
      </c>
      <c r="Q37" s="14" t="str">
        <f>IF(tblHorasJul[Horas Trabalhadas Além Jornada]&lt;0,IF(OR(tblHorasJul[Evento 
(1º Período)]="",tblHorasJul[Evento 
(2º Período)]=""),tblHorasJul[Horas Trabalhadas Além Jornada],""),"")</f>
        <v/>
      </c>
      <c r="R37" s="14" t="str">
        <f>IF(tblHorasJul[Jornada Diária]&lt;&gt;"",IF((N(tblHorasJul[Jornada Diária])-ABS(N(tblHorasJul[Horas Trabalhadas Além Jornada])))=0,1,""),"")</f>
        <v/>
      </c>
      <c r="S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>
        <f t="shared" si="0"/>
        <v>0</v>
      </c>
      <c r="Q38" s="14" t="str">
        <f>IF(tblHorasJul[Horas Trabalhadas Além Jornada]&lt;0,IF(OR(tblHorasJul[Evento 
(1º Período)]="",tblHorasJul[Evento 
(2º Período)]=""),tblHorasJul[Horas Trabalhadas Além Jornada],""),"")</f>
        <v/>
      </c>
      <c r="R38" s="14" t="str">
        <f>IF(tblHorasJul[Jornada Diária]&lt;&gt;"",IF((N(tblHorasJul[Jornada Diária])-ABS(N(tblHorasJul[Horas Trabalhadas Além Jornada])))=0,1,""),"")</f>
        <v/>
      </c>
      <c r="S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IF(VLOOKUP(tblHorasJul[Dia],tblDiaUtil[[Abreviatura]:[Total Jornada]],5,FALSE)&lt;&gt;"",VLOOKUP(tblHorasJul[Dia],tblDiaUtil[[Abreviatura]:[Total Jornada]],5,FALSE),JORNADA),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
-IF(VLOOKUP(tblHorasJul[Dia],tblDiaUtil[[Abreviatura]:[Total Jornada]],5,FALSE)&lt;&gt;"",VLOOKUP(tblHorasJul[Dia],tblDiaUtil[[Abreviatura]:[Total Jornada]],5,FALSE),JORNADA),
IF(IF(ISERROR(VLOOKUP(tblHorasJul[Evento 
(1º Período)],tblEvento[[Evento]:[Libera o Período]],4,FALSE)),FALSE,
IF(VLOOKUP(tblHorasJul[Evento 
(1º Período)],tblEvento[[Evento]:[Libera o Período]],4,FALSE)="Não",TRUE,FALSE)
),
-IF(VLOOKUP(tblHorasJul[Dia],tblDiaUtil[[Abreviatura]:[1º Período]],3,FALSE)&lt;&gt;"",VLOOKUP(tblHorasJul[Dia],tblDiaUtil[[Abreviatura]:[1º Período]],3,FALSE),JORNADA_PERIODO_1),
IF(IF(ISERROR(VLOOKUP(tblHorasJul[Evento 
(2º Período)],tblEvento[[Evento]:[Libera o Período]],4,FALSE)),FALSE,IF(VLOOKUP(tblHorasJul[Evento 
(2º Período)],tblEvento[[Evento]:[Libera o Período]],4,FALSE)="Não",TRUE,FALSE)),
-IF(VLOOKUP(tblHorasJul[Dia],tblDiaUtil[[Abreviatura]:[2º Período]],4,FALSE)&lt;&gt;"",VLOOKUP(tblHorasJul[Dia],tblDiaUtil[[Abreviatura]:[2º Período]],4,FALSE),JORNADA_PERIODO_2),0))))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>
        <f t="shared" si="0"/>
        <v>0</v>
      </c>
      <c r="Q39" s="14" t="str">
        <f>IF(tblHorasJul[Horas Trabalhadas Além Jornada]&lt;0,IF(OR(tblHorasJul[Evento 
(1º Período)]="",tblHorasJul[Evento 
(2º Período)]=""),tblHorasJul[Horas Trabalhadas Além Jornada],""),"")</f>
        <v/>
      </c>
      <c r="R39" s="14" t="str">
        <f>IF(tblHorasJul[Jornada Diária]&lt;&gt;"",IF((N(tblHorasJul[Jornada Diária])-ABS(N(tblHorasJul[Horas Trabalhadas Além Jornada])))=0,1,""),"")</f>
        <v/>
      </c>
      <c r="S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T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U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WCw3BhQ0GNI3ULEdNg0X7f/fdGXqs2hiNNvkiJ97MSkmNjitVhg26YZAOEvbfv4aCDgthNEM+yRtAuf3B8ePzQ==" saltValue="ejDMUUUho5s+spfm7hNmw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B8715-F719-40A7-8E8C-B48B9C93CED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1D059D01-BBA4-442C-BDA8-0D41D20189B1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B447094-E11A-417E-828D-065DB0D53ED3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ACF6BA49-1AEE-414E-B874-D20DD452F2F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5A184FD1-F5BF-40D8-B153-64F22F7A4CAA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59BDE330-3DF9-4DE5-BB42-D8A78D057E21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70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IF(CONT_MES_ANTERIOR="Sim",Julho!O39,0)</f>
        <v>0</v>
      </c>
      <c r="P7" s="45">
        <f>SUM(tblHorasAgo[Atrasos
(horas)])</f>
        <v>0</v>
      </c>
      <c r="Q7" s="45">
        <f>SUM(tblHorasAgo[Atrasos
(horas)])</f>
        <v>0</v>
      </c>
      <c r="R7" s="46">
        <f>SUM(tblHorasAgo[Faltas
(dias)])</f>
        <v>0</v>
      </c>
      <c r="S7" s="45">
        <f>SUM(tblHorasAgo[Hora Extra Normal])</f>
        <v>0</v>
      </c>
      <c r="T7" s="45">
        <f>SUM(tblHorasAgo[Hora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>
        <f t="shared" ref="P9:P39" si="0">G9-F9</f>
        <v>0</v>
      </c>
      <c r="Q9" s="14" t="str">
        <f>IF(tblHorasAgo[Horas Trabalhadas Além Jornada]&lt;0,IF(OR(tblHorasAgo[Evento 
(1º Período)]="",tblHorasAgo[Evento 
(2º Período)]=""),tblHorasAgo[Horas Trabalhadas Além Jornada],""),"")</f>
        <v/>
      </c>
      <c r="R9" s="14" t="str">
        <f>IF(tblHorasAgo[Jornada Diária]&lt;&gt;"",IF((N(tblHorasAgo[Jornada Diária])-ABS(N(tblHorasAgo[Horas Trabalhadas Além Jornada])))=0,1,""),"")</f>
        <v/>
      </c>
      <c r="S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>
        <f t="shared" si="0"/>
        <v>0</v>
      </c>
      <c r="Q10" s="14" t="str">
        <f>IF(tblHorasAgo[Horas Trabalhadas Além Jornada]&lt;0,IF(OR(tblHorasAgo[Evento 
(1º Período)]="",tblHorasAgo[Evento 
(2º Período)]=""),tblHorasAgo[Horas Trabalhadas Além Jornada],""),"")</f>
        <v/>
      </c>
      <c r="R10" s="14" t="str">
        <f>IF(tblHorasAgo[Jornada Diária]&lt;&gt;"",IF((N(tblHorasAgo[Jornada Diária])-ABS(N(tblHorasAgo[Horas Trabalhadas Além Jornada])))=0,1,""),"")</f>
        <v/>
      </c>
      <c r="S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>
        <f t="shared" si="0"/>
        <v>0</v>
      </c>
      <c r="Q11" s="14" t="str">
        <f>IF(tblHorasAgo[Horas Trabalhadas Além Jornada]&lt;0,IF(OR(tblHorasAgo[Evento 
(1º Período)]="",tblHorasAgo[Evento 
(2º Período)]=""),tblHorasAgo[Horas Trabalhadas Além Jornada],""),"")</f>
        <v/>
      </c>
      <c r="R11" s="14" t="str">
        <f>IF(tblHorasAgo[Jornada Diária]&lt;&gt;"",IF((N(tblHorasAgo[Jornada Diária])-ABS(N(tblHorasAgo[Horas Trabalhadas Além Jornada])))=0,1,""),"")</f>
        <v/>
      </c>
      <c r="S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>
        <f t="shared" si="0"/>
        <v>0</v>
      </c>
      <c r="Q12" s="14" t="str">
        <f>IF(tblHorasAgo[Horas Trabalhadas Além Jornada]&lt;0,IF(OR(tblHorasAgo[Evento 
(1º Período)]="",tblHorasAgo[Evento 
(2º Período)]=""),tblHorasAgo[Horas Trabalhadas Além Jornada],""),"")</f>
        <v/>
      </c>
      <c r="R12" s="14" t="str">
        <f>IF(tblHorasAgo[Jornada Diária]&lt;&gt;"",IF((N(tblHorasAgo[Jornada Diária])-ABS(N(tblHorasAgo[Horas Trabalhadas Além Jornada])))=0,1,""),"")</f>
        <v/>
      </c>
      <c r="S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>
        <f t="shared" si="0"/>
        <v>0</v>
      </c>
      <c r="Q13" s="14" t="str">
        <f>IF(tblHorasAgo[Horas Trabalhadas Além Jornada]&lt;0,IF(OR(tblHorasAgo[Evento 
(1º Período)]="",tblHorasAgo[Evento 
(2º Período)]=""),tblHorasAgo[Horas Trabalhadas Além Jornada],""),"")</f>
        <v/>
      </c>
      <c r="R13" s="14" t="str">
        <f>IF(tblHorasAgo[Jornada Diária]&lt;&gt;"",IF((N(tblHorasAgo[Jornada Diária])-ABS(N(tblHorasAgo[Horas Trabalhadas Além Jornada])))=0,1,""),"")</f>
        <v/>
      </c>
      <c r="S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>
        <f t="shared" si="0"/>
        <v>0</v>
      </c>
      <c r="Q14" s="14" t="str">
        <f>IF(tblHorasAgo[Horas Trabalhadas Além Jornada]&lt;0,IF(OR(tblHorasAgo[Evento 
(1º Período)]="",tblHorasAgo[Evento 
(2º Período)]=""),tblHorasAgo[Horas Trabalhadas Além Jornada],""),"")</f>
        <v/>
      </c>
      <c r="R14" s="14" t="str">
        <f>IF(tblHorasAgo[Jornada Diária]&lt;&gt;"",IF((N(tblHorasAgo[Jornada Diária])-ABS(N(tblHorasAgo[Horas Trabalhadas Além Jornada])))=0,1,""),"")</f>
        <v/>
      </c>
      <c r="S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>
        <f t="shared" si="0"/>
        <v>0</v>
      </c>
      <c r="Q15" s="14" t="str">
        <f>IF(tblHorasAgo[Horas Trabalhadas Além Jornada]&lt;0,IF(OR(tblHorasAgo[Evento 
(1º Período)]="",tblHorasAgo[Evento 
(2º Período)]=""),tblHorasAgo[Horas Trabalhadas Além Jornada],""),"")</f>
        <v/>
      </c>
      <c r="R15" s="14" t="str">
        <f>IF(tblHorasAgo[Jornada Diária]&lt;&gt;"",IF((N(tblHorasAgo[Jornada Diária])-ABS(N(tblHorasAgo[Horas Trabalhadas Além Jornada])))=0,1,""),"")</f>
        <v/>
      </c>
      <c r="S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>
        <f t="shared" si="0"/>
        <v>0</v>
      </c>
      <c r="Q16" s="14" t="str">
        <f>IF(tblHorasAgo[Horas Trabalhadas Além Jornada]&lt;0,IF(OR(tblHorasAgo[Evento 
(1º Período)]="",tblHorasAgo[Evento 
(2º Período)]=""),tblHorasAgo[Horas Trabalhadas Além Jornada],""),"")</f>
        <v/>
      </c>
      <c r="R16" s="14" t="str">
        <f>IF(tblHorasAgo[Jornada Diária]&lt;&gt;"",IF((N(tblHorasAgo[Jornada Diária])-ABS(N(tblHorasAgo[Horas Trabalhadas Além Jornada])))=0,1,""),"")</f>
        <v/>
      </c>
      <c r="S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>
        <f t="shared" si="0"/>
        <v>0</v>
      </c>
      <c r="Q17" s="14" t="str">
        <f>IF(tblHorasAgo[Horas Trabalhadas Além Jornada]&lt;0,IF(OR(tblHorasAgo[Evento 
(1º Período)]="",tblHorasAgo[Evento 
(2º Período)]=""),tblHorasAgo[Horas Trabalhadas Além Jornada],""),"")</f>
        <v/>
      </c>
      <c r="R17" s="14" t="str">
        <f>IF(tblHorasAgo[Jornada Diária]&lt;&gt;"",IF((N(tblHorasAgo[Jornada Diária])-ABS(N(tblHorasAgo[Horas Trabalhadas Além Jornada])))=0,1,""),"")</f>
        <v/>
      </c>
      <c r="S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>
        <f t="shared" si="0"/>
        <v>0</v>
      </c>
      <c r="Q18" s="14" t="str">
        <f>IF(tblHorasAgo[Horas Trabalhadas Além Jornada]&lt;0,IF(OR(tblHorasAgo[Evento 
(1º Período)]="",tblHorasAgo[Evento 
(2º Período)]=""),tblHorasAgo[Horas Trabalhadas Além Jornada],""),"")</f>
        <v/>
      </c>
      <c r="R18" s="14" t="str">
        <f>IF(tblHorasAgo[Jornada Diária]&lt;&gt;"",IF((N(tblHorasAgo[Jornada Diária])-ABS(N(tblHorasAgo[Horas Trabalhadas Além Jornada])))=0,1,""),"")</f>
        <v/>
      </c>
      <c r="S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>
        <f t="shared" si="0"/>
        <v>0</v>
      </c>
      <c r="Q19" s="14" t="str">
        <f>IF(tblHorasAgo[Horas Trabalhadas Além Jornada]&lt;0,IF(OR(tblHorasAgo[Evento 
(1º Período)]="",tblHorasAgo[Evento 
(2º Período)]=""),tblHorasAgo[Horas Trabalhadas Além Jornada],""),"")</f>
        <v/>
      </c>
      <c r="R19" s="14" t="str">
        <f>IF(tblHorasAgo[Jornada Diária]&lt;&gt;"",IF((N(tblHorasAgo[Jornada Diária])-ABS(N(tblHorasAgo[Horas Trabalhadas Além Jornada])))=0,1,""),"")</f>
        <v/>
      </c>
      <c r="S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>
        <f t="shared" si="0"/>
        <v>0</v>
      </c>
      <c r="Q20" s="14" t="str">
        <f>IF(tblHorasAgo[Horas Trabalhadas Além Jornada]&lt;0,IF(OR(tblHorasAgo[Evento 
(1º Período)]="",tblHorasAgo[Evento 
(2º Período)]=""),tblHorasAgo[Horas Trabalhadas Além Jornada],""),"")</f>
        <v/>
      </c>
      <c r="R20" s="14" t="str">
        <f>IF(tblHorasAgo[Jornada Diária]&lt;&gt;"",IF((N(tblHorasAgo[Jornada Diária])-ABS(N(tblHorasAgo[Horas Trabalhadas Além Jornada])))=0,1,""),"")</f>
        <v/>
      </c>
      <c r="S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>
        <f t="shared" si="0"/>
        <v>0</v>
      </c>
      <c r="Q21" s="14" t="str">
        <f>IF(tblHorasAgo[Horas Trabalhadas Além Jornada]&lt;0,IF(OR(tblHorasAgo[Evento 
(1º Período)]="",tblHorasAgo[Evento 
(2º Período)]=""),tblHorasAgo[Horas Trabalhadas Além Jornada],""),"")</f>
        <v/>
      </c>
      <c r="R21" s="14" t="str">
        <f>IF(tblHorasAgo[Jornada Diária]&lt;&gt;"",IF((N(tblHorasAgo[Jornada Diária])-ABS(N(tblHorasAgo[Horas Trabalhadas Além Jornada])))=0,1,""),"")</f>
        <v/>
      </c>
      <c r="S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>
        <f t="shared" si="0"/>
        <v>0</v>
      </c>
      <c r="Q22" s="14" t="str">
        <f>IF(tblHorasAgo[Horas Trabalhadas Além Jornada]&lt;0,IF(OR(tblHorasAgo[Evento 
(1º Período)]="",tblHorasAgo[Evento 
(2º Período)]=""),tblHorasAgo[Horas Trabalhadas Além Jornada],""),"")</f>
        <v/>
      </c>
      <c r="R22" s="14" t="str">
        <f>IF(tblHorasAgo[Jornada Diária]&lt;&gt;"",IF((N(tblHorasAgo[Jornada Diária])-ABS(N(tblHorasAgo[Horas Trabalhadas Além Jornada])))=0,1,""),"")</f>
        <v/>
      </c>
      <c r="S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>
        <f t="shared" si="0"/>
        <v>0</v>
      </c>
      <c r="Q23" s="14" t="str">
        <f>IF(tblHorasAgo[Horas Trabalhadas Além Jornada]&lt;0,IF(OR(tblHorasAgo[Evento 
(1º Período)]="",tblHorasAgo[Evento 
(2º Período)]=""),tblHorasAgo[Horas Trabalhadas Além Jornada],""),"")</f>
        <v/>
      </c>
      <c r="R23" s="14" t="str">
        <f>IF(tblHorasAgo[Jornada Diária]&lt;&gt;"",IF((N(tblHorasAgo[Jornada Diária])-ABS(N(tblHorasAgo[Horas Trabalhadas Além Jornada])))=0,1,""),"")</f>
        <v/>
      </c>
      <c r="S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>
        <f t="shared" si="0"/>
        <v>0</v>
      </c>
      <c r="Q24" s="14" t="str">
        <f>IF(tblHorasAgo[Horas Trabalhadas Além Jornada]&lt;0,IF(OR(tblHorasAgo[Evento 
(1º Período)]="",tblHorasAgo[Evento 
(2º Período)]=""),tblHorasAgo[Horas Trabalhadas Além Jornada],""),"")</f>
        <v/>
      </c>
      <c r="R24" s="14" t="str">
        <f>IF(tblHorasAgo[Jornada Diária]&lt;&gt;"",IF((N(tblHorasAgo[Jornada Diária])-ABS(N(tblHorasAgo[Horas Trabalhadas Além Jornada])))=0,1,""),"")</f>
        <v/>
      </c>
      <c r="S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>
        <f t="shared" si="0"/>
        <v>0</v>
      </c>
      <c r="Q25" s="14" t="str">
        <f>IF(tblHorasAgo[Horas Trabalhadas Além Jornada]&lt;0,IF(OR(tblHorasAgo[Evento 
(1º Período)]="",tblHorasAgo[Evento 
(2º Período)]=""),tblHorasAgo[Horas Trabalhadas Além Jornada],""),"")</f>
        <v/>
      </c>
      <c r="R25" s="14" t="str">
        <f>IF(tblHorasAgo[Jornada Diária]&lt;&gt;"",IF((N(tblHorasAgo[Jornada Diária])-ABS(N(tblHorasAgo[Horas Trabalhadas Além Jornada])))=0,1,""),"")</f>
        <v/>
      </c>
      <c r="S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>
        <f t="shared" si="0"/>
        <v>0</v>
      </c>
      <c r="Q26" s="14" t="str">
        <f>IF(tblHorasAgo[Horas Trabalhadas Além Jornada]&lt;0,IF(OR(tblHorasAgo[Evento 
(1º Período)]="",tblHorasAgo[Evento 
(2º Período)]=""),tblHorasAgo[Horas Trabalhadas Além Jornada],""),"")</f>
        <v/>
      </c>
      <c r="R26" s="14" t="str">
        <f>IF(tblHorasAgo[Jornada Diária]&lt;&gt;"",IF((N(tblHorasAgo[Jornada Diária])-ABS(N(tblHorasAgo[Horas Trabalhadas Além Jornada])))=0,1,""),"")</f>
        <v/>
      </c>
      <c r="S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>
        <f t="shared" si="0"/>
        <v>0</v>
      </c>
      <c r="Q27" s="14" t="str">
        <f>IF(tblHorasAgo[Horas Trabalhadas Além Jornada]&lt;0,IF(OR(tblHorasAgo[Evento 
(1º Período)]="",tblHorasAgo[Evento 
(2º Período)]=""),tblHorasAgo[Horas Trabalhadas Além Jornada],""),"")</f>
        <v/>
      </c>
      <c r="R27" s="14" t="str">
        <f>IF(tblHorasAgo[Jornada Diária]&lt;&gt;"",IF((N(tblHorasAgo[Jornada Diária])-ABS(N(tblHorasAgo[Horas Trabalhadas Além Jornada])))=0,1,""),"")</f>
        <v/>
      </c>
      <c r="S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>
        <f t="shared" si="0"/>
        <v>0</v>
      </c>
      <c r="Q28" s="14" t="str">
        <f>IF(tblHorasAgo[Horas Trabalhadas Além Jornada]&lt;0,IF(OR(tblHorasAgo[Evento 
(1º Período)]="",tblHorasAgo[Evento 
(2º Período)]=""),tblHorasAgo[Horas Trabalhadas Além Jornada],""),"")</f>
        <v/>
      </c>
      <c r="R28" s="14" t="str">
        <f>IF(tblHorasAgo[Jornada Diária]&lt;&gt;"",IF((N(tblHorasAgo[Jornada Diária])-ABS(N(tblHorasAgo[Horas Trabalhadas Além Jornada])))=0,1,""),"")</f>
        <v/>
      </c>
      <c r="S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>
        <f t="shared" si="0"/>
        <v>0</v>
      </c>
      <c r="Q29" s="14" t="str">
        <f>IF(tblHorasAgo[Horas Trabalhadas Além Jornada]&lt;0,IF(OR(tblHorasAgo[Evento 
(1º Período)]="",tblHorasAgo[Evento 
(2º Período)]=""),tblHorasAgo[Horas Trabalhadas Além Jornada],""),"")</f>
        <v/>
      </c>
      <c r="R29" s="14" t="str">
        <f>IF(tblHorasAgo[Jornada Diária]&lt;&gt;"",IF((N(tblHorasAgo[Jornada Diária])-ABS(N(tblHorasAgo[Horas Trabalhadas Além Jornada])))=0,1,""),"")</f>
        <v/>
      </c>
      <c r="S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>
        <f t="shared" si="0"/>
        <v>0</v>
      </c>
      <c r="Q30" s="14" t="str">
        <f>IF(tblHorasAgo[Horas Trabalhadas Além Jornada]&lt;0,IF(OR(tblHorasAgo[Evento 
(1º Período)]="",tblHorasAgo[Evento 
(2º Período)]=""),tblHorasAgo[Horas Trabalhadas Além Jornada],""),"")</f>
        <v/>
      </c>
      <c r="R30" s="14" t="str">
        <f>IF(tblHorasAgo[Jornada Diária]&lt;&gt;"",IF((N(tblHorasAgo[Jornada Diária])-ABS(N(tblHorasAgo[Horas Trabalhadas Além Jornada])))=0,1,""),"")</f>
        <v/>
      </c>
      <c r="S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>
        <f t="shared" si="0"/>
        <v>0</v>
      </c>
      <c r="Q31" s="14" t="str">
        <f>IF(tblHorasAgo[Horas Trabalhadas Além Jornada]&lt;0,IF(OR(tblHorasAgo[Evento 
(1º Período)]="",tblHorasAgo[Evento 
(2º Período)]=""),tblHorasAgo[Horas Trabalhadas Além Jornada],""),"")</f>
        <v/>
      </c>
      <c r="R31" s="14" t="str">
        <f>IF(tblHorasAgo[Jornada Diária]&lt;&gt;"",IF((N(tblHorasAgo[Jornada Diária])-ABS(N(tblHorasAgo[Horas Trabalhadas Além Jornada])))=0,1,""),"")</f>
        <v/>
      </c>
      <c r="S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>
        <f t="shared" si="0"/>
        <v>0</v>
      </c>
      <c r="Q32" s="14" t="str">
        <f>IF(tblHorasAgo[Horas Trabalhadas Além Jornada]&lt;0,IF(OR(tblHorasAgo[Evento 
(1º Período)]="",tblHorasAgo[Evento 
(2º Período)]=""),tblHorasAgo[Horas Trabalhadas Além Jornada],""),"")</f>
        <v/>
      </c>
      <c r="R32" s="14" t="str">
        <f>IF(tblHorasAgo[Jornada Diária]&lt;&gt;"",IF((N(tblHorasAgo[Jornada Diária])-ABS(N(tblHorasAgo[Horas Trabalhadas Além Jornada])))=0,1,""),"")</f>
        <v/>
      </c>
      <c r="S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>
        <f t="shared" si="0"/>
        <v>0</v>
      </c>
      <c r="Q33" s="14" t="str">
        <f>IF(tblHorasAgo[Horas Trabalhadas Além Jornada]&lt;0,IF(OR(tblHorasAgo[Evento 
(1º Período)]="",tblHorasAgo[Evento 
(2º Período)]=""),tblHorasAgo[Horas Trabalhadas Além Jornada],""),"")</f>
        <v/>
      </c>
      <c r="R33" s="14" t="str">
        <f>IF(tblHorasAgo[Jornada Diária]&lt;&gt;"",IF((N(tblHorasAgo[Jornada Diária])-ABS(N(tblHorasAgo[Horas Trabalhadas Além Jornada])))=0,1,""),"")</f>
        <v/>
      </c>
      <c r="S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>
        <f t="shared" si="0"/>
        <v>0</v>
      </c>
      <c r="Q34" s="14" t="str">
        <f>IF(tblHorasAgo[Horas Trabalhadas Além Jornada]&lt;0,IF(OR(tblHorasAgo[Evento 
(1º Período)]="",tblHorasAgo[Evento 
(2º Período)]=""),tblHorasAgo[Horas Trabalhadas Além Jornada],""),"")</f>
        <v/>
      </c>
      <c r="R34" s="14" t="str">
        <f>IF(tblHorasAgo[Jornada Diária]&lt;&gt;"",IF((N(tblHorasAgo[Jornada Diária])-ABS(N(tblHorasAgo[Horas Trabalhadas Além Jornada])))=0,1,""),"")</f>
        <v/>
      </c>
      <c r="S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>
        <f t="shared" si="0"/>
        <v>0</v>
      </c>
      <c r="Q35" s="14" t="str">
        <f>IF(tblHorasAgo[Horas Trabalhadas Além Jornada]&lt;0,IF(OR(tblHorasAgo[Evento 
(1º Período)]="",tblHorasAgo[Evento 
(2º Período)]=""),tblHorasAgo[Horas Trabalhadas Além Jornada],""),"")</f>
        <v/>
      </c>
      <c r="R35" s="14" t="str">
        <f>IF(tblHorasAgo[Jornada Diária]&lt;&gt;"",IF((N(tblHorasAgo[Jornada Diária])-ABS(N(tblHorasAgo[Horas Trabalhadas Além Jornada])))=0,1,""),"")</f>
        <v/>
      </c>
      <c r="S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>
        <f t="shared" si="0"/>
        <v>0</v>
      </c>
      <c r="Q36" s="14" t="str">
        <f>IF(tblHorasAgo[Horas Trabalhadas Além Jornada]&lt;0,IF(OR(tblHorasAgo[Evento 
(1º Período)]="",tblHorasAgo[Evento 
(2º Período)]=""),tblHorasAgo[Horas Trabalhadas Além Jornada],""),"")</f>
        <v/>
      </c>
      <c r="R36" s="14" t="str">
        <f>IF(tblHorasAgo[Jornada Diária]&lt;&gt;"",IF((N(tblHorasAgo[Jornada Diária])-ABS(N(tblHorasAgo[Horas Trabalhadas Além Jornada])))=0,1,""),"")</f>
        <v/>
      </c>
      <c r="S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>
        <f t="shared" si="0"/>
        <v>0</v>
      </c>
      <c r="Q37" s="14" t="str">
        <f>IF(tblHorasAgo[Horas Trabalhadas Além Jornada]&lt;0,IF(OR(tblHorasAgo[Evento 
(1º Período)]="",tblHorasAgo[Evento 
(2º Período)]=""),tblHorasAgo[Horas Trabalhadas Além Jornada],""),"")</f>
        <v/>
      </c>
      <c r="R37" s="14" t="str">
        <f>IF(tblHorasAgo[Jornada Diária]&lt;&gt;"",IF((N(tblHorasAgo[Jornada Diária])-ABS(N(tblHorasAgo[Horas Trabalhadas Além Jornada])))=0,1,""),"")</f>
        <v/>
      </c>
      <c r="S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>
        <f t="shared" si="0"/>
        <v>0</v>
      </c>
      <c r="Q38" s="14" t="str">
        <f>IF(tblHorasAgo[Horas Trabalhadas Além Jornada]&lt;0,IF(OR(tblHorasAgo[Evento 
(1º Período)]="",tblHorasAgo[Evento 
(2º Período)]=""),tblHorasAgo[Horas Trabalhadas Além Jornada],""),"")</f>
        <v/>
      </c>
      <c r="R38" s="14" t="str">
        <f>IF(tblHorasAgo[Jornada Diária]&lt;&gt;"",IF((N(tblHorasAgo[Jornada Diária])-ABS(N(tblHorasAgo[Horas Trabalhadas Além Jornada])))=0,1,""),"")</f>
        <v/>
      </c>
      <c r="S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IF(VLOOKUP(tblHorasAgo[Dia],tblDiaUtil[[Abreviatura]:[Total Jornada]],5,FALSE)&lt;&gt;"",VLOOKUP(tblHorasAgo[Dia],tblDiaUtil[[Abreviatura]:[Total Jornada]],5,FALSE),JORNADA),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
-IF(VLOOKUP(tblHorasAgo[Dia],tblDiaUtil[[Abreviatura]:[Total Jornada]],5,FALSE)&lt;&gt;"",VLOOKUP(tblHorasAgo[Dia],tblDiaUtil[[Abreviatura]:[Total Jornada]],5,FALSE),JORNADA),
IF(IF(ISERROR(VLOOKUP(tblHorasAgo[Evento 
(1º Período)],tblEvento[[Evento]:[Libera o Período]],4,FALSE)),FALSE,
IF(VLOOKUP(tblHorasAgo[Evento 
(1º Período)],tblEvento[[Evento]:[Libera o Período]],4,FALSE)="Não",TRUE,FALSE)
),
-IF(VLOOKUP(tblHorasAgo[Dia],tblDiaUtil[[Abreviatura]:[1º Período]],3,FALSE)&lt;&gt;"",VLOOKUP(tblHorasAgo[Dia],tblDiaUtil[[Abreviatura]:[1º Período]],3,FALSE),JORNADA_PERIODO_1),
IF(IF(ISERROR(VLOOKUP(tblHorasAgo[Evento 
(2º Período)],tblEvento[[Evento]:[Libera o Período]],4,FALSE)),FALSE,IF(VLOOKUP(tblHorasAgo[Evento 
(2º Período)],tblEvento[[Evento]:[Libera o Período]],4,FALSE)="Não",TRUE,FALSE)),
-IF(VLOOKUP(tblHorasAgo[Dia],tblDiaUtil[[Abreviatura]:[2º Período]],4,FALSE)&lt;&gt;"",VLOOKUP(tblHorasAgo[Dia],tblDiaUtil[[Abreviatura]:[2º Período]],4,FALSE),JORNADA_PERIODO_2),0))))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>
        <f t="shared" si="0"/>
        <v>0</v>
      </c>
      <c r="Q39" s="14" t="str">
        <f>IF(tblHorasAgo[Horas Trabalhadas Além Jornada]&lt;0,IF(OR(tblHorasAgo[Evento 
(1º Período)]="",tblHorasAgo[Evento 
(2º Período)]=""),tblHorasAgo[Horas Trabalhadas Além Jornada],""),"")</f>
        <v/>
      </c>
      <c r="R39" s="14" t="str">
        <f>IF(tblHorasAgo[Jornada Diária]&lt;&gt;"",IF((N(tblHorasAgo[Jornada Diária])-ABS(N(tblHorasAgo[Horas Trabalhadas Além Jornada])))=0,1,""),"")</f>
        <v/>
      </c>
      <c r="S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T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U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+LaMJJN1szZArodCfjzD4PQRxw2WGMZ6BoDykhcZ3aW3CRbEY1lBE+q/WyP0xjiuy7cvjImKcgEuFA/IfBSUqg==" saltValue="s8A/rVAEYDuONE8DsYLuU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4C249F7-4C6E-4601-ABCD-241A2F748D11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33317DD-F646-46CB-8F36-0950AE1B8C36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71F274E7-1378-401E-A0F1-8433686A92F0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2BF0C4B-13CD-49AD-88F1-1E1888C14978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9247B424-79A1-47C6-9011-0B43A506593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0DA6B96-6847-4BB4-9D2D-6112DEF404D3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71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IF(CONT_MES_ANTERIOR="Sim",Agosto!O39,0)</f>
        <v>0</v>
      </c>
      <c r="P7" s="45">
        <f>SUM(tblHorasSet[Atrasos
(horas)])</f>
        <v>0</v>
      </c>
      <c r="Q7" s="45">
        <f>SUM(tblHorasSet[Atrasos
(horas)])</f>
        <v>0</v>
      </c>
      <c r="R7" s="46">
        <f>SUM(tblHorasSet[Faltas
(dias)])</f>
        <v>0</v>
      </c>
      <c r="S7" s="45">
        <f>SUM(tblHorasSet[Hora Extra Normal])</f>
        <v>0</v>
      </c>
      <c r="T7" s="45">
        <f>SUM(tblHorasSet[Hora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>
        <f t="shared" ref="P9:P39" si="0">G9-F9</f>
        <v>0</v>
      </c>
      <c r="Q9" s="14" t="str">
        <f>IF(tblHorasSet[Horas Trabalhadas Além Jornada]&lt;0,IF(OR(tblHorasSet[Evento 
(1º Período)]="",tblHorasSet[Evento 
(2º Período)]=""),tblHorasSet[Horas Trabalhadas Além Jornada],""),"")</f>
        <v/>
      </c>
      <c r="R9" s="14" t="str">
        <f>IF(tblHorasSet[Jornada Diária]&lt;&gt;"",IF((N(tblHorasSet[Jornada Diária])-ABS(N(tblHorasSet[Horas Trabalhadas Além Jornada])))=0,1,""),"")</f>
        <v/>
      </c>
      <c r="S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>
        <f t="shared" si="0"/>
        <v>0</v>
      </c>
      <c r="Q10" s="14" t="str">
        <f>IF(tblHorasSet[Horas Trabalhadas Além Jornada]&lt;0,IF(OR(tblHorasSet[Evento 
(1º Período)]="",tblHorasSet[Evento 
(2º Período)]=""),tblHorasSet[Horas Trabalhadas Além Jornada],""),"")</f>
        <v/>
      </c>
      <c r="R10" s="14" t="str">
        <f>IF(tblHorasSet[Jornada Diária]&lt;&gt;"",IF((N(tblHorasSet[Jornada Diária])-ABS(N(tblHorasSet[Horas Trabalhadas Além Jornada])))=0,1,""),"")</f>
        <v/>
      </c>
      <c r="S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>
        <f t="shared" si="0"/>
        <v>0</v>
      </c>
      <c r="Q11" s="14" t="str">
        <f>IF(tblHorasSet[Horas Trabalhadas Além Jornada]&lt;0,IF(OR(tblHorasSet[Evento 
(1º Período)]="",tblHorasSet[Evento 
(2º Período)]=""),tblHorasSet[Horas Trabalhadas Além Jornada],""),"")</f>
        <v/>
      </c>
      <c r="R11" s="14" t="str">
        <f>IF(tblHorasSet[Jornada Diária]&lt;&gt;"",IF((N(tblHorasSet[Jornada Diária])-ABS(N(tblHorasSet[Horas Trabalhadas Além Jornada])))=0,1,""),"")</f>
        <v/>
      </c>
      <c r="S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>
        <f t="shared" si="0"/>
        <v>0</v>
      </c>
      <c r="Q12" s="14" t="str">
        <f>IF(tblHorasSet[Horas Trabalhadas Além Jornada]&lt;0,IF(OR(tblHorasSet[Evento 
(1º Período)]="",tblHorasSet[Evento 
(2º Período)]=""),tblHorasSet[Horas Trabalhadas Além Jornada],""),"")</f>
        <v/>
      </c>
      <c r="R12" s="14" t="str">
        <f>IF(tblHorasSet[Jornada Diária]&lt;&gt;"",IF((N(tblHorasSet[Jornada Diária])-ABS(N(tblHorasSet[Horas Trabalhadas Além Jornada])))=0,1,""),"")</f>
        <v/>
      </c>
      <c r="S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>
        <f t="shared" si="0"/>
        <v>0</v>
      </c>
      <c r="Q13" s="14" t="str">
        <f>IF(tblHorasSet[Horas Trabalhadas Além Jornada]&lt;0,IF(OR(tblHorasSet[Evento 
(1º Período)]="",tblHorasSet[Evento 
(2º Período)]=""),tblHorasSet[Horas Trabalhadas Além Jornada],""),"")</f>
        <v/>
      </c>
      <c r="R13" s="14" t="str">
        <f>IF(tblHorasSet[Jornada Diária]&lt;&gt;"",IF((N(tblHorasSet[Jornada Diária])-ABS(N(tblHorasSet[Horas Trabalhadas Além Jornada])))=0,1,""),"")</f>
        <v/>
      </c>
      <c r="S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>
        <f t="shared" si="0"/>
        <v>0</v>
      </c>
      <c r="Q14" s="14" t="str">
        <f>IF(tblHorasSet[Horas Trabalhadas Além Jornada]&lt;0,IF(OR(tblHorasSet[Evento 
(1º Período)]="",tblHorasSet[Evento 
(2º Período)]=""),tblHorasSet[Horas Trabalhadas Além Jornada],""),"")</f>
        <v/>
      </c>
      <c r="R14" s="14" t="str">
        <f>IF(tblHorasSet[Jornada Diária]&lt;&gt;"",IF((N(tblHorasSet[Jornada Diária])-ABS(N(tblHorasSet[Horas Trabalhadas Além Jornada])))=0,1,""),"")</f>
        <v/>
      </c>
      <c r="S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>
        <f t="shared" si="0"/>
        <v>0</v>
      </c>
      <c r="Q15" s="14" t="str">
        <f>IF(tblHorasSet[Horas Trabalhadas Além Jornada]&lt;0,IF(OR(tblHorasSet[Evento 
(1º Período)]="",tblHorasSet[Evento 
(2º Período)]=""),tblHorasSet[Horas Trabalhadas Além Jornada],""),"")</f>
        <v/>
      </c>
      <c r="R15" s="14" t="str">
        <f>IF(tblHorasSet[Jornada Diária]&lt;&gt;"",IF((N(tblHorasSet[Jornada Diária])-ABS(N(tblHorasSet[Horas Trabalhadas Além Jornada])))=0,1,""),"")</f>
        <v/>
      </c>
      <c r="S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>
        <f t="shared" si="0"/>
        <v>0</v>
      </c>
      <c r="Q16" s="14" t="str">
        <f>IF(tblHorasSet[Horas Trabalhadas Além Jornada]&lt;0,IF(OR(tblHorasSet[Evento 
(1º Período)]="",tblHorasSet[Evento 
(2º Período)]=""),tblHorasSet[Horas Trabalhadas Além Jornada],""),"")</f>
        <v/>
      </c>
      <c r="R16" s="14" t="str">
        <f>IF(tblHorasSet[Jornada Diária]&lt;&gt;"",IF((N(tblHorasSet[Jornada Diária])-ABS(N(tblHorasSet[Horas Trabalhadas Além Jornada])))=0,1,""),"")</f>
        <v/>
      </c>
      <c r="S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>
        <f t="shared" si="0"/>
        <v>0</v>
      </c>
      <c r="Q17" s="14" t="str">
        <f>IF(tblHorasSet[Horas Trabalhadas Além Jornada]&lt;0,IF(OR(tblHorasSet[Evento 
(1º Período)]="",tblHorasSet[Evento 
(2º Período)]=""),tblHorasSet[Horas Trabalhadas Além Jornada],""),"")</f>
        <v/>
      </c>
      <c r="R17" s="14" t="str">
        <f>IF(tblHorasSet[Jornada Diária]&lt;&gt;"",IF((N(tblHorasSet[Jornada Diária])-ABS(N(tblHorasSet[Horas Trabalhadas Além Jornada])))=0,1,""),"")</f>
        <v/>
      </c>
      <c r="S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>
        <f t="shared" si="0"/>
        <v>0</v>
      </c>
      <c r="Q18" s="14" t="str">
        <f>IF(tblHorasSet[Horas Trabalhadas Além Jornada]&lt;0,IF(OR(tblHorasSet[Evento 
(1º Período)]="",tblHorasSet[Evento 
(2º Período)]=""),tblHorasSet[Horas Trabalhadas Além Jornada],""),"")</f>
        <v/>
      </c>
      <c r="R18" s="14" t="str">
        <f>IF(tblHorasSet[Jornada Diária]&lt;&gt;"",IF((N(tblHorasSet[Jornada Diária])-ABS(N(tblHorasSet[Horas Trabalhadas Além Jornada])))=0,1,""),"")</f>
        <v/>
      </c>
      <c r="S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>
        <f t="shared" si="0"/>
        <v>0</v>
      </c>
      <c r="Q19" s="14" t="str">
        <f>IF(tblHorasSet[Horas Trabalhadas Além Jornada]&lt;0,IF(OR(tblHorasSet[Evento 
(1º Período)]="",tblHorasSet[Evento 
(2º Período)]=""),tblHorasSet[Horas Trabalhadas Além Jornada],""),"")</f>
        <v/>
      </c>
      <c r="R19" s="14" t="str">
        <f>IF(tblHorasSet[Jornada Diária]&lt;&gt;"",IF((N(tblHorasSet[Jornada Diária])-ABS(N(tblHorasSet[Horas Trabalhadas Além Jornada])))=0,1,""),"")</f>
        <v/>
      </c>
      <c r="S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>
        <f t="shared" si="0"/>
        <v>0</v>
      </c>
      <c r="Q20" s="14" t="str">
        <f>IF(tblHorasSet[Horas Trabalhadas Além Jornada]&lt;0,IF(OR(tblHorasSet[Evento 
(1º Período)]="",tblHorasSet[Evento 
(2º Período)]=""),tblHorasSet[Horas Trabalhadas Além Jornada],""),"")</f>
        <v/>
      </c>
      <c r="R20" s="14" t="str">
        <f>IF(tblHorasSet[Jornada Diária]&lt;&gt;"",IF((N(tblHorasSet[Jornada Diária])-ABS(N(tblHorasSet[Horas Trabalhadas Além Jornada])))=0,1,""),"")</f>
        <v/>
      </c>
      <c r="S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>
        <f t="shared" si="0"/>
        <v>0</v>
      </c>
      <c r="Q21" s="14" t="str">
        <f>IF(tblHorasSet[Horas Trabalhadas Além Jornada]&lt;0,IF(OR(tblHorasSet[Evento 
(1º Período)]="",tblHorasSet[Evento 
(2º Período)]=""),tblHorasSet[Horas Trabalhadas Além Jornada],""),"")</f>
        <v/>
      </c>
      <c r="R21" s="14" t="str">
        <f>IF(tblHorasSet[Jornada Diária]&lt;&gt;"",IF((N(tblHorasSet[Jornada Diária])-ABS(N(tblHorasSet[Horas Trabalhadas Além Jornada])))=0,1,""),"")</f>
        <v/>
      </c>
      <c r="S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>
        <f t="shared" si="0"/>
        <v>0</v>
      </c>
      <c r="Q22" s="14" t="str">
        <f>IF(tblHorasSet[Horas Trabalhadas Além Jornada]&lt;0,IF(OR(tblHorasSet[Evento 
(1º Período)]="",tblHorasSet[Evento 
(2º Período)]=""),tblHorasSet[Horas Trabalhadas Além Jornada],""),"")</f>
        <v/>
      </c>
      <c r="R22" s="14" t="str">
        <f>IF(tblHorasSet[Jornada Diária]&lt;&gt;"",IF((N(tblHorasSet[Jornada Diária])-ABS(N(tblHorasSet[Horas Trabalhadas Além Jornada])))=0,1,""),"")</f>
        <v/>
      </c>
      <c r="S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>
        <f t="shared" si="0"/>
        <v>0</v>
      </c>
      <c r="Q23" s="14" t="str">
        <f>IF(tblHorasSet[Horas Trabalhadas Além Jornada]&lt;0,IF(OR(tblHorasSet[Evento 
(1º Período)]="",tblHorasSet[Evento 
(2º Período)]=""),tblHorasSet[Horas Trabalhadas Além Jornada],""),"")</f>
        <v/>
      </c>
      <c r="R23" s="14" t="str">
        <f>IF(tblHorasSet[Jornada Diária]&lt;&gt;"",IF((N(tblHorasSet[Jornada Diária])-ABS(N(tblHorasSet[Horas Trabalhadas Além Jornada])))=0,1,""),"")</f>
        <v/>
      </c>
      <c r="S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>
        <f t="shared" si="0"/>
        <v>0</v>
      </c>
      <c r="Q24" s="14" t="str">
        <f>IF(tblHorasSet[Horas Trabalhadas Além Jornada]&lt;0,IF(OR(tblHorasSet[Evento 
(1º Período)]="",tblHorasSet[Evento 
(2º Período)]=""),tblHorasSet[Horas Trabalhadas Além Jornada],""),"")</f>
        <v/>
      </c>
      <c r="R24" s="14" t="str">
        <f>IF(tblHorasSet[Jornada Diária]&lt;&gt;"",IF((N(tblHorasSet[Jornada Diária])-ABS(N(tblHorasSet[Horas Trabalhadas Além Jornada])))=0,1,""),"")</f>
        <v/>
      </c>
      <c r="S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>
        <f t="shared" si="0"/>
        <v>0</v>
      </c>
      <c r="Q25" s="14" t="str">
        <f>IF(tblHorasSet[Horas Trabalhadas Além Jornada]&lt;0,IF(OR(tblHorasSet[Evento 
(1º Período)]="",tblHorasSet[Evento 
(2º Período)]=""),tblHorasSet[Horas Trabalhadas Além Jornada],""),"")</f>
        <v/>
      </c>
      <c r="R25" s="14" t="str">
        <f>IF(tblHorasSet[Jornada Diária]&lt;&gt;"",IF((N(tblHorasSet[Jornada Diária])-ABS(N(tblHorasSet[Horas Trabalhadas Além Jornada])))=0,1,""),"")</f>
        <v/>
      </c>
      <c r="S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>
        <f t="shared" si="0"/>
        <v>0</v>
      </c>
      <c r="Q26" s="14" t="str">
        <f>IF(tblHorasSet[Horas Trabalhadas Além Jornada]&lt;0,IF(OR(tblHorasSet[Evento 
(1º Período)]="",tblHorasSet[Evento 
(2º Período)]=""),tblHorasSet[Horas Trabalhadas Além Jornada],""),"")</f>
        <v/>
      </c>
      <c r="R26" s="14" t="str">
        <f>IF(tblHorasSet[Jornada Diária]&lt;&gt;"",IF((N(tblHorasSet[Jornada Diária])-ABS(N(tblHorasSet[Horas Trabalhadas Além Jornada])))=0,1,""),"")</f>
        <v/>
      </c>
      <c r="S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>
        <f t="shared" si="0"/>
        <v>0</v>
      </c>
      <c r="Q27" s="14" t="str">
        <f>IF(tblHorasSet[Horas Trabalhadas Além Jornada]&lt;0,IF(OR(tblHorasSet[Evento 
(1º Período)]="",tblHorasSet[Evento 
(2º Período)]=""),tblHorasSet[Horas Trabalhadas Além Jornada],""),"")</f>
        <v/>
      </c>
      <c r="R27" s="14" t="str">
        <f>IF(tblHorasSet[Jornada Diária]&lt;&gt;"",IF((N(tblHorasSet[Jornada Diária])-ABS(N(tblHorasSet[Horas Trabalhadas Além Jornada])))=0,1,""),"")</f>
        <v/>
      </c>
      <c r="S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>
        <f t="shared" si="0"/>
        <v>0</v>
      </c>
      <c r="Q28" s="14" t="str">
        <f>IF(tblHorasSet[Horas Trabalhadas Além Jornada]&lt;0,IF(OR(tblHorasSet[Evento 
(1º Período)]="",tblHorasSet[Evento 
(2º Período)]=""),tblHorasSet[Horas Trabalhadas Além Jornada],""),"")</f>
        <v/>
      </c>
      <c r="R28" s="14" t="str">
        <f>IF(tblHorasSet[Jornada Diária]&lt;&gt;"",IF((N(tblHorasSet[Jornada Diária])-ABS(N(tblHorasSet[Horas Trabalhadas Além Jornada])))=0,1,""),"")</f>
        <v/>
      </c>
      <c r="S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>
        <f t="shared" si="0"/>
        <v>0</v>
      </c>
      <c r="Q29" s="14" t="str">
        <f>IF(tblHorasSet[Horas Trabalhadas Além Jornada]&lt;0,IF(OR(tblHorasSet[Evento 
(1º Período)]="",tblHorasSet[Evento 
(2º Período)]=""),tblHorasSet[Horas Trabalhadas Além Jornada],""),"")</f>
        <v/>
      </c>
      <c r="R29" s="14" t="str">
        <f>IF(tblHorasSet[Jornada Diária]&lt;&gt;"",IF((N(tblHorasSet[Jornada Diária])-ABS(N(tblHorasSet[Horas Trabalhadas Além Jornada])))=0,1,""),"")</f>
        <v/>
      </c>
      <c r="S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>
        <f t="shared" si="0"/>
        <v>0</v>
      </c>
      <c r="Q30" s="14" t="str">
        <f>IF(tblHorasSet[Horas Trabalhadas Além Jornada]&lt;0,IF(OR(tblHorasSet[Evento 
(1º Período)]="",tblHorasSet[Evento 
(2º Período)]=""),tblHorasSet[Horas Trabalhadas Além Jornada],""),"")</f>
        <v/>
      </c>
      <c r="R30" s="14" t="str">
        <f>IF(tblHorasSet[Jornada Diária]&lt;&gt;"",IF((N(tblHorasSet[Jornada Diária])-ABS(N(tblHorasSet[Horas Trabalhadas Além Jornada])))=0,1,""),"")</f>
        <v/>
      </c>
      <c r="S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>
        <f t="shared" si="0"/>
        <v>0</v>
      </c>
      <c r="Q31" s="14" t="str">
        <f>IF(tblHorasSet[Horas Trabalhadas Além Jornada]&lt;0,IF(OR(tblHorasSet[Evento 
(1º Período)]="",tblHorasSet[Evento 
(2º Período)]=""),tblHorasSet[Horas Trabalhadas Além Jornada],""),"")</f>
        <v/>
      </c>
      <c r="R31" s="14" t="str">
        <f>IF(tblHorasSet[Jornada Diária]&lt;&gt;"",IF((N(tblHorasSet[Jornada Diária])-ABS(N(tblHorasSet[Horas Trabalhadas Além Jornada])))=0,1,""),"")</f>
        <v/>
      </c>
      <c r="S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>
        <f t="shared" si="0"/>
        <v>0</v>
      </c>
      <c r="Q32" s="14" t="str">
        <f>IF(tblHorasSet[Horas Trabalhadas Além Jornada]&lt;0,IF(OR(tblHorasSet[Evento 
(1º Período)]="",tblHorasSet[Evento 
(2º Período)]=""),tblHorasSet[Horas Trabalhadas Além Jornada],""),"")</f>
        <v/>
      </c>
      <c r="R32" s="14" t="str">
        <f>IF(tblHorasSet[Jornada Diária]&lt;&gt;"",IF((N(tblHorasSet[Jornada Diária])-ABS(N(tblHorasSet[Horas Trabalhadas Além Jornada])))=0,1,""),"")</f>
        <v/>
      </c>
      <c r="S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>
        <f t="shared" si="0"/>
        <v>0</v>
      </c>
      <c r="Q33" s="14" t="str">
        <f>IF(tblHorasSet[Horas Trabalhadas Além Jornada]&lt;0,IF(OR(tblHorasSet[Evento 
(1º Período)]="",tblHorasSet[Evento 
(2º Período)]=""),tblHorasSet[Horas Trabalhadas Além Jornada],""),"")</f>
        <v/>
      </c>
      <c r="R33" s="14" t="str">
        <f>IF(tblHorasSet[Jornada Diária]&lt;&gt;"",IF((N(tblHorasSet[Jornada Diária])-ABS(N(tblHorasSet[Horas Trabalhadas Além Jornada])))=0,1,""),"")</f>
        <v/>
      </c>
      <c r="S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>
        <f t="shared" si="0"/>
        <v>0</v>
      </c>
      <c r="Q34" s="14" t="str">
        <f>IF(tblHorasSet[Horas Trabalhadas Além Jornada]&lt;0,IF(OR(tblHorasSet[Evento 
(1º Período)]="",tblHorasSet[Evento 
(2º Período)]=""),tblHorasSet[Horas Trabalhadas Além Jornada],""),"")</f>
        <v/>
      </c>
      <c r="R34" s="14" t="str">
        <f>IF(tblHorasSet[Jornada Diária]&lt;&gt;"",IF((N(tblHorasSet[Jornada Diária])-ABS(N(tblHorasSet[Horas Trabalhadas Além Jornada])))=0,1,""),"")</f>
        <v/>
      </c>
      <c r="S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>
        <f t="shared" si="0"/>
        <v>0</v>
      </c>
      <c r="Q35" s="14" t="str">
        <f>IF(tblHorasSet[Horas Trabalhadas Além Jornada]&lt;0,IF(OR(tblHorasSet[Evento 
(1º Período)]="",tblHorasSet[Evento 
(2º Período)]=""),tblHorasSet[Horas Trabalhadas Além Jornada],""),"")</f>
        <v/>
      </c>
      <c r="R35" s="14" t="str">
        <f>IF(tblHorasSet[Jornada Diária]&lt;&gt;"",IF((N(tblHorasSet[Jornada Diária])-ABS(N(tblHorasSet[Horas Trabalhadas Além Jornada])))=0,1,""),"")</f>
        <v/>
      </c>
      <c r="S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>
        <f t="shared" si="0"/>
        <v>0</v>
      </c>
      <c r="Q36" s="14" t="str">
        <f>IF(tblHorasSet[Horas Trabalhadas Além Jornada]&lt;0,IF(OR(tblHorasSet[Evento 
(1º Período)]="",tblHorasSet[Evento 
(2º Período)]=""),tblHorasSet[Horas Trabalhadas Além Jornada],""),"")</f>
        <v/>
      </c>
      <c r="R36" s="14" t="str">
        <f>IF(tblHorasSet[Jornada Diária]&lt;&gt;"",IF((N(tblHorasSet[Jornada Diária])-ABS(N(tblHorasSet[Horas Trabalhadas Além Jornada])))=0,1,""),"")</f>
        <v/>
      </c>
      <c r="S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>
        <f t="shared" si="0"/>
        <v>0</v>
      </c>
      <c r="Q37" s="14" t="str">
        <f>IF(tblHorasSet[Horas Trabalhadas Além Jornada]&lt;0,IF(OR(tblHorasSet[Evento 
(1º Período)]="",tblHorasSet[Evento 
(2º Período)]=""),tblHorasSet[Horas Trabalhadas Além Jornada],""),"")</f>
        <v/>
      </c>
      <c r="R37" s="14" t="str">
        <f>IF(tblHorasSet[Jornada Diária]&lt;&gt;"",IF((N(tblHorasSet[Jornada Diária])-ABS(N(tblHorasSet[Horas Trabalhadas Além Jornada])))=0,1,""),"")</f>
        <v/>
      </c>
      <c r="S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>
        <f t="shared" si="0"/>
        <v>0</v>
      </c>
      <c r="Q38" s="14" t="str">
        <f>IF(tblHorasSet[Horas Trabalhadas Além Jornada]&lt;0,IF(OR(tblHorasSet[Evento 
(1º Período)]="",tblHorasSet[Evento 
(2º Período)]=""),tblHorasSet[Horas Trabalhadas Além Jornada],""),"")</f>
        <v/>
      </c>
      <c r="R38" s="14" t="str">
        <f>IF(tblHorasSet[Jornada Diária]&lt;&gt;"",IF((N(tblHorasSet[Jornada Diária])-ABS(N(tblHorasSet[Horas Trabalhadas Além Jornada])))=0,1,""),"")</f>
        <v/>
      </c>
      <c r="S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IF(VLOOKUP(tblHorasSet[Dia],tblDiaUtil[[Abreviatura]:[Total Jornada]],5,FALSE)&lt;&gt;"",VLOOKUP(tblHorasSet[Dia],tblDiaUtil[[Abreviatura]:[Total Jornada]],5,FALSE),JORNADA),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
-IF(VLOOKUP(tblHorasSet[Dia],tblDiaUtil[[Abreviatura]:[Total Jornada]],5,FALSE)&lt;&gt;"",VLOOKUP(tblHorasSet[Dia],tblDiaUtil[[Abreviatura]:[Total Jornada]],5,FALSE),JORNADA),
IF(IF(ISERROR(VLOOKUP(tblHorasSet[Evento 
(1º Período)],tblEvento[[Evento]:[Libera o Período]],4,FALSE)),FALSE,
IF(VLOOKUP(tblHorasSet[Evento 
(1º Período)],tblEvento[[Evento]:[Libera o Período]],4,FALSE)="Não",TRUE,FALSE)
),
-IF(VLOOKUP(tblHorasSet[Dia],tblDiaUtil[[Abreviatura]:[1º Período]],3,FALSE)&lt;&gt;"",VLOOKUP(tblHorasSet[Dia],tblDiaUtil[[Abreviatura]:[1º Período]],3,FALSE),JORNADA_PERIODO_1),
IF(IF(ISERROR(VLOOKUP(tblHorasSet[Evento 
(2º Período)],tblEvento[[Evento]:[Libera o Período]],4,FALSE)),FALSE,IF(VLOOKUP(tblHorasSet[Evento 
(2º Período)],tblEvento[[Evento]:[Libera o Período]],4,FALSE)="Não",TRUE,FALSE)),
-IF(VLOOKUP(tblHorasSet[Dia],tblDiaUtil[[Abreviatura]:[2º Período]],4,FALSE)&lt;&gt;"",VLOOKUP(tblHorasSet[Dia],tblDiaUtil[[Abreviatura]:[2º Período]],4,FALSE),JORNADA_PERIODO_2),0))))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>
        <f t="shared" si="0"/>
        <v>0</v>
      </c>
      <c r="Q39" s="14" t="str">
        <f>IF(tblHorasSet[Horas Trabalhadas Além Jornada]&lt;0,IF(OR(tblHorasSet[Evento 
(1º Período)]="",tblHorasSet[Evento 
(2º Período)]=""),tblHorasSet[Horas Trabalhadas Além Jornada],""),"")</f>
        <v/>
      </c>
      <c r="R39" s="14" t="str">
        <f>IF(tblHorasSet[Jornada Diária]&lt;&gt;"",IF((N(tblHorasSet[Jornada Diária])-ABS(N(tblHorasSet[Horas Trabalhadas Além Jornada])))=0,1,""),"")</f>
        <v/>
      </c>
      <c r="S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T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U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T7WLGCcje0VMym0bzLSdgl32zVD0E2k+1WElVMmGs1GK0RJirxCOiunpqXDHza0H8ACeBFILnDh3dqpRucNoCA==" saltValue="1uJmX++auUOzz98Fijpwh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A596DB89-57CD-4C1E-A732-2AAD34B5DB82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9BB52A16-E3B0-46F1-9D76-A79666615E60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54D9305-35D2-4216-93C4-5A22F95391C2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91962BE0-0ED8-406C-B2B1-9BEB145AE989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0349486E-17F4-470C-BCAD-44CAC49FAB4F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8C3DA4F2-1685-4251-913C-1C6407EEE5F6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72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IF(CONT_MES_ANTERIOR="Sim",Setembro!O39,0)</f>
        <v>0</v>
      </c>
      <c r="P7" s="45">
        <f>SUM(tblHorasOut[Atrasos
(horas)])</f>
        <v>0</v>
      </c>
      <c r="Q7" s="45">
        <f>SUM(tblHorasOut[Atrasos
(horas)])</f>
        <v>0</v>
      </c>
      <c r="R7" s="46">
        <f>SUM(tblHorasOut[Faltas
(dias)])</f>
        <v>0</v>
      </c>
      <c r="S7" s="45">
        <f>SUM(tblHorasOut[Hora Extra Normal])</f>
        <v>0</v>
      </c>
      <c r="T7" s="45">
        <f>SUM(tblHorasOut[Hora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>
        <f t="shared" ref="P9:P39" si="0">G9-F9</f>
        <v>0</v>
      </c>
      <c r="Q9" s="14" t="str">
        <f>IF(tblHorasOut[Horas Trabalhadas Além Jornada]&lt;0,IF(OR(tblHorasOut[Evento 
(1º Período)]="",tblHorasOut[Evento 
(2º Período)]=""),tblHorasOut[Horas Trabalhadas Além Jornada],""),"")</f>
        <v/>
      </c>
      <c r="R9" s="14" t="str">
        <f>IF(tblHorasOut[Jornada Diária]&lt;&gt;"",IF((N(tblHorasOut[Jornada Diária])-ABS(N(tblHorasOut[Horas Trabalhadas Além Jornada])))=0,1,""),"")</f>
        <v/>
      </c>
      <c r="S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>
        <f t="shared" si="0"/>
        <v>0</v>
      </c>
      <c r="Q10" s="14" t="str">
        <f>IF(tblHorasOut[Horas Trabalhadas Além Jornada]&lt;0,IF(OR(tblHorasOut[Evento 
(1º Período)]="",tblHorasOut[Evento 
(2º Período)]=""),tblHorasOut[Horas Trabalhadas Além Jornada],""),"")</f>
        <v/>
      </c>
      <c r="R10" s="14" t="str">
        <f>IF(tblHorasOut[Jornada Diária]&lt;&gt;"",IF((N(tblHorasOut[Jornada Diária])-ABS(N(tblHorasOut[Horas Trabalhadas Além Jornada])))=0,1,""),"")</f>
        <v/>
      </c>
      <c r="S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>
        <f t="shared" si="0"/>
        <v>0</v>
      </c>
      <c r="Q11" s="14" t="str">
        <f>IF(tblHorasOut[Horas Trabalhadas Além Jornada]&lt;0,IF(OR(tblHorasOut[Evento 
(1º Período)]="",tblHorasOut[Evento 
(2º Período)]=""),tblHorasOut[Horas Trabalhadas Além Jornada],""),"")</f>
        <v/>
      </c>
      <c r="R11" s="14" t="str">
        <f>IF(tblHorasOut[Jornada Diária]&lt;&gt;"",IF((N(tblHorasOut[Jornada Diária])-ABS(N(tblHorasOut[Horas Trabalhadas Além Jornada])))=0,1,""),"")</f>
        <v/>
      </c>
      <c r="S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>
        <f t="shared" si="0"/>
        <v>0</v>
      </c>
      <c r="Q12" s="14" t="str">
        <f>IF(tblHorasOut[Horas Trabalhadas Além Jornada]&lt;0,IF(OR(tblHorasOut[Evento 
(1º Período)]="",tblHorasOut[Evento 
(2º Período)]=""),tblHorasOut[Horas Trabalhadas Além Jornada],""),"")</f>
        <v/>
      </c>
      <c r="R12" s="14" t="str">
        <f>IF(tblHorasOut[Jornada Diária]&lt;&gt;"",IF((N(tblHorasOut[Jornada Diária])-ABS(N(tblHorasOut[Horas Trabalhadas Além Jornada])))=0,1,""),"")</f>
        <v/>
      </c>
      <c r="S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>
        <f t="shared" si="0"/>
        <v>0</v>
      </c>
      <c r="Q13" s="14" t="str">
        <f>IF(tblHorasOut[Horas Trabalhadas Além Jornada]&lt;0,IF(OR(tblHorasOut[Evento 
(1º Período)]="",tblHorasOut[Evento 
(2º Período)]=""),tblHorasOut[Horas Trabalhadas Além Jornada],""),"")</f>
        <v/>
      </c>
      <c r="R13" s="14" t="str">
        <f>IF(tblHorasOut[Jornada Diária]&lt;&gt;"",IF((N(tblHorasOut[Jornada Diária])-ABS(N(tblHorasOut[Horas Trabalhadas Além Jornada])))=0,1,""),"")</f>
        <v/>
      </c>
      <c r="S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>
        <f t="shared" si="0"/>
        <v>0</v>
      </c>
      <c r="Q14" s="14" t="str">
        <f>IF(tblHorasOut[Horas Trabalhadas Além Jornada]&lt;0,IF(OR(tblHorasOut[Evento 
(1º Período)]="",tblHorasOut[Evento 
(2º Período)]=""),tblHorasOut[Horas Trabalhadas Além Jornada],""),"")</f>
        <v/>
      </c>
      <c r="R14" s="14" t="str">
        <f>IF(tblHorasOut[Jornada Diária]&lt;&gt;"",IF((N(tblHorasOut[Jornada Diária])-ABS(N(tblHorasOut[Horas Trabalhadas Além Jornada])))=0,1,""),"")</f>
        <v/>
      </c>
      <c r="S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>
        <f t="shared" si="0"/>
        <v>0</v>
      </c>
      <c r="Q15" s="14" t="str">
        <f>IF(tblHorasOut[Horas Trabalhadas Além Jornada]&lt;0,IF(OR(tblHorasOut[Evento 
(1º Período)]="",tblHorasOut[Evento 
(2º Período)]=""),tblHorasOut[Horas Trabalhadas Além Jornada],""),"")</f>
        <v/>
      </c>
      <c r="R15" s="14" t="str">
        <f>IF(tblHorasOut[Jornada Diária]&lt;&gt;"",IF((N(tblHorasOut[Jornada Diária])-ABS(N(tblHorasOut[Horas Trabalhadas Além Jornada])))=0,1,""),"")</f>
        <v/>
      </c>
      <c r="S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>
        <f t="shared" si="0"/>
        <v>0</v>
      </c>
      <c r="Q16" s="14" t="str">
        <f>IF(tblHorasOut[Horas Trabalhadas Além Jornada]&lt;0,IF(OR(tblHorasOut[Evento 
(1º Período)]="",tblHorasOut[Evento 
(2º Período)]=""),tblHorasOut[Horas Trabalhadas Além Jornada],""),"")</f>
        <v/>
      </c>
      <c r="R16" s="14" t="str">
        <f>IF(tblHorasOut[Jornada Diária]&lt;&gt;"",IF((N(tblHorasOut[Jornada Diária])-ABS(N(tblHorasOut[Horas Trabalhadas Além Jornada])))=0,1,""),"")</f>
        <v/>
      </c>
      <c r="S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>
        <f t="shared" si="0"/>
        <v>0</v>
      </c>
      <c r="Q17" s="14" t="str">
        <f>IF(tblHorasOut[Horas Trabalhadas Além Jornada]&lt;0,IF(OR(tblHorasOut[Evento 
(1º Período)]="",tblHorasOut[Evento 
(2º Período)]=""),tblHorasOut[Horas Trabalhadas Além Jornada],""),"")</f>
        <v/>
      </c>
      <c r="R17" s="14" t="str">
        <f>IF(tblHorasOut[Jornada Diária]&lt;&gt;"",IF((N(tblHorasOut[Jornada Diária])-ABS(N(tblHorasOut[Horas Trabalhadas Além Jornada])))=0,1,""),"")</f>
        <v/>
      </c>
      <c r="S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>
        <f t="shared" si="0"/>
        <v>0</v>
      </c>
      <c r="Q18" s="14" t="str">
        <f>IF(tblHorasOut[Horas Trabalhadas Além Jornada]&lt;0,IF(OR(tblHorasOut[Evento 
(1º Período)]="",tblHorasOut[Evento 
(2º Período)]=""),tblHorasOut[Horas Trabalhadas Além Jornada],""),"")</f>
        <v/>
      </c>
      <c r="R18" s="14" t="str">
        <f>IF(tblHorasOut[Jornada Diária]&lt;&gt;"",IF((N(tblHorasOut[Jornada Diária])-ABS(N(tblHorasOut[Horas Trabalhadas Além Jornada])))=0,1,""),"")</f>
        <v/>
      </c>
      <c r="S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>
        <f t="shared" si="0"/>
        <v>0</v>
      </c>
      <c r="Q19" s="14" t="str">
        <f>IF(tblHorasOut[Horas Trabalhadas Além Jornada]&lt;0,IF(OR(tblHorasOut[Evento 
(1º Período)]="",tblHorasOut[Evento 
(2º Período)]=""),tblHorasOut[Horas Trabalhadas Além Jornada],""),"")</f>
        <v/>
      </c>
      <c r="R19" s="14" t="str">
        <f>IF(tblHorasOut[Jornada Diária]&lt;&gt;"",IF((N(tblHorasOut[Jornada Diária])-ABS(N(tblHorasOut[Horas Trabalhadas Além Jornada])))=0,1,""),"")</f>
        <v/>
      </c>
      <c r="S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>
        <f t="shared" si="0"/>
        <v>0</v>
      </c>
      <c r="Q20" s="14" t="str">
        <f>IF(tblHorasOut[Horas Trabalhadas Além Jornada]&lt;0,IF(OR(tblHorasOut[Evento 
(1º Período)]="",tblHorasOut[Evento 
(2º Período)]=""),tblHorasOut[Horas Trabalhadas Além Jornada],""),"")</f>
        <v/>
      </c>
      <c r="R20" s="14" t="str">
        <f>IF(tblHorasOut[Jornada Diária]&lt;&gt;"",IF((N(tblHorasOut[Jornada Diária])-ABS(N(tblHorasOut[Horas Trabalhadas Além Jornada])))=0,1,""),"")</f>
        <v/>
      </c>
      <c r="S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>
        <f t="shared" si="0"/>
        <v>0</v>
      </c>
      <c r="Q21" s="14" t="str">
        <f>IF(tblHorasOut[Horas Trabalhadas Além Jornada]&lt;0,IF(OR(tblHorasOut[Evento 
(1º Período)]="",tblHorasOut[Evento 
(2º Período)]=""),tblHorasOut[Horas Trabalhadas Além Jornada],""),"")</f>
        <v/>
      </c>
      <c r="R21" s="14" t="str">
        <f>IF(tblHorasOut[Jornada Diária]&lt;&gt;"",IF((N(tblHorasOut[Jornada Diária])-ABS(N(tblHorasOut[Horas Trabalhadas Além Jornada])))=0,1,""),"")</f>
        <v/>
      </c>
      <c r="S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>
        <f t="shared" si="0"/>
        <v>0</v>
      </c>
      <c r="Q22" s="14" t="str">
        <f>IF(tblHorasOut[Horas Trabalhadas Além Jornada]&lt;0,IF(OR(tblHorasOut[Evento 
(1º Período)]="",tblHorasOut[Evento 
(2º Período)]=""),tblHorasOut[Horas Trabalhadas Além Jornada],""),"")</f>
        <v/>
      </c>
      <c r="R22" s="14" t="str">
        <f>IF(tblHorasOut[Jornada Diária]&lt;&gt;"",IF((N(tblHorasOut[Jornada Diária])-ABS(N(tblHorasOut[Horas Trabalhadas Além Jornada])))=0,1,""),"")</f>
        <v/>
      </c>
      <c r="S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>
        <f t="shared" si="0"/>
        <v>0</v>
      </c>
      <c r="Q23" s="14" t="str">
        <f>IF(tblHorasOut[Horas Trabalhadas Além Jornada]&lt;0,IF(OR(tblHorasOut[Evento 
(1º Período)]="",tblHorasOut[Evento 
(2º Período)]=""),tblHorasOut[Horas Trabalhadas Além Jornada],""),"")</f>
        <v/>
      </c>
      <c r="R23" s="14" t="str">
        <f>IF(tblHorasOut[Jornada Diária]&lt;&gt;"",IF((N(tblHorasOut[Jornada Diária])-ABS(N(tblHorasOut[Horas Trabalhadas Além Jornada])))=0,1,""),"")</f>
        <v/>
      </c>
      <c r="S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>
        <f t="shared" si="0"/>
        <v>0</v>
      </c>
      <c r="Q24" s="14" t="str">
        <f>IF(tblHorasOut[Horas Trabalhadas Além Jornada]&lt;0,IF(OR(tblHorasOut[Evento 
(1º Período)]="",tblHorasOut[Evento 
(2º Período)]=""),tblHorasOut[Horas Trabalhadas Além Jornada],""),"")</f>
        <v/>
      </c>
      <c r="R24" s="14" t="str">
        <f>IF(tblHorasOut[Jornada Diária]&lt;&gt;"",IF((N(tblHorasOut[Jornada Diária])-ABS(N(tblHorasOut[Horas Trabalhadas Além Jornada])))=0,1,""),"")</f>
        <v/>
      </c>
      <c r="S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>
        <f t="shared" si="0"/>
        <v>0</v>
      </c>
      <c r="Q25" s="14" t="str">
        <f>IF(tblHorasOut[Horas Trabalhadas Além Jornada]&lt;0,IF(OR(tblHorasOut[Evento 
(1º Período)]="",tblHorasOut[Evento 
(2º Período)]=""),tblHorasOut[Horas Trabalhadas Além Jornada],""),"")</f>
        <v/>
      </c>
      <c r="R25" s="14" t="str">
        <f>IF(tblHorasOut[Jornada Diária]&lt;&gt;"",IF((N(tblHorasOut[Jornada Diária])-ABS(N(tblHorasOut[Horas Trabalhadas Além Jornada])))=0,1,""),"")</f>
        <v/>
      </c>
      <c r="S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>
        <f t="shared" si="0"/>
        <v>0</v>
      </c>
      <c r="Q26" s="14" t="str">
        <f>IF(tblHorasOut[Horas Trabalhadas Além Jornada]&lt;0,IF(OR(tblHorasOut[Evento 
(1º Período)]="",tblHorasOut[Evento 
(2º Período)]=""),tblHorasOut[Horas Trabalhadas Além Jornada],""),"")</f>
        <v/>
      </c>
      <c r="R26" s="14" t="str">
        <f>IF(tblHorasOut[Jornada Diária]&lt;&gt;"",IF((N(tblHorasOut[Jornada Diária])-ABS(N(tblHorasOut[Horas Trabalhadas Além Jornada])))=0,1,""),"")</f>
        <v/>
      </c>
      <c r="S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>
        <f t="shared" si="0"/>
        <v>0</v>
      </c>
      <c r="Q27" s="14" t="str">
        <f>IF(tblHorasOut[Horas Trabalhadas Além Jornada]&lt;0,IF(OR(tblHorasOut[Evento 
(1º Período)]="",tblHorasOut[Evento 
(2º Período)]=""),tblHorasOut[Horas Trabalhadas Além Jornada],""),"")</f>
        <v/>
      </c>
      <c r="R27" s="14" t="str">
        <f>IF(tblHorasOut[Jornada Diária]&lt;&gt;"",IF((N(tblHorasOut[Jornada Diária])-ABS(N(tblHorasOut[Horas Trabalhadas Além Jornada])))=0,1,""),"")</f>
        <v/>
      </c>
      <c r="S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>
        <f t="shared" si="0"/>
        <v>0</v>
      </c>
      <c r="Q28" s="14" t="str">
        <f>IF(tblHorasOut[Horas Trabalhadas Além Jornada]&lt;0,IF(OR(tblHorasOut[Evento 
(1º Período)]="",tblHorasOut[Evento 
(2º Período)]=""),tblHorasOut[Horas Trabalhadas Além Jornada],""),"")</f>
        <v/>
      </c>
      <c r="R28" s="14" t="str">
        <f>IF(tblHorasOut[Jornada Diária]&lt;&gt;"",IF((N(tblHorasOut[Jornada Diária])-ABS(N(tblHorasOut[Horas Trabalhadas Além Jornada])))=0,1,""),"")</f>
        <v/>
      </c>
      <c r="S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>
        <f t="shared" si="0"/>
        <v>0</v>
      </c>
      <c r="Q29" s="14" t="str">
        <f>IF(tblHorasOut[Horas Trabalhadas Além Jornada]&lt;0,IF(OR(tblHorasOut[Evento 
(1º Período)]="",tblHorasOut[Evento 
(2º Período)]=""),tblHorasOut[Horas Trabalhadas Além Jornada],""),"")</f>
        <v/>
      </c>
      <c r="R29" s="14" t="str">
        <f>IF(tblHorasOut[Jornada Diária]&lt;&gt;"",IF((N(tblHorasOut[Jornada Diária])-ABS(N(tblHorasOut[Horas Trabalhadas Além Jornada])))=0,1,""),"")</f>
        <v/>
      </c>
      <c r="S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>
        <f t="shared" si="0"/>
        <v>0</v>
      </c>
      <c r="Q30" s="14" t="str">
        <f>IF(tblHorasOut[Horas Trabalhadas Além Jornada]&lt;0,IF(OR(tblHorasOut[Evento 
(1º Período)]="",tblHorasOut[Evento 
(2º Período)]=""),tblHorasOut[Horas Trabalhadas Além Jornada],""),"")</f>
        <v/>
      </c>
      <c r="R30" s="14" t="str">
        <f>IF(tblHorasOut[Jornada Diária]&lt;&gt;"",IF((N(tblHorasOut[Jornada Diária])-ABS(N(tblHorasOut[Horas Trabalhadas Além Jornada])))=0,1,""),"")</f>
        <v/>
      </c>
      <c r="S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>
        <f t="shared" si="0"/>
        <v>0</v>
      </c>
      <c r="Q31" s="14" t="str">
        <f>IF(tblHorasOut[Horas Trabalhadas Além Jornada]&lt;0,IF(OR(tblHorasOut[Evento 
(1º Período)]="",tblHorasOut[Evento 
(2º Período)]=""),tblHorasOut[Horas Trabalhadas Além Jornada],""),"")</f>
        <v/>
      </c>
      <c r="R31" s="14" t="str">
        <f>IF(tblHorasOut[Jornada Diária]&lt;&gt;"",IF((N(tblHorasOut[Jornada Diária])-ABS(N(tblHorasOut[Horas Trabalhadas Além Jornada])))=0,1,""),"")</f>
        <v/>
      </c>
      <c r="S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>
        <f t="shared" si="0"/>
        <v>0</v>
      </c>
      <c r="Q32" s="14" t="str">
        <f>IF(tblHorasOut[Horas Trabalhadas Além Jornada]&lt;0,IF(OR(tblHorasOut[Evento 
(1º Período)]="",tblHorasOut[Evento 
(2º Período)]=""),tblHorasOut[Horas Trabalhadas Além Jornada],""),"")</f>
        <v/>
      </c>
      <c r="R32" s="14" t="str">
        <f>IF(tblHorasOut[Jornada Diária]&lt;&gt;"",IF((N(tblHorasOut[Jornada Diária])-ABS(N(tblHorasOut[Horas Trabalhadas Além Jornada])))=0,1,""),"")</f>
        <v/>
      </c>
      <c r="S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>
        <f t="shared" si="0"/>
        <v>0</v>
      </c>
      <c r="Q33" s="14" t="str">
        <f>IF(tblHorasOut[Horas Trabalhadas Além Jornada]&lt;0,IF(OR(tblHorasOut[Evento 
(1º Período)]="",tblHorasOut[Evento 
(2º Período)]=""),tblHorasOut[Horas Trabalhadas Além Jornada],""),"")</f>
        <v/>
      </c>
      <c r="R33" s="14" t="str">
        <f>IF(tblHorasOut[Jornada Diária]&lt;&gt;"",IF((N(tblHorasOut[Jornada Diária])-ABS(N(tblHorasOut[Horas Trabalhadas Além Jornada])))=0,1,""),"")</f>
        <v/>
      </c>
      <c r="S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>
        <f t="shared" si="0"/>
        <v>0</v>
      </c>
      <c r="Q34" s="14" t="str">
        <f>IF(tblHorasOut[Horas Trabalhadas Além Jornada]&lt;0,IF(OR(tblHorasOut[Evento 
(1º Período)]="",tblHorasOut[Evento 
(2º Período)]=""),tblHorasOut[Horas Trabalhadas Além Jornada],""),"")</f>
        <v/>
      </c>
      <c r="R34" s="14" t="str">
        <f>IF(tblHorasOut[Jornada Diária]&lt;&gt;"",IF((N(tblHorasOut[Jornada Diária])-ABS(N(tblHorasOut[Horas Trabalhadas Além Jornada])))=0,1,""),"")</f>
        <v/>
      </c>
      <c r="S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>
        <f t="shared" si="0"/>
        <v>0</v>
      </c>
      <c r="Q35" s="14" t="str">
        <f>IF(tblHorasOut[Horas Trabalhadas Além Jornada]&lt;0,IF(OR(tblHorasOut[Evento 
(1º Período)]="",tblHorasOut[Evento 
(2º Período)]=""),tblHorasOut[Horas Trabalhadas Além Jornada],""),"")</f>
        <v/>
      </c>
      <c r="R35" s="14" t="str">
        <f>IF(tblHorasOut[Jornada Diária]&lt;&gt;"",IF((N(tblHorasOut[Jornada Diária])-ABS(N(tblHorasOut[Horas Trabalhadas Além Jornada])))=0,1,""),"")</f>
        <v/>
      </c>
      <c r="S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>
        <f t="shared" si="0"/>
        <v>0</v>
      </c>
      <c r="Q36" s="14" t="str">
        <f>IF(tblHorasOut[Horas Trabalhadas Além Jornada]&lt;0,IF(OR(tblHorasOut[Evento 
(1º Período)]="",tblHorasOut[Evento 
(2º Período)]=""),tblHorasOut[Horas Trabalhadas Além Jornada],""),"")</f>
        <v/>
      </c>
      <c r="R36" s="14" t="str">
        <f>IF(tblHorasOut[Jornada Diária]&lt;&gt;"",IF((N(tblHorasOut[Jornada Diária])-ABS(N(tblHorasOut[Horas Trabalhadas Além Jornada])))=0,1,""),"")</f>
        <v/>
      </c>
      <c r="S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>
        <f t="shared" si="0"/>
        <v>0</v>
      </c>
      <c r="Q37" s="14" t="str">
        <f>IF(tblHorasOut[Horas Trabalhadas Além Jornada]&lt;0,IF(OR(tblHorasOut[Evento 
(1º Período)]="",tblHorasOut[Evento 
(2º Período)]=""),tblHorasOut[Horas Trabalhadas Além Jornada],""),"")</f>
        <v/>
      </c>
      <c r="R37" s="14" t="str">
        <f>IF(tblHorasOut[Jornada Diária]&lt;&gt;"",IF((N(tblHorasOut[Jornada Diária])-ABS(N(tblHorasOut[Horas Trabalhadas Além Jornada])))=0,1,""),"")</f>
        <v/>
      </c>
      <c r="S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>
        <f t="shared" si="0"/>
        <v>0</v>
      </c>
      <c r="Q38" s="14" t="str">
        <f>IF(tblHorasOut[Horas Trabalhadas Além Jornada]&lt;0,IF(OR(tblHorasOut[Evento 
(1º Período)]="",tblHorasOut[Evento 
(2º Período)]=""),tblHorasOut[Horas Trabalhadas Além Jornada],""),"")</f>
        <v/>
      </c>
      <c r="R38" s="14" t="str">
        <f>IF(tblHorasOut[Jornada Diária]&lt;&gt;"",IF((N(tblHorasOut[Jornada Diária])-ABS(N(tblHorasOut[Horas Trabalhadas Além Jornada])))=0,1,""),"")</f>
        <v/>
      </c>
      <c r="S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IF(VLOOKUP(tblHorasOut[Dia],tblDiaUtil[[Abreviatura]:[Total Jornada]],5,FALSE)&lt;&gt;"",VLOOKUP(tblHorasOut[Dia],tblDiaUtil[[Abreviatura]:[Total Jornada]],5,FALSE),JORNADA),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
-IF(VLOOKUP(tblHorasOut[Dia],tblDiaUtil[[Abreviatura]:[Total Jornada]],5,FALSE)&lt;&gt;"",VLOOKUP(tblHorasOut[Dia],tblDiaUtil[[Abreviatura]:[Total Jornada]],5,FALSE),JORNADA),
IF(IF(ISERROR(VLOOKUP(tblHorasOut[Evento 
(1º Período)],tblEvento[[Evento]:[Libera o Período]],4,FALSE)),FALSE,
IF(VLOOKUP(tblHorasOut[Evento 
(1º Período)],tblEvento[[Evento]:[Libera o Período]],4,FALSE)="Não",TRUE,FALSE)
),
-IF(VLOOKUP(tblHorasOut[Dia],tblDiaUtil[[Abreviatura]:[1º Período]],3,FALSE)&lt;&gt;"",VLOOKUP(tblHorasOut[Dia],tblDiaUtil[[Abreviatura]:[1º Período]],3,FALSE),JORNADA_PERIODO_1),
IF(IF(ISERROR(VLOOKUP(tblHorasOut[Evento 
(2º Período)],tblEvento[[Evento]:[Libera o Período]],4,FALSE)),FALSE,IF(VLOOKUP(tblHorasOut[Evento 
(2º Período)],tblEvento[[Evento]:[Libera o Período]],4,FALSE)="Não",TRUE,FALSE)),
-IF(VLOOKUP(tblHorasOut[Dia],tblDiaUtil[[Abreviatura]:[2º Período]],4,FALSE)&lt;&gt;"",VLOOKUP(tblHorasOut[Dia],tblDiaUtil[[Abreviatura]:[2º Período]],4,FALSE),JORNADA_PERIODO_2),0))))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>
        <f t="shared" si="0"/>
        <v>0</v>
      </c>
      <c r="Q39" s="14" t="str">
        <f>IF(tblHorasOut[Horas Trabalhadas Além Jornada]&lt;0,IF(OR(tblHorasOut[Evento 
(1º Período)]="",tblHorasOut[Evento 
(2º Período)]=""),tblHorasOut[Horas Trabalhadas Além Jornada],""),"")</f>
        <v/>
      </c>
      <c r="R39" s="14" t="str">
        <f>IF(tblHorasOut[Jornada Diária]&lt;&gt;"",IF((N(tblHorasOut[Jornada Diária])-ABS(N(tblHorasOut[Horas Trabalhadas Além Jornada])))=0,1,""),"")</f>
        <v/>
      </c>
      <c r="S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T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U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Sh3GimRKMTPdjmNytg2lyAsXvpdqXwhkgQKYyR/qWrqg6OUEOtO2MT0iZf1CYZH3zqKi1Zdtb8LObUDK6buGmA==" saltValue="lg7W2r0NMyZLSLt+oQkZOQ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A46215E-DFB6-4B0E-910E-7788D787901C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779B240B-3BFD-4C0B-B3CB-B618865D36CC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19DEF129-938D-4536-B7B8-4E0C23F7070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051497C1-3DD8-452D-B29F-AE81861CFE6E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C388BAEE-57CD-4AEF-9421-E60E5F98347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B0CF6406-7FE0-4345-A46A-76939516CA58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73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IF(CONT_MES_ANTERIOR="Sim",Outubro!O39,0)</f>
        <v>0</v>
      </c>
      <c r="P7" s="45">
        <f>SUM(tblHorasNov[Atrasos
(horas)])</f>
        <v>0</v>
      </c>
      <c r="Q7" s="45">
        <f>SUM(tblHorasNov[Atrasos
(horas)])</f>
        <v>0</v>
      </c>
      <c r="R7" s="46">
        <f>SUM(tblHorasNov[Faltas
(dias)])</f>
        <v>0</v>
      </c>
      <c r="S7" s="45">
        <f>SUM(tblHorasNov[Hora Extra Normal])</f>
        <v>0</v>
      </c>
      <c r="T7" s="45">
        <f>SUM(tblHorasNov[Hora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>
        <f t="shared" ref="P9:P39" si="0">G9-F9</f>
        <v>0</v>
      </c>
      <c r="Q9" s="14" t="str">
        <f>IF(tblHorasNov[Horas Trabalhadas Além Jornada]&lt;0,IF(OR(tblHorasNov[Evento 
(1º Período)]="",tblHorasNov[Evento 
(2º Período)]=""),tblHorasNov[Horas Trabalhadas Além Jornada],""),"")</f>
        <v/>
      </c>
      <c r="R9" s="14" t="str">
        <f>IF(tblHorasNov[Jornada Diária]&lt;&gt;"",IF((N(tblHorasNov[Jornada Diária])-ABS(N(tblHorasNov[Horas Trabalhadas Além Jornada])))=0,1,""),"")</f>
        <v/>
      </c>
      <c r="S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>
        <f t="shared" si="0"/>
        <v>0</v>
      </c>
      <c r="Q10" s="14" t="str">
        <f>IF(tblHorasNov[Horas Trabalhadas Além Jornada]&lt;0,IF(OR(tblHorasNov[Evento 
(1º Período)]="",tblHorasNov[Evento 
(2º Período)]=""),tblHorasNov[Horas Trabalhadas Além Jornada],""),"")</f>
        <v/>
      </c>
      <c r="R10" s="14" t="str">
        <f>IF(tblHorasNov[Jornada Diária]&lt;&gt;"",IF((N(tblHorasNov[Jornada Diária])-ABS(N(tblHorasNov[Horas Trabalhadas Além Jornada])))=0,1,""),"")</f>
        <v/>
      </c>
      <c r="S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>
        <f t="shared" si="0"/>
        <v>0</v>
      </c>
      <c r="Q11" s="14" t="str">
        <f>IF(tblHorasNov[Horas Trabalhadas Além Jornada]&lt;0,IF(OR(tblHorasNov[Evento 
(1º Período)]="",tblHorasNov[Evento 
(2º Período)]=""),tblHorasNov[Horas Trabalhadas Além Jornada],""),"")</f>
        <v/>
      </c>
      <c r="R11" s="14" t="str">
        <f>IF(tblHorasNov[Jornada Diária]&lt;&gt;"",IF((N(tblHorasNov[Jornada Diária])-ABS(N(tblHorasNov[Horas Trabalhadas Além Jornada])))=0,1,""),"")</f>
        <v/>
      </c>
      <c r="S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>
        <f t="shared" si="0"/>
        <v>0</v>
      </c>
      <c r="Q12" s="14" t="str">
        <f>IF(tblHorasNov[Horas Trabalhadas Além Jornada]&lt;0,IF(OR(tblHorasNov[Evento 
(1º Período)]="",tblHorasNov[Evento 
(2º Período)]=""),tblHorasNov[Horas Trabalhadas Além Jornada],""),"")</f>
        <v/>
      </c>
      <c r="R12" s="14" t="str">
        <f>IF(tblHorasNov[Jornada Diária]&lt;&gt;"",IF((N(tblHorasNov[Jornada Diária])-ABS(N(tblHorasNov[Horas Trabalhadas Além Jornada])))=0,1,""),"")</f>
        <v/>
      </c>
      <c r="S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>
        <f t="shared" si="0"/>
        <v>0</v>
      </c>
      <c r="Q13" s="14" t="str">
        <f>IF(tblHorasNov[Horas Trabalhadas Além Jornada]&lt;0,IF(OR(tblHorasNov[Evento 
(1º Período)]="",tblHorasNov[Evento 
(2º Período)]=""),tblHorasNov[Horas Trabalhadas Além Jornada],""),"")</f>
        <v/>
      </c>
      <c r="R13" s="14" t="str">
        <f>IF(tblHorasNov[Jornada Diária]&lt;&gt;"",IF((N(tblHorasNov[Jornada Diária])-ABS(N(tblHorasNov[Horas Trabalhadas Além Jornada])))=0,1,""),"")</f>
        <v/>
      </c>
      <c r="S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>
        <f t="shared" si="0"/>
        <v>0</v>
      </c>
      <c r="Q14" s="14" t="str">
        <f>IF(tblHorasNov[Horas Trabalhadas Além Jornada]&lt;0,IF(OR(tblHorasNov[Evento 
(1º Período)]="",tblHorasNov[Evento 
(2º Período)]=""),tblHorasNov[Horas Trabalhadas Além Jornada],""),"")</f>
        <v/>
      </c>
      <c r="R14" s="14" t="str">
        <f>IF(tblHorasNov[Jornada Diária]&lt;&gt;"",IF((N(tblHorasNov[Jornada Diária])-ABS(N(tblHorasNov[Horas Trabalhadas Além Jornada])))=0,1,""),"")</f>
        <v/>
      </c>
      <c r="S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>
        <f t="shared" si="0"/>
        <v>0</v>
      </c>
      <c r="Q15" s="14" t="str">
        <f>IF(tblHorasNov[Horas Trabalhadas Além Jornada]&lt;0,IF(OR(tblHorasNov[Evento 
(1º Período)]="",tblHorasNov[Evento 
(2º Período)]=""),tblHorasNov[Horas Trabalhadas Além Jornada],""),"")</f>
        <v/>
      </c>
      <c r="R15" s="14" t="str">
        <f>IF(tblHorasNov[Jornada Diária]&lt;&gt;"",IF((N(tblHorasNov[Jornada Diária])-ABS(N(tblHorasNov[Horas Trabalhadas Além Jornada])))=0,1,""),"")</f>
        <v/>
      </c>
      <c r="S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>
        <f t="shared" si="0"/>
        <v>0</v>
      </c>
      <c r="Q16" s="14" t="str">
        <f>IF(tblHorasNov[Horas Trabalhadas Além Jornada]&lt;0,IF(OR(tblHorasNov[Evento 
(1º Período)]="",tblHorasNov[Evento 
(2º Período)]=""),tblHorasNov[Horas Trabalhadas Além Jornada],""),"")</f>
        <v/>
      </c>
      <c r="R16" s="14" t="str">
        <f>IF(tblHorasNov[Jornada Diária]&lt;&gt;"",IF((N(tblHorasNov[Jornada Diária])-ABS(N(tblHorasNov[Horas Trabalhadas Além Jornada])))=0,1,""),"")</f>
        <v/>
      </c>
      <c r="S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>
        <f t="shared" si="0"/>
        <v>0</v>
      </c>
      <c r="Q17" s="14" t="str">
        <f>IF(tblHorasNov[Horas Trabalhadas Além Jornada]&lt;0,IF(OR(tblHorasNov[Evento 
(1º Período)]="",tblHorasNov[Evento 
(2º Período)]=""),tblHorasNov[Horas Trabalhadas Além Jornada],""),"")</f>
        <v/>
      </c>
      <c r="R17" s="14" t="str">
        <f>IF(tblHorasNov[Jornada Diária]&lt;&gt;"",IF((N(tblHorasNov[Jornada Diária])-ABS(N(tblHorasNov[Horas Trabalhadas Além Jornada])))=0,1,""),"")</f>
        <v/>
      </c>
      <c r="S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>
        <f t="shared" si="0"/>
        <v>0</v>
      </c>
      <c r="Q18" s="14" t="str">
        <f>IF(tblHorasNov[Horas Trabalhadas Além Jornada]&lt;0,IF(OR(tblHorasNov[Evento 
(1º Período)]="",tblHorasNov[Evento 
(2º Período)]=""),tblHorasNov[Horas Trabalhadas Além Jornada],""),"")</f>
        <v/>
      </c>
      <c r="R18" s="14" t="str">
        <f>IF(tblHorasNov[Jornada Diária]&lt;&gt;"",IF((N(tblHorasNov[Jornada Diária])-ABS(N(tblHorasNov[Horas Trabalhadas Além Jornada])))=0,1,""),"")</f>
        <v/>
      </c>
      <c r="S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>
        <f t="shared" si="0"/>
        <v>0</v>
      </c>
      <c r="Q19" s="14" t="str">
        <f>IF(tblHorasNov[Horas Trabalhadas Além Jornada]&lt;0,IF(OR(tblHorasNov[Evento 
(1º Período)]="",tblHorasNov[Evento 
(2º Período)]=""),tblHorasNov[Horas Trabalhadas Além Jornada],""),"")</f>
        <v/>
      </c>
      <c r="R19" s="14" t="str">
        <f>IF(tblHorasNov[Jornada Diária]&lt;&gt;"",IF((N(tblHorasNov[Jornada Diária])-ABS(N(tblHorasNov[Horas Trabalhadas Além Jornada])))=0,1,""),"")</f>
        <v/>
      </c>
      <c r="S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>
        <f t="shared" si="0"/>
        <v>0</v>
      </c>
      <c r="Q20" s="14" t="str">
        <f>IF(tblHorasNov[Horas Trabalhadas Além Jornada]&lt;0,IF(OR(tblHorasNov[Evento 
(1º Período)]="",tblHorasNov[Evento 
(2º Período)]=""),tblHorasNov[Horas Trabalhadas Além Jornada],""),"")</f>
        <v/>
      </c>
      <c r="R20" s="14" t="str">
        <f>IF(tblHorasNov[Jornada Diária]&lt;&gt;"",IF((N(tblHorasNov[Jornada Diária])-ABS(N(tblHorasNov[Horas Trabalhadas Além Jornada])))=0,1,""),"")</f>
        <v/>
      </c>
      <c r="S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>
        <f t="shared" si="0"/>
        <v>0</v>
      </c>
      <c r="Q21" s="14" t="str">
        <f>IF(tblHorasNov[Horas Trabalhadas Além Jornada]&lt;0,IF(OR(tblHorasNov[Evento 
(1º Período)]="",tblHorasNov[Evento 
(2º Período)]=""),tblHorasNov[Horas Trabalhadas Além Jornada],""),"")</f>
        <v/>
      </c>
      <c r="R21" s="14" t="str">
        <f>IF(tblHorasNov[Jornada Diária]&lt;&gt;"",IF((N(tblHorasNov[Jornada Diária])-ABS(N(tblHorasNov[Horas Trabalhadas Além Jornada])))=0,1,""),"")</f>
        <v/>
      </c>
      <c r="S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>
        <f t="shared" si="0"/>
        <v>0</v>
      </c>
      <c r="Q22" s="14" t="str">
        <f>IF(tblHorasNov[Horas Trabalhadas Além Jornada]&lt;0,IF(OR(tblHorasNov[Evento 
(1º Período)]="",tblHorasNov[Evento 
(2º Período)]=""),tblHorasNov[Horas Trabalhadas Além Jornada],""),"")</f>
        <v/>
      </c>
      <c r="R22" s="14" t="str">
        <f>IF(tblHorasNov[Jornada Diária]&lt;&gt;"",IF((N(tblHorasNov[Jornada Diária])-ABS(N(tblHorasNov[Horas Trabalhadas Além Jornada])))=0,1,""),"")</f>
        <v/>
      </c>
      <c r="S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>
        <f t="shared" si="0"/>
        <v>0</v>
      </c>
      <c r="Q23" s="14" t="str">
        <f>IF(tblHorasNov[Horas Trabalhadas Além Jornada]&lt;0,IF(OR(tblHorasNov[Evento 
(1º Período)]="",tblHorasNov[Evento 
(2º Período)]=""),tblHorasNov[Horas Trabalhadas Além Jornada],""),"")</f>
        <v/>
      </c>
      <c r="R23" s="14" t="str">
        <f>IF(tblHorasNov[Jornada Diária]&lt;&gt;"",IF((N(tblHorasNov[Jornada Diária])-ABS(N(tblHorasNov[Horas Trabalhadas Além Jornada])))=0,1,""),"")</f>
        <v/>
      </c>
      <c r="S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>
        <f t="shared" si="0"/>
        <v>0</v>
      </c>
      <c r="Q24" s="14" t="str">
        <f>IF(tblHorasNov[Horas Trabalhadas Além Jornada]&lt;0,IF(OR(tblHorasNov[Evento 
(1º Período)]="",tblHorasNov[Evento 
(2º Período)]=""),tblHorasNov[Horas Trabalhadas Além Jornada],""),"")</f>
        <v/>
      </c>
      <c r="R24" s="14" t="str">
        <f>IF(tblHorasNov[Jornada Diária]&lt;&gt;"",IF((N(tblHorasNov[Jornada Diária])-ABS(N(tblHorasNov[Horas Trabalhadas Além Jornada])))=0,1,""),"")</f>
        <v/>
      </c>
      <c r="S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>
        <f t="shared" si="0"/>
        <v>0</v>
      </c>
      <c r="Q25" s="14" t="str">
        <f>IF(tblHorasNov[Horas Trabalhadas Além Jornada]&lt;0,IF(OR(tblHorasNov[Evento 
(1º Período)]="",tblHorasNov[Evento 
(2º Período)]=""),tblHorasNov[Horas Trabalhadas Além Jornada],""),"")</f>
        <v/>
      </c>
      <c r="R25" s="14" t="str">
        <f>IF(tblHorasNov[Jornada Diária]&lt;&gt;"",IF((N(tblHorasNov[Jornada Diária])-ABS(N(tblHorasNov[Horas Trabalhadas Além Jornada])))=0,1,""),"")</f>
        <v/>
      </c>
      <c r="S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>
        <f t="shared" si="0"/>
        <v>0</v>
      </c>
      <c r="Q26" s="14" t="str">
        <f>IF(tblHorasNov[Horas Trabalhadas Além Jornada]&lt;0,IF(OR(tblHorasNov[Evento 
(1º Período)]="",tblHorasNov[Evento 
(2º Período)]=""),tblHorasNov[Horas Trabalhadas Além Jornada],""),"")</f>
        <v/>
      </c>
      <c r="R26" s="14" t="str">
        <f>IF(tblHorasNov[Jornada Diária]&lt;&gt;"",IF((N(tblHorasNov[Jornada Diária])-ABS(N(tblHorasNov[Horas Trabalhadas Além Jornada])))=0,1,""),"")</f>
        <v/>
      </c>
      <c r="S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>
        <f t="shared" si="0"/>
        <v>0</v>
      </c>
      <c r="Q27" s="14" t="str">
        <f>IF(tblHorasNov[Horas Trabalhadas Além Jornada]&lt;0,IF(OR(tblHorasNov[Evento 
(1º Período)]="",tblHorasNov[Evento 
(2º Período)]=""),tblHorasNov[Horas Trabalhadas Além Jornada],""),"")</f>
        <v/>
      </c>
      <c r="R27" s="14" t="str">
        <f>IF(tblHorasNov[Jornada Diária]&lt;&gt;"",IF((N(tblHorasNov[Jornada Diária])-ABS(N(tblHorasNov[Horas Trabalhadas Além Jornada])))=0,1,""),"")</f>
        <v/>
      </c>
      <c r="S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>
        <f t="shared" si="0"/>
        <v>0</v>
      </c>
      <c r="Q28" s="14" t="str">
        <f>IF(tblHorasNov[Horas Trabalhadas Além Jornada]&lt;0,IF(OR(tblHorasNov[Evento 
(1º Período)]="",tblHorasNov[Evento 
(2º Período)]=""),tblHorasNov[Horas Trabalhadas Além Jornada],""),"")</f>
        <v/>
      </c>
      <c r="R28" s="14" t="str">
        <f>IF(tblHorasNov[Jornada Diária]&lt;&gt;"",IF((N(tblHorasNov[Jornada Diária])-ABS(N(tblHorasNov[Horas Trabalhadas Além Jornada])))=0,1,""),"")</f>
        <v/>
      </c>
      <c r="S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>
        <f t="shared" si="0"/>
        <v>0</v>
      </c>
      <c r="Q29" s="14" t="str">
        <f>IF(tblHorasNov[Horas Trabalhadas Além Jornada]&lt;0,IF(OR(tblHorasNov[Evento 
(1º Período)]="",tblHorasNov[Evento 
(2º Período)]=""),tblHorasNov[Horas Trabalhadas Além Jornada],""),"")</f>
        <v/>
      </c>
      <c r="R29" s="14" t="str">
        <f>IF(tblHorasNov[Jornada Diária]&lt;&gt;"",IF((N(tblHorasNov[Jornada Diária])-ABS(N(tblHorasNov[Horas Trabalhadas Além Jornada])))=0,1,""),"")</f>
        <v/>
      </c>
      <c r="S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>
        <f t="shared" si="0"/>
        <v>0</v>
      </c>
      <c r="Q30" s="14" t="str">
        <f>IF(tblHorasNov[Horas Trabalhadas Além Jornada]&lt;0,IF(OR(tblHorasNov[Evento 
(1º Período)]="",tblHorasNov[Evento 
(2º Período)]=""),tblHorasNov[Horas Trabalhadas Além Jornada],""),"")</f>
        <v/>
      </c>
      <c r="R30" s="14" t="str">
        <f>IF(tblHorasNov[Jornada Diária]&lt;&gt;"",IF((N(tblHorasNov[Jornada Diária])-ABS(N(tblHorasNov[Horas Trabalhadas Além Jornada])))=0,1,""),"")</f>
        <v/>
      </c>
      <c r="S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>
        <f t="shared" si="0"/>
        <v>0</v>
      </c>
      <c r="Q31" s="14" t="str">
        <f>IF(tblHorasNov[Horas Trabalhadas Além Jornada]&lt;0,IF(OR(tblHorasNov[Evento 
(1º Período)]="",tblHorasNov[Evento 
(2º Período)]=""),tblHorasNov[Horas Trabalhadas Além Jornada],""),"")</f>
        <v/>
      </c>
      <c r="R31" s="14" t="str">
        <f>IF(tblHorasNov[Jornada Diária]&lt;&gt;"",IF((N(tblHorasNov[Jornada Diária])-ABS(N(tblHorasNov[Horas Trabalhadas Além Jornada])))=0,1,""),"")</f>
        <v/>
      </c>
      <c r="S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>
        <f t="shared" si="0"/>
        <v>0</v>
      </c>
      <c r="Q32" s="14" t="str">
        <f>IF(tblHorasNov[Horas Trabalhadas Além Jornada]&lt;0,IF(OR(tblHorasNov[Evento 
(1º Período)]="",tblHorasNov[Evento 
(2º Período)]=""),tblHorasNov[Horas Trabalhadas Além Jornada],""),"")</f>
        <v/>
      </c>
      <c r="R32" s="14" t="str">
        <f>IF(tblHorasNov[Jornada Diária]&lt;&gt;"",IF((N(tblHorasNov[Jornada Diária])-ABS(N(tblHorasNov[Horas Trabalhadas Além Jornada])))=0,1,""),"")</f>
        <v/>
      </c>
      <c r="S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>
        <f t="shared" si="0"/>
        <v>0</v>
      </c>
      <c r="Q33" s="14" t="str">
        <f>IF(tblHorasNov[Horas Trabalhadas Além Jornada]&lt;0,IF(OR(tblHorasNov[Evento 
(1º Período)]="",tblHorasNov[Evento 
(2º Período)]=""),tblHorasNov[Horas Trabalhadas Além Jornada],""),"")</f>
        <v/>
      </c>
      <c r="R33" s="14" t="str">
        <f>IF(tblHorasNov[Jornada Diária]&lt;&gt;"",IF((N(tblHorasNov[Jornada Diária])-ABS(N(tblHorasNov[Horas Trabalhadas Além Jornada])))=0,1,""),"")</f>
        <v/>
      </c>
      <c r="S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>
        <f t="shared" si="0"/>
        <v>0</v>
      </c>
      <c r="Q34" s="14" t="str">
        <f>IF(tblHorasNov[Horas Trabalhadas Além Jornada]&lt;0,IF(OR(tblHorasNov[Evento 
(1º Período)]="",tblHorasNov[Evento 
(2º Período)]=""),tblHorasNov[Horas Trabalhadas Além Jornada],""),"")</f>
        <v/>
      </c>
      <c r="R34" s="14" t="str">
        <f>IF(tblHorasNov[Jornada Diária]&lt;&gt;"",IF((N(tblHorasNov[Jornada Diária])-ABS(N(tblHorasNov[Horas Trabalhadas Além Jornada])))=0,1,""),"")</f>
        <v/>
      </c>
      <c r="S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>
        <f t="shared" si="0"/>
        <v>0</v>
      </c>
      <c r="Q35" s="14" t="str">
        <f>IF(tblHorasNov[Horas Trabalhadas Além Jornada]&lt;0,IF(OR(tblHorasNov[Evento 
(1º Período)]="",tblHorasNov[Evento 
(2º Período)]=""),tblHorasNov[Horas Trabalhadas Além Jornada],""),"")</f>
        <v/>
      </c>
      <c r="R35" s="14" t="str">
        <f>IF(tblHorasNov[Jornada Diária]&lt;&gt;"",IF((N(tblHorasNov[Jornada Diária])-ABS(N(tblHorasNov[Horas Trabalhadas Além Jornada])))=0,1,""),"")</f>
        <v/>
      </c>
      <c r="S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>
        <f t="shared" si="0"/>
        <v>0</v>
      </c>
      <c r="Q36" s="14" t="str">
        <f>IF(tblHorasNov[Horas Trabalhadas Além Jornada]&lt;0,IF(OR(tblHorasNov[Evento 
(1º Período)]="",tblHorasNov[Evento 
(2º Período)]=""),tblHorasNov[Horas Trabalhadas Além Jornada],""),"")</f>
        <v/>
      </c>
      <c r="R36" s="14" t="str">
        <f>IF(tblHorasNov[Jornada Diária]&lt;&gt;"",IF((N(tblHorasNov[Jornada Diária])-ABS(N(tblHorasNov[Horas Trabalhadas Além Jornada])))=0,1,""),"")</f>
        <v/>
      </c>
      <c r="S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>
        <f t="shared" si="0"/>
        <v>0</v>
      </c>
      <c r="Q37" s="14" t="str">
        <f>IF(tblHorasNov[Horas Trabalhadas Além Jornada]&lt;0,IF(OR(tblHorasNov[Evento 
(1º Período)]="",tblHorasNov[Evento 
(2º Período)]=""),tblHorasNov[Horas Trabalhadas Além Jornada],""),"")</f>
        <v/>
      </c>
      <c r="R37" s="14" t="str">
        <f>IF(tblHorasNov[Jornada Diária]&lt;&gt;"",IF((N(tblHorasNov[Jornada Diária])-ABS(N(tblHorasNov[Horas Trabalhadas Além Jornada])))=0,1,""),"")</f>
        <v/>
      </c>
      <c r="S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>
        <f t="shared" si="0"/>
        <v>0</v>
      </c>
      <c r="Q38" s="14" t="str">
        <f>IF(tblHorasNov[Horas Trabalhadas Além Jornada]&lt;0,IF(OR(tblHorasNov[Evento 
(1º Período)]="",tblHorasNov[Evento 
(2º Período)]=""),tblHorasNov[Horas Trabalhadas Além Jornada],""),"")</f>
        <v/>
      </c>
      <c r="R38" s="14" t="str">
        <f>IF(tblHorasNov[Jornada Diária]&lt;&gt;"",IF((N(tblHorasNov[Jornada Diária])-ABS(N(tblHorasNov[Horas Trabalhadas Além Jornada])))=0,1,""),"")</f>
        <v/>
      </c>
      <c r="S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IF(VLOOKUP(tblHorasNov[Dia],tblDiaUtil[[Abreviatura]:[Total Jornada]],5,FALSE)&lt;&gt;"",VLOOKUP(tblHorasNov[Dia],tblDiaUtil[[Abreviatura]:[Total Jornada]],5,FALSE),JORNADA),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
-IF(VLOOKUP(tblHorasNov[Dia],tblDiaUtil[[Abreviatura]:[Total Jornada]],5,FALSE)&lt;&gt;"",VLOOKUP(tblHorasNov[Dia],tblDiaUtil[[Abreviatura]:[Total Jornada]],5,FALSE),JORNADA),
IF(IF(ISERROR(VLOOKUP(tblHorasNov[Evento 
(1º Período)],tblEvento[[Evento]:[Libera o Período]],4,FALSE)),FALSE,
IF(VLOOKUP(tblHorasNov[Evento 
(1º Período)],tblEvento[[Evento]:[Libera o Período]],4,FALSE)="Não",TRUE,FALSE)
),
-IF(VLOOKUP(tblHorasNov[Dia],tblDiaUtil[[Abreviatura]:[1º Período]],3,FALSE)&lt;&gt;"",VLOOKUP(tblHorasNov[Dia],tblDiaUtil[[Abreviatura]:[1º Período]],3,FALSE),JORNADA_PERIODO_1),
IF(IF(ISERROR(VLOOKUP(tblHorasNov[Evento 
(2º Período)],tblEvento[[Evento]:[Libera o Período]],4,FALSE)),FALSE,IF(VLOOKUP(tblHorasNov[Evento 
(2º Período)],tblEvento[[Evento]:[Libera o Período]],4,FALSE)="Não",TRUE,FALSE)),
-IF(VLOOKUP(tblHorasNov[Dia],tblDiaUtil[[Abreviatura]:[2º Período]],4,FALSE)&lt;&gt;"",VLOOKUP(tblHorasNov[Dia],tblDiaUtil[[Abreviatura]:[2º Período]],4,FALSE),JORNADA_PERIODO_2),0))))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>
        <f t="shared" si="0"/>
        <v>0</v>
      </c>
      <c r="Q39" s="14" t="str">
        <f>IF(tblHorasNov[Horas Trabalhadas Além Jornada]&lt;0,IF(OR(tblHorasNov[Evento 
(1º Período)]="",tblHorasNov[Evento 
(2º Período)]=""),tblHorasNov[Horas Trabalhadas Além Jornada],""),"")</f>
        <v/>
      </c>
      <c r="R39" s="14" t="str">
        <f>IF(tblHorasNov[Jornada Diária]&lt;&gt;"",IF((N(tblHorasNov[Jornada Diária])-ABS(N(tblHorasNov[Horas Trabalhadas Além Jornada])))=0,1,""),"")</f>
        <v/>
      </c>
      <c r="S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T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U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rTEIIkdPKchZudF3OldcTVA9O5iLEvsRxlIY+BZD7g4z2FKCkIZ10WXVfcT9dLlKb8AKsDgZcuEKFuGFNvj52A==" saltValue="DGX7jqKZ3XkNpAvG0tFvIA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DA7719FC-879A-4A30-BCEA-3DFB477926D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572BC16C-F188-48B6-AAD6-D81BF6A471C0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A495C21D-CFD6-415D-B35A-408E40A1A8C7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C151BA1E-4B85-4180-8F3B-50291838AE9A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64933462-8A3C-4D57-A33B-B0C7C12A8C9D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96FC05F6-6E8E-42A1-81E6-DBFF2107DFFB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D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9" sqref="D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20" width="12.7109375" style="5" hidden="1" customWidth="1"/>
    <col min="21" max="21" width="38.42578125" style="5" customWidth="1"/>
    <col min="22" max="22" width="2.7109375" style="5" customWidth="1"/>
    <col min="23" max="23" width="9.140625" style="5" hidden="1" customWidth="1"/>
    <col min="24" max="24" width="12.42578125" style="5" hidden="1" customWidth="1"/>
    <col min="25" max="26" width="0" style="5" hidden="1" customWidth="1"/>
    <col min="27" max="27" width="9.140625" style="5" hidden="1" customWidth="1"/>
    <col min="28" max="28" width="12.42578125" style="5" hidden="1" customWidth="1"/>
    <col min="29" max="30" width="0" style="5" hidden="1" customWidth="1"/>
    <col min="31" max="16384" width="9.140625" style="5" hidden="1"/>
  </cols>
  <sheetData>
    <row r="1" spans="2:26" ht="15" customHeight="1" x14ac:dyDescent="0.25">
      <c r="G1" s="48" t="s">
        <v>58</v>
      </c>
      <c r="O1" s="82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00:10 hora(s) (para mais ou para menos);
*Caso tenha Atestado em um dos períodos, o que ultrapassar de 4:00 horas de trabalho contabiliza hora positiva.</v>
      </c>
      <c r="P1" s="83"/>
      <c r="Q1" s="83"/>
      <c r="R1" s="83"/>
      <c r="S1" s="83"/>
      <c r="T1" s="83"/>
      <c r="U1" s="83"/>
    </row>
    <row r="2" spans="2:26" ht="15" customHeight="1" thickBot="1" x14ac:dyDescent="0.3">
      <c r="B2" s="6"/>
      <c r="G2" s="90"/>
      <c r="H2" s="91"/>
      <c r="I2" s="91"/>
      <c r="N2" s="24"/>
      <c r="O2" s="83"/>
      <c r="P2" s="83"/>
      <c r="Q2" s="83"/>
      <c r="R2" s="83"/>
      <c r="S2" s="83"/>
      <c r="T2" s="83"/>
      <c r="U2" s="83"/>
    </row>
    <row r="3" spans="2:26" ht="15" customHeight="1" x14ac:dyDescent="0.25">
      <c r="B3" s="6"/>
      <c r="G3" s="48" t="s">
        <v>96</v>
      </c>
      <c r="H3" s="92" t="s">
        <v>97</v>
      </c>
      <c r="I3" s="93"/>
      <c r="N3" s="24"/>
      <c r="O3" s="83"/>
      <c r="P3" s="83"/>
      <c r="Q3" s="83"/>
      <c r="R3" s="83"/>
      <c r="S3" s="83"/>
      <c r="T3" s="83"/>
      <c r="U3" s="83"/>
    </row>
    <row r="4" spans="2:26" ht="15" customHeight="1" thickBot="1" x14ac:dyDescent="0.3">
      <c r="B4" s="6"/>
      <c r="G4" s="52"/>
      <c r="H4" s="84"/>
      <c r="I4" s="85"/>
      <c r="N4" s="24"/>
      <c r="O4" s="83"/>
      <c r="P4" s="83"/>
      <c r="Q4" s="83"/>
      <c r="R4" s="83"/>
      <c r="S4" s="83"/>
      <c r="T4" s="83"/>
      <c r="U4" s="83"/>
    </row>
    <row r="5" spans="2:26" ht="15" customHeight="1" x14ac:dyDescent="0.25">
      <c r="B5" s="86" t="s">
        <v>59</v>
      </c>
      <c r="C5" s="87"/>
      <c r="D5" s="48" t="s">
        <v>62</v>
      </c>
      <c r="E5" s="48" t="s">
        <v>88</v>
      </c>
      <c r="G5" s="7"/>
      <c r="N5" s="24"/>
      <c r="O5" s="94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34" t="s">
        <v>76</v>
      </c>
      <c r="U5" s="24"/>
    </row>
    <row r="6" spans="2:26" ht="16.5" customHeight="1" thickBot="1" x14ac:dyDescent="0.3">
      <c r="B6" s="88" t="s">
        <v>74</v>
      </c>
      <c r="C6" s="89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95"/>
      <c r="P6" s="96" t="s">
        <v>95</v>
      </c>
      <c r="Q6" s="97"/>
      <c r="R6" s="97"/>
      <c r="S6" s="97"/>
      <c r="T6" s="97"/>
      <c r="U6" s="24"/>
    </row>
    <row r="7" spans="2:26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IF(CONT_MES_ANTERIOR="Sim",Novembro!O39,0)</f>
        <v>0</v>
      </c>
      <c r="P7" s="45">
        <f>SUM(tblHorasDez[Atrasos
(horas)])</f>
        <v>0</v>
      </c>
      <c r="Q7" s="45">
        <f>SUM(tblHorasDez[Atrasos
(horas)])</f>
        <v>0</v>
      </c>
      <c r="R7" s="46">
        <f>SUM(tblHorasDez[Faltas
(dias)])</f>
        <v>0</v>
      </c>
      <c r="S7" s="45">
        <f>SUM(tblHorasDez[Hora Extra Normal])</f>
        <v>0</v>
      </c>
      <c r="T7" s="45">
        <f>SUM(tblHorasDez[Hora Extra 
Especial])</f>
        <v>0</v>
      </c>
      <c r="U7" s="24"/>
    </row>
    <row r="8" spans="2:26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110</v>
      </c>
      <c r="Q8" s="9" t="s">
        <v>91</v>
      </c>
      <c r="R8" s="9" t="s">
        <v>92</v>
      </c>
      <c r="S8" s="9" t="s">
        <v>93</v>
      </c>
      <c r="T8" s="9" t="s">
        <v>94</v>
      </c>
      <c r="U8" s="9" t="s">
        <v>46</v>
      </c>
      <c r="X8" s="26"/>
    </row>
    <row r="9" spans="2:26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>
        <f t="shared" ref="P9:P39" si="0">G9-F9</f>
        <v>0</v>
      </c>
      <c r="Q9" s="14" t="str">
        <f>IF(tblHorasDez[Horas Trabalhadas Além Jornada]&lt;0,IF(OR(tblHorasDez[Evento 
(1º Período)]="",tblHorasDez[Evento 
(2º Período)]=""),tblHorasDez[Horas Trabalhadas Além Jornada],""),"")</f>
        <v/>
      </c>
      <c r="R9" s="14" t="str">
        <f>IF(tblHorasDez[Jornada Diária]&lt;&gt;"",IF((N(tblHorasDez[Jornada Diária])-ABS(N(tblHorasDez[Horas Trabalhadas Além Jornada])))=0,1,""),"")</f>
        <v/>
      </c>
      <c r="S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W9" s="16"/>
      <c r="Z9" s="17"/>
    </row>
    <row r="10" spans="2:26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>
        <f t="shared" si="0"/>
        <v>0</v>
      </c>
      <c r="Q10" s="14" t="str">
        <f>IF(tblHorasDez[Horas Trabalhadas Além Jornada]&lt;0,IF(OR(tblHorasDez[Evento 
(1º Período)]="",tblHorasDez[Evento 
(2º Período)]=""),tblHorasDez[Horas Trabalhadas Além Jornada],""),"")</f>
        <v/>
      </c>
      <c r="R10" s="14" t="str">
        <f>IF(tblHorasDez[Jornada Diária]&lt;&gt;"",IF((N(tblHorasDez[Jornada Diária])-ABS(N(tblHorasDez[Horas Trabalhadas Além Jornada])))=0,1,""),"")</f>
        <v/>
      </c>
      <c r="S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Z10" s="17"/>
    </row>
    <row r="11" spans="2:26" x14ac:dyDescent="0.25">
      <c r="B11" s="11" t="str">
        <f t="shared" ref="B11:B39" si="1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>
        <f t="shared" si="0"/>
        <v>0</v>
      </c>
      <c r="Q11" s="14" t="str">
        <f>IF(tblHorasDez[Horas Trabalhadas Além Jornada]&lt;0,IF(OR(tblHorasDez[Evento 
(1º Período)]="",tblHorasDez[Evento 
(2º Período)]=""),tblHorasDez[Horas Trabalhadas Além Jornada],""),"")</f>
        <v/>
      </c>
      <c r="R11" s="14" t="str">
        <f>IF(tblHorasDez[Jornada Diária]&lt;&gt;"",IF((N(tblHorasDez[Jornada Diária])-ABS(N(tblHorasDez[Horas Trabalhadas Além Jornada])))=0,1,""),"")</f>
        <v/>
      </c>
      <c r="S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6" x14ac:dyDescent="0.25">
      <c r="B12" s="11" t="str">
        <f t="shared" si="1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>
        <f t="shared" si="0"/>
        <v>0</v>
      </c>
      <c r="Q12" s="14" t="str">
        <f>IF(tblHorasDez[Horas Trabalhadas Além Jornada]&lt;0,IF(OR(tblHorasDez[Evento 
(1º Período)]="",tblHorasDez[Evento 
(2º Período)]=""),tblHorasDez[Horas Trabalhadas Além Jornada],""),"")</f>
        <v/>
      </c>
      <c r="R12" s="14" t="str">
        <f>IF(tblHorasDez[Jornada Diária]&lt;&gt;"",IF((N(tblHorasDez[Jornada Diária])-ABS(N(tblHorasDez[Horas Trabalhadas Além Jornada])))=0,1,""),"")</f>
        <v/>
      </c>
      <c r="S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6" x14ac:dyDescent="0.25">
      <c r="B13" s="11" t="str">
        <f t="shared" si="1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>
        <f t="shared" si="0"/>
        <v>0</v>
      </c>
      <c r="Q13" s="14" t="str">
        <f>IF(tblHorasDez[Horas Trabalhadas Além Jornada]&lt;0,IF(OR(tblHorasDez[Evento 
(1º Período)]="",tblHorasDez[Evento 
(2º Período)]=""),tblHorasDez[Horas Trabalhadas Além Jornada],""),"")</f>
        <v/>
      </c>
      <c r="R13" s="14" t="str">
        <f>IF(tblHorasDez[Jornada Diária]&lt;&gt;"",IF((N(tblHorasDez[Jornada Diária])-ABS(N(tblHorasDez[Horas Trabalhadas Além Jornada])))=0,1,""),"")</f>
        <v/>
      </c>
      <c r="S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6" x14ac:dyDescent="0.25">
      <c r="B14" s="11" t="str">
        <f t="shared" si="1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>
        <f t="shared" si="0"/>
        <v>0</v>
      </c>
      <c r="Q14" s="14" t="str">
        <f>IF(tblHorasDez[Horas Trabalhadas Além Jornada]&lt;0,IF(OR(tblHorasDez[Evento 
(1º Período)]="",tblHorasDez[Evento 
(2º Período)]=""),tblHorasDez[Horas Trabalhadas Além Jornada],""),"")</f>
        <v/>
      </c>
      <c r="R14" s="14" t="str">
        <f>IF(tblHorasDez[Jornada Diária]&lt;&gt;"",IF((N(tblHorasDez[Jornada Diária])-ABS(N(tblHorasDez[Horas Trabalhadas Além Jornada])))=0,1,""),"")</f>
        <v/>
      </c>
      <c r="S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4" s="18"/>
      <c r="Z14" s="18"/>
    </row>
    <row r="15" spans="2:26" x14ac:dyDescent="0.25">
      <c r="B15" s="11" t="str">
        <f t="shared" si="1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>
        <f t="shared" si="0"/>
        <v>0</v>
      </c>
      <c r="Q15" s="14" t="str">
        <f>IF(tblHorasDez[Horas Trabalhadas Além Jornada]&lt;0,IF(OR(tblHorasDez[Evento 
(1º Período)]="",tblHorasDez[Evento 
(2º Período)]=""),tblHorasDez[Horas Trabalhadas Além Jornada],""),"")</f>
        <v/>
      </c>
      <c r="R15" s="14" t="str">
        <f>IF(tblHorasDez[Jornada Diária]&lt;&gt;"",IF((N(tblHorasDez[Jornada Diária])-ABS(N(tblHorasDez[Horas Trabalhadas Além Jornada])))=0,1,""),"")</f>
        <v/>
      </c>
      <c r="S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5" s="17"/>
    </row>
    <row r="16" spans="2:26" x14ac:dyDescent="0.25">
      <c r="B16" s="11" t="str">
        <f t="shared" si="1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>
        <f t="shared" si="0"/>
        <v>0</v>
      </c>
      <c r="Q16" s="14" t="str">
        <f>IF(tblHorasDez[Horas Trabalhadas Além Jornada]&lt;0,IF(OR(tblHorasDez[Evento 
(1º Período)]="",tblHorasDez[Evento 
(2º Período)]=""),tblHorasDez[Horas Trabalhadas Além Jornada],""),"")</f>
        <v/>
      </c>
      <c r="R16" s="14" t="str">
        <f>IF(tblHorasDez[Jornada Diária]&lt;&gt;"",IF((N(tblHorasDez[Jornada Diária])-ABS(N(tblHorasDez[Horas Trabalhadas Além Jornada])))=0,1,""),"")</f>
        <v/>
      </c>
      <c r="S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1" x14ac:dyDescent="0.25">
      <c r="B17" s="11" t="str">
        <f t="shared" si="1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>
        <f t="shared" si="0"/>
        <v>0</v>
      </c>
      <c r="Q17" s="14" t="str">
        <f>IF(tblHorasDez[Horas Trabalhadas Além Jornada]&lt;0,IF(OR(tblHorasDez[Evento 
(1º Período)]="",tblHorasDez[Evento 
(2º Período)]=""),tblHorasDez[Horas Trabalhadas Além Jornada],""),"")</f>
        <v/>
      </c>
      <c r="R17" s="14" t="str">
        <f>IF(tblHorasDez[Jornada Diária]&lt;&gt;"",IF((N(tblHorasDez[Jornada Diária])-ABS(N(tblHorasDez[Horas Trabalhadas Além Jornada])))=0,1,""),"")</f>
        <v/>
      </c>
      <c r="S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1" x14ac:dyDescent="0.25">
      <c r="B18" s="11" t="str">
        <f t="shared" si="1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>
        <f t="shared" si="0"/>
        <v>0</v>
      </c>
      <c r="Q18" s="14" t="str">
        <f>IF(tblHorasDez[Horas Trabalhadas Além Jornada]&lt;0,IF(OR(tblHorasDez[Evento 
(1º Período)]="",tblHorasDez[Evento 
(2º Período)]=""),tblHorasDez[Horas Trabalhadas Além Jornada],""),"")</f>
        <v/>
      </c>
      <c r="R18" s="14" t="str">
        <f>IF(tblHorasDez[Jornada Diária]&lt;&gt;"",IF((N(tblHorasDez[Jornada Diária])-ABS(N(tblHorasDez[Horas Trabalhadas Além Jornada])))=0,1,""),"")</f>
        <v/>
      </c>
      <c r="S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1" x14ac:dyDescent="0.25">
      <c r="B19" s="11" t="str">
        <f t="shared" si="1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>
        <f t="shared" si="0"/>
        <v>0</v>
      </c>
      <c r="Q19" s="14" t="str">
        <f>IF(tblHorasDez[Horas Trabalhadas Além Jornada]&lt;0,IF(OR(tblHorasDez[Evento 
(1º Período)]="",tblHorasDez[Evento 
(2º Período)]=""),tblHorasDez[Horas Trabalhadas Além Jornada],""),"")</f>
        <v/>
      </c>
      <c r="R19" s="14" t="str">
        <f>IF(tblHorasDez[Jornada Diária]&lt;&gt;"",IF((N(tblHorasDez[Jornada Diária])-ABS(N(tblHorasDez[Horas Trabalhadas Além Jornada])))=0,1,""),"")</f>
        <v/>
      </c>
      <c r="S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1" x14ac:dyDescent="0.25">
      <c r="B20" s="11" t="str">
        <f t="shared" si="1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>
        <f t="shared" si="0"/>
        <v>0</v>
      </c>
      <c r="Q20" s="14" t="str">
        <f>IF(tblHorasDez[Horas Trabalhadas Além Jornada]&lt;0,IF(OR(tblHorasDez[Evento 
(1º Período)]="",tblHorasDez[Evento 
(2º Período)]=""),tblHorasDez[Horas Trabalhadas Além Jornada],""),"")</f>
        <v/>
      </c>
      <c r="R20" s="14" t="str">
        <f>IF(tblHorasDez[Jornada Diária]&lt;&gt;"",IF((N(tblHorasDez[Jornada Diária])-ABS(N(tblHorasDez[Horas Trabalhadas Além Jornada])))=0,1,""),"")</f>
        <v/>
      </c>
      <c r="S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1" x14ac:dyDescent="0.25">
      <c r="B21" s="11" t="str">
        <f t="shared" si="1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>
        <f t="shared" si="0"/>
        <v>0</v>
      </c>
      <c r="Q21" s="14" t="str">
        <f>IF(tblHorasDez[Horas Trabalhadas Além Jornada]&lt;0,IF(OR(tblHorasDez[Evento 
(1º Período)]="",tblHorasDez[Evento 
(2º Período)]=""),tblHorasDez[Horas Trabalhadas Além Jornada],""),"")</f>
        <v/>
      </c>
      <c r="R21" s="14" t="str">
        <f>IF(tblHorasDez[Jornada Diária]&lt;&gt;"",IF((N(tblHorasDez[Jornada Diária])-ABS(N(tblHorasDez[Horas Trabalhadas Além Jornada])))=0,1,""),"")</f>
        <v/>
      </c>
      <c r="S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1" x14ac:dyDescent="0.25">
      <c r="B22" s="11" t="str">
        <f t="shared" si="1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>
        <f t="shared" si="0"/>
        <v>0</v>
      </c>
      <c r="Q22" s="14" t="str">
        <f>IF(tblHorasDez[Horas Trabalhadas Além Jornada]&lt;0,IF(OR(tblHorasDez[Evento 
(1º Período)]="",tblHorasDez[Evento 
(2º Período)]=""),tblHorasDez[Horas Trabalhadas Além Jornada],""),"")</f>
        <v/>
      </c>
      <c r="R22" s="14" t="str">
        <f>IF(tblHorasDez[Jornada Diária]&lt;&gt;"",IF((N(tblHorasDez[Jornada Diária])-ABS(N(tblHorasDez[Horas Trabalhadas Além Jornada])))=0,1,""),"")</f>
        <v/>
      </c>
      <c r="S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1" x14ac:dyDescent="0.25">
      <c r="B23" s="11" t="str">
        <f t="shared" si="1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>
        <f t="shared" si="0"/>
        <v>0</v>
      </c>
      <c r="Q23" s="14" t="str">
        <f>IF(tblHorasDez[Horas Trabalhadas Além Jornada]&lt;0,IF(OR(tblHorasDez[Evento 
(1º Período)]="",tblHorasDez[Evento 
(2º Período)]=""),tblHorasDez[Horas Trabalhadas Além Jornada],""),"")</f>
        <v/>
      </c>
      <c r="R23" s="14" t="str">
        <f>IF(tblHorasDez[Jornada Diária]&lt;&gt;"",IF((N(tblHorasDez[Jornada Diária])-ABS(N(tblHorasDez[Horas Trabalhadas Além Jornada])))=0,1,""),"")</f>
        <v/>
      </c>
      <c r="S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1" x14ac:dyDescent="0.25">
      <c r="B24" s="11" t="str">
        <f t="shared" si="1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>
        <f t="shared" si="0"/>
        <v>0</v>
      </c>
      <c r="Q24" s="14" t="str">
        <f>IF(tblHorasDez[Horas Trabalhadas Além Jornada]&lt;0,IF(OR(tblHorasDez[Evento 
(1º Período)]="",tblHorasDez[Evento 
(2º Período)]=""),tblHorasDez[Horas Trabalhadas Além Jornada],""),"")</f>
        <v/>
      </c>
      <c r="R24" s="14" t="str">
        <f>IF(tblHorasDez[Jornada Diária]&lt;&gt;"",IF((N(tblHorasDez[Jornada Diária])-ABS(N(tblHorasDez[Horas Trabalhadas Além Jornada])))=0,1,""),"")</f>
        <v/>
      </c>
      <c r="S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1" x14ac:dyDescent="0.25">
      <c r="B25" s="11" t="str">
        <f t="shared" si="1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>
        <f t="shared" si="0"/>
        <v>0</v>
      </c>
      <c r="Q25" s="14" t="str">
        <f>IF(tblHorasDez[Horas Trabalhadas Além Jornada]&lt;0,IF(OR(tblHorasDez[Evento 
(1º Período)]="",tblHorasDez[Evento 
(2º Período)]=""),tblHorasDez[Horas Trabalhadas Além Jornada],""),"")</f>
        <v/>
      </c>
      <c r="R25" s="14" t="str">
        <f>IF(tblHorasDez[Jornada Diária]&lt;&gt;"",IF((N(tblHorasDez[Jornada Diária])-ABS(N(tblHorasDez[Horas Trabalhadas Além Jornada])))=0,1,""),"")</f>
        <v/>
      </c>
      <c r="S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1" x14ac:dyDescent="0.25">
      <c r="B26" s="11" t="str">
        <f t="shared" si="1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>
        <f t="shared" si="0"/>
        <v>0</v>
      </c>
      <c r="Q26" s="14" t="str">
        <f>IF(tblHorasDez[Horas Trabalhadas Além Jornada]&lt;0,IF(OR(tblHorasDez[Evento 
(1º Período)]="",tblHorasDez[Evento 
(2º Período)]=""),tblHorasDez[Horas Trabalhadas Além Jornada],""),"")</f>
        <v/>
      </c>
      <c r="R26" s="14" t="str">
        <f>IF(tblHorasDez[Jornada Diária]&lt;&gt;"",IF((N(tblHorasDez[Jornada Diária])-ABS(N(tblHorasDez[Horas Trabalhadas Além Jornada])))=0,1,""),"")</f>
        <v/>
      </c>
      <c r="S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1" x14ac:dyDescent="0.25">
      <c r="B27" s="11" t="str">
        <f t="shared" si="1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>
        <f t="shared" si="0"/>
        <v>0</v>
      </c>
      <c r="Q27" s="14" t="str">
        <f>IF(tblHorasDez[Horas Trabalhadas Além Jornada]&lt;0,IF(OR(tblHorasDez[Evento 
(1º Período)]="",tblHorasDez[Evento 
(2º Período)]=""),tblHorasDez[Horas Trabalhadas Além Jornada],""),"")</f>
        <v/>
      </c>
      <c r="R27" s="14" t="str">
        <f>IF(tblHorasDez[Jornada Diária]&lt;&gt;"",IF((N(tblHorasDez[Jornada Diária])-ABS(N(tblHorasDez[Horas Trabalhadas Além Jornada])))=0,1,""),"")</f>
        <v/>
      </c>
      <c r="S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1" x14ac:dyDescent="0.25">
      <c r="B28" s="11" t="str">
        <f t="shared" si="1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>
        <f t="shared" si="0"/>
        <v>0</v>
      </c>
      <c r="Q28" s="14" t="str">
        <f>IF(tblHorasDez[Horas Trabalhadas Além Jornada]&lt;0,IF(OR(tblHorasDez[Evento 
(1º Período)]="",tblHorasDez[Evento 
(2º Período)]=""),tblHorasDez[Horas Trabalhadas Além Jornada],""),"")</f>
        <v/>
      </c>
      <c r="R28" s="14" t="str">
        <f>IF(tblHorasDez[Jornada Diária]&lt;&gt;"",IF((N(tblHorasDez[Jornada Diária])-ABS(N(tblHorasDez[Horas Trabalhadas Além Jornada])))=0,1,""),"")</f>
        <v/>
      </c>
      <c r="S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1" x14ac:dyDescent="0.25">
      <c r="B29" s="11" t="str">
        <f t="shared" si="1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>
        <f t="shared" si="0"/>
        <v>0</v>
      </c>
      <c r="Q29" s="14" t="str">
        <f>IF(tblHorasDez[Horas Trabalhadas Além Jornada]&lt;0,IF(OR(tblHorasDez[Evento 
(1º Período)]="",tblHorasDez[Evento 
(2º Período)]=""),tblHorasDez[Horas Trabalhadas Além Jornada],""),"")</f>
        <v/>
      </c>
      <c r="R29" s="14" t="str">
        <f>IF(tblHorasDez[Jornada Diária]&lt;&gt;"",IF((N(tblHorasDez[Jornada Diária])-ABS(N(tblHorasDez[Horas Trabalhadas Além Jornada])))=0,1,""),"")</f>
        <v/>
      </c>
      <c r="S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1" x14ac:dyDescent="0.25">
      <c r="B30" s="11" t="str">
        <f t="shared" si="1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>
        <f t="shared" si="0"/>
        <v>0</v>
      </c>
      <c r="Q30" s="14" t="str">
        <f>IF(tblHorasDez[Horas Trabalhadas Além Jornada]&lt;0,IF(OR(tblHorasDez[Evento 
(1º Período)]="",tblHorasDez[Evento 
(2º Período)]=""),tblHorasDez[Horas Trabalhadas Além Jornada],""),"")</f>
        <v/>
      </c>
      <c r="R30" s="14" t="str">
        <f>IF(tblHorasDez[Jornada Diária]&lt;&gt;"",IF((N(tblHorasDez[Jornada Diária])-ABS(N(tblHorasDez[Horas Trabalhadas Além Jornada])))=0,1,""),"")</f>
        <v/>
      </c>
      <c r="S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1" x14ac:dyDescent="0.25">
      <c r="B31" s="11" t="str">
        <f t="shared" si="1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>
        <f t="shared" si="0"/>
        <v>0</v>
      </c>
      <c r="Q31" s="14" t="str">
        <f>IF(tblHorasDez[Horas Trabalhadas Além Jornada]&lt;0,IF(OR(tblHorasDez[Evento 
(1º Período)]="",tblHorasDez[Evento 
(2º Período)]=""),tblHorasDez[Horas Trabalhadas Além Jornada],""),"")</f>
        <v/>
      </c>
      <c r="R31" s="14" t="str">
        <f>IF(tblHorasDez[Jornada Diária]&lt;&gt;"",IF((N(tblHorasDez[Jornada Diária])-ABS(N(tblHorasDez[Horas Trabalhadas Além Jornada])))=0,1,""),"")</f>
        <v/>
      </c>
      <c r="S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1" x14ac:dyDescent="0.25">
      <c r="B32" s="11" t="str">
        <f t="shared" si="1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>
        <f t="shared" si="0"/>
        <v>0</v>
      </c>
      <c r="Q32" s="14" t="str">
        <f>IF(tblHorasDez[Horas Trabalhadas Além Jornada]&lt;0,IF(OR(tblHorasDez[Evento 
(1º Período)]="",tblHorasDez[Evento 
(2º Período)]=""),tblHorasDez[Horas Trabalhadas Além Jornada],""),"")</f>
        <v/>
      </c>
      <c r="R32" s="14" t="str">
        <f>IF(tblHorasDez[Jornada Diária]&lt;&gt;"",IF((N(tblHorasDez[Jornada Diária])-ABS(N(tblHorasDez[Horas Trabalhadas Além Jornada])))=0,1,""),"")</f>
        <v/>
      </c>
      <c r="S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2" x14ac:dyDescent="0.25">
      <c r="B33" s="11" t="str">
        <f t="shared" si="1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>
        <f t="shared" si="0"/>
        <v>0</v>
      </c>
      <c r="Q33" s="14" t="str">
        <f>IF(tblHorasDez[Horas Trabalhadas Além Jornada]&lt;0,IF(OR(tblHorasDez[Evento 
(1º Período)]="",tblHorasDez[Evento 
(2º Período)]=""),tblHorasDez[Horas Trabalhadas Além Jornada],""),"")</f>
        <v/>
      </c>
      <c r="R33" s="14" t="str">
        <f>IF(tblHorasDez[Jornada Diária]&lt;&gt;"",IF((N(tblHorasDez[Jornada Diária])-ABS(N(tblHorasDez[Horas Trabalhadas Além Jornada])))=0,1,""),"")</f>
        <v/>
      </c>
      <c r="S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2" x14ac:dyDescent="0.25">
      <c r="B34" s="11" t="str">
        <f t="shared" si="1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>
        <f t="shared" si="0"/>
        <v>0</v>
      </c>
      <c r="Q34" s="14" t="str">
        <f>IF(tblHorasDez[Horas Trabalhadas Além Jornada]&lt;0,IF(OR(tblHorasDez[Evento 
(1º Período)]="",tblHorasDez[Evento 
(2º Período)]=""),tblHorasDez[Horas Trabalhadas Além Jornada],""),"")</f>
        <v/>
      </c>
      <c r="R34" s="14" t="str">
        <f>IF(tblHorasDez[Jornada Diária]&lt;&gt;"",IF((N(tblHorasDez[Jornada Diária])-ABS(N(tblHorasDez[Horas Trabalhadas Além Jornada])))=0,1,""),"")</f>
        <v/>
      </c>
      <c r="S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2" x14ac:dyDescent="0.25">
      <c r="B35" s="11" t="str">
        <f t="shared" si="1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>
        <f t="shared" si="0"/>
        <v>0</v>
      </c>
      <c r="Q35" s="14" t="str">
        <f>IF(tblHorasDez[Horas Trabalhadas Além Jornada]&lt;0,IF(OR(tblHorasDez[Evento 
(1º Período)]="",tblHorasDez[Evento 
(2º Período)]=""),tblHorasDez[Horas Trabalhadas Além Jornada],""),"")</f>
        <v/>
      </c>
      <c r="R35" s="14" t="str">
        <f>IF(tblHorasDez[Jornada Diária]&lt;&gt;"",IF((N(tblHorasDez[Jornada Diária])-ABS(N(tblHorasDez[Horas Trabalhadas Além Jornada])))=0,1,""),"")</f>
        <v/>
      </c>
      <c r="S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2" x14ac:dyDescent="0.25">
      <c r="B36" s="11" t="str">
        <f t="shared" si="1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>
        <f t="shared" si="0"/>
        <v>0</v>
      </c>
      <c r="Q36" s="14" t="str">
        <f>IF(tblHorasDez[Horas Trabalhadas Além Jornada]&lt;0,IF(OR(tblHorasDez[Evento 
(1º Período)]="",tblHorasDez[Evento 
(2º Período)]=""),tblHorasDez[Horas Trabalhadas Além Jornada],""),"")</f>
        <v/>
      </c>
      <c r="R36" s="14" t="str">
        <f>IF(tblHorasDez[Jornada Diária]&lt;&gt;"",IF((N(tblHorasDez[Jornada Diária])-ABS(N(tblHorasDez[Horas Trabalhadas Além Jornada])))=0,1,""),"")</f>
        <v/>
      </c>
      <c r="S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2" x14ac:dyDescent="0.25">
      <c r="B37" s="11" t="str">
        <f t="shared" si="1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>
        <f t="shared" si="0"/>
        <v>0</v>
      </c>
      <c r="Q37" s="14" t="str">
        <f>IF(tblHorasDez[Horas Trabalhadas Além Jornada]&lt;0,IF(OR(tblHorasDez[Evento 
(1º Período)]="",tblHorasDez[Evento 
(2º Período)]=""),tblHorasDez[Horas Trabalhadas Além Jornada],""),"")</f>
        <v/>
      </c>
      <c r="R37" s="14" t="str">
        <f>IF(tblHorasDez[Jornada Diária]&lt;&gt;"",IF((N(tblHorasDez[Jornada Diária])-ABS(N(tblHorasDez[Horas Trabalhadas Além Jornada])))=0,1,""),"")</f>
        <v/>
      </c>
      <c r="S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2" x14ac:dyDescent="0.25">
      <c r="B38" s="11" t="str">
        <f t="shared" si="1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>
        <f t="shared" si="0"/>
        <v>0</v>
      </c>
      <c r="Q38" s="14" t="str">
        <f>IF(tblHorasDez[Horas Trabalhadas Além Jornada]&lt;0,IF(OR(tblHorasDez[Evento 
(1º Período)]="",tblHorasDez[Evento 
(2º Período)]=""),tblHorasDez[Horas Trabalhadas Além Jornada],""),"")</f>
        <v/>
      </c>
      <c r="R38" s="14" t="str">
        <f>IF(tblHorasDez[Jornada Diária]&lt;&gt;"",IF((N(tblHorasDez[Jornada Diária])-ABS(N(tblHorasDez[Horas Trabalhadas Além Jornada])))=0,1,""),"")</f>
        <v/>
      </c>
      <c r="S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2" x14ac:dyDescent="0.25">
      <c r="B39" s="11" t="str">
        <f t="shared" si="1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IF(VLOOKUP(tblHorasDez[Dia],tblDiaUtil[[Abreviatura]:[Total Jornada]],5,FALSE)&lt;&gt;"",VLOOKUP(tblHorasDez[Dia],tblDiaUtil[[Abreviatura]:[Total Jornada]],5,FALSE),JORNADA),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
-IF(VLOOKUP(tblHorasDez[Dia],tblDiaUtil[[Abreviatura]:[Total Jornada]],5,FALSE)&lt;&gt;"",VLOOKUP(tblHorasDez[Dia],tblDiaUtil[[Abreviatura]:[Total Jornada]],5,FALSE),JORNADA),
IF(IF(ISERROR(VLOOKUP(tblHorasDez[Evento 
(1º Período)],tblEvento[[Evento]:[Libera o Período]],4,FALSE)),FALSE,
IF(VLOOKUP(tblHorasDez[Evento 
(1º Período)],tblEvento[[Evento]:[Libera o Período]],4,FALSE)="Não",TRUE,FALSE)
),
-IF(VLOOKUP(tblHorasDez[Dia],tblDiaUtil[[Abreviatura]:[1º Período]],3,FALSE)&lt;&gt;"",VLOOKUP(tblHorasDez[Dia],tblDiaUtil[[Abreviatura]:[1º Período]],3,FALSE),JORNADA_PERIODO_1),
IF(IF(ISERROR(VLOOKUP(tblHorasDez[Evento 
(2º Período)],tblEvento[[Evento]:[Libera o Período]],4,FALSE)),FALSE,IF(VLOOKUP(tblHorasDez[Evento 
(2º Período)],tblEvento[[Evento]:[Libera o Período]],4,FALSE)="Não",TRUE,FALSE)),
-IF(VLOOKUP(tblHorasDez[Dia],tblDiaUtil[[Abreviatura]:[2º Período]],4,FALSE)&lt;&gt;"",VLOOKUP(tblHorasDez[Dia],tblDiaUtil[[Abreviatura]:[2º Período]],4,FALSE),JORNADA_PERIODO_2),0))))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>
        <f t="shared" si="0"/>
        <v>0</v>
      </c>
      <c r="Q39" s="14" t="str">
        <f>IF(tblHorasDez[Horas Trabalhadas Além Jornada]&lt;0,IF(OR(tblHorasDez[Evento 
(1º Período)]="",tblHorasDez[Evento 
(2º Período)]=""),tblHorasDez[Horas Trabalhadas Além Jornada],""),"")</f>
        <v/>
      </c>
      <c r="R39" s="14" t="str">
        <f>IF(tblHorasDez[Jornada Diária]&lt;&gt;"",IF((N(tblHorasDez[Jornada Diária])-ABS(N(tblHorasDez[Horas Trabalhadas Além Jornada])))=0,1,""),"")</f>
        <v/>
      </c>
      <c r="S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T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U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2" ht="5.0999999999999996" customHeight="1" x14ac:dyDescent="0.25">
      <c r="U40" s="24"/>
      <c r="V40" s="24"/>
    </row>
    <row r="41" spans="2:22" ht="9.9499999999999993" customHeight="1" x14ac:dyDescent="0.25">
      <c r="U41" s="35" t="s">
        <v>99</v>
      </c>
      <c r="V41" s="24"/>
    </row>
    <row r="42" spans="2:22" hidden="1" x14ac:dyDescent="0.25">
      <c r="U42" s="24"/>
      <c r="V42" s="24"/>
    </row>
    <row r="43" spans="2:22" hidden="1" x14ac:dyDescent="0.25">
      <c r="U43" s="24"/>
      <c r="V43" s="24"/>
    </row>
    <row r="44" spans="2:22" hidden="1" x14ac:dyDescent="0.25">
      <c r="U44" s="24"/>
      <c r="V44" s="24"/>
    </row>
    <row r="45" spans="2:22" hidden="1" x14ac:dyDescent="0.25"/>
    <row r="46" spans="2:22" x14ac:dyDescent="0.25"/>
    <row r="47" spans="2:22" x14ac:dyDescent="0.25"/>
  </sheetData>
  <sheetProtection algorithmName="SHA-512" hashValue="VlbZw5LqVZrj4z3DfSYcqculiLNa7cCNZKHRz7rXeI8sFnchQYiVW86e6/803V/HRraxUPpSc4S7acDJGFOeRQ==" saltValue="cODc+b57A2AYZfJmYLNxBw==" spinCount="100000" sheet="1" formatCells="0" formatColumns="0" formatRows="0" selectLockedCells="1" autoFilter="0" pivotTables="0"/>
  <dataConsolidate/>
  <mergeCells count="8">
    <mergeCell ref="O1:U4"/>
    <mergeCell ref="G2:I2"/>
    <mergeCell ref="H3:I3"/>
    <mergeCell ref="H4:I4"/>
    <mergeCell ref="B5:C5"/>
    <mergeCell ref="O5:O6"/>
    <mergeCell ref="B6:C6"/>
    <mergeCell ref="P6:T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583E8FA-2E18-42C8-9736-D89F22D74686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B9:O9 Q9:U39</xm:sqref>
        </x14:conditionalFormatting>
        <x14:conditionalFormatting xmlns:xm="http://schemas.microsoft.com/office/excel/2006/main">
          <x14:cfRule type="expression" priority="9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1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0BC4DBD3-7B8F-4D36-847F-03F916CA05C9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P7:T7</xm:sqref>
        </x14:conditionalFormatting>
        <x14:conditionalFormatting xmlns:xm="http://schemas.microsoft.com/office/excel/2006/main">
          <x14:cfRule type="expression" priority="6" id="{9FC9EFCE-8212-4636-B152-0CFDC36E7CB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B10:O39</xm:sqref>
        </x14:conditionalFormatting>
        <x14:conditionalFormatting xmlns:xm="http://schemas.microsoft.com/office/excel/2006/main">
          <x14:cfRule type="expression" priority="5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84621A92-973E-475D-A6D1-20781C2F0093}">
            <xm:f>IF(OR(IF(ISERROR(VLOOKUP($C7,Config!$C$1:$D$20,2,FALSE)),FALSE,IF(VLOOKUP($C7,Config!$C$1:$D$20,2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3" id="{897277D6-D335-4A80-896B-6003EE8BF88E}">
            <xm:f>IF(OR(IF(ISERROR(VLOOKUP($C9,Config!$C$1:$D$20,2,FALSE)),FALSE,IF(VLOOKUP($C9,Config!$C$1:$D$20,2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expression" priority="2" id="{610C9782-E16B-4218-AA43-2B22F77337CF}">
            <xm:f>IF(OR(IF(ISERROR(VLOOKUP($C10,Config!$C$1:$D$20,2,FALSE)),FALSE,IF(VLOOKUP($C10,Config!$C$1:$D$20,2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P10:P39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" sqref="I1"/>
    </sheetView>
  </sheetViews>
  <sheetFormatPr defaultRowHeight="15" x14ac:dyDescent="0.25"/>
  <cols>
    <col min="1" max="9" width="9.140625" style="40"/>
    <col min="10" max="14" width="9.140625" style="40" customWidth="1"/>
    <col min="15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9</vt:i4>
      </vt:variant>
    </vt:vector>
  </HeadingPairs>
  <TitlesOfParts>
    <vt:vector size="25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CONT_MES_ANTERIOR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rhumanos</cp:lastModifiedBy>
  <cp:lastPrinted>2015-01-23T11:41:12Z</cp:lastPrinted>
  <dcterms:created xsi:type="dcterms:W3CDTF">2013-11-22T16:17:37Z</dcterms:created>
  <dcterms:modified xsi:type="dcterms:W3CDTF">2018-02-12T21:43:54Z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