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e0\AC\Temp\"/>
    </mc:Choice>
  </mc:AlternateContent>
  <xr:revisionPtr revIDLastSave="0" documentId="8_{8E4E069C-95F5-C146-AD0A-EF715342FD39}" xr6:coauthVersionLast="33" xr6:coauthVersionMax="33" xr10:uidLastSave="{00000000-0000-0000-0000-000000000000}"/>
  <bookViews>
    <workbookView xWindow="120" yWindow="120" windowWidth="15120" windowHeight="7440" xr2:uid="{00000000-000D-0000-FFFF-FFFF00000000}"/>
  </bookViews>
  <sheets>
    <sheet name="IMPOSTOS" sheetId="1" r:id="rId1"/>
  </sheets>
  <calcPr calcId="179016"/>
</workbook>
</file>

<file path=xl/calcChain.xml><?xml version="1.0" encoding="utf-8"?>
<calcChain xmlns="http://schemas.openxmlformats.org/spreadsheetml/2006/main">
  <c r="C26" i="1" l="1"/>
  <c r="F32" i="1"/>
  <c r="E22" i="1"/>
  <c r="L22" i="1"/>
  <c r="F31" i="1"/>
  <c r="H31" i="1"/>
  <c r="G31" i="1"/>
  <c r="I31" i="1"/>
  <c r="J31" i="1"/>
  <c r="E19" i="1"/>
  <c r="E18" i="1"/>
  <c r="L18" i="1"/>
  <c r="F30" i="1"/>
  <c r="E16" i="1"/>
  <c r="L16" i="1"/>
  <c r="E15" i="1"/>
  <c r="L15" i="1"/>
  <c r="J26" i="1"/>
  <c r="I32" i="1"/>
  <c r="I30" i="1"/>
  <c r="I29" i="1"/>
  <c r="I33" i="1"/>
  <c r="D32" i="1"/>
  <c r="D31" i="1"/>
  <c r="D30" i="1"/>
  <c r="D29" i="1"/>
  <c r="D33" i="1"/>
  <c r="C32" i="1"/>
  <c r="C29" i="1"/>
  <c r="C30" i="1"/>
  <c r="C31" i="1"/>
  <c r="C33" i="1"/>
  <c r="H28" i="1"/>
  <c r="I26" i="1"/>
  <c r="H26" i="1"/>
  <c r="G26" i="1"/>
  <c r="F26" i="1"/>
  <c r="D26" i="1"/>
  <c r="K28" i="1"/>
  <c r="M25" i="1"/>
  <c r="E25" i="1"/>
  <c r="K25" i="1"/>
  <c r="E14" i="1"/>
  <c r="K14" i="1"/>
  <c r="K15" i="1"/>
  <c r="K16" i="1"/>
  <c r="E17" i="1"/>
  <c r="K17" i="1"/>
  <c r="K18" i="1"/>
  <c r="K19" i="1"/>
  <c r="E20" i="1"/>
  <c r="K20" i="1"/>
  <c r="E21" i="1"/>
  <c r="K21" i="1"/>
  <c r="K22" i="1"/>
  <c r="E23" i="1"/>
  <c r="K23" i="1"/>
  <c r="E24" i="1"/>
  <c r="K24" i="1"/>
  <c r="K26" i="1"/>
  <c r="M24" i="1"/>
  <c r="L24" i="1"/>
  <c r="M23" i="1"/>
  <c r="M22" i="1"/>
  <c r="M21" i="1"/>
  <c r="L21" i="1"/>
  <c r="M20" i="1"/>
  <c r="M19" i="1"/>
  <c r="M18" i="1"/>
  <c r="M17" i="1"/>
  <c r="M16" i="1"/>
  <c r="M15" i="1"/>
  <c r="M14" i="1"/>
  <c r="M26" i="1"/>
  <c r="M13" i="1"/>
  <c r="L13" i="1"/>
  <c r="K13" i="1"/>
  <c r="H32" i="1"/>
  <c r="G32" i="1"/>
  <c r="J32" i="1"/>
  <c r="F29" i="1"/>
  <c r="H29" i="1"/>
  <c r="G29" i="1"/>
  <c r="J29" i="1"/>
  <c r="H30" i="1"/>
  <c r="G30" i="1"/>
  <c r="J30" i="1"/>
  <c r="J33" i="1"/>
  <c r="G33" i="1"/>
  <c r="L23" i="1"/>
  <c r="L14" i="1"/>
  <c r="L20" i="1"/>
  <c r="E29" i="1"/>
  <c r="F33" i="1"/>
  <c r="E31" i="1"/>
  <c r="L19" i="1"/>
  <c r="E30" i="1"/>
  <c r="L25" i="1"/>
  <c r="L17" i="1"/>
  <c r="L26" i="1"/>
  <c r="E26" i="1"/>
  <c r="H33" i="1"/>
  <c r="E32" i="1"/>
  <c r="E33" i="1"/>
</calcChain>
</file>

<file path=xl/sharedStrings.xml><?xml version="1.0" encoding="utf-8"?>
<sst xmlns="http://schemas.openxmlformats.org/spreadsheetml/2006/main" count="48" uniqueCount="47">
  <si>
    <t>Valores de Presunções e Alíquotas para Cálculo</t>
  </si>
  <si>
    <t>BC Comércio</t>
  </si>
  <si>
    <t>BC Serviço</t>
  </si>
  <si>
    <t>Aliquota</t>
  </si>
  <si>
    <t>PIS</t>
  </si>
  <si>
    <t>CSLL</t>
  </si>
  <si>
    <t>COFINS</t>
  </si>
  <si>
    <t>IRPJ</t>
  </si>
  <si>
    <t>ISS</t>
  </si>
  <si>
    <t>Faturamento</t>
  </si>
  <si>
    <t>Retenções IR e 4,65 (PIS/COFINS/CSLL)</t>
  </si>
  <si>
    <t>Impostos Mensais</t>
  </si>
  <si>
    <t>Mês</t>
  </si>
  <si>
    <t>Vendas</t>
  </si>
  <si>
    <t>Prest. Serv.</t>
  </si>
  <si>
    <t>Rec. Bruta</t>
  </si>
  <si>
    <t>IR (1,5%)</t>
  </si>
  <si>
    <t>CSLL (1%)</t>
  </si>
  <si>
    <t>Cofins (3%)</t>
  </si>
  <si>
    <t>Pis (0,65%)</t>
  </si>
  <si>
    <t>ISSQN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</si>
  <si>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</si>
  <si>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</si>
  <si>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</si>
  <si>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</si>
  <si>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</si>
  <si>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</si>
  <si>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</si>
  <si>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</si>
  <si>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</si>
  <si>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</si>
  <si>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</si>
  <si>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</si>
  <si>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</si>
  <si>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Impostos Trimestrais</t>
  </si>
  <si>
    <t>Trimestre</t>
  </si>
  <si>
    <t>BC CSLL</t>
  </si>
  <si>
    <t>CSLL a Pagar</t>
  </si>
  <si>
    <t>BC IRPJ</t>
  </si>
  <si>
    <t>Adicional 10%</t>
  </si>
  <si>
    <t>IRPJ a Pagar</t>
  </si>
  <si>
    <t>1º Trimestre</t>
  </si>
  <si>
    <t>2º Trimestre</t>
  </si>
  <si>
    <t>3º Trimestre</t>
  </si>
  <si>
    <t>4º Trimestre</t>
  </si>
  <si>
    <t>CSLL Retido</t>
  </si>
  <si>
    <t>IRRF Retido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</si>
</sst>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&quot;.&quot;000&quot;.&quot;000&quot;/&quot;0000&quot;-&quot;00"/>
    <numFmt numFmtId="166" formatCode="00000000&quot;-&quot;00"/>
    <numFmt numFmtId="167" formatCode="000&quot;.&quot;000&quot;-&quot;0"/>
  </numFmts>
  <fonts count="10" x14ac:knownFonts="1">
    <font>
      <sz val="10"/>
      <name val="Arial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9"/>
      <name val="Trebuchet MS"/>
      <family val="2"/>
    </font>
    <font>
      <b/>
      <sz val="14"/>
      <color indexed="10"/>
      <name val="Trebuchet MS"/>
      <family val="2"/>
    </font>
    <font>
      <sz val="10"/>
      <color indexed="10"/>
      <name val="Trebuchet MS"/>
      <family val="2"/>
    </font>
    <font>
      <b/>
      <sz val="10"/>
      <color theme="0"/>
      <name val="Trebuchet MS"/>
      <family val="2"/>
    </font>
    <font>
      <b/>
      <sz val="9"/>
      <color theme="0"/>
      <name val="Trebuchet MS"/>
      <family val="2"/>
    </font>
    <font>
      <b/>
      <sz val="10"/>
      <color rgb="FFFF000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4" fillId="0" borderId="1" xfId="0" applyFont="1" applyFill="1" applyBorder="1" applyAlignment="1" applyProtection="1">
      <alignment horizontal="right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4" fillId="0" borderId="4" xfId="0" applyFont="1" applyFill="1" applyBorder="1" applyAlignment="1" applyProtection="1">
      <alignment horizontal="right" vertical="center"/>
      <protection locked="0"/>
    </xf>
    <xf numFmtId="0" fontId="4" fillId="2" borderId="5" xfId="0" applyFont="1" applyFill="1" applyBorder="1" applyAlignment="1" applyProtection="1">
      <alignment horizontal="right" vertical="center"/>
      <protection locked="0"/>
    </xf>
    <xf numFmtId="167" fontId="4" fillId="2" borderId="6" xfId="0" applyNumberFormat="1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vertical="center"/>
      <protection hidden="1"/>
    </xf>
    <xf numFmtId="164" fontId="2" fillId="2" borderId="8" xfId="2" applyNumberFormat="1" applyFont="1" applyFill="1" applyBorder="1" applyAlignment="1" applyProtection="1">
      <alignment vertical="center"/>
      <protection locked="0"/>
    </xf>
    <xf numFmtId="164" fontId="2" fillId="2" borderId="9" xfId="2" applyNumberFormat="1" applyFont="1" applyFill="1" applyBorder="1" applyAlignment="1" applyProtection="1">
      <alignment vertical="center"/>
      <protection locked="0"/>
    </xf>
    <xf numFmtId="164" fontId="2" fillId="2" borderId="10" xfId="2" applyNumberFormat="1" applyFont="1" applyFill="1" applyBorder="1" applyAlignment="1" applyProtection="1">
      <alignment vertical="center"/>
      <protection hidden="1"/>
    </xf>
    <xf numFmtId="164" fontId="2" fillId="2" borderId="11" xfId="2" applyNumberFormat="1" applyFont="1" applyFill="1" applyBorder="1" applyAlignment="1" applyProtection="1">
      <alignment vertical="center"/>
      <protection locked="0"/>
    </xf>
    <xf numFmtId="164" fontId="2" fillId="2" borderId="8" xfId="2" applyNumberFormat="1" applyFont="1" applyFill="1" applyBorder="1" applyAlignment="1" applyProtection="1">
      <alignment vertical="center"/>
      <protection hidden="1"/>
    </xf>
    <xf numFmtId="164" fontId="2" fillId="2" borderId="9" xfId="2" applyNumberFormat="1" applyFont="1" applyFill="1" applyBorder="1" applyAlignment="1" applyProtection="1">
      <alignment vertical="center"/>
      <protection hidden="1"/>
    </xf>
    <xf numFmtId="164" fontId="2" fillId="2" borderId="11" xfId="2" applyNumberFormat="1" applyFont="1" applyFill="1" applyBorder="1" applyAlignment="1" applyProtection="1">
      <alignment vertical="center"/>
      <protection hidden="1"/>
    </xf>
    <xf numFmtId="164" fontId="2" fillId="2" borderId="0" xfId="2" applyFont="1" applyFill="1" applyAlignment="1" applyProtection="1">
      <alignment vertical="center"/>
      <protection hidden="1"/>
    </xf>
    <xf numFmtId="0" fontId="2" fillId="2" borderId="12" xfId="0" applyFont="1" applyFill="1" applyBorder="1" applyAlignment="1" applyProtection="1">
      <alignment vertical="center"/>
      <protection hidden="1"/>
    </xf>
    <xf numFmtId="164" fontId="2" fillId="2" borderId="13" xfId="2" applyNumberFormat="1" applyFont="1" applyFill="1" applyBorder="1" applyAlignment="1" applyProtection="1">
      <alignment vertical="center"/>
      <protection locked="0"/>
    </xf>
    <xf numFmtId="164" fontId="2" fillId="2" borderId="14" xfId="2" applyNumberFormat="1" applyFont="1" applyFill="1" applyBorder="1" applyAlignment="1" applyProtection="1">
      <alignment vertical="center"/>
      <protection locked="0"/>
    </xf>
    <xf numFmtId="164" fontId="2" fillId="2" borderId="15" xfId="2" applyNumberFormat="1" applyFont="1" applyFill="1" applyBorder="1" applyAlignment="1" applyProtection="1">
      <alignment vertical="center"/>
      <protection hidden="1"/>
    </xf>
    <xf numFmtId="164" fontId="2" fillId="2" borderId="16" xfId="2" applyNumberFormat="1" applyFont="1" applyFill="1" applyBorder="1" applyAlignment="1" applyProtection="1">
      <alignment vertical="center"/>
      <protection locked="0"/>
    </xf>
    <xf numFmtId="164" fontId="2" fillId="2" borderId="13" xfId="2" applyNumberFormat="1" applyFont="1" applyFill="1" applyBorder="1" applyAlignment="1" applyProtection="1">
      <alignment vertical="center"/>
      <protection hidden="1"/>
    </xf>
    <xf numFmtId="164" fontId="2" fillId="2" borderId="14" xfId="2" applyNumberFormat="1" applyFont="1" applyFill="1" applyBorder="1" applyAlignment="1" applyProtection="1">
      <alignment vertical="center"/>
      <protection hidden="1"/>
    </xf>
    <xf numFmtId="164" fontId="2" fillId="2" borderId="16" xfId="2" applyNumberFormat="1" applyFont="1" applyFill="1" applyBorder="1" applyAlignment="1" applyProtection="1">
      <alignment vertical="center"/>
      <protection hidden="1"/>
    </xf>
    <xf numFmtId="0" fontId="2" fillId="2" borderId="17" xfId="0" applyFont="1" applyFill="1" applyBorder="1" applyAlignment="1" applyProtection="1">
      <alignment vertical="center"/>
      <protection hidden="1"/>
    </xf>
    <xf numFmtId="164" fontId="2" fillId="2" borderId="18" xfId="2" applyNumberFormat="1" applyFont="1" applyFill="1" applyBorder="1" applyAlignment="1" applyProtection="1">
      <alignment vertical="center"/>
      <protection locked="0"/>
    </xf>
    <xf numFmtId="164" fontId="2" fillId="2" borderId="19" xfId="2" applyNumberFormat="1" applyFont="1" applyFill="1" applyBorder="1" applyAlignment="1" applyProtection="1">
      <alignment vertical="center"/>
      <protection locked="0"/>
    </xf>
    <xf numFmtId="164" fontId="2" fillId="2" borderId="20" xfId="2" applyNumberFormat="1" applyFont="1" applyFill="1" applyBorder="1" applyAlignment="1" applyProtection="1">
      <alignment vertical="center"/>
      <protection hidden="1"/>
    </xf>
    <xf numFmtId="164" fontId="2" fillId="2" borderId="21" xfId="2" applyNumberFormat="1" applyFont="1" applyFill="1" applyBorder="1" applyAlignment="1" applyProtection="1">
      <alignment vertical="center"/>
      <protection locked="0"/>
    </xf>
    <xf numFmtId="164" fontId="2" fillId="2" borderId="18" xfId="2" applyNumberFormat="1" applyFont="1" applyFill="1" applyBorder="1" applyAlignment="1" applyProtection="1">
      <alignment vertical="center"/>
      <protection hidden="1"/>
    </xf>
    <xf numFmtId="164" fontId="2" fillId="2" borderId="19" xfId="2" applyNumberFormat="1" applyFont="1" applyFill="1" applyBorder="1" applyAlignment="1" applyProtection="1">
      <alignment vertical="center"/>
      <protection hidden="1"/>
    </xf>
    <xf numFmtId="0" fontId="2" fillId="0" borderId="22" xfId="0" applyFont="1" applyBorder="1" applyAlignment="1" applyProtection="1">
      <alignment vertical="center"/>
      <protection hidden="1"/>
    </xf>
    <xf numFmtId="164" fontId="3" fillId="2" borderId="23" xfId="2" applyNumberFormat="1" applyFont="1" applyFill="1" applyBorder="1" applyAlignment="1" applyProtection="1">
      <alignment vertical="center"/>
      <protection hidden="1"/>
    </xf>
    <xf numFmtId="164" fontId="3" fillId="2" borderId="24" xfId="2" applyNumberFormat="1" applyFont="1" applyFill="1" applyBorder="1" applyAlignment="1" applyProtection="1">
      <alignment vertical="center"/>
      <protection hidden="1"/>
    </xf>
    <xf numFmtId="164" fontId="3" fillId="2" borderId="25" xfId="2" applyNumberFormat="1" applyFont="1" applyFill="1" applyBorder="1" applyAlignment="1" applyProtection="1">
      <alignment vertical="center"/>
      <protection hidden="1"/>
    </xf>
    <xf numFmtId="164" fontId="3" fillId="2" borderId="26" xfId="2" applyNumberFormat="1" applyFont="1" applyFill="1" applyBorder="1" applyAlignment="1" applyProtection="1">
      <alignment vertical="center"/>
      <protection hidden="1"/>
    </xf>
    <xf numFmtId="164" fontId="3" fillId="2" borderId="27" xfId="2" applyNumberFormat="1" applyFont="1" applyFill="1" applyBorder="1" applyAlignment="1" applyProtection="1">
      <alignment vertical="center"/>
      <protection hidden="1"/>
    </xf>
    <xf numFmtId="164" fontId="2" fillId="2" borderId="0" xfId="2" applyFont="1" applyFill="1" applyBorder="1" applyAlignment="1" applyProtection="1">
      <alignment vertical="center"/>
      <protection hidden="1"/>
    </xf>
    <xf numFmtId="0" fontId="2" fillId="0" borderId="1" xfId="0" applyFont="1" applyFill="1" applyBorder="1" applyAlignment="1" applyProtection="1">
      <alignment vertical="center"/>
      <protection hidden="1"/>
    </xf>
    <xf numFmtId="164" fontId="2" fillId="0" borderId="13" xfId="0" applyNumberFormat="1" applyFont="1" applyFill="1" applyBorder="1" applyAlignment="1" applyProtection="1">
      <alignment vertical="center"/>
      <protection hidden="1"/>
    </xf>
    <xf numFmtId="164" fontId="2" fillId="0" borderId="16" xfId="0" applyNumberFormat="1" applyFont="1" applyFill="1" applyBorder="1" applyAlignment="1" applyProtection="1">
      <alignment vertical="center"/>
      <protection hidden="1"/>
    </xf>
    <xf numFmtId="164" fontId="2" fillId="2" borderId="14" xfId="2" applyNumberFormat="1" applyFont="1" applyFill="1" applyBorder="1" applyAlignment="1" applyProtection="1">
      <alignment horizontal="center" vertical="center"/>
      <protection hidden="1"/>
    </xf>
    <xf numFmtId="0" fontId="2" fillId="0" borderId="4" xfId="0" applyFont="1" applyFill="1" applyBorder="1" applyAlignment="1" applyProtection="1">
      <alignment vertical="center"/>
      <protection hidden="1"/>
    </xf>
    <xf numFmtId="164" fontId="3" fillId="0" borderId="28" xfId="0" applyNumberFormat="1" applyFont="1" applyBorder="1" applyAlignment="1" applyProtection="1">
      <alignment vertical="center"/>
      <protection hidden="1"/>
    </xf>
    <xf numFmtId="164" fontId="2" fillId="0" borderId="1" xfId="0" applyNumberFormat="1" applyFont="1" applyFill="1" applyBorder="1" applyAlignment="1" applyProtection="1">
      <alignment vertical="center"/>
      <protection hidden="1"/>
    </xf>
    <xf numFmtId="164" fontId="2" fillId="0" borderId="14" xfId="0" applyNumberFormat="1" applyFont="1" applyFill="1" applyBorder="1" applyAlignment="1" applyProtection="1">
      <alignment vertical="center"/>
      <protection hidden="1"/>
    </xf>
    <xf numFmtId="164" fontId="2" fillId="0" borderId="15" xfId="0" applyNumberFormat="1" applyFont="1" applyFill="1" applyBorder="1" applyAlignment="1" applyProtection="1">
      <alignment vertical="center"/>
      <protection hidden="1"/>
    </xf>
    <xf numFmtId="164" fontId="2" fillId="0" borderId="4" xfId="0" applyNumberFormat="1" applyFont="1" applyFill="1" applyBorder="1" applyAlignment="1" applyProtection="1">
      <alignment vertical="center"/>
      <protection hidden="1"/>
    </xf>
    <xf numFmtId="164" fontId="2" fillId="0" borderId="19" xfId="0" applyNumberFormat="1" applyFont="1" applyFill="1" applyBorder="1" applyAlignment="1" applyProtection="1">
      <alignment vertical="center"/>
      <protection hidden="1"/>
    </xf>
    <xf numFmtId="164" fontId="2" fillId="0" borderId="20" xfId="0" applyNumberFormat="1" applyFont="1" applyFill="1" applyBorder="1" applyAlignment="1" applyProtection="1">
      <alignment vertical="center"/>
      <protection hidden="1"/>
    </xf>
    <xf numFmtId="164" fontId="2" fillId="0" borderId="18" xfId="0" applyNumberFormat="1" applyFont="1" applyFill="1" applyBorder="1" applyAlignment="1" applyProtection="1">
      <alignment vertical="center"/>
      <protection hidden="1"/>
    </xf>
    <xf numFmtId="164" fontId="2" fillId="2" borderId="19" xfId="2" applyNumberFormat="1" applyFont="1" applyFill="1" applyBorder="1" applyAlignment="1" applyProtection="1">
      <alignment horizontal="center" vertical="center"/>
      <protection hidden="1"/>
    </xf>
    <xf numFmtId="164" fontId="2" fillId="0" borderId="21" xfId="0" applyNumberFormat="1" applyFont="1" applyFill="1" applyBorder="1" applyAlignment="1" applyProtection="1">
      <alignment vertical="center"/>
      <protection hidden="1"/>
    </xf>
    <xf numFmtId="164" fontId="3" fillId="0" borderId="26" xfId="0" applyNumberFormat="1" applyFont="1" applyBorder="1" applyAlignment="1" applyProtection="1">
      <alignment vertical="center"/>
      <protection hidden="1"/>
    </xf>
    <xf numFmtId="164" fontId="3" fillId="0" borderId="23" xfId="0" applyNumberFormat="1" applyFont="1" applyBorder="1" applyAlignment="1" applyProtection="1">
      <alignment vertical="center"/>
      <protection hidden="1"/>
    </xf>
    <xf numFmtId="0" fontId="7" fillId="3" borderId="14" xfId="0" applyFont="1" applyFill="1" applyBorder="1" applyAlignment="1" applyProtection="1">
      <alignment vertical="center"/>
      <protection hidden="1"/>
    </xf>
    <xf numFmtId="0" fontId="7" fillId="3" borderId="13" xfId="0" applyFont="1" applyFill="1" applyBorder="1" applyAlignment="1" applyProtection="1">
      <alignment vertical="center"/>
      <protection hidden="1"/>
    </xf>
    <xf numFmtId="10" fontId="7" fillId="3" borderId="14" xfId="1" applyNumberFormat="1" applyFont="1" applyFill="1" applyBorder="1" applyAlignment="1" applyProtection="1">
      <alignment vertical="center"/>
      <protection hidden="1"/>
    </xf>
    <xf numFmtId="0" fontId="7" fillId="3" borderId="19" xfId="0" applyFont="1" applyFill="1" applyBorder="1" applyAlignment="1" applyProtection="1">
      <alignment vertical="center"/>
      <protection hidden="1"/>
    </xf>
    <xf numFmtId="0" fontId="8" fillId="3" borderId="22" xfId="0" applyFont="1" applyFill="1" applyBorder="1" applyAlignment="1" applyProtection="1">
      <alignment horizontal="center" vertical="center"/>
      <protection locked="0"/>
    </xf>
    <xf numFmtId="0" fontId="2" fillId="4" borderId="22" xfId="0" applyFont="1" applyFill="1" applyBorder="1" applyAlignment="1" applyProtection="1">
      <alignment horizontal="center" vertical="center"/>
      <protection hidden="1"/>
    </xf>
    <xf numFmtId="0" fontId="2" fillId="4" borderId="28" xfId="0" applyFont="1" applyFill="1" applyBorder="1" applyAlignment="1" applyProtection="1">
      <alignment horizontal="center" vertical="center"/>
      <protection hidden="1"/>
    </xf>
    <xf numFmtId="0" fontId="2" fillId="4" borderId="26" xfId="0" applyFont="1" applyFill="1" applyBorder="1" applyAlignment="1" applyProtection="1">
      <alignment horizontal="center" vertical="center"/>
      <protection hidden="1"/>
    </xf>
    <xf numFmtId="0" fontId="2" fillId="4" borderId="29" xfId="0" applyFont="1" applyFill="1" applyBorder="1" applyAlignment="1" applyProtection="1">
      <alignment horizontal="center" vertical="center"/>
      <protection hidden="1"/>
    </xf>
    <xf numFmtId="0" fontId="2" fillId="4" borderId="23" xfId="0" applyFont="1" applyFill="1" applyBorder="1" applyAlignment="1" applyProtection="1">
      <alignment horizontal="center" vertical="center"/>
      <protection hidden="1"/>
    </xf>
    <xf numFmtId="0" fontId="2" fillId="4" borderId="27" xfId="0" applyFont="1" applyFill="1" applyBorder="1" applyAlignment="1" applyProtection="1">
      <alignment horizontal="center" vertical="center"/>
      <protection hidden="1"/>
    </xf>
    <xf numFmtId="9" fontId="2" fillId="4" borderId="26" xfId="0" applyNumberFormat="1" applyFont="1" applyFill="1" applyBorder="1" applyAlignment="1" applyProtection="1">
      <alignment horizontal="center" vertical="center"/>
      <protection hidden="1"/>
    </xf>
    <xf numFmtId="0" fontId="2" fillId="4" borderId="30" xfId="0" applyFont="1" applyFill="1" applyBorder="1" applyAlignment="1" applyProtection="1">
      <alignment vertical="center"/>
      <protection hidden="1"/>
    </xf>
    <xf numFmtId="11" fontId="2" fillId="4" borderId="30" xfId="0" applyNumberFormat="1" applyFont="1" applyFill="1" applyBorder="1" applyAlignment="1" applyProtection="1">
      <alignment horizontal="center" vertical="center"/>
      <protection hidden="1"/>
    </xf>
    <xf numFmtId="11" fontId="2" fillId="4" borderId="31" xfId="0" applyNumberFormat="1" applyFont="1" applyFill="1" applyBorder="1" applyAlignment="1" applyProtection="1">
      <alignment horizontal="center" vertical="center"/>
      <protection hidden="1"/>
    </xf>
    <xf numFmtId="11" fontId="2" fillId="4" borderId="32" xfId="0" applyNumberFormat="1" applyFont="1" applyFill="1" applyBorder="1" applyAlignment="1" applyProtection="1">
      <alignment horizontal="center" vertical="center"/>
      <protection hidden="1"/>
    </xf>
    <xf numFmtId="11" fontId="2" fillId="4" borderId="33" xfId="0" applyNumberFormat="1" applyFont="1" applyFill="1" applyBorder="1" applyAlignment="1" applyProtection="1">
      <alignment horizontal="center" vertical="center"/>
      <protection hidden="1"/>
    </xf>
    <xf numFmtId="0" fontId="2" fillId="4" borderId="31" xfId="0" applyFont="1" applyFill="1" applyBorder="1" applyAlignment="1" applyProtection="1">
      <alignment horizontal="center" vertical="center"/>
      <protection hidden="1"/>
    </xf>
    <xf numFmtId="0" fontId="2" fillId="4" borderId="34" xfId="0" applyFont="1" applyFill="1" applyBorder="1" applyAlignment="1" applyProtection="1">
      <alignment vertical="center"/>
      <protection hidden="1"/>
    </xf>
    <xf numFmtId="9" fontId="3" fillId="0" borderId="14" xfId="0" applyNumberFormat="1" applyFont="1" applyFill="1" applyBorder="1" applyAlignment="1" applyProtection="1">
      <alignment vertical="center"/>
      <protection locked="0"/>
    </xf>
    <xf numFmtId="10" fontId="3" fillId="0" borderId="16" xfId="0" applyNumberFormat="1" applyFont="1" applyFill="1" applyBorder="1" applyAlignment="1" applyProtection="1">
      <alignment vertical="center"/>
      <protection locked="0"/>
    </xf>
    <xf numFmtId="9" fontId="3" fillId="0" borderId="16" xfId="0" applyNumberFormat="1" applyFont="1" applyFill="1" applyBorder="1" applyAlignment="1" applyProtection="1">
      <alignment vertical="center"/>
      <protection locked="0"/>
    </xf>
    <xf numFmtId="9" fontId="3" fillId="0" borderId="21" xfId="0" applyNumberFormat="1" applyFont="1" applyFill="1" applyBorder="1" applyAlignment="1" applyProtection="1">
      <alignment vertical="center"/>
      <protection locked="0"/>
    </xf>
    <xf numFmtId="0" fontId="7" fillId="5" borderId="0" xfId="0" applyFont="1" applyFill="1" applyBorder="1" applyAlignment="1" applyProtection="1">
      <alignment horizontal="center" vertical="center" wrapText="1"/>
      <protection hidden="1"/>
    </xf>
    <xf numFmtId="0" fontId="7" fillId="3" borderId="35" xfId="0" applyFont="1" applyFill="1" applyBorder="1" applyAlignment="1" applyProtection="1">
      <alignment vertical="center"/>
      <protection hidden="1"/>
    </xf>
    <xf numFmtId="9" fontId="3" fillId="0" borderId="36" xfId="0" applyNumberFormat="1" applyFont="1" applyFill="1" applyBorder="1" applyAlignment="1" applyProtection="1">
      <alignment vertical="center"/>
      <protection locked="0"/>
    </xf>
    <xf numFmtId="164" fontId="9" fillId="0" borderId="29" xfId="0" applyNumberFormat="1" applyFont="1" applyBorder="1" applyAlignment="1" applyProtection="1">
      <alignment vertical="center"/>
      <protection hidden="1"/>
    </xf>
    <xf numFmtId="164" fontId="9" fillId="0" borderId="27" xfId="0" applyNumberFormat="1" applyFont="1" applyBorder="1" applyAlignment="1" applyProtection="1">
      <alignment vertical="center"/>
      <protection hidden="1"/>
    </xf>
    <xf numFmtId="164" fontId="9" fillId="2" borderId="23" xfId="2" applyNumberFormat="1" applyFont="1" applyFill="1" applyBorder="1" applyAlignment="1" applyProtection="1">
      <alignment vertical="center"/>
      <protection hidden="1"/>
    </xf>
    <xf numFmtId="164" fontId="9" fillId="2" borderId="26" xfId="2" applyNumberFormat="1" applyFont="1" applyFill="1" applyBorder="1" applyAlignment="1" applyProtection="1">
      <alignment vertical="center"/>
      <protection hidden="1"/>
    </xf>
    <xf numFmtId="164" fontId="9" fillId="2" borderId="27" xfId="2" applyNumberFormat="1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center" vertical="center" wrapText="1"/>
      <protection hidden="1"/>
    </xf>
    <xf numFmtId="0" fontId="7" fillId="3" borderId="37" xfId="0" applyFont="1" applyFill="1" applyBorder="1" applyAlignment="1" applyProtection="1">
      <alignment horizontal="center" vertical="center"/>
      <protection hidden="1"/>
    </xf>
    <xf numFmtId="0" fontId="7" fillId="3" borderId="38" xfId="0" applyFont="1" applyFill="1" applyBorder="1" applyAlignment="1" applyProtection="1">
      <alignment horizontal="center" vertical="center"/>
      <protection hidden="1"/>
    </xf>
    <xf numFmtId="0" fontId="7" fillId="3" borderId="39" xfId="0" applyFont="1" applyFill="1" applyBorder="1" applyAlignment="1" applyProtection="1">
      <alignment horizontal="center" vertical="center"/>
      <protection hidden="1"/>
    </xf>
    <xf numFmtId="0" fontId="3" fillId="0" borderId="37" xfId="0" applyFont="1" applyFill="1" applyBorder="1" applyAlignment="1" applyProtection="1">
      <alignment horizontal="center" vertical="center"/>
      <protection locked="0"/>
    </xf>
    <xf numFmtId="0" fontId="3" fillId="0" borderId="38" xfId="0" applyFont="1" applyFill="1" applyBorder="1" applyAlignment="1" applyProtection="1">
      <alignment horizontal="center" vertical="center"/>
      <protection locked="0"/>
    </xf>
    <xf numFmtId="0" fontId="3" fillId="0" borderId="39" xfId="0" applyFont="1" applyFill="1" applyBorder="1" applyAlignment="1" applyProtection="1">
      <alignment horizontal="center" vertical="center"/>
      <protection locked="0"/>
    </xf>
    <xf numFmtId="0" fontId="3" fillId="0" borderId="40" xfId="0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 applyProtection="1">
      <alignment horizontal="center" vertical="center"/>
      <protection locked="0"/>
    </xf>
    <xf numFmtId="0" fontId="3" fillId="0" borderId="42" xfId="0" applyFont="1" applyFill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 applyProtection="1">
      <alignment horizontal="center" vertical="center"/>
      <protection hidden="1"/>
    </xf>
    <xf numFmtId="0" fontId="7" fillId="3" borderId="31" xfId="0" applyFont="1" applyFill="1" applyBorder="1" applyAlignment="1" applyProtection="1">
      <alignment horizontal="center" vertical="center"/>
      <protection hidden="1"/>
    </xf>
    <xf numFmtId="0" fontId="7" fillId="3" borderId="34" xfId="0" applyFont="1" applyFill="1" applyBorder="1" applyAlignment="1" applyProtection="1">
      <alignment horizontal="center" vertical="center"/>
      <protection hidden="1"/>
    </xf>
    <xf numFmtId="0" fontId="6" fillId="5" borderId="0" xfId="0" applyFont="1" applyFill="1" applyBorder="1" applyAlignment="1" applyProtection="1">
      <alignment horizontal="center" vertical="center" wrapText="1"/>
      <protection locked="0"/>
    </xf>
    <xf numFmtId="165" fontId="4" fillId="2" borderId="2" xfId="0" applyNumberFormat="1" applyFont="1" applyFill="1" applyBorder="1" applyAlignment="1" applyProtection="1">
      <alignment horizontal="center" vertical="center"/>
      <protection locked="0"/>
    </xf>
    <xf numFmtId="166" fontId="4" fillId="2" borderId="43" xfId="0" applyNumberFormat="1" applyFont="1" applyFill="1" applyBorder="1" applyAlignment="1" applyProtection="1">
      <alignment horizontal="center" vertical="center"/>
      <protection locked="0"/>
    </xf>
    <xf numFmtId="0" fontId="7" fillId="3" borderId="28" xfId="0" applyFont="1" applyFill="1" applyBorder="1" applyAlignment="1" applyProtection="1">
      <alignment horizontal="center" vertical="center"/>
      <protection hidden="1"/>
    </xf>
    <xf numFmtId="0" fontId="7" fillId="3" borderId="25" xfId="0" applyFont="1" applyFill="1" applyBorder="1" applyAlignment="1" applyProtection="1">
      <alignment horizontal="center" vertical="center"/>
      <protection hidden="1"/>
    </xf>
    <xf numFmtId="0" fontId="7" fillId="3" borderId="44" xfId="0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Porcentagem" xfId="1" builtinId="5"/>
    <cellStyle name="Vírgula" xfId="2" builtinId="3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  <dxf>
      <fill>
        <patternFill>
          <bgColor indexed="22"/>
        </patternFill>
      </fill>
    </dxf>
    <dxf>
      <fill>
        <patternFill>
          <bgColor indexed="4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25401</xdr:colOff>
      <xdr:row>8</xdr:row>
      <xdr:rowOff>173569</xdr:rowOff>
    </xdr:from>
    <xdr:to>
      <xdr:col>5</xdr:col>
      <xdr:colOff>882651</xdr:colOff>
      <xdr:row>10</xdr:row>
      <xdr:rowOff>184153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12B1046-4E21-431D-9B45-9302C06571C3}"/>
            </a:ext>
          </a:extLst>
        </xdr:cNvPr>
        <xdr:cNvSpPr/>
      </xdr:nvSpPr>
      <xdr:spPr>
        <a:xfrm>
          <a:off x="25401" y="1655236"/>
          <a:ext cx="3704167" cy="391584"/>
        </a:xfrm>
        <a:prstGeom prst="rect">
          <a:avLst/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Trebuchet MS" pitchFamily="34" charset="0"/>
              <a:cs typeface="Traditional Arabic" pitchFamily="18" charset="-78"/>
            </a:rPr>
            <a:t>CNPJ:</a:t>
          </a:r>
          <a:r>
            <a:rPr lang="pt-BR" sz="1400" b="1" baseline="0">
              <a:latin typeface="Trebuchet MS" pitchFamily="34" charset="0"/>
              <a:cs typeface="Traditional Arabic" pitchFamily="18" charset="-78"/>
            </a:rPr>
            <a:t> </a:t>
          </a:r>
          <a:endParaRPr lang="pt-BR" sz="1400" b="1">
            <a:latin typeface="Trebuchet MS" pitchFamily="34" charset="0"/>
            <a:cs typeface="Traditional Arabic" pitchFamily="18" charset="-78"/>
          </a:endParaRPr>
        </a:p>
      </xdr:txBody>
    </xdr:sp>
    <xdr:clientData/>
  </xdr:twoCellAnchor>
  <xdr:twoCellAnchor>
    <xdr:from>
      <xdr:col>1</xdr:col>
      <xdr:colOff>296333</xdr:colOff>
      <xdr:row>1</xdr:row>
      <xdr:rowOff>10584</xdr:rowOff>
    </xdr:from>
    <xdr:to>
      <xdr:col>12</xdr:col>
      <xdr:colOff>349250</xdr:colOff>
      <xdr:row>4</xdr:row>
      <xdr:rowOff>58209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D7AA5421-4931-490F-85F3-51D668DA0C9D}"/>
            </a:ext>
          </a:extLst>
        </xdr:cNvPr>
        <xdr:cNvSpPr/>
      </xdr:nvSpPr>
      <xdr:spPr>
        <a:xfrm>
          <a:off x="349250" y="201084"/>
          <a:ext cx="9874250" cy="619125"/>
        </a:xfrm>
        <a:prstGeom prst="roundRect">
          <a:avLst/>
        </a:prstGeom>
        <a:gradFill>
          <a:gsLst>
            <a:gs pos="50000">
              <a:srgbClr val="002060"/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5400000" scaled="1"/>
        </a:gradFill>
        <a:effectLst>
          <a:outerShdw blurRad="40000" dist="23000" dir="5400000" rotWithShape="0">
            <a:srgbClr val="00B0F0">
              <a:alpha val="35000"/>
            </a:srgbClr>
          </a:outerShdw>
        </a:effectLst>
        <a:scene3d>
          <a:camera prst="orthographicFront">
            <a:rot lat="0" lon="0" rev="0"/>
          </a:camera>
          <a:lightRig rig="contrasting" dir="t"/>
        </a:scene3d>
        <a:sp3d extrusionH="76200" contourW="12700" prstMaterial="dkEdge">
          <a:bevelT w="63500" h="25400"/>
          <a:extrusionClr>
            <a:schemeClr val="bg1">
              <a:lumMod val="50000"/>
            </a:schemeClr>
          </a:extrusionClr>
          <a:contourClr>
            <a:schemeClr val="tx1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400" b="1" i="0" kern="1200" cap="none" spc="0" baseline="0">
              <a:ln w="900" cmpd="sng">
                <a:solidFill>
                  <a:schemeClr val="accent1">
                    <a:satMod val="190000"/>
                    <a:alpha val="55000"/>
                  </a:schemeClr>
                </a:solidFill>
                <a:prstDash val="solid"/>
              </a:ln>
              <a:solidFill>
                <a:schemeClr val="accent1">
                  <a:satMod val="200000"/>
                  <a:tint val="3000"/>
                </a:schemeClr>
              </a:solidFill>
              <a:effectLst>
                <a:glow rad="228600">
                  <a:schemeClr val="accent5">
                    <a:satMod val="175000"/>
                    <a:alpha val="40000"/>
                  </a:schemeClr>
                </a:glow>
                <a:innerShdw blurRad="101600" dist="76200" dir="5400000">
                  <a:schemeClr val="accent1">
                    <a:satMod val="190000"/>
                    <a:tint val="100000"/>
                    <a:alpha val="74000"/>
                  </a:schemeClr>
                </a:innerShdw>
                <a:reflection blurRad="6350" stA="55000" endA="300" endPos="45500" dir="5400000" sy="-100000" algn="bl" rotWithShape="0"/>
              </a:effectLst>
              <a:latin typeface="Trebuchet MS" pitchFamily="34" charset="0"/>
              <a:ea typeface="+mn-ea"/>
              <a:cs typeface="Traditional Arabic" pitchFamily="18" charset="-78"/>
            </a:rPr>
            <a:t>Calculo IRPJ e CSLL</a:t>
          </a:r>
          <a:endParaRPr lang="pt-BR" sz="2800" b="1" i="0" cap="none" spc="0">
            <a:ln w="900" cmpd="sng">
              <a:solidFill>
                <a:schemeClr val="accent1">
                  <a:satMod val="190000"/>
                  <a:alpha val="55000"/>
                </a:schemeClr>
              </a:solidFill>
              <a:prstDash val="solid"/>
            </a:ln>
            <a:solidFill>
              <a:schemeClr val="accent1">
                <a:satMod val="200000"/>
                <a:tint val="3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innerShdw blurRad="101600" dist="76200" dir="5400000">
                <a:schemeClr val="accent1">
                  <a:satMod val="190000"/>
                  <a:tint val="100000"/>
                  <a:alpha val="74000"/>
                </a:schemeClr>
              </a:innerShdw>
              <a:reflection blurRad="6350" stA="55000" endA="300" endPos="45500" dir="5400000" sy="-100000" algn="bl" rotWithShape="0"/>
            </a:effectLst>
            <a:latin typeface="Trebuchet MS" pitchFamily="34" charset="0"/>
            <a:cs typeface="Traditional Arabic" pitchFamily="18" charset="-78"/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47625</xdr:rowOff>
    </xdr:from>
    <xdr:to>
      <xdr:col>1</xdr:col>
      <xdr:colOff>504825</xdr:colOff>
      <xdr:row>5</xdr:row>
      <xdr:rowOff>142875</xdr:rowOff>
    </xdr:to>
    <xdr:pic>
      <xdr:nvPicPr>
        <xdr:cNvPr id="1095" name="Imagem 3" descr="ip_icon_02_Back.png">
          <a:extLst>
            <a:ext uri="{FF2B5EF4-FFF2-40B4-BE49-F238E27FC236}">
              <a16:creationId xmlns:a16="http://schemas.microsoft.com/office/drawing/2014/main" id="{0A802B2E-C85B-4686-B3A6-26F99598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19125"/>
          <a:ext cx="5048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31751</xdr:colOff>
      <xdr:row>6</xdr:row>
      <xdr:rowOff>137584</xdr:rowOff>
    </xdr:from>
    <xdr:to>
      <xdr:col>5</xdr:col>
      <xdr:colOff>889001</xdr:colOff>
      <xdr:row>8</xdr:row>
      <xdr:rowOff>179918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1F897D5-6F54-4668-9D48-2CA63E3D8676}"/>
            </a:ext>
          </a:extLst>
        </xdr:cNvPr>
        <xdr:cNvSpPr/>
      </xdr:nvSpPr>
      <xdr:spPr>
        <a:xfrm>
          <a:off x="31751" y="1280584"/>
          <a:ext cx="3704167" cy="381001"/>
        </a:xfrm>
        <a:prstGeom prst="rect">
          <a:avLst/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Trebuchet MS" pitchFamily="34" charset="0"/>
              <a:cs typeface="Traditional Arabic" pitchFamily="18" charset="-78"/>
            </a:rPr>
            <a:t>Empresa: Teste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IU33"/>
  <sheetViews>
    <sheetView tabSelected="1" zoomScale="90" zoomScaleNormal="90" workbookViewId="0" xr3:uid="{AEA406A1-0E4B-5B11-9CD5-51D6E497D94C}">
      <selection activeCell="D26" sqref="D26"/>
    </sheetView>
  </sheetViews>
  <sheetFormatPr defaultColWidth="0" defaultRowHeight="13.5" x14ac:dyDescent="0.15"/>
  <cols>
    <col min="1" max="1" width="0.671875" style="1" customWidth="1"/>
    <col min="2" max="2" width="12" style="1" customWidth="1"/>
    <col min="3" max="3" width="14.96875" style="1" customWidth="1"/>
    <col min="4" max="5" width="14.83203125" style="1" bestFit="1" customWidth="1"/>
    <col min="6" max="6" width="13.484375" style="1" customWidth="1"/>
    <col min="7" max="7" width="12.26953125" style="1" customWidth="1"/>
    <col min="8" max="8" width="13.6171875" style="1" customWidth="1"/>
    <col min="9" max="9" width="13.75390625" style="1" customWidth="1"/>
    <col min="10" max="10" width="12.5390625" style="1" bestFit="1" customWidth="1"/>
    <col min="11" max="11" width="11.73046875" style="1" customWidth="1"/>
    <col min="12" max="12" width="12.9453125" style="1" bestFit="1" customWidth="1"/>
    <col min="13" max="13" width="11.73046875" style="1" customWidth="1"/>
    <col min="14" max="14" width="0.94140625" style="1" customWidth="1"/>
    <col min="15" max="18" width="12.67578125" style="1" hidden="1" customWidth="1"/>
    <col min="19" max="255" width="9.16796875" style="1" hidden="1" customWidth="1"/>
    <col min="256" max="16384" width="0" style="1" hidden="1"/>
  </cols>
  <sheetData>
    <row r="7" spans="2:115" ht="11.25" customHeight="1" thickBot="1" x14ac:dyDescent="0.2"/>
    <row r="8" spans="2:115" x14ac:dyDescent="0.15">
      <c r="B8" s="92"/>
      <c r="C8" s="93"/>
      <c r="D8" s="93"/>
      <c r="E8" s="93"/>
      <c r="F8" s="94"/>
      <c r="G8" s="98" t="s">
        <v>0</v>
      </c>
      <c r="H8" s="99"/>
      <c r="I8" s="99"/>
      <c r="J8" s="99"/>
      <c r="K8" s="99"/>
      <c r="L8" s="100"/>
      <c r="M8" s="80"/>
    </row>
    <row r="9" spans="2:115" x14ac:dyDescent="0.15">
      <c r="B9" s="95"/>
      <c r="C9" s="96"/>
      <c r="D9" s="96"/>
      <c r="E9" s="96"/>
      <c r="F9" s="97"/>
      <c r="G9" s="58"/>
      <c r="H9" s="59" t="s">
        <v>1</v>
      </c>
      <c r="I9" s="59" t="s">
        <v>2</v>
      </c>
      <c r="J9" s="57" t="s">
        <v>3</v>
      </c>
      <c r="K9" s="57" t="s">
        <v>4</v>
      </c>
      <c r="L9" s="77">
        <v>6.4999999999999997E-3</v>
      </c>
      <c r="M9" s="101"/>
    </row>
    <row r="10" spans="2:115" x14ac:dyDescent="0.15">
      <c r="B10" s="2"/>
      <c r="C10" s="102"/>
      <c r="D10" s="102"/>
      <c r="E10" s="3"/>
      <c r="F10" s="4"/>
      <c r="G10" s="58" t="s">
        <v>5</v>
      </c>
      <c r="H10" s="76">
        <v>0.12</v>
      </c>
      <c r="I10" s="76">
        <v>0.32</v>
      </c>
      <c r="J10" s="76">
        <v>0.09</v>
      </c>
      <c r="K10" s="57" t="s">
        <v>6</v>
      </c>
      <c r="L10" s="78">
        <v>0.03</v>
      </c>
      <c r="M10" s="101"/>
    </row>
    <row r="11" spans="2:115" ht="14.25" thickBot="1" x14ac:dyDescent="0.2">
      <c r="B11" s="5"/>
      <c r="C11" s="103"/>
      <c r="D11" s="103"/>
      <c r="E11" s="6"/>
      <c r="F11" s="7"/>
      <c r="G11" s="81" t="s">
        <v>7</v>
      </c>
      <c r="H11" s="82">
        <v>0.08</v>
      </c>
      <c r="I11" s="82">
        <v>0.32</v>
      </c>
      <c r="J11" s="82">
        <v>0.15</v>
      </c>
      <c r="K11" s="60" t="s">
        <v>8</v>
      </c>
      <c r="L11" s="79">
        <v>0.05</v>
      </c>
      <c r="M11" s="101"/>
    </row>
    <row r="12" spans="2:115" ht="14.25" thickBot="1" x14ac:dyDescent="0.2">
      <c r="B12" s="61">
        <v>2012</v>
      </c>
      <c r="C12" s="104" t="s">
        <v>9</v>
      </c>
      <c r="D12" s="105"/>
      <c r="E12" s="105"/>
      <c r="F12" s="104" t="s">
        <v>10</v>
      </c>
      <c r="G12" s="105"/>
      <c r="H12" s="105"/>
      <c r="I12" s="105"/>
      <c r="J12" s="106"/>
      <c r="K12" s="104" t="s">
        <v>11</v>
      </c>
      <c r="L12" s="105"/>
      <c r="M12" s="106"/>
    </row>
    <row r="13" spans="2:115" ht="14.25" thickBot="1" x14ac:dyDescent="0.2">
      <c r="B13" s="62" t="s">
        <v>12</v>
      </c>
      <c r="C13" s="63" t="s">
        <v>13</v>
      </c>
      <c r="D13" s="64" t="s">
        <v>14</v>
      </c>
      <c r="E13" s="65" t="s">
        <v>15</v>
      </c>
      <c r="F13" s="66" t="s">
        <v>16</v>
      </c>
      <c r="G13" s="64" t="s">
        <v>17</v>
      </c>
      <c r="H13" s="64" t="s">
        <v>18</v>
      </c>
      <c r="I13" s="64" t="s">
        <v>19</v>
      </c>
      <c r="J13" s="67" t="s">
        <v>20</v>
      </c>
      <c r="K13" s="66" t="str">
        <f>"PIS ("&amp;L9*100&amp;"%)"</f>
        <v>PIS (0,65%)</v>
      </c>
      <c r="L13" s="68" t="str">
        <f>"COFINS ("&amp;L10*100&amp;"%)"</f>
        <v>COFINS (3%)</v>
      </c>
      <c r="M13" s="67" t="str">
        <f>"ISS ("&amp;L11*100&amp;"%)"</f>
        <v>ISS (5%)</v>
      </c>
      <c r="N13" s="8"/>
      <c r="O13" s="8"/>
      <c r="P13" s="8"/>
    </row>
    <row r="14" spans="2:115" x14ac:dyDescent="0.15">
      <c r="B14" s="9" t="s">
        <v>21</v>
      </c>
      <c r="C14" s="20">
        <v>0</v>
      </c>
      <c r="D14" s="20">
        <v>0</v>
      </c>
      <c r="E14" s="12">
        <f t="shared" ref="E14:E25" si="0">D14+C14</f>
        <v>0</v>
      </c>
      <c r="F14" s="10">
        <v>0</v>
      </c>
      <c r="G14" s="11">
        <v>0</v>
      </c>
      <c r="H14" s="11">
        <v>0</v>
      </c>
      <c r="I14" s="11">
        <v>0</v>
      </c>
      <c r="J14" s="13">
        <v>0</v>
      </c>
      <c r="K14" s="14">
        <f t="shared" ref="K14:K25" si="1">E14*$L$9-I14</f>
        <v>0</v>
      </c>
      <c r="L14" s="15">
        <f t="shared" ref="L14:L25" si="2">E14*$L$10-H14</f>
        <v>0</v>
      </c>
      <c r="M14" s="16">
        <f>D14*$L$11-J14</f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</row>
    <row r="15" spans="2:115" x14ac:dyDescent="0.15">
      <c r="B15" s="18" t="s">
        <v>22</v>
      </c>
      <c r="C15" s="20">
        <v>0</v>
      </c>
      <c r="D15" s="20">
        <v>0</v>
      </c>
      <c r="E15" s="21">
        <f t="shared" si="0"/>
        <v>0</v>
      </c>
      <c r="F15" s="19">
        <v>0</v>
      </c>
      <c r="G15" s="20">
        <v>0</v>
      </c>
      <c r="H15" s="20">
        <v>0</v>
      </c>
      <c r="I15" s="20">
        <v>0</v>
      </c>
      <c r="J15" s="22">
        <v>0</v>
      </c>
      <c r="K15" s="23">
        <f t="shared" si="1"/>
        <v>0</v>
      </c>
      <c r="L15" s="24">
        <f t="shared" si="2"/>
        <v>0</v>
      </c>
      <c r="M15" s="25">
        <f>D15*$L$11-J15</f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</row>
    <row r="16" spans="2:115" x14ac:dyDescent="0.15">
      <c r="B16" s="18" t="s">
        <v>23</v>
      </c>
      <c r="C16" s="20">
        <v>0</v>
      </c>
      <c r="D16" s="20">
        <v>0</v>
      </c>
      <c r="E16" s="21">
        <f t="shared" si="0"/>
        <v>0</v>
      </c>
      <c r="F16" s="19">
        <v>0</v>
      </c>
      <c r="G16" s="20">
        <v>0</v>
      </c>
      <c r="H16" s="20">
        <v>0</v>
      </c>
      <c r="I16" s="20">
        <v>0</v>
      </c>
      <c r="J16" s="22">
        <v>0</v>
      </c>
      <c r="K16" s="23">
        <f t="shared" si="1"/>
        <v>0</v>
      </c>
      <c r="L16" s="24">
        <f t="shared" si="2"/>
        <v>0</v>
      </c>
      <c r="M16" s="25">
        <f t="shared" ref="M16:M25" si="3">D16*$L$11-J16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</row>
    <row r="17" spans="2:115" x14ac:dyDescent="0.15">
      <c r="B17" s="18" t="s">
        <v>24</v>
      </c>
      <c r="C17" s="20">
        <v>0</v>
      </c>
      <c r="D17" s="20">
        <v>0</v>
      </c>
      <c r="E17" s="21">
        <f t="shared" si="0"/>
        <v>0</v>
      </c>
      <c r="F17" s="19">
        <v>0</v>
      </c>
      <c r="G17" s="20">
        <v>0</v>
      </c>
      <c r="H17" s="20">
        <v>0</v>
      </c>
      <c r="I17" s="20">
        <v>0</v>
      </c>
      <c r="J17" s="22">
        <v>0</v>
      </c>
      <c r="K17" s="23">
        <f t="shared" si="1"/>
        <v>0</v>
      </c>
      <c r="L17" s="24">
        <f t="shared" si="2"/>
        <v>0</v>
      </c>
      <c r="M17" s="25">
        <f t="shared" si="3"/>
        <v>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</row>
    <row r="18" spans="2:115" x14ac:dyDescent="0.15">
      <c r="B18" s="18" t="s">
        <v>25</v>
      </c>
      <c r="C18" s="20">
        <v>0</v>
      </c>
      <c r="D18" s="20">
        <v>0</v>
      </c>
      <c r="E18" s="21">
        <f t="shared" si="0"/>
        <v>0</v>
      </c>
      <c r="F18" s="19">
        <v>0</v>
      </c>
      <c r="G18" s="20">
        <v>0</v>
      </c>
      <c r="H18" s="20">
        <v>0</v>
      </c>
      <c r="I18" s="20">
        <v>0</v>
      </c>
      <c r="J18" s="22">
        <v>0</v>
      </c>
      <c r="K18" s="23">
        <f t="shared" si="1"/>
        <v>0</v>
      </c>
      <c r="L18" s="24">
        <f t="shared" si="2"/>
        <v>0</v>
      </c>
      <c r="M18" s="25">
        <f t="shared" si="3"/>
        <v>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</row>
    <row r="19" spans="2:115" x14ac:dyDescent="0.15">
      <c r="B19" s="18" t="s">
        <v>26</v>
      </c>
      <c r="C19" s="20">
        <v>0</v>
      </c>
      <c r="D19" s="20">
        <v>0</v>
      </c>
      <c r="E19" s="21">
        <f t="shared" si="0"/>
        <v>0</v>
      </c>
      <c r="F19" s="19">
        <v>0</v>
      </c>
      <c r="G19" s="20">
        <v>0</v>
      </c>
      <c r="H19" s="20">
        <v>0</v>
      </c>
      <c r="I19" s="20">
        <v>0</v>
      </c>
      <c r="J19" s="22">
        <v>0</v>
      </c>
      <c r="K19" s="23">
        <f t="shared" si="1"/>
        <v>0</v>
      </c>
      <c r="L19" s="24">
        <f t="shared" si="2"/>
        <v>0</v>
      </c>
      <c r="M19" s="25">
        <f t="shared" si="3"/>
        <v>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</row>
    <row r="20" spans="2:115" x14ac:dyDescent="0.15">
      <c r="B20" s="18" t="s">
        <v>27</v>
      </c>
      <c r="C20" s="20">
        <v>0</v>
      </c>
      <c r="D20" s="20">
        <v>0</v>
      </c>
      <c r="E20" s="21">
        <f t="shared" si="0"/>
        <v>0</v>
      </c>
      <c r="F20" s="19">
        <v>0</v>
      </c>
      <c r="G20" s="20">
        <v>0</v>
      </c>
      <c r="H20" s="20">
        <v>0</v>
      </c>
      <c r="I20" s="20">
        <v>0</v>
      </c>
      <c r="J20" s="22">
        <v>0</v>
      </c>
      <c r="K20" s="23">
        <f t="shared" si="1"/>
        <v>0</v>
      </c>
      <c r="L20" s="24">
        <f t="shared" si="2"/>
        <v>0</v>
      </c>
      <c r="M20" s="25">
        <f t="shared" si="3"/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</row>
    <row r="21" spans="2:115" x14ac:dyDescent="0.15">
      <c r="B21" s="18" t="s">
        <v>28</v>
      </c>
      <c r="C21" s="20">
        <v>0</v>
      </c>
      <c r="D21" s="20">
        <v>0</v>
      </c>
      <c r="E21" s="21">
        <f t="shared" si="0"/>
        <v>0</v>
      </c>
      <c r="F21" s="19">
        <v>0</v>
      </c>
      <c r="G21" s="20">
        <v>0</v>
      </c>
      <c r="H21" s="20">
        <v>0</v>
      </c>
      <c r="I21" s="20">
        <v>0</v>
      </c>
      <c r="J21" s="22">
        <v>0</v>
      </c>
      <c r="K21" s="23">
        <f t="shared" si="1"/>
        <v>0</v>
      </c>
      <c r="L21" s="24">
        <f t="shared" si="2"/>
        <v>0</v>
      </c>
      <c r="M21" s="25">
        <f t="shared" si="3"/>
        <v>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</row>
    <row r="22" spans="2:115" x14ac:dyDescent="0.15">
      <c r="B22" s="18" t="s">
        <v>29</v>
      </c>
      <c r="C22" s="20">
        <v>0</v>
      </c>
      <c r="D22" s="20">
        <v>0</v>
      </c>
      <c r="E22" s="21">
        <f t="shared" si="0"/>
        <v>0</v>
      </c>
      <c r="F22" s="19">
        <v>0</v>
      </c>
      <c r="G22" s="20">
        <v>0</v>
      </c>
      <c r="H22" s="20">
        <v>0</v>
      </c>
      <c r="I22" s="20">
        <v>0</v>
      </c>
      <c r="J22" s="22">
        <v>0</v>
      </c>
      <c r="K22" s="23">
        <f t="shared" si="1"/>
        <v>0</v>
      </c>
      <c r="L22" s="24">
        <f t="shared" si="2"/>
        <v>0</v>
      </c>
      <c r="M22" s="25">
        <f t="shared" si="3"/>
        <v>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</row>
    <row r="23" spans="2:115" x14ac:dyDescent="0.15">
      <c r="B23" s="18" t="s">
        <v>30</v>
      </c>
      <c r="C23" s="20">
        <v>0</v>
      </c>
      <c r="D23" s="20">
        <v>0</v>
      </c>
      <c r="E23" s="21">
        <f t="shared" si="0"/>
        <v>0</v>
      </c>
      <c r="F23" s="19">
        <v>0</v>
      </c>
      <c r="G23" s="20">
        <v>0</v>
      </c>
      <c r="H23" s="20">
        <v>0</v>
      </c>
      <c r="I23" s="20">
        <v>0</v>
      </c>
      <c r="J23" s="22">
        <v>0</v>
      </c>
      <c r="K23" s="23">
        <f t="shared" si="1"/>
        <v>0</v>
      </c>
      <c r="L23" s="24">
        <f t="shared" si="2"/>
        <v>0</v>
      </c>
      <c r="M23" s="25">
        <f t="shared" si="3"/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</row>
    <row r="24" spans="2:115" x14ac:dyDescent="0.15">
      <c r="B24" s="18" t="s">
        <v>31</v>
      </c>
      <c r="C24" s="20">
        <v>0</v>
      </c>
      <c r="D24" s="20">
        <v>0</v>
      </c>
      <c r="E24" s="21">
        <f t="shared" si="0"/>
        <v>0</v>
      </c>
      <c r="F24" s="19">
        <v>0</v>
      </c>
      <c r="G24" s="20">
        <v>0</v>
      </c>
      <c r="H24" s="20">
        <v>0</v>
      </c>
      <c r="I24" s="20">
        <v>0</v>
      </c>
      <c r="J24" s="22">
        <v>0</v>
      </c>
      <c r="K24" s="23">
        <f t="shared" si="1"/>
        <v>0</v>
      </c>
      <c r="L24" s="24">
        <f t="shared" si="2"/>
        <v>0</v>
      </c>
      <c r="M24" s="25">
        <f t="shared" si="3"/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</row>
    <row r="25" spans="2:115" ht="14.25" thickBot="1" x14ac:dyDescent="0.2">
      <c r="B25" s="26" t="s">
        <v>32</v>
      </c>
      <c r="C25" s="28">
        <v>0</v>
      </c>
      <c r="D25" s="28">
        <v>218856.6</v>
      </c>
      <c r="E25" s="29">
        <f t="shared" si="0"/>
        <v>218856.6</v>
      </c>
      <c r="F25" s="27">
        <v>0</v>
      </c>
      <c r="G25" s="28">
        <v>0</v>
      </c>
      <c r="H25" s="28">
        <v>0</v>
      </c>
      <c r="I25" s="28">
        <v>0</v>
      </c>
      <c r="J25" s="30">
        <v>0</v>
      </c>
      <c r="K25" s="31">
        <f t="shared" si="1"/>
        <v>1422.5679</v>
      </c>
      <c r="L25" s="32">
        <f t="shared" si="2"/>
        <v>6565.6980000000003</v>
      </c>
      <c r="M25" s="25">
        <f t="shared" si="3"/>
        <v>10942.830000000002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</row>
    <row r="26" spans="2:115" ht="14.25" thickBot="1" x14ac:dyDescent="0.2">
      <c r="B26" s="33" t="s">
        <v>33</v>
      </c>
      <c r="C26" s="35">
        <f>SUM(C14:C25)</f>
        <v>0</v>
      </c>
      <c r="D26" s="35">
        <f t="shared" ref="D26:M26" si="4">SUM(D14:D25)</f>
        <v>218856.6</v>
      </c>
      <c r="E26" s="36">
        <f t="shared" si="4"/>
        <v>218856.6</v>
      </c>
      <c r="F26" s="34">
        <f t="shared" si="4"/>
        <v>0</v>
      </c>
      <c r="G26" s="37">
        <f t="shared" si="4"/>
        <v>0</v>
      </c>
      <c r="H26" s="37">
        <f t="shared" si="4"/>
        <v>0</v>
      </c>
      <c r="I26" s="37">
        <f t="shared" si="4"/>
        <v>0</v>
      </c>
      <c r="J26" s="38">
        <f>SUM(J14:J25)</f>
        <v>0</v>
      </c>
      <c r="K26" s="85">
        <f t="shared" si="4"/>
        <v>1422.5679</v>
      </c>
      <c r="L26" s="86">
        <f t="shared" si="4"/>
        <v>6565.6980000000003</v>
      </c>
      <c r="M26" s="87">
        <f t="shared" si="4"/>
        <v>10942.830000000002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</row>
    <row r="27" spans="2:115" ht="14.25" thickBot="1" x14ac:dyDescent="0.2">
      <c r="B27" s="89" t="s">
        <v>34</v>
      </c>
      <c r="C27" s="90"/>
      <c r="D27" s="90"/>
      <c r="E27" s="90"/>
      <c r="F27" s="90"/>
      <c r="G27" s="90"/>
      <c r="H27" s="90"/>
      <c r="I27" s="90"/>
      <c r="J27" s="91"/>
      <c r="K27" s="39"/>
      <c r="L27" s="39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</row>
    <row r="28" spans="2:115" ht="15" customHeight="1" x14ac:dyDescent="0.15">
      <c r="B28" s="69" t="s">
        <v>35</v>
      </c>
      <c r="C28" s="70" t="s">
        <v>36</v>
      </c>
      <c r="D28" s="71" t="s">
        <v>45</v>
      </c>
      <c r="E28" s="72" t="s">
        <v>37</v>
      </c>
      <c r="F28" s="73" t="s">
        <v>38</v>
      </c>
      <c r="G28" s="74" t="s">
        <v>39</v>
      </c>
      <c r="H28" s="74" t="str">
        <f>"Alíquota ("&amp;J11*100&amp;"%)"</f>
        <v>Alíquota (15%)</v>
      </c>
      <c r="I28" s="71" t="s">
        <v>46</v>
      </c>
      <c r="J28" s="75" t="s">
        <v>40</v>
      </c>
      <c r="K28" s="88" t="str">
        <f>IF(AND(I11=16%,D26&gt;120000),"Verificar alíquota IRPJ !!!","")</f>
        <v/>
      </c>
      <c r="L28" s="88"/>
      <c r="M28" s="88"/>
    </row>
    <row r="29" spans="2:115" ht="15" customHeight="1" x14ac:dyDescent="0.15">
      <c r="B29" s="40" t="s">
        <v>41</v>
      </c>
      <c r="C29" s="46">
        <f>(SUM(C14:C16)*$H$10)+(SUM(D14:D16)*$I$10)</f>
        <v>0</v>
      </c>
      <c r="D29" s="47">
        <f>SUM(G14:G16)</f>
        <v>0</v>
      </c>
      <c r="E29" s="48">
        <f>C29*$J$10-D29</f>
        <v>0</v>
      </c>
      <c r="F29" s="41">
        <f>(SUM(C14:C16)*$H$11)+(SUM(D14:D16)*$I$11)</f>
        <v>0</v>
      </c>
      <c r="G29" s="24">
        <f>IF(F29&lt;=60000,0,(F29-60000)*0.1)</f>
        <v>0</v>
      </c>
      <c r="H29" s="43">
        <f>F29*$J$11</f>
        <v>0</v>
      </c>
      <c r="I29" s="43">
        <f>SUM(F14:F16)</f>
        <v>0</v>
      </c>
      <c r="J29" s="42">
        <f>H29+G29-I29</f>
        <v>0</v>
      </c>
      <c r="K29" s="88"/>
      <c r="L29" s="88"/>
      <c r="M29" s="88"/>
    </row>
    <row r="30" spans="2:115" ht="15" customHeight="1" x14ac:dyDescent="0.15">
      <c r="B30" s="40" t="s">
        <v>42</v>
      </c>
      <c r="C30" s="46">
        <f>(SUM(C17:C19)*$H$10)+(SUM(D17:D19)*$I$10)</f>
        <v>0</v>
      </c>
      <c r="D30" s="47">
        <f>SUM(G17:G19)</f>
        <v>0</v>
      </c>
      <c r="E30" s="48">
        <f>C30*$J$10-D30</f>
        <v>0</v>
      </c>
      <c r="F30" s="41">
        <f>(SUM(C17:C19)*$H$11)+(SUM(D17:D19)*$I$11)</f>
        <v>0</v>
      </c>
      <c r="G30" s="24">
        <f>IF(F30&lt;=60000,0,(F30-60000)*0.1)</f>
        <v>0</v>
      </c>
      <c r="H30" s="43">
        <f>F30*$J$11</f>
        <v>0</v>
      </c>
      <c r="I30" s="43">
        <f>SUM(F17:F19)</f>
        <v>0</v>
      </c>
      <c r="J30" s="42">
        <f>H30+G30-I30</f>
        <v>0</v>
      </c>
      <c r="K30" s="88"/>
      <c r="L30" s="88"/>
      <c r="M30" s="88"/>
    </row>
    <row r="31" spans="2:115" ht="15" customHeight="1" x14ac:dyDescent="0.15">
      <c r="B31" s="40" t="s">
        <v>43</v>
      </c>
      <c r="C31" s="46">
        <f>(SUM(C20:C22)*$H$10)+(SUM(D20:D22)*$I$10)</f>
        <v>0</v>
      </c>
      <c r="D31" s="47">
        <f>SUM(G20:G22)</f>
        <v>0</v>
      </c>
      <c r="E31" s="48">
        <f>C31*$J$10-D31</f>
        <v>0</v>
      </c>
      <c r="F31" s="41">
        <f>(SUM(C20:C22)*$H$11)+(SUM(D20:D22)*$I$11)</f>
        <v>0</v>
      </c>
      <c r="G31" s="24">
        <f>IF(F31&lt;=60000,0,(F31-60000)*0.1)</f>
        <v>0</v>
      </c>
      <c r="H31" s="43">
        <f>F31*$J$11</f>
        <v>0</v>
      </c>
      <c r="I31" s="43">
        <f>SUM(F20:F22)</f>
        <v>0</v>
      </c>
      <c r="J31" s="42">
        <f>H31+G31-I31</f>
        <v>0</v>
      </c>
      <c r="K31" s="88"/>
      <c r="L31" s="88"/>
      <c r="M31" s="88"/>
    </row>
    <row r="32" spans="2:115" ht="15.75" customHeight="1" thickBot="1" x14ac:dyDescent="0.2">
      <c r="B32" s="44" t="s">
        <v>44</v>
      </c>
      <c r="C32" s="49">
        <f>(SUM(C23:C25)*$H$10)+(SUM(D23:D25)*$I$10)</f>
        <v>70034.112000000008</v>
      </c>
      <c r="D32" s="50">
        <f>SUM(G23:G25)</f>
        <v>0</v>
      </c>
      <c r="E32" s="51">
        <f>C32*$J$10-D32</f>
        <v>6303.0700800000004</v>
      </c>
      <c r="F32" s="52">
        <f>(SUM(C23:C25)*$H$11)+(SUM(D23:D25)*$I$11)</f>
        <v>70034.112000000008</v>
      </c>
      <c r="G32" s="32">
        <f>IF(F32&lt;=60000,0,(F32-60000)*0.1)</f>
        <v>1003.4112000000009</v>
      </c>
      <c r="H32" s="53">
        <f>F32*$J$11</f>
        <v>10505.116800000002</v>
      </c>
      <c r="I32" s="53">
        <f>SUM(F23:F25)</f>
        <v>0</v>
      </c>
      <c r="J32" s="54">
        <f>H32+G32-I32</f>
        <v>11508.528000000002</v>
      </c>
      <c r="K32" s="88"/>
      <c r="L32" s="88"/>
      <c r="M32" s="88"/>
    </row>
    <row r="33" spans="2:12" ht="14.25" thickBot="1" x14ac:dyDescent="0.2">
      <c r="B33" s="33" t="s">
        <v>33</v>
      </c>
      <c r="C33" s="45">
        <f t="shared" ref="C33:J33" si="5">SUM(C29:C32)</f>
        <v>70034.112000000008</v>
      </c>
      <c r="D33" s="55">
        <f t="shared" si="5"/>
        <v>0</v>
      </c>
      <c r="E33" s="83">
        <f t="shared" si="5"/>
        <v>6303.0700800000004</v>
      </c>
      <c r="F33" s="56">
        <f t="shared" si="5"/>
        <v>70034.112000000008</v>
      </c>
      <c r="G33" s="37">
        <f t="shared" si="5"/>
        <v>1003.4112000000009</v>
      </c>
      <c r="H33" s="55">
        <f t="shared" si="5"/>
        <v>10505.116800000002</v>
      </c>
      <c r="I33" s="55">
        <f t="shared" si="5"/>
        <v>0</v>
      </c>
      <c r="J33" s="84">
        <f t="shared" si="5"/>
        <v>11508.528000000002</v>
      </c>
      <c r="K33" s="39"/>
      <c r="L33" s="39"/>
    </row>
  </sheetData>
  <sheetProtection selectLockedCells="1"/>
  <protectedRanges>
    <protectedRange sqref="F14:J25" name="Intervalo3"/>
    <protectedRange sqref="E11 H10:J11 L9:L11 B8:C11 F8:F11 D8:E10" name="Intervalo1"/>
    <protectedRange sqref="C14:D25" name="Intervalo2"/>
  </protectedRanges>
  <mergeCells count="10">
    <mergeCell ref="K28:M32"/>
    <mergeCell ref="B27:J27"/>
    <mergeCell ref="B8:F9"/>
    <mergeCell ref="G8:L8"/>
    <mergeCell ref="M9:M11"/>
    <mergeCell ref="C10:D10"/>
    <mergeCell ref="C11:D11"/>
    <mergeCell ref="C12:E12"/>
    <mergeCell ref="F12:J12"/>
    <mergeCell ref="K12:M12"/>
  </mergeCells>
  <phoneticPr fontId="0" type="noConversion"/>
  <conditionalFormatting sqref="C29:H32 J29:J32 C14:M25">
    <cfRule type="cellIs" dxfId="4" priority="12" stopIfTrue="1" operator="lessThanOrEqual">
      <formula>0</formula>
    </cfRule>
  </conditionalFormatting>
  <conditionalFormatting sqref="C33:H33 J33 C26:M26">
    <cfRule type="cellIs" dxfId="3" priority="11" stopIfTrue="1" operator="lessThanOrEqual">
      <formula>0</formula>
    </cfRule>
  </conditionalFormatting>
  <conditionalFormatting sqref="I29:I32">
    <cfRule type="cellIs" dxfId="2" priority="3" stopIfTrue="1" operator="lessThanOrEqual">
      <formula>0</formula>
    </cfRule>
  </conditionalFormatting>
  <conditionalFormatting sqref="I33">
    <cfRule type="cellIs" dxfId="1" priority="2" stopIfTrue="1" operator="lessThanOrEqual">
      <formula>0</formula>
    </cfRule>
  </conditionalFormatting>
  <conditionalFormatting sqref="I33">
    <cfRule type="cellIs" dxfId="0" priority="1" stopIfTrue="1" operator="lessThanOrEqual">
      <formula>0</formula>
    </cfRule>
  </conditionalFormatting>
  <printOptions horizontalCentered="1"/>
  <pageMargins left="0.39370078740157483" right="0.39370078740157483" top="0.78740157480314965" bottom="0.59055118110236227" header="0.59055118110236227" footer="0.51181102362204722"/>
  <pageSetup paperSize="9" scale="86" orientation="landscape" horizontalDpi="300" verticalDpi="300" r:id="rId1"/>
  <headerFooter alignWithMargins="0">
    <oddHeader>&amp;C&amp;"Calibri,Negrito itálico"&amp;11Demonstrativo Cálculo - Lucro Presumido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IMPOSTOS</vt:lpstr>
    </vt:vector>
  </TitlesOfParts>
  <Company>Direção Contábil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X</cp:lastModifiedBy>
  <cp:lastPrinted>2009-04-07T11:31:39Z</cp:lastPrinted>
  <dcterms:created xsi:type="dcterms:W3CDTF">2009-04-06T18:30:42Z</dcterms:created>
  <dcterms:modified xsi:type="dcterms:W3CDTF">2018-06-06T21:50:46Z</dcterms:modified>
</cp:coreProperties>
</file>