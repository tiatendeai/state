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ite\Material\Simples\"/>
    </mc:Choice>
  </mc:AlternateContent>
  <bookViews>
    <workbookView xWindow="0" yWindow="0" windowWidth="28800" windowHeight="12585" tabRatio="460"/>
  </bookViews>
  <sheets>
    <sheet name="Orçamento" sheetId="1" r:id="rId1"/>
    <sheet name="Anual" sheetId="2" r:id="rId2"/>
    <sheet name="Para Onde" sheetId="3" r:id="rId3"/>
    <sheet name="Ano" sheetId="7" r:id="rId4"/>
  </sheets>
  <definedNames>
    <definedName name="_Regression_Int" localSheetId="3" hidden="1">1</definedName>
    <definedName name="_xlnm.Print_Area" localSheetId="3">Ano!$A$22:$W$67</definedName>
    <definedName name="_xlnm.Print_Area" localSheetId="0">Orçamento!$B$1:$P$90</definedName>
    <definedName name="DAYINDX">Ano!$Z$87:$AF$87</definedName>
    <definedName name="_xlnm.Print_Titles" localSheetId="0">Orçamento!$1:$11</definedName>
  </definedNames>
  <calcPr calcId="152511"/>
</workbook>
</file>

<file path=xl/calcChain.xml><?xml version="1.0" encoding="utf-8"?>
<calcChain xmlns="http://schemas.openxmlformats.org/spreadsheetml/2006/main">
  <c r="K12" i="1" l="1"/>
  <c r="K86" i="1" s="1"/>
  <c r="J20" i="1"/>
  <c r="J33" i="1"/>
  <c r="I40" i="1"/>
  <c r="G40" i="1"/>
  <c r="H78" i="1"/>
  <c r="E78" i="1"/>
  <c r="D78" i="1"/>
  <c r="D73" i="1"/>
  <c r="D64" i="1"/>
  <c r="D54" i="1"/>
  <c r="D47" i="1"/>
  <c r="D40" i="1"/>
  <c r="D33" i="1"/>
  <c r="D20" i="1"/>
  <c r="D12" i="1"/>
  <c r="D86" i="1" s="1"/>
  <c r="P80" i="1"/>
  <c r="P81" i="1"/>
  <c r="P82" i="1"/>
  <c r="P79" i="1"/>
  <c r="P75" i="1"/>
  <c r="P76" i="1"/>
  <c r="P74" i="1"/>
  <c r="P66" i="1"/>
  <c r="P67" i="1"/>
  <c r="P68" i="1"/>
  <c r="P69" i="1"/>
  <c r="P70" i="1"/>
  <c r="P71" i="1"/>
  <c r="P65" i="1"/>
  <c r="P56" i="1"/>
  <c r="P57" i="1"/>
  <c r="P58" i="1"/>
  <c r="P59" i="1"/>
  <c r="P60" i="1"/>
  <c r="P61" i="1"/>
  <c r="P62" i="1"/>
  <c r="P55" i="1"/>
  <c r="P49" i="1"/>
  <c r="P50" i="1"/>
  <c r="P51" i="1"/>
  <c r="P52" i="1"/>
  <c r="P48" i="1"/>
  <c r="P42" i="1"/>
  <c r="P43" i="1"/>
  <c r="P44" i="1"/>
  <c r="P45" i="1"/>
  <c r="P41" i="1"/>
  <c r="P35" i="1"/>
  <c r="P36" i="1"/>
  <c r="P37" i="1"/>
  <c r="P38" i="1"/>
  <c r="P34" i="1"/>
  <c r="P22" i="1"/>
  <c r="P23" i="1"/>
  <c r="P24" i="1"/>
  <c r="P25" i="1"/>
  <c r="P26" i="1"/>
  <c r="P27" i="1"/>
  <c r="P28" i="1"/>
  <c r="P29" i="1"/>
  <c r="P30" i="1"/>
  <c r="P31" i="1"/>
  <c r="P18" i="1"/>
  <c r="P17" i="1"/>
  <c r="P16" i="1"/>
  <c r="P15" i="1"/>
  <c r="P14" i="1"/>
  <c r="P13" i="1"/>
  <c r="E54" i="1"/>
  <c r="F54" i="1"/>
  <c r="G54" i="1"/>
  <c r="H54" i="1"/>
  <c r="I54" i="1"/>
  <c r="J54" i="1"/>
  <c r="K54" i="1"/>
  <c r="L54" i="1"/>
  <c r="M54" i="1"/>
  <c r="N54" i="1"/>
  <c r="O54" i="1"/>
  <c r="K24" i="7"/>
  <c r="Z88" i="7"/>
  <c r="AE74" i="7" s="1"/>
  <c r="Z75" i="7"/>
  <c r="C98" i="1"/>
  <c r="M12" i="1"/>
  <c r="M86" i="1" s="1"/>
  <c r="N12" i="1"/>
  <c r="N86" i="1" s="1"/>
  <c r="O12" i="1"/>
  <c r="O86" i="1" s="1"/>
  <c r="F78" i="1"/>
  <c r="G78" i="1"/>
  <c r="I78" i="1"/>
  <c r="J78" i="1"/>
  <c r="K78" i="1"/>
  <c r="L78" i="1"/>
  <c r="M78" i="1"/>
  <c r="N78" i="1"/>
  <c r="O78" i="1"/>
  <c r="E73" i="1"/>
  <c r="F73" i="1"/>
  <c r="G73" i="1"/>
  <c r="H73" i="1"/>
  <c r="I73" i="1"/>
  <c r="J73" i="1"/>
  <c r="K73" i="1"/>
  <c r="L73" i="1"/>
  <c r="M73" i="1"/>
  <c r="N73" i="1"/>
  <c r="O73" i="1"/>
  <c r="E64" i="1"/>
  <c r="F64" i="1"/>
  <c r="G64" i="1"/>
  <c r="H64" i="1"/>
  <c r="I64" i="1"/>
  <c r="J64" i="1"/>
  <c r="K64" i="1"/>
  <c r="L64" i="1"/>
  <c r="M64" i="1"/>
  <c r="N64" i="1"/>
  <c r="O64" i="1"/>
  <c r="E47" i="1"/>
  <c r="F47" i="1"/>
  <c r="G47" i="1"/>
  <c r="H47" i="1"/>
  <c r="I47" i="1"/>
  <c r="J47" i="1"/>
  <c r="K47" i="1"/>
  <c r="L47" i="1"/>
  <c r="M47" i="1"/>
  <c r="N47" i="1"/>
  <c r="O47" i="1"/>
  <c r="E40" i="1"/>
  <c r="F40" i="1"/>
  <c r="H40" i="1"/>
  <c r="J40" i="1"/>
  <c r="K40" i="1"/>
  <c r="L40" i="1"/>
  <c r="M40" i="1"/>
  <c r="N40" i="1"/>
  <c r="O40" i="1"/>
  <c r="P21" i="1"/>
  <c r="C102" i="1"/>
  <c r="C101" i="1"/>
  <c r="C100" i="1"/>
  <c r="C99" i="1"/>
  <c r="C97" i="1"/>
  <c r="C96" i="1"/>
  <c r="C95" i="1"/>
  <c r="C94" i="1"/>
  <c r="E20" i="1"/>
  <c r="E33" i="1"/>
  <c r="F20" i="1"/>
  <c r="F33" i="1"/>
  <c r="G20" i="1"/>
  <c r="G33" i="1"/>
  <c r="H20" i="1"/>
  <c r="H33" i="1"/>
  <c r="I20" i="1"/>
  <c r="I33" i="1"/>
  <c r="K20" i="1"/>
  <c r="K33" i="1"/>
  <c r="L20" i="1"/>
  <c r="L33" i="1"/>
  <c r="M20" i="1"/>
  <c r="M33" i="1"/>
  <c r="N20" i="1"/>
  <c r="N33" i="1"/>
  <c r="O20" i="1"/>
  <c r="O33" i="1"/>
  <c r="L12" i="1"/>
  <c r="L86" i="1" s="1"/>
  <c r="J12" i="1"/>
  <c r="J86" i="1" s="1"/>
  <c r="I12" i="1"/>
  <c r="I86" i="1" s="1"/>
  <c r="H12" i="1"/>
  <c r="H86" i="1" s="1"/>
  <c r="G12" i="1"/>
  <c r="G86" i="1" s="1"/>
  <c r="F12" i="1"/>
  <c r="F86" i="1" s="1"/>
  <c r="E12" i="1"/>
  <c r="E86" i="1" s="1"/>
  <c r="H87" i="1" l="1"/>
  <c r="P12" i="1"/>
  <c r="D94" i="1" s="1"/>
  <c r="F87" i="1"/>
  <c r="F88" i="1" s="1"/>
  <c r="P73" i="1"/>
  <c r="D101" i="1" s="1"/>
  <c r="D87" i="1"/>
  <c r="D88" i="1" s="1"/>
  <c r="D89" i="1" s="1"/>
  <c r="J87" i="1"/>
  <c r="J88" i="1" s="1"/>
  <c r="M87" i="1"/>
  <c r="M88" i="1" s="1"/>
  <c r="P47" i="1"/>
  <c r="D98" i="1" s="1"/>
  <c r="P78" i="1"/>
  <c r="D102" i="1" s="1"/>
  <c r="L87" i="1"/>
  <c r="L88" i="1" s="1"/>
  <c r="N87" i="1"/>
  <c r="N88" i="1" s="1"/>
  <c r="P54" i="1"/>
  <c r="D99" i="1" s="1"/>
  <c r="P33" i="1"/>
  <c r="D96" i="1" s="1"/>
  <c r="P64" i="1"/>
  <c r="D100" i="1" s="1"/>
  <c r="H88" i="1"/>
  <c r="O87" i="1"/>
  <c r="O88" i="1" s="1"/>
  <c r="K87" i="1"/>
  <c r="K88" i="1" s="1"/>
  <c r="I87" i="1"/>
  <c r="I88" i="1" s="1"/>
  <c r="G87" i="1"/>
  <c r="G88" i="1" s="1"/>
  <c r="E87" i="1"/>
  <c r="E88" i="1" s="1"/>
  <c r="P20" i="1"/>
  <c r="P40" i="1"/>
  <c r="D97" i="1" s="1"/>
  <c r="AF74" i="7"/>
  <c r="AE75" i="7"/>
  <c r="P86" i="1" l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A31" i="7"/>
  <c r="B31" i="7" s="1"/>
  <c r="C31" i="7" s="1"/>
  <c r="D31" i="7" s="1"/>
  <c r="E31" i="7" s="1"/>
  <c r="F31" i="7" s="1"/>
  <c r="G31" i="7" s="1"/>
  <c r="A32" i="7" s="1"/>
  <c r="B32" i="7" s="1"/>
  <c r="C32" i="7" s="1"/>
  <c r="D32" i="7" s="1"/>
  <c r="E32" i="7" s="1"/>
  <c r="F32" i="7" s="1"/>
  <c r="G32" i="7" s="1"/>
  <c r="A33" i="7" s="1"/>
  <c r="B33" i="7" s="1"/>
  <c r="C33" i="7" s="1"/>
  <c r="D33" i="7" s="1"/>
  <c r="E33" i="7" s="1"/>
  <c r="F33" i="7" s="1"/>
  <c r="G33" i="7" s="1"/>
  <c r="A34" i="7" s="1"/>
  <c r="B34" i="7" s="1"/>
  <c r="C34" i="7" s="1"/>
  <c r="D34" i="7" s="1"/>
  <c r="E34" i="7" s="1"/>
  <c r="F34" i="7" s="1"/>
  <c r="G34" i="7" s="1"/>
  <c r="A35" i="7" s="1"/>
  <c r="AE76" i="7"/>
  <c r="AF75" i="7"/>
  <c r="P87" i="1"/>
  <c r="P88" i="1" s="1"/>
  <c r="D95" i="1"/>
  <c r="P89" i="1" l="1"/>
  <c r="B35" i="7"/>
  <c r="C35" i="7" s="1"/>
  <c r="D35" i="7" s="1"/>
  <c r="E35" i="7" s="1"/>
  <c r="F35" i="7" s="1"/>
  <c r="G35" i="7" s="1"/>
  <c r="A36" i="7" s="1"/>
  <c r="I31" i="7"/>
  <c r="J31" i="7" s="1"/>
  <c r="K31" i="7" s="1"/>
  <c r="L31" i="7" s="1"/>
  <c r="M31" i="7" s="1"/>
  <c r="N31" i="7" s="1"/>
  <c r="O31" i="7" s="1"/>
  <c r="I32" i="7" s="1"/>
  <c r="J32" i="7" s="1"/>
  <c r="K32" i="7" s="1"/>
  <c r="L32" i="7" s="1"/>
  <c r="M32" i="7" s="1"/>
  <c r="N32" i="7" s="1"/>
  <c r="O32" i="7" s="1"/>
  <c r="I33" i="7" s="1"/>
  <c r="J33" i="7" s="1"/>
  <c r="K33" i="7" s="1"/>
  <c r="L33" i="7" s="1"/>
  <c r="M33" i="7" s="1"/>
  <c r="N33" i="7" s="1"/>
  <c r="O33" i="7" s="1"/>
  <c r="I34" i="7" s="1"/>
  <c r="J34" i="7" s="1"/>
  <c r="K34" i="7" s="1"/>
  <c r="L34" i="7" s="1"/>
  <c r="M34" i="7" s="1"/>
  <c r="N34" i="7" s="1"/>
  <c r="O34" i="7" s="1"/>
  <c r="I35" i="7" s="1"/>
  <c r="J35" i="7" s="1"/>
  <c r="K35" i="7" s="1"/>
  <c r="L35" i="7" s="1"/>
  <c r="M35" i="7" s="1"/>
  <c r="N35" i="7" s="1"/>
  <c r="O35" i="7" s="1"/>
  <c r="AF76" i="7"/>
  <c r="AE77" i="7"/>
  <c r="B36" i="7" l="1"/>
  <c r="Q31" i="7"/>
  <c r="R31" i="7"/>
  <c r="S31" i="7" s="1"/>
  <c r="T31" i="7" s="1"/>
  <c r="U31" i="7" s="1"/>
  <c r="V31" i="7" s="1"/>
  <c r="W31" i="7" s="1"/>
  <c r="Q32" i="7" s="1"/>
  <c r="R32" i="7" s="1"/>
  <c r="S32" i="7" s="1"/>
  <c r="T32" i="7" s="1"/>
  <c r="U32" i="7" s="1"/>
  <c r="V32" i="7" s="1"/>
  <c r="W32" i="7" s="1"/>
  <c r="Q33" i="7" s="1"/>
  <c r="R33" i="7" s="1"/>
  <c r="S33" i="7" s="1"/>
  <c r="T33" i="7" s="1"/>
  <c r="U33" i="7" s="1"/>
  <c r="V33" i="7" s="1"/>
  <c r="W33" i="7" s="1"/>
  <c r="Q34" i="7" s="1"/>
  <c r="R34" i="7" s="1"/>
  <c r="S34" i="7" s="1"/>
  <c r="T34" i="7" s="1"/>
  <c r="U34" i="7" s="1"/>
  <c r="V34" i="7" s="1"/>
  <c r="W34" i="7" s="1"/>
  <c r="Q35" i="7" s="1"/>
  <c r="AE78" i="7"/>
  <c r="AF77" i="7"/>
  <c r="R35" i="7" l="1"/>
  <c r="S35" i="7" s="1"/>
  <c r="T35" i="7" s="1"/>
  <c r="U35" i="7" s="1"/>
  <c r="V35" i="7" s="1"/>
  <c r="W35" i="7" s="1"/>
  <c r="Q36" i="7" s="1"/>
  <c r="AF78" i="7"/>
  <c r="AE79" i="7"/>
  <c r="A41" i="7"/>
  <c r="B41" i="7" s="1"/>
  <c r="C41" i="7" s="1"/>
  <c r="D41" i="7" s="1"/>
  <c r="E41" i="7" s="1"/>
  <c r="F41" i="7" s="1"/>
  <c r="G41" i="7" s="1"/>
  <c r="A42" i="7" s="1"/>
  <c r="B42" i="7" s="1"/>
  <c r="C42" i="7" s="1"/>
  <c r="D42" i="7" s="1"/>
  <c r="E42" i="7" s="1"/>
  <c r="F42" i="7" s="1"/>
  <c r="G42" i="7" s="1"/>
  <c r="A43" i="7" s="1"/>
  <c r="B43" i="7" s="1"/>
  <c r="C43" i="7" s="1"/>
  <c r="D43" i="7" s="1"/>
  <c r="E43" i="7" s="1"/>
  <c r="F43" i="7" s="1"/>
  <c r="G43" i="7" s="1"/>
  <c r="A44" i="7" s="1"/>
  <c r="B44" i="7" s="1"/>
  <c r="C44" i="7" s="1"/>
  <c r="D44" i="7" s="1"/>
  <c r="E44" i="7" s="1"/>
  <c r="F44" i="7" s="1"/>
  <c r="G44" i="7" s="1"/>
  <c r="A45" i="7" s="1"/>
  <c r="R36" i="7" l="1"/>
  <c r="B45" i="7"/>
  <c r="C45" i="7" s="1"/>
  <c r="D45" i="7" s="1"/>
  <c r="E45" i="7" s="1"/>
  <c r="F45" i="7" s="1"/>
  <c r="G45" i="7" s="1"/>
  <c r="A46" i="7" s="1"/>
  <c r="AE80" i="7"/>
  <c r="AF79" i="7"/>
  <c r="I41" i="7"/>
  <c r="J41" i="7" s="1"/>
  <c r="K41" i="7" s="1"/>
  <c r="L41" i="7" s="1"/>
  <c r="M41" i="7" s="1"/>
  <c r="N41" i="7" s="1"/>
  <c r="O41" i="7" s="1"/>
  <c r="I42" i="7" s="1"/>
  <c r="J42" i="7" s="1"/>
  <c r="K42" i="7" s="1"/>
  <c r="L42" i="7" s="1"/>
  <c r="M42" i="7" s="1"/>
  <c r="N42" i="7" s="1"/>
  <c r="O42" i="7" s="1"/>
  <c r="I43" i="7" s="1"/>
  <c r="J43" i="7" s="1"/>
  <c r="K43" i="7" s="1"/>
  <c r="L43" i="7" s="1"/>
  <c r="M43" i="7" s="1"/>
  <c r="N43" i="7" s="1"/>
  <c r="O43" i="7" s="1"/>
  <c r="I44" i="7" s="1"/>
  <c r="J44" i="7" s="1"/>
  <c r="K44" i="7" s="1"/>
  <c r="L44" i="7" s="1"/>
  <c r="M44" i="7" s="1"/>
  <c r="N44" i="7" s="1"/>
  <c r="O44" i="7" s="1"/>
  <c r="I45" i="7" s="1"/>
  <c r="J45" i="7" s="1"/>
  <c r="K45" i="7" s="1"/>
  <c r="L45" i="7" s="1"/>
  <c r="M45" i="7" s="1"/>
  <c r="N45" i="7" s="1"/>
  <c r="O45" i="7" s="1"/>
  <c r="I46" i="7" s="1"/>
  <c r="J46" i="7" s="1"/>
  <c r="B46" i="7" l="1"/>
  <c r="Q41" i="7"/>
  <c r="R41" i="7" s="1"/>
  <c r="S41" i="7" s="1"/>
  <c r="T41" i="7" s="1"/>
  <c r="U41" i="7" s="1"/>
  <c r="V41" i="7" s="1"/>
  <c r="W41" i="7" s="1"/>
  <c r="Q42" i="7" s="1"/>
  <c r="R42" i="7" s="1"/>
  <c r="S42" i="7" s="1"/>
  <c r="T42" i="7" s="1"/>
  <c r="U42" i="7" s="1"/>
  <c r="V42" i="7" s="1"/>
  <c r="W42" i="7" s="1"/>
  <c r="Q43" i="7" s="1"/>
  <c r="R43" i="7" s="1"/>
  <c r="S43" i="7" s="1"/>
  <c r="T43" i="7" s="1"/>
  <c r="U43" i="7" s="1"/>
  <c r="V43" i="7" s="1"/>
  <c r="W43" i="7" s="1"/>
  <c r="Q44" i="7" s="1"/>
  <c r="R44" i="7" s="1"/>
  <c r="S44" i="7" s="1"/>
  <c r="T44" i="7" s="1"/>
  <c r="U44" i="7" s="1"/>
  <c r="V44" i="7" s="1"/>
  <c r="W44" i="7" s="1"/>
  <c r="Q45" i="7" s="1"/>
  <c r="AF80" i="7"/>
  <c r="AE81" i="7"/>
  <c r="R45" i="7" l="1"/>
  <c r="S45" i="7" s="1"/>
  <c r="T45" i="7" s="1"/>
  <c r="U45" i="7" s="1"/>
  <c r="V45" i="7" s="1"/>
  <c r="W45" i="7" s="1"/>
  <c r="Q46" i="7" s="1"/>
  <c r="A51" i="7"/>
  <c r="B51" i="7" s="1"/>
  <c r="C51" i="7" s="1"/>
  <c r="D51" i="7" s="1"/>
  <c r="E51" i="7" s="1"/>
  <c r="F51" i="7" s="1"/>
  <c r="G51" i="7" s="1"/>
  <c r="A52" i="7" s="1"/>
  <c r="B52" i="7" s="1"/>
  <c r="C52" i="7" s="1"/>
  <c r="D52" i="7" s="1"/>
  <c r="E52" i="7" s="1"/>
  <c r="F52" i="7" s="1"/>
  <c r="G52" i="7" s="1"/>
  <c r="A53" i="7" s="1"/>
  <c r="B53" i="7" s="1"/>
  <c r="C53" i="7" s="1"/>
  <c r="D53" i="7" s="1"/>
  <c r="E53" i="7" s="1"/>
  <c r="F53" i="7" s="1"/>
  <c r="G53" i="7" s="1"/>
  <c r="A54" i="7" s="1"/>
  <c r="B54" i="7" s="1"/>
  <c r="C54" i="7" s="1"/>
  <c r="D54" i="7" s="1"/>
  <c r="E54" i="7" s="1"/>
  <c r="F54" i="7" s="1"/>
  <c r="G54" i="7" s="1"/>
  <c r="A55" i="7" s="1"/>
  <c r="AF81" i="7"/>
  <c r="AE82" i="7"/>
  <c r="R46" i="7" l="1"/>
  <c r="B55" i="7"/>
  <c r="C55" i="7" s="1"/>
  <c r="D55" i="7" s="1"/>
  <c r="E55" i="7" s="1"/>
  <c r="F55" i="7" s="1"/>
  <c r="G55" i="7" s="1"/>
  <c r="A56" i="7" s="1"/>
  <c r="I51" i="7"/>
  <c r="J51" i="7" s="1"/>
  <c r="K51" i="7" s="1"/>
  <c r="L51" i="7" s="1"/>
  <c r="M51" i="7" s="1"/>
  <c r="N51" i="7" s="1"/>
  <c r="O51" i="7" s="1"/>
  <c r="I52" i="7" s="1"/>
  <c r="J52" i="7" s="1"/>
  <c r="K52" i="7" s="1"/>
  <c r="L52" i="7" s="1"/>
  <c r="M52" i="7" s="1"/>
  <c r="N52" i="7" s="1"/>
  <c r="O52" i="7" s="1"/>
  <c r="I53" i="7" s="1"/>
  <c r="J53" i="7" s="1"/>
  <c r="K53" i="7" s="1"/>
  <c r="L53" i="7" s="1"/>
  <c r="M53" i="7" s="1"/>
  <c r="N53" i="7" s="1"/>
  <c r="O53" i="7" s="1"/>
  <c r="I54" i="7" s="1"/>
  <c r="J54" i="7" s="1"/>
  <c r="K54" i="7" s="1"/>
  <c r="L54" i="7" s="1"/>
  <c r="M54" i="7" s="1"/>
  <c r="N54" i="7" s="1"/>
  <c r="O54" i="7" s="1"/>
  <c r="I55" i="7" s="1"/>
  <c r="J55" i="7" s="1"/>
  <c r="K55" i="7" s="1"/>
  <c r="L55" i="7" s="1"/>
  <c r="M55" i="7" s="1"/>
  <c r="N55" i="7" s="1"/>
  <c r="O55" i="7" s="1"/>
  <c r="I56" i="7" s="1"/>
  <c r="J56" i="7" s="1"/>
  <c r="AF82" i="7"/>
  <c r="AE83" i="7"/>
  <c r="B56" i="7" l="1"/>
  <c r="Q51" i="7"/>
  <c r="R51" i="7" s="1"/>
  <c r="S51" i="7" s="1"/>
  <c r="T51" i="7" s="1"/>
  <c r="U51" i="7" s="1"/>
  <c r="V51" i="7" s="1"/>
  <c r="W51" i="7" s="1"/>
  <c r="Q52" i="7" s="1"/>
  <c r="R52" i="7" s="1"/>
  <c r="S52" i="7" s="1"/>
  <c r="T52" i="7" s="1"/>
  <c r="U52" i="7" s="1"/>
  <c r="V52" i="7" s="1"/>
  <c r="W52" i="7" s="1"/>
  <c r="Q53" i="7" s="1"/>
  <c r="R53" i="7" s="1"/>
  <c r="S53" i="7" s="1"/>
  <c r="T53" i="7" s="1"/>
  <c r="U53" i="7" s="1"/>
  <c r="V53" i="7" s="1"/>
  <c r="W53" i="7" s="1"/>
  <c r="Q54" i="7" s="1"/>
  <c r="R54" i="7" s="1"/>
  <c r="S54" i="7" s="1"/>
  <c r="T54" i="7" s="1"/>
  <c r="U54" i="7" s="1"/>
  <c r="V54" i="7" s="1"/>
  <c r="W54" i="7" s="1"/>
  <c r="Q55" i="7" s="1"/>
  <c r="AE84" i="7"/>
  <c r="AF83" i="7"/>
  <c r="R55" i="7" l="1"/>
  <c r="S55" i="7" s="1"/>
  <c r="T55" i="7" s="1"/>
  <c r="U55" i="7" s="1"/>
  <c r="V55" i="7" s="1"/>
  <c r="W55" i="7" s="1"/>
  <c r="Q56" i="7" s="1"/>
  <c r="AF84" i="7"/>
  <c r="AE85" i="7"/>
  <c r="AF85" i="7" s="1"/>
  <c r="A61" i="7"/>
  <c r="B61" i="7" s="1"/>
  <c r="C61" i="7" s="1"/>
  <c r="D61" i="7" s="1"/>
  <c r="E61" i="7" s="1"/>
  <c r="F61" i="7" s="1"/>
  <c r="G61" i="7" s="1"/>
  <c r="A62" i="7" s="1"/>
  <c r="B62" i="7" s="1"/>
  <c r="C62" i="7" s="1"/>
  <c r="D62" i="7" s="1"/>
  <c r="E62" i="7" s="1"/>
  <c r="F62" i="7" s="1"/>
  <c r="G62" i="7" s="1"/>
  <c r="A63" i="7" s="1"/>
  <c r="B63" i="7" s="1"/>
  <c r="C63" i="7" s="1"/>
  <c r="D63" i="7" s="1"/>
  <c r="E63" i="7" s="1"/>
  <c r="F63" i="7" s="1"/>
  <c r="G63" i="7" s="1"/>
  <c r="A64" i="7" s="1"/>
  <c r="B64" i="7" s="1"/>
  <c r="C64" i="7" s="1"/>
  <c r="D64" i="7" s="1"/>
  <c r="E64" i="7" s="1"/>
  <c r="F64" i="7" s="1"/>
  <c r="G64" i="7" s="1"/>
  <c r="A65" i="7" s="1"/>
  <c r="B65" i="7" l="1"/>
  <c r="C65" i="7" s="1"/>
  <c r="D65" i="7" s="1"/>
  <c r="E65" i="7" s="1"/>
  <c r="F65" i="7" s="1"/>
  <c r="G65" i="7" s="1"/>
  <c r="A66" i="7" s="1"/>
  <c r="Q61" i="7"/>
  <c r="R61" i="7" s="1"/>
  <c r="S61" i="7" s="1"/>
  <c r="T61" i="7" s="1"/>
  <c r="U61" i="7" s="1"/>
  <c r="V61" i="7" s="1"/>
  <c r="W61" i="7" s="1"/>
  <c r="Q62" i="7" s="1"/>
  <c r="R62" i="7" s="1"/>
  <c r="S62" i="7" s="1"/>
  <c r="T62" i="7" s="1"/>
  <c r="U62" i="7" s="1"/>
  <c r="V62" i="7" s="1"/>
  <c r="W62" i="7" s="1"/>
  <c r="Q63" i="7" s="1"/>
  <c r="R63" i="7" s="1"/>
  <c r="S63" i="7" s="1"/>
  <c r="T63" i="7" s="1"/>
  <c r="U63" i="7" s="1"/>
  <c r="V63" i="7" s="1"/>
  <c r="W63" i="7" s="1"/>
  <c r="Q64" i="7" s="1"/>
  <c r="R64" i="7" s="1"/>
  <c r="S64" i="7" s="1"/>
  <c r="T64" i="7" s="1"/>
  <c r="U64" i="7" s="1"/>
  <c r="V64" i="7" s="1"/>
  <c r="W64" i="7" s="1"/>
  <c r="Q65" i="7" s="1"/>
  <c r="I61" i="7"/>
  <c r="J61" i="7" s="1"/>
  <c r="K61" i="7" s="1"/>
  <c r="L61" i="7" s="1"/>
  <c r="M61" i="7" s="1"/>
  <c r="N61" i="7" s="1"/>
  <c r="O61" i="7" s="1"/>
  <c r="I62" i="7" s="1"/>
  <c r="J62" i="7" s="1"/>
  <c r="K62" i="7" s="1"/>
  <c r="L62" i="7" s="1"/>
  <c r="M62" i="7" s="1"/>
  <c r="N62" i="7" s="1"/>
  <c r="O62" i="7" s="1"/>
  <c r="I63" i="7" s="1"/>
  <c r="J63" i="7" s="1"/>
  <c r="K63" i="7" s="1"/>
  <c r="L63" i="7" s="1"/>
  <c r="M63" i="7" s="1"/>
  <c r="N63" i="7" s="1"/>
  <c r="O63" i="7" s="1"/>
  <c r="I64" i="7" s="1"/>
  <c r="J64" i="7" s="1"/>
  <c r="K64" i="7" s="1"/>
  <c r="L64" i="7" s="1"/>
  <c r="M64" i="7" s="1"/>
  <c r="N64" i="7" s="1"/>
  <c r="O64" i="7" s="1"/>
  <c r="I65" i="7" s="1"/>
  <c r="J65" i="7" s="1"/>
  <c r="K65" i="7" s="1"/>
  <c r="L65" i="7" s="1"/>
  <c r="M65" i="7" s="1"/>
  <c r="N65" i="7" s="1"/>
  <c r="O65" i="7" s="1"/>
  <c r="I66" i="7" s="1"/>
  <c r="J66" i="7" s="1"/>
  <c r="R56" i="7"/>
  <c r="B66" i="7" l="1"/>
  <c r="R65" i="7"/>
  <c r="S65" i="7" s="1"/>
  <c r="T65" i="7" s="1"/>
  <c r="U65" i="7" s="1"/>
  <c r="V65" i="7" s="1"/>
  <c r="W65" i="7" s="1"/>
  <c r="Q66" i="7" s="1"/>
  <c r="R66" i="7" l="1"/>
</calcChain>
</file>

<file path=xl/comments1.xml><?xml version="1.0" encoding="utf-8"?>
<comments xmlns="http://schemas.openxmlformats.org/spreadsheetml/2006/main">
  <authors>
    <author>User</author>
  </authors>
  <commentList>
    <comment ref="F2" authorId="0" shapeId="0">
      <text>
        <r>
          <rPr>
            <sz val="9"/>
            <color indexed="81"/>
            <rFont val="Segoe UI"/>
            <family val="2"/>
          </rPr>
          <t>Para liberar a planilha será necessária uma doação, consulte desbloqueio de Planilhas Simples</t>
        </r>
      </text>
    </comment>
  </commentList>
</comments>
</file>

<file path=xl/sharedStrings.xml><?xml version="1.0" encoding="utf-8"?>
<sst xmlns="http://schemas.openxmlformats.org/spreadsheetml/2006/main" count="212" uniqueCount="112">
  <si>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</si>
  <si>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</si>
  <si>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</si>
  <si>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</si>
  <si>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</si>
  <si>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</si>
  <si>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</si>
  <si>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</si>
  <si>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</si>
  <si>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</si>
  <si>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</si>
  <si>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</si>
  <si>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</si>
  <si>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Salários</t>
  </si>
  <si>
    <t>13º. Salário</t>
  </si>
  <si>
    <t>Férias</t>
  </si>
  <si>
    <t>Outros</t>
  </si>
  <si>
    <t>HABITAÇÃO</t>
  </si>
  <si>
    <t>Aluguel/Prestação</t>
  </si>
  <si>
    <t>Condomínio</t>
  </si>
  <si>
    <t>IPTU</t>
  </si>
  <si>
    <t>Luz</t>
  </si>
  <si>
    <t>Telefones</t>
  </si>
  <si>
    <t>TV por Assinatura</t>
  </si>
  <si>
    <t>Supermercado</t>
  </si>
  <si>
    <t>Empregada</t>
  </si>
  <si>
    <t>Reformas/Consertos</t>
  </si>
  <si>
    <t>SAÚDE</t>
  </si>
  <si>
    <t>Plano de Saúde</t>
  </si>
  <si>
    <t>Médico</t>
  </si>
  <si>
    <t>Dentista</t>
  </si>
  <si>
    <t>Medicamentos</t>
  </si>
  <si>
    <t>TRANSPORTE</t>
  </si>
  <si>
    <t>Táxi</t>
  </si>
  <si>
    <t>DESPESAS PESSOAIS</t>
  </si>
  <si>
    <t>Higiene Pessoal</t>
  </si>
  <si>
    <t>Vestuário</t>
  </si>
  <si>
    <t>Telefone Celular</t>
  </si>
  <si>
    <t>LAZER</t>
  </si>
  <si>
    <t>Livraria</t>
  </si>
  <si>
    <t>Locadora de Vídeo</t>
  </si>
  <si>
    <t>CDs, Fitas, acessórios</t>
  </si>
  <si>
    <t>Passeios</t>
  </si>
  <si>
    <t>CARTÕES DE CRÉDITO</t>
  </si>
  <si>
    <t>MasterCard</t>
  </si>
  <si>
    <t>Visa</t>
  </si>
  <si>
    <t>TOTAIS</t>
  </si>
  <si>
    <t>Rendimentos</t>
  </si>
  <si>
    <t>Gastos</t>
  </si>
  <si>
    <t>Saldo do Mês</t>
  </si>
  <si>
    <t>Saldo Acumulado</t>
  </si>
  <si>
    <t>RESUMO PARA O GRÁFICO</t>
  </si>
  <si>
    <t>NÃO APAGUE ESTA ÁREA</t>
  </si>
  <si>
    <r>
      <t xml:space="preserve">Digite aqui o ano desejado </t>
    </r>
    <r>
      <rPr>
        <sz val="10"/>
        <rFont val="Wingdings"/>
        <charset val="2"/>
      </rPr>
      <t>è</t>
    </r>
  </si>
  <si>
    <t>JANEIRO</t>
  </si>
  <si>
    <t>FEVEREIRO</t>
  </si>
  <si>
    <t>MARÇO</t>
  </si>
  <si>
    <t>D</t>
  </si>
  <si>
    <t>S</t>
  </si>
  <si>
    <t>T</t>
  </si>
  <si>
    <t>Q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</si>
  <si>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</si>
  <si>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</si>
  <si>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</si>
  <si>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</si>
  <si>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</si>
  <si>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</si>
  <si>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</si>
  <si>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</si>
  <si>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</si>
  <si>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CALENDAR TABLES AND FORMULAS</t>
  </si>
  <si>
    <t>DO NOT ERASE OR DELETE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</si>
  <si>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</si>
  <si>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</si>
  <si>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</si>
  <si>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</si>
  <si>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</si>
  <si>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</si>
  <si>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</si>
  <si>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</si>
  <si>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</si>
  <si>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</si>
  <si>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</si>
  <si>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</si>
  <si>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DOW TABLE</t>
  </si>
  <si>
    <t>YEAR CALC</t>
  </si>
  <si>
    <t>Banco do Brasil</t>
  </si>
  <si>
    <t>Banco Bradesco</t>
  </si>
  <si>
    <t>Credicard</t>
  </si>
  <si>
    <t>Comida/Lanches</t>
  </si>
  <si>
    <t>Assiduidade</t>
  </si>
  <si>
    <t>Cinema</t>
  </si>
  <si>
    <t>EDUCAÇÃO</t>
  </si>
  <si>
    <t>Livros</t>
  </si>
  <si>
    <t>Carro</t>
  </si>
  <si>
    <t>Gasolina</t>
  </si>
  <si>
    <t>RENDA Pessoal/Familiar</t>
  </si>
  <si>
    <t>Presentes</t>
  </si>
  <si>
    <t>EMPRÉSTIMOS</t>
  </si>
  <si>
    <t>Gás</t>
  </si>
  <si>
    <t>Pizzaria/Bares/Boates</t>
  </si>
  <si>
    <t>Ap.Tecnológica</t>
  </si>
  <si>
    <t>Vale Transporte</t>
  </si>
  <si>
    <t>Ônibus</t>
  </si>
  <si>
    <t>Faculdade</t>
  </si>
  <si>
    <t>Escola</t>
  </si>
  <si>
    <t>Material Escola</t>
  </si>
  <si>
    <t>Contas</t>
  </si>
  <si>
    <t>Banco Caixa Econômica</t>
  </si>
  <si>
    <t>PLANILHA DE ORÇAMENTO DOMÉSTICO</t>
  </si>
  <si>
    <t>Aviso de Desbloqueio</t>
  </si>
  <si>
    <t xml:space="preserve">           Função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</si>
</sst>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0_);[Red]_(* \(#,##0.00\);_(* &quot;-&quot;??_);_(@_)"/>
    <numFmt numFmtId="166" formatCode="mm/dd/yy_)"/>
    <numFmt numFmtId="167" formatCode="General_)"/>
  </numFmts>
  <fonts count="2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Wingdings"/>
      <charset val="2"/>
    </font>
    <font>
      <b/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0"/>
      <name val="Helv"/>
    </font>
    <font>
      <b/>
      <sz val="13"/>
      <name val="Arial"/>
      <family val="2"/>
    </font>
    <font>
      <b/>
      <sz val="10"/>
      <color indexed="10"/>
      <name val="Arial"/>
      <family val="2"/>
    </font>
    <font>
      <b/>
      <sz val="24"/>
      <color indexed="10"/>
      <name val="Arial"/>
      <family val="2"/>
    </font>
    <font>
      <sz val="14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20"/>
      <name val="Arial"/>
      <family val="2"/>
    </font>
    <font>
      <b/>
      <sz val="18"/>
      <name val="Arial"/>
      <family val="2"/>
    </font>
    <font>
      <u/>
      <sz val="9.6999999999999993"/>
      <color theme="10"/>
      <name val="Arial"/>
      <family val="2"/>
    </font>
    <font>
      <sz val="9"/>
      <color indexed="81"/>
      <name val="Segoe UI"/>
      <family val="2"/>
    </font>
    <font>
      <sz val="10"/>
      <color theme="0" tint="-0.249977111117893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</patternFill>
    </fill>
    <fill>
      <patternFill patternType="solid">
        <fgColor indexed="13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37" fontId="7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5" fillId="0" borderId="0" xfId="3" applyFont="1" applyFill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1" xfId="0" applyBorder="1"/>
    <xf numFmtId="164" fontId="0" fillId="0" borderId="0" xfId="0" applyNumberFormat="1"/>
    <xf numFmtId="0" fontId="0" fillId="0" borderId="0" xfId="0" applyFill="1"/>
    <xf numFmtId="0" fontId="0" fillId="0" borderId="0" xfId="0" applyFill="1" applyBorder="1"/>
    <xf numFmtId="164" fontId="0" fillId="0" borderId="0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1" fillId="2" borderId="5" xfId="1" applyFill="1" applyBorder="1"/>
    <xf numFmtId="0" fontId="1" fillId="2" borderId="6" xfId="1" applyFill="1" applyBorder="1"/>
    <xf numFmtId="164" fontId="1" fillId="2" borderId="6" xfId="1" applyNumberFormat="1" applyFill="1" applyBorder="1"/>
    <xf numFmtId="164" fontId="1" fillId="2" borderId="7" xfId="1" applyNumberFormat="1" applyFill="1" applyBorder="1"/>
    <xf numFmtId="0" fontId="5" fillId="0" borderId="0" xfId="0" applyFont="1" applyBorder="1" applyAlignment="1">
      <alignment horizontal="center"/>
    </xf>
    <xf numFmtId="0" fontId="5" fillId="2" borderId="8" xfId="0" applyFont="1" applyFill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5" fillId="3" borderId="12" xfId="0" applyFont="1" applyFill="1" applyBorder="1"/>
    <xf numFmtId="0" fontId="5" fillId="4" borderId="13" xfId="0" applyFont="1" applyFill="1" applyBorder="1"/>
    <xf numFmtId="0" fontId="5" fillId="5" borderId="13" xfId="0" applyFont="1" applyFill="1" applyBorder="1"/>
    <xf numFmtId="164" fontId="1" fillId="2" borderId="14" xfId="0" applyNumberFormat="1" applyFont="1" applyFill="1" applyBorder="1"/>
    <xf numFmtId="164" fontId="1" fillId="2" borderId="15" xfId="0" applyNumberFormat="1" applyFont="1" applyFill="1" applyBorder="1"/>
    <xf numFmtId="165" fontId="1" fillId="2" borderId="16" xfId="0" applyNumberFormat="1" applyFont="1" applyFill="1" applyBorder="1"/>
    <xf numFmtId="165" fontId="1" fillId="2" borderId="17" xfId="0" applyNumberFormat="1" applyFont="1" applyFill="1" applyBorder="1"/>
    <xf numFmtId="165" fontId="1" fillId="2" borderId="18" xfId="0" applyNumberFormat="1" applyFont="1" applyFill="1" applyBorder="1"/>
    <xf numFmtId="37" fontId="8" fillId="0" borderId="0" xfId="2" applyFont="1" applyAlignment="1" applyProtection="1">
      <alignment horizontal="centerContinuous"/>
    </xf>
    <xf numFmtId="37" fontId="2" fillId="0" borderId="0" xfId="2" applyFont="1" applyAlignment="1">
      <alignment horizontal="centerContinuous"/>
    </xf>
    <xf numFmtId="37" fontId="2" fillId="0" borderId="0" xfId="2" applyFont="1" applyAlignment="1"/>
    <xf numFmtId="37" fontId="2" fillId="0" borderId="0" xfId="2" applyFont="1"/>
    <xf numFmtId="37" fontId="9" fillId="0" borderId="0" xfId="2" applyFont="1" applyAlignment="1" applyProtection="1">
      <alignment horizontal="centerContinuous"/>
    </xf>
    <xf numFmtId="37" fontId="2" fillId="0" borderId="0" xfId="2" applyFont="1" applyAlignment="1" applyProtection="1">
      <alignment horizontal="left"/>
    </xf>
    <xf numFmtId="37" fontId="2" fillId="0" borderId="0" xfId="2" applyFont="1" applyAlignment="1" applyProtection="1">
      <alignment horizontal="centerContinuous"/>
    </xf>
    <xf numFmtId="37" fontId="7" fillId="0" borderId="0" xfId="2"/>
    <xf numFmtId="37" fontId="2" fillId="6" borderId="0" xfId="2" applyFont="1" applyFill="1"/>
    <xf numFmtId="37" fontId="2" fillId="6" borderId="0" xfId="2" applyFont="1" applyFill="1" applyAlignment="1">
      <alignment horizontal="right"/>
    </xf>
    <xf numFmtId="37" fontId="4" fillId="6" borderId="19" xfId="2" applyFont="1" applyFill="1" applyBorder="1" applyProtection="1">
      <protection locked="0"/>
    </xf>
    <xf numFmtId="37" fontId="7" fillId="6" borderId="0" xfId="2" applyFill="1"/>
    <xf numFmtId="37" fontId="10" fillId="0" borderId="0" xfId="2" applyFont="1" applyProtection="1"/>
    <xf numFmtId="37" fontId="11" fillId="0" borderId="0" xfId="2" applyFont="1" applyAlignment="1" applyProtection="1">
      <alignment horizontal="centerContinuous"/>
      <protection locked="0"/>
    </xf>
    <xf numFmtId="37" fontId="12" fillId="7" borderId="5" xfId="2" applyFont="1" applyFill="1" applyBorder="1" applyAlignment="1" applyProtection="1">
      <alignment horizontal="centerContinuous"/>
    </xf>
    <xf numFmtId="37" fontId="13" fillId="7" borderId="6" xfId="2" applyFont="1" applyFill="1" applyBorder="1" applyAlignment="1">
      <alignment horizontal="centerContinuous"/>
    </xf>
    <xf numFmtId="37" fontId="12" fillId="7" borderId="6" xfId="2" applyFont="1" applyFill="1" applyBorder="1" applyAlignment="1">
      <alignment horizontal="centerContinuous"/>
    </xf>
    <xf numFmtId="37" fontId="13" fillId="7" borderId="7" xfId="2" applyFont="1" applyFill="1" applyBorder="1" applyAlignment="1">
      <alignment horizontal="centerContinuous"/>
    </xf>
    <xf numFmtId="37" fontId="13" fillId="0" borderId="0" xfId="2" applyFont="1"/>
    <xf numFmtId="37" fontId="5" fillId="0" borderId="3" xfId="2" applyFont="1" applyBorder="1" applyAlignment="1" applyProtection="1">
      <alignment horizontal="center"/>
    </xf>
    <xf numFmtId="37" fontId="5" fillId="0" borderId="4" xfId="2" applyFont="1" applyBorder="1" applyAlignment="1" applyProtection="1">
      <alignment horizontal="center"/>
    </xf>
    <xf numFmtId="37" fontId="5" fillId="0" borderId="15" xfId="2" applyFont="1" applyBorder="1" applyAlignment="1" applyProtection="1">
      <alignment horizontal="center"/>
    </xf>
    <xf numFmtId="37" fontId="14" fillId="0" borderId="12" xfId="2" applyFont="1" applyBorder="1" applyProtection="1"/>
    <xf numFmtId="37" fontId="2" fillId="0" borderId="9" xfId="2" applyFont="1" applyBorder="1" applyProtection="1"/>
    <xf numFmtId="37" fontId="14" fillId="0" borderId="16" xfId="2" applyFont="1" applyBorder="1" applyProtection="1"/>
    <xf numFmtId="37" fontId="14" fillId="0" borderId="13" xfId="2" applyFont="1" applyBorder="1" applyProtection="1"/>
    <xf numFmtId="37" fontId="2" fillId="0" borderId="10" xfId="2" applyFont="1" applyBorder="1" applyProtection="1"/>
    <xf numFmtId="37" fontId="14" fillId="0" borderId="17" xfId="2" applyFont="1" applyBorder="1" applyProtection="1"/>
    <xf numFmtId="37" fontId="14" fillId="0" borderId="8" xfId="2" applyFont="1" applyBorder="1" applyProtection="1"/>
    <xf numFmtId="37" fontId="2" fillId="0" borderId="11" xfId="2" applyFont="1" applyBorder="1" applyProtection="1"/>
    <xf numFmtId="37" fontId="2" fillId="0" borderId="11" xfId="2" applyFont="1" applyBorder="1"/>
    <xf numFmtId="37" fontId="14" fillId="0" borderId="18" xfId="2" applyFont="1" applyBorder="1"/>
    <xf numFmtId="37" fontId="14" fillId="0" borderId="8" xfId="2" applyFont="1" applyBorder="1"/>
    <xf numFmtId="37" fontId="15" fillId="0" borderId="9" xfId="2" applyFont="1" applyBorder="1" applyProtection="1"/>
    <xf numFmtId="37" fontId="15" fillId="0" borderId="10" xfId="2" applyFont="1" applyBorder="1" applyProtection="1"/>
    <xf numFmtId="37" fontId="15" fillId="0" borderId="11" xfId="2" applyFont="1" applyBorder="1" applyProtection="1"/>
    <xf numFmtId="37" fontId="16" fillId="8" borderId="20" xfId="2" applyFont="1" applyFill="1" applyBorder="1" applyAlignment="1" applyProtection="1">
      <alignment horizontal="centerContinuous"/>
    </xf>
    <xf numFmtId="37" fontId="2" fillId="8" borderId="21" xfId="2" applyFont="1" applyFill="1" applyBorder="1" applyAlignment="1">
      <alignment horizontal="centerContinuous"/>
    </xf>
    <xf numFmtId="37" fontId="2" fillId="8" borderId="22" xfId="2" applyFont="1" applyFill="1" applyBorder="1" applyAlignment="1">
      <alignment horizontal="centerContinuous"/>
    </xf>
    <xf numFmtId="37" fontId="17" fillId="8" borderId="23" xfId="2" applyFont="1" applyFill="1" applyBorder="1" applyAlignment="1" applyProtection="1">
      <alignment horizontal="centerContinuous"/>
    </xf>
    <xf numFmtId="37" fontId="2" fillId="8" borderId="0" xfId="2" applyFont="1" applyFill="1" applyAlignment="1">
      <alignment horizontal="centerContinuous"/>
    </xf>
    <xf numFmtId="37" fontId="2" fillId="8" borderId="24" xfId="2" applyFont="1" applyFill="1" applyBorder="1" applyAlignment="1">
      <alignment horizontal="centerContinuous"/>
    </xf>
    <xf numFmtId="37" fontId="2" fillId="8" borderId="23" xfId="2" applyFont="1" applyFill="1" applyBorder="1" applyProtection="1"/>
    <xf numFmtId="37" fontId="2" fillId="8" borderId="0" xfId="2" applyFont="1" applyFill="1" applyProtection="1"/>
    <xf numFmtId="37" fontId="2" fillId="8" borderId="0" xfId="2" applyFont="1" applyFill="1" applyAlignment="1" applyProtection="1">
      <alignment horizontal="left"/>
    </xf>
    <xf numFmtId="37" fontId="2" fillId="8" borderId="0" xfId="2" applyFont="1" applyFill="1"/>
    <xf numFmtId="166" fontId="2" fillId="8" borderId="0" xfId="2" applyNumberFormat="1" applyFont="1" applyFill="1" applyProtection="1"/>
    <xf numFmtId="37" fontId="2" fillId="8" borderId="24" xfId="2" applyFont="1" applyFill="1" applyBorder="1"/>
    <xf numFmtId="37" fontId="2" fillId="8" borderId="23" xfId="2" applyFont="1" applyFill="1" applyBorder="1"/>
    <xf numFmtId="37" fontId="2" fillId="8" borderId="23" xfId="2" applyFont="1" applyFill="1" applyBorder="1" applyAlignment="1" applyProtection="1">
      <alignment horizontal="left"/>
    </xf>
    <xf numFmtId="167" fontId="2" fillId="8" borderId="0" xfId="2" applyNumberFormat="1" applyFont="1" applyFill="1" applyProtection="1"/>
    <xf numFmtId="37" fontId="2" fillId="8" borderId="25" xfId="2" applyFont="1" applyFill="1" applyBorder="1" applyAlignment="1" applyProtection="1">
      <alignment horizontal="left"/>
    </xf>
    <xf numFmtId="167" fontId="2" fillId="8" borderId="26" xfId="2" applyNumberFormat="1" applyFont="1" applyFill="1" applyBorder="1" applyProtection="1"/>
    <xf numFmtId="37" fontId="2" fillId="8" borderId="26" xfId="2" applyFont="1" applyFill="1" applyBorder="1"/>
    <xf numFmtId="37" fontId="2" fillId="8" borderId="27" xfId="2" applyFont="1" applyFill="1" applyBorder="1"/>
    <xf numFmtId="0" fontId="1" fillId="2" borderId="5" xfId="1" applyFont="1" applyFill="1" applyBorder="1"/>
    <xf numFmtId="164" fontId="0" fillId="0" borderId="1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0" fontId="18" fillId="9" borderId="0" xfId="0" applyFont="1" applyFill="1"/>
    <xf numFmtId="0" fontId="19" fillId="0" borderId="19" xfId="0" applyFont="1" applyBorder="1"/>
    <xf numFmtId="164" fontId="0" fillId="0" borderId="19" xfId="0" applyNumberFormat="1" applyBorder="1"/>
    <xf numFmtId="0" fontId="2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8" fillId="2" borderId="5" xfId="1" applyFont="1" applyFill="1" applyBorder="1"/>
    <xf numFmtId="0" fontId="18" fillId="2" borderId="6" xfId="1" applyFont="1" applyFill="1" applyBorder="1"/>
    <xf numFmtId="164" fontId="18" fillId="2" borderId="6" xfId="1" applyNumberFormat="1" applyFont="1" applyFill="1" applyBorder="1"/>
    <xf numFmtId="164" fontId="18" fillId="2" borderId="7" xfId="1" applyNumberFormat="1" applyFont="1" applyFill="1" applyBorder="1"/>
    <xf numFmtId="0" fontId="18" fillId="0" borderId="0" xfId="0" applyFont="1"/>
    <xf numFmtId="0" fontId="5" fillId="0" borderId="0" xfId="0" applyFont="1"/>
    <xf numFmtId="0" fontId="0" fillId="0" borderId="28" xfId="0" applyFill="1" applyBorder="1"/>
    <xf numFmtId="164" fontId="0" fillId="0" borderId="28" xfId="0" applyNumberFormat="1" applyBorder="1" applyProtection="1">
      <protection locked="0"/>
    </xf>
    <xf numFmtId="0" fontId="15" fillId="0" borderId="1" xfId="0" applyFont="1" applyBorder="1"/>
    <xf numFmtId="0" fontId="22" fillId="0" borderId="0" xfId="3" applyAlignment="1" applyProtection="1"/>
    <xf numFmtId="0" fontId="0" fillId="0" borderId="0" xfId="0" applyAlignment="1" applyProtection="1"/>
    <xf numFmtId="0" fontId="21" fillId="0" borderId="0" xfId="0" applyFont="1" applyBorder="1" applyAlignment="1">
      <alignment vertical="center"/>
    </xf>
    <xf numFmtId="0" fontId="24" fillId="0" borderId="0" xfId="0" applyFont="1"/>
  </cellXfs>
  <cellStyles count="4">
    <cellStyle name="Hiperlink" xfId="3" builtinId="8"/>
    <cellStyle name="NívelLinha_1" xfId="1" builtinId="1" iLevel="0"/>
    <cellStyle name="Normal" xfId="0" builtinId="0"/>
    <cellStyle name="Normal_Anual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3333CC"/>
                </a:solidFill>
                <a:latin typeface="Arial"/>
                <a:ea typeface="Arial"/>
                <a:cs typeface="Arial"/>
              </a:defRPr>
            </a:pPr>
            <a:r>
              <a:rPr lang="pt-BR" sz="1500"/>
              <a:t>Rendimentos e Despesas ao Longo do Ano</a:t>
            </a:r>
          </a:p>
        </c:rich>
      </c:tx>
      <c:layout>
        <c:manualLayout>
          <c:xMode val="edge"/>
          <c:yMode val="edge"/>
          <c:x val="0.25404530744336568"/>
          <c:y val="2.71493212669683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737864077669907E-2"/>
          <c:y val="0.1387634019775788"/>
          <c:w val="0.89441747572815533"/>
          <c:h val="0.70739169051613537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Orçamento!$C$86</c:f>
              <c:strCache>
                <c:ptCount val="1"/>
                <c:pt idx="0">
                  <c:v>Rendimentos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FF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cat>
            <c:strRef>
              <c:f>Orçamento!$D$85:$O$85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Orçamento!$D$86:$O$86</c:f>
              <c:numCache>
                <c:formatCode>_(* #,##0.00_);[Red]_(*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Orçamento!$C$87</c:f>
              <c:strCache>
                <c:ptCount val="1"/>
                <c:pt idx="0">
                  <c:v>Gastos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cat>
            <c:strRef>
              <c:f>Orçamento!$D$85:$O$85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Orçamento!$D$87:$O$87</c:f>
              <c:numCache>
                <c:formatCode>_(* #,##0.00_);[Red]_(*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Orçamento!$C$88</c:f>
              <c:strCache>
                <c:ptCount val="1"/>
                <c:pt idx="0">
                  <c:v>Saldo do Mês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cat>
            <c:strRef>
              <c:f>Orçamento!$D$85:$O$85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Orçamento!$D$88:$O$88</c:f>
              <c:numCache>
                <c:formatCode>_(* #,##0.00_);[Red]_(*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24304"/>
        <c:axId val="283120944"/>
      </c:lineChart>
      <c:catAx>
        <c:axId val="2831243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 w="254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831209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83120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_(* #,##0.00_);[Red]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8312430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8106796116504854"/>
          <c:y val="0.95475255638294076"/>
          <c:w val="0.51820388349514568"/>
          <c:h val="3.016591251885369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>
      <c:oddHeader>&amp;A</c:oddHeader>
      <c:oddFooter>Página &amp;P</c:oddFooter>
    </c:headerFooter>
    <c:pageMargins b="0.984251969" l="0.78740157499999996" r="0.78740157499999996" t="0.984251969" header="0.49212598499999999" footer="0.49212598499999999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FF0000"/>
                </a:solidFill>
                <a:latin typeface="Wide Latin"/>
                <a:ea typeface="Wide Latin"/>
                <a:cs typeface="Wide Latin"/>
              </a:defRPr>
            </a:pPr>
            <a:r>
              <a:rPr lang="pt-BR"/>
              <a:t>Para onde vai meu dinheiro?</a:t>
            </a:r>
          </a:p>
        </c:rich>
      </c:tx>
      <c:layout>
        <c:manualLayout>
          <c:xMode val="edge"/>
          <c:yMode val="edge"/>
          <c:x val="0.22150533984976017"/>
          <c:y val="2.0202084566018842E-2"/>
        </c:manualLayout>
      </c:layout>
      <c:overlay val="0"/>
      <c:spPr>
        <a:noFill/>
        <a:ln w="25400">
          <a:noFill/>
        </a:ln>
      </c:spPr>
    </c:title>
    <c:autoTitleDeleted val="0"/>
    <c:view3D>
      <c:rotX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1612903225806452E-2"/>
          <c:y val="0.18614718614718614"/>
          <c:w val="0.63010752688172045"/>
          <c:h val="0.72582972582972582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69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Orçamento!$C$95:$C$102</c:f>
              <c:strCache>
                <c:ptCount val="8"/>
                <c:pt idx="0">
                  <c:v>HABITAÇÃO</c:v>
                </c:pt>
                <c:pt idx="1">
                  <c:v>SAÚDE</c:v>
                </c:pt>
                <c:pt idx="2">
                  <c:v>TRANSPORTE</c:v>
                </c:pt>
                <c:pt idx="3">
                  <c:v>EDUCAÇÃO</c:v>
                </c:pt>
                <c:pt idx="4">
                  <c:v>DESPESAS PESSOAIS</c:v>
                </c:pt>
                <c:pt idx="5">
                  <c:v>LAZER</c:v>
                </c:pt>
                <c:pt idx="6">
                  <c:v>CARTÕES DE CRÉDITO</c:v>
                </c:pt>
                <c:pt idx="7">
                  <c:v>EMPRÉSTIMOS</c:v>
                </c:pt>
              </c:strCache>
            </c:strRef>
          </c:cat>
          <c:val>
            <c:numRef>
              <c:f>Orçamento!$D$95:$D$102</c:f>
              <c:numCache>
                <c:formatCode>_(* #,##0.00_);_(* \(#,##0.00\);_(*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65591908770025"/>
          <c:y val="0.18470423133524497"/>
          <c:w val="0.2494623947868585"/>
          <c:h val="0.5541125422905952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workbookViewId="0"/>
  </sheetViews>
  <pageMargins left="0.59055118110236227" right="0.59055118110236227" top="0.59055118110236227" bottom="0.59055118110236227" header="0.51181102362204722" footer="0.51181102362204722"/>
  <pageSetup orientation="landscape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3</xdr:col>
      <xdr:colOff>200025</xdr:colOff>
      <xdr:row>10</xdr:row>
      <xdr:rowOff>38100</xdr:rowOff>
    </xdr:to>
    <xdr:pic>
      <xdr:nvPicPr>
        <xdr:cNvPr id="4" name="Imagem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8575"/>
          <a:ext cx="2000250" cy="1790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533400</xdr:colOff>
      <xdr:row>39</xdr:row>
      <xdr:rowOff>0</xdr:rowOff>
    </xdr:to>
    <xdr:graphicFrame macro="">
      <xdr:nvGraphicFramePr>
        <xdr:cNvPr id="205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867775" cy="6581775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0.228</cdr:x>
      <cdr:y>0.10975</cdr:y>
    </cdr:to>
    <cdr:sp macro="" textlink="">
      <cdr:nvSpPr>
        <cdr:cNvPr id="3073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2010823" cy="7244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1050" b="0" i="0" strike="noStrike">
              <a:solidFill>
                <a:srgbClr val="000000"/>
              </a:solidFill>
              <a:latin typeface="Arial"/>
              <a:cs typeface="Arial"/>
            </a:rPr>
            <a:t>O gráfico mostra a porcentagem gasta com cada categoria de despesa no ano todo, baseado na última coluna de totais.</a:t>
          </a:r>
        </a:p>
      </cdr:txBody>
    </cdr:sp>
  </cdr:relSizeAnchor>
  <cdr:relSizeAnchor xmlns:cdr="http://schemas.openxmlformats.org/drawingml/2006/chartDrawing">
    <cdr:from>
      <cdr:x>0.50081</cdr:x>
      <cdr:y>0.48366</cdr:y>
    </cdr:from>
    <cdr:to>
      <cdr:x>0.52194</cdr:x>
      <cdr:y>0.51309</cdr:y>
    </cdr:to>
    <cdr:sp macro="" textlink="">
      <cdr:nvSpPr>
        <cdr:cNvPr id="3074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26787" y="3183370"/>
          <a:ext cx="186718" cy="1936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wrap="none" lIns="18288" tIns="22860" rIns="18288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++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outlinePr applyStyles="1" summaryBelow="0"/>
  </sheetPr>
  <dimension ref="A1:AF104"/>
  <sheetViews>
    <sheetView showGridLines="0" tabSelected="1" workbookViewId="0">
      <pane ySplit="11" topLeftCell="A12" activePane="bottomLeft" state="frozen"/>
      <selection pane="bottomLeft" activeCell="F2" sqref="F2:G2"/>
    </sheetView>
  </sheetViews>
  <sheetFormatPr defaultColWidth="11.42578125" defaultRowHeight="12.75" outlineLevelRow="1" x14ac:dyDescent="0.2"/>
  <cols>
    <col min="1" max="1" width="2.7109375" customWidth="1"/>
    <col min="2" max="2" width="1.7109375" customWidth="1"/>
    <col min="3" max="3" width="25.28515625" customWidth="1"/>
    <col min="4" max="16" width="10.7109375" customWidth="1"/>
  </cols>
  <sheetData>
    <row r="1" spans="1:28" s="93" customFormat="1" ht="25.5" x14ac:dyDescent="0.2">
      <c r="A1" s="107" t="s">
        <v>109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28" x14ac:dyDescent="0.2">
      <c r="F2" s="1" t="s">
        <v>110</v>
      </c>
      <c r="G2" s="1"/>
    </row>
    <row r="3" spans="1:28" x14ac:dyDescent="0.2">
      <c r="F3" s="105"/>
      <c r="G3" s="106"/>
    </row>
    <row r="9" spans="1:28" x14ac:dyDescent="0.2">
      <c r="C9" s="108" t="s">
        <v>111</v>
      </c>
    </row>
    <row r="11" spans="1:28" s="2" customFormat="1" ht="13.5" thickBot="1" x14ac:dyDescent="0.25">
      <c r="B11" s="94"/>
      <c r="C11" s="94"/>
      <c r="D11" s="95" t="s">
        <v>0</v>
      </c>
      <c r="E11" s="95" t="s">
        <v>1</v>
      </c>
      <c r="F11" s="95" t="s">
        <v>2</v>
      </c>
      <c r="G11" s="95" t="s">
        <v>3</v>
      </c>
      <c r="H11" s="95" t="s">
        <v>4</v>
      </c>
      <c r="I11" s="95" t="s">
        <v>5</v>
      </c>
      <c r="J11" s="95" t="s">
        <v>6</v>
      </c>
      <c r="K11" s="95" t="s">
        <v>7</v>
      </c>
      <c r="L11" s="95" t="s">
        <v>8</v>
      </c>
      <c r="M11" s="95" t="s">
        <v>9</v>
      </c>
      <c r="N11" s="95" t="s">
        <v>10</v>
      </c>
      <c r="O11" s="95" t="s">
        <v>11</v>
      </c>
      <c r="P11" s="95" t="s">
        <v>12</v>
      </c>
      <c r="Q11"/>
      <c r="R11"/>
      <c r="S11"/>
      <c r="T11"/>
      <c r="U11"/>
      <c r="V11"/>
      <c r="W11"/>
      <c r="X11"/>
      <c r="Y11"/>
      <c r="Z11"/>
      <c r="AA11"/>
      <c r="AB11"/>
    </row>
    <row r="12" spans="1:28" s="3" customFormat="1" x14ac:dyDescent="0.2">
      <c r="B12" s="87" t="s">
        <v>96</v>
      </c>
      <c r="C12" s="13"/>
      <c r="D12" s="14">
        <f>SUM(D13:D18)</f>
        <v>0</v>
      </c>
      <c r="E12" s="14">
        <f t="shared" ref="E12:O12" si="0">SUM(E13:E18)</f>
        <v>0</v>
      </c>
      <c r="F12" s="14">
        <f t="shared" si="0"/>
        <v>0</v>
      </c>
      <c r="G12" s="14">
        <f t="shared" si="0"/>
        <v>0</v>
      </c>
      <c r="H12" s="14">
        <f t="shared" si="0"/>
        <v>0</v>
      </c>
      <c r="I12" s="14">
        <f t="shared" si="0"/>
        <v>0</v>
      </c>
      <c r="J12" s="14">
        <f t="shared" si="0"/>
        <v>0</v>
      </c>
      <c r="K12" s="14">
        <f>SUM(K13:K18)</f>
        <v>0</v>
      </c>
      <c r="L12" s="14">
        <f t="shared" si="0"/>
        <v>0</v>
      </c>
      <c r="M12" s="14">
        <f t="shared" si="0"/>
        <v>0</v>
      </c>
      <c r="N12" s="14">
        <f t="shared" si="0"/>
        <v>0</v>
      </c>
      <c r="O12" s="14">
        <f t="shared" si="0"/>
        <v>0</v>
      </c>
      <c r="P12" s="15">
        <f>SUM(P13:P19)</f>
        <v>0</v>
      </c>
      <c r="Q12"/>
      <c r="R12"/>
      <c r="S12"/>
      <c r="T12"/>
      <c r="U12"/>
      <c r="V12"/>
      <c r="W12"/>
      <c r="X12"/>
      <c r="Y12"/>
      <c r="Z12"/>
      <c r="AA12"/>
      <c r="AB12"/>
    </row>
    <row r="13" spans="1:28" ht="12.75" customHeight="1" outlineLevel="1" x14ac:dyDescent="0.2">
      <c r="B13" s="9"/>
      <c r="C13" s="4" t="s">
        <v>13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27">
        <f t="shared" ref="P13:P18" si="1">SUM(D13:O13)</f>
        <v>0</v>
      </c>
    </row>
    <row r="14" spans="1:28" ht="12.75" customHeight="1" outlineLevel="1" x14ac:dyDescent="0.2">
      <c r="B14" s="9"/>
      <c r="C14" s="4" t="s">
        <v>90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27">
        <f t="shared" si="1"/>
        <v>0</v>
      </c>
    </row>
    <row r="15" spans="1:28" ht="12.75" customHeight="1" outlineLevel="1" x14ac:dyDescent="0.2">
      <c r="B15" s="9"/>
      <c r="C15" s="4" t="s">
        <v>14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27">
        <f t="shared" si="1"/>
        <v>0</v>
      </c>
    </row>
    <row r="16" spans="1:28" ht="12.75" customHeight="1" outlineLevel="1" x14ac:dyDescent="0.2">
      <c r="B16" s="9"/>
      <c r="C16" s="4" t="s">
        <v>15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27">
        <f t="shared" si="1"/>
        <v>0</v>
      </c>
    </row>
    <row r="17" spans="2:28" ht="12.75" customHeight="1" outlineLevel="1" x14ac:dyDescent="0.2">
      <c r="B17" s="9"/>
      <c r="C17" s="4" t="s">
        <v>102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27">
        <f t="shared" si="1"/>
        <v>0</v>
      </c>
    </row>
    <row r="18" spans="2:28" ht="12.75" customHeight="1" outlineLevel="1" thickBot="1" x14ac:dyDescent="0.25">
      <c r="B18" s="10"/>
      <c r="C18" s="11" t="s">
        <v>16</v>
      </c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28">
        <f t="shared" si="1"/>
        <v>0</v>
      </c>
    </row>
    <row r="19" spans="2:28" ht="13.5" thickBot="1" x14ac:dyDescent="0.25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28" s="101" customFormat="1" x14ac:dyDescent="0.2">
      <c r="B20" s="96" t="s">
        <v>17</v>
      </c>
      <c r="C20" s="97"/>
      <c r="D20" s="98">
        <f>SUM(D21:D31)</f>
        <v>0</v>
      </c>
      <c r="E20" s="98">
        <f t="shared" ref="E20:O20" si="2">SUM(E21:E31)</f>
        <v>0</v>
      </c>
      <c r="F20" s="98">
        <f t="shared" si="2"/>
        <v>0</v>
      </c>
      <c r="G20" s="98">
        <f t="shared" si="2"/>
        <v>0</v>
      </c>
      <c r="H20" s="98">
        <f t="shared" si="2"/>
        <v>0</v>
      </c>
      <c r="I20" s="98">
        <f t="shared" si="2"/>
        <v>0</v>
      </c>
      <c r="J20" s="98">
        <f>SUM(J21:J31)</f>
        <v>0</v>
      </c>
      <c r="K20" s="98">
        <f t="shared" si="2"/>
        <v>0</v>
      </c>
      <c r="L20" s="98">
        <f t="shared" si="2"/>
        <v>0</v>
      </c>
      <c r="M20" s="98">
        <f t="shared" si="2"/>
        <v>0</v>
      </c>
      <c r="N20" s="98">
        <f t="shared" si="2"/>
        <v>0</v>
      </c>
      <c r="O20" s="98">
        <f t="shared" si="2"/>
        <v>0</v>
      </c>
      <c r="P20" s="99">
        <f>SUM(P21:P32)</f>
        <v>0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</row>
    <row r="21" spans="2:28" outlineLevel="1" x14ac:dyDescent="0.2">
      <c r="B21" s="9"/>
      <c r="C21" s="4" t="s">
        <v>18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27">
        <f t="shared" ref="P21:P31" si="3">SUM(D21:O21)</f>
        <v>0</v>
      </c>
    </row>
    <row r="22" spans="2:28" outlineLevel="1" x14ac:dyDescent="0.2">
      <c r="B22" s="9"/>
      <c r="C22" s="4" t="s">
        <v>19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27">
        <f t="shared" si="3"/>
        <v>0</v>
      </c>
    </row>
    <row r="23" spans="2:28" outlineLevel="1" x14ac:dyDescent="0.2">
      <c r="B23" s="9"/>
      <c r="C23" s="4" t="s">
        <v>20</v>
      </c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27">
        <f t="shared" si="3"/>
        <v>0</v>
      </c>
    </row>
    <row r="24" spans="2:28" outlineLevel="1" x14ac:dyDescent="0.2">
      <c r="B24" s="9"/>
      <c r="C24" s="4" t="s">
        <v>21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27">
        <f t="shared" si="3"/>
        <v>0</v>
      </c>
    </row>
    <row r="25" spans="2:28" outlineLevel="1" x14ac:dyDescent="0.2">
      <c r="B25" s="9"/>
      <c r="C25" s="4" t="s">
        <v>22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27">
        <f t="shared" si="3"/>
        <v>0</v>
      </c>
    </row>
    <row r="26" spans="2:28" outlineLevel="1" x14ac:dyDescent="0.2">
      <c r="B26" s="9"/>
      <c r="C26" s="4" t="s">
        <v>99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27">
        <f t="shared" si="3"/>
        <v>0</v>
      </c>
    </row>
    <row r="27" spans="2:28" outlineLevel="1" x14ac:dyDescent="0.2">
      <c r="B27" s="9"/>
      <c r="C27" s="4" t="s">
        <v>23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27">
        <f t="shared" si="3"/>
        <v>0</v>
      </c>
    </row>
    <row r="28" spans="2:28" outlineLevel="1" x14ac:dyDescent="0.2">
      <c r="B28" s="9"/>
      <c r="C28" s="4" t="s">
        <v>24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27">
        <f t="shared" si="3"/>
        <v>0</v>
      </c>
    </row>
    <row r="29" spans="2:28" outlineLevel="1" x14ac:dyDescent="0.2">
      <c r="B29" s="9"/>
      <c r="C29" s="4" t="s">
        <v>25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27">
        <f t="shared" si="3"/>
        <v>0</v>
      </c>
    </row>
    <row r="30" spans="2:28" outlineLevel="1" x14ac:dyDescent="0.2">
      <c r="B30" s="9"/>
      <c r="C30" s="4" t="s">
        <v>26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27">
        <f t="shared" si="3"/>
        <v>0</v>
      </c>
    </row>
    <row r="31" spans="2:28" ht="13.5" outlineLevel="1" thickBot="1" x14ac:dyDescent="0.25">
      <c r="B31" s="10"/>
      <c r="C31" s="11" t="s">
        <v>16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28">
        <f t="shared" si="3"/>
        <v>0</v>
      </c>
    </row>
    <row r="32" spans="2:28" ht="13.5" thickBot="1" x14ac:dyDescent="0.25"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2:28" s="3" customFormat="1" x14ac:dyDescent="0.2">
      <c r="B33" s="12" t="s">
        <v>27</v>
      </c>
      <c r="C33" s="13"/>
      <c r="D33" s="14">
        <f>SUM(D34:D38)</f>
        <v>0</v>
      </c>
      <c r="E33" s="14">
        <f t="shared" ref="E33:O33" si="4">SUM(E34:E38)</f>
        <v>0</v>
      </c>
      <c r="F33" s="14">
        <f t="shared" si="4"/>
        <v>0</v>
      </c>
      <c r="G33" s="14">
        <f t="shared" si="4"/>
        <v>0</v>
      </c>
      <c r="H33" s="14">
        <f t="shared" si="4"/>
        <v>0</v>
      </c>
      <c r="I33" s="14">
        <f t="shared" si="4"/>
        <v>0</v>
      </c>
      <c r="J33" s="14">
        <f>SUM(J34:J38)</f>
        <v>0</v>
      </c>
      <c r="K33" s="14">
        <f t="shared" si="4"/>
        <v>0</v>
      </c>
      <c r="L33" s="14">
        <f t="shared" si="4"/>
        <v>0</v>
      </c>
      <c r="M33" s="14">
        <f t="shared" si="4"/>
        <v>0</v>
      </c>
      <c r="N33" s="14">
        <f t="shared" si="4"/>
        <v>0</v>
      </c>
      <c r="O33" s="14">
        <f t="shared" si="4"/>
        <v>0</v>
      </c>
      <c r="P33" s="15">
        <f>SUM(P34:P39)</f>
        <v>0</v>
      </c>
      <c r="Q33"/>
      <c r="R33"/>
      <c r="S33"/>
      <c r="T33"/>
      <c r="U33"/>
      <c r="V33"/>
      <c r="W33"/>
      <c r="X33"/>
      <c r="Y33"/>
      <c r="Z33"/>
      <c r="AA33"/>
      <c r="AB33"/>
    </row>
    <row r="34" spans="2:28" outlineLevel="1" x14ac:dyDescent="0.2">
      <c r="B34" s="9"/>
      <c r="C34" s="4" t="s">
        <v>28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27">
        <f>SUM(D34:O34)</f>
        <v>0</v>
      </c>
    </row>
    <row r="35" spans="2:28" outlineLevel="1" x14ac:dyDescent="0.2">
      <c r="B35" s="9"/>
      <c r="C35" s="4" t="s">
        <v>29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27">
        <f>SUM(D35:O35)</f>
        <v>0</v>
      </c>
    </row>
    <row r="36" spans="2:28" outlineLevel="1" x14ac:dyDescent="0.2">
      <c r="B36" s="9"/>
      <c r="C36" s="4" t="s">
        <v>30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27">
        <f>SUM(D36:O36)</f>
        <v>0</v>
      </c>
    </row>
    <row r="37" spans="2:28" outlineLevel="1" x14ac:dyDescent="0.2">
      <c r="B37" s="9"/>
      <c r="C37" s="4" t="s">
        <v>31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27">
        <f>SUM(D37:O37)</f>
        <v>0</v>
      </c>
    </row>
    <row r="38" spans="2:28" ht="13.5" outlineLevel="1" thickBot="1" x14ac:dyDescent="0.25">
      <c r="B38" s="10"/>
      <c r="C38" s="11" t="s">
        <v>16</v>
      </c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28">
        <f>SUM(D38:O38)</f>
        <v>0</v>
      </c>
    </row>
    <row r="39" spans="2:28" ht="13.5" thickBot="1" x14ac:dyDescent="0.25"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2:28" s="3" customFormat="1" x14ac:dyDescent="0.2">
      <c r="B40" s="12" t="s">
        <v>32</v>
      </c>
      <c r="C40" s="13"/>
      <c r="D40" s="14">
        <f t="shared" ref="D40:O40" si="5">SUM(D41:D45)</f>
        <v>0</v>
      </c>
      <c r="E40" s="14">
        <f t="shared" si="5"/>
        <v>0</v>
      </c>
      <c r="F40" s="14">
        <f t="shared" si="5"/>
        <v>0</v>
      </c>
      <c r="G40" s="14">
        <f t="shared" si="5"/>
        <v>0</v>
      </c>
      <c r="H40" s="14">
        <f t="shared" si="5"/>
        <v>0</v>
      </c>
      <c r="I40" s="14">
        <f t="shared" si="5"/>
        <v>0</v>
      </c>
      <c r="J40" s="14">
        <f t="shared" si="5"/>
        <v>0</v>
      </c>
      <c r="K40" s="14">
        <f t="shared" si="5"/>
        <v>0</v>
      </c>
      <c r="L40" s="14">
        <f t="shared" si="5"/>
        <v>0</v>
      </c>
      <c r="M40" s="14">
        <f t="shared" si="5"/>
        <v>0</v>
      </c>
      <c r="N40" s="14">
        <f t="shared" si="5"/>
        <v>0</v>
      </c>
      <c r="O40" s="14">
        <f t="shared" si="5"/>
        <v>0</v>
      </c>
      <c r="P40" s="15">
        <f t="shared" ref="P40:P45" si="6">SUM(D40:O40)</f>
        <v>0</v>
      </c>
      <c r="Q40"/>
      <c r="R40"/>
      <c r="S40"/>
      <c r="T40"/>
      <c r="U40"/>
      <c r="V40"/>
      <c r="W40"/>
      <c r="X40"/>
      <c r="Y40"/>
      <c r="Z40"/>
      <c r="AA40"/>
      <c r="AB40"/>
    </row>
    <row r="41" spans="2:28" outlineLevel="1" x14ac:dyDescent="0.2">
      <c r="B41" s="9"/>
      <c r="C41" s="4" t="s">
        <v>103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27">
        <f t="shared" si="6"/>
        <v>0</v>
      </c>
    </row>
    <row r="42" spans="2:28" outlineLevel="1" x14ac:dyDescent="0.2">
      <c r="B42" s="9"/>
      <c r="C42" s="4" t="s">
        <v>94</v>
      </c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27">
        <f t="shared" si="6"/>
        <v>0</v>
      </c>
    </row>
    <row r="43" spans="2:28" outlineLevel="1" x14ac:dyDescent="0.2">
      <c r="B43" s="9"/>
      <c r="C43" s="4" t="s">
        <v>95</v>
      </c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27">
        <f t="shared" si="6"/>
        <v>0</v>
      </c>
    </row>
    <row r="44" spans="2:28" outlineLevel="1" x14ac:dyDescent="0.2">
      <c r="B44" s="9"/>
      <c r="C44" s="4" t="s">
        <v>33</v>
      </c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27">
        <f t="shared" si="6"/>
        <v>0</v>
      </c>
    </row>
    <row r="45" spans="2:28" ht="13.5" outlineLevel="1" thickBot="1" x14ac:dyDescent="0.25">
      <c r="B45" s="10"/>
      <c r="C45" s="11" t="s">
        <v>16</v>
      </c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28">
        <f t="shared" si="6"/>
        <v>0</v>
      </c>
    </row>
    <row r="46" spans="2:28" ht="13.5" thickBot="1" x14ac:dyDescent="0.25"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2:28" s="3" customFormat="1" x14ac:dyDescent="0.2">
      <c r="B47" s="87" t="s">
        <v>92</v>
      </c>
      <c r="C47" s="13"/>
      <c r="D47" s="14">
        <f>SUM(D48:D52)</f>
        <v>0</v>
      </c>
      <c r="E47" s="14">
        <f t="shared" ref="E47:O47" si="7">SUM(E48:E52)</f>
        <v>0</v>
      </c>
      <c r="F47" s="14">
        <f t="shared" si="7"/>
        <v>0</v>
      </c>
      <c r="G47" s="14">
        <f t="shared" si="7"/>
        <v>0</v>
      </c>
      <c r="H47" s="14">
        <f t="shared" si="7"/>
        <v>0</v>
      </c>
      <c r="I47" s="14">
        <f t="shared" si="7"/>
        <v>0</v>
      </c>
      <c r="J47" s="14">
        <f t="shared" si="7"/>
        <v>0</v>
      </c>
      <c r="K47" s="14">
        <f t="shared" si="7"/>
        <v>0</v>
      </c>
      <c r="L47" s="14">
        <f t="shared" si="7"/>
        <v>0</v>
      </c>
      <c r="M47" s="14">
        <f t="shared" si="7"/>
        <v>0</v>
      </c>
      <c r="N47" s="14">
        <f t="shared" si="7"/>
        <v>0</v>
      </c>
      <c r="O47" s="14">
        <f t="shared" si="7"/>
        <v>0</v>
      </c>
      <c r="P47" s="15">
        <f t="shared" ref="P47:P52" si="8">SUM(D47:O47)</f>
        <v>0</v>
      </c>
      <c r="Q47"/>
      <c r="R47"/>
      <c r="S47"/>
      <c r="T47"/>
      <c r="U47"/>
      <c r="V47"/>
      <c r="W47"/>
      <c r="X47"/>
      <c r="Y47"/>
      <c r="Z47"/>
      <c r="AA47"/>
      <c r="AB47"/>
    </row>
    <row r="48" spans="2:28" outlineLevel="1" x14ac:dyDescent="0.2">
      <c r="B48" s="9"/>
      <c r="C48" s="4" t="s">
        <v>104</v>
      </c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27">
        <f t="shared" si="8"/>
        <v>0</v>
      </c>
    </row>
    <row r="49" spans="2:32" outlineLevel="1" x14ac:dyDescent="0.2">
      <c r="B49" s="9"/>
      <c r="C49" s="4" t="s">
        <v>105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27">
        <f t="shared" si="8"/>
        <v>0</v>
      </c>
    </row>
    <row r="50" spans="2:32" outlineLevel="1" x14ac:dyDescent="0.2">
      <c r="B50" s="9"/>
      <c r="C50" s="4" t="s">
        <v>93</v>
      </c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27">
        <f t="shared" si="8"/>
        <v>0</v>
      </c>
    </row>
    <row r="51" spans="2:32" outlineLevel="1" x14ac:dyDescent="0.2">
      <c r="B51" s="9"/>
      <c r="C51" s="102" t="s">
        <v>106</v>
      </c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27">
        <f t="shared" si="8"/>
        <v>0</v>
      </c>
    </row>
    <row r="52" spans="2:32" ht="13.5" outlineLevel="1" thickBot="1" x14ac:dyDescent="0.25">
      <c r="B52" s="10"/>
      <c r="C52" s="11" t="s">
        <v>16</v>
      </c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28">
        <f t="shared" si="8"/>
        <v>0</v>
      </c>
    </row>
    <row r="53" spans="2:32" ht="13.5" thickBot="1" x14ac:dyDescent="0.25"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2:32" s="3" customFormat="1" x14ac:dyDescent="0.2">
      <c r="B54" s="12" t="s">
        <v>34</v>
      </c>
      <c r="C54" s="13"/>
      <c r="D54" s="14">
        <f t="shared" ref="D54:O54" si="9">SUM(D55:D62)</f>
        <v>0</v>
      </c>
      <c r="E54" s="14">
        <f t="shared" si="9"/>
        <v>0</v>
      </c>
      <c r="F54" s="14">
        <f t="shared" si="9"/>
        <v>0</v>
      </c>
      <c r="G54" s="14">
        <f t="shared" si="9"/>
        <v>0</v>
      </c>
      <c r="H54" s="14">
        <f t="shared" si="9"/>
        <v>0</v>
      </c>
      <c r="I54" s="14">
        <f t="shared" si="9"/>
        <v>0</v>
      </c>
      <c r="J54" s="14">
        <f t="shared" si="9"/>
        <v>0</v>
      </c>
      <c r="K54" s="14">
        <f t="shared" si="9"/>
        <v>0</v>
      </c>
      <c r="L54" s="14">
        <f t="shared" si="9"/>
        <v>0</v>
      </c>
      <c r="M54" s="14">
        <f t="shared" si="9"/>
        <v>0</v>
      </c>
      <c r="N54" s="14">
        <f t="shared" si="9"/>
        <v>0</v>
      </c>
      <c r="O54" s="14">
        <f t="shared" si="9"/>
        <v>0</v>
      </c>
      <c r="P54" s="15">
        <f>SUM(D54:O54)</f>
        <v>0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2:32" outlineLevel="1" x14ac:dyDescent="0.2">
      <c r="B55" s="9"/>
      <c r="C55" s="4" t="s">
        <v>35</v>
      </c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27">
        <f>SUM(D55:O55)</f>
        <v>0</v>
      </c>
    </row>
    <row r="56" spans="2:32" outlineLevel="1" x14ac:dyDescent="0.2">
      <c r="B56" s="9"/>
      <c r="C56" s="4" t="s">
        <v>89</v>
      </c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27">
        <f t="shared" ref="P56:P62" si="10">SUM(D56:O56)</f>
        <v>0</v>
      </c>
    </row>
    <row r="57" spans="2:32" outlineLevel="1" x14ac:dyDescent="0.2">
      <c r="B57" s="9"/>
      <c r="C57" s="4" t="s">
        <v>107</v>
      </c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27">
        <f t="shared" si="10"/>
        <v>0</v>
      </c>
    </row>
    <row r="58" spans="2:32" outlineLevel="1" x14ac:dyDescent="0.2">
      <c r="B58" s="9"/>
      <c r="C58" s="4" t="s">
        <v>36</v>
      </c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27">
        <f t="shared" si="10"/>
        <v>0</v>
      </c>
    </row>
    <row r="59" spans="2:32" outlineLevel="1" x14ac:dyDescent="0.2">
      <c r="B59" s="9"/>
      <c r="C59" s="4" t="s">
        <v>97</v>
      </c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27">
        <f t="shared" si="10"/>
        <v>0</v>
      </c>
    </row>
    <row r="60" spans="2:32" outlineLevel="1" x14ac:dyDescent="0.2">
      <c r="B60" s="9"/>
      <c r="C60" s="4" t="s">
        <v>101</v>
      </c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27">
        <f t="shared" si="10"/>
        <v>0</v>
      </c>
    </row>
    <row r="61" spans="2:32" outlineLevel="1" x14ac:dyDescent="0.2">
      <c r="B61" s="9"/>
      <c r="C61" s="4" t="s">
        <v>37</v>
      </c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27">
        <f t="shared" si="10"/>
        <v>0</v>
      </c>
    </row>
    <row r="62" spans="2:32" ht="13.5" outlineLevel="1" thickBot="1" x14ac:dyDescent="0.25">
      <c r="B62" s="10"/>
      <c r="C62" s="11" t="s">
        <v>16</v>
      </c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28">
        <f t="shared" si="10"/>
        <v>0</v>
      </c>
    </row>
    <row r="63" spans="2:32" ht="13.5" thickBot="1" x14ac:dyDescent="0.25"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2:32" s="3" customFormat="1" x14ac:dyDescent="0.2">
      <c r="B64" s="12" t="s">
        <v>38</v>
      </c>
      <c r="C64" s="13"/>
      <c r="D64" s="14">
        <f>SUM(D65:D71)</f>
        <v>0</v>
      </c>
      <c r="E64" s="14">
        <f t="shared" ref="E64:O64" si="11">SUM(E65:E71)</f>
        <v>0</v>
      </c>
      <c r="F64" s="14">
        <f t="shared" si="11"/>
        <v>0</v>
      </c>
      <c r="G64" s="14">
        <f t="shared" si="11"/>
        <v>0</v>
      </c>
      <c r="H64" s="14">
        <f t="shared" si="11"/>
        <v>0</v>
      </c>
      <c r="I64" s="14">
        <f t="shared" si="11"/>
        <v>0</v>
      </c>
      <c r="J64" s="14">
        <f t="shared" si="11"/>
        <v>0</v>
      </c>
      <c r="K64" s="14">
        <f t="shared" si="11"/>
        <v>0</v>
      </c>
      <c r="L64" s="14">
        <f t="shared" si="11"/>
        <v>0</v>
      </c>
      <c r="M64" s="14">
        <f t="shared" si="11"/>
        <v>0</v>
      </c>
      <c r="N64" s="14">
        <f t="shared" si="11"/>
        <v>0</v>
      </c>
      <c r="O64" s="14">
        <f t="shared" si="11"/>
        <v>0</v>
      </c>
      <c r="P64" s="15">
        <f>SUM(D64:O64)</f>
        <v>0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2:32" outlineLevel="1" x14ac:dyDescent="0.2">
      <c r="B65" s="9"/>
      <c r="C65" s="4" t="s">
        <v>100</v>
      </c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27">
        <f>SUM(D65:O65)</f>
        <v>0</v>
      </c>
    </row>
    <row r="66" spans="2:32" outlineLevel="1" x14ac:dyDescent="0.2">
      <c r="B66" s="9"/>
      <c r="C66" s="4" t="s">
        <v>91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27">
        <f t="shared" ref="P66:P71" si="12">SUM(D66:O66)</f>
        <v>0</v>
      </c>
    </row>
    <row r="67" spans="2:32" outlineLevel="1" x14ac:dyDescent="0.2">
      <c r="B67" s="9"/>
      <c r="C67" s="4" t="s">
        <v>39</v>
      </c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27">
        <f t="shared" si="12"/>
        <v>0</v>
      </c>
    </row>
    <row r="68" spans="2:32" outlineLevel="1" x14ac:dyDescent="0.2">
      <c r="B68" s="9"/>
      <c r="C68" s="4" t="s">
        <v>40</v>
      </c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27">
        <f t="shared" si="12"/>
        <v>0</v>
      </c>
    </row>
    <row r="69" spans="2:32" outlineLevel="1" x14ac:dyDescent="0.2">
      <c r="B69" s="9"/>
      <c r="C69" s="4" t="s">
        <v>41</v>
      </c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27">
        <f t="shared" si="12"/>
        <v>0</v>
      </c>
    </row>
    <row r="70" spans="2:32" outlineLevel="1" x14ac:dyDescent="0.2">
      <c r="B70" s="9"/>
      <c r="C70" s="4" t="s">
        <v>42</v>
      </c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27">
        <f t="shared" si="12"/>
        <v>0</v>
      </c>
    </row>
    <row r="71" spans="2:32" ht="13.5" outlineLevel="1" thickBot="1" x14ac:dyDescent="0.25">
      <c r="B71" s="10"/>
      <c r="C71" s="11" t="s">
        <v>16</v>
      </c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28">
        <f t="shared" si="12"/>
        <v>0</v>
      </c>
    </row>
    <row r="72" spans="2:32" s="6" customFormat="1" ht="13.5" thickBot="1" x14ac:dyDescent="0.25"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2:32" x14ac:dyDescent="0.2">
      <c r="B73" s="12" t="s">
        <v>43</v>
      </c>
      <c r="C73" s="13"/>
      <c r="D73" s="14">
        <f>SUM(D74:D76)</f>
        <v>0</v>
      </c>
      <c r="E73" s="14">
        <f t="shared" ref="E73:O73" si="13">SUM(E74:E76)</f>
        <v>0</v>
      </c>
      <c r="F73" s="14">
        <f t="shared" si="13"/>
        <v>0</v>
      </c>
      <c r="G73" s="14">
        <f t="shared" si="13"/>
        <v>0</v>
      </c>
      <c r="H73" s="14">
        <f t="shared" si="13"/>
        <v>0</v>
      </c>
      <c r="I73" s="14">
        <f t="shared" si="13"/>
        <v>0</v>
      </c>
      <c r="J73" s="14">
        <f t="shared" si="13"/>
        <v>0</v>
      </c>
      <c r="K73" s="14">
        <f t="shared" si="13"/>
        <v>0</v>
      </c>
      <c r="L73" s="14">
        <f t="shared" si="13"/>
        <v>0</v>
      </c>
      <c r="M73" s="14">
        <f t="shared" si="13"/>
        <v>0</v>
      </c>
      <c r="N73" s="14">
        <f t="shared" si="13"/>
        <v>0</v>
      </c>
      <c r="O73" s="14">
        <f t="shared" si="13"/>
        <v>0</v>
      </c>
      <c r="P73" s="15">
        <f>SUM(D73:O73)</f>
        <v>0</v>
      </c>
    </row>
    <row r="74" spans="2:32" outlineLevel="1" x14ac:dyDescent="0.2">
      <c r="B74" s="9"/>
      <c r="C74" s="4" t="s">
        <v>44</v>
      </c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27">
        <f>SUM(D74:O74)</f>
        <v>0</v>
      </c>
    </row>
    <row r="75" spans="2:32" outlineLevel="1" x14ac:dyDescent="0.2">
      <c r="B75" s="9"/>
      <c r="C75" s="4" t="s">
        <v>45</v>
      </c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27">
        <f>SUM(D75:O75)</f>
        <v>0</v>
      </c>
    </row>
    <row r="76" spans="2:32" ht="13.5" outlineLevel="1" thickBot="1" x14ac:dyDescent="0.25">
      <c r="B76" s="10"/>
      <c r="C76" s="11" t="s">
        <v>88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28">
        <f>SUM(D76:O76)</f>
        <v>0</v>
      </c>
    </row>
    <row r="77" spans="2:32" ht="13.5" thickBot="1" x14ac:dyDescent="0.25"/>
    <row r="78" spans="2:32" x14ac:dyDescent="0.2">
      <c r="B78" s="87" t="s">
        <v>98</v>
      </c>
      <c r="C78" s="13"/>
      <c r="D78" s="14">
        <f>SUM(D79:D82)</f>
        <v>0</v>
      </c>
      <c r="E78" s="14">
        <f>SUM(E79:E82)</f>
        <v>0</v>
      </c>
      <c r="F78" s="14">
        <f t="shared" ref="F78:O78" si="14">SUM(F79:F82)</f>
        <v>0</v>
      </c>
      <c r="G78" s="14">
        <f t="shared" si="14"/>
        <v>0</v>
      </c>
      <c r="H78" s="14">
        <f>SUM(H79:H82)</f>
        <v>0</v>
      </c>
      <c r="I78" s="14">
        <f t="shared" si="14"/>
        <v>0</v>
      </c>
      <c r="J78" s="14">
        <f t="shared" si="14"/>
        <v>0</v>
      </c>
      <c r="K78" s="14">
        <f t="shared" si="14"/>
        <v>0</v>
      </c>
      <c r="L78" s="14">
        <f t="shared" si="14"/>
        <v>0</v>
      </c>
      <c r="M78" s="14">
        <f t="shared" si="14"/>
        <v>0</v>
      </c>
      <c r="N78" s="14">
        <f t="shared" si="14"/>
        <v>0</v>
      </c>
      <c r="O78" s="14">
        <f t="shared" si="14"/>
        <v>0</v>
      </c>
      <c r="P78" s="15">
        <f>SUM(D78:O78)</f>
        <v>0</v>
      </c>
    </row>
    <row r="79" spans="2:32" outlineLevel="1" x14ac:dyDescent="0.2">
      <c r="B79" s="9"/>
      <c r="C79" s="104" t="s">
        <v>108</v>
      </c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27">
        <f>SUM(D79:O79)</f>
        <v>0</v>
      </c>
    </row>
    <row r="80" spans="2:32" outlineLevel="1" x14ac:dyDescent="0.2">
      <c r="B80" s="9"/>
      <c r="C80" s="4" t="s">
        <v>86</v>
      </c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27">
        <f>SUM(D80:O80)</f>
        <v>0</v>
      </c>
    </row>
    <row r="81" spans="2:16" outlineLevel="1" x14ac:dyDescent="0.2">
      <c r="B81" s="9"/>
      <c r="C81" s="4" t="s">
        <v>87</v>
      </c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27">
        <f>SUM(D81:O81)</f>
        <v>0</v>
      </c>
    </row>
    <row r="82" spans="2:16" ht="13.5" outlineLevel="1" thickBot="1" x14ac:dyDescent="0.25">
      <c r="B82" s="10"/>
      <c r="C82" s="11" t="s">
        <v>16</v>
      </c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28">
        <f>SUM(D82:O82)</f>
        <v>0</v>
      </c>
    </row>
    <row r="85" spans="2:16" ht="13.5" thickBot="1" x14ac:dyDescent="0.25">
      <c r="B85" s="2"/>
      <c r="C85" s="2" t="s">
        <v>46</v>
      </c>
      <c r="D85" s="16" t="s">
        <v>0</v>
      </c>
      <c r="E85" s="16" t="s">
        <v>1</v>
      </c>
      <c r="F85" s="16" t="s">
        <v>2</v>
      </c>
      <c r="G85" s="16" t="s">
        <v>3</v>
      </c>
      <c r="H85" s="16" t="s">
        <v>4</v>
      </c>
      <c r="I85" s="16" t="s">
        <v>5</v>
      </c>
      <c r="J85" s="16" t="s">
        <v>6</v>
      </c>
      <c r="K85" s="16" t="s">
        <v>7</v>
      </c>
      <c r="L85" s="16" t="s">
        <v>8</v>
      </c>
      <c r="M85" s="16" t="s">
        <v>9</v>
      </c>
      <c r="N85" s="16" t="s">
        <v>10</v>
      </c>
      <c r="O85" s="16" t="s">
        <v>11</v>
      </c>
      <c r="P85" s="16" t="s">
        <v>12</v>
      </c>
    </row>
    <row r="86" spans="2:16" x14ac:dyDescent="0.2">
      <c r="B86" s="24"/>
      <c r="C86" s="21" t="s">
        <v>47</v>
      </c>
      <c r="D86" s="18">
        <f t="shared" ref="D86:P86" si="15">D12</f>
        <v>0</v>
      </c>
      <c r="E86" s="18">
        <f t="shared" si="15"/>
        <v>0</v>
      </c>
      <c r="F86" s="18">
        <f t="shared" si="15"/>
        <v>0</v>
      </c>
      <c r="G86" s="18">
        <f t="shared" si="15"/>
        <v>0</v>
      </c>
      <c r="H86" s="18">
        <f t="shared" si="15"/>
        <v>0</v>
      </c>
      <c r="I86" s="18">
        <f t="shared" si="15"/>
        <v>0</v>
      </c>
      <c r="J86" s="18">
        <f t="shared" si="15"/>
        <v>0</v>
      </c>
      <c r="K86" s="18">
        <f t="shared" si="15"/>
        <v>0</v>
      </c>
      <c r="L86" s="18">
        <f t="shared" si="15"/>
        <v>0</v>
      </c>
      <c r="M86" s="18">
        <f t="shared" si="15"/>
        <v>0</v>
      </c>
      <c r="N86" s="18">
        <f t="shared" si="15"/>
        <v>0</v>
      </c>
      <c r="O86" s="18">
        <f t="shared" si="15"/>
        <v>0</v>
      </c>
      <c r="P86" s="29">
        <f t="shared" si="15"/>
        <v>0</v>
      </c>
    </row>
    <row r="87" spans="2:16" x14ac:dyDescent="0.2">
      <c r="B87" s="25"/>
      <c r="C87" s="22" t="s">
        <v>48</v>
      </c>
      <c r="D87" s="19">
        <f t="shared" ref="D87:O87" si="16">D20+D33+D40+D47+D54+D64+D73+D78</f>
        <v>0</v>
      </c>
      <c r="E87" s="19">
        <f t="shared" si="16"/>
        <v>0</v>
      </c>
      <c r="F87" s="19">
        <f t="shared" si="16"/>
        <v>0</v>
      </c>
      <c r="G87" s="19">
        <f t="shared" si="16"/>
        <v>0</v>
      </c>
      <c r="H87" s="19">
        <f t="shared" si="16"/>
        <v>0</v>
      </c>
      <c r="I87" s="19">
        <f t="shared" si="16"/>
        <v>0</v>
      </c>
      <c r="J87" s="19">
        <f t="shared" si="16"/>
        <v>0</v>
      </c>
      <c r="K87" s="19">
        <f t="shared" si="16"/>
        <v>0</v>
      </c>
      <c r="L87" s="19">
        <f t="shared" si="16"/>
        <v>0</v>
      </c>
      <c r="M87" s="19">
        <f t="shared" si="16"/>
        <v>0</v>
      </c>
      <c r="N87" s="19">
        <f t="shared" si="16"/>
        <v>0</v>
      </c>
      <c r="O87" s="19">
        <f t="shared" si="16"/>
        <v>0</v>
      </c>
      <c r="P87" s="30">
        <f>P20+P33+P40+P47+P54+P64</f>
        <v>0</v>
      </c>
    </row>
    <row r="88" spans="2:16" x14ac:dyDescent="0.2">
      <c r="B88" s="26"/>
      <c r="C88" s="22" t="s">
        <v>49</v>
      </c>
      <c r="D88" s="19">
        <f t="shared" ref="D88:P88" si="17">D86-D87</f>
        <v>0</v>
      </c>
      <c r="E88" s="19">
        <f t="shared" si="17"/>
        <v>0</v>
      </c>
      <c r="F88" s="19">
        <f t="shared" si="17"/>
        <v>0</v>
      </c>
      <c r="G88" s="19">
        <f t="shared" si="17"/>
        <v>0</v>
      </c>
      <c r="H88" s="19">
        <f t="shared" si="17"/>
        <v>0</v>
      </c>
      <c r="I88" s="19">
        <f t="shared" si="17"/>
        <v>0</v>
      </c>
      <c r="J88" s="19">
        <f t="shared" si="17"/>
        <v>0</v>
      </c>
      <c r="K88" s="19">
        <f t="shared" si="17"/>
        <v>0</v>
      </c>
      <c r="L88" s="19">
        <f t="shared" si="17"/>
        <v>0</v>
      </c>
      <c r="M88" s="19">
        <f t="shared" si="17"/>
        <v>0</v>
      </c>
      <c r="N88" s="19">
        <f t="shared" si="17"/>
        <v>0</v>
      </c>
      <c r="O88" s="19">
        <f t="shared" si="17"/>
        <v>0</v>
      </c>
      <c r="P88" s="30">
        <f t="shared" si="17"/>
        <v>0</v>
      </c>
    </row>
    <row r="89" spans="2:16" ht="13.5" thickBot="1" x14ac:dyDescent="0.25">
      <c r="B89" s="17"/>
      <c r="C89" s="23" t="s">
        <v>50</v>
      </c>
      <c r="D89" s="20">
        <f>D88</f>
        <v>0</v>
      </c>
      <c r="E89" s="20">
        <f t="shared" ref="E89:P89" si="18">D89+E88</f>
        <v>0</v>
      </c>
      <c r="F89" s="20">
        <f t="shared" si="18"/>
        <v>0</v>
      </c>
      <c r="G89" s="20">
        <f t="shared" si="18"/>
        <v>0</v>
      </c>
      <c r="H89" s="20">
        <f t="shared" si="18"/>
        <v>0</v>
      </c>
      <c r="I89" s="20">
        <f t="shared" si="18"/>
        <v>0</v>
      </c>
      <c r="J89" s="20">
        <f t="shared" si="18"/>
        <v>0</v>
      </c>
      <c r="K89" s="20">
        <f t="shared" si="18"/>
        <v>0</v>
      </c>
      <c r="L89" s="20">
        <f t="shared" si="18"/>
        <v>0</v>
      </c>
      <c r="M89" s="20">
        <f t="shared" si="18"/>
        <v>0</v>
      </c>
      <c r="N89" s="20">
        <f t="shared" si="18"/>
        <v>0</v>
      </c>
      <c r="O89" s="20">
        <f t="shared" si="18"/>
        <v>0</v>
      </c>
      <c r="P89" s="31">
        <f t="shared" si="18"/>
        <v>0</v>
      </c>
    </row>
    <row r="92" spans="2:16" x14ac:dyDescent="0.2">
      <c r="C92" s="90" t="s">
        <v>51</v>
      </c>
      <c r="D92" s="90"/>
    </row>
    <row r="94" spans="2:16" x14ac:dyDescent="0.2">
      <c r="C94" s="91" t="str">
        <f>B12</f>
        <v>RENDA Pessoal/Familiar</v>
      </c>
      <c r="D94" s="92">
        <f>P12</f>
        <v>0</v>
      </c>
    </row>
    <row r="95" spans="2:16" x14ac:dyDescent="0.2">
      <c r="C95" s="91" t="str">
        <f>B20</f>
        <v>HABITAÇÃO</v>
      </c>
      <c r="D95" s="92">
        <f>P20</f>
        <v>0</v>
      </c>
    </row>
    <row r="96" spans="2:16" x14ac:dyDescent="0.2">
      <c r="C96" s="91" t="str">
        <f>B33</f>
        <v>SAÚDE</v>
      </c>
      <c r="D96" s="92">
        <f>P33</f>
        <v>0</v>
      </c>
    </row>
    <row r="97" spans="3:4" x14ac:dyDescent="0.2">
      <c r="C97" s="91" t="str">
        <f>B40</f>
        <v>TRANSPORTE</v>
      </c>
      <c r="D97" s="92">
        <f>P40</f>
        <v>0</v>
      </c>
    </row>
    <row r="98" spans="3:4" x14ac:dyDescent="0.2">
      <c r="C98" s="91" t="str">
        <f>B47</f>
        <v>EDUCAÇÃO</v>
      </c>
      <c r="D98" s="92">
        <f>P47</f>
        <v>0</v>
      </c>
    </row>
    <row r="99" spans="3:4" x14ac:dyDescent="0.2">
      <c r="C99" s="91" t="str">
        <f>B54</f>
        <v>DESPESAS PESSOAIS</v>
      </c>
      <c r="D99" s="92">
        <f>P54</f>
        <v>0</v>
      </c>
    </row>
    <row r="100" spans="3:4" x14ac:dyDescent="0.2">
      <c r="C100" s="91" t="str">
        <f>B64</f>
        <v>LAZER</v>
      </c>
      <c r="D100" s="92">
        <f>P64</f>
        <v>0</v>
      </c>
    </row>
    <row r="101" spans="3:4" x14ac:dyDescent="0.2">
      <c r="C101" s="91" t="str">
        <f>B73</f>
        <v>CARTÕES DE CRÉDITO</v>
      </c>
      <c r="D101" s="92">
        <f>P73</f>
        <v>0</v>
      </c>
    </row>
    <row r="102" spans="3:4" x14ac:dyDescent="0.2">
      <c r="C102" s="91" t="str">
        <f>B78</f>
        <v>EMPRÉSTIMOS</v>
      </c>
      <c r="D102" s="92">
        <f>P78</f>
        <v>0</v>
      </c>
    </row>
    <row r="104" spans="3:4" x14ac:dyDescent="0.2">
      <c r="C104" s="90" t="s">
        <v>52</v>
      </c>
      <c r="D104" s="90"/>
    </row>
  </sheetData>
  <sheetProtection algorithmName="SHA-512" hashValue="TuLjDjjb34yXl0ZIu+/s82xouwXThIwXYBfY6fNjmUvOEenM0wVeO7q/xRwgeY7yUiPISwQA6xdjPo6ezcNlgw==" saltValue="BaVFYnq8o9vcGNVVnrv4mA==" spinCount="100000" sheet="1" objects="1" scenarios="1" formatColumns="0" selectLockedCells="1"/>
  <protectedRanges>
    <protectedRange sqref="C79:O82" name="Empréstimo"/>
    <protectedRange sqref="B13:IS18" name="Renda"/>
    <protectedRange sqref="C21:O31" name="Habitação"/>
    <protectedRange sqref="C34:O38" name="Saúde"/>
    <protectedRange sqref="C41:O45" name="Transporte"/>
    <protectedRange sqref="C48:O52" name="Educação"/>
    <protectedRange sqref="C55:O62" name="Despesas Pessoais"/>
    <protectedRange sqref="C65:O71" name="Lazer"/>
    <protectedRange sqref="C74:O76" name="Cartão de Crédito"/>
  </protectedRanges>
  <mergeCells count="1">
    <mergeCell ref="F2:G2"/>
  </mergeCells>
  <phoneticPr fontId="6" type="noConversion"/>
  <hyperlinks>
    <hyperlink ref="F2:G2" r:id="rId1" location="!download/cu9f" display="Aviso de Desbloqueio"/>
  </hyperlinks>
  <printOptions horizontalCentered="1"/>
  <pageMargins left="0.78740157480314965" right="0.78740157480314965" top="0.78740157480314965" bottom="0.78740157480314965" header="0.51181102362204722" footer="0.51181102362204722"/>
  <pageSetup scale="75" orientation="landscape" horizontalDpi="360" verticalDpi="360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showGridLines="0" zoomScale="75" workbookViewId="0">
      <selection activeCell="R15" sqref="R15"/>
    </sheetView>
  </sheetViews>
  <sheetFormatPr defaultRowHeight="12.75" x14ac:dyDescent="0.2"/>
  <sheetData/>
  <sheetProtection selectLockedCells="1" selectUnlockedCells="1"/>
  <phoneticPr fontId="6" type="noConversion"/>
  <printOptions horizontalCentered="1" vertic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0070C0"/>
  </sheetPr>
  <dimension ref="A1:AK89"/>
  <sheetViews>
    <sheetView showGridLines="0" showRowColHeaders="0" topLeftCell="A20" workbookViewId="0">
      <pane ySplit="1" topLeftCell="A21" activePane="bottomLeft" state="frozenSplit"/>
      <selection activeCell="A20" sqref="A20"/>
      <selection pane="bottomLeft" activeCell="O31" sqref="O31"/>
    </sheetView>
  </sheetViews>
  <sheetFormatPr defaultColWidth="5.7109375" defaultRowHeight="12.75" x14ac:dyDescent="0.2"/>
  <cols>
    <col min="1" max="24" width="3.7109375" style="35" customWidth="1"/>
    <col min="25" max="25" width="13" style="35" hidden="1" customWidth="1"/>
    <col min="26" max="30" width="0" style="35" hidden="1" customWidth="1"/>
    <col min="31" max="31" width="8.5703125" style="35" hidden="1" customWidth="1"/>
    <col min="32" max="33" width="0" style="35" hidden="1" customWidth="1"/>
    <col min="34" max="16384" width="5.7109375" style="35"/>
  </cols>
  <sheetData>
    <row r="1" spans="1:37" s="34" customFormat="1" ht="17.100000000000001" customHeight="1" x14ac:dyDescent="0.25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AH1" s="35"/>
      <c r="AI1" s="35"/>
      <c r="AJ1" s="35"/>
      <c r="AK1" s="35"/>
    </row>
    <row r="2" spans="1:37" s="34" customFormat="1" ht="14.1" customHeight="1" x14ac:dyDescent="0.2">
      <c r="A2" s="36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AH2" s="35"/>
      <c r="AI2" s="35"/>
      <c r="AJ2" s="35"/>
      <c r="AK2" s="35"/>
    </row>
    <row r="3" spans="1:37" ht="14.1" customHeight="1" x14ac:dyDescent="0.2"/>
    <row r="4" spans="1:37" ht="14.1" customHeight="1" x14ac:dyDescent="0.2">
      <c r="A4" s="37"/>
    </row>
    <row r="5" spans="1:37" ht="14.1" customHeight="1" x14ac:dyDescent="0.2"/>
    <row r="6" spans="1:37" ht="12.95" customHeight="1" x14ac:dyDescent="0.2">
      <c r="A6" s="37"/>
    </row>
    <row r="7" spans="1:37" ht="12.95" customHeight="1" x14ac:dyDescent="0.2">
      <c r="A7" s="37"/>
    </row>
    <row r="8" spans="1:37" ht="12.95" customHeight="1" x14ac:dyDescent="0.2"/>
    <row r="9" spans="1:37" ht="12.95" customHeight="1" x14ac:dyDescent="0.2">
      <c r="A9" s="37"/>
    </row>
    <row r="10" spans="1:37" ht="12.95" customHeight="1" x14ac:dyDescent="0.2">
      <c r="A10" s="37"/>
    </row>
    <row r="11" spans="1:37" ht="12.95" customHeight="1" x14ac:dyDescent="0.2">
      <c r="A11" s="37"/>
    </row>
    <row r="12" spans="1:37" ht="12.95" customHeight="1" x14ac:dyDescent="0.2">
      <c r="A12" s="37"/>
    </row>
    <row r="13" spans="1:37" ht="12.95" customHeight="1" x14ac:dyDescent="0.2"/>
    <row r="14" spans="1:37" ht="12.95" customHeight="1" x14ac:dyDescent="0.2">
      <c r="A14" s="37"/>
    </row>
    <row r="15" spans="1:37" ht="12.95" customHeight="1" x14ac:dyDescent="0.2">
      <c r="A15" s="37"/>
    </row>
    <row r="16" spans="1:37" ht="12.95" customHeight="1" x14ac:dyDescent="0.2"/>
    <row r="17" spans="1:23" ht="12.95" customHeight="1" x14ac:dyDescent="0.2"/>
    <row r="18" spans="1:23" ht="12.95" customHeight="1" x14ac:dyDescent="0.2"/>
    <row r="19" spans="1:23" ht="14.1" customHeight="1" x14ac:dyDescent="0.2">
      <c r="A19" s="38"/>
      <c r="B19" s="33"/>
      <c r="C19" s="33"/>
      <c r="D19" s="33"/>
      <c r="E19" s="39"/>
    </row>
    <row r="20" spans="1:23" ht="0.95" customHeight="1" x14ac:dyDescent="0.2"/>
    <row r="21" spans="1:23" x14ac:dyDescent="0.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1" t="s">
        <v>53</v>
      </c>
      <c r="N21" s="40"/>
      <c r="O21" s="42">
        <v>2015</v>
      </c>
      <c r="P21" s="43"/>
      <c r="Q21" s="40"/>
      <c r="R21" s="40"/>
      <c r="S21" s="40"/>
      <c r="T21" s="40"/>
      <c r="U21" s="40"/>
      <c r="V21" s="40"/>
      <c r="W21" s="40"/>
    </row>
    <row r="24" spans="1:23" ht="30" x14ac:dyDescent="0.4">
      <c r="K24" s="44" t="str">
        <f>FIXED(O21+IF(O21&gt;199,0,1900),0,TRUE)</f>
        <v>2015</v>
      </c>
    </row>
    <row r="26" spans="1:23" ht="18.9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8" spans="1:23" ht="13.5" thickBot="1" x14ac:dyDescent="0.25"/>
    <row r="29" spans="1:23" x14ac:dyDescent="0.2">
      <c r="A29" s="46" t="s">
        <v>54</v>
      </c>
      <c r="B29" s="47"/>
      <c r="C29" s="48"/>
      <c r="D29" s="47"/>
      <c r="E29" s="47"/>
      <c r="F29" s="47"/>
      <c r="G29" s="49"/>
      <c r="H29" s="50"/>
      <c r="I29" s="46" t="s">
        <v>55</v>
      </c>
      <c r="J29" s="47"/>
      <c r="K29" s="48"/>
      <c r="L29" s="47"/>
      <c r="M29" s="47"/>
      <c r="N29" s="47"/>
      <c r="O29" s="49"/>
      <c r="P29" s="50"/>
      <c r="Q29" s="46" t="s">
        <v>56</v>
      </c>
      <c r="R29" s="47"/>
      <c r="S29" s="48"/>
      <c r="T29" s="47"/>
      <c r="U29" s="47"/>
      <c r="V29" s="47"/>
      <c r="W29" s="49"/>
    </row>
    <row r="30" spans="1:23" ht="14.1" customHeight="1" thickBot="1" x14ac:dyDescent="0.25">
      <c r="A30" s="51" t="s">
        <v>57</v>
      </c>
      <c r="B30" s="52" t="s">
        <v>58</v>
      </c>
      <c r="C30" s="52" t="s">
        <v>59</v>
      </c>
      <c r="D30" s="52" t="s">
        <v>60</v>
      </c>
      <c r="E30" s="52" t="s">
        <v>60</v>
      </c>
      <c r="F30" s="52" t="s">
        <v>58</v>
      </c>
      <c r="G30" s="53" t="s">
        <v>58</v>
      </c>
      <c r="I30" s="51" t="s">
        <v>57</v>
      </c>
      <c r="J30" s="52" t="s">
        <v>58</v>
      </c>
      <c r="K30" s="52" t="s">
        <v>59</v>
      </c>
      <c r="L30" s="52" t="s">
        <v>60</v>
      </c>
      <c r="M30" s="52" t="s">
        <v>60</v>
      </c>
      <c r="N30" s="52" t="s">
        <v>58</v>
      </c>
      <c r="O30" s="53" t="s">
        <v>58</v>
      </c>
      <c r="Q30" s="51" t="s">
        <v>57</v>
      </c>
      <c r="R30" s="52" t="s">
        <v>58</v>
      </c>
      <c r="S30" s="52" t="s">
        <v>59</v>
      </c>
      <c r="T30" s="52" t="s">
        <v>60</v>
      </c>
      <c r="U30" s="52" t="s">
        <v>60</v>
      </c>
      <c r="V30" s="52" t="s">
        <v>58</v>
      </c>
      <c r="W30" s="53" t="s">
        <v>58</v>
      </c>
    </row>
    <row r="31" spans="1:23" ht="14.1" customHeight="1" x14ac:dyDescent="0.2">
      <c r="A31" s="54" t="str">
        <f>IF($AF$74=Z87,1,"")</f>
        <v/>
      </c>
      <c r="B31" s="55" t="str">
        <f t="shared" ref="B31:G31" si="0">IF(OR($AF$74=AA87,A31&gt;=1),1+A31,"")</f>
        <v/>
      </c>
      <c r="C31" s="55" t="str">
        <f t="shared" si="0"/>
        <v/>
      </c>
      <c r="D31" s="55" t="str">
        <f t="shared" si="0"/>
        <v/>
      </c>
      <c r="E31" s="55">
        <f t="shared" si="0"/>
        <v>1</v>
      </c>
      <c r="F31" s="55">
        <f t="shared" si="0"/>
        <v>2</v>
      </c>
      <c r="G31" s="56">
        <f t="shared" si="0"/>
        <v>3</v>
      </c>
      <c r="I31" s="54">
        <f>IF($AF$75=Z87,1,"")</f>
        <v>1</v>
      </c>
      <c r="J31" s="55">
        <f t="shared" ref="J31:O31" si="1">IF(OR($AF$75=AA87,I31&gt;=1),1+I31,"")</f>
        <v>2</v>
      </c>
      <c r="K31" s="55">
        <f t="shared" si="1"/>
        <v>3</v>
      </c>
      <c r="L31" s="55">
        <f t="shared" si="1"/>
        <v>4</v>
      </c>
      <c r="M31" s="55">
        <f t="shared" si="1"/>
        <v>5</v>
      </c>
      <c r="N31" s="55">
        <f t="shared" si="1"/>
        <v>6</v>
      </c>
      <c r="O31" s="56">
        <f t="shared" si="1"/>
        <v>7</v>
      </c>
      <c r="Q31" s="54">
        <f>IF($AF$76=Z87,1,"")</f>
        <v>1</v>
      </c>
      <c r="R31" s="55">
        <f t="shared" ref="R31:W31" si="2">IF(OR($AF$76=AA87,Q31&gt;=1),1+Q31,"")</f>
        <v>2</v>
      </c>
      <c r="S31" s="55">
        <f t="shared" si="2"/>
        <v>3</v>
      </c>
      <c r="T31" s="55">
        <f t="shared" si="2"/>
        <v>4</v>
      </c>
      <c r="U31" s="55">
        <f t="shared" si="2"/>
        <v>5</v>
      </c>
      <c r="V31" s="55">
        <f t="shared" si="2"/>
        <v>6</v>
      </c>
      <c r="W31" s="56">
        <f t="shared" si="2"/>
        <v>7</v>
      </c>
    </row>
    <row r="32" spans="1:23" ht="14.1" customHeight="1" x14ac:dyDescent="0.2">
      <c r="A32" s="57">
        <f>1+G31</f>
        <v>4</v>
      </c>
      <c r="B32" s="58">
        <f t="shared" ref="B32:F34" si="3">1+A32</f>
        <v>5</v>
      </c>
      <c r="C32" s="58">
        <f t="shared" si="3"/>
        <v>6</v>
      </c>
      <c r="D32" s="58">
        <f t="shared" si="3"/>
        <v>7</v>
      </c>
      <c r="E32" s="58">
        <f t="shared" si="3"/>
        <v>8</v>
      </c>
      <c r="F32" s="58">
        <f t="shared" si="3"/>
        <v>9</v>
      </c>
      <c r="G32" s="59">
        <f>F32+1</f>
        <v>10</v>
      </c>
      <c r="I32" s="57">
        <f>1+O31</f>
        <v>8</v>
      </c>
      <c r="J32" s="58">
        <f t="shared" ref="J32:N34" si="4">1+I32</f>
        <v>9</v>
      </c>
      <c r="K32" s="58">
        <f t="shared" si="4"/>
        <v>10</v>
      </c>
      <c r="L32" s="58">
        <f t="shared" si="4"/>
        <v>11</v>
      </c>
      <c r="M32" s="58">
        <f t="shared" si="4"/>
        <v>12</v>
      </c>
      <c r="N32" s="58">
        <f t="shared" si="4"/>
        <v>13</v>
      </c>
      <c r="O32" s="59">
        <f>N32+1</f>
        <v>14</v>
      </c>
      <c r="Q32" s="57">
        <f>1+W31</f>
        <v>8</v>
      </c>
      <c r="R32" s="58">
        <f t="shared" ref="R32:V34" si="5">1+Q32</f>
        <v>9</v>
      </c>
      <c r="S32" s="58">
        <f t="shared" si="5"/>
        <v>10</v>
      </c>
      <c r="T32" s="58">
        <f t="shared" si="5"/>
        <v>11</v>
      </c>
      <c r="U32" s="58">
        <f t="shared" si="5"/>
        <v>12</v>
      </c>
      <c r="V32" s="58">
        <f t="shared" si="5"/>
        <v>13</v>
      </c>
      <c r="W32" s="59">
        <f>V32+1</f>
        <v>14</v>
      </c>
    </row>
    <row r="33" spans="1:23" ht="14.1" customHeight="1" x14ac:dyDescent="0.2">
      <c r="A33" s="57">
        <f>1+G32</f>
        <v>11</v>
      </c>
      <c r="B33" s="58">
        <f t="shared" si="3"/>
        <v>12</v>
      </c>
      <c r="C33" s="58">
        <f t="shared" si="3"/>
        <v>13</v>
      </c>
      <c r="D33" s="58">
        <f t="shared" si="3"/>
        <v>14</v>
      </c>
      <c r="E33" s="58">
        <f t="shared" si="3"/>
        <v>15</v>
      </c>
      <c r="F33" s="58">
        <f t="shared" si="3"/>
        <v>16</v>
      </c>
      <c r="G33" s="59">
        <f>F33+1</f>
        <v>17</v>
      </c>
      <c r="I33" s="57">
        <f>1+O32</f>
        <v>15</v>
      </c>
      <c r="J33" s="58">
        <f t="shared" si="4"/>
        <v>16</v>
      </c>
      <c r="K33" s="58">
        <f t="shared" si="4"/>
        <v>17</v>
      </c>
      <c r="L33" s="58">
        <f t="shared" si="4"/>
        <v>18</v>
      </c>
      <c r="M33" s="58">
        <f t="shared" si="4"/>
        <v>19</v>
      </c>
      <c r="N33" s="58">
        <f t="shared" si="4"/>
        <v>20</v>
      </c>
      <c r="O33" s="59">
        <f>N33+1</f>
        <v>21</v>
      </c>
      <c r="Q33" s="57">
        <f>1+W32</f>
        <v>15</v>
      </c>
      <c r="R33" s="58">
        <f t="shared" si="5"/>
        <v>16</v>
      </c>
      <c r="S33" s="58">
        <f t="shared" si="5"/>
        <v>17</v>
      </c>
      <c r="T33" s="58">
        <f t="shared" si="5"/>
        <v>18</v>
      </c>
      <c r="U33" s="58">
        <f t="shared" si="5"/>
        <v>19</v>
      </c>
      <c r="V33" s="58">
        <f t="shared" si="5"/>
        <v>20</v>
      </c>
      <c r="W33" s="59">
        <f>V33+1</f>
        <v>21</v>
      </c>
    </row>
    <row r="34" spans="1:23" ht="14.1" customHeight="1" x14ac:dyDescent="0.2">
      <c r="A34" s="57">
        <f>1+G33</f>
        <v>18</v>
      </c>
      <c r="B34" s="58">
        <f t="shared" si="3"/>
        <v>19</v>
      </c>
      <c r="C34" s="58">
        <f t="shared" si="3"/>
        <v>20</v>
      </c>
      <c r="D34" s="58">
        <f t="shared" si="3"/>
        <v>21</v>
      </c>
      <c r="E34" s="58">
        <f t="shared" si="3"/>
        <v>22</v>
      </c>
      <c r="F34" s="58">
        <f t="shared" si="3"/>
        <v>23</v>
      </c>
      <c r="G34" s="59">
        <f>1+F34</f>
        <v>24</v>
      </c>
      <c r="I34" s="57">
        <f>1+O33</f>
        <v>22</v>
      </c>
      <c r="J34" s="58">
        <f t="shared" si="4"/>
        <v>23</v>
      </c>
      <c r="K34" s="58">
        <f t="shared" si="4"/>
        <v>24</v>
      </c>
      <c r="L34" s="58">
        <f t="shared" si="4"/>
        <v>25</v>
      </c>
      <c r="M34" s="58">
        <f t="shared" si="4"/>
        <v>26</v>
      </c>
      <c r="N34" s="58">
        <f t="shared" si="4"/>
        <v>27</v>
      </c>
      <c r="O34" s="59">
        <f>1+N34</f>
        <v>28</v>
      </c>
      <c r="Q34" s="57">
        <f>1+W33</f>
        <v>22</v>
      </c>
      <c r="R34" s="58">
        <f t="shared" si="5"/>
        <v>23</v>
      </c>
      <c r="S34" s="58">
        <f t="shared" si="5"/>
        <v>24</v>
      </c>
      <c r="T34" s="58">
        <f t="shared" si="5"/>
        <v>25</v>
      </c>
      <c r="U34" s="58">
        <f t="shared" si="5"/>
        <v>26</v>
      </c>
      <c r="V34" s="58">
        <f t="shared" si="5"/>
        <v>27</v>
      </c>
      <c r="W34" s="59">
        <f>1+V34</f>
        <v>28</v>
      </c>
    </row>
    <row r="35" spans="1:23" ht="14.1" customHeight="1" x14ac:dyDescent="0.2">
      <c r="A35" s="57">
        <f>IF((1+G34)&gt;=VLOOKUP($AA74+1,$Y$74:$Z$85,2),"",1+G34)</f>
        <v>25</v>
      </c>
      <c r="B35" s="58">
        <f>IF(OR(A35=0,MAXA(A35)&gt;=VLOOKUP($AA74+1,$Y$74:$Z$85,2)),"",1+A35)</f>
        <v>26</v>
      </c>
      <c r="C35" s="58">
        <f>IF(OR(B35=0,MAXA($A35:B35)&gt;=VLOOKUP($AA74+1,$Y$74:$Z$85,2)),"",1+B35)</f>
        <v>27</v>
      </c>
      <c r="D35" s="58">
        <f>IF(OR(C35=0,MAXA($A35:C35)&gt;=VLOOKUP($AA74+1,$Y$74:$Z$85,2)),"",1+C35)</f>
        <v>28</v>
      </c>
      <c r="E35" s="58">
        <f>IF(OR(D35=0,MAXA($A35:D35)&gt;=VLOOKUP($AA74+1,$Y$74:$Z$85,2)),"",1+D35)</f>
        <v>29</v>
      </c>
      <c r="F35" s="58">
        <f>IF(OR(E35=0,MAXA($A35:E35)&gt;=VLOOKUP($AA74+1,$Y$74:$Z$85,2)),"",1+E35)</f>
        <v>30</v>
      </c>
      <c r="G35" s="59">
        <f>IF(OR(F35=0,MAXA($A35:F35)&gt;=VLOOKUP($AA74+1,$Y$74:$Z$85,2)),"",1+F35)</f>
        <v>31</v>
      </c>
      <c r="I35" s="57" t="str">
        <f>IF((1+O34)&gt;VLOOKUP($AA75+1,$Y$74:$Z$85,2),"",1+O34)</f>
        <v/>
      </c>
      <c r="J35" s="58" t="str">
        <f>IF(OR(I35=0,MAXA($H35:I35)&gt;=VLOOKUP($AA75+1,$Y$74:$Z$85,2)),"",1+I35)</f>
        <v/>
      </c>
      <c r="K35" s="58" t="str">
        <f>IF(OR(J35=0,MAXA($H35:J35)&gt;=VLOOKUP($AA75+1,$Y$74:$Z$85,2)),"",1+J35)</f>
        <v/>
      </c>
      <c r="L35" s="58" t="str">
        <f>IF(OR(K35=0,MAXA($H35:K35)&gt;=VLOOKUP($AA75+1,$Y$74:$Z$85,2)),"",1+K35)</f>
        <v/>
      </c>
      <c r="M35" s="58" t="str">
        <f>IF(OR(L35=0,MAXA($H35:L35)&gt;=VLOOKUP($AA75+1,$Y$74:$Z$85,2)),"",1+L35)</f>
        <v/>
      </c>
      <c r="N35" s="58" t="str">
        <f>IF(OR(M35=0,MAXA($H35:M35)&gt;=VLOOKUP($AA75+1,$Y$74:$Z$85,2)),"",1+M35)</f>
        <v/>
      </c>
      <c r="O35" s="59" t="str">
        <f>IF(OR(N35=0,MAXA($H35:N35)&gt;=VLOOKUP($AA75+1,$Y$74:$Z$85,2)),"",1+N35)</f>
        <v/>
      </c>
      <c r="Q35" s="57">
        <f>IF((1+W34)&gt;=VLOOKUP($AA76+1,$Y$74:$Z$85,2),"",1+W34)</f>
        <v>29</v>
      </c>
      <c r="R35" s="58">
        <f>IF(OR(Q35=0,MAXA(Q35)&gt;=VLOOKUP($AA76+1,$Y$74:$Z$85,2)),"",1+Q35)</f>
        <v>30</v>
      </c>
      <c r="S35" s="58">
        <f>IF(OR(R35=0,MAXA($Q35:R35)&gt;=VLOOKUP($AA76+1,$Y$74:$Z$85,2)),"",1+R35)</f>
        <v>31</v>
      </c>
      <c r="T35" s="58" t="str">
        <f>IF(OR(S35=0,MAXA($Q35:S35)&gt;=VLOOKUP($AA76+1,$Y$74:$Z$85,2)),"",1+S35)</f>
        <v/>
      </c>
      <c r="U35" s="58" t="str">
        <f>IF(OR(T35=0,MAXA($Q35:T35)&gt;=VLOOKUP($AA76+1,$Y$74:$Z$85,2)),"",1+T35)</f>
        <v/>
      </c>
      <c r="V35" s="58" t="str">
        <f>IF(OR(U35=0,MAXA($Q35:U35)&gt;=VLOOKUP($AA76+1,$Y$74:$Z$85,2)),"",1+U35)</f>
        <v/>
      </c>
      <c r="W35" s="59" t="str">
        <f>IF(OR(V35=0,MAXA($Q35:V35)&gt;=VLOOKUP($AA76+1,$Y$74:$Z$85,2)),"",1+V35)</f>
        <v/>
      </c>
    </row>
    <row r="36" spans="1:23" ht="14.1" customHeight="1" thickBot="1" x14ac:dyDescent="0.25">
      <c r="A36" s="60" t="str">
        <f>IF(OR(G35=0,(1+MAXA($A35:$G35))&gt;VLOOKUP($AA74+1,$Y$74:$Z$85,2)),"",1+G35)</f>
        <v/>
      </c>
      <c r="B36" s="61" t="str">
        <f>IF(OR(A35=0,(1+MAXA($A35:$G35))&gt;=VLOOKUP($AA74+1,$Y$74:$Z$85,2)),"",1+A36)</f>
        <v/>
      </c>
      <c r="C36" s="62"/>
      <c r="D36" s="62"/>
      <c r="E36" s="62"/>
      <c r="F36" s="62"/>
      <c r="G36" s="63"/>
      <c r="I36" s="64"/>
      <c r="J36" s="62"/>
      <c r="K36" s="62"/>
      <c r="L36" s="62"/>
      <c r="M36" s="62"/>
      <c r="N36" s="62"/>
      <c r="O36" s="63"/>
      <c r="Q36" s="60" t="str">
        <f>IF(OR(W35=0,(1+MAXA($Q35:$W35))&gt;VLOOKUP($AA76+1,$Y$74:$Z$85,2)),"",1+W35)</f>
        <v/>
      </c>
      <c r="R36" s="61" t="str">
        <f>IF(OR(Q35=0,(1+MAXA($Q35:$W35))&gt;=VLOOKUP($AA76+1,$Y$74:$Z$85,2)),"",1+Q36)</f>
        <v/>
      </c>
      <c r="S36" s="62"/>
      <c r="T36" s="62"/>
      <c r="U36" s="62"/>
      <c r="V36" s="62"/>
      <c r="W36" s="63"/>
    </row>
    <row r="37" spans="1:23" ht="15" customHeight="1" x14ac:dyDescent="0.2"/>
    <row r="38" spans="1:23" ht="15" customHeight="1" thickBot="1" x14ac:dyDescent="0.25"/>
    <row r="39" spans="1:23" x14ac:dyDescent="0.2">
      <c r="A39" s="46" t="s">
        <v>61</v>
      </c>
      <c r="B39" s="47"/>
      <c r="C39" s="47"/>
      <c r="D39" s="48"/>
      <c r="E39" s="47"/>
      <c r="F39" s="47"/>
      <c r="G39" s="49"/>
      <c r="H39" s="50"/>
      <c r="I39" s="46" t="s">
        <v>62</v>
      </c>
      <c r="J39" s="47"/>
      <c r="K39" s="48"/>
      <c r="L39" s="48"/>
      <c r="M39" s="47"/>
      <c r="N39" s="47"/>
      <c r="O39" s="49"/>
      <c r="P39" s="50"/>
      <c r="Q39" s="46" t="s">
        <v>63</v>
      </c>
      <c r="R39" s="47"/>
      <c r="S39" s="48"/>
      <c r="T39" s="48"/>
      <c r="U39" s="47"/>
      <c r="V39" s="47"/>
      <c r="W39" s="49"/>
    </row>
    <row r="40" spans="1:23" ht="14.1" customHeight="1" thickBot="1" x14ac:dyDescent="0.25">
      <c r="A40" s="51" t="s">
        <v>57</v>
      </c>
      <c r="B40" s="52" t="s">
        <v>58</v>
      </c>
      <c r="C40" s="52" t="s">
        <v>59</v>
      </c>
      <c r="D40" s="52" t="s">
        <v>60</v>
      </c>
      <c r="E40" s="52" t="s">
        <v>60</v>
      </c>
      <c r="F40" s="52" t="s">
        <v>58</v>
      </c>
      <c r="G40" s="53" t="s">
        <v>58</v>
      </c>
      <c r="I40" s="51" t="s">
        <v>57</v>
      </c>
      <c r="J40" s="52" t="s">
        <v>58</v>
      </c>
      <c r="K40" s="52" t="s">
        <v>59</v>
      </c>
      <c r="L40" s="52" t="s">
        <v>60</v>
      </c>
      <c r="M40" s="52" t="s">
        <v>60</v>
      </c>
      <c r="N40" s="52" t="s">
        <v>58</v>
      </c>
      <c r="O40" s="53" t="s">
        <v>58</v>
      </c>
      <c r="Q40" s="51" t="s">
        <v>57</v>
      </c>
      <c r="R40" s="52" t="s">
        <v>58</v>
      </c>
      <c r="S40" s="52" t="s">
        <v>59</v>
      </c>
      <c r="T40" s="52" t="s">
        <v>60</v>
      </c>
      <c r="U40" s="52" t="s">
        <v>60</v>
      </c>
      <c r="V40" s="52" t="s">
        <v>58</v>
      </c>
      <c r="W40" s="53" t="s">
        <v>58</v>
      </c>
    </row>
    <row r="41" spans="1:23" ht="14.1" customHeight="1" x14ac:dyDescent="0.2">
      <c r="A41" s="54" t="str">
        <f>IF($AF$77=Z87,1,"")</f>
        <v/>
      </c>
      <c r="B41" s="55" t="str">
        <f t="shared" ref="B41:G41" si="6">IF(OR($AF$77=AA87,A41&gt;=1),1+A41,"")</f>
        <v/>
      </c>
      <c r="C41" s="55" t="str">
        <f t="shared" si="6"/>
        <v/>
      </c>
      <c r="D41" s="55">
        <f t="shared" si="6"/>
        <v>1</v>
      </c>
      <c r="E41" s="55">
        <f t="shared" si="6"/>
        <v>2</v>
      </c>
      <c r="F41" s="55">
        <f t="shared" si="6"/>
        <v>3</v>
      </c>
      <c r="G41" s="56">
        <f t="shared" si="6"/>
        <v>4</v>
      </c>
      <c r="I41" s="54" t="str">
        <f>IF($AF$78=Z87,1,"")</f>
        <v/>
      </c>
      <c r="J41" s="55" t="str">
        <f t="shared" ref="J41:O41" si="7">IF(OR($AF$78=AA87,I41&gt;=1),1+I41,"")</f>
        <v/>
      </c>
      <c r="K41" s="55" t="str">
        <f t="shared" si="7"/>
        <v/>
      </c>
      <c r="L41" s="55" t="str">
        <f t="shared" si="7"/>
        <v/>
      </c>
      <c r="M41" s="55" t="str">
        <f t="shared" si="7"/>
        <v/>
      </c>
      <c r="N41" s="55">
        <f t="shared" si="7"/>
        <v>1</v>
      </c>
      <c r="O41" s="56">
        <f t="shared" si="7"/>
        <v>2</v>
      </c>
      <c r="Q41" s="54" t="str">
        <f>IF($AF$79=Z87,1,"")</f>
        <v/>
      </c>
      <c r="R41" s="55">
        <f t="shared" ref="R41:W41" si="8">IF(OR($AF$79=AA87,Q41&gt;=1),1+Q41,"")</f>
        <v>1</v>
      </c>
      <c r="S41" s="55">
        <f t="shared" si="8"/>
        <v>2</v>
      </c>
      <c r="T41" s="55">
        <f t="shared" si="8"/>
        <v>3</v>
      </c>
      <c r="U41" s="55">
        <f t="shared" si="8"/>
        <v>4</v>
      </c>
      <c r="V41" s="55">
        <f t="shared" si="8"/>
        <v>5</v>
      </c>
      <c r="W41" s="56">
        <f t="shared" si="8"/>
        <v>6</v>
      </c>
    </row>
    <row r="42" spans="1:23" ht="14.1" customHeight="1" x14ac:dyDescent="0.2">
      <c r="A42" s="57">
        <f>1+G41</f>
        <v>5</v>
      </c>
      <c r="B42" s="58">
        <f t="shared" ref="B42:F44" si="9">1+A42</f>
        <v>6</v>
      </c>
      <c r="C42" s="58">
        <f t="shared" si="9"/>
        <v>7</v>
      </c>
      <c r="D42" s="58">
        <f t="shared" si="9"/>
        <v>8</v>
      </c>
      <c r="E42" s="58">
        <f t="shared" si="9"/>
        <v>9</v>
      </c>
      <c r="F42" s="58">
        <f t="shared" si="9"/>
        <v>10</v>
      </c>
      <c r="G42" s="59">
        <f>F42+1</f>
        <v>11</v>
      </c>
      <c r="I42" s="57">
        <f>1+O41</f>
        <v>3</v>
      </c>
      <c r="J42" s="58">
        <f t="shared" ref="J42:N44" si="10">1+I42</f>
        <v>4</v>
      </c>
      <c r="K42" s="58">
        <f t="shared" si="10"/>
        <v>5</v>
      </c>
      <c r="L42" s="58">
        <f t="shared" si="10"/>
        <v>6</v>
      </c>
      <c r="M42" s="58">
        <f t="shared" si="10"/>
        <v>7</v>
      </c>
      <c r="N42" s="58">
        <f t="shared" si="10"/>
        <v>8</v>
      </c>
      <c r="O42" s="59">
        <f>N42+1</f>
        <v>9</v>
      </c>
      <c r="Q42" s="57">
        <f>1+W41</f>
        <v>7</v>
      </c>
      <c r="R42" s="58">
        <f t="shared" ref="R42:V44" si="11">1+Q42</f>
        <v>8</v>
      </c>
      <c r="S42" s="58">
        <f t="shared" si="11"/>
        <v>9</v>
      </c>
      <c r="T42" s="58">
        <f t="shared" si="11"/>
        <v>10</v>
      </c>
      <c r="U42" s="58">
        <f t="shared" si="11"/>
        <v>11</v>
      </c>
      <c r="V42" s="58">
        <f t="shared" si="11"/>
        <v>12</v>
      </c>
      <c r="W42" s="59">
        <f>V42+1</f>
        <v>13</v>
      </c>
    </row>
    <row r="43" spans="1:23" ht="14.1" customHeight="1" x14ac:dyDescent="0.2">
      <c r="A43" s="57">
        <f>1+G42</f>
        <v>12</v>
      </c>
      <c r="B43" s="58">
        <f t="shared" si="9"/>
        <v>13</v>
      </c>
      <c r="C43" s="58">
        <f t="shared" si="9"/>
        <v>14</v>
      </c>
      <c r="D43" s="58">
        <f t="shared" si="9"/>
        <v>15</v>
      </c>
      <c r="E43" s="58">
        <f t="shared" si="9"/>
        <v>16</v>
      </c>
      <c r="F43" s="58">
        <f t="shared" si="9"/>
        <v>17</v>
      </c>
      <c r="G43" s="59">
        <f>F43+1</f>
        <v>18</v>
      </c>
      <c r="I43" s="57">
        <f>1+O42</f>
        <v>10</v>
      </c>
      <c r="J43" s="58">
        <f t="shared" si="10"/>
        <v>11</v>
      </c>
      <c r="K43" s="58">
        <f t="shared" si="10"/>
        <v>12</v>
      </c>
      <c r="L43" s="58">
        <f t="shared" si="10"/>
        <v>13</v>
      </c>
      <c r="M43" s="58">
        <f t="shared" si="10"/>
        <v>14</v>
      </c>
      <c r="N43" s="58">
        <f t="shared" si="10"/>
        <v>15</v>
      </c>
      <c r="O43" s="59">
        <f>N43+1</f>
        <v>16</v>
      </c>
      <c r="Q43" s="57">
        <f>1+W42</f>
        <v>14</v>
      </c>
      <c r="R43" s="58">
        <f t="shared" si="11"/>
        <v>15</v>
      </c>
      <c r="S43" s="58">
        <f t="shared" si="11"/>
        <v>16</v>
      </c>
      <c r="T43" s="58">
        <f t="shared" si="11"/>
        <v>17</v>
      </c>
      <c r="U43" s="58">
        <f t="shared" si="11"/>
        <v>18</v>
      </c>
      <c r="V43" s="58">
        <f t="shared" si="11"/>
        <v>19</v>
      </c>
      <c r="W43" s="59">
        <f>V43+1</f>
        <v>20</v>
      </c>
    </row>
    <row r="44" spans="1:23" ht="14.1" customHeight="1" x14ac:dyDescent="0.2">
      <c r="A44" s="57">
        <f>1+G43</f>
        <v>19</v>
      </c>
      <c r="B44" s="58">
        <f t="shared" si="9"/>
        <v>20</v>
      </c>
      <c r="C44" s="58">
        <f t="shared" si="9"/>
        <v>21</v>
      </c>
      <c r="D44" s="58">
        <f t="shared" si="9"/>
        <v>22</v>
      </c>
      <c r="E44" s="58">
        <f t="shared" si="9"/>
        <v>23</v>
      </c>
      <c r="F44" s="58">
        <f t="shared" si="9"/>
        <v>24</v>
      </c>
      <c r="G44" s="59">
        <f>1+F44</f>
        <v>25</v>
      </c>
      <c r="I44" s="57">
        <f>1+O43</f>
        <v>17</v>
      </c>
      <c r="J44" s="58">
        <f t="shared" si="10"/>
        <v>18</v>
      </c>
      <c r="K44" s="58">
        <f t="shared" si="10"/>
        <v>19</v>
      </c>
      <c r="L44" s="58">
        <f t="shared" si="10"/>
        <v>20</v>
      </c>
      <c r="M44" s="58">
        <f t="shared" si="10"/>
        <v>21</v>
      </c>
      <c r="N44" s="58">
        <f t="shared" si="10"/>
        <v>22</v>
      </c>
      <c r="O44" s="59">
        <f>1+N44</f>
        <v>23</v>
      </c>
      <c r="Q44" s="57">
        <f>1+W43</f>
        <v>21</v>
      </c>
      <c r="R44" s="58">
        <f t="shared" si="11"/>
        <v>22</v>
      </c>
      <c r="S44" s="58">
        <f t="shared" si="11"/>
        <v>23</v>
      </c>
      <c r="T44" s="58">
        <f t="shared" si="11"/>
        <v>24</v>
      </c>
      <c r="U44" s="58">
        <f t="shared" si="11"/>
        <v>25</v>
      </c>
      <c r="V44" s="58">
        <f t="shared" si="11"/>
        <v>26</v>
      </c>
      <c r="W44" s="59">
        <f>1+V44</f>
        <v>27</v>
      </c>
    </row>
    <row r="45" spans="1:23" ht="14.1" customHeight="1" x14ac:dyDescent="0.2">
      <c r="A45" s="57">
        <f>IF((1+G44)&gt;=VLOOKUP($AA$77+1,$Y$74:$Z$85,2),"",1+G44)</f>
        <v>26</v>
      </c>
      <c r="B45" s="58">
        <f>IF(OR(A45=0,MAXA(A45)&gt;=VLOOKUP($AA77+1,$Y$74:$Z$85,2)),"",1+A45)</f>
        <v>27</v>
      </c>
      <c r="C45" s="58">
        <f>IF(OR(B45=0,MAXA($A45:B45)&gt;=VLOOKUP($AA77+1,$Y$74:$Z$85,2)),"",1+B45)</f>
        <v>28</v>
      </c>
      <c r="D45" s="58">
        <f>IF(OR(C45=0,MAXA($A45:C45)&gt;=VLOOKUP($AA77+1,$Y$74:$Z$85,2)),"",1+C45)</f>
        <v>29</v>
      </c>
      <c r="E45" s="58">
        <f>IF(OR(D45=0,MAXA($A45:D45)&gt;=VLOOKUP($AA77+1,$Y$74:$Z$85,2)),"",1+D45)</f>
        <v>30</v>
      </c>
      <c r="F45" s="58" t="str">
        <f>IF(OR(E45=0,MAXA($A45:E45)&gt;=VLOOKUP($AA77+1,$Y$74:$Z$85,2)),"",1+E45)</f>
        <v/>
      </c>
      <c r="G45" s="59" t="str">
        <f>IF(OR(F45=0,MAXA($A45:F45)&gt;=VLOOKUP($AA77+1,$Y$74:$Z$85,2)),"",1+F45)</f>
        <v/>
      </c>
      <c r="I45" s="57">
        <f>IF((1+O44)&gt;=VLOOKUP($AA78+1,$Y$74:$Z$85,2),"",1+O44)</f>
        <v>24</v>
      </c>
      <c r="J45" s="58">
        <f>IF(OR(I45=0,MAXA($H45:I45)&gt;=VLOOKUP($AA78+1,$Y$74:$Z$85,2)),"",1+I45)</f>
        <v>25</v>
      </c>
      <c r="K45" s="58">
        <f>IF(OR(J45=0,MAXA($H45:J45)&gt;=VLOOKUP($AA78+1,$Y$74:$Z$85,2)),"",1+J45)</f>
        <v>26</v>
      </c>
      <c r="L45" s="58">
        <f>IF(OR(K45=0,MAXA($H45:K45)&gt;=VLOOKUP($AA78+1,$Y$74:$Z$85,2)),"",1+K45)</f>
        <v>27</v>
      </c>
      <c r="M45" s="58">
        <f>IF(OR(L45=0,MAXA($H45:L45)&gt;=VLOOKUP($AA78+1,$Y$74:$Z$85,2)),"",1+L45)</f>
        <v>28</v>
      </c>
      <c r="N45" s="58">
        <f>IF(OR(M45=0,MAXA($H45:M45)&gt;=VLOOKUP($AA78+1,$Y$74:$Z$85,2)),"",1+M45)</f>
        <v>29</v>
      </c>
      <c r="O45" s="59">
        <f>IF(OR(N45=0,MAXA($H45:N45)&gt;=VLOOKUP($AA78+1,$Y$74:$Z$85,2)),"",1+N45)</f>
        <v>30</v>
      </c>
      <c r="Q45" s="57">
        <f>IF((1+W44)&gt;=VLOOKUP($AA79+1,$Y$74:$Z$85,2),"",1+W44)</f>
        <v>28</v>
      </c>
      <c r="R45" s="58">
        <f>IF(OR(Q45=0,MAXA(Q45)&gt;=VLOOKUP($AA79+1,$Y$74:$Z$85,2)),"",1+Q45)</f>
        <v>29</v>
      </c>
      <c r="S45" s="58">
        <f>IF(OR(R45=0,MAXA($Q45:R45)&gt;=VLOOKUP($AA79+1,$Y$74:$Z$85,2)),"",1+R45)</f>
        <v>30</v>
      </c>
      <c r="T45" s="58" t="str">
        <f>IF(OR(S45=0,MAXA($Q45:S45)&gt;=VLOOKUP($AA79+1,$Y$74:$Z$85,2)),"",1+S45)</f>
        <v/>
      </c>
      <c r="U45" s="58" t="str">
        <f>IF(OR(T45=0,MAXA($Q45:T45)&gt;=VLOOKUP($AA79+1,$Y$74:$Z$85,2)),"",1+T45)</f>
        <v/>
      </c>
      <c r="V45" s="58" t="str">
        <f>IF(OR(U45=0,MAXA($Q45:U45)&gt;=VLOOKUP($AA79+1,$Y$74:$Z$85,2)),"",1+U45)</f>
        <v/>
      </c>
      <c r="W45" s="59" t="str">
        <f>IF(OR(V45=0,MAXA($Q45:V45)&gt;=VLOOKUP($AA79+1,$Y$74:$Z$85,2)),"",1+V45)</f>
        <v/>
      </c>
    </row>
    <row r="46" spans="1:23" ht="14.1" customHeight="1" thickBot="1" x14ac:dyDescent="0.25">
      <c r="A46" s="60" t="str">
        <f>IF(OR(G45=0,(1+MAXA($A45:$G45))&gt;VLOOKUP($AA77+1,$Y$74:$Z$85,2)),"",1+G45)</f>
        <v/>
      </c>
      <c r="B46" s="61" t="str">
        <f>IF(OR(A45=0,(1+MAXA($A45:$G45))&gt;=VLOOKUP($AA77+1,$Y$74:$Z$85,2)),"",1+A46)</f>
        <v/>
      </c>
      <c r="C46" s="62"/>
      <c r="D46" s="62"/>
      <c r="E46" s="62"/>
      <c r="F46" s="62"/>
      <c r="G46" s="63"/>
      <c r="I46" s="60">
        <f>IF(OR(O45=0,(1+MAXA($I45:$O45))&gt;VLOOKUP($AA78+1,$Y$74:$Z$85,2)),"",1+O45)</f>
        <v>31</v>
      </c>
      <c r="J46" s="61" t="str">
        <f>IF(OR(I46=0,(1+MAXA($I45:$O45))&gt;=VLOOKUP(AA78+1,$Y$74:$Z$85,2)),"",1+I46)</f>
        <v/>
      </c>
      <c r="K46" s="62"/>
      <c r="L46" s="62"/>
      <c r="M46" s="62"/>
      <c r="N46" s="62"/>
      <c r="O46" s="63"/>
      <c r="Q46" s="60" t="str">
        <f>IF(OR(W45=0,(1+MAXA($Q45:$W45))&gt;VLOOKUP($AA79+1,$Y$74:$Z$85,2)),"",1+W45)</f>
        <v/>
      </c>
      <c r="R46" s="61" t="str">
        <f>IF(OR(Q45=0,(1+MAXA($Q45:$W45))&gt;=VLOOKUP($AA79+1,$Y$74:$Z$85,2)),"",1+Q46)</f>
        <v/>
      </c>
      <c r="S46" s="62"/>
      <c r="T46" s="62"/>
      <c r="U46" s="62"/>
      <c r="V46" s="62"/>
      <c r="W46" s="63"/>
    </row>
    <row r="47" spans="1:23" ht="15" customHeight="1" x14ac:dyDescent="0.2"/>
    <row r="48" spans="1:23" ht="15" customHeight="1" thickBot="1" x14ac:dyDescent="0.25"/>
    <row r="49" spans="1:23" x14ac:dyDescent="0.2">
      <c r="A49" s="46" t="s">
        <v>64</v>
      </c>
      <c r="B49" s="47"/>
      <c r="C49" s="48"/>
      <c r="D49" s="48"/>
      <c r="E49" s="47"/>
      <c r="F49" s="47"/>
      <c r="G49" s="49"/>
      <c r="H49" s="50"/>
      <c r="I49" s="46" t="s">
        <v>65</v>
      </c>
      <c r="J49" s="47"/>
      <c r="K49" s="48"/>
      <c r="L49" s="47"/>
      <c r="M49" s="47"/>
      <c r="N49" s="47"/>
      <c r="O49" s="49"/>
      <c r="P49" s="50"/>
      <c r="Q49" s="46" t="s">
        <v>66</v>
      </c>
      <c r="R49" s="47"/>
      <c r="S49" s="48"/>
      <c r="T49" s="47"/>
      <c r="U49" s="47"/>
      <c r="V49" s="47"/>
      <c r="W49" s="49"/>
    </row>
    <row r="50" spans="1:23" ht="14.1" customHeight="1" thickBot="1" x14ac:dyDescent="0.25">
      <c r="A50" s="51" t="s">
        <v>57</v>
      </c>
      <c r="B50" s="52" t="s">
        <v>58</v>
      </c>
      <c r="C50" s="52" t="s">
        <v>59</v>
      </c>
      <c r="D50" s="52" t="s">
        <v>60</v>
      </c>
      <c r="E50" s="52" t="s">
        <v>60</v>
      </c>
      <c r="F50" s="52" t="s">
        <v>58</v>
      </c>
      <c r="G50" s="53" t="s">
        <v>58</v>
      </c>
      <c r="I50" s="51" t="s">
        <v>57</v>
      </c>
      <c r="J50" s="52" t="s">
        <v>58</v>
      </c>
      <c r="K50" s="52" t="s">
        <v>59</v>
      </c>
      <c r="L50" s="52" t="s">
        <v>60</v>
      </c>
      <c r="M50" s="52" t="s">
        <v>60</v>
      </c>
      <c r="N50" s="52" t="s">
        <v>58</v>
      </c>
      <c r="O50" s="53" t="s">
        <v>58</v>
      </c>
      <c r="Q50" s="51" t="s">
        <v>57</v>
      </c>
      <c r="R50" s="52" t="s">
        <v>58</v>
      </c>
      <c r="S50" s="52" t="s">
        <v>59</v>
      </c>
      <c r="T50" s="52" t="s">
        <v>60</v>
      </c>
      <c r="U50" s="52" t="s">
        <v>60</v>
      </c>
      <c r="V50" s="52" t="s">
        <v>58</v>
      </c>
      <c r="W50" s="53" t="s">
        <v>58</v>
      </c>
    </row>
    <row r="51" spans="1:23" ht="14.1" customHeight="1" x14ac:dyDescent="0.2">
      <c r="A51" s="54" t="str">
        <f>IF($AF$80=Z87,1,"")</f>
        <v/>
      </c>
      <c r="B51" s="55" t="str">
        <f t="shared" ref="B51:G51" si="12">IF(OR($AF$80=AA87,A51&gt;=1),1+A51,"")</f>
        <v/>
      </c>
      <c r="C51" s="55" t="str">
        <f t="shared" si="12"/>
        <v/>
      </c>
      <c r="D51" s="55">
        <f t="shared" si="12"/>
        <v>1</v>
      </c>
      <c r="E51" s="55">
        <f t="shared" si="12"/>
        <v>2</v>
      </c>
      <c r="F51" s="55">
        <f t="shared" si="12"/>
        <v>3</v>
      </c>
      <c r="G51" s="56">
        <f t="shared" si="12"/>
        <v>4</v>
      </c>
      <c r="I51" s="54" t="str">
        <f>IF($AF$81=Z87,1,"")</f>
        <v/>
      </c>
      <c r="J51" s="55" t="str">
        <f t="shared" ref="J51:O51" si="13">IF(OR($AF$81=AA87,I51&gt;=1),1+I51,"")</f>
        <v/>
      </c>
      <c r="K51" s="55" t="str">
        <f t="shared" si="13"/>
        <v/>
      </c>
      <c r="L51" s="55" t="str">
        <f t="shared" si="13"/>
        <v/>
      </c>
      <c r="M51" s="55" t="str">
        <f t="shared" si="13"/>
        <v/>
      </c>
      <c r="N51" s="55" t="str">
        <f t="shared" si="13"/>
        <v/>
      </c>
      <c r="O51" s="56">
        <f t="shared" si="13"/>
        <v>1</v>
      </c>
      <c r="Q51" s="54" t="str">
        <f>IF($AF$82=Z87,1,"")</f>
        <v/>
      </c>
      <c r="R51" s="55" t="str">
        <f t="shared" ref="R51:W51" si="14">IF(OR($AF$82=AA87,Q51&gt;=1),1+Q51,"")</f>
        <v/>
      </c>
      <c r="S51" s="55">
        <f t="shared" si="14"/>
        <v>1</v>
      </c>
      <c r="T51" s="55">
        <f t="shared" si="14"/>
        <v>2</v>
      </c>
      <c r="U51" s="55">
        <f t="shared" si="14"/>
        <v>3</v>
      </c>
      <c r="V51" s="55">
        <f t="shared" si="14"/>
        <v>4</v>
      </c>
      <c r="W51" s="56">
        <f t="shared" si="14"/>
        <v>5</v>
      </c>
    </row>
    <row r="52" spans="1:23" ht="14.1" customHeight="1" x14ac:dyDescent="0.2">
      <c r="A52" s="57">
        <f>1+G51</f>
        <v>5</v>
      </c>
      <c r="B52" s="58">
        <f t="shared" ref="B52:F54" si="15">1+A52</f>
        <v>6</v>
      </c>
      <c r="C52" s="58">
        <f t="shared" si="15"/>
        <v>7</v>
      </c>
      <c r="D52" s="58">
        <f t="shared" si="15"/>
        <v>8</v>
      </c>
      <c r="E52" s="58">
        <f t="shared" si="15"/>
        <v>9</v>
      </c>
      <c r="F52" s="58">
        <f t="shared" si="15"/>
        <v>10</v>
      </c>
      <c r="G52" s="59">
        <f>F52+1</f>
        <v>11</v>
      </c>
      <c r="I52" s="57">
        <f>1+O51</f>
        <v>2</v>
      </c>
      <c r="J52" s="58">
        <f t="shared" ref="J52:N54" si="16">1+I52</f>
        <v>3</v>
      </c>
      <c r="K52" s="58">
        <f t="shared" si="16"/>
        <v>4</v>
      </c>
      <c r="L52" s="58">
        <f t="shared" si="16"/>
        <v>5</v>
      </c>
      <c r="M52" s="58">
        <f t="shared" si="16"/>
        <v>6</v>
      </c>
      <c r="N52" s="58">
        <f t="shared" si="16"/>
        <v>7</v>
      </c>
      <c r="O52" s="59">
        <f>N52+1</f>
        <v>8</v>
      </c>
      <c r="Q52" s="57">
        <f>1+W51</f>
        <v>6</v>
      </c>
      <c r="R52" s="58">
        <f t="shared" ref="R52:V54" si="17">1+Q52</f>
        <v>7</v>
      </c>
      <c r="S52" s="58">
        <f t="shared" si="17"/>
        <v>8</v>
      </c>
      <c r="T52" s="58">
        <f t="shared" si="17"/>
        <v>9</v>
      </c>
      <c r="U52" s="58">
        <f t="shared" si="17"/>
        <v>10</v>
      </c>
      <c r="V52" s="58">
        <f t="shared" si="17"/>
        <v>11</v>
      </c>
      <c r="W52" s="59">
        <f>V52+1</f>
        <v>12</v>
      </c>
    </row>
    <row r="53" spans="1:23" ht="14.1" customHeight="1" x14ac:dyDescent="0.2">
      <c r="A53" s="57">
        <f>1+G52</f>
        <v>12</v>
      </c>
      <c r="B53" s="58">
        <f t="shared" si="15"/>
        <v>13</v>
      </c>
      <c r="C53" s="58">
        <f t="shared" si="15"/>
        <v>14</v>
      </c>
      <c r="D53" s="58">
        <f t="shared" si="15"/>
        <v>15</v>
      </c>
      <c r="E53" s="58">
        <f t="shared" si="15"/>
        <v>16</v>
      </c>
      <c r="F53" s="58">
        <f t="shared" si="15"/>
        <v>17</v>
      </c>
      <c r="G53" s="59">
        <f>F53+1</f>
        <v>18</v>
      </c>
      <c r="I53" s="57">
        <f>1+O52</f>
        <v>9</v>
      </c>
      <c r="J53" s="58">
        <f t="shared" si="16"/>
        <v>10</v>
      </c>
      <c r="K53" s="58">
        <f t="shared" si="16"/>
        <v>11</v>
      </c>
      <c r="L53" s="58">
        <f t="shared" si="16"/>
        <v>12</v>
      </c>
      <c r="M53" s="58">
        <f t="shared" si="16"/>
        <v>13</v>
      </c>
      <c r="N53" s="58">
        <f t="shared" si="16"/>
        <v>14</v>
      </c>
      <c r="O53" s="59">
        <f>N53+1</f>
        <v>15</v>
      </c>
      <c r="Q53" s="57">
        <f>1+W52</f>
        <v>13</v>
      </c>
      <c r="R53" s="58">
        <f t="shared" si="17"/>
        <v>14</v>
      </c>
      <c r="S53" s="58">
        <f t="shared" si="17"/>
        <v>15</v>
      </c>
      <c r="T53" s="58">
        <f t="shared" si="17"/>
        <v>16</v>
      </c>
      <c r="U53" s="58">
        <f t="shared" si="17"/>
        <v>17</v>
      </c>
      <c r="V53" s="58">
        <f t="shared" si="17"/>
        <v>18</v>
      </c>
      <c r="W53" s="59">
        <f>V53+1</f>
        <v>19</v>
      </c>
    </row>
    <row r="54" spans="1:23" ht="14.1" customHeight="1" x14ac:dyDescent="0.2">
      <c r="A54" s="57">
        <f>1+G53</f>
        <v>19</v>
      </c>
      <c r="B54" s="58">
        <f t="shared" si="15"/>
        <v>20</v>
      </c>
      <c r="C54" s="58">
        <f t="shared" si="15"/>
        <v>21</v>
      </c>
      <c r="D54" s="58">
        <f t="shared" si="15"/>
        <v>22</v>
      </c>
      <c r="E54" s="58">
        <f t="shared" si="15"/>
        <v>23</v>
      </c>
      <c r="F54" s="58">
        <f t="shared" si="15"/>
        <v>24</v>
      </c>
      <c r="G54" s="59">
        <f>1+F54</f>
        <v>25</v>
      </c>
      <c r="I54" s="57">
        <f>1+O53</f>
        <v>16</v>
      </c>
      <c r="J54" s="58">
        <f t="shared" si="16"/>
        <v>17</v>
      </c>
      <c r="K54" s="58">
        <f t="shared" si="16"/>
        <v>18</v>
      </c>
      <c r="L54" s="58">
        <f t="shared" si="16"/>
        <v>19</v>
      </c>
      <c r="M54" s="58">
        <f t="shared" si="16"/>
        <v>20</v>
      </c>
      <c r="N54" s="58">
        <f t="shared" si="16"/>
        <v>21</v>
      </c>
      <c r="O54" s="59">
        <f>1+N54</f>
        <v>22</v>
      </c>
      <c r="Q54" s="57">
        <f>1+W53</f>
        <v>20</v>
      </c>
      <c r="R54" s="58">
        <f t="shared" si="17"/>
        <v>21</v>
      </c>
      <c r="S54" s="58">
        <f t="shared" si="17"/>
        <v>22</v>
      </c>
      <c r="T54" s="58">
        <f t="shared" si="17"/>
        <v>23</v>
      </c>
      <c r="U54" s="58">
        <f t="shared" si="17"/>
        <v>24</v>
      </c>
      <c r="V54" s="58">
        <f t="shared" si="17"/>
        <v>25</v>
      </c>
      <c r="W54" s="59">
        <f>1+V54</f>
        <v>26</v>
      </c>
    </row>
    <row r="55" spans="1:23" ht="14.1" customHeight="1" x14ac:dyDescent="0.2">
      <c r="A55" s="57">
        <f>IF((1+G54)&gt;=VLOOKUP($AA$80+1,$Y$74:$Z$85,2),"",1+G54)</f>
        <v>26</v>
      </c>
      <c r="B55" s="58">
        <f>IF(OR(A55=0,MAXA(A55)&gt;=VLOOKUP($AA80+1,$Y$74:$Z$85,2)),"",1+A55)</f>
        <v>27</v>
      </c>
      <c r="C55" s="58">
        <f>IF(OR(B55=0,MAXA($A55:B55)&gt;=VLOOKUP($AA80+1,$Y$74:$Z$85,2)),"",1+B55)</f>
        <v>28</v>
      </c>
      <c r="D55" s="58">
        <f>IF(OR(C55=0,MAXA($A55:C55)&gt;=VLOOKUP($AA80+1,$Y$74:$Z$85,2)),"",1+C55)</f>
        <v>29</v>
      </c>
      <c r="E55" s="58">
        <f>IF(OR(D55=0,MAXA($A55:D55)&gt;=VLOOKUP($AA80+1,$Y$74:$Z$85,2)),"",1+D55)</f>
        <v>30</v>
      </c>
      <c r="F55" s="58">
        <f>IF(OR(E55=0,MAXA($A55:E55)&gt;=VLOOKUP($AA80+1,$Y$74:$Z$85,2)),"",1+E55)</f>
        <v>31</v>
      </c>
      <c r="G55" s="59" t="str">
        <f>IF(OR(F55=0,MAXA($A55:F55)&gt;=VLOOKUP($AA80+1,$Y$74:$Z$85,2)),"",1+F55)</f>
        <v/>
      </c>
      <c r="I55" s="57">
        <f>IF((1+O54)&gt;=VLOOKUP($AA81+1,$Y$74:$Z$85,2),"",1+O54)</f>
        <v>23</v>
      </c>
      <c r="J55" s="58">
        <f>IF(OR(I55=0,MAXA($H55:I55)&gt;=VLOOKUP($AA81+1,$Y$74:$Z$85,2)),"",1+I55)</f>
        <v>24</v>
      </c>
      <c r="K55" s="58">
        <f>IF(OR(J55=0,MAXA($H55:J55)&gt;=VLOOKUP($AA81+1,$Y$74:$Z$85,2)),"",1+J55)</f>
        <v>25</v>
      </c>
      <c r="L55" s="58">
        <f>IF(OR(K55=0,MAXA($H55:K55)&gt;=VLOOKUP($AA81+1,$Y$74:$Z$85,2)),"",1+K55)</f>
        <v>26</v>
      </c>
      <c r="M55" s="58">
        <f>IF(OR(L55=0,MAXA($H55:L55)&gt;=VLOOKUP($AA81+1,$Y$74:$Z$85,2)),"",1+L55)</f>
        <v>27</v>
      </c>
      <c r="N55" s="58">
        <f>IF(OR(M55=0,MAXA($H55:M55)&gt;=VLOOKUP($AA81+1,$Y$74:$Z$85,2)),"",1+M55)</f>
        <v>28</v>
      </c>
      <c r="O55" s="59">
        <f>IF(OR(N55=0,MAXA($H55:N55)&gt;=VLOOKUP($AA81+1,$Y$74:$Z$85,2)),"",1+N55)</f>
        <v>29</v>
      </c>
      <c r="Q55" s="57">
        <f>IF((1+W54)&gt;=VLOOKUP($AA82+1,$Y$74:$Z$85,2),"",1+W54)</f>
        <v>27</v>
      </c>
      <c r="R55" s="58">
        <f>IF(OR(Q55=0,MAXA(Q55)&gt;=VLOOKUP($AA82+1,$Y$74:$Z$85,2)),"",1+Q55)</f>
        <v>28</v>
      </c>
      <c r="S55" s="58">
        <f>IF(OR(R55=0,MAXA($Q55:R55)&gt;=VLOOKUP($AA82+1,$Y$74:$Z$85,2)),"",1+R55)</f>
        <v>29</v>
      </c>
      <c r="T55" s="58">
        <f>IF(OR(S55=0,MAXA($Q55:S55)&gt;=VLOOKUP($AA82+1,$Y$74:$Z$85,2)),"",1+S55)</f>
        <v>30</v>
      </c>
      <c r="U55" s="58" t="str">
        <f>IF(OR(T55=0,MAXA($Q55:T55)&gt;=VLOOKUP($AA82+1,$Y$74:$Z$85,2)),"",1+T55)</f>
        <v/>
      </c>
      <c r="V55" s="58" t="str">
        <f>IF(OR(U55=0,MAXA($Q55:U55)&gt;=VLOOKUP($AA82+1,$Y$74:$Z$85,2)),"",1+U55)</f>
        <v/>
      </c>
      <c r="W55" s="59" t="str">
        <f>IF(OR(V55=0,MAXA($Q55:V55)&gt;=VLOOKUP($AA82+1,$Y$74:$Z$85,2)),"",1+V55)</f>
        <v/>
      </c>
    </row>
    <row r="56" spans="1:23" ht="14.1" customHeight="1" thickBot="1" x14ac:dyDescent="0.25">
      <c r="A56" s="60" t="str">
        <f>IF(OR(G55=0,(1+MAXA($A55:$G55))&gt;VLOOKUP($AA80+1,$Y$74:$Z$85,2)),"",1+G55)</f>
        <v/>
      </c>
      <c r="B56" s="61" t="str">
        <f>IF(OR(A55=0,(1+MAXA($A55:$G55))&gt;=VLOOKUP($AA80+1,$Y$74:$Z$85,2)),"",1+A56)</f>
        <v/>
      </c>
      <c r="C56" s="62"/>
      <c r="D56" s="62"/>
      <c r="E56" s="62"/>
      <c r="F56" s="62"/>
      <c r="G56" s="63"/>
      <c r="I56" s="60">
        <f>IF(OR(O55=0,(1+MAXA($I55:$O55))&gt;VLOOKUP($AA74+1,$Y$74:$Z$85,2)),"",1+O55)</f>
        <v>30</v>
      </c>
      <c r="J56" s="61">
        <f>IF(OR(I56=0,(1+MAXA($I55:$O55))&gt;=VLOOKUP(AA74+1,$Y$74:$Z$85,2)),"",1+I56)</f>
        <v>31</v>
      </c>
      <c r="K56" s="62"/>
      <c r="L56" s="62"/>
      <c r="M56" s="62"/>
      <c r="N56" s="62"/>
      <c r="O56" s="63"/>
      <c r="Q56" s="60" t="str">
        <f>IF(OR(W55=0,(1+MAXA($Q55:$W55))&gt;VLOOKUP($AA82+1,$Y$74:$Z$85,2)),"",1+W55)</f>
        <v/>
      </c>
      <c r="R56" s="61" t="str">
        <f>IF(OR(Q55=0,(1+MAXA($Q55:$W55))&gt;=VLOOKUP($AA82+1,$Y$74:$Z$85,2)),"",1+Q56)</f>
        <v/>
      </c>
      <c r="S56" s="62"/>
      <c r="T56" s="62"/>
      <c r="U56" s="62"/>
      <c r="V56" s="62"/>
      <c r="W56" s="63"/>
    </row>
    <row r="57" spans="1:23" ht="15" customHeight="1" x14ac:dyDescent="0.2"/>
    <row r="58" spans="1:23" ht="15" customHeight="1" thickBot="1" x14ac:dyDescent="0.25"/>
    <row r="59" spans="1:23" x14ac:dyDescent="0.2">
      <c r="A59" s="46" t="s">
        <v>67</v>
      </c>
      <c r="B59" s="47"/>
      <c r="C59" s="48"/>
      <c r="D59" s="47"/>
      <c r="E59" s="47"/>
      <c r="F59" s="47"/>
      <c r="G59" s="49"/>
      <c r="H59" s="50"/>
      <c r="I59" s="46" t="s">
        <v>68</v>
      </c>
      <c r="J59" s="47"/>
      <c r="K59" s="48"/>
      <c r="L59" s="47"/>
      <c r="M59" s="47"/>
      <c r="N59" s="47"/>
      <c r="O59" s="49"/>
      <c r="P59" s="50"/>
      <c r="Q59" s="46" t="s">
        <v>69</v>
      </c>
      <c r="R59" s="47"/>
      <c r="S59" s="48"/>
      <c r="T59" s="47"/>
      <c r="U59" s="47"/>
      <c r="V59" s="47"/>
      <c r="W59" s="49"/>
    </row>
    <row r="60" spans="1:23" ht="14.1" customHeight="1" thickBot="1" x14ac:dyDescent="0.25">
      <c r="A60" s="51" t="s">
        <v>57</v>
      </c>
      <c r="B60" s="52" t="s">
        <v>58</v>
      </c>
      <c r="C60" s="52" t="s">
        <v>59</v>
      </c>
      <c r="D60" s="52" t="s">
        <v>60</v>
      </c>
      <c r="E60" s="52" t="s">
        <v>60</v>
      </c>
      <c r="F60" s="52" t="s">
        <v>58</v>
      </c>
      <c r="G60" s="53" t="s">
        <v>58</v>
      </c>
      <c r="I60" s="51" t="s">
        <v>57</v>
      </c>
      <c r="J60" s="52" t="s">
        <v>58</v>
      </c>
      <c r="K60" s="52" t="s">
        <v>59</v>
      </c>
      <c r="L60" s="52" t="s">
        <v>60</v>
      </c>
      <c r="M60" s="52" t="s">
        <v>60</v>
      </c>
      <c r="N60" s="52" t="s">
        <v>58</v>
      </c>
      <c r="O60" s="53" t="s">
        <v>58</v>
      </c>
      <c r="Q60" s="51" t="s">
        <v>57</v>
      </c>
      <c r="R60" s="52" t="s">
        <v>58</v>
      </c>
      <c r="S60" s="52" t="s">
        <v>59</v>
      </c>
      <c r="T60" s="52" t="s">
        <v>60</v>
      </c>
      <c r="U60" s="52" t="s">
        <v>60</v>
      </c>
      <c r="V60" s="52" t="s">
        <v>58</v>
      </c>
      <c r="W60" s="53" t="s">
        <v>58</v>
      </c>
    </row>
    <row r="61" spans="1:23" ht="14.1" customHeight="1" x14ac:dyDescent="0.2">
      <c r="A61" s="54" t="str">
        <f>IF($AF$83=Z87,1,"")</f>
        <v/>
      </c>
      <c r="B61" s="55" t="str">
        <f t="shared" ref="B61:G61" si="18">IF(OR($AF$83=AA87,A61&gt;=1),1+A61,"")</f>
        <v/>
      </c>
      <c r="C61" s="55" t="str">
        <f t="shared" si="18"/>
        <v/>
      </c>
      <c r="D61" s="55" t="str">
        <f t="shared" si="18"/>
        <v/>
      </c>
      <c r="E61" s="55">
        <f t="shared" si="18"/>
        <v>1</v>
      </c>
      <c r="F61" s="55">
        <f t="shared" si="18"/>
        <v>2</v>
      </c>
      <c r="G61" s="56">
        <f t="shared" si="18"/>
        <v>3</v>
      </c>
      <c r="I61" s="54">
        <f>IF($AF$84=Z87,1,"")</f>
        <v>1</v>
      </c>
      <c r="J61" s="55">
        <f t="shared" ref="J61:O61" si="19">IF(OR($AF$84=AA87,I61&gt;=1),1+I61,"")</f>
        <v>2</v>
      </c>
      <c r="K61" s="55">
        <f t="shared" si="19"/>
        <v>3</v>
      </c>
      <c r="L61" s="55">
        <f t="shared" si="19"/>
        <v>4</v>
      </c>
      <c r="M61" s="55">
        <f t="shared" si="19"/>
        <v>5</v>
      </c>
      <c r="N61" s="55">
        <f t="shared" si="19"/>
        <v>6</v>
      </c>
      <c r="O61" s="56">
        <f t="shared" si="19"/>
        <v>7</v>
      </c>
      <c r="Q61" s="54" t="str">
        <f>IF($AF$85=Z87,1,"")</f>
        <v/>
      </c>
      <c r="R61" s="65" t="str">
        <f t="shared" ref="R61:W61" si="20">IF(OR($AF$85=AA87,Q61&gt;=1),1+Q61,"")</f>
        <v/>
      </c>
      <c r="S61" s="55">
        <f t="shared" si="20"/>
        <v>1</v>
      </c>
      <c r="T61" s="55">
        <f t="shared" si="20"/>
        <v>2</v>
      </c>
      <c r="U61" s="55">
        <f t="shared" si="20"/>
        <v>3</v>
      </c>
      <c r="V61" s="55">
        <f t="shared" si="20"/>
        <v>4</v>
      </c>
      <c r="W61" s="56">
        <f t="shared" si="20"/>
        <v>5</v>
      </c>
    </row>
    <row r="62" spans="1:23" ht="14.1" customHeight="1" x14ac:dyDescent="0.2">
      <c r="A62" s="57">
        <f>1+G61</f>
        <v>4</v>
      </c>
      <c r="B62" s="58">
        <f t="shared" ref="B62:F64" si="21">1+A62</f>
        <v>5</v>
      </c>
      <c r="C62" s="58">
        <f t="shared" si="21"/>
        <v>6</v>
      </c>
      <c r="D62" s="58">
        <f t="shared" si="21"/>
        <v>7</v>
      </c>
      <c r="E62" s="58">
        <f t="shared" si="21"/>
        <v>8</v>
      </c>
      <c r="F62" s="58">
        <f t="shared" si="21"/>
        <v>9</v>
      </c>
      <c r="G62" s="59">
        <f>F62+1</f>
        <v>10</v>
      </c>
      <c r="I62" s="57">
        <f>1+O61</f>
        <v>8</v>
      </c>
      <c r="J62" s="58">
        <f t="shared" ref="J62:N64" si="22">1+I62</f>
        <v>9</v>
      </c>
      <c r="K62" s="58">
        <f t="shared" si="22"/>
        <v>10</v>
      </c>
      <c r="L62" s="58">
        <f t="shared" si="22"/>
        <v>11</v>
      </c>
      <c r="M62" s="58">
        <f t="shared" si="22"/>
        <v>12</v>
      </c>
      <c r="N62" s="58">
        <f t="shared" si="22"/>
        <v>13</v>
      </c>
      <c r="O62" s="59">
        <f>N62+1</f>
        <v>14</v>
      </c>
      <c r="Q62" s="57">
        <f>1+W61</f>
        <v>6</v>
      </c>
      <c r="R62" s="66">
        <f t="shared" ref="R62:V64" si="23">1+Q62</f>
        <v>7</v>
      </c>
      <c r="S62" s="58">
        <f t="shared" si="23"/>
        <v>8</v>
      </c>
      <c r="T62" s="58">
        <f t="shared" si="23"/>
        <v>9</v>
      </c>
      <c r="U62" s="58">
        <f t="shared" si="23"/>
        <v>10</v>
      </c>
      <c r="V62" s="58">
        <f t="shared" si="23"/>
        <v>11</v>
      </c>
      <c r="W62" s="59">
        <f>V62+1</f>
        <v>12</v>
      </c>
    </row>
    <row r="63" spans="1:23" ht="14.1" customHeight="1" x14ac:dyDescent="0.2">
      <c r="A63" s="57">
        <f>1+G62</f>
        <v>11</v>
      </c>
      <c r="B63" s="58">
        <f t="shared" si="21"/>
        <v>12</v>
      </c>
      <c r="C63" s="58">
        <f t="shared" si="21"/>
        <v>13</v>
      </c>
      <c r="D63" s="58">
        <f t="shared" si="21"/>
        <v>14</v>
      </c>
      <c r="E63" s="58">
        <f t="shared" si="21"/>
        <v>15</v>
      </c>
      <c r="F63" s="58">
        <f t="shared" si="21"/>
        <v>16</v>
      </c>
      <c r="G63" s="59">
        <f>F63+1</f>
        <v>17</v>
      </c>
      <c r="I63" s="57">
        <f>1+O62</f>
        <v>15</v>
      </c>
      <c r="J63" s="58">
        <f t="shared" si="22"/>
        <v>16</v>
      </c>
      <c r="K63" s="58">
        <f t="shared" si="22"/>
        <v>17</v>
      </c>
      <c r="L63" s="58">
        <f t="shared" si="22"/>
        <v>18</v>
      </c>
      <c r="M63" s="58">
        <f t="shared" si="22"/>
        <v>19</v>
      </c>
      <c r="N63" s="58">
        <f t="shared" si="22"/>
        <v>20</v>
      </c>
      <c r="O63" s="59">
        <f>N63+1</f>
        <v>21</v>
      </c>
      <c r="Q63" s="57">
        <f>1+W62</f>
        <v>13</v>
      </c>
      <c r="R63" s="66">
        <f t="shared" si="23"/>
        <v>14</v>
      </c>
      <c r="S63" s="58">
        <f t="shared" si="23"/>
        <v>15</v>
      </c>
      <c r="T63" s="58">
        <f t="shared" si="23"/>
        <v>16</v>
      </c>
      <c r="U63" s="58">
        <f t="shared" si="23"/>
        <v>17</v>
      </c>
      <c r="V63" s="58">
        <f t="shared" si="23"/>
        <v>18</v>
      </c>
      <c r="W63" s="59">
        <f>V63+1</f>
        <v>19</v>
      </c>
    </row>
    <row r="64" spans="1:23" ht="14.1" customHeight="1" x14ac:dyDescent="0.2">
      <c r="A64" s="57">
        <f>1+G63</f>
        <v>18</v>
      </c>
      <c r="B64" s="58">
        <f t="shared" si="21"/>
        <v>19</v>
      </c>
      <c r="C64" s="58">
        <f t="shared" si="21"/>
        <v>20</v>
      </c>
      <c r="D64" s="58">
        <f t="shared" si="21"/>
        <v>21</v>
      </c>
      <c r="E64" s="58">
        <f t="shared" si="21"/>
        <v>22</v>
      </c>
      <c r="F64" s="58">
        <f t="shared" si="21"/>
        <v>23</v>
      </c>
      <c r="G64" s="59">
        <f>1+F64</f>
        <v>24</v>
      </c>
      <c r="I64" s="57">
        <f>1+O63</f>
        <v>22</v>
      </c>
      <c r="J64" s="58">
        <f t="shared" si="22"/>
        <v>23</v>
      </c>
      <c r="K64" s="58">
        <f t="shared" si="22"/>
        <v>24</v>
      </c>
      <c r="L64" s="58">
        <f t="shared" si="22"/>
        <v>25</v>
      </c>
      <c r="M64" s="58">
        <f t="shared" si="22"/>
        <v>26</v>
      </c>
      <c r="N64" s="58">
        <f t="shared" si="22"/>
        <v>27</v>
      </c>
      <c r="O64" s="59">
        <f>1+N64</f>
        <v>28</v>
      </c>
      <c r="Q64" s="57">
        <f>1+W63</f>
        <v>20</v>
      </c>
      <c r="R64" s="66">
        <f t="shared" si="23"/>
        <v>21</v>
      </c>
      <c r="S64" s="58">
        <f t="shared" si="23"/>
        <v>22</v>
      </c>
      <c r="T64" s="58">
        <f t="shared" si="23"/>
        <v>23</v>
      </c>
      <c r="U64" s="58">
        <f t="shared" si="23"/>
        <v>24</v>
      </c>
      <c r="V64" s="58">
        <f t="shared" si="23"/>
        <v>25</v>
      </c>
      <c r="W64" s="59">
        <f>1+V64</f>
        <v>26</v>
      </c>
    </row>
    <row r="65" spans="1:33" ht="14.1" customHeight="1" x14ac:dyDescent="0.2">
      <c r="A65" s="57">
        <f>IF((1+G64)&gt;=VLOOKUP($AA$83+1,$Y$74:$Z$85,2),"",1+G64)</f>
        <v>25</v>
      </c>
      <c r="B65" s="58">
        <f>IF(OR(A65=0,MAXA(A65)&gt;=VLOOKUP($AA83+1,$Y$74:$Z$85,2)),"",1+A65)</f>
        <v>26</v>
      </c>
      <c r="C65" s="58">
        <f>IF(OR(B65=0,MAXA($A65:B65)&gt;=VLOOKUP($AA83+1,$Y$74:$Z$85,2)),"",1+B65)</f>
        <v>27</v>
      </c>
      <c r="D65" s="58">
        <f>IF(OR(C65=0,MAXA($A65:C65)&gt;=VLOOKUP($AA83+1,$Y$74:$Z$85,2)),"",1+C65)</f>
        <v>28</v>
      </c>
      <c r="E65" s="58">
        <f>IF(OR(D65=0,MAXA($A65:D65)&gt;=VLOOKUP($AA83+1,$Y$74:$Z$85,2)),"",1+D65)</f>
        <v>29</v>
      </c>
      <c r="F65" s="58">
        <f>IF(OR(E65=0,MAXA($A65:E65)&gt;=VLOOKUP($AA83+1,$Y$74:$Z$85,2)),"",1+E65)</f>
        <v>30</v>
      </c>
      <c r="G65" s="59">
        <f>IF(OR(F65=0,MAXA($A65:F65)&gt;=VLOOKUP($AA83+1,$Y$74:$Z$85,2)),"",1+F65)</f>
        <v>31</v>
      </c>
      <c r="I65" s="57">
        <f>IF((1+O64)&gt;=VLOOKUP($AA84+1,$Y$74:$Z$85,2),"",1+O64)</f>
        <v>29</v>
      </c>
      <c r="J65" s="58">
        <f>IF(OR(I65=0,MAXA($H65:I65)&gt;=VLOOKUP($AA84+1,$Y$74:$Z$85,2)),"",1+I65)</f>
        <v>30</v>
      </c>
      <c r="K65" s="58" t="str">
        <f>IF(OR(J65=0,MAXA($H65:J65)&gt;=VLOOKUP($AA84+1,$Y$74:$Z$85,2)),"",1+J65)</f>
        <v/>
      </c>
      <c r="L65" s="58" t="str">
        <f>IF(OR(K65=0,MAXA($H65:K65)&gt;=VLOOKUP($AA84+1,$Y$74:$Z$85,2)),"",1+K65)</f>
        <v/>
      </c>
      <c r="M65" s="58" t="str">
        <f>IF(OR(L65=0,MAXA($H65:L65)&gt;=VLOOKUP($AA84+1,$Y$74:$Z$85,2)),"",1+L65)</f>
        <v/>
      </c>
      <c r="N65" s="58" t="str">
        <f>IF(OR(M65=0,MAXA($H65:M65)&gt;=VLOOKUP($AA84+1,$Y$74:$Z$85,2)),"",1+M65)</f>
        <v/>
      </c>
      <c r="O65" s="59" t="str">
        <f>IF(OR(N65=0,MAXA($H65:N65)&gt;=VLOOKUP($AA84+1,$Y$74:$Z$85,2)),"",1+N65)</f>
        <v/>
      </c>
      <c r="Q65" s="57">
        <f>IF((1+W64)&gt;=VLOOKUP($AA85+1,$Y$74:$Z$85,2),"",1+W64)</f>
        <v>27</v>
      </c>
      <c r="R65" s="66">
        <f>IF(OR(Q65=0,MAXA(Q65)&gt;=VLOOKUP($AA85+1,$Y$74:$Z$85,2)),"",1+Q65)</f>
        <v>28</v>
      </c>
      <c r="S65" s="58">
        <f>IF(OR(R65=0,MAXA($Q65:R65)&gt;=VLOOKUP($AA85+1,$Y$74:$Z$85,2)),"",1+R65)</f>
        <v>29</v>
      </c>
      <c r="T65" s="58">
        <f>IF(OR(S65=0,MAXA($Q65:S65)&gt;=VLOOKUP($AA85+1,$Y$74:$Z$85,2)),"",1+S65)</f>
        <v>30</v>
      </c>
      <c r="U65" s="58">
        <f>IF(OR(T65=0,MAXA($Q65:T65)&gt;=VLOOKUP($AA85+1,$Y$74:$Z$85,2)),"",1+T65)</f>
        <v>31</v>
      </c>
      <c r="V65" s="58" t="str">
        <f>IF(OR(U65=0,MAXA($Q65:U65)&gt;=VLOOKUP($AA85+1,$Y$74:$Z$85,2)),"",1+U65)</f>
        <v/>
      </c>
      <c r="W65" s="59" t="str">
        <f>IF(OR(V65=0,MAXA($Q65:V65)&gt;=VLOOKUP($AA85+1,$Y$74:$Z$85,2)),"",1+V65)</f>
        <v/>
      </c>
    </row>
    <row r="66" spans="1:33" ht="14.1" customHeight="1" thickBot="1" x14ac:dyDescent="0.25">
      <c r="A66" s="60" t="str">
        <f>IF(OR(G65=0,(1+MAXA($A65:$G65))&gt;VLOOKUP($AA83+1,$Y$74:$Z$85,2)),"",1+G65)</f>
        <v/>
      </c>
      <c r="B66" s="61" t="str">
        <f>IF(OR(A65=0,(1+MAXA($A65:$G65))&gt;=VLOOKUP($AA83+1,$Y$74:$Z$85,2)),"",1+A66)</f>
        <v/>
      </c>
      <c r="C66" s="62"/>
      <c r="D66" s="62"/>
      <c r="E66" s="62"/>
      <c r="F66" s="62"/>
      <c r="G66" s="63"/>
      <c r="I66" s="60" t="str">
        <f>IF(OR(O65=0,(1+MAXA($I65:$O65))&gt;VLOOKUP($AA84+1,$Y$74:$Z$85,2)),"",1+O65)</f>
        <v/>
      </c>
      <c r="J66" s="61" t="str">
        <f>IF(OR(I66=0,(1+MAXA($I65:$O65))&gt;=VLOOKUP(AA84+1,$Y$74:$Z$85,2)),"",1+I66)</f>
        <v/>
      </c>
      <c r="K66" s="62"/>
      <c r="L66" s="62"/>
      <c r="M66" s="62"/>
      <c r="N66" s="62"/>
      <c r="O66" s="63"/>
      <c r="Q66" s="60" t="str">
        <f>IF(OR(W65=0,(1+MAXA($Q65:$W65))&gt;VLOOKUP($AA85+1,$Y$74:$Z$85,2)),"",1+W65)</f>
        <v/>
      </c>
      <c r="R66" s="67" t="str">
        <f>IF(OR(Q65=0,(1+MAXA($Q65:$W65))&gt;=VLOOKUP($AA85+1,$Y$74:$Z$85,2)),"",1+Q66)</f>
        <v/>
      </c>
      <c r="S66" s="62"/>
      <c r="T66" s="62"/>
      <c r="U66" s="62"/>
      <c r="V66" s="62"/>
      <c r="W66" s="63"/>
    </row>
    <row r="71" spans="1:33" ht="13.5" thickBot="1" x14ac:dyDescent="0.25"/>
    <row r="72" spans="1:33" ht="18.75" thickTop="1" x14ac:dyDescent="0.25">
      <c r="Y72" s="68" t="s">
        <v>70</v>
      </c>
      <c r="Z72" s="69"/>
      <c r="AA72" s="69"/>
      <c r="AB72" s="69"/>
      <c r="AC72" s="69"/>
      <c r="AD72" s="69"/>
      <c r="AE72" s="69"/>
      <c r="AF72" s="69"/>
      <c r="AG72" s="70"/>
    </row>
    <row r="73" spans="1:33" ht="18" x14ac:dyDescent="0.25">
      <c r="Y73" s="71" t="s">
        <v>71</v>
      </c>
      <c r="Z73" s="72"/>
      <c r="AA73" s="72"/>
      <c r="AB73" s="72"/>
      <c r="AC73" s="72"/>
      <c r="AD73" s="72"/>
      <c r="AE73" s="72"/>
      <c r="AF73" s="72"/>
      <c r="AG73" s="73"/>
    </row>
    <row r="74" spans="1:33" x14ac:dyDescent="0.2">
      <c r="Y74" s="74">
        <v>1</v>
      </c>
      <c r="Z74" s="75">
        <v>31</v>
      </c>
      <c r="AA74" s="75">
        <v>0</v>
      </c>
      <c r="AB74" s="76" t="s">
        <v>72</v>
      </c>
      <c r="AC74" s="77"/>
      <c r="AD74" s="77"/>
      <c r="AE74" s="78">
        <f>DATE($Z$88,Y74,1)</f>
        <v>42005</v>
      </c>
      <c r="AF74" s="75">
        <f t="shared" ref="AF74:AF85" si="24">MOD(AE74,7)</f>
        <v>5</v>
      </c>
      <c r="AG74" s="79"/>
    </row>
    <row r="75" spans="1:33" x14ac:dyDescent="0.2">
      <c r="Y75" s="74">
        <v>2</v>
      </c>
      <c r="Z75" s="75">
        <f>IF(MOD(O21,4)=0,29,28)</f>
        <v>28</v>
      </c>
      <c r="AA75" s="75">
        <v>1</v>
      </c>
      <c r="AB75" s="76" t="s">
        <v>73</v>
      </c>
      <c r="AC75" s="77"/>
      <c r="AD75" s="77"/>
      <c r="AE75" s="78">
        <f t="shared" ref="AE75:AE85" si="25">AE74+Z74</f>
        <v>42036</v>
      </c>
      <c r="AF75" s="75">
        <f t="shared" si="24"/>
        <v>1</v>
      </c>
      <c r="AG75" s="79"/>
    </row>
    <row r="76" spans="1:33" x14ac:dyDescent="0.2">
      <c r="Y76" s="74">
        <v>3</v>
      </c>
      <c r="Z76" s="75">
        <v>31</v>
      </c>
      <c r="AA76" s="75">
        <v>2</v>
      </c>
      <c r="AB76" s="76" t="s">
        <v>74</v>
      </c>
      <c r="AC76" s="77"/>
      <c r="AD76" s="77"/>
      <c r="AE76" s="78">
        <f t="shared" si="25"/>
        <v>42064</v>
      </c>
      <c r="AF76" s="75">
        <f t="shared" si="24"/>
        <v>1</v>
      </c>
      <c r="AG76" s="79"/>
    </row>
    <row r="77" spans="1:33" x14ac:dyDescent="0.2">
      <c r="Y77" s="74">
        <v>4</v>
      </c>
      <c r="Z77" s="75">
        <v>30</v>
      </c>
      <c r="AA77" s="75">
        <v>3</v>
      </c>
      <c r="AB77" s="76" t="s">
        <v>75</v>
      </c>
      <c r="AC77" s="77"/>
      <c r="AD77" s="77"/>
      <c r="AE77" s="78">
        <f t="shared" si="25"/>
        <v>42095</v>
      </c>
      <c r="AF77" s="75">
        <f t="shared" si="24"/>
        <v>4</v>
      </c>
      <c r="AG77" s="79"/>
    </row>
    <row r="78" spans="1:33" x14ac:dyDescent="0.2">
      <c r="Y78" s="74">
        <v>5</v>
      </c>
      <c r="Z78" s="75">
        <v>31</v>
      </c>
      <c r="AA78" s="75">
        <v>4</v>
      </c>
      <c r="AB78" s="76" t="s">
        <v>76</v>
      </c>
      <c r="AC78" s="77"/>
      <c r="AD78" s="77"/>
      <c r="AE78" s="78">
        <f t="shared" si="25"/>
        <v>42125</v>
      </c>
      <c r="AF78" s="75">
        <f t="shared" si="24"/>
        <v>6</v>
      </c>
      <c r="AG78" s="79"/>
    </row>
    <row r="79" spans="1:33" x14ac:dyDescent="0.2">
      <c r="Y79" s="74">
        <v>6</v>
      </c>
      <c r="Z79" s="75">
        <v>30</v>
      </c>
      <c r="AA79" s="75">
        <v>5</v>
      </c>
      <c r="AB79" s="76" t="s">
        <v>77</v>
      </c>
      <c r="AC79" s="77"/>
      <c r="AD79" s="77"/>
      <c r="AE79" s="78">
        <f t="shared" si="25"/>
        <v>42156</v>
      </c>
      <c r="AF79" s="75">
        <f t="shared" si="24"/>
        <v>2</v>
      </c>
      <c r="AG79" s="79"/>
    </row>
    <row r="80" spans="1:33" x14ac:dyDescent="0.2">
      <c r="Y80" s="74">
        <v>7</v>
      </c>
      <c r="Z80" s="75">
        <v>31</v>
      </c>
      <c r="AA80" s="75">
        <v>6</v>
      </c>
      <c r="AB80" s="76" t="s">
        <v>78</v>
      </c>
      <c r="AC80" s="77"/>
      <c r="AD80" s="77"/>
      <c r="AE80" s="78">
        <f t="shared" si="25"/>
        <v>42186</v>
      </c>
      <c r="AF80" s="75">
        <f t="shared" si="24"/>
        <v>4</v>
      </c>
      <c r="AG80" s="79"/>
    </row>
    <row r="81" spans="25:33" x14ac:dyDescent="0.2">
      <c r="Y81" s="74">
        <v>8</v>
      </c>
      <c r="Z81" s="75">
        <v>31</v>
      </c>
      <c r="AA81" s="75">
        <v>7</v>
      </c>
      <c r="AB81" s="76" t="s">
        <v>79</v>
      </c>
      <c r="AC81" s="77"/>
      <c r="AD81" s="77"/>
      <c r="AE81" s="78">
        <f t="shared" si="25"/>
        <v>42217</v>
      </c>
      <c r="AF81" s="75">
        <f t="shared" si="24"/>
        <v>0</v>
      </c>
      <c r="AG81" s="79"/>
    </row>
    <row r="82" spans="25:33" x14ac:dyDescent="0.2">
      <c r="Y82" s="74">
        <v>9</v>
      </c>
      <c r="Z82" s="75">
        <v>30</v>
      </c>
      <c r="AA82" s="75">
        <v>8</v>
      </c>
      <c r="AB82" s="76" t="s">
        <v>80</v>
      </c>
      <c r="AC82" s="77"/>
      <c r="AD82" s="77"/>
      <c r="AE82" s="78">
        <f t="shared" si="25"/>
        <v>42248</v>
      </c>
      <c r="AF82" s="75">
        <f t="shared" si="24"/>
        <v>3</v>
      </c>
      <c r="AG82" s="79"/>
    </row>
    <row r="83" spans="25:33" x14ac:dyDescent="0.2">
      <c r="Y83" s="74">
        <v>10</v>
      </c>
      <c r="Z83" s="75">
        <v>31</v>
      </c>
      <c r="AA83" s="75">
        <v>9</v>
      </c>
      <c r="AB83" s="76" t="s">
        <v>81</v>
      </c>
      <c r="AC83" s="77"/>
      <c r="AD83" s="77"/>
      <c r="AE83" s="78">
        <f t="shared" si="25"/>
        <v>42278</v>
      </c>
      <c r="AF83" s="75">
        <f t="shared" si="24"/>
        <v>5</v>
      </c>
      <c r="AG83" s="79"/>
    </row>
    <row r="84" spans="25:33" x14ac:dyDescent="0.2">
      <c r="Y84" s="74">
        <v>11</v>
      </c>
      <c r="Z84" s="75">
        <v>30</v>
      </c>
      <c r="AA84" s="75">
        <v>10</v>
      </c>
      <c r="AB84" s="76" t="s">
        <v>82</v>
      </c>
      <c r="AC84" s="77"/>
      <c r="AD84" s="77"/>
      <c r="AE84" s="78">
        <f t="shared" si="25"/>
        <v>42309</v>
      </c>
      <c r="AF84" s="75">
        <f t="shared" si="24"/>
        <v>1</v>
      </c>
      <c r="AG84" s="79"/>
    </row>
    <row r="85" spans="25:33" x14ac:dyDescent="0.2">
      <c r="Y85" s="74">
        <v>12</v>
      </c>
      <c r="Z85" s="75">
        <v>31</v>
      </c>
      <c r="AA85" s="75">
        <v>11</v>
      </c>
      <c r="AB85" s="76" t="s">
        <v>83</v>
      </c>
      <c r="AC85" s="77"/>
      <c r="AD85" s="77"/>
      <c r="AE85" s="78">
        <f t="shared" si="25"/>
        <v>42339</v>
      </c>
      <c r="AF85" s="75">
        <f t="shared" si="24"/>
        <v>3</v>
      </c>
      <c r="AG85" s="79"/>
    </row>
    <row r="86" spans="25:33" x14ac:dyDescent="0.2">
      <c r="Y86" s="80"/>
      <c r="Z86" s="77"/>
      <c r="AA86" s="77"/>
      <c r="AB86" s="77"/>
      <c r="AC86" s="77"/>
      <c r="AD86" s="77"/>
      <c r="AE86" s="77"/>
      <c r="AF86" s="77"/>
      <c r="AG86" s="79"/>
    </row>
    <row r="87" spans="25:33" x14ac:dyDescent="0.2">
      <c r="Y87" s="81" t="s">
        <v>84</v>
      </c>
      <c r="Z87" s="82">
        <v>1</v>
      </c>
      <c r="AA87" s="82">
        <v>2</v>
      </c>
      <c r="AB87" s="82">
        <v>3</v>
      </c>
      <c r="AC87" s="82">
        <v>4</v>
      </c>
      <c r="AD87" s="82">
        <v>5</v>
      </c>
      <c r="AE87" s="82">
        <v>6</v>
      </c>
      <c r="AF87" s="82">
        <v>0</v>
      </c>
      <c r="AG87" s="79"/>
    </row>
    <row r="88" spans="25:33" ht="13.5" thickBot="1" x14ac:dyDescent="0.25">
      <c r="Y88" s="83" t="s">
        <v>85</v>
      </c>
      <c r="Z88" s="84">
        <f>IF(O21&gt;199,O21-1900,O21)</f>
        <v>115</v>
      </c>
      <c r="AA88" s="85"/>
      <c r="AB88" s="85"/>
      <c r="AC88" s="85"/>
      <c r="AD88" s="85"/>
      <c r="AE88" s="85"/>
      <c r="AF88" s="85"/>
      <c r="AG88" s="86"/>
    </row>
    <row r="89" spans="25:33" ht="13.5" thickTop="1" x14ac:dyDescent="0.2"/>
  </sheetData>
  <sheetProtection selectLockedCells="1"/>
  <protectedRanges>
    <protectedRange sqref="O21" name="Ano"/>
  </protectedRanges>
  <phoneticPr fontId="6" type="noConversion"/>
  <printOptions horizontalCentered="1" gridLinesSet="0"/>
  <pageMargins left="0.5" right="0.5" top="0.5" bottom="0.55000000000000004" header="0.49212598499999999" footer="0.49212598499999999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Orçamento</vt:lpstr>
      <vt:lpstr>Anual</vt:lpstr>
      <vt:lpstr>Ano</vt:lpstr>
      <vt:lpstr>Para Onde</vt:lpstr>
      <vt:lpstr>Ano!Area_de_impressao</vt:lpstr>
      <vt:lpstr>Orçamento!Area_de_impressao</vt:lpstr>
      <vt:lpstr>DAYINDX</vt:lpstr>
      <vt:lpstr>Orçamento!Titulos_de_impressao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Contas</dc:title>
  <dc:subject>Orçamento</dc:subject>
  <dc:creator>www.funcaocontabil.net</dc:creator>
  <cp:lastModifiedBy>Guilherme</cp:lastModifiedBy>
  <cp:lastPrinted>2003-01-24T17:11:05Z</cp:lastPrinted>
  <dcterms:created xsi:type="dcterms:W3CDTF">1997-01-04T17:06:19Z</dcterms:created>
  <dcterms:modified xsi:type="dcterms:W3CDTF">2015-10-16T00:35:10Z</dcterms:modified>
  <cp:category>Finanças</cp:category>
</cp:coreProperties>
</file>