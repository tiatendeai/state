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11" r:id="rId3"/>
  </pivotCaches>
</workbook>
</file>

<file path=xl/calcChain.xml><?xml version="1.0" encoding="utf-8"?>
<calcChain xmlns="http://schemas.openxmlformats.org/spreadsheetml/2006/main">
  <c r="E2" i="2" l="1"/>
  <c r="B2" i="3" s="1"/>
  <c r="E1" i="2"/>
</calcChain>
</file>

<file path=xl/sharedStrings.xml><?xml version="1.0" encoding="utf-8"?>
<sst xmlns="http://schemas.openxmlformats.org/spreadsheetml/2006/main" count="27" uniqueCount="24">
  <si>
    <t>Rótulos de Linha</t>
  </si>
  <si>
    <t>SALDO MENSAL</t>
  </si>
  <si>
    <t>ANO</t>
  </si>
  <si>
    <t>(Tudo)</t>
  </si>
  <si>
    <t>SEMESTRE</t>
  </si>
  <si>
    <t>TRIMESTRE</t>
  </si>
  <si>
    <t>FILTROS</t>
  </si>
  <si>
    <t>Rótulos de Coluna</t>
  </si>
  <si>
    <t>VER GRÁFICO</t>
  </si>
  <si>
    <t>VER TABELA</t>
  </si>
  <si>
    <t>Total Geral</t>
  </si>
  <si>
    <t>TIPO</t>
  </si>
  <si>
    <t>MÊS</t>
  </si>
  <si>
    <t>ENTRADAS</t>
  </si>
  <si>
    <t>PREVISTO</t>
  </si>
  <si>
    <t>REALIZADO</t>
  </si>
  <si>
    <t>DOM</t>
  </si>
  <si>
    <t>SEG</t>
  </si>
  <si>
    <t>TER</t>
  </si>
  <si>
    <t>QUA</t>
  </si>
  <si>
    <t>QUI</t>
  </si>
  <si>
    <t>SEX</t>
  </si>
  <si>
    <t>SÁB</t>
  </si>
  <si>
    <t>FLUXO DE CAIXA - VOLUME FINANCEIRO POR TIPO, SITUAÇÃO E 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</si>
</sst>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9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[reidasplanilhas-R008-Fluxo-Caixa-por-Tipo-Situacao-e-Dia-da-Semana.xlsx]TABELA!Tabela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20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  <c:spPr>
          <a:ln>
            <a:noFill/>
          </a:ln>
        </c:spPr>
        <c:marker>
          <c:symbol val="square"/>
          <c:size val="14"/>
        </c:marker>
      </c:pivotFmt>
      <c:pivotFmt>
        <c:idx val="211"/>
        <c:marker>
          <c:symbol val="none"/>
        </c:marker>
      </c:pivotFmt>
      <c:pivotFmt>
        <c:idx val="212"/>
        <c:spPr>
          <a:solidFill>
            <a:schemeClr val="bg1">
              <a:lumMod val="65000"/>
            </a:schemeClr>
          </a:solidFill>
          <a:ln>
            <a:noFill/>
          </a:ln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665442782513259"/>
          <c:y val="8.5511109732421764E-2"/>
          <c:w val="0.86683938235368874"/>
          <c:h val="0.80795319063508353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REALIZADO</c:v>
                </c:pt>
              </c:strCache>
            </c:strRef>
          </c:tx>
          <c:invertIfNegative val="0"/>
          <c:cat>
            <c:strRef>
              <c:f>TABELA!$B$11:$B$18</c:f>
              <c:strCache>
                <c:ptCount val="7"/>
                <c:pt idx="0">
                  <c:v>DOM</c:v>
                </c:pt>
                <c:pt idx="1">
                  <c:v>SEG</c:v>
                </c:pt>
                <c:pt idx="2">
                  <c:v>TER</c:v>
                </c:pt>
                <c:pt idx="3">
                  <c:v>QUA</c:v>
                </c:pt>
                <c:pt idx="4">
                  <c:v>QUI</c:v>
                </c:pt>
                <c:pt idx="5">
                  <c:v>SEX</c:v>
                </c:pt>
                <c:pt idx="6">
                  <c:v>SÁB</c:v>
                </c:pt>
              </c:strCache>
            </c:strRef>
          </c:cat>
          <c:val>
            <c:numRef>
              <c:f>TABELA!$C$11:$C$18</c:f>
              <c:numCache>
                <c:formatCode>_(* #,##0.00_);_(* \(#,##0.00\);_(* "-"??_);_(@_)</c:formatCode>
                <c:ptCount val="7"/>
                <c:pt idx="0">
                  <c:v>1348721.5100000005</c:v>
                </c:pt>
                <c:pt idx="1">
                  <c:v>1402316.9800000007</c:v>
                </c:pt>
                <c:pt idx="2">
                  <c:v>1228696.9499999993</c:v>
                </c:pt>
                <c:pt idx="3">
                  <c:v>1499598.879999999</c:v>
                </c:pt>
                <c:pt idx="4">
                  <c:v>1376940.3</c:v>
                </c:pt>
                <c:pt idx="5">
                  <c:v>1303497.5699999998</c:v>
                </c:pt>
                <c:pt idx="6">
                  <c:v>1388501.2199999997</c:v>
                </c:pt>
              </c:numCache>
            </c:numRef>
          </c:val>
        </c:ser>
        <c:ser>
          <c:idx val="1"/>
          <c:order val="1"/>
          <c:tx>
            <c:strRef>
              <c:f>TABELA!$D$9:$D$10</c:f>
              <c:strCache>
                <c:ptCount val="1"/>
                <c:pt idx="0">
                  <c:v>PREVISTO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invertIfNegative val="0"/>
          <c:cat>
            <c:strRef>
              <c:f>TABELA!$B$11:$B$18</c:f>
              <c:strCache>
                <c:ptCount val="7"/>
                <c:pt idx="0">
                  <c:v>DOM</c:v>
                </c:pt>
                <c:pt idx="1">
                  <c:v>SEG</c:v>
                </c:pt>
                <c:pt idx="2">
                  <c:v>TER</c:v>
                </c:pt>
                <c:pt idx="3">
                  <c:v>QUA</c:v>
                </c:pt>
                <c:pt idx="4">
                  <c:v>QUI</c:v>
                </c:pt>
                <c:pt idx="5">
                  <c:v>SEX</c:v>
                </c:pt>
                <c:pt idx="6">
                  <c:v>SÁB</c:v>
                </c:pt>
              </c:strCache>
            </c:strRef>
          </c:cat>
          <c:val>
            <c:numRef>
              <c:f>TABELA!$D$11:$D$18</c:f>
              <c:numCache>
                <c:formatCode>_(* #,##0.00_);_(* \(#,##0.00\);_(* "-"??_);_(@_)</c:formatCode>
                <c:ptCount val="7"/>
                <c:pt idx="0">
                  <c:v>203896.08999999994</c:v>
                </c:pt>
                <c:pt idx="1">
                  <c:v>188900.88999999998</c:v>
                </c:pt>
                <c:pt idx="2">
                  <c:v>189253.05999999997</c:v>
                </c:pt>
                <c:pt idx="3">
                  <c:v>215316.22</c:v>
                </c:pt>
                <c:pt idx="4">
                  <c:v>201968.00999999995</c:v>
                </c:pt>
                <c:pt idx="5">
                  <c:v>189149.36000000004</c:v>
                </c:pt>
                <c:pt idx="6">
                  <c:v>200518.63999999998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2726272"/>
        <c:axId val="82756736"/>
      </c:barChart>
      <c:catAx>
        <c:axId val="82726272"/>
        <c:scaling>
          <c:orientation val="minMax"/>
        </c:scaling>
        <c:delete val="0"/>
        <c:axPos val="b"/>
        <c:majorTickMark val="out"/>
        <c:minorTickMark val="none"/>
        <c:tickLblPos val="low"/>
        <c:crossAx val="82756736"/>
        <c:crosses val="autoZero"/>
        <c:auto val="1"/>
        <c:lblAlgn val="ctr"/>
        <c:lblOffset val="100"/>
        <c:noMultiLvlLbl val="0"/>
      </c:catAx>
      <c:valAx>
        <c:axId val="8275673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8272627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t"/>
      <c:layout/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215900</xdr:rowOff>
    </xdr:from>
    <xdr:to>
      <xdr:col>3</xdr:col>
      <xdr:colOff>454710</xdr:colOff>
      <xdr:row>3</xdr:row>
      <xdr:rowOff>42986</xdr:rowOff>
    </xdr:to>
    <xdr:sp macro="" textlink="">
      <xdr:nvSpPr>
        <xdr:cNvPr id="2" name="Seta para a direita 1"/>
        <xdr:cNvSpPr/>
      </xdr:nvSpPr>
      <xdr:spPr>
        <a:xfrm rot="10800000">
          <a:off x="2501900" y="8255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542229976854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/>
    </cacheField>
    <cacheField name="DIASEMANA" numFmtId="0">
      <sharedItems containsBlank="1" count="8">
        <s v="SÁB"/>
        <s v="DOM"/>
        <s v="SEG"/>
        <s v="TER"/>
        <s v="QUA"/>
        <s v="QUI"/>
        <s v="SEX"/>
        <m/>
      </sharedItems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1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E18" firstHeaderRow="1" firstDataRow="2" firstDataCol="1" rowPageCount="5" colPageCount="1"/>
  <pivotFields count="14">
    <pivotField showAll="0" insertBlankRow="1"/>
    <pivotField showAll="0" insertBlankRow="1"/>
    <pivotField axis="axisRow" showAll="0" insertBlankRow="1">
      <items count="9">
        <item x="1"/>
        <item x="2"/>
        <item x="3"/>
        <item x="4"/>
        <item x="5"/>
        <item x="6"/>
        <item x="0"/>
        <item x="7"/>
        <item t="default"/>
      </items>
    </pivotField>
    <pivotField axis="axisPage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showAll="0" insertBlankRow="1">
      <items count="5">
        <item x="1"/>
        <item x="0"/>
        <item m="1" x="3"/>
        <item x="2"/>
        <item t="default"/>
      </items>
    </pivotField>
    <pivotField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Col" showAll="0" sortType="descending" defaultSubtotal="0">
      <items count="3">
        <item x="2"/>
        <item x="0"/>
        <item x="1"/>
      </items>
    </pivotField>
    <pivotField dataField="1"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3">
    <i>
      <x v="1"/>
    </i>
    <i>
      <x v="2"/>
    </i>
    <i t="grand">
      <x/>
    </i>
  </colItems>
  <pageFields count="5">
    <pageField fld="7" item="0" hier="-1"/>
    <pageField fld="6" item="1" hier="-1"/>
    <pageField fld="5" hier="-1"/>
    <pageField fld="4" hier="-1"/>
    <pageField fld="3" hier="-1"/>
  </pageFields>
  <dataFields count="1">
    <dataField name="SALDO MENSAL" fld="13" baseField="0" baseItem="0" numFmtId="43"/>
  </dataFields>
  <formats count="9">
    <format dxfId="8">
      <pivotArea field="7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  <format dxfId="7">
      <pivotArea field="6" type="button" dataOnly="0" labelOnly="1" outline="0" axis="axisPage" fieldPosition="1"/>
    </format>
    <format dxfId="6">
      <pivotArea dataOnly="0" labelOnly="1" outline="0" fieldPosition="0">
        <references count="1">
          <reference field="6" count="1">
            <x v="1"/>
          </reference>
        </references>
      </pivotArea>
    </format>
    <format dxfId="5">
      <pivotArea field="5" type="button" dataOnly="0" labelOnly="1" outline="0" axis="axisPage" fieldPosition="2"/>
    </format>
    <format dxfId="4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3">
      <pivotArea field="4" type="button" dataOnly="0" labelOnly="1" outline="0" axis="axisPage" fieldPosition="3"/>
    </format>
    <format dxfId="2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1">
      <pivotArea field="8" type="button" dataOnly="0" labelOnly="1" outline="0"/>
    </format>
    <format dxfId="0">
      <pivotArea field="9" type="button" dataOnly="0" labelOnly="1" outline="0"/>
    </format>
  </formats>
  <chartFormats count="44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2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2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18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15" width="16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7" customFormat="1" ht="48" customHeight="1" x14ac:dyDescent="0.4">
      <c r="B1" s="15" t="s">
        <v>6</v>
      </c>
      <c r="C1" s="15"/>
      <c r="E1" s="16" t="str">
        <f>GRAFICO!B1</f>
        <v>FLUXO DE CAIXA - VOLUME FINANCEIRO POR TIPO, SITUAÇÃO E DIA DA SEMANA</v>
      </c>
      <c r="F1" s="16"/>
      <c r="G1" s="16"/>
      <c r="H1" s="16"/>
      <c r="I1" s="16"/>
      <c r="J1" s="16"/>
      <c r="K1" s="16"/>
      <c r="L1" s="16"/>
      <c r="M1" s="16"/>
      <c r="N1" s="16"/>
    </row>
    <row r="2" spans="2:14" s="8" customFormat="1" ht="20.100000000000001" customHeight="1" x14ac:dyDescent="0.25">
      <c r="B2" s="6"/>
      <c r="C2" s="6"/>
      <c r="E2" s="17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ANO=2011, SEMESTRE=(Tudo), TRIMESTRE=(Tudo), MÊS=(Tudo)</v>
      </c>
      <c r="F2" s="17"/>
      <c r="G2" s="17"/>
      <c r="H2" s="17"/>
      <c r="I2" s="17"/>
      <c r="J2" s="17"/>
      <c r="K2" s="17"/>
      <c r="L2" s="17"/>
      <c r="M2" s="17"/>
      <c r="N2" s="17"/>
    </row>
    <row r="3" spans="2:14" s="8" customFormat="1" ht="15" customHeight="1" x14ac:dyDescent="0.25">
      <c r="B3" s="3" t="s">
        <v>11</v>
      </c>
      <c r="C3" t="s">
        <v>13</v>
      </c>
      <c r="E3" s="18" t="s">
        <v>8</v>
      </c>
      <c r="F3" s="18"/>
      <c r="G3" s="18"/>
      <c r="H3" s="18"/>
      <c r="I3" s="18"/>
      <c r="J3" s="18"/>
      <c r="K3" s="18"/>
      <c r="L3" s="18"/>
      <c r="M3" s="18"/>
      <c r="N3" s="18"/>
    </row>
    <row r="4" spans="2:14" s="10" customFormat="1" ht="15" customHeight="1" x14ac:dyDescent="0.25">
      <c r="B4" s="13" t="s">
        <v>2</v>
      </c>
      <c r="C4" s="14">
        <v>2011</v>
      </c>
    </row>
    <row r="5" spans="2:14" s="10" customFormat="1" ht="15" customHeight="1" x14ac:dyDescent="0.25">
      <c r="B5" s="13" t="s">
        <v>4</v>
      </c>
      <c r="C5" s="10" t="s">
        <v>3</v>
      </c>
    </row>
    <row r="6" spans="2:14" s="10" customFormat="1" ht="15" customHeight="1" x14ac:dyDescent="0.25">
      <c r="B6" s="13" t="s">
        <v>5</v>
      </c>
      <c r="C6" s="10" t="s">
        <v>3</v>
      </c>
    </row>
    <row r="7" spans="2:14" s="10" customFormat="1" ht="15" customHeight="1" x14ac:dyDescent="0.25">
      <c r="B7" s="3" t="s">
        <v>12</v>
      </c>
      <c r="C7" t="s">
        <v>3</v>
      </c>
    </row>
    <row r="8" spans="2:14" s="10" customFormat="1" x14ac:dyDescent="0.25"/>
    <row r="9" spans="2:14" x14ac:dyDescent="0.25">
      <c r="B9" s="3" t="s">
        <v>1</v>
      </c>
      <c r="C9" s="3" t="s">
        <v>7</v>
      </c>
    </row>
    <row r="10" spans="2:14" x14ac:dyDescent="0.25">
      <c r="B10" s="3" t="s">
        <v>0</v>
      </c>
      <c r="C10" t="s">
        <v>15</v>
      </c>
      <c r="D10" t="s">
        <v>14</v>
      </c>
      <c r="E10" s="4" t="s">
        <v>10</v>
      </c>
    </row>
    <row r="11" spans="2:14" x14ac:dyDescent="0.25">
      <c r="B11" s="2" t="s">
        <v>16</v>
      </c>
      <c r="C11" s="1">
        <v>1348721.5100000005</v>
      </c>
      <c r="D11" s="1">
        <v>203896.08999999994</v>
      </c>
      <c r="E11" s="1">
        <v>1552617.6000000008</v>
      </c>
    </row>
    <row r="12" spans="2:14" x14ac:dyDescent="0.25">
      <c r="B12" s="2" t="s">
        <v>17</v>
      </c>
      <c r="C12" s="1">
        <v>1402316.9800000007</v>
      </c>
      <c r="D12" s="1">
        <v>188900.88999999998</v>
      </c>
      <c r="E12" s="1">
        <v>1591217.870000001</v>
      </c>
    </row>
    <row r="13" spans="2:14" x14ac:dyDescent="0.25">
      <c r="B13" s="2" t="s">
        <v>18</v>
      </c>
      <c r="C13" s="1">
        <v>1228696.9499999993</v>
      </c>
      <c r="D13" s="1">
        <v>189253.05999999997</v>
      </c>
      <c r="E13" s="1">
        <v>1417950.0099999988</v>
      </c>
    </row>
    <row r="14" spans="2:14" x14ac:dyDescent="0.25">
      <c r="B14" s="2" t="s">
        <v>19</v>
      </c>
      <c r="C14" s="1">
        <v>1499598.879999999</v>
      </c>
      <c r="D14" s="1">
        <v>215316.22</v>
      </c>
      <c r="E14" s="1">
        <v>1714915.0999999989</v>
      </c>
    </row>
    <row r="15" spans="2:14" x14ac:dyDescent="0.25">
      <c r="B15" s="2" t="s">
        <v>20</v>
      </c>
      <c r="C15" s="1">
        <v>1376940.3</v>
      </c>
      <c r="D15" s="1">
        <v>201968.00999999995</v>
      </c>
      <c r="E15" s="1">
        <v>1578908.3099999996</v>
      </c>
    </row>
    <row r="16" spans="2:14" x14ac:dyDescent="0.25">
      <c r="B16" s="2" t="s">
        <v>21</v>
      </c>
      <c r="C16" s="1">
        <v>1303497.5699999998</v>
      </c>
      <c r="D16" s="1">
        <v>189149.36000000004</v>
      </c>
      <c r="E16" s="1">
        <v>1492646.9299999997</v>
      </c>
    </row>
    <row r="17" spans="2:5" x14ac:dyDescent="0.25">
      <c r="B17" s="2" t="s">
        <v>22</v>
      </c>
      <c r="C17" s="1">
        <v>1388501.2199999997</v>
      </c>
      <c r="D17" s="1">
        <v>200518.63999999998</v>
      </c>
      <c r="E17" s="1">
        <v>1589019.8599999999</v>
      </c>
    </row>
    <row r="18" spans="2:5" x14ac:dyDescent="0.25">
      <c r="B18" s="2" t="s">
        <v>10</v>
      </c>
      <c r="C18" s="1">
        <v>9548273.4099999964</v>
      </c>
      <c r="D18" s="1">
        <v>1389002.27</v>
      </c>
      <c r="E18" s="1">
        <v>10937275.679999998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5"/>
      <c r="B1" s="11" t="s">
        <v>23</v>
      </c>
      <c r="C1" s="7"/>
    </row>
    <row r="2" spans="1:3" s="10" customFormat="1" ht="20.100000000000001" customHeight="1" x14ac:dyDescent="0.25">
      <c r="A2" s="8"/>
      <c r="B2" s="9" t="str">
        <f>TRIM(TABELA!E2)</f>
        <v>PARÂMETROS DE CONSULTA: TIPO=ENTRADAS, ANO=2011, SEMESTRE=(Tudo), TRIMESTRE=(Tudo), MÊS=(Tudo)</v>
      </c>
      <c r="C2" s="8"/>
    </row>
    <row r="3" spans="1:3" x14ac:dyDescent="0.25">
      <c r="B3" s="12" t="s">
        <v>9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2011-12-31T10:49:22Z</dcterms:created>
  <dcterms:modified xsi:type="dcterms:W3CDTF">2011-12-31T16:01:42Z</dcterms:modified>
</cp:coreProperties>
</file>