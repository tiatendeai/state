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ka\Google Drive\0 - Queops Contabilidade LTDA\1 - DEP. CONTÁBIL\03 - Obrigações Fiscais\Planilha de Retenção\"/>
    </mc:Choice>
  </mc:AlternateContent>
  <xr:revisionPtr revIDLastSave="0" documentId="12_ncr:500000_{181031C9-26CB-4580-837C-D13F55CE9C48}" xr6:coauthVersionLast="31" xr6:coauthVersionMax="31" xr10:uidLastSave="{00000000-0000-0000-0000-000000000000}"/>
  <bookViews>
    <workbookView xWindow="0" yWindow="0" windowWidth="19200" windowHeight="10920" xr2:uid="{00000000-000D-0000-FFFF-FFFF00000000}"/>
  </bookViews>
  <sheets>
    <sheet name="Retenções" sheetId="1" r:id="rId1"/>
    <sheet name="Valores Recebid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1" l="1"/>
  <c r="N26" i="1"/>
  <c r="N25" i="1"/>
  <c r="N24" i="1"/>
  <c r="K27" i="1"/>
  <c r="K26" i="1"/>
  <c r="K25" i="1"/>
  <c r="K24" i="1"/>
  <c r="H27" i="1"/>
  <c r="H26" i="1"/>
  <c r="H25" i="1"/>
  <c r="H24" i="1"/>
  <c r="E28" i="1"/>
  <c r="E27" i="1"/>
  <c r="E26" i="1"/>
  <c r="E25" i="1"/>
  <c r="E24" i="1"/>
  <c r="N17" i="1"/>
  <c r="N16" i="1"/>
  <c r="N15" i="1"/>
  <c r="N14" i="1"/>
  <c r="K17" i="1"/>
  <c r="K16" i="1"/>
  <c r="K15" i="1"/>
  <c r="K14" i="1"/>
  <c r="N7" i="1"/>
  <c r="N6" i="1"/>
  <c r="N5" i="1"/>
  <c r="N4" i="1"/>
  <c r="K7" i="1"/>
  <c r="K6" i="1"/>
  <c r="K5" i="1"/>
  <c r="K4" i="1"/>
  <c r="H7" i="1"/>
  <c r="H6" i="1"/>
  <c r="H5" i="1"/>
  <c r="H4" i="1"/>
  <c r="H8" i="1" s="1"/>
  <c r="E17" i="1"/>
  <c r="E16" i="1"/>
  <c r="E15" i="1"/>
  <c r="E14" i="1"/>
  <c r="H17" i="1"/>
  <c r="H16" i="1"/>
  <c r="H15" i="1"/>
  <c r="H14" i="1"/>
  <c r="E4" i="1"/>
  <c r="E5" i="1"/>
  <c r="E7" i="1"/>
  <c r="E6" i="1"/>
  <c r="K28" i="1" l="1"/>
  <c r="H18" i="1"/>
  <c r="N28" i="1"/>
  <c r="H28" i="1"/>
  <c r="N18" i="1"/>
  <c r="K18" i="1"/>
  <c r="E18" i="1"/>
  <c r="K8" i="1" l="1"/>
  <c r="N8" i="1"/>
  <c r="E8" i="1"/>
</calcChain>
</file>

<file path=xl/sharedStrings.xml><?xml version="1.0" encoding="utf-8"?>
<sst xmlns="http://schemas.openxmlformats.org/spreadsheetml/2006/main" count="96" uniqueCount="16">
  <si>
    <t>IR</t>
  </si>
  <si>
    <t>CSLL</t>
  </si>
  <si>
    <t>PIS</t>
  </si>
  <si>
    <t>COFINS</t>
  </si>
  <si>
    <t>N° NOTA FISCAL</t>
  </si>
  <si>
    <t>VALOR BRUTO</t>
  </si>
  <si>
    <t>VALOR LÍQUIDO</t>
  </si>
  <si>
    <t>CONTAS CONTÁBEIS</t>
  </si>
  <si>
    <t>OFTALMOCLINICA</t>
  </si>
  <si>
    <t>REDE DOR</t>
  </si>
  <si>
    <t>LIFE EMPR</t>
  </si>
  <si>
    <t>LAVEBRAS</t>
  </si>
  <si>
    <t>DATA</t>
  </si>
  <si>
    <t>VALOR</t>
  </si>
  <si>
    <t>CLIENTE</t>
  </si>
  <si>
    <t>RCBTO CLIENTES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</si>
</sst>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Border="1"/>
    <xf numFmtId="14" fontId="0" fillId="0" borderId="0" xfId="0" applyNumberFormat="1" applyBorder="1"/>
    <xf numFmtId="44" fontId="0" fillId="0" borderId="0" xfId="1" applyFont="1" applyBorder="1"/>
    <xf numFmtId="0" fontId="0" fillId="0" borderId="0" xfId="0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4" fontId="3" fillId="0" borderId="0" xfId="1" applyFont="1" applyBorder="1" applyAlignment="1">
      <alignment horizontal="center" vertical="center"/>
    </xf>
    <xf numFmtId="44" fontId="0" fillId="3" borderId="0" xfId="1" applyFont="1" applyFill="1" applyBorder="1"/>
    <xf numFmtId="0" fontId="0" fillId="0" borderId="0" xfId="0" applyFill="1" applyBorder="1"/>
    <xf numFmtId="0" fontId="0" fillId="0" borderId="0" xfId="0" applyFill="1"/>
    <xf numFmtId="0" fontId="3" fillId="0" borderId="1" xfId="0" applyFont="1" applyFill="1" applyBorder="1"/>
    <xf numFmtId="0" fontId="5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44" fontId="0" fillId="0" borderId="1" xfId="1" applyFont="1" applyFill="1" applyBorder="1"/>
    <xf numFmtId="0" fontId="0" fillId="0" borderId="0" xfId="0" applyFill="1" applyAlignment="1">
      <alignment horizontal="center"/>
    </xf>
    <xf numFmtId="44" fontId="2" fillId="0" borderId="1" xfId="1" applyFont="1" applyFill="1" applyBorder="1"/>
    <xf numFmtId="44" fontId="3" fillId="0" borderId="1" xfId="1" applyFont="1" applyFill="1" applyBorder="1"/>
    <xf numFmtId="0" fontId="3" fillId="0" borderId="0" xfId="0" applyFont="1" applyFill="1" applyAlignment="1">
      <alignment horizontal="center" vertical="center"/>
    </xf>
    <xf numFmtId="14" fontId="4" fillId="2" borderId="0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3:D8" totalsRowShown="0" headerRowBorderDxfId="4" tableBorderDxfId="3" totalsRowBorderDxfId="2">
  <autoFilter ref="B3:D8" xr:uid="{00000000-0009-0000-0100-000001000000}"/>
  <tableColumns count="3">
    <tableColumn id="1" xr3:uid="{00000000-0010-0000-0000-000001000000}" name="DATA" dataDxfId="1"/>
    <tableColumn id="2" xr3:uid="{00000000-0010-0000-0000-000002000000}" name="CLIENTE"/>
    <tableColumn id="3" xr3:uid="{00000000-0010-0000-0000-000003000000}" name="VALOR" dataDxfId="0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8"/>
  <sheetViews>
    <sheetView showGridLines="0" tabSelected="1" workbookViewId="0"/>
  </sheetViews>
  <sheetFormatPr defaultRowHeight="15" x14ac:dyDescent="0.25"/>
  <cols>
    <col min="1" max="1" width="2.7109375" style="10" customWidth="1"/>
    <col min="2" max="2" width="19.140625" style="10" bestFit="1" customWidth="1"/>
    <col min="3" max="3" width="9.140625" style="10"/>
    <col min="4" max="4" width="15.140625" style="10" bestFit="1" customWidth="1"/>
    <col min="5" max="5" width="13.28515625" style="10" bestFit="1" customWidth="1"/>
    <col min="6" max="6" width="9.140625" style="10"/>
    <col min="7" max="7" width="15.140625" style="10" bestFit="1" customWidth="1"/>
    <col min="8" max="8" width="13.28515625" style="10" bestFit="1" customWidth="1"/>
    <col min="9" max="9" width="9.140625" style="10"/>
    <col min="10" max="10" width="15.140625" style="10" bestFit="1" customWidth="1"/>
    <col min="11" max="11" width="12.140625" style="10" bestFit="1" customWidth="1"/>
    <col min="12" max="12" width="9.140625" style="10"/>
    <col min="13" max="13" width="15.140625" style="10" bestFit="1" customWidth="1"/>
    <col min="14" max="14" width="12.140625" style="10" bestFit="1" customWidth="1"/>
    <col min="15" max="16384" width="9.140625" style="10"/>
  </cols>
  <sheetData>
    <row r="2" spans="2:14" x14ac:dyDescent="0.25">
      <c r="B2" s="19" t="s">
        <v>7</v>
      </c>
      <c r="D2" s="11" t="s">
        <v>4</v>
      </c>
      <c r="E2" s="12"/>
      <c r="G2" s="11" t="s">
        <v>4</v>
      </c>
      <c r="H2" s="12"/>
      <c r="J2" s="11" t="s">
        <v>4</v>
      </c>
      <c r="K2" s="13"/>
      <c r="M2" s="11" t="s">
        <v>4</v>
      </c>
      <c r="N2" s="13"/>
    </row>
    <row r="3" spans="2:14" x14ac:dyDescent="0.25">
      <c r="B3" s="19"/>
      <c r="D3" s="14" t="s">
        <v>5</v>
      </c>
      <c r="E3" s="15"/>
      <c r="G3" s="14" t="s">
        <v>5</v>
      </c>
      <c r="H3" s="15"/>
      <c r="J3" s="14" t="s">
        <v>5</v>
      </c>
      <c r="K3" s="15"/>
      <c r="M3" s="14" t="s">
        <v>5</v>
      </c>
      <c r="N3" s="15"/>
    </row>
    <row r="4" spans="2:14" x14ac:dyDescent="0.25">
      <c r="B4" s="16">
        <v>201</v>
      </c>
      <c r="D4" s="14" t="s">
        <v>0</v>
      </c>
      <c r="E4" s="17">
        <f>IF($E$3&gt;666.66,$E$3*1.5%,)</f>
        <v>0</v>
      </c>
      <c r="G4" s="14" t="s">
        <v>0</v>
      </c>
      <c r="H4" s="17">
        <f>IF($H$3&gt;666.66,$H$3*1.5%,)</f>
        <v>0</v>
      </c>
      <c r="J4" s="14" t="s">
        <v>0</v>
      </c>
      <c r="K4" s="17">
        <f>IF($K$3&gt;666.66,$K$3*1.5%,)</f>
        <v>0</v>
      </c>
      <c r="M4" s="14" t="s">
        <v>0</v>
      </c>
      <c r="N4" s="17">
        <f>IF($N$3&gt;666.66,$N$3*1.5%,)</f>
        <v>0</v>
      </c>
    </row>
    <row r="5" spans="2:14" x14ac:dyDescent="0.25">
      <c r="B5" s="16">
        <v>202</v>
      </c>
      <c r="D5" s="14" t="s">
        <v>1</v>
      </c>
      <c r="E5" s="17">
        <f>IF($E$3&gt;250,$E$3*1%,)</f>
        <v>0</v>
      </c>
      <c r="G5" s="14" t="s">
        <v>1</v>
      </c>
      <c r="H5" s="17">
        <f>IF($H$3&gt;250,$H$3*1%,)</f>
        <v>0</v>
      </c>
      <c r="J5" s="14" t="s">
        <v>1</v>
      </c>
      <c r="K5" s="17">
        <f>IF($K$3&gt;250,$K$3*1%,)</f>
        <v>0</v>
      </c>
      <c r="M5" s="14" t="s">
        <v>1</v>
      </c>
      <c r="N5" s="17">
        <f>IF($N$3&gt;250,$N$3*1%,)</f>
        <v>0</v>
      </c>
    </row>
    <row r="6" spans="2:14" x14ac:dyDescent="0.25">
      <c r="B6" s="16">
        <v>203</v>
      </c>
      <c r="D6" s="14" t="s">
        <v>2</v>
      </c>
      <c r="E6" s="17">
        <f>IF($H$3&gt;250,$H$3*0.65%,)</f>
        <v>0</v>
      </c>
      <c r="G6" s="14" t="s">
        <v>2</v>
      </c>
      <c r="H6" s="17">
        <f>IF($H$3&gt;250,$H$3*0.65%,)</f>
        <v>0</v>
      </c>
      <c r="J6" s="14" t="s">
        <v>2</v>
      </c>
      <c r="K6" s="17">
        <f>IF($K$3&gt;250,$K$3*0.65%,)</f>
        <v>0</v>
      </c>
      <c r="M6" s="14" t="s">
        <v>2</v>
      </c>
      <c r="N6" s="17">
        <f>IF($N$3&gt;250,$N$3*0.65%,)</f>
        <v>0</v>
      </c>
    </row>
    <row r="7" spans="2:14" x14ac:dyDescent="0.25">
      <c r="B7" s="16">
        <v>204</v>
      </c>
      <c r="D7" s="14" t="s">
        <v>3</v>
      </c>
      <c r="E7" s="17">
        <f>IF($H$3&gt;250,$H$3*3%,)</f>
        <v>0</v>
      </c>
      <c r="G7" s="14" t="s">
        <v>3</v>
      </c>
      <c r="H7" s="17">
        <f>IF($H$3&gt;250,$H$3*3%,)</f>
        <v>0</v>
      </c>
      <c r="J7" s="14" t="s">
        <v>3</v>
      </c>
      <c r="K7" s="17">
        <f>IF($K$3&gt;250,$K$3*3%,)</f>
        <v>0</v>
      </c>
      <c r="M7" s="14" t="s">
        <v>3</v>
      </c>
      <c r="N7" s="17">
        <f>IF($N$3&gt;250,$N$3*3%,)</f>
        <v>0</v>
      </c>
    </row>
    <row r="8" spans="2:14" x14ac:dyDescent="0.25">
      <c r="D8" s="11" t="s">
        <v>6</v>
      </c>
      <c r="E8" s="18">
        <f>E3-E4-E5-E6-E7</f>
        <v>0</v>
      </c>
      <c r="G8" s="11" t="s">
        <v>6</v>
      </c>
      <c r="H8" s="18">
        <f>H3-H4-H5-H6-H7</f>
        <v>0</v>
      </c>
      <c r="J8" s="11" t="s">
        <v>6</v>
      </c>
      <c r="K8" s="18">
        <f>K3-K4-K5-K6-K7</f>
        <v>0</v>
      </c>
      <c r="M8" s="11" t="s">
        <v>6</v>
      </c>
      <c r="N8" s="18">
        <f>N3-N4-N5-N6-N7</f>
        <v>0</v>
      </c>
    </row>
    <row r="12" spans="2:14" x14ac:dyDescent="0.25">
      <c r="B12" s="19" t="s">
        <v>7</v>
      </c>
      <c r="D12" s="11" t="s">
        <v>4</v>
      </c>
      <c r="E12" s="13"/>
      <c r="G12" s="11" t="s">
        <v>4</v>
      </c>
      <c r="H12" s="13"/>
      <c r="J12" s="11" t="s">
        <v>4</v>
      </c>
      <c r="K12" s="13"/>
      <c r="M12" s="11" t="s">
        <v>4</v>
      </c>
      <c r="N12" s="13"/>
    </row>
    <row r="13" spans="2:14" x14ac:dyDescent="0.25">
      <c r="B13" s="19"/>
      <c r="D13" s="14" t="s">
        <v>5</v>
      </c>
      <c r="E13" s="15"/>
      <c r="G13" s="14" t="s">
        <v>5</v>
      </c>
      <c r="H13" s="15"/>
      <c r="J13" s="14" t="s">
        <v>5</v>
      </c>
      <c r="K13" s="15"/>
      <c r="M13" s="14" t="s">
        <v>5</v>
      </c>
      <c r="N13" s="15"/>
    </row>
    <row r="14" spans="2:14" x14ac:dyDescent="0.25">
      <c r="B14" s="16">
        <v>201</v>
      </c>
      <c r="D14" s="14" t="s">
        <v>0</v>
      </c>
      <c r="E14" s="17">
        <f>IF($E$13&gt;666.66,$E$13*1.5%,)</f>
        <v>0</v>
      </c>
      <c r="G14" s="14" t="s">
        <v>0</v>
      </c>
      <c r="H14" s="17">
        <f>IF($H$13&gt;666.66,$H$13*1.5%,)</f>
        <v>0</v>
      </c>
      <c r="J14" s="14" t="s">
        <v>0</v>
      </c>
      <c r="K14" s="17">
        <f>IF($K$13&gt;666.66,$K$13*1.5%,)</f>
        <v>0</v>
      </c>
      <c r="M14" s="14" t="s">
        <v>0</v>
      </c>
      <c r="N14" s="17">
        <f>IF($N$13&gt;666.66,$N$13*1.5%,)</f>
        <v>0</v>
      </c>
    </row>
    <row r="15" spans="2:14" x14ac:dyDescent="0.25">
      <c r="B15" s="16">
        <v>202</v>
      </c>
      <c r="D15" s="14" t="s">
        <v>1</v>
      </c>
      <c r="E15" s="17">
        <f>IF($E$13&gt;666.66,$E$13*1%,)</f>
        <v>0</v>
      </c>
      <c r="G15" s="14" t="s">
        <v>1</v>
      </c>
      <c r="H15" s="17">
        <f>IF($H$13&gt;666.66,$H$13*1%,)</f>
        <v>0</v>
      </c>
      <c r="J15" s="14" t="s">
        <v>1</v>
      </c>
      <c r="K15" s="17">
        <f>IF($K$13&gt;666.66,$K$13*1%,)</f>
        <v>0</v>
      </c>
      <c r="M15" s="14" t="s">
        <v>1</v>
      </c>
      <c r="N15" s="17">
        <f>IF($N$13&gt;666.66,$N$13*1%,)</f>
        <v>0</v>
      </c>
    </row>
    <row r="16" spans="2:14" x14ac:dyDescent="0.25">
      <c r="B16" s="16">
        <v>203</v>
      </c>
      <c r="D16" s="14" t="s">
        <v>2</v>
      </c>
      <c r="E16" s="17">
        <f>IF($E$13&gt;666.66,$E$13*0.65%,)</f>
        <v>0</v>
      </c>
      <c r="G16" s="14" t="s">
        <v>2</v>
      </c>
      <c r="H16" s="17">
        <f>IF($H$13&gt;666.66,$H$13*0.65%,)</f>
        <v>0</v>
      </c>
      <c r="J16" s="14" t="s">
        <v>2</v>
      </c>
      <c r="K16" s="17">
        <f>IF($K$13&gt;666.66,$K$13*0.65%,)</f>
        <v>0</v>
      </c>
      <c r="M16" s="14" t="s">
        <v>2</v>
      </c>
      <c r="N16" s="17">
        <f>IF($N$13&gt;666.66,$N$13*0.65%,)</f>
        <v>0</v>
      </c>
    </row>
    <row r="17" spans="2:14" x14ac:dyDescent="0.25">
      <c r="B17" s="16">
        <v>204</v>
      </c>
      <c r="D17" s="14" t="s">
        <v>3</v>
      </c>
      <c r="E17" s="17">
        <f>IF($E$13&gt;666.66,$E$13*3%,)</f>
        <v>0</v>
      </c>
      <c r="G17" s="14" t="s">
        <v>3</v>
      </c>
      <c r="H17" s="17">
        <f>IF($H$13&gt;666.66,$H$13*3%,)</f>
        <v>0</v>
      </c>
      <c r="J17" s="14" t="s">
        <v>3</v>
      </c>
      <c r="K17" s="17">
        <f>IF($K$13&gt;666.66,$K$13*3%,)</f>
        <v>0</v>
      </c>
      <c r="M17" s="14" t="s">
        <v>3</v>
      </c>
      <c r="N17" s="17">
        <f>IF($N$13&gt;666.66,$N$13*3%,)</f>
        <v>0</v>
      </c>
    </row>
    <row r="18" spans="2:14" x14ac:dyDescent="0.25">
      <c r="D18" s="11" t="s">
        <v>6</v>
      </c>
      <c r="E18" s="18">
        <f>E13-E14-E15-E16-E17</f>
        <v>0</v>
      </c>
      <c r="G18" s="11" t="s">
        <v>6</v>
      </c>
      <c r="H18" s="18">
        <f>H13-H14-H15-H16-H17</f>
        <v>0</v>
      </c>
      <c r="J18" s="11" t="s">
        <v>6</v>
      </c>
      <c r="K18" s="18">
        <f>K13-K14-K15-K16-K17</f>
        <v>0</v>
      </c>
      <c r="M18" s="11" t="s">
        <v>6</v>
      </c>
      <c r="N18" s="18">
        <f>N13-N14-N15-N16-N17</f>
        <v>0</v>
      </c>
    </row>
    <row r="21" spans="2:14" x14ac:dyDescent="0.25">
      <c r="N21" s="16"/>
    </row>
    <row r="22" spans="2:14" x14ac:dyDescent="0.25">
      <c r="B22" s="19" t="s">
        <v>7</v>
      </c>
      <c r="D22" s="11" t="s">
        <v>4</v>
      </c>
      <c r="E22" s="13"/>
      <c r="G22" s="11" t="s">
        <v>4</v>
      </c>
      <c r="H22" s="13"/>
      <c r="J22" s="11" t="s">
        <v>4</v>
      </c>
      <c r="K22" s="13"/>
      <c r="M22" s="11" t="s">
        <v>4</v>
      </c>
      <c r="N22" s="13"/>
    </row>
    <row r="23" spans="2:14" x14ac:dyDescent="0.25">
      <c r="B23" s="19"/>
      <c r="D23" s="14" t="s">
        <v>5</v>
      </c>
      <c r="E23" s="15"/>
      <c r="G23" s="14" t="s">
        <v>5</v>
      </c>
      <c r="H23" s="15"/>
      <c r="J23" s="14" t="s">
        <v>5</v>
      </c>
      <c r="K23" s="15"/>
      <c r="M23" s="14" t="s">
        <v>5</v>
      </c>
      <c r="N23" s="15"/>
    </row>
    <row r="24" spans="2:14" x14ac:dyDescent="0.25">
      <c r="B24" s="16">
        <v>201</v>
      </c>
      <c r="D24" s="14" t="s">
        <v>0</v>
      </c>
      <c r="E24" s="17">
        <f>IF($E$23&gt;666.66,$E$23*1.5%,)</f>
        <v>0</v>
      </c>
      <c r="G24" s="14" t="s">
        <v>0</v>
      </c>
      <c r="H24" s="17">
        <f>IF($H$23&gt;666.66,$H$23*1.5%,)</f>
        <v>0</v>
      </c>
      <c r="J24" s="14" t="s">
        <v>0</v>
      </c>
      <c r="K24" s="17">
        <f>IF($K$23&gt;666.66,$K$23*1.5%,)</f>
        <v>0</v>
      </c>
      <c r="M24" s="14" t="s">
        <v>0</v>
      </c>
      <c r="N24" s="17">
        <f>IF(N23&gt;666.66,N23*1.5%,)</f>
        <v>0</v>
      </c>
    </row>
    <row r="25" spans="2:14" x14ac:dyDescent="0.25">
      <c r="B25" s="16">
        <v>202</v>
      </c>
      <c r="D25" s="14" t="s">
        <v>1</v>
      </c>
      <c r="E25" s="17">
        <f>IF($E$23&gt;250,$E$23*1%,)</f>
        <v>0</v>
      </c>
      <c r="G25" s="14" t="s">
        <v>1</v>
      </c>
      <c r="H25" s="17">
        <f>IF($H$23&gt;250,$H$23*1%,)</f>
        <v>0</v>
      </c>
      <c r="J25" s="14" t="s">
        <v>1</v>
      </c>
      <c r="K25" s="17">
        <f>IF($K$23&gt;250,$K$23*1%,)</f>
        <v>0</v>
      </c>
      <c r="M25" s="14" t="s">
        <v>1</v>
      </c>
      <c r="N25" s="17">
        <f>IF($N$23&gt;250,$N$23*1%,)</f>
        <v>0</v>
      </c>
    </row>
    <row r="26" spans="2:14" x14ac:dyDescent="0.25">
      <c r="B26" s="16">
        <v>203</v>
      </c>
      <c r="D26" s="14" t="s">
        <v>2</v>
      </c>
      <c r="E26" s="17">
        <f>IF($E$23&gt;250,$E$23*0.65%,)</f>
        <v>0</v>
      </c>
      <c r="G26" s="14" t="s">
        <v>2</v>
      </c>
      <c r="H26" s="17">
        <f>IF($H$23&gt;250,$H$23*0.65%,)</f>
        <v>0</v>
      </c>
      <c r="J26" s="14" t="s">
        <v>2</v>
      </c>
      <c r="K26" s="17">
        <f>IF($K$23&gt;250,$K$23*0.65%,)</f>
        <v>0</v>
      </c>
      <c r="M26" s="14" t="s">
        <v>2</v>
      </c>
      <c r="N26" s="17">
        <f>IF($N$23&gt;250,$N$23*0.65%,)</f>
        <v>0</v>
      </c>
    </row>
    <row r="27" spans="2:14" x14ac:dyDescent="0.25">
      <c r="B27" s="16">
        <v>204</v>
      </c>
      <c r="D27" s="14" t="s">
        <v>3</v>
      </c>
      <c r="E27" s="17">
        <f>IF($E$23&gt;250,$E$23*3%,)</f>
        <v>0</v>
      </c>
      <c r="G27" s="14" t="s">
        <v>3</v>
      </c>
      <c r="H27" s="17">
        <f>IF($H$23&gt;250,$H$23*3%,)</f>
        <v>0</v>
      </c>
      <c r="J27" s="14" t="s">
        <v>3</v>
      </c>
      <c r="K27" s="17">
        <f>IF($K$23&gt;250,$K$23*3%,)</f>
        <v>0</v>
      </c>
      <c r="M27" s="14" t="s">
        <v>3</v>
      </c>
      <c r="N27" s="17">
        <f>IF($N$23&gt;250,$N$23*3%,)</f>
        <v>0</v>
      </c>
    </row>
    <row r="28" spans="2:14" x14ac:dyDescent="0.25">
      <c r="D28" s="11" t="s">
        <v>6</v>
      </c>
      <c r="E28" s="18">
        <f>E23-E24-E25-E26-E27</f>
        <v>0</v>
      </c>
      <c r="G28" s="11" t="s">
        <v>6</v>
      </c>
      <c r="H28" s="18">
        <f>H23-H24-H25-H26-H27</f>
        <v>0</v>
      </c>
      <c r="J28" s="11" t="s">
        <v>6</v>
      </c>
      <c r="K28" s="18">
        <f>K23-K24-K25-K26-K27</f>
        <v>0</v>
      </c>
      <c r="M28" s="11" t="s">
        <v>6</v>
      </c>
      <c r="N28" s="18">
        <f>N23-N24-N25-N26-N27</f>
        <v>0</v>
      </c>
    </row>
  </sheetData>
  <mergeCells count="3">
    <mergeCell ref="B2:B3"/>
    <mergeCell ref="B12:B13"/>
    <mergeCell ref="B22:B23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8"/>
  <sheetViews>
    <sheetView showGridLines="0" workbookViewId="0"/>
  </sheetViews>
  <sheetFormatPr defaultRowHeight="15" x14ac:dyDescent="0.25"/>
  <cols>
    <col min="1" max="1" width="2.7109375" style="1" customWidth="1"/>
    <col min="2" max="2" width="10.7109375" style="2" bestFit="1" customWidth="1"/>
    <col min="3" max="3" width="16.85546875" style="1" bestFit="1" customWidth="1"/>
    <col min="4" max="4" width="13.28515625" style="3" bestFit="1" customWidth="1"/>
    <col min="5" max="16384" width="9.140625" style="1"/>
  </cols>
  <sheetData>
    <row r="2" spans="2:4" x14ac:dyDescent="0.25">
      <c r="B2" s="20" t="s">
        <v>15</v>
      </c>
      <c r="C2" s="20"/>
      <c r="D2" s="20"/>
    </row>
    <row r="3" spans="2:4" s="4" customFormat="1" x14ac:dyDescent="0.25">
      <c r="B3" s="5" t="s">
        <v>12</v>
      </c>
      <c r="C3" s="6" t="s">
        <v>14</v>
      </c>
      <c r="D3" s="7" t="s">
        <v>13</v>
      </c>
    </row>
    <row r="4" spans="2:4" x14ac:dyDescent="0.25">
      <c r="B4" s="2">
        <v>43133</v>
      </c>
      <c r="C4" s="1" t="s">
        <v>8</v>
      </c>
      <c r="D4" s="8">
        <v>3911.86</v>
      </c>
    </row>
    <row r="5" spans="2:4" x14ac:dyDescent="0.25">
      <c r="B5" s="2">
        <v>43146</v>
      </c>
      <c r="C5" s="9" t="s">
        <v>9</v>
      </c>
      <c r="D5" s="8">
        <v>18529.34</v>
      </c>
    </row>
    <row r="6" spans="2:4" x14ac:dyDescent="0.25">
      <c r="B6" s="2">
        <v>43150</v>
      </c>
      <c r="C6" s="9" t="s">
        <v>10</v>
      </c>
      <c r="D6" s="8">
        <v>1126.2</v>
      </c>
    </row>
    <row r="7" spans="2:4" x14ac:dyDescent="0.25">
      <c r="B7" s="2">
        <v>43153</v>
      </c>
      <c r="C7" s="9" t="s">
        <v>8</v>
      </c>
      <c r="D7" s="8">
        <v>5870.62</v>
      </c>
    </row>
    <row r="8" spans="2:4" x14ac:dyDescent="0.25">
      <c r="B8" s="2">
        <v>43159</v>
      </c>
      <c r="C8" s="9" t="s">
        <v>11</v>
      </c>
      <c r="D8" s="8">
        <v>750.8</v>
      </c>
    </row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Retenções</vt:lpstr>
      <vt:lpstr>Valores Recebidos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Jessika</dc:creator>
  <cp:lastModifiedBy>Jessika</cp:lastModifiedBy>
  <dcterms:created xsi:type="dcterms:W3CDTF">2018-03-15T13:46:10Z</dcterms:created>
  <dcterms:modified xsi:type="dcterms:W3CDTF">2018-04-12T20:58:58Z</dcterms:modified>
</cp:coreProperties>
</file>