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embeddings/oleObject3.bin" ContentType="application/vnd.openxmlformats-officedocument.oleObject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dc9\AC\Temp\"/>
    </mc:Choice>
  </mc:AlternateContent>
  <xr:revisionPtr revIDLastSave="0" documentId="8_{BEBDC3E7-93F0-B14D-A6B6-277F66C3A2F2}" xr6:coauthVersionLast="32" xr6:coauthVersionMax="32" xr10:uidLastSave="{00000000-0000-0000-0000-000000000000}"/>
  <bookViews>
    <workbookView xWindow="32760" yWindow="32760" windowWidth="7680" windowHeight="4320" tabRatio="697" xr2:uid="{00000000-000D-0000-FFFF-FFFF00000000}"/>
  </bookViews>
  <sheets>
    <sheet name="Problema" sheetId="29" r:id="rId1"/>
    <sheet name="Solução" sheetId="30" r:id="rId2"/>
  </sheets>
  <definedNames>
    <definedName name="acio">#REF!</definedName>
    <definedName name="CAVALCANTE___ASSOCIADOS">#REF!</definedName>
    <definedName name="divid">#REF!</definedName>
    <definedName name="dividends">#REF!</definedName>
    <definedName name="FCFE">#REF!</definedName>
    <definedName name="inf">#REF!</definedName>
    <definedName name="ope">#REF!</definedName>
    <definedName name="operacional">#REF!</definedName>
    <definedName name="restaure">[0]!restaure</definedName>
    <definedName name="restaure2">[0]!restaure2</definedName>
    <definedName name="tipograf">#REF!</definedName>
  </definedNames>
  <calcPr calcId="179016"/>
</workbook>
</file>

<file path=xl/calcChain.xml><?xml version="1.0" encoding="utf-8"?>
<calcChain xmlns="http://schemas.openxmlformats.org/spreadsheetml/2006/main">
  <c r="C11" i="30" l="1"/>
  <c r="C33" i="30"/>
  <c r="D14" i="30"/>
  <c r="AH6" i="30"/>
  <c r="AH7" i="30"/>
  <c r="AH8" i="30"/>
  <c r="D9" i="30"/>
  <c r="D11" i="30"/>
  <c r="D33" i="30"/>
  <c r="E9" i="30"/>
  <c r="E11" i="30"/>
  <c r="E14" i="30"/>
  <c r="E33" i="30"/>
  <c r="F9" i="30"/>
  <c r="F11" i="30"/>
  <c r="F14" i="30"/>
  <c r="F33" i="30"/>
  <c r="G9" i="30"/>
  <c r="G11" i="30"/>
  <c r="G14" i="30"/>
  <c r="G16" i="30"/>
  <c r="G33" i="30"/>
  <c r="H9" i="30"/>
  <c r="H11" i="30"/>
  <c r="H14" i="30"/>
  <c r="H33" i="30"/>
  <c r="I9" i="30"/>
  <c r="I11" i="30"/>
  <c r="I14" i="30"/>
  <c r="I33" i="30"/>
  <c r="J9" i="30"/>
  <c r="J11" i="30"/>
  <c r="J14" i="30"/>
  <c r="J33" i="30"/>
  <c r="K9" i="30"/>
  <c r="K11" i="30"/>
  <c r="K14" i="30"/>
  <c r="K33" i="30"/>
  <c r="L9" i="30"/>
  <c r="L11" i="30"/>
  <c r="L14" i="30"/>
  <c r="L33" i="30"/>
  <c r="M9" i="30"/>
  <c r="M11" i="30"/>
  <c r="M14" i="30"/>
  <c r="M16" i="30"/>
  <c r="M33" i="30"/>
  <c r="N9" i="30"/>
  <c r="N11" i="30"/>
  <c r="N14" i="30"/>
  <c r="N33" i="30"/>
  <c r="O9" i="30"/>
  <c r="O11" i="30"/>
  <c r="O14" i="30"/>
  <c r="O33" i="30"/>
  <c r="P9" i="30"/>
  <c r="P11" i="30"/>
  <c r="P14" i="30"/>
  <c r="P33" i="30"/>
  <c r="Q9" i="30"/>
  <c r="Q11" i="30"/>
  <c r="Q14" i="30"/>
  <c r="Q33" i="30"/>
  <c r="R9" i="30"/>
  <c r="R11" i="30"/>
  <c r="R14" i="30"/>
  <c r="R33" i="30"/>
  <c r="S9" i="30"/>
  <c r="S11" i="30"/>
  <c r="S14" i="30"/>
  <c r="S33" i="30"/>
  <c r="T9" i="30"/>
  <c r="T11" i="30"/>
  <c r="T14" i="30"/>
  <c r="T33" i="30"/>
  <c r="U9" i="30"/>
  <c r="U11" i="30"/>
  <c r="U14" i="30"/>
  <c r="U33" i="30"/>
  <c r="V9" i="30"/>
  <c r="V11" i="30"/>
  <c r="V14" i="30"/>
  <c r="V33" i="30"/>
  <c r="W9" i="30"/>
  <c r="W11" i="30"/>
  <c r="W14" i="30"/>
  <c r="W33" i="30"/>
  <c r="X9" i="30"/>
  <c r="X11" i="30"/>
  <c r="X14" i="30"/>
  <c r="X33" i="30"/>
  <c r="Y9" i="30"/>
  <c r="Y11" i="30"/>
  <c r="Y14" i="30"/>
  <c r="Y33" i="30"/>
  <c r="Z9" i="30"/>
  <c r="Z11" i="30"/>
  <c r="Z14" i="30"/>
  <c r="Z33" i="30"/>
  <c r="AA9" i="30"/>
  <c r="AA11" i="30"/>
  <c r="AA14" i="30"/>
  <c r="AA33" i="30"/>
  <c r="AB9" i="30"/>
  <c r="AB11" i="30"/>
  <c r="AB14" i="30"/>
  <c r="AB33" i="30"/>
  <c r="AC9" i="30"/>
  <c r="AC11" i="30"/>
  <c r="AC14" i="30"/>
  <c r="AC33" i="30"/>
  <c r="AD9" i="30"/>
  <c r="AD11" i="30"/>
  <c r="AD14" i="30"/>
  <c r="AD33" i="30"/>
  <c r="AE9" i="30"/>
  <c r="AE11" i="30"/>
  <c r="AE14" i="30"/>
  <c r="AE33" i="30"/>
  <c r="AF9" i="30"/>
  <c r="AF11" i="30"/>
  <c r="AF14" i="30"/>
  <c r="AF33" i="30"/>
  <c r="AG9" i="30"/>
  <c r="AH9" i="30"/>
  <c r="AH11" i="30"/>
  <c r="AH12" i="30"/>
  <c r="AH13" i="30"/>
  <c r="AG14" i="30"/>
  <c r="AH14" i="30"/>
  <c r="AH15" i="30"/>
  <c r="AH16" i="30"/>
  <c r="AH17" i="30"/>
  <c r="AH18" i="30"/>
  <c r="AH19" i="30"/>
  <c r="AH20" i="30"/>
  <c r="AH21" i="30"/>
  <c r="AH22" i="30"/>
  <c r="AH23" i="30"/>
  <c r="AH24" i="30"/>
  <c r="AH25" i="30"/>
  <c r="AH26" i="30"/>
  <c r="AH27" i="30"/>
  <c r="AH28" i="30"/>
  <c r="AH29" i="30"/>
  <c r="AH30" i="30"/>
  <c r="AH31" i="30"/>
  <c r="AH33" i="30"/>
  <c r="AH34" i="30"/>
  <c r="AG11" i="30"/>
  <c r="AG33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I33" i="30"/>
  <c r="AI32" i="30"/>
  <c r="AI31" i="30"/>
  <c r="AI30" i="30"/>
  <c r="AI29" i="30"/>
  <c r="AI28" i="30"/>
  <c r="AI27" i="30"/>
  <c r="AI26" i="30"/>
  <c r="AI25" i="30"/>
  <c r="AI24" i="30"/>
  <c r="AI23" i="30"/>
  <c r="AI22" i="30"/>
  <c r="AI21" i="30"/>
  <c r="AI20" i="30"/>
  <c r="AI19" i="30"/>
  <c r="AI18" i="30"/>
  <c r="AI17" i="30"/>
  <c r="AI16" i="30"/>
  <c r="AI15" i="30"/>
  <c r="AI14" i="30"/>
  <c r="AI13" i="30"/>
  <c r="AI12" i="30"/>
  <c r="AI11" i="30"/>
  <c r="AI10" i="30"/>
  <c r="AI9" i="30"/>
  <c r="AI8" i="30"/>
  <c r="AI7" i="30"/>
  <c r="AI6" i="30"/>
  <c r="AG4" i="30"/>
  <c r="AG5" i="30"/>
  <c r="AF4" i="30"/>
  <c r="AF5" i="30"/>
  <c r="AE4" i="30"/>
  <c r="AE5" i="30"/>
  <c r="AD4" i="30"/>
  <c r="AD5" i="30"/>
  <c r="AC4" i="30"/>
  <c r="AC5" i="30"/>
  <c r="AB4" i="30"/>
  <c r="AB5" i="30"/>
  <c r="AA4" i="30"/>
  <c r="AA5" i="30"/>
  <c r="Z4" i="30"/>
  <c r="Z5" i="30"/>
  <c r="Y4" i="30"/>
  <c r="Y5" i="30"/>
  <c r="X4" i="30"/>
  <c r="X5" i="30"/>
  <c r="W4" i="30"/>
  <c r="W5" i="30"/>
  <c r="V4" i="30"/>
  <c r="V5" i="30"/>
  <c r="U4" i="30"/>
  <c r="U5" i="30"/>
  <c r="T4" i="30"/>
  <c r="T5" i="30"/>
  <c r="S4" i="30"/>
  <c r="S5" i="30"/>
  <c r="R4" i="30"/>
  <c r="R5" i="30"/>
  <c r="Q4" i="30"/>
  <c r="Q5" i="30"/>
  <c r="P4" i="30"/>
  <c r="P5" i="30"/>
  <c r="O4" i="30"/>
  <c r="O5" i="30"/>
  <c r="N4" i="30"/>
  <c r="N5" i="30"/>
  <c r="M4" i="30"/>
  <c r="M5" i="30"/>
  <c r="L4" i="30"/>
  <c r="L5" i="30"/>
  <c r="K4" i="30"/>
  <c r="K5" i="30"/>
  <c r="J4" i="30"/>
  <c r="J5" i="30"/>
  <c r="I4" i="30"/>
  <c r="I5" i="30"/>
  <c r="H4" i="30"/>
  <c r="H5" i="30"/>
  <c r="G4" i="30"/>
  <c r="G5" i="30"/>
  <c r="F4" i="30"/>
  <c r="F5" i="30"/>
  <c r="E4" i="30"/>
  <c r="E5" i="30"/>
  <c r="D4" i="30"/>
  <c r="D5" i="30"/>
  <c r="C4" i="30"/>
  <c r="C5" i="30"/>
  <c r="B10" i="29"/>
  <c r="B32" i="29"/>
  <c r="C10" i="29"/>
  <c r="C32" i="29"/>
  <c r="D10" i="29"/>
  <c r="D32" i="29"/>
  <c r="E10" i="29"/>
  <c r="E32" i="29"/>
  <c r="F10" i="29"/>
  <c r="F15" i="29"/>
  <c r="F32" i="29"/>
  <c r="G10" i="29"/>
  <c r="G32" i="29"/>
  <c r="H10" i="29"/>
  <c r="H32" i="29"/>
  <c r="I10" i="29"/>
  <c r="I32" i="29"/>
  <c r="J10" i="29"/>
  <c r="J32" i="29"/>
  <c r="K10" i="29"/>
  <c r="K32" i="29"/>
  <c r="L10" i="29"/>
  <c r="L15" i="29"/>
  <c r="L32" i="29"/>
  <c r="M10" i="29"/>
  <c r="M32" i="29"/>
  <c r="N10" i="29"/>
  <c r="N32" i="29"/>
  <c r="O10" i="29"/>
  <c r="O32" i="29"/>
  <c r="P32" i="29"/>
  <c r="P10" i="29"/>
  <c r="Q10" i="29"/>
  <c r="Q32" i="29"/>
  <c r="R10" i="29"/>
  <c r="R32" i="29"/>
  <c r="S10" i="29"/>
  <c r="S32" i="29"/>
  <c r="T10" i="29"/>
  <c r="T32" i="29"/>
  <c r="U10" i="29"/>
  <c r="U32" i="29"/>
  <c r="V10" i="29"/>
  <c r="V32" i="29"/>
  <c r="W10" i="29"/>
  <c r="W32" i="29"/>
  <c r="X10" i="29"/>
  <c r="X32" i="29"/>
  <c r="Y10" i="29"/>
  <c r="Y32" i="29"/>
  <c r="Z10" i="29"/>
  <c r="Z32" i="29"/>
  <c r="AA10" i="29"/>
  <c r="AA32" i="29"/>
  <c r="AB10" i="29"/>
  <c r="AB32" i="29"/>
  <c r="AC10" i="29"/>
  <c r="AC32" i="29"/>
  <c r="AD10" i="29"/>
  <c r="AD32" i="29"/>
  <c r="AE10" i="29"/>
  <c r="AE32" i="29"/>
  <c r="AG19" i="29"/>
  <c r="AG22" i="29"/>
  <c r="AG25" i="29"/>
  <c r="AG26" i="29"/>
  <c r="AG13" i="29"/>
  <c r="AG12" i="29"/>
  <c r="AG14" i="29"/>
  <c r="AG15" i="29"/>
  <c r="AG16" i="29"/>
  <c r="AG17" i="29"/>
  <c r="AG18" i="29"/>
  <c r="AG20" i="29"/>
  <c r="AG21" i="29"/>
  <c r="AG23" i="29"/>
  <c r="AG24" i="29"/>
  <c r="AG27" i="29"/>
  <c r="AG28" i="29"/>
  <c r="AG29" i="29"/>
  <c r="AG30" i="29"/>
  <c r="AG32" i="29"/>
  <c r="AG6" i="29"/>
  <c r="AG7" i="29"/>
  <c r="AG8" i="29"/>
  <c r="AG10" i="29"/>
  <c r="AF10" i="29"/>
  <c r="AF32" i="29"/>
  <c r="C33" i="29"/>
  <c r="D33" i="29"/>
  <c r="E33" i="29"/>
  <c r="F33" i="29"/>
  <c r="G33" i="29"/>
  <c r="H33" i="29"/>
  <c r="I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W33" i="29"/>
  <c r="X33" i="29"/>
  <c r="Y33" i="29"/>
  <c r="Z33" i="29"/>
  <c r="AA33" i="29"/>
  <c r="AB33" i="29"/>
  <c r="AC33" i="29"/>
  <c r="AD33" i="29"/>
  <c r="AE33" i="29"/>
  <c r="AF33" i="29"/>
  <c r="AG33" i="29"/>
  <c r="B33" i="29"/>
  <c r="C4" i="29"/>
  <c r="D4" i="29"/>
  <c r="E4" i="29"/>
  <c r="F4" i="29"/>
  <c r="G4" i="29"/>
  <c r="H4" i="29"/>
  <c r="I4" i="29"/>
  <c r="J4" i="29"/>
  <c r="K4" i="29"/>
  <c r="L4" i="29"/>
  <c r="M4" i="29"/>
  <c r="N4" i="29"/>
  <c r="O4" i="29"/>
  <c r="P4" i="29"/>
  <c r="Q4" i="29"/>
  <c r="R4" i="29"/>
  <c r="S4" i="29"/>
  <c r="T4" i="29"/>
  <c r="U4" i="29"/>
  <c r="V4" i="29"/>
  <c r="W4" i="29"/>
  <c r="X4" i="29"/>
  <c r="Y4" i="29"/>
  <c r="Z4" i="29"/>
  <c r="AA4" i="29"/>
  <c r="AB4" i="29"/>
  <c r="AC4" i="29"/>
  <c r="AD4" i="29"/>
  <c r="AE4" i="29"/>
  <c r="AF4" i="29"/>
  <c r="B4" i="29"/>
</calcChain>
</file>

<file path=xl/sharedStrings.xml><?xml version="1.0" encoding="utf-8"?>
<sst xmlns="http://schemas.openxmlformats.org/spreadsheetml/2006/main" count="65" uniqueCount="35">
  <si>
    <t>TOTAL</t>
  </si>
  <si>
    <t>Aluguel</t>
  </si>
  <si>
    <t>Salário</t>
  </si>
  <si>
    <t xml:space="preserve">Luz </t>
  </si>
  <si>
    <t>Telefone</t>
  </si>
  <si>
    <t>Água</t>
  </si>
  <si>
    <t>Propaganda</t>
  </si>
  <si>
    <t>Mat.Escritório</t>
  </si>
  <si>
    <t>Internet</t>
  </si>
  <si>
    <t>Mat.Informática</t>
  </si>
  <si>
    <t>Encargos Trabalhistas</t>
  </si>
  <si>
    <t>Refeições</t>
  </si>
  <si>
    <t>Venda de Serviços</t>
  </si>
  <si>
    <t>Venda de Produtos</t>
  </si>
  <si>
    <t>Receita não Operacional</t>
  </si>
  <si>
    <t>Matéria-Prima</t>
  </si>
  <si>
    <t>Receita Financeira</t>
  </si>
  <si>
    <t>Desp.Financeira</t>
  </si>
  <si>
    <t>Despesa não Operacional</t>
  </si>
  <si>
    <t>Conta</t>
  </si>
  <si>
    <t>RECEITAS</t>
  </si>
  <si>
    <t>Frete</t>
  </si>
  <si>
    <t>ICMS</t>
  </si>
  <si>
    <t>ISS</t>
  </si>
  <si>
    <t>Mat. de Embalagem</t>
  </si>
  <si>
    <t>Outros</t>
  </si>
  <si>
    <t>TOTAL DE RECEITAS</t>
  </si>
  <si>
    <t>DESPESAS</t>
  </si>
  <si>
    <t>TOTAL DE DESPESAS</t>
  </si>
  <si>
    <t>VALOR LÍQUIDO</t>
  </si>
  <si>
    <t>%</t>
  </si>
  <si>
    <t>IPI/PIS/COFINS/IR/Contribuição Social</t>
  </si>
  <si>
    <t>Confrontando as Receitas e Despesas</t>
  </si>
  <si>
    <t>RELATÓRIO DE RECEITAS E DESPESAS</t>
  </si>
  <si>
    <t>Confrontando e Analisando as Receitas e 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</si>
</sst>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General_)"/>
    <numFmt numFmtId="166" formatCode="0.0%"/>
    <numFmt numFmtId="167" formatCode="[$-416]d\-mmm\-yy;@"/>
    <numFmt numFmtId="168" formatCode="_(* #,##0_);_(* \(#,##0\);_(* &quot;-&quot;??_);_(@_)"/>
    <numFmt numFmtId="169" formatCode="ddd"/>
  </numFmts>
  <fonts count="15">
    <font>
      <sz val="10"/>
      <name val="Courier"/>
    </font>
    <font>
      <sz val="10"/>
      <name val="Arial"/>
    </font>
    <font>
      <sz val="8"/>
      <name val="Courier"/>
    </font>
    <font>
      <b/>
      <sz val="10"/>
      <name val="Georgia"/>
      <family val="1"/>
    </font>
    <font>
      <b/>
      <sz val="9"/>
      <name val="Georgia"/>
      <family val="1"/>
    </font>
    <font>
      <sz val="18"/>
      <color indexed="8"/>
      <name val="Georgia"/>
      <family val="1"/>
    </font>
    <font>
      <b/>
      <sz val="10"/>
      <color indexed="8"/>
      <name val="Georgia"/>
      <family val="1"/>
    </font>
    <font>
      <b/>
      <sz val="10"/>
      <name val="Courier"/>
    </font>
    <font>
      <sz val="9"/>
      <name val="Georgia"/>
      <family val="1"/>
    </font>
    <font>
      <sz val="10"/>
      <name val="Courier"/>
    </font>
    <font>
      <sz val="10"/>
      <color indexed="9"/>
      <name val="Georgia"/>
      <family val="1"/>
    </font>
    <font>
      <sz val="10"/>
      <color indexed="9"/>
      <name val="Courier"/>
    </font>
    <font>
      <b/>
      <u/>
      <sz val="10"/>
      <name val="Georgia"/>
      <family val="1"/>
    </font>
    <font>
      <sz val="8"/>
      <name val="Arial"/>
      <family val="2"/>
    </font>
    <font>
      <b/>
      <sz val="9"/>
      <name val="Georgia"/>
    </font>
  </fonts>
  <fills count="9">
    <fill>
      <patternFill patternType="none"/>
    </fill>
    <fill>
      <patternFill patternType="gray125"/>
    </fill>
    <fill>
      <patternFill patternType="lightGray">
        <fgColor indexed="26"/>
        <bgColor indexed="42"/>
      </patternFill>
    </fill>
    <fill>
      <patternFill patternType="lightGray">
        <fgColor indexed="26"/>
        <bgColor indexed="9"/>
      </patternFill>
    </fill>
    <fill>
      <patternFill patternType="lightGray">
        <fgColor indexed="26"/>
        <bgColor indexed="47"/>
      </patternFill>
    </fill>
    <fill>
      <patternFill patternType="solid">
        <fgColor indexed="47"/>
        <bgColor indexed="64"/>
      </patternFill>
    </fill>
    <fill>
      <patternFill patternType="lightGray">
        <fgColor indexed="26"/>
        <bgColor indexed="43"/>
      </patternFill>
    </fill>
    <fill>
      <patternFill patternType="solid">
        <fgColor indexed="43"/>
        <bgColor indexed="64"/>
      </patternFill>
    </fill>
    <fill>
      <patternFill patternType="lightGray">
        <fgColor indexed="26"/>
        <bgColor indexed="13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57"/>
      </bottom>
      <diagonal/>
    </border>
    <border>
      <left style="thin">
        <color indexed="57"/>
      </left>
      <right style="dashed">
        <color indexed="22"/>
      </right>
      <top/>
      <bottom style="dashed">
        <color indexed="22"/>
      </bottom>
      <diagonal/>
    </border>
    <border>
      <left style="thin">
        <color indexed="57"/>
      </left>
      <right/>
      <top/>
      <bottom style="dashed">
        <color indexed="22"/>
      </bottom>
      <diagonal/>
    </border>
    <border>
      <left style="medium">
        <color indexed="50"/>
      </left>
      <right style="medium">
        <color indexed="50"/>
      </right>
      <top/>
      <bottom style="dashed">
        <color indexed="22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57"/>
      </left>
      <right style="dashed">
        <color indexed="22"/>
      </right>
      <top/>
      <bottom/>
      <diagonal/>
    </border>
    <border>
      <left style="thin">
        <color indexed="57"/>
      </left>
      <right/>
      <top/>
      <bottom/>
      <diagonal/>
    </border>
    <border>
      <left style="medium">
        <color indexed="50"/>
      </left>
      <right style="medium">
        <color indexed="50"/>
      </right>
      <top/>
      <bottom/>
      <diagonal/>
    </border>
    <border>
      <left style="medium">
        <color indexed="50"/>
      </left>
      <right style="medium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/>
      <diagonal/>
    </border>
    <border>
      <left style="medium">
        <color indexed="50"/>
      </left>
      <right style="medium">
        <color indexed="50"/>
      </right>
      <top style="thin">
        <color indexed="50"/>
      </top>
      <bottom/>
      <diagonal/>
    </border>
    <border>
      <left style="thin">
        <color indexed="50"/>
      </left>
      <right/>
      <top style="thin">
        <color indexed="50"/>
      </top>
      <bottom style="thin">
        <color indexed="50"/>
      </bottom>
      <diagonal/>
    </border>
    <border>
      <left style="medium">
        <color indexed="50"/>
      </left>
      <right style="medium">
        <color indexed="50"/>
      </right>
      <top style="medium">
        <color indexed="50"/>
      </top>
      <bottom style="thin">
        <color indexed="50"/>
      </bottom>
      <diagonal/>
    </border>
    <border>
      <left style="thin">
        <color indexed="50"/>
      </left>
      <right style="thin">
        <color indexed="50"/>
      </right>
      <top style="medium">
        <color indexed="50"/>
      </top>
      <bottom style="double">
        <color indexed="50"/>
      </bottom>
      <diagonal/>
    </border>
    <border>
      <left style="medium">
        <color indexed="50"/>
      </left>
      <right style="medium">
        <color indexed="50"/>
      </right>
      <top style="medium">
        <color indexed="50"/>
      </top>
      <bottom style="double">
        <color indexed="50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/>
      <diagonal/>
    </border>
    <border>
      <left style="thin">
        <color indexed="57"/>
      </left>
      <right style="thin">
        <color indexed="57"/>
      </right>
      <top/>
      <bottom/>
      <diagonal/>
    </border>
  </borders>
  <cellStyleXfs count="3">
    <xf numFmtId="165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7">
    <xf numFmtId="165" fontId="0" fillId="0" borderId="0" xfId="0"/>
    <xf numFmtId="165" fontId="5" fillId="2" borderId="1" xfId="0" applyFont="1" applyFill="1" applyBorder="1" applyAlignment="1">
      <alignment horizontal="left" vertical="center"/>
    </xf>
    <xf numFmtId="37" fontId="8" fillId="3" borderId="2" xfId="1" applyNumberFormat="1" applyFont="1" applyFill="1" applyBorder="1" applyAlignment="1">
      <alignment horizontal="left" vertical="center"/>
    </xf>
    <xf numFmtId="165" fontId="9" fillId="0" borderId="0" xfId="0" applyFont="1"/>
    <xf numFmtId="167" fontId="3" fillId="0" borderId="0" xfId="0" applyNumberFormat="1" applyFont="1" applyAlignment="1">
      <alignment horizontal="center"/>
    </xf>
    <xf numFmtId="39" fontId="8" fillId="3" borderId="2" xfId="1" applyNumberFormat="1" applyFont="1" applyFill="1" applyBorder="1" applyAlignment="1">
      <alignment horizontal="right" vertical="center"/>
    </xf>
    <xf numFmtId="39" fontId="8" fillId="3" borderId="3" xfId="1" applyNumberFormat="1" applyFont="1" applyFill="1" applyBorder="1" applyAlignment="1">
      <alignment horizontal="right" vertical="center"/>
    </xf>
    <xf numFmtId="39" fontId="4" fillId="4" borderId="4" xfId="1" applyNumberFormat="1" applyFont="1" applyFill="1" applyBorder="1" applyAlignment="1">
      <alignment horizontal="right" vertical="center"/>
    </xf>
    <xf numFmtId="165" fontId="10" fillId="0" borderId="0" xfId="0" applyFont="1"/>
    <xf numFmtId="165" fontId="11" fillId="0" borderId="0" xfId="0" applyFont="1"/>
    <xf numFmtId="165" fontId="12" fillId="0" borderId="0" xfId="0" applyFont="1" applyAlignment="1">
      <alignment horizontal="center"/>
    </xf>
    <xf numFmtId="39" fontId="8" fillId="4" borderId="2" xfId="1" applyNumberFormat="1" applyFont="1" applyFill="1" applyBorder="1" applyAlignment="1">
      <alignment horizontal="left" vertical="center"/>
    </xf>
    <xf numFmtId="39" fontId="8" fillId="4" borderId="2" xfId="1" applyNumberFormat="1" applyFont="1" applyFill="1" applyBorder="1" applyAlignment="1">
      <alignment horizontal="right" vertical="center"/>
    </xf>
    <xf numFmtId="165" fontId="12" fillId="0" borderId="5" xfId="0" applyFont="1" applyBorder="1" applyAlignment="1">
      <alignment horizontal="center"/>
    </xf>
    <xf numFmtId="16" fontId="12" fillId="0" borderId="5" xfId="0" applyNumberFormat="1" applyFont="1" applyBorder="1" applyAlignment="1">
      <alignment horizontal="center"/>
    </xf>
    <xf numFmtId="16" fontId="12" fillId="5" borderId="5" xfId="0" applyNumberFormat="1" applyFont="1" applyFill="1" applyBorder="1" applyAlignment="1">
      <alignment horizontal="center"/>
    </xf>
    <xf numFmtId="169" fontId="12" fillId="5" borderId="5" xfId="0" applyNumberFormat="1" applyFont="1" applyFill="1" applyBorder="1" applyAlignment="1">
      <alignment horizontal="center"/>
    </xf>
    <xf numFmtId="169" fontId="12" fillId="0" borderId="5" xfId="0" applyNumberFormat="1" applyFont="1" applyBorder="1" applyAlignment="1">
      <alignment horizontal="center"/>
    </xf>
    <xf numFmtId="37" fontId="8" fillId="3" borderId="6" xfId="1" applyNumberFormat="1" applyFont="1" applyFill="1" applyBorder="1" applyAlignment="1">
      <alignment horizontal="right" vertical="center"/>
    </xf>
    <xf numFmtId="39" fontId="8" fillId="4" borderId="6" xfId="1" applyNumberFormat="1" applyFont="1" applyFill="1" applyBorder="1" applyAlignment="1">
      <alignment horizontal="right" vertical="center"/>
    </xf>
    <xf numFmtId="39" fontId="8" fillId="3" borderId="6" xfId="1" applyNumberFormat="1" applyFont="1" applyFill="1" applyBorder="1" applyAlignment="1">
      <alignment horizontal="right" vertical="center"/>
    </xf>
    <xf numFmtId="39" fontId="8" fillId="3" borderId="7" xfId="1" applyNumberFormat="1" applyFont="1" applyFill="1" applyBorder="1" applyAlignment="1">
      <alignment horizontal="right" vertical="center"/>
    </xf>
    <xf numFmtId="39" fontId="4" fillId="4" borderId="8" xfId="1" applyNumberFormat="1" applyFont="1" applyFill="1" applyBorder="1" applyAlignment="1">
      <alignment horizontal="right" vertical="center"/>
    </xf>
    <xf numFmtId="168" fontId="6" fillId="2" borderId="5" xfId="2" applyNumberFormat="1" applyFont="1" applyFill="1" applyBorder="1" applyAlignment="1">
      <alignment horizontal="right" vertical="center"/>
    </xf>
    <xf numFmtId="168" fontId="6" fillId="2" borderId="5" xfId="2" applyNumberFormat="1" applyFont="1" applyFill="1" applyBorder="1" applyAlignment="1">
      <alignment horizontal="center" vertical="center"/>
    </xf>
    <xf numFmtId="39" fontId="6" fillId="2" borderId="5" xfId="2" applyNumberFormat="1" applyFont="1" applyFill="1" applyBorder="1" applyAlignment="1">
      <alignment horizontal="right" vertical="center"/>
    </xf>
    <xf numFmtId="39" fontId="6" fillId="2" borderId="9" xfId="2" applyNumberFormat="1" applyFont="1" applyFill="1" applyBorder="1" applyAlignment="1">
      <alignment horizontal="right" vertical="center"/>
    </xf>
    <xf numFmtId="168" fontId="6" fillId="2" borderId="10" xfId="2" applyNumberFormat="1" applyFont="1" applyFill="1" applyBorder="1" applyAlignment="1">
      <alignment horizontal="right" vertical="center"/>
    </xf>
    <xf numFmtId="168" fontId="6" fillId="2" borderId="10" xfId="2" applyNumberFormat="1" applyFont="1" applyFill="1" applyBorder="1" applyAlignment="1">
      <alignment horizontal="center" vertical="center"/>
    </xf>
    <xf numFmtId="39" fontId="6" fillId="2" borderId="10" xfId="2" applyNumberFormat="1" applyFont="1" applyFill="1" applyBorder="1" applyAlignment="1">
      <alignment horizontal="right" vertical="center"/>
    </xf>
    <xf numFmtId="39" fontId="6" fillId="2" borderId="11" xfId="2" applyNumberFormat="1" applyFont="1" applyFill="1" applyBorder="1" applyAlignment="1">
      <alignment horizontal="right" vertical="center"/>
    </xf>
    <xf numFmtId="16" fontId="12" fillId="0" borderId="12" xfId="0" applyNumberFormat="1" applyFont="1" applyBorder="1" applyAlignment="1">
      <alignment horizontal="center"/>
    </xf>
    <xf numFmtId="169" fontId="12" fillId="0" borderId="12" xfId="0" applyNumberFormat="1" applyFont="1" applyBorder="1" applyAlignment="1">
      <alignment horizontal="center"/>
    </xf>
    <xf numFmtId="165" fontId="12" fillId="0" borderId="13" xfId="0" applyFont="1" applyBorder="1" applyAlignment="1">
      <alignment horizontal="center"/>
    </xf>
    <xf numFmtId="165" fontId="12" fillId="0" borderId="9" xfId="0" applyFont="1" applyBorder="1" applyAlignment="1">
      <alignment horizontal="center"/>
    </xf>
    <xf numFmtId="168" fontId="6" fillId="2" borderId="14" xfId="2" applyNumberFormat="1" applyFont="1" applyFill="1" applyBorder="1" applyAlignment="1">
      <alignment horizontal="right" vertical="center"/>
    </xf>
    <xf numFmtId="168" fontId="6" fillId="2" borderId="14" xfId="2" applyNumberFormat="1" applyFont="1" applyFill="1" applyBorder="1" applyAlignment="1">
      <alignment horizontal="center" vertical="center"/>
    </xf>
    <xf numFmtId="39" fontId="6" fillId="2" borderId="14" xfId="2" applyNumberFormat="1" applyFont="1" applyFill="1" applyBorder="1" applyAlignment="1">
      <alignment horizontal="right" vertical="center"/>
    </xf>
    <xf numFmtId="39" fontId="6" fillId="2" borderId="15" xfId="2" applyNumberFormat="1" applyFont="1" applyFill="1" applyBorder="1" applyAlignment="1">
      <alignment horizontal="right" vertical="center"/>
    </xf>
    <xf numFmtId="165" fontId="13" fillId="0" borderId="0" xfId="0" applyFont="1"/>
    <xf numFmtId="168" fontId="13" fillId="0" borderId="0" xfId="2" applyNumberFormat="1" applyFont="1"/>
    <xf numFmtId="37" fontId="14" fillId="8" borderId="2" xfId="1" applyNumberFormat="1" applyFont="1" applyFill="1" applyBorder="1" applyAlignment="1">
      <alignment horizontal="left" vertical="center"/>
    </xf>
    <xf numFmtId="39" fontId="8" fillId="8" borderId="2" xfId="1" applyNumberFormat="1" applyFont="1" applyFill="1" applyBorder="1" applyAlignment="1">
      <alignment horizontal="left" vertical="center"/>
    </xf>
    <xf numFmtId="39" fontId="8" fillId="8" borderId="2" xfId="1" applyNumberFormat="1" applyFont="1" applyFill="1" applyBorder="1" applyAlignment="1">
      <alignment horizontal="right" vertical="center"/>
    </xf>
    <xf numFmtId="39" fontId="8" fillId="8" borderId="3" xfId="1" applyNumberFormat="1" applyFont="1" applyFill="1" applyBorder="1" applyAlignment="1">
      <alignment horizontal="right" vertical="center"/>
    </xf>
    <xf numFmtId="39" fontId="4" fillId="8" borderId="4" xfId="1" applyNumberFormat="1" applyFont="1" applyFill="1" applyBorder="1" applyAlignment="1">
      <alignment horizontal="right" vertical="center"/>
    </xf>
    <xf numFmtId="166" fontId="4" fillId="4" borderId="4" xfId="1" applyNumberFormat="1" applyFont="1" applyFill="1" applyBorder="1" applyAlignment="1">
      <alignment horizontal="right" vertical="center"/>
    </xf>
    <xf numFmtId="166" fontId="4" fillId="8" borderId="4" xfId="1" applyNumberFormat="1" applyFont="1" applyFill="1" applyBorder="1" applyAlignment="1">
      <alignment horizontal="right" vertical="center"/>
    </xf>
    <xf numFmtId="166" fontId="4" fillId="4" borderId="8" xfId="1" applyNumberFormat="1" applyFont="1" applyFill="1" applyBorder="1" applyAlignment="1">
      <alignment horizontal="right" vertical="center"/>
    </xf>
    <xf numFmtId="166" fontId="6" fillId="2" borderId="9" xfId="1" applyNumberFormat="1" applyFont="1" applyFill="1" applyBorder="1" applyAlignment="1">
      <alignment horizontal="right" vertical="center"/>
    </xf>
    <xf numFmtId="166" fontId="6" fillId="2" borderId="11" xfId="1" applyNumberFormat="1" applyFont="1" applyFill="1" applyBorder="1" applyAlignment="1">
      <alignment horizontal="right" vertical="center"/>
    </xf>
    <xf numFmtId="165" fontId="3" fillId="0" borderId="0" xfId="0" applyFont="1" applyAlignment="1">
      <alignment horizontal="justify"/>
    </xf>
    <xf numFmtId="37" fontId="3" fillId="8" borderId="2" xfId="1" applyNumberFormat="1" applyFont="1" applyFill="1" applyBorder="1" applyAlignment="1">
      <alignment horizontal="center" vertical="center"/>
    </xf>
    <xf numFmtId="37" fontId="4" fillId="6" borderId="16" xfId="1" applyNumberFormat="1" applyFont="1" applyFill="1" applyBorder="1" applyAlignment="1">
      <alignment horizontal="left" vertical="center" textRotation="90"/>
    </xf>
    <xf numFmtId="165" fontId="7" fillId="7" borderId="17" xfId="0" applyFont="1" applyFill="1" applyBorder="1" applyAlignment="1">
      <alignment vertical="center" textRotation="90"/>
    </xf>
    <xf numFmtId="37" fontId="4" fillId="6" borderId="16" xfId="1" applyNumberFormat="1" applyFont="1" applyFill="1" applyBorder="1" applyAlignment="1">
      <alignment vertical="center" textRotation="90"/>
    </xf>
    <xf numFmtId="165" fontId="0" fillId="0" borderId="17" xfId="0" applyBorder="1" applyAlignment="1">
      <alignment vertical="center" textRotation="90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FFFFCC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 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 /><Relationship Id="rId1" Type="http://schemas.openxmlformats.org/officeDocument/2006/relationships/image" Target="../media/image2.emf" 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47625</xdr:rowOff>
        </xdr:from>
        <xdr:to>
          <xdr:col>7</xdr:col>
          <xdr:colOff>447675</xdr:colOff>
          <xdr:row>86</xdr:row>
          <xdr:rowOff>66675</xdr:rowOff>
        </xdr:to>
        <xdr:sp macro="" textlink="">
          <xdr:nvSpPr>
            <xdr:cNvPr id="24577" name="Object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69FC7ABC-97AE-485E-A60C-F61EA8C28B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36</xdr:row>
          <xdr:rowOff>95250</xdr:rowOff>
        </xdr:from>
        <xdr:to>
          <xdr:col>8</xdr:col>
          <xdr:colOff>571500</xdr:colOff>
          <xdr:row>92</xdr:row>
          <xdr:rowOff>114300</xdr:rowOff>
        </xdr:to>
        <xdr:sp macro="" textlink="">
          <xdr:nvSpPr>
            <xdr:cNvPr id="25602" name="Object 2" hidden="1">
              <a:extLst>
                <a:ext uri="{63B3BB69-23CF-44E3-9099-C40C66FF867C}">
                  <a14:compatExt spid="_x0000_s25602"/>
                </a:ext>
                <a:ext uri="{FF2B5EF4-FFF2-40B4-BE49-F238E27FC236}">
                  <a16:creationId xmlns:a16="http://schemas.microsoft.com/office/drawing/2014/main" id="{B7AE8BAF-9447-4B96-8727-269692D2C8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93</xdr:row>
          <xdr:rowOff>28575</xdr:rowOff>
        </xdr:from>
        <xdr:to>
          <xdr:col>8</xdr:col>
          <xdr:colOff>609600</xdr:colOff>
          <xdr:row>144</xdr:row>
          <xdr:rowOff>9525</xdr:rowOff>
        </xdr:to>
        <xdr:sp macro="" textlink="">
          <xdr:nvSpPr>
            <xdr:cNvPr id="25603" name="Object 3" hidden="1">
              <a:extLst>
                <a:ext uri="{63B3BB69-23CF-44E3-9099-C40C66FF867C}">
                  <a14:compatExt spid="_x0000_s25603"/>
                </a:ext>
                <a:ext uri="{FF2B5EF4-FFF2-40B4-BE49-F238E27FC236}">
                  <a16:creationId xmlns:a16="http://schemas.microsoft.com/office/drawing/2014/main" id="{9BC179A9-17C4-455F-B0FC-0F86EA6811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5" Type="http://schemas.openxmlformats.org/officeDocument/2006/relationships/image" Target="../media/image1.emf" /><Relationship Id="rId4" Type="http://schemas.openxmlformats.org/officeDocument/2006/relationships/oleObject" Target="../embeddings/oleObject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 /><Relationship Id="rId2" Type="http://schemas.openxmlformats.org/officeDocument/2006/relationships/vmlDrawing" Target="../drawings/vmlDrawing2.vml" /><Relationship Id="rId1" Type="http://schemas.openxmlformats.org/officeDocument/2006/relationships/drawing" Target="../drawings/drawing2.xml" /><Relationship Id="rId6" Type="http://schemas.openxmlformats.org/officeDocument/2006/relationships/image" Target="../media/image3.emf" /><Relationship Id="rId5" Type="http://schemas.openxmlformats.org/officeDocument/2006/relationships/oleObject" Target="../embeddings/oleObject3.bin" /><Relationship Id="rId4" Type="http://schemas.openxmlformats.org/officeDocument/2006/relationships/image" Target="../media/image2.emf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4"/>
  <sheetViews>
    <sheetView showGridLines="0" tabSelected="1" workbookViewId="0" xr3:uid="{AEA406A1-0E4B-5B11-9CD5-51D6E497D94C}">
      <selection activeCell="I49" sqref="I49"/>
    </sheetView>
  </sheetViews>
  <sheetFormatPr defaultRowHeight="13.5"/>
  <cols>
    <col min="1" max="1" width="24.2421875" bestFit="1" customWidth="1"/>
    <col min="2" max="2" width="7.87109375" customWidth="1"/>
    <col min="3" max="3" width="7.37109375" customWidth="1"/>
    <col min="4" max="4" width="8.74609375" customWidth="1"/>
    <col min="5" max="5" width="9.87109375" bestFit="1" customWidth="1"/>
    <col min="6" max="15" width="8.74609375" customWidth="1"/>
    <col min="16" max="18" width="9.62109375" customWidth="1"/>
    <col min="19" max="24" width="8.74609375" customWidth="1"/>
    <col min="25" max="30" width="8.24609375" customWidth="1"/>
    <col min="31" max="32" width="9.12109375" customWidth="1"/>
    <col min="33" max="33" width="11.87109375" bestFit="1" customWidth="1"/>
  </cols>
  <sheetData>
    <row r="1" spans="1:40" ht="30.75" customHeight="1" thickBot="1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customHeight="1">
      <c r="A2" s="4">
        <v>38868</v>
      </c>
    </row>
    <row r="3" spans="1:40" ht="24.75" thickBot="1">
      <c r="A3" s="51" t="s">
        <v>33</v>
      </c>
      <c r="B3" s="8">
        <v>30</v>
      </c>
      <c r="C3" s="9">
        <v>29</v>
      </c>
      <c r="D3" s="9">
        <v>28</v>
      </c>
      <c r="E3" s="8">
        <v>27</v>
      </c>
      <c r="F3" s="9">
        <v>26</v>
      </c>
      <c r="G3" s="9">
        <v>25</v>
      </c>
      <c r="H3" s="8">
        <v>24</v>
      </c>
      <c r="I3" s="9">
        <v>23</v>
      </c>
      <c r="J3" s="9">
        <v>22</v>
      </c>
      <c r="K3" s="8">
        <v>21</v>
      </c>
      <c r="L3" s="9">
        <v>20</v>
      </c>
      <c r="M3" s="9">
        <v>19</v>
      </c>
      <c r="N3" s="8">
        <v>18</v>
      </c>
      <c r="O3" s="9">
        <v>17</v>
      </c>
      <c r="P3" s="9">
        <v>16</v>
      </c>
      <c r="Q3" s="8">
        <v>15</v>
      </c>
      <c r="R3" s="9">
        <v>14</v>
      </c>
      <c r="S3" s="9">
        <v>13</v>
      </c>
      <c r="T3" s="8">
        <v>12</v>
      </c>
      <c r="U3" s="9">
        <v>11</v>
      </c>
      <c r="V3" s="9">
        <v>10</v>
      </c>
      <c r="W3" s="8">
        <v>9</v>
      </c>
      <c r="X3" s="9">
        <v>8</v>
      </c>
      <c r="Y3" s="9">
        <v>7</v>
      </c>
      <c r="Z3" s="8">
        <v>6</v>
      </c>
      <c r="AA3" s="9">
        <v>5</v>
      </c>
      <c r="AB3" s="9">
        <v>4</v>
      </c>
      <c r="AC3" s="8">
        <v>3</v>
      </c>
      <c r="AD3" s="9">
        <v>2</v>
      </c>
      <c r="AE3" s="9">
        <v>1</v>
      </c>
      <c r="AF3" s="8">
        <v>0</v>
      </c>
    </row>
    <row r="4" spans="1:40" s="10" customFormat="1" ht="12.75">
      <c r="A4" s="13" t="s">
        <v>19</v>
      </c>
      <c r="B4" s="15">
        <f t="shared" ref="B4:AF4" si="0">$A$2-B3</f>
        <v>38838</v>
      </c>
      <c r="C4" s="14">
        <f t="shared" si="0"/>
        <v>38839</v>
      </c>
      <c r="D4" s="14">
        <f t="shared" si="0"/>
        <v>38840</v>
      </c>
      <c r="E4" s="14">
        <f t="shared" si="0"/>
        <v>38841</v>
      </c>
      <c r="F4" s="14">
        <f t="shared" si="0"/>
        <v>38842</v>
      </c>
      <c r="G4" s="15">
        <f t="shared" si="0"/>
        <v>38843</v>
      </c>
      <c r="H4" s="15">
        <f t="shared" si="0"/>
        <v>38844</v>
      </c>
      <c r="I4" s="14">
        <f t="shared" si="0"/>
        <v>38845</v>
      </c>
      <c r="J4" s="14">
        <f t="shared" si="0"/>
        <v>38846</v>
      </c>
      <c r="K4" s="14">
        <f t="shared" si="0"/>
        <v>38847</v>
      </c>
      <c r="L4" s="14">
        <f t="shared" si="0"/>
        <v>38848</v>
      </c>
      <c r="M4" s="14">
        <f t="shared" si="0"/>
        <v>38849</v>
      </c>
      <c r="N4" s="15">
        <f t="shared" si="0"/>
        <v>38850</v>
      </c>
      <c r="O4" s="15">
        <f t="shared" si="0"/>
        <v>38851</v>
      </c>
      <c r="P4" s="14">
        <f t="shared" si="0"/>
        <v>38852</v>
      </c>
      <c r="Q4" s="14">
        <f t="shared" si="0"/>
        <v>38853</v>
      </c>
      <c r="R4" s="14">
        <f t="shared" si="0"/>
        <v>38854</v>
      </c>
      <c r="S4" s="14">
        <f t="shared" si="0"/>
        <v>38855</v>
      </c>
      <c r="T4" s="14">
        <f t="shared" si="0"/>
        <v>38856</v>
      </c>
      <c r="U4" s="15">
        <f t="shared" si="0"/>
        <v>38857</v>
      </c>
      <c r="V4" s="15">
        <f t="shared" si="0"/>
        <v>38858</v>
      </c>
      <c r="W4" s="14">
        <f t="shared" si="0"/>
        <v>38859</v>
      </c>
      <c r="X4" s="14">
        <f t="shared" si="0"/>
        <v>38860</v>
      </c>
      <c r="Y4" s="14">
        <f t="shared" si="0"/>
        <v>38861</v>
      </c>
      <c r="Z4" s="14">
        <f t="shared" si="0"/>
        <v>38862</v>
      </c>
      <c r="AA4" s="14">
        <f t="shared" si="0"/>
        <v>38863</v>
      </c>
      <c r="AB4" s="15">
        <f t="shared" si="0"/>
        <v>38864</v>
      </c>
      <c r="AC4" s="15">
        <f t="shared" si="0"/>
        <v>38865</v>
      </c>
      <c r="AD4" s="14">
        <f t="shared" si="0"/>
        <v>38866</v>
      </c>
      <c r="AE4" s="14">
        <f t="shared" si="0"/>
        <v>38867</v>
      </c>
      <c r="AF4" s="31">
        <f t="shared" si="0"/>
        <v>38868</v>
      </c>
      <c r="AG4" s="33" t="s">
        <v>0</v>
      </c>
    </row>
    <row r="5" spans="1:40" s="3" customFormat="1" ht="15" customHeight="1">
      <c r="A5" s="52" t="s">
        <v>20</v>
      </c>
      <c r="B5" s="42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4"/>
      <c r="AG5" s="45"/>
    </row>
    <row r="6" spans="1:40" s="3" customFormat="1" ht="15" customHeight="1">
      <c r="A6" s="2" t="s">
        <v>12</v>
      </c>
      <c r="B6" s="11"/>
      <c r="C6" s="5">
        <v>1500</v>
      </c>
      <c r="D6" s="5">
        <v>6800</v>
      </c>
      <c r="E6" s="5">
        <v>8880</v>
      </c>
      <c r="F6" s="5">
        <v>4900</v>
      </c>
      <c r="G6" s="12"/>
      <c r="H6" s="12"/>
      <c r="I6" s="5">
        <v>6900</v>
      </c>
      <c r="J6" s="5">
        <v>12600</v>
      </c>
      <c r="K6" s="5">
        <v>9000</v>
      </c>
      <c r="L6" s="5">
        <v>7500</v>
      </c>
      <c r="M6" s="5">
        <v>11000</v>
      </c>
      <c r="N6" s="12"/>
      <c r="O6" s="12"/>
      <c r="P6" s="5">
        <v>13000</v>
      </c>
      <c r="Q6" s="5">
        <v>22000</v>
      </c>
      <c r="R6" s="5">
        <v>22600</v>
      </c>
      <c r="S6" s="5">
        <v>36000</v>
      </c>
      <c r="T6" s="5">
        <v>16000</v>
      </c>
      <c r="U6" s="12"/>
      <c r="V6" s="12"/>
      <c r="W6" s="5">
        <v>12600</v>
      </c>
      <c r="X6" s="5">
        <v>10000</v>
      </c>
      <c r="Y6" s="5">
        <v>7500</v>
      </c>
      <c r="Z6" s="5">
        <v>13200</v>
      </c>
      <c r="AA6" s="5">
        <v>23000</v>
      </c>
      <c r="AB6" s="12"/>
      <c r="AC6" s="12"/>
      <c r="AD6" s="5">
        <v>6900</v>
      </c>
      <c r="AE6" s="5">
        <v>25000</v>
      </c>
      <c r="AF6" s="6">
        <v>22800</v>
      </c>
      <c r="AG6" s="7">
        <f>SUM( B6:AF6)</f>
        <v>299680</v>
      </c>
    </row>
    <row r="7" spans="1:40" s="3" customFormat="1" ht="15" customHeight="1">
      <c r="A7" s="2" t="s">
        <v>13</v>
      </c>
      <c r="B7" s="11"/>
      <c r="C7" s="5">
        <v>800</v>
      </c>
      <c r="D7" s="5">
        <v>1900</v>
      </c>
      <c r="E7" s="5">
        <v>3200</v>
      </c>
      <c r="F7" s="5">
        <v>2600</v>
      </c>
      <c r="G7" s="12"/>
      <c r="H7" s="12"/>
      <c r="I7" s="5">
        <v>3500</v>
      </c>
      <c r="J7" s="5">
        <v>4500</v>
      </c>
      <c r="K7" s="5">
        <v>3700</v>
      </c>
      <c r="L7" s="5">
        <v>3600</v>
      </c>
      <c r="M7" s="5">
        <v>4900</v>
      </c>
      <c r="N7" s="12"/>
      <c r="O7" s="12"/>
      <c r="P7" s="5">
        <v>6200</v>
      </c>
      <c r="Q7" s="5">
        <v>14000</v>
      </c>
      <c r="R7" s="5">
        <v>7000</v>
      </c>
      <c r="S7" s="5">
        <v>16000</v>
      </c>
      <c r="T7" s="5">
        <v>9500</v>
      </c>
      <c r="U7" s="12"/>
      <c r="V7" s="12"/>
      <c r="W7" s="5">
        <v>7900</v>
      </c>
      <c r="X7" s="5">
        <v>6000</v>
      </c>
      <c r="Y7" s="5">
        <v>3600</v>
      </c>
      <c r="Z7" s="5">
        <v>7900</v>
      </c>
      <c r="AA7" s="5">
        <v>12000</v>
      </c>
      <c r="AB7" s="12"/>
      <c r="AC7" s="12"/>
      <c r="AD7" s="5">
        <v>1200</v>
      </c>
      <c r="AE7" s="5">
        <v>12000</v>
      </c>
      <c r="AF7" s="6">
        <v>18000</v>
      </c>
      <c r="AG7" s="7">
        <f>SUM( B7:AF7)</f>
        <v>150000</v>
      </c>
    </row>
    <row r="8" spans="1:40" s="3" customFormat="1" ht="15" customHeight="1">
      <c r="A8" s="2" t="s">
        <v>14</v>
      </c>
      <c r="B8" s="11"/>
      <c r="C8" s="5"/>
      <c r="D8" s="5"/>
      <c r="E8" s="5"/>
      <c r="F8" s="5"/>
      <c r="G8" s="12"/>
      <c r="H8" s="12"/>
      <c r="I8" s="5"/>
      <c r="J8" s="5"/>
      <c r="K8" s="5"/>
      <c r="L8" s="5"/>
      <c r="M8" s="5"/>
      <c r="N8" s="12"/>
      <c r="O8" s="12"/>
      <c r="P8" s="5"/>
      <c r="Q8" s="5"/>
      <c r="R8" s="5"/>
      <c r="S8" s="5"/>
      <c r="T8" s="5"/>
      <c r="U8" s="12"/>
      <c r="V8" s="12"/>
      <c r="W8" s="5"/>
      <c r="X8" s="5"/>
      <c r="Y8" s="5"/>
      <c r="Z8" s="5"/>
      <c r="AA8" s="5"/>
      <c r="AB8" s="12"/>
      <c r="AC8" s="12"/>
      <c r="AD8" s="5"/>
      <c r="AE8" s="5"/>
      <c r="AF8" s="6"/>
      <c r="AG8" s="7">
        <f>SUM( B8:AF8)</f>
        <v>0</v>
      </c>
    </row>
    <row r="9" spans="1:40" s="3" customFormat="1" ht="15" customHeight="1">
      <c r="A9" s="18"/>
      <c r="B9" s="19"/>
      <c r="C9" s="20"/>
      <c r="D9" s="20"/>
      <c r="E9" s="20"/>
      <c r="F9" s="20"/>
      <c r="G9" s="19"/>
      <c r="H9" s="19"/>
      <c r="I9" s="20"/>
      <c r="J9" s="20"/>
      <c r="K9" s="20"/>
      <c r="L9" s="20"/>
      <c r="M9" s="20"/>
      <c r="N9" s="19"/>
      <c r="O9" s="19"/>
      <c r="P9" s="20"/>
      <c r="Q9" s="20"/>
      <c r="R9" s="20"/>
      <c r="S9" s="20"/>
      <c r="T9" s="20"/>
      <c r="U9" s="19"/>
      <c r="V9" s="19"/>
      <c r="W9" s="20"/>
      <c r="X9" s="20"/>
      <c r="Y9" s="20"/>
      <c r="Z9" s="20"/>
      <c r="AA9" s="20"/>
      <c r="AB9" s="19"/>
      <c r="AC9" s="19"/>
      <c r="AD9" s="20"/>
      <c r="AE9" s="20"/>
      <c r="AF9" s="21"/>
      <c r="AG9" s="22"/>
    </row>
    <row r="10" spans="1:40">
      <c r="A10" s="24" t="s">
        <v>26</v>
      </c>
      <c r="B10" s="25">
        <f t="shared" ref="B10:AG10" si="1">SUM(B6:B9)</f>
        <v>0</v>
      </c>
      <c r="C10" s="25">
        <f t="shared" si="1"/>
        <v>2300</v>
      </c>
      <c r="D10" s="25">
        <f t="shared" si="1"/>
        <v>8700</v>
      </c>
      <c r="E10" s="25">
        <f t="shared" si="1"/>
        <v>12080</v>
      </c>
      <c r="F10" s="25">
        <f t="shared" si="1"/>
        <v>7500</v>
      </c>
      <c r="G10" s="25">
        <f t="shared" si="1"/>
        <v>0</v>
      </c>
      <c r="H10" s="25">
        <f t="shared" si="1"/>
        <v>0</v>
      </c>
      <c r="I10" s="25">
        <f t="shared" si="1"/>
        <v>10400</v>
      </c>
      <c r="J10" s="25">
        <f t="shared" si="1"/>
        <v>17100</v>
      </c>
      <c r="K10" s="25">
        <f t="shared" si="1"/>
        <v>12700</v>
      </c>
      <c r="L10" s="25">
        <f t="shared" si="1"/>
        <v>11100</v>
      </c>
      <c r="M10" s="25">
        <f t="shared" si="1"/>
        <v>15900</v>
      </c>
      <c r="N10" s="25">
        <f t="shared" si="1"/>
        <v>0</v>
      </c>
      <c r="O10" s="25">
        <f t="shared" si="1"/>
        <v>0</v>
      </c>
      <c r="P10" s="25">
        <f t="shared" si="1"/>
        <v>19200</v>
      </c>
      <c r="Q10" s="25">
        <f t="shared" si="1"/>
        <v>36000</v>
      </c>
      <c r="R10" s="25">
        <f t="shared" si="1"/>
        <v>29600</v>
      </c>
      <c r="S10" s="25">
        <f t="shared" si="1"/>
        <v>52000</v>
      </c>
      <c r="T10" s="25">
        <f t="shared" si="1"/>
        <v>25500</v>
      </c>
      <c r="U10" s="25">
        <f t="shared" si="1"/>
        <v>0</v>
      </c>
      <c r="V10" s="25">
        <f t="shared" si="1"/>
        <v>0</v>
      </c>
      <c r="W10" s="25">
        <f t="shared" si="1"/>
        <v>20500</v>
      </c>
      <c r="X10" s="25">
        <f t="shared" si="1"/>
        <v>16000</v>
      </c>
      <c r="Y10" s="25">
        <f t="shared" si="1"/>
        <v>11100</v>
      </c>
      <c r="Z10" s="25">
        <f t="shared" si="1"/>
        <v>21100</v>
      </c>
      <c r="AA10" s="25">
        <f t="shared" si="1"/>
        <v>35000</v>
      </c>
      <c r="AB10" s="25">
        <f t="shared" si="1"/>
        <v>0</v>
      </c>
      <c r="AC10" s="25">
        <f t="shared" si="1"/>
        <v>0</v>
      </c>
      <c r="AD10" s="25">
        <f t="shared" si="1"/>
        <v>8100</v>
      </c>
      <c r="AE10" s="25">
        <f t="shared" si="1"/>
        <v>37000</v>
      </c>
      <c r="AF10" s="25">
        <f t="shared" si="1"/>
        <v>40800</v>
      </c>
      <c r="AG10" s="26">
        <f t="shared" si="1"/>
        <v>449680</v>
      </c>
    </row>
    <row r="11" spans="1:40" s="3" customFormat="1" ht="15" customHeight="1">
      <c r="A11" s="52" t="s">
        <v>27</v>
      </c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4"/>
      <c r="AG11" s="45"/>
    </row>
    <row r="12" spans="1:40" s="3" customFormat="1" ht="12" customHeight="1">
      <c r="A12" s="2" t="s">
        <v>5</v>
      </c>
      <c r="B12" s="11"/>
      <c r="C12" s="5"/>
      <c r="D12" s="5"/>
      <c r="E12" s="5"/>
      <c r="F12" s="5"/>
      <c r="G12" s="12"/>
      <c r="H12" s="12"/>
      <c r="I12" s="5"/>
      <c r="J12" s="5">
        <v>360</v>
      </c>
      <c r="K12" s="5"/>
      <c r="L12" s="5"/>
      <c r="M12" s="5"/>
      <c r="N12" s="12"/>
      <c r="O12" s="12"/>
      <c r="P12" s="5"/>
      <c r="Q12" s="5"/>
      <c r="R12" s="5"/>
      <c r="S12" s="5"/>
      <c r="T12" s="5"/>
      <c r="U12" s="12"/>
      <c r="V12" s="12"/>
      <c r="W12" s="5"/>
      <c r="X12" s="5"/>
      <c r="Y12" s="5"/>
      <c r="Z12" s="5"/>
      <c r="AA12" s="5"/>
      <c r="AB12" s="12"/>
      <c r="AC12" s="12"/>
      <c r="AD12" s="5"/>
      <c r="AE12" s="5"/>
      <c r="AF12" s="6"/>
      <c r="AG12" s="7">
        <f t="shared" ref="AG12:AG30" si="2">SUM(B12:AF12)</f>
        <v>360</v>
      </c>
    </row>
    <row r="13" spans="1:40" s="3" customFormat="1">
      <c r="A13" s="2" t="s">
        <v>1</v>
      </c>
      <c r="B13" s="11"/>
      <c r="C13" s="5"/>
      <c r="D13" s="5">
        <v>23000</v>
      </c>
      <c r="E13" s="5"/>
      <c r="F13" s="5"/>
      <c r="G13" s="12"/>
      <c r="H13" s="12"/>
      <c r="I13" s="5"/>
      <c r="J13" s="5"/>
      <c r="K13" s="5"/>
      <c r="L13" s="5"/>
      <c r="M13" s="5"/>
      <c r="N13" s="12"/>
      <c r="O13" s="12"/>
      <c r="P13" s="5"/>
      <c r="Q13" s="5"/>
      <c r="R13" s="5"/>
      <c r="S13" s="5"/>
      <c r="T13" s="5"/>
      <c r="U13" s="12"/>
      <c r="V13" s="12"/>
      <c r="W13" s="5"/>
      <c r="X13" s="5"/>
      <c r="Y13" s="5"/>
      <c r="Z13" s="5"/>
      <c r="AA13" s="5"/>
      <c r="AB13" s="12"/>
      <c r="AC13" s="12"/>
      <c r="AD13" s="5"/>
      <c r="AE13" s="5"/>
      <c r="AF13" s="6"/>
      <c r="AG13" s="7">
        <f t="shared" si="2"/>
        <v>23000</v>
      </c>
    </row>
    <row r="14" spans="1:40" s="3" customFormat="1">
      <c r="A14" s="2" t="s">
        <v>18</v>
      </c>
      <c r="B14" s="12"/>
      <c r="C14" s="5"/>
      <c r="D14" s="5"/>
      <c r="E14" s="5"/>
      <c r="F14" s="5"/>
      <c r="G14" s="12"/>
      <c r="H14" s="12"/>
      <c r="I14" s="5"/>
      <c r="J14" s="5"/>
      <c r="K14" s="5"/>
      <c r="L14" s="5"/>
      <c r="M14" s="5"/>
      <c r="N14" s="12"/>
      <c r="O14" s="12"/>
      <c r="P14" s="5"/>
      <c r="Q14" s="5"/>
      <c r="R14" s="5"/>
      <c r="S14" s="5"/>
      <c r="T14" s="5"/>
      <c r="U14" s="12"/>
      <c r="V14" s="12"/>
      <c r="W14" s="5"/>
      <c r="X14" s="5"/>
      <c r="Y14" s="5"/>
      <c r="Z14" s="5"/>
      <c r="AA14" s="5"/>
      <c r="AB14" s="12"/>
      <c r="AC14" s="12"/>
      <c r="AD14" s="5"/>
      <c r="AE14" s="5"/>
      <c r="AF14" s="6"/>
      <c r="AG14" s="7">
        <f t="shared" si="2"/>
        <v>0</v>
      </c>
    </row>
    <row r="15" spans="1:40" s="3" customFormat="1">
      <c r="A15" s="2" t="s">
        <v>10</v>
      </c>
      <c r="B15" s="11"/>
      <c r="C15" s="5"/>
      <c r="D15" s="5"/>
      <c r="E15" s="5"/>
      <c r="F15" s="5">
        <f>F28*27.8%</f>
        <v>9730</v>
      </c>
      <c r="G15" s="12"/>
      <c r="H15" s="12"/>
      <c r="I15" s="5"/>
      <c r="J15" s="5"/>
      <c r="K15" s="5"/>
      <c r="L15" s="5">
        <f>35000*8.5%</f>
        <v>2975</v>
      </c>
      <c r="M15" s="5"/>
      <c r="N15" s="12"/>
      <c r="O15" s="12"/>
      <c r="P15" s="5"/>
      <c r="Q15" s="5"/>
      <c r="R15" s="5"/>
      <c r="S15" s="5"/>
      <c r="T15" s="5"/>
      <c r="U15" s="12"/>
      <c r="V15" s="12"/>
      <c r="W15" s="5"/>
      <c r="X15" s="5"/>
      <c r="Y15" s="5"/>
      <c r="Z15" s="5"/>
      <c r="AA15" s="5"/>
      <c r="AB15" s="12"/>
      <c r="AC15" s="12"/>
      <c r="AD15" s="5"/>
      <c r="AE15" s="5"/>
      <c r="AF15" s="6"/>
      <c r="AG15" s="7">
        <f t="shared" si="2"/>
        <v>12705</v>
      </c>
    </row>
    <row r="16" spans="1:40" s="3" customFormat="1">
      <c r="A16" s="2" t="s">
        <v>21</v>
      </c>
      <c r="B16" s="11"/>
      <c r="C16" s="5">
        <v>1800</v>
      </c>
      <c r="D16" s="5"/>
      <c r="E16" s="5"/>
      <c r="F16" s="5"/>
      <c r="G16" s="12"/>
      <c r="H16" s="12"/>
      <c r="I16" s="5"/>
      <c r="J16" s="5"/>
      <c r="K16" s="5"/>
      <c r="L16" s="5"/>
      <c r="M16" s="5"/>
      <c r="N16" s="12"/>
      <c r="O16" s="12"/>
      <c r="P16" s="5"/>
      <c r="Q16" s="5"/>
      <c r="R16" s="5"/>
      <c r="S16" s="5"/>
      <c r="T16" s="5"/>
      <c r="U16" s="12"/>
      <c r="V16" s="12"/>
      <c r="W16" s="5"/>
      <c r="X16" s="5"/>
      <c r="Y16" s="5"/>
      <c r="Z16" s="5"/>
      <c r="AA16" s="5"/>
      <c r="AB16" s="12"/>
      <c r="AC16" s="12"/>
      <c r="AD16" s="5"/>
      <c r="AE16" s="5"/>
      <c r="AF16" s="6"/>
      <c r="AG16" s="7">
        <f t="shared" si="2"/>
        <v>1800</v>
      </c>
    </row>
    <row r="17" spans="1:33" s="3" customFormat="1">
      <c r="A17" s="2" t="s">
        <v>22</v>
      </c>
      <c r="B17" s="11"/>
      <c r="C17" s="5"/>
      <c r="D17" s="5"/>
      <c r="E17" s="5"/>
      <c r="F17" s="5"/>
      <c r="G17" s="12"/>
      <c r="H17" s="12"/>
      <c r="I17" s="5"/>
      <c r="J17" s="5"/>
      <c r="K17" s="5"/>
      <c r="L17" s="5">
        <v>2974</v>
      </c>
      <c r="M17" s="5"/>
      <c r="N17" s="12"/>
      <c r="O17" s="12"/>
      <c r="P17" s="5"/>
      <c r="Q17" s="5"/>
      <c r="R17" s="5"/>
      <c r="S17" s="5"/>
      <c r="T17" s="5"/>
      <c r="U17" s="12"/>
      <c r="V17" s="12"/>
      <c r="W17" s="5"/>
      <c r="X17" s="5"/>
      <c r="Y17" s="5"/>
      <c r="Z17" s="5"/>
      <c r="AA17" s="5"/>
      <c r="AB17" s="12"/>
      <c r="AC17" s="12"/>
      <c r="AD17" s="5"/>
      <c r="AE17" s="5"/>
      <c r="AF17" s="6"/>
      <c r="AG17" s="7">
        <f t="shared" si="2"/>
        <v>2974</v>
      </c>
    </row>
    <row r="18" spans="1:33" s="3" customFormat="1">
      <c r="A18" s="2" t="s">
        <v>8</v>
      </c>
      <c r="B18" s="11"/>
      <c r="C18" s="5"/>
      <c r="D18" s="5"/>
      <c r="E18" s="5"/>
      <c r="F18" s="5"/>
      <c r="G18" s="12"/>
      <c r="H18" s="12"/>
      <c r="I18" s="5"/>
      <c r="J18" s="5"/>
      <c r="K18" s="5"/>
      <c r="L18" s="5"/>
      <c r="M18" s="5"/>
      <c r="N18" s="12"/>
      <c r="O18" s="12"/>
      <c r="P18" s="5">
        <v>690</v>
      </c>
      <c r="Q18" s="5"/>
      <c r="R18" s="5"/>
      <c r="S18" s="5"/>
      <c r="T18" s="5"/>
      <c r="U18" s="12"/>
      <c r="V18" s="12"/>
      <c r="W18" s="5"/>
      <c r="X18" s="5"/>
      <c r="Y18" s="5"/>
      <c r="Z18" s="5"/>
      <c r="AA18" s="5"/>
      <c r="AB18" s="12"/>
      <c r="AC18" s="12"/>
      <c r="AD18" s="5"/>
      <c r="AE18" s="5"/>
      <c r="AF18" s="6"/>
      <c r="AG18" s="7">
        <f t="shared" si="2"/>
        <v>690</v>
      </c>
    </row>
    <row r="19" spans="1:33" s="3" customFormat="1">
      <c r="A19" s="2" t="s">
        <v>31</v>
      </c>
      <c r="B19" s="11"/>
      <c r="C19" s="5"/>
      <c r="D19" s="5"/>
      <c r="E19" s="5"/>
      <c r="F19" s="5"/>
      <c r="G19" s="12"/>
      <c r="H19" s="12"/>
      <c r="I19" s="5"/>
      <c r="J19" s="5"/>
      <c r="K19" s="5"/>
      <c r="L19" s="5"/>
      <c r="M19" s="5"/>
      <c r="N19" s="12"/>
      <c r="O19" s="12"/>
      <c r="P19" s="5">
        <v>91000</v>
      </c>
      <c r="Q19" s="5"/>
      <c r="R19" s="5"/>
      <c r="S19" s="5"/>
      <c r="T19" s="5"/>
      <c r="U19" s="12"/>
      <c r="V19" s="12"/>
      <c r="W19" s="5"/>
      <c r="X19" s="5"/>
      <c r="Y19" s="5"/>
      <c r="Z19" s="5"/>
      <c r="AA19" s="5"/>
      <c r="AB19" s="12"/>
      <c r="AC19" s="12"/>
      <c r="AD19" s="5"/>
      <c r="AE19" s="5"/>
      <c r="AF19" s="6"/>
      <c r="AG19" s="7">
        <f t="shared" si="2"/>
        <v>91000</v>
      </c>
    </row>
    <row r="20" spans="1:33" s="3" customFormat="1">
      <c r="A20" s="2" t="s">
        <v>23</v>
      </c>
      <c r="B20" s="11"/>
      <c r="C20" s="5"/>
      <c r="D20" s="5"/>
      <c r="E20" s="5"/>
      <c r="F20" s="5">
        <v>7245</v>
      </c>
      <c r="G20" s="12"/>
      <c r="H20" s="12"/>
      <c r="I20" s="5"/>
      <c r="J20" s="5"/>
      <c r="K20" s="5"/>
      <c r="L20" s="5"/>
      <c r="M20" s="5"/>
      <c r="N20" s="12"/>
      <c r="O20" s="12"/>
      <c r="P20" s="5"/>
      <c r="Q20" s="5"/>
      <c r="R20" s="5"/>
      <c r="S20" s="5"/>
      <c r="T20" s="5"/>
      <c r="U20" s="12"/>
      <c r="V20" s="12"/>
      <c r="W20" s="5"/>
      <c r="X20" s="5"/>
      <c r="Y20" s="5"/>
      <c r="Z20" s="5"/>
      <c r="AA20" s="5"/>
      <c r="AB20" s="12"/>
      <c r="AC20" s="12"/>
      <c r="AD20" s="5"/>
      <c r="AE20" s="5"/>
      <c r="AF20" s="6"/>
      <c r="AG20" s="7">
        <f t="shared" si="2"/>
        <v>7245</v>
      </c>
    </row>
    <row r="21" spans="1:33" s="3" customFormat="1">
      <c r="A21" s="2" t="s">
        <v>3</v>
      </c>
      <c r="B21" s="12"/>
      <c r="C21" s="5"/>
      <c r="D21" s="5"/>
      <c r="E21" s="5"/>
      <c r="F21" s="5"/>
      <c r="G21" s="12"/>
      <c r="H21" s="12"/>
      <c r="I21" s="5">
        <v>295</v>
      </c>
      <c r="J21" s="5"/>
      <c r="K21" s="5"/>
      <c r="L21" s="5"/>
      <c r="M21" s="5"/>
      <c r="N21" s="12"/>
      <c r="O21" s="12"/>
      <c r="P21" s="5"/>
      <c r="Q21" s="5"/>
      <c r="R21" s="5"/>
      <c r="S21" s="5"/>
      <c r="T21" s="5"/>
      <c r="U21" s="12"/>
      <c r="V21" s="12"/>
      <c r="W21" s="5"/>
      <c r="X21" s="5"/>
      <c r="Y21" s="5"/>
      <c r="Z21" s="5"/>
      <c r="AA21" s="5"/>
      <c r="AB21" s="12"/>
      <c r="AC21" s="12"/>
      <c r="AD21" s="5"/>
      <c r="AE21" s="5"/>
      <c r="AF21" s="6"/>
      <c r="AG21" s="7">
        <f t="shared" si="2"/>
        <v>295</v>
      </c>
    </row>
    <row r="22" spans="1:33" s="3" customFormat="1">
      <c r="A22" s="2" t="s">
        <v>24</v>
      </c>
      <c r="B22" s="11"/>
      <c r="C22" s="5"/>
      <c r="D22" s="5">
        <v>695</v>
      </c>
      <c r="E22" s="5"/>
      <c r="F22" s="5"/>
      <c r="G22" s="12"/>
      <c r="H22" s="12"/>
      <c r="I22" s="5"/>
      <c r="J22" s="5">
        <v>156</v>
      </c>
      <c r="K22" s="5"/>
      <c r="L22" s="5">
        <v>750</v>
      </c>
      <c r="M22" s="5"/>
      <c r="N22" s="12"/>
      <c r="O22" s="12"/>
      <c r="P22" s="5"/>
      <c r="Q22" s="5">
        <v>832</v>
      </c>
      <c r="R22" s="5">
        <v>695</v>
      </c>
      <c r="S22" s="5"/>
      <c r="T22" s="5"/>
      <c r="U22" s="12"/>
      <c r="V22" s="12"/>
      <c r="W22" s="5">
        <v>465</v>
      </c>
      <c r="X22" s="5"/>
      <c r="Y22" s="5"/>
      <c r="Z22" s="5">
        <v>1265</v>
      </c>
      <c r="AA22" s="5">
        <v>1300</v>
      </c>
      <c r="AB22" s="12"/>
      <c r="AC22" s="12"/>
      <c r="AD22" s="5">
        <v>1800</v>
      </c>
      <c r="AE22" s="5"/>
      <c r="AF22" s="6">
        <v>1500</v>
      </c>
      <c r="AG22" s="7">
        <f t="shared" si="2"/>
        <v>9458</v>
      </c>
    </row>
    <row r="23" spans="1:33" s="3" customFormat="1">
      <c r="A23" s="2" t="s">
        <v>7</v>
      </c>
      <c r="B23" s="11"/>
      <c r="C23" s="5"/>
      <c r="D23" s="5"/>
      <c r="E23" s="5"/>
      <c r="F23" s="5"/>
      <c r="G23" s="12"/>
      <c r="H23" s="12"/>
      <c r="I23" s="5"/>
      <c r="J23" s="5"/>
      <c r="K23" s="5"/>
      <c r="L23" s="5"/>
      <c r="M23" s="5"/>
      <c r="N23" s="12"/>
      <c r="O23" s="12"/>
      <c r="P23" s="5"/>
      <c r="Q23" s="5"/>
      <c r="R23" s="5">
        <v>350</v>
      </c>
      <c r="S23" s="5"/>
      <c r="T23" s="5"/>
      <c r="U23" s="12"/>
      <c r="V23" s="12"/>
      <c r="W23" s="5"/>
      <c r="X23" s="5"/>
      <c r="Y23" s="5"/>
      <c r="Z23" s="5"/>
      <c r="AA23" s="5"/>
      <c r="AB23" s="12"/>
      <c r="AC23" s="12"/>
      <c r="AD23" s="5"/>
      <c r="AE23" s="5"/>
      <c r="AF23" s="6"/>
      <c r="AG23" s="7">
        <f t="shared" si="2"/>
        <v>350</v>
      </c>
    </row>
    <row r="24" spans="1:33" s="3" customFormat="1">
      <c r="A24" s="2" t="s">
        <v>9</v>
      </c>
      <c r="B24" s="11"/>
      <c r="C24" s="5"/>
      <c r="D24" s="5"/>
      <c r="E24" s="5"/>
      <c r="F24" s="5"/>
      <c r="G24" s="12"/>
      <c r="H24" s="12"/>
      <c r="I24" s="5"/>
      <c r="J24" s="5"/>
      <c r="K24" s="5"/>
      <c r="L24" s="5"/>
      <c r="M24" s="5"/>
      <c r="N24" s="12"/>
      <c r="O24" s="12"/>
      <c r="P24" s="5"/>
      <c r="Q24" s="5"/>
      <c r="R24" s="5">
        <v>2360</v>
      </c>
      <c r="S24" s="5"/>
      <c r="T24" s="5"/>
      <c r="U24" s="12"/>
      <c r="V24" s="12"/>
      <c r="W24" s="5"/>
      <c r="X24" s="5"/>
      <c r="Y24" s="5"/>
      <c r="Z24" s="5"/>
      <c r="AA24" s="5"/>
      <c r="AB24" s="12"/>
      <c r="AC24" s="12"/>
      <c r="AD24" s="5"/>
      <c r="AE24" s="5"/>
      <c r="AF24" s="6"/>
      <c r="AG24" s="7">
        <f t="shared" si="2"/>
        <v>2360</v>
      </c>
    </row>
    <row r="25" spans="1:33" s="3" customFormat="1">
      <c r="A25" s="2" t="s">
        <v>15</v>
      </c>
      <c r="B25" s="11"/>
      <c r="C25" s="5">
        <v>1290</v>
      </c>
      <c r="D25" s="5"/>
      <c r="E25" s="5"/>
      <c r="F25" s="5"/>
      <c r="G25" s="12"/>
      <c r="H25" s="12"/>
      <c r="I25" s="5"/>
      <c r="J25" s="5">
        <v>1260</v>
      </c>
      <c r="K25" s="5"/>
      <c r="L25" s="5">
        <v>3600</v>
      </c>
      <c r="M25" s="5">
        <v>4500</v>
      </c>
      <c r="N25" s="12"/>
      <c r="O25" s="12"/>
      <c r="P25" s="5">
        <v>22000</v>
      </c>
      <c r="Q25" s="5">
        <v>1500</v>
      </c>
      <c r="R25" s="5">
        <v>1600</v>
      </c>
      <c r="S25" s="5"/>
      <c r="T25" s="5"/>
      <c r="U25" s="12"/>
      <c r="V25" s="12"/>
      <c r="W25" s="5">
        <v>13800</v>
      </c>
      <c r="X25" s="5">
        <v>1500</v>
      </c>
      <c r="Y25" s="5"/>
      <c r="Z25" s="5"/>
      <c r="AA25" s="5">
        <v>3200</v>
      </c>
      <c r="AB25" s="12"/>
      <c r="AC25" s="12"/>
      <c r="AD25" s="5">
        <v>1800</v>
      </c>
      <c r="AE25" s="5"/>
      <c r="AF25" s="6">
        <v>1400</v>
      </c>
      <c r="AG25" s="7">
        <f t="shared" si="2"/>
        <v>57450</v>
      </c>
    </row>
    <row r="26" spans="1:33" s="3" customFormat="1">
      <c r="A26" s="2" t="s">
        <v>6</v>
      </c>
      <c r="B26" s="11"/>
      <c r="C26" s="5"/>
      <c r="D26" s="5"/>
      <c r="E26" s="5"/>
      <c r="F26" s="5"/>
      <c r="G26" s="12"/>
      <c r="H26" s="12"/>
      <c r="I26" s="5"/>
      <c r="J26" s="5"/>
      <c r="K26" s="5"/>
      <c r="L26" s="5"/>
      <c r="M26" s="5">
        <v>32000</v>
      </c>
      <c r="N26" s="12"/>
      <c r="O26" s="12"/>
      <c r="P26" s="5"/>
      <c r="Q26" s="5"/>
      <c r="R26" s="5"/>
      <c r="S26" s="5"/>
      <c r="T26" s="5"/>
      <c r="U26" s="12"/>
      <c r="V26" s="12"/>
      <c r="W26" s="5"/>
      <c r="X26" s="5"/>
      <c r="Y26" s="5"/>
      <c r="Z26" s="5"/>
      <c r="AA26" s="5"/>
      <c r="AB26" s="12"/>
      <c r="AC26" s="12"/>
      <c r="AD26" s="5"/>
      <c r="AE26" s="5"/>
      <c r="AF26" s="6"/>
      <c r="AG26" s="7">
        <f t="shared" si="2"/>
        <v>32000</v>
      </c>
    </row>
    <row r="27" spans="1:33" s="3" customFormat="1">
      <c r="A27" s="2" t="s">
        <v>11</v>
      </c>
      <c r="B27" s="12"/>
      <c r="C27" s="5"/>
      <c r="D27" s="5">
        <v>1975</v>
      </c>
      <c r="E27" s="5"/>
      <c r="F27" s="5"/>
      <c r="G27" s="12"/>
      <c r="H27" s="12"/>
      <c r="I27" s="5"/>
      <c r="J27" s="5"/>
      <c r="K27" s="5"/>
      <c r="L27" s="5"/>
      <c r="M27" s="5"/>
      <c r="N27" s="12"/>
      <c r="O27" s="12"/>
      <c r="P27" s="5"/>
      <c r="Q27" s="5">
        <v>654</v>
      </c>
      <c r="R27" s="5"/>
      <c r="S27" s="5"/>
      <c r="T27" s="5"/>
      <c r="U27" s="12"/>
      <c r="V27" s="12"/>
      <c r="W27" s="5"/>
      <c r="X27" s="5"/>
      <c r="Y27" s="5"/>
      <c r="Z27" s="5"/>
      <c r="AA27" s="5"/>
      <c r="AB27" s="12"/>
      <c r="AC27" s="12"/>
      <c r="AD27" s="5"/>
      <c r="AE27" s="5"/>
      <c r="AF27" s="6"/>
      <c r="AG27" s="7">
        <f t="shared" si="2"/>
        <v>2629</v>
      </c>
    </row>
    <row r="28" spans="1:33" s="3" customFormat="1">
      <c r="A28" s="2" t="s">
        <v>2</v>
      </c>
      <c r="B28" s="11"/>
      <c r="C28" s="5"/>
      <c r="D28" s="5"/>
      <c r="E28" s="5"/>
      <c r="F28" s="5">
        <v>35000</v>
      </c>
      <c r="G28" s="12"/>
      <c r="H28" s="12"/>
      <c r="I28" s="5"/>
      <c r="J28" s="5"/>
      <c r="K28" s="5"/>
      <c r="L28" s="5"/>
      <c r="M28" s="5"/>
      <c r="N28" s="12"/>
      <c r="O28" s="12"/>
      <c r="P28" s="5"/>
      <c r="Q28" s="5"/>
      <c r="R28" s="5"/>
      <c r="S28" s="5"/>
      <c r="T28" s="5"/>
      <c r="U28" s="12"/>
      <c r="V28" s="12"/>
      <c r="W28" s="5"/>
      <c r="X28" s="5"/>
      <c r="Y28" s="5"/>
      <c r="Z28" s="5"/>
      <c r="AA28" s="5"/>
      <c r="AB28" s="12"/>
      <c r="AC28" s="12"/>
      <c r="AD28" s="5"/>
      <c r="AE28" s="5"/>
      <c r="AF28" s="6"/>
      <c r="AG28" s="7">
        <f t="shared" si="2"/>
        <v>35000</v>
      </c>
    </row>
    <row r="29" spans="1:33" s="3" customFormat="1">
      <c r="A29" s="2" t="s">
        <v>4</v>
      </c>
      <c r="B29" s="11"/>
      <c r="C29" s="5"/>
      <c r="D29" s="5"/>
      <c r="E29" s="5"/>
      <c r="F29" s="5"/>
      <c r="G29" s="12"/>
      <c r="H29" s="12"/>
      <c r="I29" s="5"/>
      <c r="J29" s="5"/>
      <c r="K29" s="5">
        <v>1600</v>
      </c>
      <c r="L29" s="5"/>
      <c r="M29" s="5"/>
      <c r="N29" s="12"/>
      <c r="O29" s="12"/>
      <c r="P29" s="5"/>
      <c r="Q29" s="5"/>
      <c r="R29" s="5"/>
      <c r="S29" s="5"/>
      <c r="T29" s="5"/>
      <c r="U29" s="12"/>
      <c r="V29" s="12"/>
      <c r="W29" s="5"/>
      <c r="X29" s="5"/>
      <c r="Y29" s="5"/>
      <c r="Z29" s="5"/>
      <c r="AA29" s="5"/>
      <c r="AB29" s="12"/>
      <c r="AC29" s="12"/>
      <c r="AD29" s="5"/>
      <c r="AE29" s="5"/>
      <c r="AF29" s="6"/>
      <c r="AG29" s="7">
        <f t="shared" si="2"/>
        <v>1600</v>
      </c>
    </row>
    <row r="30" spans="1:33" s="3" customFormat="1" ht="11.25" customHeight="1">
      <c r="A30" s="2" t="s">
        <v>25</v>
      </c>
      <c r="B30" s="11"/>
      <c r="C30" s="5"/>
      <c r="D30" s="5">
        <v>36</v>
      </c>
      <c r="E30" s="5"/>
      <c r="F30" s="5"/>
      <c r="G30" s="12"/>
      <c r="H30" s="12"/>
      <c r="I30" s="5">
        <v>19</v>
      </c>
      <c r="J30" s="5">
        <v>45</v>
      </c>
      <c r="K30" s="5"/>
      <c r="L30" s="5"/>
      <c r="M30" s="5">
        <v>32</v>
      </c>
      <c r="N30" s="12"/>
      <c r="O30" s="12"/>
      <c r="P30" s="5">
        <v>19</v>
      </c>
      <c r="Q30" s="5">
        <v>45</v>
      </c>
      <c r="R30" s="5">
        <v>22</v>
      </c>
      <c r="S30" s="5"/>
      <c r="T30" s="5"/>
      <c r="U30" s="12"/>
      <c r="V30" s="12"/>
      <c r="W30" s="5">
        <v>26</v>
      </c>
      <c r="X30" s="5"/>
      <c r="Y30" s="5">
        <v>43</v>
      </c>
      <c r="Z30" s="5">
        <v>19</v>
      </c>
      <c r="AA30" s="5">
        <v>42</v>
      </c>
      <c r="AB30" s="12"/>
      <c r="AC30" s="12"/>
      <c r="AD30" s="5">
        <v>79</v>
      </c>
      <c r="AE30" s="5">
        <v>25</v>
      </c>
      <c r="AF30" s="6">
        <v>13</v>
      </c>
      <c r="AG30" s="7">
        <f t="shared" si="2"/>
        <v>465</v>
      </c>
    </row>
    <row r="31" spans="1:33" s="3" customFormat="1">
      <c r="A31" s="2"/>
      <c r="B31" s="11"/>
      <c r="C31" s="5"/>
      <c r="D31" s="5"/>
      <c r="E31" s="5"/>
      <c r="F31" s="5"/>
      <c r="G31" s="12"/>
      <c r="H31" s="12"/>
      <c r="I31" s="5"/>
      <c r="J31" s="5"/>
      <c r="K31" s="5"/>
      <c r="L31" s="5"/>
      <c r="M31" s="5"/>
      <c r="N31" s="12"/>
      <c r="O31" s="12"/>
      <c r="P31" s="5"/>
      <c r="Q31" s="5"/>
      <c r="R31" s="5"/>
      <c r="S31" s="5"/>
      <c r="T31" s="5"/>
      <c r="U31" s="12"/>
      <c r="V31" s="12"/>
      <c r="W31" s="5"/>
      <c r="X31" s="5"/>
      <c r="Y31" s="5"/>
      <c r="Z31" s="5"/>
      <c r="AA31" s="5"/>
      <c r="AB31" s="12"/>
      <c r="AC31" s="12"/>
      <c r="AD31" s="5"/>
      <c r="AE31" s="5"/>
      <c r="AF31" s="6"/>
      <c r="AG31" s="7"/>
    </row>
    <row r="32" spans="1:33" ht="14.25" thickBot="1">
      <c r="A32" s="28" t="s">
        <v>28</v>
      </c>
      <c r="B32" s="29">
        <f t="shared" ref="B32:AG32" si="3">SUM(B12:B31)</f>
        <v>0</v>
      </c>
      <c r="C32" s="29">
        <f t="shared" si="3"/>
        <v>3090</v>
      </c>
      <c r="D32" s="29">
        <f t="shared" si="3"/>
        <v>25706</v>
      </c>
      <c r="E32" s="29">
        <f t="shared" si="3"/>
        <v>0</v>
      </c>
      <c r="F32" s="29">
        <f t="shared" si="3"/>
        <v>51975</v>
      </c>
      <c r="G32" s="29">
        <f t="shared" si="3"/>
        <v>0</v>
      </c>
      <c r="H32" s="29">
        <f t="shared" si="3"/>
        <v>0</v>
      </c>
      <c r="I32" s="29">
        <f t="shared" si="3"/>
        <v>314</v>
      </c>
      <c r="J32" s="29">
        <f t="shared" si="3"/>
        <v>1821</v>
      </c>
      <c r="K32" s="29">
        <f t="shared" si="3"/>
        <v>1600</v>
      </c>
      <c r="L32" s="29">
        <f t="shared" si="3"/>
        <v>10299</v>
      </c>
      <c r="M32" s="29">
        <f t="shared" si="3"/>
        <v>36532</v>
      </c>
      <c r="N32" s="29">
        <f t="shared" si="3"/>
        <v>0</v>
      </c>
      <c r="O32" s="29">
        <f t="shared" si="3"/>
        <v>0</v>
      </c>
      <c r="P32" s="29">
        <f t="shared" si="3"/>
        <v>113709</v>
      </c>
      <c r="Q32" s="29">
        <f t="shared" si="3"/>
        <v>3031</v>
      </c>
      <c r="R32" s="29">
        <f t="shared" si="3"/>
        <v>5027</v>
      </c>
      <c r="S32" s="29">
        <f t="shared" si="3"/>
        <v>0</v>
      </c>
      <c r="T32" s="29">
        <f t="shared" si="3"/>
        <v>0</v>
      </c>
      <c r="U32" s="29">
        <f t="shared" si="3"/>
        <v>0</v>
      </c>
      <c r="V32" s="29">
        <f t="shared" si="3"/>
        <v>0</v>
      </c>
      <c r="W32" s="29">
        <f t="shared" si="3"/>
        <v>14291</v>
      </c>
      <c r="X32" s="29">
        <f t="shared" si="3"/>
        <v>1500</v>
      </c>
      <c r="Y32" s="29">
        <f t="shared" si="3"/>
        <v>43</v>
      </c>
      <c r="Z32" s="29">
        <f t="shared" si="3"/>
        <v>1284</v>
      </c>
      <c r="AA32" s="29">
        <f t="shared" si="3"/>
        <v>4542</v>
      </c>
      <c r="AB32" s="29">
        <f t="shared" si="3"/>
        <v>0</v>
      </c>
      <c r="AC32" s="29">
        <f t="shared" si="3"/>
        <v>0</v>
      </c>
      <c r="AD32" s="29">
        <f t="shared" si="3"/>
        <v>3679</v>
      </c>
      <c r="AE32" s="29">
        <f t="shared" si="3"/>
        <v>25</v>
      </c>
      <c r="AF32" s="29">
        <f t="shared" si="3"/>
        <v>2913</v>
      </c>
      <c r="AG32" s="30">
        <f t="shared" si="3"/>
        <v>281381</v>
      </c>
    </row>
    <row r="33" spans="1:33" ht="14.25" thickBot="1">
      <c r="A33" s="36" t="s">
        <v>29</v>
      </c>
      <c r="B33" s="37">
        <f t="shared" ref="B33:AG33" si="4">+B10-B32</f>
        <v>0</v>
      </c>
      <c r="C33" s="37">
        <f t="shared" si="4"/>
        <v>-790</v>
      </c>
      <c r="D33" s="37">
        <f t="shared" si="4"/>
        <v>-17006</v>
      </c>
      <c r="E33" s="37">
        <f t="shared" si="4"/>
        <v>12080</v>
      </c>
      <c r="F33" s="37">
        <f t="shared" si="4"/>
        <v>-44475</v>
      </c>
      <c r="G33" s="37">
        <f t="shared" si="4"/>
        <v>0</v>
      </c>
      <c r="H33" s="37">
        <f t="shared" si="4"/>
        <v>0</v>
      </c>
      <c r="I33" s="37">
        <f t="shared" si="4"/>
        <v>10086</v>
      </c>
      <c r="J33" s="37">
        <f t="shared" si="4"/>
        <v>15279</v>
      </c>
      <c r="K33" s="37">
        <f t="shared" si="4"/>
        <v>11100</v>
      </c>
      <c r="L33" s="37">
        <f t="shared" si="4"/>
        <v>801</v>
      </c>
      <c r="M33" s="37">
        <f t="shared" si="4"/>
        <v>-20632</v>
      </c>
      <c r="N33" s="37">
        <f t="shared" si="4"/>
        <v>0</v>
      </c>
      <c r="O33" s="37">
        <f t="shared" si="4"/>
        <v>0</v>
      </c>
      <c r="P33" s="37">
        <f t="shared" si="4"/>
        <v>-94509</v>
      </c>
      <c r="Q33" s="37">
        <f t="shared" si="4"/>
        <v>32969</v>
      </c>
      <c r="R33" s="37">
        <f t="shared" si="4"/>
        <v>24573</v>
      </c>
      <c r="S33" s="37">
        <f t="shared" si="4"/>
        <v>52000</v>
      </c>
      <c r="T33" s="37">
        <f t="shared" si="4"/>
        <v>25500</v>
      </c>
      <c r="U33" s="37">
        <f t="shared" si="4"/>
        <v>0</v>
      </c>
      <c r="V33" s="37">
        <f t="shared" si="4"/>
        <v>0</v>
      </c>
      <c r="W33" s="37">
        <f t="shared" si="4"/>
        <v>6209</v>
      </c>
      <c r="X33" s="37">
        <f t="shared" si="4"/>
        <v>14500</v>
      </c>
      <c r="Y33" s="37">
        <f t="shared" si="4"/>
        <v>11057</v>
      </c>
      <c r="Z33" s="37">
        <f t="shared" si="4"/>
        <v>19816</v>
      </c>
      <c r="AA33" s="37">
        <f t="shared" si="4"/>
        <v>30458</v>
      </c>
      <c r="AB33" s="37">
        <f t="shared" si="4"/>
        <v>0</v>
      </c>
      <c r="AC33" s="37">
        <f t="shared" si="4"/>
        <v>0</v>
      </c>
      <c r="AD33" s="37">
        <f t="shared" si="4"/>
        <v>4421</v>
      </c>
      <c r="AE33" s="37">
        <f t="shared" si="4"/>
        <v>36975</v>
      </c>
      <c r="AF33" s="37">
        <f t="shared" si="4"/>
        <v>37887</v>
      </c>
      <c r="AG33" s="38">
        <f t="shared" si="4"/>
        <v>168299</v>
      </c>
    </row>
    <row r="34" spans="1:33" ht="14.25" thickTop="1"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</row>
  </sheetData>
  <phoneticPr fontId="2" type="noConversion"/>
  <pageMargins left="0.75" right="0.75" top="1" bottom="1" header="0.49212598499999999" footer="0.49212598499999999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24577" r:id="rId4">
          <objectPr defaultSize="0" autoPict="0" r:id="rId5">
            <anchor moveWithCells="1">
              <from>
                <xdr:col>0</xdr:col>
                <xdr:colOff>0</xdr:colOff>
                <xdr:row>35</xdr:row>
                <xdr:rowOff>47625</xdr:rowOff>
              </from>
              <to>
                <xdr:col>7</xdr:col>
                <xdr:colOff>447675</xdr:colOff>
                <xdr:row>86</xdr:row>
                <xdr:rowOff>66675</xdr:rowOff>
              </to>
            </anchor>
          </objectPr>
        </oleObject>
      </mc:Choice>
      <mc:Fallback>
        <oleObject progId="Word.Document.8" shapeId="2457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35"/>
  <sheetViews>
    <sheetView showGridLines="0" topLeftCell="A2" workbookViewId="0" xr3:uid="{958C4451-9541-5A59-BF78-D2F731DF1C81}">
      <pane xSplit="2" ySplit="4" topLeftCell="C6" activePane="bottomRight" state="frozen"/>
      <selection activeCell="A2" sqref="A2"/>
      <selection pane="bottomLeft" activeCell="A6" sqref="A6"/>
      <selection pane="topRight" activeCell="C2" sqref="C2"/>
      <selection pane="bottomRight" activeCell="C6" sqref="C6"/>
    </sheetView>
  </sheetViews>
  <sheetFormatPr defaultRowHeight="13.5" outlineLevelRow="1" outlineLevelCol="1"/>
  <cols>
    <col min="1" max="1" width="2.74609375" customWidth="1"/>
    <col min="2" max="2" width="24.2421875" bestFit="1" customWidth="1"/>
    <col min="3" max="3" width="7.87109375" customWidth="1" outlineLevel="1"/>
    <col min="4" max="4" width="7.37109375" customWidth="1" outlineLevel="1"/>
    <col min="5" max="5" width="8.74609375" customWidth="1" outlineLevel="1"/>
    <col min="6" max="6" width="9.87109375" bestFit="1" customWidth="1" outlineLevel="1"/>
    <col min="7" max="16" width="8.74609375" customWidth="1" outlineLevel="1"/>
    <col min="17" max="19" width="9.62109375" customWidth="1" outlineLevel="1"/>
    <col min="20" max="25" width="8.74609375" customWidth="1" outlineLevel="1"/>
    <col min="26" max="31" width="8.24609375" customWidth="1" outlineLevel="1"/>
    <col min="32" max="33" width="9.12109375" customWidth="1" outlineLevel="1"/>
    <col min="34" max="34" width="11.87109375" bestFit="1" customWidth="1"/>
    <col min="35" max="35" width="9.62109375" bestFit="1" customWidth="1"/>
  </cols>
  <sheetData>
    <row r="1" spans="1:42" ht="30.75" customHeight="1" thickBot="1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6.5" customHeight="1">
      <c r="B2" s="4">
        <v>38868</v>
      </c>
    </row>
    <row r="3" spans="1:42" ht="24.75" thickBot="1">
      <c r="B3" s="51" t="s">
        <v>33</v>
      </c>
      <c r="C3" s="8">
        <v>30</v>
      </c>
      <c r="D3" s="9">
        <v>29</v>
      </c>
      <c r="E3" s="9">
        <v>28</v>
      </c>
      <c r="F3" s="8">
        <v>27</v>
      </c>
      <c r="G3" s="9">
        <v>26</v>
      </c>
      <c r="H3" s="9">
        <v>25</v>
      </c>
      <c r="I3" s="8">
        <v>24</v>
      </c>
      <c r="J3" s="9">
        <v>23</v>
      </c>
      <c r="K3" s="9">
        <v>22</v>
      </c>
      <c r="L3" s="8">
        <v>21</v>
      </c>
      <c r="M3" s="9">
        <v>20</v>
      </c>
      <c r="N3" s="9">
        <v>19</v>
      </c>
      <c r="O3" s="8">
        <v>18</v>
      </c>
      <c r="P3" s="9">
        <v>17</v>
      </c>
      <c r="Q3" s="9">
        <v>16</v>
      </c>
      <c r="R3" s="8">
        <v>15</v>
      </c>
      <c r="S3" s="9">
        <v>14</v>
      </c>
      <c r="T3" s="9">
        <v>13</v>
      </c>
      <c r="U3" s="8">
        <v>12</v>
      </c>
      <c r="V3" s="9">
        <v>11</v>
      </c>
      <c r="W3" s="9">
        <v>10</v>
      </c>
      <c r="X3" s="8">
        <v>9</v>
      </c>
      <c r="Y3" s="9">
        <v>8</v>
      </c>
      <c r="Z3" s="9">
        <v>7</v>
      </c>
      <c r="AA3" s="8">
        <v>6</v>
      </c>
      <c r="AB3" s="9">
        <v>5</v>
      </c>
      <c r="AC3" s="9">
        <v>4</v>
      </c>
      <c r="AD3" s="8">
        <v>3</v>
      </c>
      <c r="AE3" s="9">
        <v>2</v>
      </c>
      <c r="AF3" s="9">
        <v>1</v>
      </c>
      <c r="AG3" s="8">
        <v>0</v>
      </c>
    </row>
    <row r="4" spans="1:42" s="10" customFormat="1" ht="12.75">
      <c r="A4" s="13"/>
      <c r="B4" s="13" t="s">
        <v>19</v>
      </c>
      <c r="C4" s="15">
        <f t="shared" ref="C4:AG4" si="0">$B$2-C3</f>
        <v>38838</v>
      </c>
      <c r="D4" s="14">
        <f t="shared" si="0"/>
        <v>38839</v>
      </c>
      <c r="E4" s="14">
        <f t="shared" si="0"/>
        <v>38840</v>
      </c>
      <c r="F4" s="14">
        <f t="shared" si="0"/>
        <v>38841</v>
      </c>
      <c r="G4" s="14">
        <f t="shared" si="0"/>
        <v>38842</v>
      </c>
      <c r="H4" s="15">
        <f t="shared" si="0"/>
        <v>38843</v>
      </c>
      <c r="I4" s="15">
        <f t="shared" si="0"/>
        <v>38844</v>
      </c>
      <c r="J4" s="14">
        <f t="shared" si="0"/>
        <v>38845</v>
      </c>
      <c r="K4" s="14">
        <f t="shared" si="0"/>
        <v>38846</v>
      </c>
      <c r="L4" s="14">
        <f t="shared" si="0"/>
        <v>38847</v>
      </c>
      <c r="M4" s="14">
        <f t="shared" si="0"/>
        <v>38848</v>
      </c>
      <c r="N4" s="14">
        <f t="shared" si="0"/>
        <v>38849</v>
      </c>
      <c r="O4" s="15">
        <f t="shared" si="0"/>
        <v>38850</v>
      </c>
      <c r="P4" s="15">
        <f t="shared" si="0"/>
        <v>38851</v>
      </c>
      <c r="Q4" s="14">
        <f t="shared" si="0"/>
        <v>38852</v>
      </c>
      <c r="R4" s="14">
        <f t="shared" si="0"/>
        <v>38853</v>
      </c>
      <c r="S4" s="14">
        <f t="shared" si="0"/>
        <v>38854</v>
      </c>
      <c r="T4" s="14">
        <f t="shared" si="0"/>
        <v>38855</v>
      </c>
      <c r="U4" s="14">
        <f t="shared" si="0"/>
        <v>38856</v>
      </c>
      <c r="V4" s="15">
        <f t="shared" si="0"/>
        <v>38857</v>
      </c>
      <c r="W4" s="15">
        <f t="shared" si="0"/>
        <v>38858</v>
      </c>
      <c r="X4" s="14">
        <f t="shared" si="0"/>
        <v>38859</v>
      </c>
      <c r="Y4" s="14">
        <f t="shared" si="0"/>
        <v>38860</v>
      </c>
      <c r="Z4" s="14">
        <f t="shared" si="0"/>
        <v>38861</v>
      </c>
      <c r="AA4" s="14">
        <f t="shared" si="0"/>
        <v>38862</v>
      </c>
      <c r="AB4" s="14">
        <f t="shared" si="0"/>
        <v>38863</v>
      </c>
      <c r="AC4" s="15">
        <f t="shared" si="0"/>
        <v>38864</v>
      </c>
      <c r="AD4" s="15">
        <f t="shared" si="0"/>
        <v>38865</v>
      </c>
      <c r="AE4" s="14">
        <f t="shared" si="0"/>
        <v>38866</v>
      </c>
      <c r="AF4" s="14">
        <f t="shared" si="0"/>
        <v>38867</v>
      </c>
      <c r="AG4" s="31">
        <f t="shared" si="0"/>
        <v>38868</v>
      </c>
      <c r="AH4" s="33" t="s">
        <v>0</v>
      </c>
      <c r="AI4" s="33" t="s">
        <v>30</v>
      </c>
    </row>
    <row r="5" spans="1:42" s="10" customFormat="1" ht="12.75">
      <c r="A5" s="13"/>
      <c r="B5" s="13"/>
      <c r="C5" s="16">
        <f>C4</f>
        <v>38838</v>
      </c>
      <c r="D5" s="17">
        <f t="shared" ref="D5:AG5" si="1">D4</f>
        <v>38839</v>
      </c>
      <c r="E5" s="17">
        <f t="shared" si="1"/>
        <v>38840</v>
      </c>
      <c r="F5" s="17">
        <f t="shared" si="1"/>
        <v>38841</v>
      </c>
      <c r="G5" s="17">
        <f t="shared" si="1"/>
        <v>38842</v>
      </c>
      <c r="H5" s="16">
        <f t="shared" si="1"/>
        <v>38843</v>
      </c>
      <c r="I5" s="16">
        <f t="shared" si="1"/>
        <v>38844</v>
      </c>
      <c r="J5" s="17">
        <f t="shared" si="1"/>
        <v>38845</v>
      </c>
      <c r="K5" s="17">
        <f t="shared" si="1"/>
        <v>38846</v>
      </c>
      <c r="L5" s="17">
        <f t="shared" si="1"/>
        <v>38847</v>
      </c>
      <c r="M5" s="17">
        <f t="shared" si="1"/>
        <v>38848</v>
      </c>
      <c r="N5" s="17">
        <f t="shared" si="1"/>
        <v>38849</v>
      </c>
      <c r="O5" s="16">
        <f t="shared" si="1"/>
        <v>38850</v>
      </c>
      <c r="P5" s="16">
        <f t="shared" si="1"/>
        <v>38851</v>
      </c>
      <c r="Q5" s="17">
        <f t="shared" si="1"/>
        <v>38852</v>
      </c>
      <c r="R5" s="17">
        <f t="shared" si="1"/>
        <v>38853</v>
      </c>
      <c r="S5" s="17">
        <f t="shared" si="1"/>
        <v>38854</v>
      </c>
      <c r="T5" s="17">
        <f t="shared" si="1"/>
        <v>38855</v>
      </c>
      <c r="U5" s="17">
        <f t="shared" si="1"/>
        <v>38856</v>
      </c>
      <c r="V5" s="16">
        <f t="shared" si="1"/>
        <v>38857</v>
      </c>
      <c r="W5" s="16">
        <f t="shared" si="1"/>
        <v>38858</v>
      </c>
      <c r="X5" s="17">
        <f t="shared" si="1"/>
        <v>38859</v>
      </c>
      <c r="Y5" s="17">
        <f t="shared" si="1"/>
        <v>38860</v>
      </c>
      <c r="Z5" s="17">
        <f t="shared" si="1"/>
        <v>38861</v>
      </c>
      <c r="AA5" s="17">
        <f t="shared" si="1"/>
        <v>38862</v>
      </c>
      <c r="AB5" s="17">
        <f t="shared" si="1"/>
        <v>38863</v>
      </c>
      <c r="AC5" s="16">
        <f t="shared" si="1"/>
        <v>38864</v>
      </c>
      <c r="AD5" s="16">
        <f t="shared" si="1"/>
        <v>38865</v>
      </c>
      <c r="AE5" s="17">
        <f t="shared" si="1"/>
        <v>38866</v>
      </c>
      <c r="AF5" s="17">
        <f t="shared" si="1"/>
        <v>38867</v>
      </c>
      <c r="AG5" s="32">
        <f t="shared" si="1"/>
        <v>38868</v>
      </c>
      <c r="AH5" s="34"/>
      <c r="AI5" s="34"/>
    </row>
    <row r="6" spans="1:42" s="3" customFormat="1" ht="15" customHeight="1" outlineLevel="1">
      <c r="A6" s="53" t="s">
        <v>20</v>
      </c>
      <c r="B6" s="2" t="s">
        <v>12</v>
      </c>
      <c r="C6" s="11"/>
      <c r="D6" s="5">
        <v>1500</v>
      </c>
      <c r="E6" s="5">
        <v>6800</v>
      </c>
      <c r="F6" s="5">
        <v>8880</v>
      </c>
      <c r="G6" s="5">
        <v>4900</v>
      </c>
      <c r="H6" s="12"/>
      <c r="I6" s="12"/>
      <c r="J6" s="5">
        <v>6900</v>
      </c>
      <c r="K6" s="5">
        <v>12600</v>
      </c>
      <c r="L6" s="5">
        <v>9000</v>
      </c>
      <c r="M6" s="5">
        <v>7500</v>
      </c>
      <c r="N6" s="5">
        <v>11000</v>
      </c>
      <c r="O6" s="12"/>
      <c r="P6" s="12"/>
      <c r="Q6" s="5">
        <v>13000</v>
      </c>
      <c r="R6" s="5">
        <v>22000</v>
      </c>
      <c r="S6" s="5">
        <v>22600</v>
      </c>
      <c r="T6" s="5">
        <v>36000</v>
      </c>
      <c r="U6" s="5">
        <v>16000</v>
      </c>
      <c r="V6" s="12"/>
      <c r="W6" s="12"/>
      <c r="X6" s="5">
        <v>12600</v>
      </c>
      <c r="Y6" s="5">
        <v>10000</v>
      </c>
      <c r="Z6" s="5">
        <v>7500</v>
      </c>
      <c r="AA6" s="5">
        <v>13200</v>
      </c>
      <c r="AB6" s="5">
        <v>23000</v>
      </c>
      <c r="AC6" s="12"/>
      <c r="AD6" s="12"/>
      <c r="AE6" s="5">
        <v>6900</v>
      </c>
      <c r="AF6" s="5">
        <v>25000</v>
      </c>
      <c r="AG6" s="6">
        <v>22800</v>
      </c>
      <c r="AH6" s="7">
        <f>SUM( C6:AG6)</f>
        <v>299680</v>
      </c>
      <c r="AI6" s="46">
        <f t="shared" ref="AI6:AI11" si="2">AH6/$AH$11</f>
        <v>0.66620148227448506</v>
      </c>
    </row>
    <row r="7" spans="1:42" s="3" customFormat="1" ht="15" customHeight="1" outlineLevel="1">
      <c r="A7" s="54"/>
      <c r="B7" s="2" t="s">
        <v>13</v>
      </c>
      <c r="C7" s="11"/>
      <c r="D7" s="5">
        <v>800</v>
      </c>
      <c r="E7" s="5">
        <v>1900</v>
      </c>
      <c r="F7" s="5">
        <v>3200</v>
      </c>
      <c r="G7" s="5">
        <v>2600</v>
      </c>
      <c r="H7" s="12"/>
      <c r="I7" s="12"/>
      <c r="J7" s="5">
        <v>3500</v>
      </c>
      <c r="K7" s="5">
        <v>4500</v>
      </c>
      <c r="L7" s="5">
        <v>3700</v>
      </c>
      <c r="M7" s="5">
        <v>3600</v>
      </c>
      <c r="N7" s="5">
        <v>4900</v>
      </c>
      <c r="O7" s="12"/>
      <c r="P7" s="12"/>
      <c r="Q7" s="5">
        <v>6200</v>
      </c>
      <c r="R7" s="5">
        <v>14000</v>
      </c>
      <c r="S7" s="5">
        <v>7000</v>
      </c>
      <c r="T7" s="5">
        <v>16000</v>
      </c>
      <c r="U7" s="5">
        <v>9500</v>
      </c>
      <c r="V7" s="12"/>
      <c r="W7" s="12"/>
      <c r="X7" s="5">
        <v>7900</v>
      </c>
      <c r="Y7" s="5">
        <v>6000</v>
      </c>
      <c r="Z7" s="5">
        <v>3600</v>
      </c>
      <c r="AA7" s="5">
        <v>7900</v>
      </c>
      <c r="AB7" s="5">
        <v>12000</v>
      </c>
      <c r="AC7" s="12"/>
      <c r="AD7" s="12"/>
      <c r="AE7" s="5">
        <v>1200</v>
      </c>
      <c r="AF7" s="5">
        <v>12000</v>
      </c>
      <c r="AG7" s="6">
        <v>18000</v>
      </c>
      <c r="AH7" s="7">
        <f>SUM( C7:AG7)</f>
        <v>150000</v>
      </c>
      <c r="AI7" s="46">
        <f t="shared" si="2"/>
        <v>0.33345642799376923</v>
      </c>
    </row>
    <row r="8" spans="1:42" s="3" customFormat="1" ht="15" customHeight="1" outlineLevel="1">
      <c r="A8" s="54"/>
      <c r="B8" s="2" t="s">
        <v>14</v>
      </c>
      <c r="C8" s="11"/>
      <c r="D8" s="5"/>
      <c r="E8" s="5"/>
      <c r="F8" s="5"/>
      <c r="G8" s="5"/>
      <c r="H8" s="12"/>
      <c r="I8" s="12"/>
      <c r="J8" s="5"/>
      <c r="K8" s="5"/>
      <c r="L8" s="5"/>
      <c r="M8" s="5"/>
      <c r="N8" s="5"/>
      <c r="O8" s="12"/>
      <c r="P8" s="12"/>
      <c r="Q8" s="5"/>
      <c r="R8" s="5"/>
      <c r="S8" s="5"/>
      <c r="T8" s="5"/>
      <c r="U8" s="5"/>
      <c r="V8" s="12"/>
      <c r="W8" s="12"/>
      <c r="X8" s="5"/>
      <c r="Y8" s="5"/>
      <c r="Z8" s="5"/>
      <c r="AA8" s="5"/>
      <c r="AB8" s="5"/>
      <c r="AC8" s="12"/>
      <c r="AD8" s="12"/>
      <c r="AE8" s="5"/>
      <c r="AF8" s="5"/>
      <c r="AG8" s="6"/>
      <c r="AH8" s="7">
        <f>SUM( C8:AG8)</f>
        <v>0</v>
      </c>
      <c r="AI8" s="46">
        <f t="shared" si="2"/>
        <v>0</v>
      </c>
    </row>
    <row r="9" spans="1:42" s="3" customFormat="1" ht="15" customHeight="1" outlineLevel="1">
      <c r="A9" s="54"/>
      <c r="B9" s="41" t="s">
        <v>16</v>
      </c>
      <c r="C9" s="42"/>
      <c r="D9" s="43">
        <f>IF((C11-C33)&gt;0,(C11-C33)*(1.5%/30),0)</f>
        <v>0</v>
      </c>
      <c r="E9" s="43">
        <f t="shared" ref="E9:AG9" si="3">IF((D11-D33)&gt;0,(D11-D33)*(1.5%/30),0)</f>
        <v>0</v>
      </c>
      <c r="F9" s="43">
        <f t="shared" si="3"/>
        <v>0</v>
      </c>
      <c r="G9" s="43">
        <f t="shared" si="3"/>
        <v>6.0258272361111116</v>
      </c>
      <c r="H9" s="43">
        <f t="shared" si="3"/>
        <v>0</v>
      </c>
      <c r="I9" s="43">
        <f t="shared" si="3"/>
        <v>0</v>
      </c>
      <c r="J9" s="43">
        <f t="shared" si="3"/>
        <v>0</v>
      </c>
      <c r="K9" s="43">
        <f t="shared" si="3"/>
        <v>5.0429998970625602</v>
      </c>
      <c r="L9" s="43">
        <f t="shared" si="3"/>
        <v>7.6420214999485312</v>
      </c>
      <c r="M9" s="43">
        <f t="shared" si="3"/>
        <v>5.5538210107499744</v>
      </c>
      <c r="N9" s="43">
        <f t="shared" si="3"/>
        <v>0.4032769105053749</v>
      </c>
      <c r="O9" s="43">
        <f t="shared" si="3"/>
        <v>0</v>
      </c>
      <c r="P9" s="43">
        <f t="shared" si="3"/>
        <v>0</v>
      </c>
      <c r="Q9" s="43">
        <f t="shared" si="3"/>
        <v>0</v>
      </c>
      <c r="R9" s="43">
        <f t="shared" si="3"/>
        <v>0</v>
      </c>
      <c r="S9" s="43">
        <f t="shared" si="3"/>
        <v>16.4057424999204</v>
      </c>
      <c r="T9" s="43">
        <f t="shared" si="3"/>
        <v>12.29470287124996</v>
      </c>
      <c r="U9" s="43">
        <f t="shared" si="3"/>
        <v>26.006147351435626</v>
      </c>
      <c r="V9" s="43">
        <f t="shared" si="3"/>
        <v>12.763003073675719</v>
      </c>
      <c r="W9" s="43">
        <f t="shared" si="3"/>
        <v>6.3815015368378601E-3</v>
      </c>
      <c r="X9" s="43">
        <f t="shared" si="3"/>
        <v>3.1907507684189299E-6</v>
      </c>
      <c r="Y9" s="43">
        <f t="shared" si="3"/>
        <v>3.1045000015953756</v>
      </c>
      <c r="Z9" s="43">
        <f t="shared" si="3"/>
        <v>7.2515522500007972</v>
      </c>
      <c r="AA9" s="43">
        <f t="shared" si="3"/>
        <v>5.5321257761250013</v>
      </c>
      <c r="AB9" s="43">
        <f t="shared" si="3"/>
        <v>9.9107660628880616</v>
      </c>
      <c r="AC9" s="43">
        <f t="shared" si="3"/>
        <v>15.233955383031443</v>
      </c>
      <c r="AD9" s="43">
        <f t="shared" si="3"/>
        <v>7.6169776915157219E-3</v>
      </c>
      <c r="AE9" s="43">
        <f t="shared" si="3"/>
        <v>3.8084888457578608E-6</v>
      </c>
      <c r="AF9" s="43">
        <f t="shared" si="3"/>
        <v>2.2105000019042444</v>
      </c>
      <c r="AG9" s="44">
        <f t="shared" si="3"/>
        <v>18.488605250000955</v>
      </c>
      <c r="AH9" s="45">
        <f>SUM( C9:AG9)</f>
        <v>153.88355255467312</v>
      </c>
      <c r="AI9" s="47">
        <f t="shared" si="2"/>
        <v>3.4208973174581835E-4</v>
      </c>
    </row>
    <row r="10" spans="1:42" s="3" customFormat="1" ht="15" customHeight="1" outlineLevel="1">
      <c r="A10" s="54"/>
      <c r="B10" s="18"/>
      <c r="C10" s="19"/>
      <c r="D10" s="20"/>
      <c r="E10" s="20"/>
      <c r="F10" s="20"/>
      <c r="G10" s="20"/>
      <c r="H10" s="19"/>
      <c r="I10" s="19"/>
      <c r="J10" s="20"/>
      <c r="K10" s="20"/>
      <c r="L10" s="20"/>
      <c r="M10" s="20"/>
      <c r="N10" s="20"/>
      <c r="O10" s="19"/>
      <c r="P10" s="19"/>
      <c r="Q10" s="20"/>
      <c r="R10" s="20"/>
      <c r="S10" s="20"/>
      <c r="T10" s="20"/>
      <c r="U10" s="20"/>
      <c r="V10" s="19"/>
      <c r="W10" s="19"/>
      <c r="X10" s="20"/>
      <c r="Y10" s="20"/>
      <c r="Z10" s="20"/>
      <c r="AA10" s="20"/>
      <c r="AB10" s="20"/>
      <c r="AC10" s="19"/>
      <c r="AD10" s="19"/>
      <c r="AE10" s="20"/>
      <c r="AF10" s="20"/>
      <c r="AG10" s="21"/>
      <c r="AH10" s="22"/>
      <c r="AI10" s="48">
        <f t="shared" si="2"/>
        <v>0</v>
      </c>
    </row>
    <row r="11" spans="1:42">
      <c r="A11" s="23"/>
      <c r="B11" s="24" t="s">
        <v>26</v>
      </c>
      <c r="C11" s="25">
        <f>SUM(C6:C10)</f>
        <v>0</v>
      </c>
      <c r="D11" s="25">
        <f>SUM(D6:D10)</f>
        <v>2300</v>
      </c>
      <c r="E11" s="25">
        <f t="shared" ref="E11:AG11" si="4">SUM(E6:E10)</f>
        <v>8700</v>
      </c>
      <c r="F11" s="25">
        <f t="shared" si="4"/>
        <v>12080</v>
      </c>
      <c r="G11" s="25">
        <f t="shared" si="4"/>
        <v>7506.0258272361107</v>
      </c>
      <c r="H11" s="25">
        <f t="shared" si="4"/>
        <v>0</v>
      </c>
      <c r="I11" s="25">
        <f t="shared" si="4"/>
        <v>0</v>
      </c>
      <c r="J11" s="25">
        <f t="shared" si="4"/>
        <v>10400</v>
      </c>
      <c r="K11" s="25">
        <f t="shared" si="4"/>
        <v>17105.042999897061</v>
      </c>
      <c r="L11" s="25">
        <f t="shared" si="4"/>
        <v>12707.642021499949</v>
      </c>
      <c r="M11" s="25">
        <f t="shared" si="4"/>
        <v>11105.55382101075</v>
      </c>
      <c r="N11" s="25">
        <f t="shared" si="4"/>
        <v>15900.403276910505</v>
      </c>
      <c r="O11" s="25">
        <f t="shared" si="4"/>
        <v>0</v>
      </c>
      <c r="P11" s="25">
        <f t="shared" si="4"/>
        <v>0</v>
      </c>
      <c r="Q11" s="25">
        <f t="shared" si="4"/>
        <v>19200</v>
      </c>
      <c r="R11" s="25">
        <f t="shared" si="4"/>
        <v>36000</v>
      </c>
      <c r="S11" s="25">
        <f t="shared" si="4"/>
        <v>29616.405742499919</v>
      </c>
      <c r="T11" s="25">
        <f t="shared" si="4"/>
        <v>52012.294702871252</v>
      </c>
      <c r="U11" s="25">
        <f t="shared" si="4"/>
        <v>25526.006147351436</v>
      </c>
      <c r="V11" s="25">
        <f t="shared" si="4"/>
        <v>12.763003073675719</v>
      </c>
      <c r="W11" s="25">
        <f t="shared" si="4"/>
        <v>6.3815015368378601E-3</v>
      </c>
      <c r="X11" s="25">
        <f t="shared" si="4"/>
        <v>20500.000003190751</v>
      </c>
      <c r="Y11" s="25">
        <f t="shared" si="4"/>
        <v>16003.104500001595</v>
      </c>
      <c r="Z11" s="25">
        <f t="shared" si="4"/>
        <v>11107.251552250002</v>
      </c>
      <c r="AA11" s="25">
        <f t="shared" si="4"/>
        <v>21105.532125776124</v>
      </c>
      <c r="AB11" s="25">
        <f t="shared" si="4"/>
        <v>35009.910766062887</v>
      </c>
      <c r="AC11" s="25">
        <f t="shared" si="4"/>
        <v>15.233955383031443</v>
      </c>
      <c r="AD11" s="25">
        <f t="shared" si="4"/>
        <v>7.6169776915157219E-3</v>
      </c>
      <c r="AE11" s="25">
        <f t="shared" si="4"/>
        <v>8100.0000038084891</v>
      </c>
      <c r="AF11" s="25">
        <f t="shared" si="4"/>
        <v>37002.210500001907</v>
      </c>
      <c r="AG11" s="25">
        <f t="shared" si="4"/>
        <v>40818.488605250001</v>
      </c>
      <c r="AH11" s="26">
        <f>SUM(AH6:AH10)</f>
        <v>449833.88355255465</v>
      </c>
      <c r="AI11" s="49">
        <f t="shared" si="2"/>
        <v>1</v>
      </c>
    </row>
    <row r="12" spans="1:42" s="3" customFormat="1" ht="12" customHeight="1" outlineLevel="1">
      <c r="A12" s="55" t="s">
        <v>27</v>
      </c>
      <c r="B12" s="2" t="s">
        <v>5</v>
      </c>
      <c r="C12" s="11"/>
      <c r="D12" s="5"/>
      <c r="E12" s="5"/>
      <c r="F12" s="5"/>
      <c r="G12" s="5"/>
      <c r="H12" s="12"/>
      <c r="I12" s="12"/>
      <c r="J12" s="5"/>
      <c r="K12" s="5">
        <v>360</v>
      </c>
      <c r="L12" s="5"/>
      <c r="M12" s="5"/>
      <c r="N12" s="5"/>
      <c r="O12" s="12"/>
      <c r="P12" s="12"/>
      <c r="Q12" s="5"/>
      <c r="R12" s="5"/>
      <c r="S12" s="5"/>
      <c r="T12" s="5"/>
      <c r="U12" s="5"/>
      <c r="V12" s="12"/>
      <c r="W12" s="12"/>
      <c r="X12" s="5"/>
      <c r="Y12" s="5"/>
      <c r="Z12" s="5"/>
      <c r="AA12" s="5"/>
      <c r="AB12" s="5"/>
      <c r="AC12" s="12"/>
      <c r="AD12" s="12"/>
      <c r="AE12" s="5"/>
      <c r="AF12" s="5"/>
      <c r="AG12" s="6"/>
      <c r="AH12" s="7">
        <f t="shared" ref="AH12:AH31" si="5">SUM(C12:AG12)</f>
        <v>360</v>
      </c>
      <c r="AI12" s="46">
        <f>AH12/$AH$33</f>
        <v>1.2780602599628756E-3</v>
      </c>
    </row>
    <row r="13" spans="1:42" s="3" customFormat="1" outlineLevel="1">
      <c r="A13" s="54"/>
      <c r="B13" s="2" t="s">
        <v>1</v>
      </c>
      <c r="C13" s="11"/>
      <c r="D13" s="5"/>
      <c r="E13" s="5">
        <v>23000</v>
      </c>
      <c r="F13" s="5"/>
      <c r="G13" s="5"/>
      <c r="H13" s="12"/>
      <c r="I13" s="12"/>
      <c r="J13" s="5"/>
      <c r="K13" s="5"/>
      <c r="L13" s="5"/>
      <c r="M13" s="5"/>
      <c r="N13" s="5"/>
      <c r="O13" s="12"/>
      <c r="P13" s="12"/>
      <c r="Q13" s="5"/>
      <c r="R13" s="5"/>
      <c r="S13" s="5"/>
      <c r="T13" s="5"/>
      <c r="U13" s="5"/>
      <c r="V13" s="12"/>
      <c r="W13" s="12"/>
      <c r="X13" s="5"/>
      <c r="Y13" s="5"/>
      <c r="Z13" s="5"/>
      <c r="AA13" s="5"/>
      <c r="AB13" s="5"/>
      <c r="AC13" s="12"/>
      <c r="AD13" s="12"/>
      <c r="AE13" s="5"/>
      <c r="AF13" s="5"/>
      <c r="AG13" s="6"/>
      <c r="AH13" s="7">
        <f t="shared" si="5"/>
        <v>23000</v>
      </c>
      <c r="AI13" s="46">
        <f t="shared" ref="AI13:AI33" si="6">AH13/$AH$33</f>
        <v>8.1653849942072615E-2</v>
      </c>
    </row>
    <row r="14" spans="1:42" s="3" customFormat="1" outlineLevel="1">
      <c r="A14" s="54"/>
      <c r="B14" s="41" t="s">
        <v>17</v>
      </c>
      <c r="C14" s="42"/>
      <c r="D14" s="43">
        <f>IF((C11-C33)&lt;0,(-C11+C33)*(5%/30),0)</f>
        <v>0</v>
      </c>
      <c r="E14" s="43">
        <f t="shared" ref="E14:AG14" si="7">IF((D11-D33)&lt;0,(-D11+D33)*(5%/30),0)</f>
        <v>1.3166666666666667</v>
      </c>
      <c r="F14" s="43">
        <f t="shared" si="7"/>
        <v>28.345527777777779</v>
      </c>
      <c r="G14" s="43">
        <f t="shared" si="7"/>
        <v>0</v>
      </c>
      <c r="H14" s="43">
        <f t="shared" si="7"/>
        <v>74.114956954606484</v>
      </c>
      <c r="I14" s="43">
        <f t="shared" si="7"/>
        <v>0.12352492825767748</v>
      </c>
      <c r="J14" s="43">
        <f t="shared" si="7"/>
        <v>2.0587488042946248E-4</v>
      </c>
      <c r="K14" s="43">
        <f t="shared" si="7"/>
        <v>0</v>
      </c>
      <c r="L14" s="43">
        <f t="shared" si="7"/>
        <v>0</v>
      </c>
      <c r="M14" s="43">
        <f t="shared" si="7"/>
        <v>0</v>
      </c>
      <c r="N14" s="43">
        <f t="shared" si="7"/>
        <v>0</v>
      </c>
      <c r="O14" s="43">
        <f t="shared" si="7"/>
        <v>34.3859945384825</v>
      </c>
      <c r="P14" s="43">
        <f t="shared" si="7"/>
        <v>5.7309990897470839E-2</v>
      </c>
      <c r="Q14" s="43">
        <f t="shared" si="7"/>
        <v>9.5516651495784741E-5</v>
      </c>
      <c r="R14" s="43">
        <f t="shared" si="7"/>
        <v>157.51500015919441</v>
      </c>
      <c r="S14" s="43">
        <f t="shared" si="7"/>
        <v>0</v>
      </c>
      <c r="T14" s="43">
        <f t="shared" si="7"/>
        <v>0</v>
      </c>
      <c r="U14" s="43">
        <f t="shared" si="7"/>
        <v>0</v>
      </c>
      <c r="V14" s="43">
        <f t="shared" si="7"/>
        <v>0</v>
      </c>
      <c r="W14" s="43">
        <f t="shared" si="7"/>
        <v>0</v>
      </c>
      <c r="X14" s="43">
        <f t="shared" si="7"/>
        <v>0</v>
      </c>
      <c r="Y14" s="43">
        <f t="shared" si="7"/>
        <v>0</v>
      </c>
      <c r="Z14" s="43">
        <f t="shared" si="7"/>
        <v>0</v>
      </c>
      <c r="AA14" s="43">
        <f t="shared" si="7"/>
        <v>0</v>
      </c>
      <c r="AB14" s="43">
        <f t="shared" si="7"/>
        <v>0</v>
      </c>
      <c r="AC14" s="43">
        <f t="shared" si="7"/>
        <v>0</v>
      </c>
      <c r="AD14" s="43">
        <f t="shared" si="7"/>
        <v>0</v>
      </c>
      <c r="AE14" s="43">
        <f t="shared" si="7"/>
        <v>0</v>
      </c>
      <c r="AF14" s="43">
        <f t="shared" si="7"/>
        <v>0</v>
      </c>
      <c r="AG14" s="44">
        <f t="shared" si="7"/>
        <v>0</v>
      </c>
      <c r="AH14" s="45">
        <f t="shared" si="5"/>
        <v>295.85928240741492</v>
      </c>
      <c r="AI14" s="47">
        <f t="shared" si="6"/>
        <v>1.0503499760723626E-3</v>
      </c>
    </row>
    <row r="15" spans="1:42" s="3" customFormat="1" outlineLevel="1">
      <c r="A15" s="54"/>
      <c r="B15" s="2" t="s">
        <v>18</v>
      </c>
      <c r="C15" s="12"/>
      <c r="D15" s="5"/>
      <c r="E15" s="5"/>
      <c r="F15" s="5"/>
      <c r="G15" s="5"/>
      <c r="H15" s="12"/>
      <c r="I15" s="12"/>
      <c r="J15" s="5"/>
      <c r="K15" s="5"/>
      <c r="L15" s="5"/>
      <c r="M15" s="5"/>
      <c r="N15" s="5"/>
      <c r="O15" s="12"/>
      <c r="P15" s="12"/>
      <c r="Q15" s="5"/>
      <c r="R15" s="5"/>
      <c r="S15" s="5"/>
      <c r="T15" s="5"/>
      <c r="U15" s="5"/>
      <c r="V15" s="12"/>
      <c r="W15" s="12"/>
      <c r="X15" s="5"/>
      <c r="Y15" s="5"/>
      <c r="Z15" s="5"/>
      <c r="AA15" s="5"/>
      <c r="AB15" s="5"/>
      <c r="AC15" s="12"/>
      <c r="AD15" s="12"/>
      <c r="AE15" s="5"/>
      <c r="AF15" s="5"/>
      <c r="AG15" s="6"/>
      <c r="AH15" s="7">
        <f t="shared" si="5"/>
        <v>0</v>
      </c>
      <c r="AI15" s="46">
        <f t="shared" si="6"/>
        <v>0</v>
      </c>
    </row>
    <row r="16" spans="1:42" s="3" customFormat="1" outlineLevel="1">
      <c r="A16" s="54"/>
      <c r="B16" s="2" t="s">
        <v>10</v>
      </c>
      <c r="C16" s="11"/>
      <c r="D16" s="5"/>
      <c r="E16" s="5"/>
      <c r="F16" s="5"/>
      <c r="G16" s="5">
        <f>G29*27.8%</f>
        <v>9730</v>
      </c>
      <c r="H16" s="12"/>
      <c r="I16" s="12"/>
      <c r="J16" s="5"/>
      <c r="K16" s="5"/>
      <c r="L16" s="5"/>
      <c r="M16" s="5">
        <f>35000*8.5%</f>
        <v>2975</v>
      </c>
      <c r="N16" s="5"/>
      <c r="O16" s="12"/>
      <c r="P16" s="12"/>
      <c r="Q16" s="5"/>
      <c r="R16" s="5"/>
      <c r="S16" s="5"/>
      <c r="T16" s="5"/>
      <c r="U16" s="5"/>
      <c r="V16" s="12"/>
      <c r="W16" s="12"/>
      <c r="X16" s="5"/>
      <c r="Y16" s="5"/>
      <c r="Z16" s="5"/>
      <c r="AA16" s="5"/>
      <c r="AB16" s="5"/>
      <c r="AC16" s="12"/>
      <c r="AD16" s="12"/>
      <c r="AE16" s="5"/>
      <c r="AF16" s="5"/>
      <c r="AG16" s="6"/>
      <c r="AH16" s="7">
        <f t="shared" si="5"/>
        <v>12705</v>
      </c>
      <c r="AI16" s="46">
        <f t="shared" si="6"/>
        <v>4.5104876674523155E-2</v>
      </c>
    </row>
    <row r="17" spans="1:35" s="3" customFormat="1" outlineLevel="1">
      <c r="A17" s="56"/>
      <c r="B17" s="2" t="s">
        <v>21</v>
      </c>
      <c r="C17" s="11"/>
      <c r="D17" s="5">
        <v>1800</v>
      </c>
      <c r="E17" s="5"/>
      <c r="F17" s="5"/>
      <c r="G17" s="5"/>
      <c r="H17" s="12"/>
      <c r="I17" s="12"/>
      <c r="J17" s="5"/>
      <c r="K17" s="5"/>
      <c r="L17" s="5"/>
      <c r="M17" s="5"/>
      <c r="N17" s="5"/>
      <c r="O17" s="12"/>
      <c r="P17" s="12"/>
      <c r="Q17" s="5"/>
      <c r="R17" s="5"/>
      <c r="S17" s="5"/>
      <c r="T17" s="5"/>
      <c r="U17" s="5"/>
      <c r="V17" s="12"/>
      <c r="W17" s="12"/>
      <c r="X17" s="5"/>
      <c r="Y17" s="5"/>
      <c r="Z17" s="5"/>
      <c r="AA17" s="5"/>
      <c r="AB17" s="5"/>
      <c r="AC17" s="12"/>
      <c r="AD17" s="12"/>
      <c r="AE17" s="5"/>
      <c r="AF17" s="5"/>
      <c r="AG17" s="6"/>
      <c r="AH17" s="7">
        <f t="shared" si="5"/>
        <v>1800</v>
      </c>
      <c r="AI17" s="46">
        <f t="shared" si="6"/>
        <v>6.3903012998143783E-3</v>
      </c>
    </row>
    <row r="18" spans="1:35" s="3" customFormat="1" outlineLevel="1">
      <c r="A18" s="56"/>
      <c r="B18" s="2" t="s">
        <v>22</v>
      </c>
      <c r="C18" s="11"/>
      <c r="D18" s="5"/>
      <c r="E18" s="5"/>
      <c r="F18" s="5"/>
      <c r="G18" s="5"/>
      <c r="H18" s="12"/>
      <c r="I18" s="12"/>
      <c r="J18" s="5"/>
      <c r="K18" s="5"/>
      <c r="L18" s="5"/>
      <c r="M18" s="5">
        <v>2974</v>
      </c>
      <c r="N18" s="5"/>
      <c r="O18" s="12"/>
      <c r="P18" s="12"/>
      <c r="Q18" s="5"/>
      <c r="R18" s="5"/>
      <c r="S18" s="5"/>
      <c r="T18" s="5"/>
      <c r="U18" s="5"/>
      <c r="V18" s="12"/>
      <c r="W18" s="12"/>
      <c r="X18" s="5"/>
      <c r="Y18" s="5"/>
      <c r="Z18" s="5"/>
      <c r="AA18" s="5"/>
      <c r="AB18" s="5"/>
      <c r="AC18" s="12"/>
      <c r="AD18" s="12"/>
      <c r="AE18" s="5"/>
      <c r="AF18" s="5"/>
      <c r="AG18" s="6"/>
      <c r="AH18" s="7">
        <f t="shared" si="5"/>
        <v>2974</v>
      </c>
      <c r="AI18" s="46">
        <f t="shared" si="6"/>
        <v>1.0558197814248866E-2</v>
      </c>
    </row>
    <row r="19" spans="1:35" s="3" customFormat="1" outlineLevel="1">
      <c r="A19" s="56"/>
      <c r="B19" s="2" t="s">
        <v>8</v>
      </c>
      <c r="C19" s="11"/>
      <c r="D19" s="5"/>
      <c r="E19" s="5"/>
      <c r="F19" s="5"/>
      <c r="G19" s="5"/>
      <c r="H19" s="12"/>
      <c r="I19" s="12"/>
      <c r="J19" s="5"/>
      <c r="K19" s="5"/>
      <c r="L19" s="5"/>
      <c r="M19" s="5"/>
      <c r="N19" s="5"/>
      <c r="O19" s="12"/>
      <c r="P19" s="12"/>
      <c r="Q19" s="5">
        <v>690</v>
      </c>
      <c r="R19" s="5"/>
      <c r="S19" s="5"/>
      <c r="T19" s="5"/>
      <c r="U19" s="5"/>
      <c r="V19" s="12"/>
      <c r="W19" s="12"/>
      <c r="X19" s="5"/>
      <c r="Y19" s="5"/>
      <c r="Z19" s="5"/>
      <c r="AA19" s="5"/>
      <c r="AB19" s="5"/>
      <c r="AC19" s="12"/>
      <c r="AD19" s="12"/>
      <c r="AE19" s="5"/>
      <c r="AF19" s="5"/>
      <c r="AG19" s="6"/>
      <c r="AH19" s="7">
        <f t="shared" si="5"/>
        <v>690</v>
      </c>
      <c r="AI19" s="46">
        <f t="shared" si="6"/>
        <v>2.4496154982621785E-3</v>
      </c>
    </row>
    <row r="20" spans="1:35" s="3" customFormat="1" outlineLevel="1">
      <c r="A20" s="56"/>
      <c r="B20" s="2" t="s">
        <v>31</v>
      </c>
      <c r="C20" s="11"/>
      <c r="D20" s="5"/>
      <c r="E20" s="5"/>
      <c r="F20" s="5"/>
      <c r="G20" s="5"/>
      <c r="H20" s="12"/>
      <c r="I20" s="12"/>
      <c r="J20" s="5"/>
      <c r="K20" s="5"/>
      <c r="L20" s="5"/>
      <c r="M20" s="5"/>
      <c r="N20" s="5"/>
      <c r="O20" s="12"/>
      <c r="P20" s="12"/>
      <c r="Q20" s="5">
        <v>91000</v>
      </c>
      <c r="R20" s="5"/>
      <c r="S20" s="5"/>
      <c r="T20" s="5"/>
      <c r="U20" s="5"/>
      <c r="V20" s="12"/>
      <c r="W20" s="12"/>
      <c r="X20" s="5"/>
      <c r="Y20" s="5"/>
      <c r="Z20" s="5"/>
      <c r="AA20" s="5"/>
      <c r="AB20" s="5"/>
      <c r="AC20" s="12"/>
      <c r="AD20" s="12"/>
      <c r="AE20" s="5"/>
      <c r="AF20" s="5"/>
      <c r="AG20" s="6"/>
      <c r="AH20" s="7">
        <f t="shared" si="5"/>
        <v>91000</v>
      </c>
      <c r="AI20" s="46">
        <f t="shared" si="6"/>
        <v>0.32306523237950469</v>
      </c>
    </row>
    <row r="21" spans="1:35" s="3" customFormat="1" outlineLevel="1">
      <c r="A21" s="56"/>
      <c r="B21" s="2" t="s">
        <v>23</v>
      </c>
      <c r="C21" s="11"/>
      <c r="D21" s="5"/>
      <c r="E21" s="5"/>
      <c r="F21" s="5"/>
      <c r="G21" s="5">
        <v>7245</v>
      </c>
      <c r="H21" s="12"/>
      <c r="I21" s="12"/>
      <c r="J21" s="5"/>
      <c r="K21" s="5"/>
      <c r="L21" s="5"/>
      <c r="M21" s="5"/>
      <c r="N21" s="5"/>
      <c r="O21" s="12"/>
      <c r="P21" s="12"/>
      <c r="Q21" s="5"/>
      <c r="R21" s="5"/>
      <c r="S21" s="5"/>
      <c r="T21" s="5"/>
      <c r="U21" s="5"/>
      <c r="V21" s="12"/>
      <c r="W21" s="12"/>
      <c r="X21" s="5"/>
      <c r="Y21" s="5"/>
      <c r="Z21" s="5"/>
      <c r="AA21" s="5"/>
      <c r="AB21" s="5"/>
      <c r="AC21" s="12"/>
      <c r="AD21" s="12"/>
      <c r="AE21" s="5"/>
      <c r="AF21" s="5"/>
      <c r="AG21" s="6"/>
      <c r="AH21" s="7">
        <f t="shared" si="5"/>
        <v>7245</v>
      </c>
      <c r="AI21" s="46">
        <f t="shared" si="6"/>
        <v>2.5720962731752874E-2</v>
      </c>
    </row>
    <row r="22" spans="1:35" s="3" customFormat="1" outlineLevel="1">
      <c r="A22" s="56"/>
      <c r="B22" s="2" t="s">
        <v>3</v>
      </c>
      <c r="C22" s="12"/>
      <c r="D22" s="5"/>
      <c r="E22" s="5"/>
      <c r="F22" s="5"/>
      <c r="G22" s="5"/>
      <c r="H22" s="12"/>
      <c r="I22" s="12"/>
      <c r="J22" s="5">
        <v>295</v>
      </c>
      <c r="K22" s="5"/>
      <c r="L22" s="5"/>
      <c r="M22" s="5"/>
      <c r="N22" s="5"/>
      <c r="O22" s="12"/>
      <c r="P22" s="12"/>
      <c r="Q22" s="5"/>
      <c r="R22" s="5"/>
      <c r="S22" s="5"/>
      <c r="T22" s="5"/>
      <c r="U22" s="5"/>
      <c r="V22" s="12"/>
      <c r="W22" s="12"/>
      <c r="X22" s="5"/>
      <c r="Y22" s="5"/>
      <c r="Z22" s="5"/>
      <c r="AA22" s="5"/>
      <c r="AB22" s="5"/>
      <c r="AC22" s="12"/>
      <c r="AD22" s="12"/>
      <c r="AE22" s="5"/>
      <c r="AF22" s="5"/>
      <c r="AG22" s="6"/>
      <c r="AH22" s="7">
        <f t="shared" si="5"/>
        <v>295</v>
      </c>
      <c r="AI22" s="46">
        <f t="shared" si="6"/>
        <v>1.0472993796918008E-3</v>
      </c>
    </row>
    <row r="23" spans="1:35" s="3" customFormat="1" outlineLevel="1">
      <c r="A23" s="56"/>
      <c r="B23" s="2" t="s">
        <v>24</v>
      </c>
      <c r="C23" s="11"/>
      <c r="D23" s="5"/>
      <c r="E23" s="5">
        <v>695</v>
      </c>
      <c r="F23" s="5"/>
      <c r="G23" s="5"/>
      <c r="H23" s="12"/>
      <c r="I23" s="12"/>
      <c r="J23" s="5"/>
      <c r="K23" s="5">
        <v>156</v>
      </c>
      <c r="L23" s="5"/>
      <c r="M23" s="5">
        <v>750</v>
      </c>
      <c r="N23" s="5"/>
      <c r="O23" s="12"/>
      <c r="P23" s="12"/>
      <c r="Q23" s="5"/>
      <c r="R23" s="5">
        <v>832</v>
      </c>
      <c r="S23" s="5">
        <v>695</v>
      </c>
      <c r="T23" s="5"/>
      <c r="U23" s="5"/>
      <c r="V23" s="12"/>
      <c r="W23" s="12"/>
      <c r="X23" s="5">
        <v>465</v>
      </c>
      <c r="Y23" s="5"/>
      <c r="Z23" s="5"/>
      <c r="AA23" s="5">
        <v>1265</v>
      </c>
      <c r="AB23" s="5">
        <v>1300</v>
      </c>
      <c r="AC23" s="12"/>
      <c r="AD23" s="12"/>
      <c r="AE23" s="5">
        <v>1800</v>
      </c>
      <c r="AF23" s="5"/>
      <c r="AG23" s="6">
        <v>1500</v>
      </c>
      <c r="AH23" s="7">
        <f t="shared" si="5"/>
        <v>9458</v>
      </c>
      <c r="AI23" s="46">
        <f t="shared" si="6"/>
        <v>3.3577483163135774E-2</v>
      </c>
    </row>
    <row r="24" spans="1:35" s="3" customFormat="1" outlineLevel="1">
      <c r="A24" s="56"/>
      <c r="B24" s="2" t="s">
        <v>7</v>
      </c>
      <c r="C24" s="11"/>
      <c r="D24" s="5"/>
      <c r="E24" s="5"/>
      <c r="F24" s="5"/>
      <c r="G24" s="5"/>
      <c r="H24" s="12"/>
      <c r="I24" s="12"/>
      <c r="J24" s="5"/>
      <c r="K24" s="5"/>
      <c r="L24" s="5"/>
      <c r="M24" s="5"/>
      <c r="N24" s="5"/>
      <c r="O24" s="12"/>
      <c r="P24" s="12"/>
      <c r="Q24" s="5"/>
      <c r="R24" s="5"/>
      <c r="S24" s="5">
        <v>350</v>
      </c>
      <c r="T24" s="5"/>
      <c r="U24" s="5"/>
      <c r="V24" s="12"/>
      <c r="W24" s="12"/>
      <c r="X24" s="5"/>
      <c r="Y24" s="5"/>
      <c r="Z24" s="5"/>
      <c r="AA24" s="5"/>
      <c r="AB24" s="5"/>
      <c r="AC24" s="12"/>
      <c r="AD24" s="12"/>
      <c r="AE24" s="5"/>
      <c r="AF24" s="5"/>
      <c r="AG24" s="6"/>
      <c r="AH24" s="7">
        <f t="shared" si="5"/>
        <v>350</v>
      </c>
      <c r="AI24" s="46">
        <f t="shared" si="6"/>
        <v>1.2425585860750179E-3</v>
      </c>
    </row>
    <row r="25" spans="1:35" s="3" customFormat="1" outlineLevel="1">
      <c r="A25" s="56"/>
      <c r="B25" s="2" t="s">
        <v>9</v>
      </c>
      <c r="C25" s="11"/>
      <c r="D25" s="5"/>
      <c r="E25" s="5"/>
      <c r="F25" s="5"/>
      <c r="G25" s="5"/>
      <c r="H25" s="12"/>
      <c r="I25" s="12"/>
      <c r="J25" s="5"/>
      <c r="K25" s="5"/>
      <c r="L25" s="5"/>
      <c r="M25" s="5"/>
      <c r="N25" s="5"/>
      <c r="O25" s="12"/>
      <c r="P25" s="12"/>
      <c r="Q25" s="5"/>
      <c r="R25" s="5"/>
      <c r="S25" s="5">
        <v>2360</v>
      </c>
      <c r="T25" s="5"/>
      <c r="U25" s="5"/>
      <c r="V25" s="12"/>
      <c r="W25" s="12"/>
      <c r="X25" s="5"/>
      <c r="Y25" s="5"/>
      <c r="Z25" s="5"/>
      <c r="AA25" s="5"/>
      <c r="AB25" s="5"/>
      <c r="AC25" s="12"/>
      <c r="AD25" s="12"/>
      <c r="AE25" s="5"/>
      <c r="AF25" s="5"/>
      <c r="AG25" s="6"/>
      <c r="AH25" s="7">
        <f t="shared" si="5"/>
        <v>2360</v>
      </c>
      <c r="AI25" s="46">
        <f t="shared" si="6"/>
        <v>8.3783950375344064E-3</v>
      </c>
    </row>
    <row r="26" spans="1:35" s="3" customFormat="1" outlineLevel="1">
      <c r="A26" s="56"/>
      <c r="B26" s="2" t="s">
        <v>15</v>
      </c>
      <c r="C26" s="11"/>
      <c r="D26" s="5">
        <v>1290</v>
      </c>
      <c r="E26" s="5"/>
      <c r="F26" s="5"/>
      <c r="G26" s="5"/>
      <c r="H26" s="12"/>
      <c r="I26" s="12"/>
      <c r="J26" s="5"/>
      <c r="K26" s="5">
        <v>1260</v>
      </c>
      <c r="L26" s="5"/>
      <c r="M26" s="5">
        <v>3600</v>
      </c>
      <c r="N26" s="5">
        <v>4500</v>
      </c>
      <c r="O26" s="12"/>
      <c r="P26" s="12"/>
      <c r="Q26" s="5">
        <v>22000</v>
      </c>
      <c r="R26" s="5">
        <v>1500</v>
      </c>
      <c r="S26" s="5">
        <v>1600</v>
      </c>
      <c r="T26" s="5"/>
      <c r="U26" s="5"/>
      <c r="V26" s="12"/>
      <c r="W26" s="12"/>
      <c r="X26" s="5">
        <v>13800</v>
      </c>
      <c r="Y26" s="5">
        <v>1500</v>
      </c>
      <c r="Z26" s="5"/>
      <c r="AA26" s="5"/>
      <c r="AB26" s="5">
        <v>3200</v>
      </c>
      <c r="AC26" s="12"/>
      <c r="AD26" s="12"/>
      <c r="AE26" s="5">
        <v>1800</v>
      </c>
      <c r="AF26" s="5"/>
      <c r="AG26" s="6">
        <v>1400</v>
      </c>
      <c r="AH26" s="7">
        <f t="shared" si="5"/>
        <v>57450</v>
      </c>
      <c r="AI26" s="46">
        <f t="shared" si="6"/>
        <v>0.20395711648574225</v>
      </c>
    </row>
    <row r="27" spans="1:35" s="3" customFormat="1" outlineLevel="1">
      <c r="A27" s="56"/>
      <c r="B27" s="2" t="s">
        <v>6</v>
      </c>
      <c r="C27" s="11"/>
      <c r="D27" s="5"/>
      <c r="E27" s="5"/>
      <c r="F27" s="5"/>
      <c r="G27" s="5"/>
      <c r="H27" s="12"/>
      <c r="I27" s="12"/>
      <c r="J27" s="5"/>
      <c r="K27" s="5"/>
      <c r="L27" s="5"/>
      <c r="M27" s="5"/>
      <c r="N27" s="5">
        <v>32000</v>
      </c>
      <c r="O27" s="12"/>
      <c r="P27" s="12"/>
      <c r="Q27" s="5"/>
      <c r="R27" s="5"/>
      <c r="S27" s="5"/>
      <c r="T27" s="5"/>
      <c r="U27" s="5"/>
      <c r="V27" s="12"/>
      <c r="W27" s="12"/>
      <c r="X27" s="5"/>
      <c r="Y27" s="5"/>
      <c r="Z27" s="5"/>
      <c r="AA27" s="5"/>
      <c r="AB27" s="5"/>
      <c r="AC27" s="12"/>
      <c r="AD27" s="12"/>
      <c r="AE27" s="5"/>
      <c r="AF27" s="5"/>
      <c r="AG27" s="6"/>
      <c r="AH27" s="7">
        <f t="shared" si="5"/>
        <v>32000</v>
      </c>
      <c r="AI27" s="46">
        <f t="shared" si="6"/>
        <v>0.1136053564411445</v>
      </c>
    </row>
    <row r="28" spans="1:35" s="3" customFormat="1" outlineLevel="1">
      <c r="A28" s="56"/>
      <c r="B28" s="2" t="s">
        <v>11</v>
      </c>
      <c r="C28" s="12"/>
      <c r="D28" s="5"/>
      <c r="E28" s="5">
        <v>1975</v>
      </c>
      <c r="F28" s="5"/>
      <c r="G28" s="5"/>
      <c r="H28" s="12"/>
      <c r="I28" s="12"/>
      <c r="J28" s="5"/>
      <c r="K28" s="5"/>
      <c r="L28" s="5"/>
      <c r="M28" s="5"/>
      <c r="N28" s="5"/>
      <c r="O28" s="12"/>
      <c r="P28" s="12"/>
      <c r="Q28" s="5"/>
      <c r="R28" s="5">
        <v>654</v>
      </c>
      <c r="S28" s="5"/>
      <c r="T28" s="5"/>
      <c r="U28" s="5"/>
      <c r="V28" s="12"/>
      <c r="W28" s="12"/>
      <c r="X28" s="5"/>
      <c r="Y28" s="5"/>
      <c r="Z28" s="5"/>
      <c r="AA28" s="5"/>
      <c r="AB28" s="5"/>
      <c r="AC28" s="12"/>
      <c r="AD28" s="12"/>
      <c r="AE28" s="5"/>
      <c r="AF28" s="5"/>
      <c r="AG28" s="6"/>
      <c r="AH28" s="7">
        <f t="shared" si="5"/>
        <v>2629</v>
      </c>
      <c r="AI28" s="46">
        <f t="shared" si="6"/>
        <v>9.3333900651177779E-3</v>
      </c>
    </row>
    <row r="29" spans="1:35" s="3" customFormat="1" outlineLevel="1">
      <c r="A29" s="56"/>
      <c r="B29" s="2" t="s">
        <v>2</v>
      </c>
      <c r="C29" s="11"/>
      <c r="D29" s="5"/>
      <c r="E29" s="5"/>
      <c r="F29" s="5"/>
      <c r="G29" s="5">
        <v>35000</v>
      </c>
      <c r="H29" s="12"/>
      <c r="I29" s="12"/>
      <c r="J29" s="5"/>
      <c r="K29" s="5"/>
      <c r="L29" s="5"/>
      <c r="M29" s="5"/>
      <c r="N29" s="5"/>
      <c r="O29" s="12"/>
      <c r="P29" s="12"/>
      <c r="Q29" s="5"/>
      <c r="R29" s="5"/>
      <c r="S29" s="5"/>
      <c r="T29" s="5"/>
      <c r="U29" s="5"/>
      <c r="V29" s="12"/>
      <c r="W29" s="12"/>
      <c r="X29" s="5"/>
      <c r="Y29" s="5"/>
      <c r="Z29" s="5"/>
      <c r="AA29" s="5"/>
      <c r="AB29" s="5"/>
      <c r="AC29" s="12"/>
      <c r="AD29" s="12"/>
      <c r="AE29" s="5"/>
      <c r="AF29" s="5"/>
      <c r="AG29" s="6"/>
      <c r="AH29" s="7">
        <f t="shared" si="5"/>
        <v>35000</v>
      </c>
      <c r="AI29" s="46">
        <f t="shared" si="6"/>
        <v>0.1242558586075018</v>
      </c>
    </row>
    <row r="30" spans="1:35" s="3" customFormat="1" outlineLevel="1">
      <c r="A30" s="56"/>
      <c r="B30" s="2" t="s">
        <v>4</v>
      </c>
      <c r="C30" s="11"/>
      <c r="D30" s="5"/>
      <c r="E30" s="5"/>
      <c r="F30" s="5"/>
      <c r="G30" s="5"/>
      <c r="H30" s="12"/>
      <c r="I30" s="12"/>
      <c r="J30" s="5"/>
      <c r="K30" s="5"/>
      <c r="L30" s="5">
        <v>1600</v>
      </c>
      <c r="M30" s="5"/>
      <c r="N30" s="5"/>
      <c r="O30" s="12"/>
      <c r="P30" s="12"/>
      <c r="Q30" s="5"/>
      <c r="R30" s="5"/>
      <c r="S30" s="5"/>
      <c r="T30" s="5"/>
      <c r="U30" s="5"/>
      <c r="V30" s="12"/>
      <c r="W30" s="12"/>
      <c r="X30" s="5"/>
      <c r="Y30" s="5"/>
      <c r="Z30" s="5"/>
      <c r="AA30" s="5"/>
      <c r="AB30" s="5"/>
      <c r="AC30" s="12"/>
      <c r="AD30" s="12"/>
      <c r="AE30" s="5"/>
      <c r="AF30" s="5"/>
      <c r="AG30" s="6"/>
      <c r="AH30" s="7">
        <f t="shared" si="5"/>
        <v>1600</v>
      </c>
      <c r="AI30" s="46">
        <f t="shared" si="6"/>
        <v>5.6802678220572254E-3</v>
      </c>
    </row>
    <row r="31" spans="1:35" s="3" customFormat="1" ht="11.25" customHeight="1" outlineLevel="1">
      <c r="A31" s="56"/>
      <c r="B31" s="2" t="s">
        <v>25</v>
      </c>
      <c r="C31" s="11"/>
      <c r="D31" s="5"/>
      <c r="E31" s="5">
        <v>36</v>
      </c>
      <c r="F31" s="5"/>
      <c r="G31" s="5"/>
      <c r="H31" s="12"/>
      <c r="I31" s="12"/>
      <c r="J31" s="5">
        <v>19</v>
      </c>
      <c r="K31" s="5">
        <v>45</v>
      </c>
      <c r="L31" s="5"/>
      <c r="M31" s="5"/>
      <c r="N31" s="5">
        <v>32</v>
      </c>
      <c r="O31" s="12"/>
      <c r="P31" s="12"/>
      <c r="Q31" s="5">
        <v>19</v>
      </c>
      <c r="R31" s="5">
        <v>45</v>
      </c>
      <c r="S31" s="5">
        <v>22</v>
      </c>
      <c r="T31" s="5"/>
      <c r="U31" s="5"/>
      <c r="V31" s="12"/>
      <c r="W31" s="12"/>
      <c r="X31" s="5">
        <v>26</v>
      </c>
      <c r="Y31" s="5"/>
      <c r="Z31" s="5">
        <v>43</v>
      </c>
      <c r="AA31" s="5">
        <v>19</v>
      </c>
      <c r="AB31" s="5">
        <v>42</v>
      </c>
      <c r="AC31" s="12"/>
      <c r="AD31" s="12"/>
      <c r="AE31" s="5">
        <v>79</v>
      </c>
      <c r="AF31" s="5">
        <v>25</v>
      </c>
      <c r="AG31" s="6">
        <v>13</v>
      </c>
      <c r="AH31" s="7">
        <f t="shared" si="5"/>
        <v>465</v>
      </c>
      <c r="AI31" s="46">
        <f t="shared" si="6"/>
        <v>1.6508278357853811E-3</v>
      </c>
    </row>
    <row r="32" spans="1:35" s="3" customFormat="1" outlineLevel="1">
      <c r="A32" s="56"/>
      <c r="B32" s="2"/>
      <c r="C32" s="11"/>
      <c r="D32" s="5"/>
      <c r="E32" s="5"/>
      <c r="F32" s="5"/>
      <c r="G32" s="5"/>
      <c r="H32" s="12"/>
      <c r="I32" s="12"/>
      <c r="J32" s="5"/>
      <c r="K32" s="5"/>
      <c r="L32" s="5"/>
      <c r="M32" s="5"/>
      <c r="N32" s="5"/>
      <c r="O32" s="12"/>
      <c r="P32" s="12"/>
      <c r="Q32" s="5"/>
      <c r="R32" s="5"/>
      <c r="S32" s="5"/>
      <c r="T32" s="5"/>
      <c r="U32" s="5"/>
      <c r="V32" s="12"/>
      <c r="W32" s="12"/>
      <c r="X32" s="5"/>
      <c r="Y32" s="5"/>
      <c r="Z32" s="5"/>
      <c r="AA32" s="5"/>
      <c r="AB32" s="5"/>
      <c r="AC32" s="12"/>
      <c r="AD32" s="12"/>
      <c r="AE32" s="5"/>
      <c r="AF32" s="5"/>
      <c r="AG32" s="6"/>
      <c r="AH32" s="7"/>
      <c r="AI32" s="46">
        <f t="shared" si="6"/>
        <v>0</v>
      </c>
    </row>
    <row r="33" spans="1:35" ht="14.25" thickBot="1">
      <c r="A33" s="27"/>
      <c r="B33" s="28" t="s">
        <v>28</v>
      </c>
      <c r="C33" s="29">
        <f t="shared" ref="C33:AH33" si="8">SUM(C12:C32)</f>
        <v>0</v>
      </c>
      <c r="D33" s="29">
        <f t="shared" si="8"/>
        <v>3090</v>
      </c>
      <c r="E33" s="29">
        <f t="shared" si="8"/>
        <v>25707.316666666666</v>
      </c>
      <c r="F33" s="29">
        <f t="shared" si="8"/>
        <v>28.345527777777779</v>
      </c>
      <c r="G33" s="29">
        <f t="shared" si="8"/>
        <v>51975</v>
      </c>
      <c r="H33" s="29">
        <f t="shared" si="8"/>
        <v>74.114956954606484</v>
      </c>
      <c r="I33" s="29">
        <f t="shared" si="8"/>
        <v>0.12352492825767748</v>
      </c>
      <c r="J33" s="29">
        <f t="shared" si="8"/>
        <v>314.00020587488041</v>
      </c>
      <c r="K33" s="29">
        <f t="shared" si="8"/>
        <v>1821</v>
      </c>
      <c r="L33" s="29">
        <f t="shared" si="8"/>
        <v>1600</v>
      </c>
      <c r="M33" s="29">
        <f t="shared" si="8"/>
        <v>10299</v>
      </c>
      <c r="N33" s="29">
        <f t="shared" si="8"/>
        <v>36532</v>
      </c>
      <c r="O33" s="29">
        <f t="shared" si="8"/>
        <v>34.3859945384825</v>
      </c>
      <c r="P33" s="29">
        <f t="shared" si="8"/>
        <v>5.7309990897470839E-2</v>
      </c>
      <c r="Q33" s="29">
        <f t="shared" si="8"/>
        <v>113709.00009551665</v>
      </c>
      <c r="R33" s="29">
        <f t="shared" si="8"/>
        <v>3188.5150001591946</v>
      </c>
      <c r="S33" s="29">
        <f t="shared" si="8"/>
        <v>5027</v>
      </c>
      <c r="T33" s="29">
        <f t="shared" si="8"/>
        <v>0</v>
      </c>
      <c r="U33" s="29">
        <f t="shared" si="8"/>
        <v>0</v>
      </c>
      <c r="V33" s="29">
        <f t="shared" si="8"/>
        <v>0</v>
      </c>
      <c r="W33" s="29">
        <f t="shared" si="8"/>
        <v>0</v>
      </c>
      <c r="X33" s="29">
        <f t="shared" si="8"/>
        <v>14291</v>
      </c>
      <c r="Y33" s="29">
        <f t="shared" si="8"/>
        <v>1500</v>
      </c>
      <c r="Z33" s="29">
        <f t="shared" si="8"/>
        <v>43</v>
      </c>
      <c r="AA33" s="29">
        <f t="shared" si="8"/>
        <v>1284</v>
      </c>
      <c r="AB33" s="29">
        <f t="shared" si="8"/>
        <v>4542</v>
      </c>
      <c r="AC33" s="29">
        <f t="shared" si="8"/>
        <v>0</v>
      </c>
      <c r="AD33" s="29">
        <f t="shared" si="8"/>
        <v>0</v>
      </c>
      <c r="AE33" s="29">
        <f t="shared" si="8"/>
        <v>3679</v>
      </c>
      <c r="AF33" s="29">
        <f t="shared" si="8"/>
        <v>25</v>
      </c>
      <c r="AG33" s="29">
        <f t="shared" si="8"/>
        <v>2913</v>
      </c>
      <c r="AH33" s="30">
        <f t="shared" si="8"/>
        <v>281676.85928240744</v>
      </c>
      <c r="AI33" s="50">
        <f t="shared" si="6"/>
        <v>1</v>
      </c>
    </row>
    <row r="34" spans="1:35" ht="14.25" thickBot="1">
      <c r="A34" s="35"/>
      <c r="B34" s="36" t="s">
        <v>29</v>
      </c>
      <c r="C34" s="37">
        <f>+C11-C33</f>
        <v>0</v>
      </c>
      <c r="D34" s="37">
        <f t="shared" ref="D34:AH34" si="9">+D11-D33</f>
        <v>-790</v>
      </c>
      <c r="E34" s="37">
        <f t="shared" si="9"/>
        <v>-17007.316666666666</v>
      </c>
      <c r="F34" s="37">
        <f t="shared" si="9"/>
        <v>12051.654472222222</v>
      </c>
      <c r="G34" s="37">
        <f t="shared" si="9"/>
        <v>-44468.97417276389</v>
      </c>
      <c r="H34" s="37">
        <f t="shared" si="9"/>
        <v>-74.114956954606484</v>
      </c>
      <c r="I34" s="37">
        <f t="shared" si="9"/>
        <v>-0.12352492825767748</v>
      </c>
      <c r="J34" s="37">
        <f t="shared" si="9"/>
        <v>10085.99979412512</v>
      </c>
      <c r="K34" s="37">
        <f t="shared" si="9"/>
        <v>15284.042999897061</v>
      </c>
      <c r="L34" s="37">
        <f t="shared" si="9"/>
        <v>11107.642021499949</v>
      </c>
      <c r="M34" s="37">
        <f t="shared" si="9"/>
        <v>806.55382101074974</v>
      </c>
      <c r="N34" s="37">
        <f t="shared" si="9"/>
        <v>-20631.596723089497</v>
      </c>
      <c r="O34" s="37">
        <f t="shared" si="9"/>
        <v>-34.3859945384825</v>
      </c>
      <c r="P34" s="37">
        <f t="shared" si="9"/>
        <v>-5.7309990897470839E-2</v>
      </c>
      <c r="Q34" s="37">
        <f t="shared" si="9"/>
        <v>-94509.000095516647</v>
      </c>
      <c r="R34" s="37">
        <f t="shared" si="9"/>
        <v>32811.484999840803</v>
      </c>
      <c r="S34" s="37">
        <f t="shared" si="9"/>
        <v>24589.405742499919</v>
      </c>
      <c r="T34" s="37">
        <f t="shared" si="9"/>
        <v>52012.294702871252</v>
      </c>
      <c r="U34" s="37">
        <f t="shared" si="9"/>
        <v>25526.006147351436</v>
      </c>
      <c r="V34" s="37">
        <f t="shared" si="9"/>
        <v>12.763003073675719</v>
      </c>
      <c r="W34" s="37">
        <f t="shared" si="9"/>
        <v>6.3815015368378601E-3</v>
      </c>
      <c r="X34" s="37">
        <f t="shared" si="9"/>
        <v>6209.0000031907512</v>
      </c>
      <c r="Y34" s="37">
        <f t="shared" si="9"/>
        <v>14503.104500001595</v>
      </c>
      <c r="Z34" s="37">
        <f t="shared" si="9"/>
        <v>11064.251552250002</v>
      </c>
      <c r="AA34" s="37">
        <f t="shared" si="9"/>
        <v>19821.532125776124</v>
      </c>
      <c r="AB34" s="37">
        <f t="shared" si="9"/>
        <v>30467.910766062887</v>
      </c>
      <c r="AC34" s="37">
        <f t="shared" si="9"/>
        <v>15.233955383031443</v>
      </c>
      <c r="AD34" s="37">
        <f t="shared" si="9"/>
        <v>7.6169776915157219E-3</v>
      </c>
      <c r="AE34" s="37">
        <f t="shared" si="9"/>
        <v>4421.0000038084891</v>
      </c>
      <c r="AF34" s="37">
        <f t="shared" si="9"/>
        <v>36977.210500001907</v>
      </c>
      <c r="AG34" s="37">
        <f t="shared" si="9"/>
        <v>37905.488605250001</v>
      </c>
      <c r="AH34" s="38">
        <f t="shared" si="9"/>
        <v>168157.0242701472</v>
      </c>
      <c r="AI34" s="38"/>
    </row>
    <row r="35" spans="1:35" ht="14.25" thickTop="1">
      <c r="C35" s="39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</sheetData>
  <mergeCells count="2">
    <mergeCell ref="A6:A10"/>
    <mergeCell ref="A12:A32"/>
  </mergeCells>
  <phoneticPr fontId="2" type="noConversion"/>
  <pageMargins left="0.75" right="0.75" top="1" bottom="1" header="0.49212598499999999" footer="0.49212598499999999"/>
  <headerFooter alignWithMargins="0"/>
  <drawing r:id="rId1"/>
  <legacyDrawing r:id="rId2"/>
  <oleObjects>
    <mc:AlternateContent xmlns:mc="http://schemas.openxmlformats.org/markup-compatibility/2006">
      <mc:Choice Requires="x14">
        <oleObject progId="Word.Document.8" shapeId="25602" r:id="rId3">
          <objectPr defaultSize="0" autoPict="0" r:id="rId4">
            <anchor moveWithCells="1">
              <from>
                <xdr:col>0</xdr:col>
                <xdr:colOff>47625</xdr:colOff>
                <xdr:row>36</xdr:row>
                <xdr:rowOff>95250</xdr:rowOff>
              </from>
              <to>
                <xdr:col>8</xdr:col>
                <xdr:colOff>571500</xdr:colOff>
                <xdr:row>92</xdr:row>
                <xdr:rowOff>114300</xdr:rowOff>
              </to>
            </anchor>
          </objectPr>
        </oleObject>
      </mc:Choice>
      <mc:Fallback>
        <oleObject progId="Word.Document.8" shapeId="25602" r:id="rId3"/>
      </mc:Fallback>
    </mc:AlternateContent>
    <mc:AlternateContent xmlns:mc="http://schemas.openxmlformats.org/markup-compatibility/2006">
      <mc:Choice Requires="x14">
        <oleObject progId="Word.Document.8" shapeId="25603" r:id="rId5">
          <objectPr defaultSize="0" r:id="rId6">
            <anchor moveWithCells="1">
              <from>
                <xdr:col>0</xdr:col>
                <xdr:colOff>38100</xdr:colOff>
                <xdr:row>93</xdr:row>
                <xdr:rowOff>28575</xdr:rowOff>
              </from>
              <to>
                <xdr:col>8</xdr:col>
                <xdr:colOff>609600</xdr:colOff>
                <xdr:row>144</xdr:row>
                <xdr:rowOff>9525</xdr:rowOff>
              </to>
            </anchor>
          </objectPr>
        </oleObject>
      </mc:Choice>
      <mc:Fallback>
        <oleObject progId="Word.Document.8" shapeId="25603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Problema</vt:lpstr>
      <vt:lpstr>Solução</vt:lpstr>
    </vt:vector>
  </TitlesOfParts>
  <Manager/>
  <Company>Cavalcante Consultores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Confrontando e Analisando as Receitas e Despesas</dc:title>
  <dc:subject>Demonstrativos Financeiros</dc:subject>
  <dc:creator>Afonso Tobias</dc:creator>
  <cp:keywords/>
  <cp:lastModifiedBy>X</cp:lastModifiedBy>
  <cp:lastPrinted>1999-08-23T17:08:51Z</cp:lastPrinted>
  <dcterms:created xsi:type="dcterms:W3CDTF">1999-08-20T19:10:37Z</dcterms:created>
  <dcterms:modified xsi:type="dcterms:W3CDTF">2018-04-18T17:45:32Z</dcterms:modified>
  <cp:category>FINANCEIRA</cp:category>
</cp:coreProperties>
</file>