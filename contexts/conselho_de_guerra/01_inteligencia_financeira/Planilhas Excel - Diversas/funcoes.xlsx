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ndo\SkyDrive\Treinamento\TechnoEdition\Excel 2016 Módulo I\Kit Apostila\Capítulo 6\"/>
    </mc:Choice>
  </mc:AlternateContent>
  <bookViews>
    <workbookView xWindow="0" yWindow="0" windowWidth="20490" windowHeight="8205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8" r:id="rId7"/>
    <sheet name="Planilha8" sheetId="9" r:id="rId8"/>
    <sheet name="Planilha9" sheetId="10" r:id="rId9"/>
  </sheets>
  <externalReferences>
    <externalReference r:id="rId10"/>
  </externalReferences>
  <definedNames>
    <definedName name="TabDescontos">[1]Planilha21!$G$7:$H$11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" i="10" l="1"/>
  <c r="N14" i="10" s="1"/>
  <c r="M7" i="10"/>
  <c r="M14" i="10" s="1"/>
  <c r="L7" i="10"/>
  <c r="L14" i="10" s="1"/>
  <c r="K7" i="10"/>
  <c r="K14" i="10" s="1"/>
  <c r="J7" i="10"/>
  <c r="J14" i="10" s="1"/>
  <c r="I7" i="10"/>
  <c r="I14" i="10" s="1"/>
  <c r="H7" i="10"/>
  <c r="H14" i="10" s="1"/>
  <c r="G7" i="10"/>
  <c r="G14" i="10" s="1"/>
  <c r="F7" i="10"/>
  <c r="F14" i="10" s="1"/>
  <c r="E7" i="10"/>
  <c r="E14" i="10" s="1"/>
  <c r="D7" i="10"/>
  <c r="D14" i="10" s="1"/>
  <c r="C7" i="10"/>
  <c r="C14" i="10" s="1"/>
</calcChain>
</file>

<file path=xl/sharedStrings.xml><?xml version="1.0" encoding="utf-8"?>
<sst xmlns="http://schemas.openxmlformats.org/spreadsheetml/2006/main" count="170" uniqueCount="133">
  <si>
    <t>VENDAS CONSOLIDADAS POR ESTADO</t>
  </si>
  <si>
    <t>DATA</t>
  </si>
  <si>
    <t>ESTADO</t>
  </si>
  <si>
    <t>VENDAS</t>
  </si>
  <si>
    <t>Estado:</t>
  </si>
  <si>
    <t>BA</t>
  </si>
  <si>
    <t>SP</t>
  </si>
  <si>
    <t>Nº de vendas:</t>
  </si>
  <si>
    <t>SC</t>
  </si>
  <si>
    <t>Soma das vendas:</t>
  </si>
  <si>
    <t>MG</t>
  </si>
  <si>
    <t>Média das vendas:</t>
  </si>
  <si>
    <t>CE</t>
  </si>
  <si>
    <t>RELATÓRIO DIÁRIO DE VENDAS</t>
  </si>
  <si>
    <t>FATURA</t>
  </si>
  <si>
    <t>VENDA</t>
  </si>
  <si>
    <t>FRETE</t>
  </si>
  <si>
    <t>KLINGON - ESCOLA DE IDIOMAS</t>
  </si>
  <si>
    <t>Alunos e notas</t>
  </si>
  <si>
    <t>1º Bimestre</t>
  </si>
  <si>
    <t>2º Bimestre</t>
  </si>
  <si>
    <t>Média</t>
  </si>
  <si>
    <t>Situação</t>
  </si>
  <si>
    <t>Maria de Souza</t>
  </si>
  <si>
    <t>José da Silva</t>
  </si>
  <si>
    <t>Ricardo Carvalho</t>
  </si>
  <si>
    <t>João Barros</t>
  </si>
  <si>
    <t>Marta Ribeiro</t>
  </si>
  <si>
    <t>Cristina Santos</t>
  </si>
  <si>
    <t>Pedro Nogueira</t>
  </si>
  <si>
    <t>Paula Martins</t>
  </si>
  <si>
    <t>Rodrigo Silva</t>
  </si>
  <si>
    <t>Renata Lima</t>
  </si>
  <si>
    <t>RELATÓRIO CONSOLIDADO POR REGIÃO</t>
  </si>
  <si>
    <t>Unidades Fabricadas</t>
  </si>
  <si>
    <t>Unidades Vendidas</t>
  </si>
  <si>
    <t>% Vendida</t>
  </si>
  <si>
    <t>Norte</t>
  </si>
  <si>
    <t>Nordeste</t>
  </si>
  <si>
    <t>Centro-Oeste</t>
  </si>
  <si>
    <t>Sudeste</t>
  </si>
  <si>
    <t>Sul</t>
  </si>
  <si>
    <t>RS</t>
  </si>
  <si>
    <t>RJ</t>
  </si>
  <si>
    <t>PLACAR DE JOGOS</t>
  </si>
  <si>
    <t>Jogador</t>
  </si>
  <si>
    <t>Partida 1</t>
  </si>
  <si>
    <t>Partida 2</t>
  </si>
  <si>
    <t>Jogará Partida 3?</t>
  </si>
  <si>
    <t>João</t>
  </si>
  <si>
    <t>Ganhou</t>
  </si>
  <si>
    <t>José</t>
  </si>
  <si>
    <t>Perdeu</t>
  </si>
  <si>
    <t>Carlos</t>
  </si>
  <si>
    <t>Bruno</t>
  </si>
  <si>
    <t>Pesquisa de Produtos</t>
  </si>
  <si>
    <t>Código:</t>
  </si>
  <si>
    <t>Código</t>
  </si>
  <si>
    <t>Descrição do Produto</t>
  </si>
  <si>
    <t>Preço Unitário</t>
  </si>
  <si>
    <t>Peças</t>
  </si>
  <si>
    <t>Refrigerador - 340 litros</t>
  </si>
  <si>
    <t>Descrição:</t>
  </si>
  <si>
    <t>Forno de micro-ondas - 22 litros</t>
  </si>
  <si>
    <t>Fogão de 4 bocas</t>
  </si>
  <si>
    <t>Preço unitário:</t>
  </si>
  <si>
    <t>TV LED 32" Full HD</t>
  </si>
  <si>
    <t>Aspirador de pó portátil</t>
  </si>
  <si>
    <t>Peças:</t>
  </si>
  <si>
    <t>Freezer Horizontal - 305 litros</t>
  </si>
  <si>
    <t>Lavadora e Secadora de Roupas - 9 Kg</t>
  </si>
  <si>
    <t>Refrigerador - 380 litros</t>
  </si>
  <si>
    <t>Fogão de Piso 5 bocas</t>
  </si>
  <si>
    <t>Freezer Vertical - 200 litros</t>
  </si>
  <si>
    <t>TV LED 46" Full HD</t>
  </si>
  <si>
    <t>Blu-ray Player</t>
  </si>
  <si>
    <t>Ar Condicionado - 18.000 BTUs</t>
  </si>
  <si>
    <t>Fogão de 6 bocas</t>
  </si>
  <si>
    <t>Home Theater Wireless com Internet</t>
  </si>
  <si>
    <t>Forno de micro-ondas - 18 litros</t>
  </si>
  <si>
    <t>Fogão Cook-top 4 bocas</t>
  </si>
  <si>
    <t>TV LED 46" Full HD 3D</t>
  </si>
  <si>
    <t>Climatizador de Ar</t>
  </si>
  <si>
    <t>RELAÇÃO DE PRODUTOS PARA COMPRA</t>
  </si>
  <si>
    <t>Produtos personalizados para distribuição sob forma de brinde corporativo</t>
  </si>
  <si>
    <t>Produto</t>
  </si>
  <si>
    <t>Quantidade</t>
  </si>
  <si>
    <t>Preço com desconto</t>
  </si>
  <si>
    <t>Tabela para desconto progressivo</t>
  </si>
  <si>
    <t>CAN-123</t>
  </si>
  <si>
    <t>Caneta com tinta gel</t>
  </si>
  <si>
    <t>CAN-245</t>
  </si>
  <si>
    <t>Caneta esferográfica</t>
  </si>
  <si>
    <t>Unidades</t>
  </si>
  <si>
    <t>Desconto</t>
  </si>
  <si>
    <t>PAP-356</t>
  </si>
  <si>
    <t>Bloco de papel timbrado</t>
  </si>
  <si>
    <t>PAP-365</t>
  </si>
  <si>
    <t>Pasta de capa dura</t>
  </si>
  <si>
    <t>CHA-425</t>
  </si>
  <si>
    <t>Chaveiro Molelo 425</t>
  </si>
  <si>
    <t>CHA-437</t>
  </si>
  <si>
    <t>Chaveiro Molelo 437</t>
  </si>
  <si>
    <t>INF-375</t>
  </si>
  <si>
    <t>Pen drive de 8 GB</t>
  </si>
  <si>
    <t>INF-104</t>
  </si>
  <si>
    <t>Pen drive de 16 GB</t>
  </si>
  <si>
    <t>INF-295</t>
  </si>
  <si>
    <t>Mouse pad com apoio</t>
  </si>
  <si>
    <t>Total da compra:</t>
  </si>
  <si>
    <t>ORÇAMENTO FAMILIAR</t>
  </si>
  <si>
    <t>Mês</t>
  </si>
  <si>
    <t>Receitas</t>
  </si>
  <si>
    <t>Despesas</t>
  </si>
  <si>
    <t>Saldo do mês</t>
  </si>
  <si>
    <t>MAR</t>
  </si>
  <si>
    <t>JAN</t>
  </si>
  <si>
    <t>FEV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</si>
  <si>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</si>
  <si>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</si>
  <si>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</si>
  <si>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</si>
  <si>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</si>
  <si>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</si>
  <si>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</si>
  <si>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</si>
  <si>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</si>
  <si>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Salários/Rendimentos</t>
  </si>
  <si>
    <t>Habitação</t>
  </si>
  <si>
    <t>Alimentação</t>
  </si>
  <si>
    <t>Serviços</t>
  </si>
  <si>
    <t>Saúde</t>
  </si>
  <si>
    <t>Férias/Lazer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</si>
</sst>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_-;\-&quot;R$&quot;\ * #,##0_-;_-&quot;R$&quot;\ * &quot;-&quot;??_-;_-@_-"/>
    <numFmt numFmtId="165" formatCode="_-* #,##0_-;\-* #,##0_-;_-* &quot;-&quot;??_-;_-@_-"/>
    <numFmt numFmtId="166" formatCode="0.0"/>
    <numFmt numFmtId="167" formatCode="_(&quot;R$ &quot;* #,##0.00_);_(&quot;R$ &quot;* \(#,##0.00\);_(&quot;R$ &quot;* &quot;-&quot;??_);_(@_)"/>
    <numFmt numFmtId="168" formatCode="#,##0.00_ ;[Red]\-#,##0.00\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 Black"/>
      <family val="2"/>
    </font>
    <font>
      <sz val="12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 Black"/>
      <family val="2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medium">
        <color theme="9"/>
      </left>
      <right style="medium">
        <color theme="9"/>
      </right>
      <top style="medium">
        <color theme="9"/>
      </top>
      <bottom style="medium">
        <color theme="9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/>
      <right style="thin">
        <color theme="7" tint="0.39994506668294322"/>
      </right>
      <top/>
      <bottom style="thin">
        <color theme="7" tint="0.39994506668294322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0" fontId="8" fillId="0" borderId="0" applyNumberFormat="0" applyFill="0" applyAlignment="0" applyProtection="0"/>
    <xf numFmtId="167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14" fontId="0" fillId="0" borderId="1" xfId="0" applyNumberFormat="1" applyBorder="1" applyAlignment="1">
      <alignment horizontal="center"/>
    </xf>
    <xf numFmtId="164" fontId="0" fillId="0" borderId="1" xfId="2" applyNumberFormat="1" applyFont="1" applyBorder="1"/>
    <xf numFmtId="165" fontId="0" fillId="0" borderId="1" xfId="1" applyNumberFormat="1" applyFont="1" applyBorder="1"/>
    <xf numFmtId="0" fontId="4" fillId="0" borderId="0" xfId="0" applyFont="1"/>
    <xf numFmtId="0" fontId="3" fillId="0" borderId="1" xfId="0" applyFont="1" applyFill="1" applyBorder="1" applyAlignment="1">
      <alignment horizontal="center"/>
    </xf>
    <xf numFmtId="0" fontId="5" fillId="0" borderId="0" xfId="0" applyFont="1"/>
    <xf numFmtId="0" fontId="3" fillId="4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44" fontId="1" fillId="0" borderId="2" xfId="2" applyFont="1" applyBorder="1"/>
    <xf numFmtId="44" fontId="0" fillId="0" borderId="2" xfId="0" applyNumberFormat="1" applyBorder="1"/>
    <xf numFmtId="0" fontId="6" fillId="5" borderId="0" xfId="0" applyFont="1" applyFill="1" applyAlignment="1">
      <alignment horizontal="center"/>
    </xf>
    <xf numFmtId="0" fontId="0" fillId="0" borderId="0" xfId="0" applyBorder="1"/>
    <xf numFmtId="0" fontId="3" fillId="5" borderId="3" xfId="0" applyFont="1" applyFill="1" applyBorder="1" applyAlignment="1">
      <alignment horizontal="center"/>
    </xf>
    <xf numFmtId="0" fontId="0" fillId="5" borderId="3" xfId="0" applyFill="1" applyBorder="1"/>
    <xf numFmtId="166" fontId="0" fillId="0" borderId="3" xfId="0" applyNumberFormat="1" applyBorder="1" applyAlignment="1">
      <alignment horizontal="center"/>
    </xf>
    <xf numFmtId="0" fontId="0" fillId="0" borderId="3" xfId="0" applyBorder="1"/>
    <xf numFmtId="0" fontId="0" fillId="0" borderId="0" xfId="0" applyBorder="1" applyAlignment="1">
      <alignment wrapText="1"/>
    </xf>
    <xf numFmtId="0" fontId="3" fillId="6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7" borderId="4" xfId="0" applyFont="1" applyFill="1" applyBorder="1"/>
    <xf numFmtId="3" fontId="0" fillId="0" borderId="4" xfId="1" applyNumberFormat="1" applyFont="1" applyBorder="1"/>
    <xf numFmtId="10" fontId="0" fillId="0" borderId="4" xfId="0" applyNumberFormat="1" applyBorder="1"/>
    <xf numFmtId="0" fontId="0" fillId="0" borderId="0" xfId="0" applyNumberFormat="1"/>
    <xf numFmtId="0" fontId="3" fillId="4" borderId="2" xfId="0" applyNumberFormat="1" applyFont="1" applyFill="1" applyBorder="1" applyAlignment="1">
      <alignment horizontal="center"/>
    </xf>
    <xf numFmtId="0" fontId="0" fillId="0" borderId="2" xfId="2" applyNumberFormat="1" applyFont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" fillId="0" borderId="0" xfId="4" applyFont="1"/>
    <xf numFmtId="0" fontId="9" fillId="0" borderId="0" xfId="5" applyFont="1"/>
    <xf numFmtId="0" fontId="1" fillId="0" borderId="0" xfId="4" applyFont="1" applyAlignment="1">
      <alignment horizontal="right"/>
    </xf>
    <xf numFmtId="0" fontId="3" fillId="10" borderId="0" xfId="4" applyFont="1" applyFill="1" applyBorder="1" applyAlignment="1">
      <alignment horizontal="center"/>
    </xf>
    <xf numFmtId="0" fontId="3" fillId="0" borderId="0" xfId="4" applyFont="1" applyBorder="1" applyAlignment="1">
      <alignment horizontal="center"/>
    </xf>
    <xf numFmtId="0" fontId="3" fillId="5" borderId="3" xfId="4" applyFont="1" applyFill="1" applyBorder="1" applyAlignment="1">
      <alignment horizontal="center"/>
    </xf>
    <xf numFmtId="0" fontId="1" fillId="0" borderId="0" xfId="4" applyFont="1" applyBorder="1"/>
    <xf numFmtId="0" fontId="1" fillId="0" borderId="3" xfId="4" applyFont="1" applyBorder="1" applyAlignment="1">
      <alignment horizontal="center"/>
    </xf>
    <xf numFmtId="0" fontId="1" fillId="0" borderId="3" xfId="4" applyFont="1" applyBorder="1"/>
    <xf numFmtId="167" fontId="1" fillId="0" borderId="3" xfId="6" applyFont="1" applyBorder="1"/>
    <xf numFmtId="0" fontId="1" fillId="10" borderId="0" xfId="4" applyFont="1" applyFill="1" applyBorder="1" applyAlignment="1"/>
    <xf numFmtId="167" fontId="1" fillId="10" borderId="0" xfId="6" applyFont="1" applyFill="1" applyBorder="1"/>
    <xf numFmtId="0" fontId="1" fillId="10" borderId="0" xfId="6" applyNumberFormat="1" applyFont="1" applyFill="1" applyBorder="1"/>
    <xf numFmtId="0" fontId="10" fillId="0" borderId="0" xfId="0" applyFont="1"/>
    <xf numFmtId="0" fontId="3" fillId="11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8" borderId="0" xfId="0" applyFill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/>
    <xf numFmtId="44" fontId="0" fillId="0" borderId="1" xfId="2" applyFont="1" applyBorder="1"/>
    <xf numFmtId="3" fontId="0" fillId="0" borderId="1" xfId="0" applyNumberFormat="1" applyBorder="1" applyAlignment="1">
      <alignment horizontal="center"/>
    </xf>
    <xf numFmtId="0" fontId="3" fillId="8" borderId="5" xfId="0" applyFont="1" applyFill="1" applyBorder="1"/>
    <xf numFmtId="3" fontId="0" fillId="0" borderId="5" xfId="0" applyNumberFormat="1" applyBorder="1" applyAlignment="1">
      <alignment horizontal="center"/>
    </xf>
    <xf numFmtId="9" fontId="0" fillId="0" borderId="5" xfId="3" applyFont="1" applyBorder="1" applyAlignment="1">
      <alignment horizontal="center"/>
    </xf>
    <xf numFmtId="44" fontId="3" fillId="3" borderId="6" xfId="2" applyFont="1" applyFill="1" applyBorder="1"/>
    <xf numFmtId="0" fontId="11" fillId="0" borderId="0" xfId="4" applyFont="1"/>
    <xf numFmtId="0" fontId="7" fillId="0" borderId="0" xfId="4"/>
    <xf numFmtId="0" fontId="7" fillId="0" borderId="0" xfId="4" applyAlignment="1">
      <alignment horizontal="center"/>
    </xf>
    <xf numFmtId="0" fontId="5" fillId="8" borderId="7" xfId="4" applyFont="1" applyFill="1" applyBorder="1" applyAlignment="1">
      <alignment horizontal="center"/>
    </xf>
    <xf numFmtId="168" fontId="5" fillId="12" borderId="7" xfId="4" applyNumberFormat="1" applyFont="1" applyFill="1" applyBorder="1"/>
    <xf numFmtId="0" fontId="7" fillId="0" borderId="8" xfId="4" applyBorder="1"/>
    <xf numFmtId="0" fontId="5" fillId="12" borderId="7" xfId="4" applyFont="1" applyFill="1" applyBorder="1"/>
    <xf numFmtId="168" fontId="5" fillId="12" borderId="7" xfId="7" applyNumberFormat="1" applyFont="1" applyFill="1" applyBorder="1"/>
    <xf numFmtId="0" fontId="7" fillId="0" borderId="7" xfId="4" applyBorder="1" applyAlignment="1">
      <alignment horizontal="left" indent="1"/>
    </xf>
    <xf numFmtId="168" fontId="0" fillId="0" borderId="7" xfId="7" applyNumberFormat="1" applyFont="1" applyBorder="1"/>
  </cellXfs>
  <cellStyles count="8">
    <cellStyle name="Moeda" xfId="2" builtinId="4"/>
    <cellStyle name="Moeda 2" xfId="6"/>
    <cellStyle name="Normal" xfId="0" builtinId="0"/>
    <cellStyle name="Normal 2" xfId="4"/>
    <cellStyle name="Porcentagem" xfId="3" builtinId="5"/>
    <cellStyle name="Título 1 2" xfId="5"/>
    <cellStyle name="Vírgula" xfId="1" builtinId="3"/>
    <cellStyle name="Vírgula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ernando/SkyDrive/Treinamento/TechnoEdition/Excel%202016%20M&#243;dulo%20I/Imagens%20Auxiliares/Cap&#237;tulo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1"/>
      <sheetName val="Planilha2"/>
      <sheetName val="Planilha3"/>
      <sheetName val="Planilha4"/>
      <sheetName val="Planilha5"/>
      <sheetName val="Planilha6"/>
      <sheetName val="Planilha7"/>
      <sheetName val="Planilha8"/>
      <sheetName val="Planilha9"/>
      <sheetName val="Planilha10"/>
      <sheetName val="Planilha11"/>
      <sheetName val="Planilha12"/>
      <sheetName val="Planilha13"/>
      <sheetName val="Planilha14"/>
      <sheetName val="Planilha15"/>
      <sheetName val="Planilha17"/>
      <sheetName val="Planilha18"/>
      <sheetName val="Planilha19"/>
      <sheetName val="Planilha20"/>
      <sheetName val="Planilha21"/>
      <sheetName val="Planilha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7">
          <cell r="G7">
            <v>0</v>
          </cell>
          <cell r="H7">
            <v>0.05</v>
          </cell>
        </row>
        <row r="8">
          <cell r="G8">
            <v>100</v>
          </cell>
          <cell r="H8">
            <v>0.1</v>
          </cell>
        </row>
        <row r="9">
          <cell r="G9">
            <v>500</v>
          </cell>
          <cell r="H9">
            <v>0.18</v>
          </cell>
        </row>
        <row r="10">
          <cell r="G10">
            <v>1000</v>
          </cell>
          <cell r="H10">
            <v>0.25</v>
          </cell>
        </row>
        <row r="11">
          <cell r="G11">
            <v>5000</v>
          </cell>
          <cell r="H11">
            <v>0.35</v>
          </cell>
        </row>
      </sheetData>
      <sheetData sheetId="2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showGridLines="0" tabSelected="1" workbookViewId="0">
      <selection activeCell="F3" sqref="F3"/>
    </sheetView>
  </sheetViews>
  <sheetFormatPr defaultRowHeight="15" x14ac:dyDescent="0.25"/>
  <cols>
    <col min="1" max="1" width="12.85546875" customWidth="1"/>
    <col min="2" max="2" width="8" bestFit="1" customWidth="1"/>
    <col min="3" max="3" width="14.28515625" customWidth="1"/>
    <col min="5" max="5" width="17.5703125" bestFit="1" customWidth="1"/>
    <col min="6" max="6" width="14.28515625" bestFit="1" customWidth="1"/>
  </cols>
  <sheetData>
    <row r="1" spans="1:6" x14ac:dyDescent="0.25">
      <c r="A1" s="1" t="s">
        <v>0</v>
      </c>
    </row>
    <row r="3" spans="1:6" x14ac:dyDescent="0.25">
      <c r="A3" s="2" t="s">
        <v>1</v>
      </c>
      <c r="B3" s="2" t="s">
        <v>2</v>
      </c>
      <c r="C3" s="2" t="s">
        <v>3</v>
      </c>
      <c r="E3" s="3" t="s">
        <v>4</v>
      </c>
      <c r="F3" s="2"/>
    </row>
    <row r="4" spans="1:6" x14ac:dyDescent="0.25">
      <c r="A4" s="4">
        <v>42740</v>
      </c>
      <c r="B4" s="8" t="s">
        <v>6</v>
      </c>
      <c r="C4" s="5">
        <v>1086503</v>
      </c>
      <c r="E4" s="3" t="s">
        <v>7</v>
      </c>
      <c r="F4" s="6"/>
    </row>
    <row r="5" spans="1:6" x14ac:dyDescent="0.25">
      <c r="A5" s="4">
        <v>42741</v>
      </c>
      <c r="B5" s="8" t="s">
        <v>8</v>
      </c>
      <c r="C5" s="5">
        <v>1586031</v>
      </c>
      <c r="E5" s="3" t="s">
        <v>9</v>
      </c>
      <c r="F5" s="5"/>
    </row>
    <row r="6" spans="1:6" x14ac:dyDescent="0.25">
      <c r="A6" s="4">
        <v>42742</v>
      </c>
      <c r="B6" s="8" t="s">
        <v>10</v>
      </c>
      <c r="C6" s="5">
        <v>2085580</v>
      </c>
      <c r="E6" s="3" t="s">
        <v>11</v>
      </c>
      <c r="F6" s="5"/>
    </row>
    <row r="7" spans="1:6" x14ac:dyDescent="0.25">
      <c r="A7" s="4">
        <v>42743</v>
      </c>
      <c r="B7" s="8" t="s">
        <v>5</v>
      </c>
      <c r="C7" s="5">
        <v>2775880</v>
      </c>
    </row>
    <row r="8" spans="1:6" x14ac:dyDescent="0.25">
      <c r="A8" s="4">
        <v>42744</v>
      </c>
      <c r="B8" s="8" t="s">
        <v>8</v>
      </c>
      <c r="C8" s="5">
        <v>1628019</v>
      </c>
    </row>
    <row r="9" spans="1:6" x14ac:dyDescent="0.25">
      <c r="A9" s="4">
        <v>42745</v>
      </c>
      <c r="B9" s="8" t="s">
        <v>6</v>
      </c>
      <c r="C9" s="5">
        <v>1950684</v>
      </c>
    </row>
    <row r="10" spans="1:6" x14ac:dyDescent="0.25">
      <c r="A10" s="4">
        <v>42745</v>
      </c>
      <c r="B10" s="8" t="s">
        <v>5</v>
      </c>
      <c r="C10" s="5">
        <v>2224224</v>
      </c>
    </row>
    <row r="11" spans="1:6" x14ac:dyDescent="0.25">
      <c r="A11" s="4">
        <v>42746</v>
      </c>
      <c r="B11" s="8" t="s">
        <v>10</v>
      </c>
      <c r="C11" s="5">
        <v>1837064</v>
      </c>
    </row>
    <row r="12" spans="1:6" x14ac:dyDescent="0.25">
      <c r="A12" s="4">
        <v>42746</v>
      </c>
      <c r="B12" s="8" t="s">
        <v>12</v>
      </c>
      <c r="C12" s="5">
        <v>1645220</v>
      </c>
    </row>
    <row r="13" spans="1:6" x14ac:dyDescent="0.25">
      <c r="A13" s="4">
        <v>42747</v>
      </c>
      <c r="B13" s="8" t="s">
        <v>6</v>
      </c>
      <c r="C13" s="5">
        <v>1726208</v>
      </c>
    </row>
    <row r="14" spans="1:6" x14ac:dyDescent="0.25">
      <c r="A14" s="4">
        <v>42747</v>
      </c>
      <c r="B14" s="8" t="s">
        <v>8</v>
      </c>
      <c r="C14" s="5">
        <v>2298128</v>
      </c>
    </row>
    <row r="15" spans="1:6" x14ac:dyDescent="0.25">
      <c r="A15" s="4">
        <v>42748</v>
      </c>
      <c r="B15" s="8" t="s">
        <v>6</v>
      </c>
      <c r="C15" s="5">
        <v>2713886</v>
      </c>
    </row>
    <row r="16" spans="1:6" x14ac:dyDescent="0.25">
      <c r="A16" s="4">
        <v>42748</v>
      </c>
      <c r="B16" s="8" t="s">
        <v>12</v>
      </c>
      <c r="C16" s="5">
        <v>1229317</v>
      </c>
    </row>
    <row r="17" spans="1:3" x14ac:dyDescent="0.25">
      <c r="A17" s="4">
        <v>42748</v>
      </c>
      <c r="B17" s="8" t="s">
        <v>10</v>
      </c>
      <c r="C17" s="5">
        <v>1080039</v>
      </c>
    </row>
    <row r="18" spans="1:3" x14ac:dyDescent="0.25">
      <c r="A18" s="4">
        <v>42749</v>
      </c>
      <c r="B18" s="8" t="s">
        <v>12</v>
      </c>
      <c r="C18" s="5">
        <v>2105028</v>
      </c>
    </row>
    <row r="19" spans="1:3" x14ac:dyDescent="0.25">
      <c r="A19" s="4">
        <v>42750</v>
      </c>
      <c r="B19" s="8" t="s">
        <v>5</v>
      </c>
      <c r="C19" s="5">
        <v>2640807</v>
      </c>
    </row>
    <row r="20" spans="1:3" x14ac:dyDescent="0.25">
      <c r="A20" s="4">
        <v>42750</v>
      </c>
      <c r="B20" s="8" t="s">
        <v>12</v>
      </c>
      <c r="C20" s="5">
        <v>1093125</v>
      </c>
    </row>
    <row r="21" spans="1:3" x14ac:dyDescent="0.25">
      <c r="A21" s="4">
        <v>42751</v>
      </c>
      <c r="B21" s="8" t="s">
        <v>6</v>
      </c>
      <c r="C21" s="5">
        <v>2460176</v>
      </c>
    </row>
    <row r="22" spans="1:3" x14ac:dyDescent="0.25">
      <c r="A22" s="4">
        <v>42752</v>
      </c>
      <c r="B22" s="8" t="s">
        <v>8</v>
      </c>
      <c r="C22" s="5">
        <v>1513144</v>
      </c>
    </row>
    <row r="23" spans="1:3" x14ac:dyDescent="0.25">
      <c r="A23" s="4">
        <v>42755</v>
      </c>
      <c r="B23" s="8" t="s">
        <v>5</v>
      </c>
      <c r="C23" s="5">
        <v>2621092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showGridLines="0" workbookViewId="0">
      <selection activeCell="C4" sqref="C4"/>
    </sheetView>
  </sheetViews>
  <sheetFormatPr defaultRowHeight="15" x14ac:dyDescent="0.25"/>
  <cols>
    <col min="2" max="2" width="12.140625" bestFit="1" customWidth="1"/>
    <col min="3" max="3" width="11" customWidth="1"/>
  </cols>
  <sheetData>
    <row r="1" spans="1:3" ht="15.75" x14ac:dyDescent="0.25">
      <c r="A1" s="9" t="s">
        <v>13</v>
      </c>
    </row>
    <row r="3" spans="1:3" x14ac:dyDescent="0.25">
      <c r="A3" s="10" t="s">
        <v>14</v>
      </c>
      <c r="B3" s="10" t="s">
        <v>15</v>
      </c>
      <c r="C3" s="10" t="s">
        <v>16</v>
      </c>
    </row>
    <row r="4" spans="1:3" x14ac:dyDescent="0.25">
      <c r="A4" s="11">
        <v>147852</v>
      </c>
      <c r="B4" s="12">
        <v>582</v>
      </c>
      <c r="C4" s="13"/>
    </row>
    <row r="5" spans="1:3" x14ac:dyDescent="0.25">
      <c r="A5" s="11">
        <v>147853</v>
      </c>
      <c r="B5" s="12">
        <v>1200</v>
      </c>
      <c r="C5" s="13"/>
    </row>
    <row r="6" spans="1:3" x14ac:dyDescent="0.25">
      <c r="A6" s="11">
        <v>147854</v>
      </c>
      <c r="B6" s="12">
        <v>235</v>
      </c>
      <c r="C6" s="13"/>
    </row>
    <row r="7" spans="1:3" x14ac:dyDescent="0.25">
      <c r="A7" s="11">
        <v>147855</v>
      </c>
      <c r="B7" s="12">
        <v>450</v>
      </c>
      <c r="C7" s="13"/>
    </row>
    <row r="8" spans="1:3" x14ac:dyDescent="0.25">
      <c r="A8" s="11">
        <v>147856</v>
      </c>
      <c r="B8" s="12">
        <v>687.5</v>
      </c>
      <c r="C8" s="13"/>
    </row>
    <row r="9" spans="1:3" x14ac:dyDescent="0.25">
      <c r="A9" s="11">
        <v>147857</v>
      </c>
      <c r="B9" s="12">
        <v>195</v>
      </c>
      <c r="C9" s="13"/>
    </row>
    <row r="10" spans="1:3" x14ac:dyDescent="0.25">
      <c r="A10" s="11">
        <v>147858</v>
      </c>
      <c r="B10" s="12">
        <v>525.75</v>
      </c>
      <c r="C10" s="13"/>
    </row>
    <row r="11" spans="1:3" x14ac:dyDescent="0.25">
      <c r="A11" s="11">
        <v>147859</v>
      </c>
      <c r="B11" s="12">
        <v>999</v>
      </c>
      <c r="C11" s="1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showGridLines="0" workbookViewId="0">
      <selection activeCell="D4" sqref="D4"/>
    </sheetView>
  </sheetViews>
  <sheetFormatPr defaultRowHeight="15" x14ac:dyDescent="0.25"/>
  <cols>
    <col min="1" max="1" width="15.85546875" bestFit="1" customWidth="1"/>
    <col min="2" max="3" width="11.42578125" bestFit="1" customWidth="1"/>
    <col min="5" max="5" width="11.7109375" customWidth="1"/>
  </cols>
  <sheetData>
    <row r="1" spans="1:5" ht="18.75" x14ac:dyDescent="0.4">
      <c r="B1" s="14" t="s">
        <v>17</v>
      </c>
      <c r="C1" s="14"/>
      <c r="D1" s="14"/>
      <c r="E1" s="14"/>
    </row>
    <row r="3" spans="1:5" x14ac:dyDescent="0.25">
      <c r="A3" s="15" t="s">
        <v>18</v>
      </c>
      <c r="B3" s="16" t="s">
        <v>19</v>
      </c>
      <c r="C3" s="16" t="s">
        <v>20</v>
      </c>
      <c r="D3" s="16" t="s">
        <v>21</v>
      </c>
      <c r="E3" s="16" t="s">
        <v>22</v>
      </c>
    </row>
    <row r="4" spans="1:5" x14ac:dyDescent="0.25">
      <c r="A4" s="17" t="s">
        <v>23</v>
      </c>
      <c r="B4" s="18">
        <v>4.5</v>
      </c>
      <c r="C4" s="18">
        <v>7.5</v>
      </c>
      <c r="D4" s="18"/>
      <c r="E4" s="19"/>
    </row>
    <row r="5" spans="1:5" x14ac:dyDescent="0.25">
      <c r="A5" s="17" t="s">
        <v>24</v>
      </c>
      <c r="B5" s="18">
        <v>6.7</v>
      </c>
      <c r="C5" s="18">
        <v>8.4</v>
      </c>
      <c r="D5" s="18"/>
      <c r="E5" s="19"/>
    </row>
    <row r="6" spans="1:5" x14ac:dyDescent="0.25">
      <c r="A6" s="17" t="s">
        <v>25</v>
      </c>
      <c r="B6" s="18">
        <v>5.2</v>
      </c>
      <c r="C6" s="18">
        <v>4.4000000000000004</v>
      </c>
      <c r="D6" s="18"/>
      <c r="E6" s="19"/>
    </row>
    <row r="7" spans="1:5" x14ac:dyDescent="0.25">
      <c r="A7" s="17" t="s">
        <v>26</v>
      </c>
      <c r="B7" s="18">
        <v>8.9</v>
      </c>
      <c r="C7" s="18">
        <v>9.5</v>
      </c>
      <c r="D7" s="18"/>
      <c r="E7" s="19"/>
    </row>
    <row r="8" spans="1:5" x14ac:dyDescent="0.25">
      <c r="A8" s="17" t="s">
        <v>27</v>
      </c>
      <c r="B8" s="18">
        <v>10</v>
      </c>
      <c r="C8" s="18">
        <v>8.5</v>
      </c>
      <c r="D8" s="18"/>
      <c r="E8" s="19"/>
    </row>
    <row r="9" spans="1:5" x14ac:dyDescent="0.25">
      <c r="A9" s="17" t="s">
        <v>28</v>
      </c>
      <c r="B9" s="18">
        <v>7</v>
      </c>
      <c r="C9" s="18">
        <v>7</v>
      </c>
      <c r="D9" s="18"/>
      <c r="E9" s="19"/>
    </row>
    <row r="10" spans="1:5" x14ac:dyDescent="0.25">
      <c r="A10" s="17" t="s">
        <v>29</v>
      </c>
      <c r="B10" s="18">
        <v>7</v>
      </c>
      <c r="C10" s="18">
        <v>6.5</v>
      </c>
      <c r="D10" s="18"/>
      <c r="E10" s="19"/>
    </row>
    <row r="11" spans="1:5" x14ac:dyDescent="0.25">
      <c r="A11" s="17" t="s">
        <v>30</v>
      </c>
      <c r="B11" s="18">
        <v>8</v>
      </c>
      <c r="C11" s="18">
        <v>9</v>
      </c>
      <c r="D11" s="18"/>
      <c r="E11" s="19"/>
    </row>
    <row r="12" spans="1:5" x14ac:dyDescent="0.25">
      <c r="A12" s="17" t="s">
        <v>31</v>
      </c>
      <c r="B12" s="18">
        <v>7.2</v>
      </c>
      <c r="C12" s="18">
        <v>6.4</v>
      </c>
      <c r="D12" s="18"/>
      <c r="E12" s="19"/>
    </row>
    <row r="13" spans="1:5" x14ac:dyDescent="0.25">
      <c r="A13" s="17" t="s">
        <v>32</v>
      </c>
      <c r="B13" s="18">
        <v>3.6</v>
      </c>
      <c r="C13" s="18">
        <v>5.9</v>
      </c>
      <c r="D13" s="18"/>
      <c r="E13" s="19"/>
    </row>
  </sheetData>
  <mergeCells count="1">
    <mergeCell ref="B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showGridLines="0" workbookViewId="0">
      <selection activeCell="D4" sqref="D4"/>
    </sheetView>
  </sheetViews>
  <sheetFormatPr defaultRowHeight="15" x14ac:dyDescent="0.25"/>
  <cols>
    <col min="1" max="1" width="13.140625" customWidth="1"/>
    <col min="2" max="3" width="10.7109375" customWidth="1"/>
    <col min="4" max="4" width="8.42578125" bestFit="1" customWidth="1"/>
  </cols>
  <sheetData>
    <row r="1" spans="1:4" ht="15.75" x14ac:dyDescent="0.25">
      <c r="A1" s="9" t="s">
        <v>33</v>
      </c>
    </row>
    <row r="3" spans="1:4" s="22" customFormat="1" ht="30" x14ac:dyDescent="0.25">
      <c r="A3" s="20"/>
      <c r="B3" s="21" t="s">
        <v>34</v>
      </c>
      <c r="C3" s="21" t="s">
        <v>35</v>
      </c>
      <c r="D3" s="21" t="s">
        <v>36</v>
      </c>
    </row>
    <row r="4" spans="1:4" x14ac:dyDescent="0.25">
      <c r="A4" s="23" t="s">
        <v>37</v>
      </c>
      <c r="B4" s="24">
        <v>125547</v>
      </c>
      <c r="C4" s="24">
        <v>95654</v>
      </c>
      <c r="D4" s="25"/>
    </row>
    <row r="5" spans="1:4" x14ac:dyDescent="0.25">
      <c r="A5" s="23" t="s">
        <v>38</v>
      </c>
      <c r="B5" s="24">
        <v>254785</v>
      </c>
      <c r="C5" s="24">
        <v>234856</v>
      </c>
      <c r="D5" s="25"/>
    </row>
    <row r="6" spans="1:4" x14ac:dyDescent="0.25">
      <c r="A6" s="23" t="s">
        <v>39</v>
      </c>
      <c r="B6" s="24">
        <v>89528</v>
      </c>
      <c r="C6" s="24">
        <v>81458</v>
      </c>
      <c r="D6" s="25"/>
    </row>
    <row r="7" spans="1:4" x14ac:dyDescent="0.25">
      <c r="A7" s="23" t="s">
        <v>40</v>
      </c>
      <c r="B7" s="24">
        <v>287458</v>
      </c>
      <c r="C7" s="24">
        <v>254851</v>
      </c>
      <c r="D7" s="25"/>
    </row>
    <row r="8" spans="1:4" x14ac:dyDescent="0.25">
      <c r="A8" s="23" t="s">
        <v>41</v>
      </c>
      <c r="B8" s="24">
        <v>198746</v>
      </c>
      <c r="C8" s="24">
        <v>164852</v>
      </c>
      <c r="D8" s="25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workbookViewId="0">
      <selection activeCell="D4" sqref="D4"/>
    </sheetView>
  </sheetViews>
  <sheetFormatPr defaultRowHeight="15" x14ac:dyDescent="0.25"/>
  <cols>
    <col min="2" max="2" width="12.140625" bestFit="1" customWidth="1"/>
    <col min="3" max="3" width="8" style="26" bestFit="1" customWidth="1"/>
    <col min="4" max="4" width="11" customWidth="1"/>
  </cols>
  <sheetData>
    <row r="1" spans="1:4" ht="15.75" x14ac:dyDescent="0.25">
      <c r="A1" s="9" t="s">
        <v>13</v>
      </c>
    </row>
    <row r="3" spans="1:4" x14ac:dyDescent="0.25">
      <c r="A3" s="10" t="s">
        <v>14</v>
      </c>
      <c r="B3" s="10" t="s">
        <v>15</v>
      </c>
      <c r="C3" s="27" t="s">
        <v>2</v>
      </c>
      <c r="D3" s="10" t="s">
        <v>16</v>
      </c>
    </row>
    <row r="4" spans="1:4" x14ac:dyDescent="0.25">
      <c r="A4" s="11">
        <v>147852</v>
      </c>
      <c r="B4" s="12">
        <v>582</v>
      </c>
      <c r="C4" s="28" t="s">
        <v>10</v>
      </c>
      <c r="D4" s="13"/>
    </row>
    <row r="5" spans="1:4" x14ac:dyDescent="0.25">
      <c r="A5" s="11">
        <v>147853</v>
      </c>
      <c r="B5" s="12">
        <v>1200</v>
      </c>
      <c r="C5" s="28" t="s">
        <v>6</v>
      </c>
      <c r="D5" s="13"/>
    </row>
    <row r="6" spans="1:4" x14ac:dyDescent="0.25">
      <c r="A6" s="11">
        <v>147854</v>
      </c>
      <c r="B6" s="12">
        <v>235</v>
      </c>
      <c r="C6" s="28" t="s">
        <v>5</v>
      </c>
      <c r="D6" s="13"/>
    </row>
    <row r="7" spans="1:4" x14ac:dyDescent="0.25">
      <c r="A7" s="11">
        <v>147855</v>
      </c>
      <c r="B7" s="12">
        <v>450</v>
      </c>
      <c r="C7" s="28" t="s">
        <v>42</v>
      </c>
      <c r="D7" s="13"/>
    </row>
    <row r="8" spans="1:4" x14ac:dyDescent="0.25">
      <c r="A8" s="11">
        <v>147856</v>
      </c>
      <c r="B8" s="12">
        <v>687.5</v>
      </c>
      <c r="C8" s="28" t="s">
        <v>43</v>
      </c>
      <c r="D8" s="13"/>
    </row>
    <row r="9" spans="1:4" x14ac:dyDescent="0.25">
      <c r="A9" s="11">
        <v>147857</v>
      </c>
      <c r="B9" s="12">
        <v>195</v>
      </c>
      <c r="C9" s="28" t="s">
        <v>6</v>
      </c>
      <c r="D9" s="13"/>
    </row>
    <row r="10" spans="1:4" x14ac:dyDescent="0.25">
      <c r="A10" s="11">
        <v>147858</v>
      </c>
      <c r="B10" s="12">
        <v>525.75</v>
      </c>
      <c r="C10" s="28" t="s">
        <v>10</v>
      </c>
      <c r="D10" s="13"/>
    </row>
    <row r="11" spans="1:4" x14ac:dyDescent="0.25">
      <c r="A11" s="11">
        <v>147859</v>
      </c>
      <c r="B11" s="12">
        <v>999</v>
      </c>
      <c r="C11" s="28" t="s">
        <v>43</v>
      </c>
      <c r="D11" s="13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showGridLines="0" workbookViewId="0">
      <selection activeCell="D4" sqref="D4"/>
    </sheetView>
  </sheetViews>
  <sheetFormatPr defaultRowHeight="15" x14ac:dyDescent="0.25"/>
  <cols>
    <col min="1" max="4" width="10.7109375" customWidth="1"/>
  </cols>
  <sheetData>
    <row r="1" spans="1:4" x14ac:dyDescent="0.25">
      <c r="A1" s="29" t="s">
        <v>44</v>
      </c>
      <c r="B1" s="29"/>
      <c r="C1" s="29"/>
      <c r="D1" s="29"/>
    </row>
    <row r="3" spans="1:4" s="22" customFormat="1" ht="30" x14ac:dyDescent="0.25">
      <c r="A3" s="30" t="s">
        <v>45</v>
      </c>
      <c r="B3" s="30" t="s">
        <v>46</v>
      </c>
      <c r="C3" s="30" t="s">
        <v>47</v>
      </c>
      <c r="D3" s="30" t="s">
        <v>48</v>
      </c>
    </row>
    <row r="4" spans="1:4" x14ac:dyDescent="0.25">
      <c r="A4" s="31" t="s">
        <v>49</v>
      </c>
      <c r="B4" s="31" t="s">
        <v>50</v>
      </c>
      <c r="C4" s="31" t="s">
        <v>50</v>
      </c>
      <c r="D4" s="31"/>
    </row>
    <row r="5" spans="1:4" x14ac:dyDescent="0.25">
      <c r="A5" s="31" t="s">
        <v>51</v>
      </c>
      <c r="B5" s="31" t="s">
        <v>50</v>
      </c>
      <c r="C5" s="31" t="s">
        <v>52</v>
      </c>
      <c r="D5" s="31"/>
    </row>
    <row r="6" spans="1:4" x14ac:dyDescent="0.25">
      <c r="A6" s="31" t="s">
        <v>53</v>
      </c>
      <c r="B6" s="31" t="s">
        <v>52</v>
      </c>
      <c r="C6" s="31" t="s">
        <v>50</v>
      </c>
      <c r="D6" s="31"/>
    </row>
    <row r="7" spans="1:4" x14ac:dyDescent="0.25">
      <c r="A7" s="31" t="s">
        <v>54</v>
      </c>
      <c r="B7" s="31" t="s">
        <v>52</v>
      </c>
      <c r="C7" s="31" t="s">
        <v>52</v>
      </c>
      <c r="D7" s="31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showGridLines="0" workbookViewId="0">
      <selection activeCell="B3" sqref="B3"/>
    </sheetView>
  </sheetViews>
  <sheetFormatPr defaultRowHeight="15" x14ac:dyDescent="0.25"/>
  <cols>
    <col min="1" max="1" width="14.7109375" style="32" customWidth="1"/>
    <col min="2" max="2" width="14.5703125" style="32" customWidth="1"/>
    <col min="3" max="3" width="27.7109375" style="32" customWidth="1"/>
    <col min="4" max="4" width="5.28515625" style="32" customWidth="1"/>
    <col min="5" max="5" width="7.140625" style="32" bestFit="1" customWidth="1"/>
    <col min="6" max="6" width="34.42578125" style="32" bestFit="1" customWidth="1"/>
    <col min="7" max="7" width="13.85546875" style="32" bestFit="1" customWidth="1"/>
    <col min="8" max="8" width="6" style="32" bestFit="1" customWidth="1"/>
    <col min="9" max="16384" width="9.140625" style="32"/>
  </cols>
  <sheetData>
    <row r="1" spans="1:8" ht="21" x14ac:dyDescent="0.35">
      <c r="B1" s="33" t="s">
        <v>55</v>
      </c>
    </row>
    <row r="3" spans="1:8" x14ac:dyDescent="0.25">
      <c r="A3" s="34" t="s">
        <v>56</v>
      </c>
      <c r="B3" s="35">
        <v>1813</v>
      </c>
      <c r="C3" s="36"/>
      <c r="E3" s="37" t="s">
        <v>57</v>
      </c>
      <c r="F3" s="37" t="s">
        <v>58</v>
      </c>
      <c r="G3" s="37" t="s">
        <v>59</v>
      </c>
      <c r="H3" s="37" t="s">
        <v>60</v>
      </c>
    </row>
    <row r="4" spans="1:8" x14ac:dyDescent="0.25">
      <c r="B4" s="38"/>
      <c r="C4" s="38"/>
      <c r="E4" s="39">
        <v>1803</v>
      </c>
      <c r="F4" s="40" t="s">
        <v>61</v>
      </c>
      <c r="G4" s="41">
        <v>1585</v>
      </c>
      <c r="H4" s="39">
        <v>28</v>
      </c>
    </row>
    <row r="5" spans="1:8" x14ac:dyDescent="0.25">
      <c r="A5" s="34" t="s">
        <v>62</v>
      </c>
      <c r="B5" s="42"/>
      <c r="C5" s="42"/>
      <c r="E5" s="39">
        <v>1769</v>
      </c>
      <c r="F5" s="40" t="s">
        <v>63</v>
      </c>
      <c r="G5" s="41">
        <v>345</v>
      </c>
      <c r="H5" s="39">
        <v>36</v>
      </c>
    </row>
    <row r="6" spans="1:8" x14ac:dyDescent="0.25">
      <c r="B6" s="38"/>
      <c r="C6" s="38"/>
      <c r="E6" s="39">
        <v>1613</v>
      </c>
      <c r="F6" s="40" t="s">
        <v>64</v>
      </c>
      <c r="G6" s="41">
        <v>469</v>
      </c>
      <c r="H6" s="39">
        <v>30</v>
      </c>
    </row>
    <row r="7" spans="1:8" x14ac:dyDescent="0.25">
      <c r="A7" s="34" t="s">
        <v>65</v>
      </c>
      <c r="B7" s="43"/>
      <c r="C7" s="38"/>
      <c r="E7" s="39">
        <v>1881</v>
      </c>
      <c r="F7" s="40" t="s">
        <v>66</v>
      </c>
      <c r="G7" s="41">
        <v>999</v>
      </c>
      <c r="H7" s="39">
        <v>27</v>
      </c>
    </row>
    <row r="8" spans="1:8" x14ac:dyDescent="0.25">
      <c r="E8" s="39">
        <v>1528</v>
      </c>
      <c r="F8" s="40" t="s">
        <v>67</v>
      </c>
      <c r="G8" s="41">
        <v>325</v>
      </c>
      <c r="H8" s="39">
        <v>49</v>
      </c>
    </row>
    <row r="9" spans="1:8" x14ac:dyDescent="0.25">
      <c r="A9" s="34" t="s">
        <v>68</v>
      </c>
      <c r="B9" s="44"/>
      <c r="E9" s="39">
        <v>1771</v>
      </c>
      <c r="F9" s="40" t="s">
        <v>69</v>
      </c>
      <c r="G9" s="41">
        <v>1299</v>
      </c>
      <c r="H9" s="39">
        <v>12</v>
      </c>
    </row>
    <row r="10" spans="1:8" x14ac:dyDescent="0.25">
      <c r="E10" s="39">
        <v>1813</v>
      </c>
      <c r="F10" s="40" t="s">
        <v>70</v>
      </c>
      <c r="G10" s="41">
        <v>1820</v>
      </c>
      <c r="H10" s="39">
        <v>24</v>
      </c>
    </row>
    <row r="11" spans="1:8" x14ac:dyDescent="0.25">
      <c r="E11" s="39">
        <v>1742</v>
      </c>
      <c r="F11" s="40" t="s">
        <v>71</v>
      </c>
      <c r="G11" s="41">
        <v>1980</v>
      </c>
      <c r="H11" s="39">
        <v>16</v>
      </c>
    </row>
    <row r="12" spans="1:8" x14ac:dyDescent="0.25">
      <c r="E12" s="39">
        <v>1894</v>
      </c>
      <c r="F12" s="40" t="s">
        <v>72</v>
      </c>
      <c r="G12" s="41">
        <v>1999</v>
      </c>
      <c r="H12" s="39">
        <v>7</v>
      </c>
    </row>
    <row r="13" spans="1:8" x14ac:dyDescent="0.25">
      <c r="E13" s="39">
        <v>1566</v>
      </c>
      <c r="F13" s="40" t="s">
        <v>73</v>
      </c>
      <c r="G13" s="41">
        <v>1299</v>
      </c>
      <c r="H13" s="39">
        <v>9</v>
      </c>
    </row>
    <row r="14" spans="1:8" x14ac:dyDescent="0.25">
      <c r="E14" s="39">
        <v>1832</v>
      </c>
      <c r="F14" s="40" t="s">
        <v>74</v>
      </c>
      <c r="G14" s="41">
        <v>2560</v>
      </c>
      <c r="H14" s="39">
        <v>34</v>
      </c>
    </row>
    <row r="15" spans="1:8" x14ac:dyDescent="0.25">
      <c r="E15" s="39">
        <v>1531</v>
      </c>
      <c r="F15" s="40" t="s">
        <v>75</v>
      </c>
      <c r="G15" s="41">
        <v>399</v>
      </c>
      <c r="H15" s="39">
        <v>61</v>
      </c>
    </row>
    <row r="16" spans="1:8" x14ac:dyDescent="0.25">
      <c r="E16" s="39">
        <v>1702</v>
      </c>
      <c r="F16" s="40" t="s">
        <v>76</v>
      </c>
      <c r="G16" s="41">
        <v>1450</v>
      </c>
      <c r="H16" s="39">
        <v>34</v>
      </c>
    </row>
    <row r="17" spans="5:8" x14ac:dyDescent="0.25">
      <c r="E17" s="39">
        <v>1503</v>
      </c>
      <c r="F17" s="40" t="s">
        <v>77</v>
      </c>
      <c r="G17" s="41">
        <v>750</v>
      </c>
      <c r="H17" s="39">
        <v>29</v>
      </c>
    </row>
    <row r="18" spans="5:8" x14ac:dyDescent="0.25">
      <c r="E18" s="39">
        <v>1725</v>
      </c>
      <c r="F18" s="40" t="s">
        <v>78</v>
      </c>
      <c r="G18" s="41">
        <v>895</v>
      </c>
      <c r="H18" s="39">
        <v>18</v>
      </c>
    </row>
    <row r="19" spans="5:8" x14ac:dyDescent="0.25">
      <c r="E19" s="39">
        <v>1782</v>
      </c>
      <c r="F19" s="40" t="s">
        <v>79</v>
      </c>
      <c r="G19" s="41">
        <v>299</v>
      </c>
      <c r="H19" s="39">
        <v>25</v>
      </c>
    </row>
    <row r="20" spans="5:8" x14ac:dyDescent="0.25">
      <c r="E20" s="39">
        <v>1898</v>
      </c>
      <c r="F20" s="40" t="s">
        <v>80</v>
      </c>
      <c r="G20" s="41">
        <v>1624</v>
      </c>
      <c r="H20" s="39">
        <v>16</v>
      </c>
    </row>
    <row r="21" spans="5:8" x14ac:dyDescent="0.25">
      <c r="E21" s="39">
        <v>1682</v>
      </c>
      <c r="F21" s="40" t="s">
        <v>81</v>
      </c>
      <c r="G21" s="41">
        <v>3225</v>
      </c>
      <c r="H21" s="39">
        <v>31</v>
      </c>
    </row>
    <row r="22" spans="5:8" x14ac:dyDescent="0.25">
      <c r="E22" s="39">
        <v>1815</v>
      </c>
      <c r="F22" s="40" t="s">
        <v>82</v>
      </c>
      <c r="G22" s="41">
        <v>359</v>
      </c>
      <c r="H22" s="39">
        <v>8</v>
      </c>
    </row>
  </sheetData>
  <mergeCells count="1">
    <mergeCell ref="B5:C5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showGridLines="0" workbookViewId="0">
      <selection activeCell="E5" sqref="E5"/>
    </sheetView>
  </sheetViews>
  <sheetFormatPr defaultRowHeight="15" x14ac:dyDescent="0.25"/>
  <cols>
    <col min="2" max="2" width="23" bestFit="1" customWidth="1"/>
    <col min="3" max="3" width="10.28515625" customWidth="1"/>
    <col min="4" max="4" width="11.42578125" bestFit="1" customWidth="1"/>
    <col min="5" max="5" width="13.42578125" customWidth="1"/>
    <col min="6" max="6" width="4.7109375" customWidth="1"/>
    <col min="7" max="8" width="10.28515625" customWidth="1"/>
  </cols>
  <sheetData>
    <row r="1" spans="1:8" ht="18.75" x14ac:dyDescent="0.3">
      <c r="A1" s="45" t="s">
        <v>83</v>
      </c>
    </row>
    <row r="2" spans="1:8" x14ac:dyDescent="0.25">
      <c r="A2" s="7" t="s">
        <v>84</v>
      </c>
    </row>
    <row r="4" spans="1:8" s="47" customFormat="1" ht="30" x14ac:dyDescent="0.25">
      <c r="A4" s="46" t="s">
        <v>57</v>
      </c>
      <c r="B4" s="46" t="s">
        <v>85</v>
      </c>
      <c r="C4" s="46" t="s">
        <v>59</v>
      </c>
      <c r="D4" s="46" t="s">
        <v>86</v>
      </c>
      <c r="E4" s="46" t="s">
        <v>87</v>
      </c>
      <c r="G4" s="48" t="s">
        <v>88</v>
      </c>
      <c r="H4" s="48"/>
    </row>
    <row r="5" spans="1:8" x14ac:dyDescent="0.25">
      <c r="A5" s="49" t="s">
        <v>89</v>
      </c>
      <c r="B5" s="50" t="s">
        <v>90</v>
      </c>
      <c r="C5" s="51">
        <v>2.5</v>
      </c>
      <c r="D5" s="52">
        <v>4250</v>
      </c>
      <c r="E5" s="51"/>
    </row>
    <row r="6" spans="1:8" x14ac:dyDescent="0.25">
      <c r="A6" s="49" t="s">
        <v>91</v>
      </c>
      <c r="B6" s="50" t="s">
        <v>92</v>
      </c>
      <c r="C6" s="51">
        <v>1.25</v>
      </c>
      <c r="D6" s="52">
        <v>6000</v>
      </c>
      <c r="E6" s="51"/>
      <c r="G6" s="53" t="s">
        <v>93</v>
      </c>
      <c r="H6" s="53" t="s">
        <v>94</v>
      </c>
    </row>
    <row r="7" spans="1:8" x14ac:dyDescent="0.25">
      <c r="A7" s="49" t="s">
        <v>95</v>
      </c>
      <c r="B7" s="50" t="s">
        <v>96</v>
      </c>
      <c r="C7" s="51">
        <v>5.7</v>
      </c>
      <c r="D7" s="52">
        <v>1800</v>
      </c>
      <c r="E7" s="51"/>
      <c r="G7" s="54">
        <v>0</v>
      </c>
      <c r="H7" s="55">
        <v>0.05</v>
      </c>
    </row>
    <row r="8" spans="1:8" x14ac:dyDescent="0.25">
      <c r="A8" s="49" t="s">
        <v>97</v>
      </c>
      <c r="B8" s="50" t="s">
        <v>98</v>
      </c>
      <c r="C8" s="51">
        <v>8.4499999999999993</v>
      </c>
      <c r="D8" s="52">
        <v>800</v>
      </c>
      <c r="E8" s="51"/>
      <c r="G8" s="54">
        <v>100</v>
      </c>
      <c r="H8" s="55">
        <v>0.1</v>
      </c>
    </row>
    <row r="9" spans="1:8" x14ac:dyDescent="0.25">
      <c r="A9" s="49" t="s">
        <v>99</v>
      </c>
      <c r="B9" s="50" t="s">
        <v>100</v>
      </c>
      <c r="C9" s="51">
        <v>5.6</v>
      </c>
      <c r="D9" s="52">
        <v>1500</v>
      </c>
      <c r="E9" s="51"/>
      <c r="G9" s="54">
        <v>500</v>
      </c>
      <c r="H9" s="55">
        <v>0.18</v>
      </c>
    </row>
    <row r="10" spans="1:8" x14ac:dyDescent="0.25">
      <c r="A10" s="49" t="s">
        <v>101</v>
      </c>
      <c r="B10" s="50" t="s">
        <v>102</v>
      </c>
      <c r="C10" s="51">
        <v>9.8000000000000007</v>
      </c>
      <c r="D10" s="52">
        <v>750</v>
      </c>
      <c r="E10" s="51"/>
      <c r="G10" s="54">
        <v>1000</v>
      </c>
      <c r="H10" s="55">
        <v>0.25</v>
      </c>
    </row>
    <row r="11" spans="1:8" x14ac:dyDescent="0.25">
      <c r="A11" s="49" t="s">
        <v>103</v>
      </c>
      <c r="B11" s="50" t="s">
        <v>104</v>
      </c>
      <c r="C11" s="51">
        <v>20</v>
      </c>
      <c r="D11" s="52">
        <v>400</v>
      </c>
      <c r="E11" s="51"/>
      <c r="G11" s="54">
        <v>5000</v>
      </c>
      <c r="H11" s="55">
        <v>0.35</v>
      </c>
    </row>
    <row r="12" spans="1:8" x14ac:dyDescent="0.25">
      <c r="A12" s="49" t="s">
        <v>105</v>
      </c>
      <c r="B12" s="50" t="s">
        <v>106</v>
      </c>
      <c r="C12" s="51">
        <v>32</v>
      </c>
      <c r="D12" s="52">
        <v>90</v>
      </c>
      <c r="E12" s="51"/>
    </row>
    <row r="13" spans="1:8" ht="15.75" thickBot="1" x14ac:dyDescent="0.3">
      <c r="A13" s="49" t="s">
        <v>107</v>
      </c>
      <c r="B13" s="50" t="s">
        <v>108</v>
      </c>
      <c r="C13" s="51">
        <v>5</v>
      </c>
      <c r="D13" s="52">
        <v>300</v>
      </c>
      <c r="E13" s="51"/>
    </row>
    <row r="14" spans="1:8" ht="15.75" thickBot="1" x14ac:dyDescent="0.3">
      <c r="D14" s="3" t="s">
        <v>109</v>
      </c>
      <c r="E14" s="56"/>
    </row>
  </sheetData>
  <mergeCells count="1">
    <mergeCell ref="G4:H4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4"/>
  <sheetViews>
    <sheetView showGridLines="0" workbookViewId="0">
      <selection activeCell="E2" sqref="E2"/>
    </sheetView>
  </sheetViews>
  <sheetFormatPr defaultRowHeight="15.75" x14ac:dyDescent="0.25"/>
  <cols>
    <col min="1" max="1" width="3" style="58" customWidth="1"/>
    <col min="2" max="2" width="22.85546875" style="58" customWidth="1"/>
    <col min="3" max="14" width="9.7109375" style="58" customWidth="1"/>
    <col min="15" max="16384" width="9.140625" style="58"/>
  </cols>
  <sheetData>
    <row r="1" spans="2:14" ht="19.5" x14ac:dyDescent="0.4">
      <c r="B1" s="57" t="s">
        <v>110</v>
      </c>
      <c r="E1" s="59" t="s">
        <v>111</v>
      </c>
      <c r="H1" s="59" t="s">
        <v>112</v>
      </c>
      <c r="J1" s="59" t="s">
        <v>113</v>
      </c>
      <c r="L1" s="59" t="s">
        <v>114</v>
      </c>
    </row>
    <row r="2" spans="2:14" x14ac:dyDescent="0.25">
      <c r="E2" s="60" t="s">
        <v>115</v>
      </c>
      <c r="H2" s="61"/>
      <c r="J2" s="61"/>
      <c r="L2" s="61"/>
    </row>
    <row r="4" spans="2:14" x14ac:dyDescent="0.25">
      <c r="B4" s="62"/>
      <c r="C4" s="60" t="s">
        <v>116</v>
      </c>
      <c r="D4" s="60" t="s">
        <v>117</v>
      </c>
      <c r="E4" s="60" t="s">
        <v>115</v>
      </c>
      <c r="F4" s="60" t="s">
        <v>118</v>
      </c>
      <c r="G4" s="60" t="s">
        <v>119</v>
      </c>
      <c r="H4" s="60" t="s">
        <v>120</v>
      </c>
      <c r="I4" s="60" t="s">
        <v>121</v>
      </c>
      <c r="J4" s="60" t="s">
        <v>122</v>
      </c>
      <c r="K4" s="60" t="s">
        <v>123</v>
      </c>
      <c r="L4" s="60" t="s">
        <v>124</v>
      </c>
      <c r="M4" s="60" t="s">
        <v>125</v>
      </c>
      <c r="N4" s="60" t="s">
        <v>126</v>
      </c>
    </row>
    <row r="5" spans="2:14" x14ac:dyDescent="0.25">
      <c r="B5" s="63" t="s">
        <v>127</v>
      </c>
      <c r="C5" s="64">
        <v>3575</v>
      </c>
      <c r="D5" s="64">
        <v>3575</v>
      </c>
      <c r="E5" s="64">
        <v>3575</v>
      </c>
      <c r="F5" s="64">
        <v>3575</v>
      </c>
      <c r="G5" s="64">
        <v>3575</v>
      </c>
      <c r="H5" s="64">
        <v>3575</v>
      </c>
      <c r="I5" s="64">
        <v>3850</v>
      </c>
      <c r="J5" s="64">
        <v>3850</v>
      </c>
      <c r="K5" s="64">
        <v>3850</v>
      </c>
      <c r="L5" s="64">
        <v>3850</v>
      </c>
      <c r="M5" s="64">
        <v>4985.3500000000004</v>
      </c>
      <c r="N5" s="64">
        <v>4985.3500000000004</v>
      </c>
    </row>
    <row r="7" spans="2:14" x14ac:dyDescent="0.25">
      <c r="B7" s="63" t="s">
        <v>113</v>
      </c>
      <c r="C7" s="61">
        <f t="shared" ref="C7:N7" si="0">SUM(C8:C12)</f>
        <v>3952.95</v>
      </c>
      <c r="D7" s="61">
        <f t="shared" si="0"/>
        <v>3723.99</v>
      </c>
      <c r="E7" s="61">
        <f t="shared" si="0"/>
        <v>3093</v>
      </c>
      <c r="F7" s="61">
        <f t="shared" si="0"/>
        <v>4328.96</v>
      </c>
      <c r="G7" s="61">
        <f t="shared" si="0"/>
        <v>3050.1800000000003</v>
      </c>
      <c r="H7" s="61">
        <f t="shared" si="0"/>
        <v>3211.11</v>
      </c>
      <c r="I7" s="61">
        <f t="shared" si="0"/>
        <v>4233.84</v>
      </c>
      <c r="J7" s="61">
        <f t="shared" si="0"/>
        <v>3534.21</v>
      </c>
      <c r="K7" s="61">
        <f t="shared" si="0"/>
        <v>3719.0899999999997</v>
      </c>
      <c r="L7" s="61">
        <f t="shared" si="0"/>
        <v>3231.87</v>
      </c>
      <c r="M7" s="61">
        <f t="shared" si="0"/>
        <v>3071.49</v>
      </c>
      <c r="N7" s="61">
        <f t="shared" si="0"/>
        <v>4324.7000000000007</v>
      </c>
    </row>
    <row r="8" spans="2:14" x14ac:dyDescent="0.25">
      <c r="B8" s="65" t="s">
        <v>128</v>
      </c>
      <c r="C8" s="66">
        <v>1970</v>
      </c>
      <c r="D8" s="66">
        <v>2250</v>
      </c>
      <c r="E8" s="66">
        <v>1970</v>
      </c>
      <c r="F8" s="66">
        <v>2770</v>
      </c>
      <c r="G8" s="66">
        <v>1970</v>
      </c>
      <c r="H8" s="66">
        <v>1970</v>
      </c>
      <c r="I8" s="66">
        <v>2520</v>
      </c>
      <c r="J8" s="66">
        <v>1970</v>
      </c>
      <c r="K8" s="66">
        <v>2150</v>
      </c>
      <c r="L8" s="66">
        <v>2010</v>
      </c>
      <c r="M8" s="66">
        <v>1970</v>
      </c>
      <c r="N8" s="66">
        <v>2200</v>
      </c>
    </row>
    <row r="9" spans="2:14" x14ac:dyDescent="0.25">
      <c r="B9" s="65" t="s">
        <v>129</v>
      </c>
      <c r="C9" s="66">
        <v>485</v>
      </c>
      <c r="D9" s="66">
        <v>682.5</v>
      </c>
      <c r="E9" s="66">
        <v>540</v>
      </c>
      <c r="F9" s="66">
        <v>501</v>
      </c>
      <c r="G9" s="66">
        <v>598.29999999999995</v>
      </c>
      <c r="H9" s="66">
        <v>743</v>
      </c>
      <c r="I9" s="66">
        <v>459.75</v>
      </c>
      <c r="J9" s="66">
        <v>765.14</v>
      </c>
      <c r="K9" s="66">
        <v>821.36</v>
      </c>
      <c r="L9" s="66">
        <v>694.19</v>
      </c>
      <c r="M9" s="66">
        <v>721.68</v>
      </c>
      <c r="N9" s="66">
        <v>945.36</v>
      </c>
    </row>
    <row r="10" spans="2:14" x14ac:dyDescent="0.25">
      <c r="B10" s="65" t="s">
        <v>130</v>
      </c>
      <c r="C10" s="66">
        <v>239.70000000000002</v>
      </c>
      <c r="D10" s="66">
        <v>273.24</v>
      </c>
      <c r="E10" s="66">
        <v>217.35</v>
      </c>
      <c r="F10" s="66">
        <v>317.71000000000004</v>
      </c>
      <c r="G10" s="66">
        <v>253.63</v>
      </c>
      <c r="H10" s="66">
        <v>240.46</v>
      </c>
      <c r="I10" s="66">
        <v>269.24</v>
      </c>
      <c r="J10" s="66">
        <v>297.14</v>
      </c>
      <c r="K10" s="66">
        <v>254.14</v>
      </c>
      <c r="L10" s="66">
        <v>284.23</v>
      </c>
      <c r="M10" s="66">
        <v>279.47000000000003</v>
      </c>
      <c r="N10" s="66">
        <v>265</v>
      </c>
    </row>
    <row r="11" spans="2:14" x14ac:dyDescent="0.25">
      <c r="B11" s="65" t="s">
        <v>131</v>
      </c>
      <c r="C11" s="66">
        <v>236.25</v>
      </c>
      <c r="D11" s="66">
        <v>493.25</v>
      </c>
      <c r="E11" s="66">
        <v>255.64999999999998</v>
      </c>
      <c r="F11" s="66">
        <v>615.25</v>
      </c>
      <c r="G11" s="66">
        <v>203.25</v>
      </c>
      <c r="H11" s="66">
        <v>257.64999999999998</v>
      </c>
      <c r="I11" s="66">
        <v>87.5</v>
      </c>
      <c r="J11" s="66">
        <v>45.65</v>
      </c>
      <c r="K11" s="66">
        <v>225.14</v>
      </c>
      <c r="L11" s="66">
        <v>93.45</v>
      </c>
      <c r="M11" s="66">
        <v>25.34</v>
      </c>
      <c r="N11" s="66">
        <v>115.78</v>
      </c>
    </row>
    <row r="12" spans="2:14" x14ac:dyDescent="0.25">
      <c r="B12" s="65" t="s">
        <v>132</v>
      </c>
      <c r="C12" s="66">
        <v>1022</v>
      </c>
      <c r="D12" s="66">
        <v>25</v>
      </c>
      <c r="E12" s="66">
        <v>110</v>
      </c>
      <c r="F12" s="66">
        <v>125</v>
      </c>
      <c r="G12" s="66">
        <v>25</v>
      </c>
      <c r="H12" s="66">
        <v>0</v>
      </c>
      <c r="I12" s="66">
        <v>897.35</v>
      </c>
      <c r="J12" s="66">
        <v>456.28</v>
      </c>
      <c r="K12" s="66">
        <v>268.45</v>
      </c>
      <c r="L12" s="66">
        <v>150</v>
      </c>
      <c r="M12" s="66">
        <v>75</v>
      </c>
      <c r="N12" s="66">
        <v>798.56</v>
      </c>
    </row>
    <row r="14" spans="2:14" x14ac:dyDescent="0.25">
      <c r="B14" s="63" t="s">
        <v>114</v>
      </c>
      <c r="C14" s="64">
        <f t="shared" ref="C14:N14" si="1">C5-C7</f>
        <v>-377.94999999999982</v>
      </c>
      <c r="D14" s="64">
        <f t="shared" si="1"/>
        <v>-148.98999999999978</v>
      </c>
      <c r="E14" s="64">
        <f t="shared" si="1"/>
        <v>482</v>
      </c>
      <c r="F14" s="64">
        <f t="shared" si="1"/>
        <v>-753.96</v>
      </c>
      <c r="G14" s="64">
        <f t="shared" si="1"/>
        <v>524.81999999999971</v>
      </c>
      <c r="H14" s="64">
        <f t="shared" si="1"/>
        <v>363.88999999999987</v>
      </c>
      <c r="I14" s="64">
        <f t="shared" si="1"/>
        <v>-383.84000000000015</v>
      </c>
      <c r="J14" s="64">
        <f t="shared" si="1"/>
        <v>315.78999999999996</v>
      </c>
      <c r="K14" s="64">
        <f t="shared" si="1"/>
        <v>130.91000000000031</v>
      </c>
      <c r="L14" s="64">
        <f t="shared" si="1"/>
        <v>618.13000000000011</v>
      </c>
      <c r="M14" s="64">
        <f t="shared" si="1"/>
        <v>1913.8600000000006</v>
      </c>
      <c r="N14" s="64">
        <f t="shared" si="1"/>
        <v>660.64999999999964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de Carvalho Navarro</dc:creator>
  <cp:lastModifiedBy>Fernando de Carvalho Navarro</cp:lastModifiedBy>
  <dcterms:created xsi:type="dcterms:W3CDTF">2016-01-22T13:57:27Z</dcterms:created>
  <dcterms:modified xsi:type="dcterms:W3CDTF">2016-01-22T16:07:26Z</dcterms:modified>
</cp:coreProperties>
</file>