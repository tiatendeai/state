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a\Documents\"/>
    </mc:Choice>
  </mc:AlternateContent>
  <xr:revisionPtr revIDLastSave="0" documentId="8_{FF7A6C74-CB2F-4964-9E36-CE868B64B496}" xr6:coauthVersionLast="37" xr6:coauthVersionMax="37" xr10:uidLastSave="{00000000-0000-0000-0000-000000000000}"/>
  <bookViews>
    <workbookView xWindow="0" yWindow="0" windowWidth="20490" windowHeight="7695" xr2:uid="{12131C8A-0EE9-4E18-B049-8C27CCC219A9}"/>
  </bookViews>
  <sheets>
    <sheet name="Lançamento" sheetId="4" r:id="rId1"/>
    <sheet name="Taxa Selic" sheetId="3" r:id="rId2"/>
  </sheets>
  <definedNames>
    <definedName name="DadosExternos_1" localSheetId="1" hidden="1">'Taxa Selic'!$A$1:$D$102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4" l="1"/>
  <c r="D8" i="4"/>
  <c r="G11" i="4"/>
  <c r="G8" i="4"/>
  <c r="H5" i="4"/>
  <c r="G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D64DCD-6899-4D36-860E-9CBE3252810C}" keepAlive="1" name="Consulta - TaxaSelic" description="Conexão com a consulta 'TaxaSelic' na pasta de trabalho." type="5" refreshedVersion="6" background="1" saveData="1">
    <dbPr connection="Provider=Microsoft.Mashup.OleDb.1;Data Source=$Workbook$;Location=TaxaSelic;Extended Properties=&quot;&quot;" command="SELECT * FROM [TaxaSelic]"/>
  </connection>
</connections>
</file>

<file path=xl/sharedStrings.xml><?xml version="1.0" encoding="utf-8"?>
<sst xmlns="http://schemas.openxmlformats.org/spreadsheetml/2006/main" count="218" uniqueCount="37">
  <si>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</si>
  <si>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</si>
  <si>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</si>
  <si>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</si>
  <si>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</si>
  <si>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</si>
  <si>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</si>
  <si>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</si>
  <si>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</si>
  <si>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</si>
  <si>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</si>
  <si>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</si>
  <si>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</si>
  <si>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</si>
  <si>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</si>
  <si>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</si>
  <si>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</si>
  <si>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</si>
  <si>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</si>
  <si>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</si>
  <si>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</si>
  <si>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Ano</t>
  </si>
  <si>
    <t>Mês</t>
  </si>
  <si>
    <t>Valor</t>
  </si>
  <si>
    <t>Data</t>
  </si>
  <si>
    <t>Data Vencimento</t>
  </si>
  <si>
    <t>Data Pagamento</t>
  </si>
  <si>
    <t>Periodo que se deve acumular</t>
  </si>
  <si>
    <t>Inicio</t>
  </si>
  <si>
    <t>Final</t>
  </si>
  <si>
    <t>Acumulado</t>
  </si>
  <si>
    <t>Soma de 1%</t>
  </si>
  <si>
    <t>Valor Original:</t>
  </si>
  <si>
    <t>Juros:</t>
  </si>
  <si>
    <t>Valor Ajustado:</t>
  </si>
  <si>
    <t>Alterar datas aqui&gt;&gt;&gt;&gt;</t>
  </si>
  <si>
    <t>Alterar valor aqui&gt;&gt;&gt;&gt;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</si>
</sst>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048AF54-FF32-4C4A-A847-5754310C8CA1}" autoFormatId="16" applyNumberFormats="0" applyBorderFormats="0" applyFontFormats="0" applyPatternFormats="0" applyAlignmentFormats="0" applyWidthHeightFormats="0">
  <queryTableRefresh nextId="6">
    <queryTableFields count="4">
      <queryTableField id="2" name="Mês" tableColumnId="2"/>
      <queryTableField id="1" name="Ano" tableColumnId="4"/>
      <queryTableField id="3" name="Valor" tableColumnId="3"/>
      <queryTableField id="4" name="Dat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70A50-32E1-4517-8F8D-860DE7F5123E}" name="TaxaSelic" displayName="TaxaSelic" ref="A1:D102" tableType="queryTable" totalsRowShown="0">
  <autoFilter ref="A1:D102" xr:uid="{8C52204D-79FB-4722-B6EE-9A58B92B9186}"/>
  <tableColumns count="4">
    <tableColumn id="2" xr3:uid="{83985F40-4289-419D-93BA-3231D1BD29AB}" uniqueName="2" name="Mês" queryTableFieldId="2" dataDxfId="2"/>
    <tableColumn id="4" xr3:uid="{D32781B1-66BF-4503-B145-F109FCBAECFF}" uniqueName="4" name="Ano" queryTableFieldId="1" dataDxfId="1"/>
    <tableColumn id="3" xr3:uid="{9D37D6C5-BA5E-4108-A841-981C4F9E421C}" uniqueName="3" name="Valor" queryTableFieldId="3"/>
    <tableColumn id="5" xr3:uid="{0D88B8B2-8C9B-4E28-BB96-9F60138CEB6F}" uniqueName="5" name="Data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30D7-0AD9-4123-B09B-B65AF700D720}">
  <dimension ref="A3:H11"/>
  <sheetViews>
    <sheetView tabSelected="1" workbookViewId="0">
      <selection activeCell="B12" sqref="B12"/>
    </sheetView>
  </sheetViews>
  <sheetFormatPr defaultRowHeight="15" x14ac:dyDescent="0.25"/>
  <cols>
    <col min="2" max="2" width="13.28515625" customWidth="1"/>
    <col min="3" max="3" width="16.42578125" bestFit="1" customWidth="1"/>
    <col min="4" max="4" width="15.5703125" bestFit="1" customWidth="1"/>
    <col min="7" max="7" width="15.85546875" customWidth="1"/>
    <col min="8" max="8" width="12.42578125" customWidth="1"/>
  </cols>
  <sheetData>
    <row r="3" spans="1:8" x14ac:dyDescent="0.25">
      <c r="C3" s="8" t="s">
        <v>25</v>
      </c>
      <c r="D3" s="8" t="s">
        <v>26</v>
      </c>
      <c r="G3" s="9" t="s">
        <v>27</v>
      </c>
      <c r="H3" s="3"/>
    </row>
    <row r="4" spans="1:8" x14ac:dyDescent="0.25">
      <c r="A4" t="s">
        <v>35</v>
      </c>
      <c r="C4" s="5">
        <v>40659</v>
      </c>
      <c r="D4" s="5">
        <v>42635</v>
      </c>
      <c r="G4" s="4" t="s">
        <v>28</v>
      </c>
      <c r="H4" s="4" t="s">
        <v>29</v>
      </c>
    </row>
    <row r="5" spans="1:8" x14ac:dyDescent="0.25">
      <c r="C5" s="4"/>
      <c r="D5" s="4"/>
      <c r="G5" s="5">
        <f>DATEVALUE("01/"&amp;TEXT(EOMONTH(C4,1),"mm/aaaa"))</f>
        <v>40664</v>
      </c>
      <c r="H5" s="5">
        <f>DATEVALUE("01/"&amp;TEXT(EOMONTH(D4,-1),"mm/aaaa"))</f>
        <v>42583</v>
      </c>
    </row>
    <row r="6" spans="1:8" x14ac:dyDescent="0.25">
      <c r="A6" t="s">
        <v>36</v>
      </c>
      <c r="C6" s="8" t="s">
        <v>32</v>
      </c>
      <c r="D6" s="7">
        <v>2900617.75</v>
      </c>
    </row>
    <row r="7" spans="1:8" x14ac:dyDescent="0.25">
      <c r="C7" s="4"/>
      <c r="D7" s="4"/>
      <c r="G7" s="8" t="s">
        <v>30</v>
      </c>
    </row>
    <row r="8" spans="1:8" x14ac:dyDescent="0.25">
      <c r="C8" s="8" t="s">
        <v>33</v>
      </c>
      <c r="D8" s="7">
        <f>D6*G11</f>
        <v>1638558.9669750002</v>
      </c>
      <c r="G8" s="6">
        <f>SUMIFS(TaxaSelic[Valor],TaxaSelic[Data],"&gt;="&amp;Lançamento!$G$5,TaxaSelic[Data],"&lt;="&amp;Lançamento!$H$5)</f>
        <v>0.55490000000000006</v>
      </c>
    </row>
    <row r="9" spans="1:8" x14ac:dyDescent="0.25">
      <c r="C9" s="4"/>
      <c r="D9" s="4"/>
    </row>
    <row r="10" spans="1:8" x14ac:dyDescent="0.25">
      <c r="C10" s="10" t="s">
        <v>34</v>
      </c>
      <c r="D10" s="11">
        <f>D6+D8</f>
        <v>4539176.7169749998</v>
      </c>
      <c r="G10" s="8" t="s">
        <v>31</v>
      </c>
    </row>
    <row r="11" spans="1:8" x14ac:dyDescent="0.25">
      <c r="G11" s="6">
        <f>$G$8+1%</f>
        <v>0.56490000000000007</v>
      </c>
    </row>
  </sheetData>
  <dataValidations count="1">
    <dataValidation type="date" operator="greaterThan" allowBlank="1" showInputMessage="1" showErrorMessage="1" sqref="C4:D4" xr:uid="{940253FD-D37F-4BC8-AF37-10EA815A43C4}">
      <formula1>40543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09F2-A91F-49ED-9BD7-913493DE2DE8}">
  <dimension ref="A1:D102"/>
  <sheetViews>
    <sheetView topLeftCell="A80" workbookViewId="0">
      <selection activeCell="D102" sqref="D102"/>
    </sheetView>
  </sheetViews>
  <sheetFormatPr defaultRowHeight="15" x14ac:dyDescent="0.25"/>
  <cols>
    <col min="1" max="1" width="10.42578125" bestFit="1" customWidth="1"/>
    <col min="2" max="2" width="6.85546875" bestFit="1" customWidth="1"/>
    <col min="3" max="3" width="8" bestFit="1" customWidth="1"/>
    <col min="4" max="4" width="10.7109375" bestFit="1" customWidth="1"/>
  </cols>
  <sheetData>
    <row r="1" spans="1:4" x14ac:dyDescent="0.25">
      <c r="A1" s="1" t="s">
        <v>22</v>
      </c>
      <c r="B1" s="1" t="s">
        <v>21</v>
      </c>
      <c r="C1" s="1" t="s">
        <v>23</v>
      </c>
      <c r="D1" t="s">
        <v>24</v>
      </c>
    </row>
    <row r="2" spans="1:4" x14ac:dyDescent="0.25">
      <c r="A2" s="1" t="s">
        <v>0</v>
      </c>
      <c r="B2" s="1" t="s">
        <v>12</v>
      </c>
      <c r="C2" s="1">
        <v>8.6E-3</v>
      </c>
      <c r="D2" s="2">
        <v>40544</v>
      </c>
    </row>
    <row r="3" spans="1:4" x14ac:dyDescent="0.25">
      <c r="A3" s="1" t="s">
        <v>1</v>
      </c>
      <c r="B3" s="1" t="s">
        <v>12</v>
      </c>
      <c r="C3" s="1">
        <v>8.3999999999999995E-3</v>
      </c>
      <c r="D3" s="2">
        <v>40575</v>
      </c>
    </row>
    <row r="4" spans="1:4" x14ac:dyDescent="0.25">
      <c r="A4" s="1" t="s">
        <v>2</v>
      </c>
      <c r="B4" s="1" t="s">
        <v>12</v>
      </c>
      <c r="C4" s="1">
        <v>9.1999999999999998E-3</v>
      </c>
      <c r="D4" s="2">
        <v>40603</v>
      </c>
    </row>
    <row r="5" spans="1:4" x14ac:dyDescent="0.25">
      <c r="A5" s="1" t="s">
        <v>3</v>
      </c>
      <c r="B5" s="1" t="s">
        <v>12</v>
      </c>
      <c r="C5" s="1">
        <v>8.3999999999999995E-3</v>
      </c>
      <c r="D5" s="2">
        <v>40634</v>
      </c>
    </row>
    <row r="6" spans="1:4" x14ac:dyDescent="0.25">
      <c r="A6" s="1" t="s">
        <v>4</v>
      </c>
      <c r="B6" s="1" t="s">
        <v>12</v>
      </c>
      <c r="C6" s="1">
        <v>9.9000000000000008E-3</v>
      </c>
      <c r="D6" s="2">
        <v>40664</v>
      </c>
    </row>
    <row r="7" spans="1:4" x14ac:dyDescent="0.25">
      <c r="A7" s="1" t="s">
        <v>5</v>
      </c>
      <c r="B7" s="1" t="s">
        <v>12</v>
      </c>
      <c r="C7" s="1">
        <v>9.5999999999999992E-3</v>
      </c>
      <c r="D7" s="2">
        <v>40695</v>
      </c>
    </row>
    <row r="8" spans="1:4" x14ac:dyDescent="0.25">
      <c r="A8" s="1" t="s">
        <v>6</v>
      </c>
      <c r="B8" s="1" t="s">
        <v>12</v>
      </c>
      <c r="C8" s="1">
        <v>9.7000000000000003E-3</v>
      </c>
      <c r="D8" s="2">
        <v>40725</v>
      </c>
    </row>
    <row r="9" spans="1:4" x14ac:dyDescent="0.25">
      <c r="A9" s="1" t="s">
        <v>7</v>
      </c>
      <c r="B9" s="1" t="s">
        <v>12</v>
      </c>
      <c r="C9" s="1">
        <v>1.0699999999999999E-2</v>
      </c>
      <c r="D9" s="2">
        <v>40756</v>
      </c>
    </row>
    <row r="10" spans="1:4" x14ac:dyDescent="0.25">
      <c r="A10" s="1" t="s">
        <v>8</v>
      </c>
      <c r="B10" s="1" t="s">
        <v>12</v>
      </c>
      <c r="C10" s="1">
        <v>9.4000000000000004E-3</v>
      </c>
      <c r="D10" s="2">
        <v>40787</v>
      </c>
    </row>
    <row r="11" spans="1:4" x14ac:dyDescent="0.25">
      <c r="A11" s="1" t="s">
        <v>9</v>
      </c>
      <c r="B11" s="1" t="s">
        <v>12</v>
      </c>
      <c r="C11" s="1">
        <v>8.8000000000000005E-3</v>
      </c>
      <c r="D11" s="2">
        <v>40817</v>
      </c>
    </row>
    <row r="12" spans="1:4" x14ac:dyDescent="0.25">
      <c r="A12" s="1" t="s">
        <v>10</v>
      </c>
      <c r="B12" s="1" t="s">
        <v>12</v>
      </c>
      <c r="C12" s="1">
        <v>8.6E-3</v>
      </c>
      <c r="D12" s="2">
        <v>40848</v>
      </c>
    </row>
    <row r="13" spans="1:4" x14ac:dyDescent="0.25">
      <c r="A13" s="1" t="s">
        <v>11</v>
      </c>
      <c r="B13" s="1" t="s">
        <v>12</v>
      </c>
      <c r="C13" s="1">
        <v>9.1000000000000004E-3</v>
      </c>
      <c r="D13" s="2">
        <v>40878</v>
      </c>
    </row>
    <row r="14" spans="1:4" x14ac:dyDescent="0.25">
      <c r="A14" s="1" t="s">
        <v>0</v>
      </c>
      <c r="B14" s="1" t="s">
        <v>13</v>
      </c>
      <c r="C14" s="1">
        <v>8.8999999999999999E-3</v>
      </c>
      <c r="D14" s="2">
        <v>40909</v>
      </c>
    </row>
    <row r="15" spans="1:4" x14ac:dyDescent="0.25">
      <c r="A15" s="1" t="s">
        <v>1</v>
      </c>
      <c r="B15" s="1" t="s">
        <v>13</v>
      </c>
      <c r="C15" s="1">
        <v>7.4999999999999997E-3</v>
      </c>
      <c r="D15" s="2">
        <v>40940</v>
      </c>
    </row>
    <row r="16" spans="1:4" x14ac:dyDescent="0.25">
      <c r="A16" s="1" t="s">
        <v>2</v>
      </c>
      <c r="B16" s="1" t="s">
        <v>13</v>
      </c>
      <c r="C16" s="1">
        <v>8.2000000000000007E-3</v>
      </c>
      <c r="D16" s="2">
        <v>40969</v>
      </c>
    </row>
    <row r="17" spans="1:4" x14ac:dyDescent="0.25">
      <c r="A17" s="1" t="s">
        <v>3</v>
      </c>
      <c r="B17" s="1" t="s">
        <v>13</v>
      </c>
      <c r="C17" s="1">
        <v>7.1000000000000004E-3</v>
      </c>
      <c r="D17" s="2">
        <v>41000</v>
      </c>
    </row>
    <row r="18" spans="1:4" x14ac:dyDescent="0.25">
      <c r="A18" s="1" t="s">
        <v>4</v>
      </c>
      <c r="B18" s="1" t="s">
        <v>13</v>
      </c>
      <c r="C18" s="1">
        <v>7.4000000000000003E-3</v>
      </c>
      <c r="D18" s="2">
        <v>41030</v>
      </c>
    </row>
    <row r="19" spans="1:4" x14ac:dyDescent="0.25">
      <c r="A19" s="1" t="s">
        <v>5</v>
      </c>
      <c r="B19" s="1" t="s">
        <v>13</v>
      </c>
      <c r="C19" s="1">
        <v>6.4000000000000003E-3</v>
      </c>
      <c r="D19" s="2">
        <v>41061</v>
      </c>
    </row>
    <row r="20" spans="1:4" x14ac:dyDescent="0.25">
      <c r="A20" s="1" t="s">
        <v>6</v>
      </c>
      <c r="B20" s="1" t="s">
        <v>13</v>
      </c>
      <c r="C20" s="1">
        <v>6.7999999999999996E-3</v>
      </c>
      <c r="D20" s="2">
        <v>41091</v>
      </c>
    </row>
    <row r="21" spans="1:4" x14ac:dyDescent="0.25">
      <c r="A21" s="1" t="s">
        <v>7</v>
      </c>
      <c r="B21" s="1" t="s">
        <v>13</v>
      </c>
      <c r="C21" s="1">
        <v>6.8999999999999999E-3</v>
      </c>
      <c r="D21" s="2">
        <v>41122</v>
      </c>
    </row>
    <row r="22" spans="1:4" x14ac:dyDescent="0.25">
      <c r="A22" s="1" t="s">
        <v>8</v>
      </c>
      <c r="B22" s="1" t="s">
        <v>13</v>
      </c>
      <c r="C22" s="1">
        <v>5.4000000000000003E-3</v>
      </c>
      <c r="D22" s="2">
        <v>41153</v>
      </c>
    </row>
    <row r="23" spans="1:4" x14ac:dyDescent="0.25">
      <c r="A23" s="1" t="s">
        <v>9</v>
      </c>
      <c r="B23" s="1" t="s">
        <v>13</v>
      </c>
      <c r="C23" s="1">
        <v>6.1000000000000004E-3</v>
      </c>
      <c r="D23" s="2">
        <v>41183</v>
      </c>
    </row>
    <row r="24" spans="1:4" x14ac:dyDescent="0.25">
      <c r="A24" s="1" t="s">
        <v>10</v>
      </c>
      <c r="B24" s="1" t="s">
        <v>13</v>
      </c>
      <c r="C24" s="1">
        <v>5.4999999999999997E-3</v>
      </c>
      <c r="D24" s="2">
        <v>41214</v>
      </c>
    </row>
    <row r="25" spans="1:4" x14ac:dyDescent="0.25">
      <c r="A25" s="1" t="s">
        <v>11</v>
      </c>
      <c r="B25" s="1" t="s">
        <v>13</v>
      </c>
      <c r="C25" s="1">
        <v>5.4999999999999997E-3</v>
      </c>
      <c r="D25" s="2">
        <v>41244</v>
      </c>
    </row>
    <row r="26" spans="1:4" x14ac:dyDescent="0.25">
      <c r="A26" s="1" t="s">
        <v>0</v>
      </c>
      <c r="B26" s="1" t="s">
        <v>14</v>
      </c>
      <c r="C26" s="1">
        <v>6.0000000000000001E-3</v>
      </c>
      <c r="D26" s="2">
        <v>41275</v>
      </c>
    </row>
    <row r="27" spans="1:4" x14ac:dyDescent="0.25">
      <c r="A27" s="1" t="s">
        <v>1</v>
      </c>
      <c r="B27" s="1" t="s">
        <v>14</v>
      </c>
      <c r="C27" s="1">
        <v>4.8999999999999998E-3</v>
      </c>
      <c r="D27" s="2">
        <v>41306</v>
      </c>
    </row>
    <row r="28" spans="1:4" x14ac:dyDescent="0.25">
      <c r="A28" s="1" t="s">
        <v>2</v>
      </c>
      <c r="B28" s="1" t="s">
        <v>14</v>
      </c>
      <c r="C28" s="1">
        <v>5.4999999999999997E-3</v>
      </c>
      <c r="D28" s="2">
        <v>41334</v>
      </c>
    </row>
    <row r="29" spans="1:4" x14ac:dyDescent="0.25">
      <c r="A29" s="1" t="s">
        <v>3</v>
      </c>
      <c r="B29" s="1" t="s">
        <v>14</v>
      </c>
      <c r="C29" s="1">
        <v>6.1000000000000004E-3</v>
      </c>
      <c r="D29" s="2">
        <v>41365</v>
      </c>
    </row>
    <row r="30" spans="1:4" x14ac:dyDescent="0.25">
      <c r="A30" s="1" t="s">
        <v>4</v>
      </c>
      <c r="B30" s="1" t="s">
        <v>14</v>
      </c>
      <c r="C30" s="1">
        <v>6.0000000000000001E-3</v>
      </c>
      <c r="D30" s="2">
        <v>41395</v>
      </c>
    </row>
    <row r="31" spans="1:4" x14ac:dyDescent="0.25">
      <c r="A31" s="1" t="s">
        <v>5</v>
      </c>
      <c r="B31" s="1" t="s">
        <v>14</v>
      </c>
      <c r="C31" s="1">
        <v>6.1000000000000004E-3</v>
      </c>
      <c r="D31" s="2">
        <v>41426</v>
      </c>
    </row>
    <row r="32" spans="1:4" x14ac:dyDescent="0.25">
      <c r="A32" s="1" t="s">
        <v>6</v>
      </c>
      <c r="B32" s="1" t="s">
        <v>14</v>
      </c>
      <c r="C32" s="1">
        <v>7.1999999999999998E-3</v>
      </c>
      <c r="D32" s="2">
        <v>41456</v>
      </c>
    </row>
    <row r="33" spans="1:4" x14ac:dyDescent="0.25">
      <c r="A33" s="1" t="s">
        <v>7</v>
      </c>
      <c r="B33" s="1" t="s">
        <v>14</v>
      </c>
      <c r="C33" s="1">
        <v>7.1000000000000004E-3</v>
      </c>
      <c r="D33" s="2">
        <v>41487</v>
      </c>
    </row>
    <row r="34" spans="1:4" x14ac:dyDescent="0.25">
      <c r="A34" s="1" t="s">
        <v>8</v>
      </c>
      <c r="B34" s="1" t="s">
        <v>14</v>
      </c>
      <c r="C34" s="1">
        <v>7.1000000000000004E-3</v>
      </c>
      <c r="D34" s="2">
        <v>41518</v>
      </c>
    </row>
    <row r="35" spans="1:4" x14ac:dyDescent="0.25">
      <c r="A35" s="1" t="s">
        <v>9</v>
      </c>
      <c r="B35" s="1" t="s">
        <v>14</v>
      </c>
      <c r="C35" s="1">
        <v>8.0999999999999996E-3</v>
      </c>
      <c r="D35" s="2">
        <v>41548</v>
      </c>
    </row>
    <row r="36" spans="1:4" x14ac:dyDescent="0.25">
      <c r="A36" s="1" t="s">
        <v>10</v>
      </c>
      <c r="B36" s="1" t="s">
        <v>14</v>
      </c>
      <c r="C36" s="1">
        <v>7.1999999999999998E-3</v>
      </c>
      <c r="D36" s="2">
        <v>41579</v>
      </c>
    </row>
    <row r="37" spans="1:4" x14ac:dyDescent="0.25">
      <c r="A37" s="1" t="s">
        <v>11</v>
      </c>
      <c r="B37" s="1" t="s">
        <v>14</v>
      </c>
      <c r="C37" s="1">
        <v>7.9000000000000008E-3</v>
      </c>
      <c r="D37" s="2">
        <v>41609</v>
      </c>
    </row>
    <row r="38" spans="1:4" x14ac:dyDescent="0.25">
      <c r="A38" s="1" t="s">
        <v>0</v>
      </c>
      <c r="B38" s="1" t="s">
        <v>15</v>
      </c>
      <c r="C38" s="1">
        <v>8.5000000000000006E-3</v>
      </c>
      <c r="D38" s="2">
        <v>41640</v>
      </c>
    </row>
    <row r="39" spans="1:4" x14ac:dyDescent="0.25">
      <c r="A39" s="1" t="s">
        <v>1</v>
      </c>
      <c r="B39" s="1" t="s">
        <v>15</v>
      </c>
      <c r="C39" s="1">
        <v>7.9000000000000008E-3</v>
      </c>
      <c r="D39" s="2">
        <v>41671</v>
      </c>
    </row>
    <row r="40" spans="1:4" x14ac:dyDescent="0.25">
      <c r="A40" s="1" t="s">
        <v>2</v>
      </c>
      <c r="B40" s="1" t="s">
        <v>15</v>
      </c>
      <c r="C40" s="1">
        <v>7.7000000000000002E-3</v>
      </c>
      <c r="D40" s="2">
        <v>41699</v>
      </c>
    </row>
    <row r="41" spans="1:4" x14ac:dyDescent="0.25">
      <c r="A41" s="1" t="s">
        <v>3</v>
      </c>
      <c r="B41" s="1" t="s">
        <v>15</v>
      </c>
      <c r="C41" s="1">
        <v>8.2000000000000007E-3</v>
      </c>
      <c r="D41" s="2">
        <v>41730</v>
      </c>
    </row>
    <row r="42" spans="1:4" x14ac:dyDescent="0.25">
      <c r="A42" s="1" t="s">
        <v>4</v>
      </c>
      <c r="B42" s="1" t="s">
        <v>15</v>
      </c>
      <c r="C42" s="1">
        <v>8.6999999999999994E-3</v>
      </c>
      <c r="D42" s="2">
        <v>41760</v>
      </c>
    </row>
    <row r="43" spans="1:4" x14ac:dyDescent="0.25">
      <c r="A43" s="1" t="s">
        <v>5</v>
      </c>
      <c r="B43" s="1" t="s">
        <v>15</v>
      </c>
      <c r="C43" s="1">
        <v>8.2000000000000007E-3</v>
      </c>
      <c r="D43" s="2">
        <v>41791</v>
      </c>
    </row>
    <row r="44" spans="1:4" x14ac:dyDescent="0.25">
      <c r="A44" s="1" t="s">
        <v>6</v>
      </c>
      <c r="B44" s="1" t="s">
        <v>15</v>
      </c>
      <c r="C44" s="1">
        <v>9.4999999999999998E-3</v>
      </c>
      <c r="D44" s="2">
        <v>41821</v>
      </c>
    </row>
    <row r="45" spans="1:4" x14ac:dyDescent="0.25">
      <c r="A45" s="1" t="s">
        <v>7</v>
      </c>
      <c r="B45" s="1" t="s">
        <v>15</v>
      </c>
      <c r="C45" s="1">
        <v>8.6999999999999994E-3</v>
      </c>
      <c r="D45" s="2">
        <v>41852</v>
      </c>
    </row>
    <row r="46" spans="1:4" x14ac:dyDescent="0.25">
      <c r="A46" s="1" t="s">
        <v>8</v>
      </c>
      <c r="B46" s="1" t="s">
        <v>15</v>
      </c>
      <c r="C46" s="1">
        <v>9.1000000000000004E-3</v>
      </c>
      <c r="D46" s="2">
        <v>41883</v>
      </c>
    </row>
    <row r="47" spans="1:4" x14ac:dyDescent="0.25">
      <c r="A47" s="1" t="s">
        <v>9</v>
      </c>
      <c r="B47" s="1" t="s">
        <v>15</v>
      </c>
      <c r="C47" s="1">
        <v>9.4999999999999998E-3</v>
      </c>
      <c r="D47" s="2">
        <v>41913</v>
      </c>
    </row>
    <row r="48" spans="1:4" x14ac:dyDescent="0.25">
      <c r="A48" s="1" t="s">
        <v>10</v>
      </c>
      <c r="B48" s="1" t="s">
        <v>15</v>
      </c>
      <c r="C48" s="1">
        <v>8.3999999999999995E-3</v>
      </c>
      <c r="D48" s="2">
        <v>41944</v>
      </c>
    </row>
    <row r="49" spans="1:4" x14ac:dyDescent="0.25">
      <c r="A49" s="1" t="s">
        <v>11</v>
      </c>
      <c r="B49" s="1" t="s">
        <v>15</v>
      </c>
      <c r="C49" s="1">
        <v>9.5999999999999992E-3</v>
      </c>
      <c r="D49" s="2">
        <v>41974</v>
      </c>
    </row>
    <row r="50" spans="1:4" x14ac:dyDescent="0.25">
      <c r="A50" s="1" t="s">
        <v>0</v>
      </c>
      <c r="B50" s="1" t="s">
        <v>16</v>
      </c>
      <c r="C50" s="1">
        <v>9.4000000000000004E-3</v>
      </c>
      <c r="D50" s="2">
        <v>42005</v>
      </c>
    </row>
    <row r="51" spans="1:4" x14ac:dyDescent="0.25">
      <c r="A51" s="1" t="s">
        <v>1</v>
      </c>
      <c r="B51" s="1" t="s">
        <v>16</v>
      </c>
      <c r="C51" s="1">
        <v>8.2000000000000007E-3</v>
      </c>
      <c r="D51" s="2">
        <v>42036</v>
      </c>
    </row>
    <row r="52" spans="1:4" x14ac:dyDescent="0.25">
      <c r="A52" s="1" t="s">
        <v>2</v>
      </c>
      <c r="B52" s="1" t="s">
        <v>16</v>
      </c>
      <c r="C52" s="1">
        <v>1.04E-2</v>
      </c>
      <c r="D52" s="2">
        <v>42064</v>
      </c>
    </row>
    <row r="53" spans="1:4" x14ac:dyDescent="0.25">
      <c r="A53" s="1" t="s">
        <v>3</v>
      </c>
      <c r="B53" s="1" t="s">
        <v>16</v>
      </c>
      <c r="C53" s="1">
        <v>9.4999999999999998E-3</v>
      </c>
      <c r="D53" s="2">
        <v>42095</v>
      </c>
    </row>
    <row r="54" spans="1:4" x14ac:dyDescent="0.25">
      <c r="A54" s="1" t="s">
        <v>4</v>
      </c>
      <c r="B54" s="1" t="s">
        <v>16</v>
      </c>
      <c r="C54" s="1">
        <v>9.9000000000000008E-3</v>
      </c>
      <c r="D54" s="2">
        <v>42125</v>
      </c>
    </row>
    <row r="55" spans="1:4" x14ac:dyDescent="0.25">
      <c r="A55" s="1" t="s">
        <v>5</v>
      </c>
      <c r="B55" s="1" t="s">
        <v>16</v>
      </c>
      <c r="C55" s="1">
        <v>1.0699999999999999E-2</v>
      </c>
      <c r="D55" s="2">
        <v>42156</v>
      </c>
    </row>
    <row r="56" spans="1:4" x14ac:dyDescent="0.25">
      <c r="A56" s="1" t="s">
        <v>6</v>
      </c>
      <c r="B56" s="1" t="s">
        <v>16</v>
      </c>
      <c r="C56" s="1">
        <v>1.18E-2</v>
      </c>
      <c r="D56" s="2">
        <v>42186</v>
      </c>
    </row>
    <row r="57" spans="1:4" x14ac:dyDescent="0.25">
      <c r="A57" s="1" t="s">
        <v>7</v>
      </c>
      <c r="B57" s="1" t="s">
        <v>16</v>
      </c>
      <c r="C57" s="1">
        <v>1.11E-2</v>
      </c>
      <c r="D57" s="2">
        <v>42217</v>
      </c>
    </row>
    <row r="58" spans="1:4" x14ac:dyDescent="0.25">
      <c r="A58" s="1" t="s">
        <v>8</v>
      </c>
      <c r="B58" s="1" t="s">
        <v>16</v>
      </c>
      <c r="C58" s="1">
        <v>1.11E-2</v>
      </c>
      <c r="D58" s="2">
        <v>42248</v>
      </c>
    </row>
    <row r="59" spans="1:4" x14ac:dyDescent="0.25">
      <c r="A59" s="1" t="s">
        <v>9</v>
      </c>
      <c r="B59" s="1" t="s">
        <v>16</v>
      </c>
      <c r="C59" s="1">
        <v>1.11E-2</v>
      </c>
      <c r="D59" s="2">
        <v>42278</v>
      </c>
    </row>
    <row r="60" spans="1:4" x14ac:dyDescent="0.25">
      <c r="A60" s="1" t="s">
        <v>10</v>
      </c>
      <c r="B60" s="1" t="s">
        <v>16</v>
      </c>
      <c r="C60" s="1">
        <v>1.06E-2</v>
      </c>
      <c r="D60" s="2">
        <v>42309</v>
      </c>
    </row>
    <row r="61" spans="1:4" x14ac:dyDescent="0.25">
      <c r="A61" s="1" t="s">
        <v>11</v>
      </c>
      <c r="B61" s="1" t="s">
        <v>16</v>
      </c>
      <c r="C61" s="1">
        <v>1.1599999999999999E-2</v>
      </c>
      <c r="D61" s="2">
        <v>42339</v>
      </c>
    </row>
    <row r="62" spans="1:4" x14ac:dyDescent="0.25">
      <c r="A62" s="1" t="s">
        <v>0</v>
      </c>
      <c r="B62" s="1" t="s">
        <v>17</v>
      </c>
      <c r="C62" s="1">
        <v>1.06E-2</v>
      </c>
      <c r="D62" s="2">
        <v>42370</v>
      </c>
    </row>
    <row r="63" spans="1:4" x14ac:dyDescent="0.25">
      <c r="A63" s="1" t="s">
        <v>1</v>
      </c>
      <c r="B63" s="1" t="s">
        <v>17</v>
      </c>
      <c r="C63" s="1">
        <v>0.01</v>
      </c>
      <c r="D63" s="2">
        <v>42401</v>
      </c>
    </row>
    <row r="64" spans="1:4" x14ac:dyDescent="0.25">
      <c r="A64" s="1" t="s">
        <v>2</v>
      </c>
      <c r="B64" s="1" t="s">
        <v>17</v>
      </c>
      <c r="C64" s="1">
        <v>1.1599999999999999E-2</v>
      </c>
      <c r="D64" s="2">
        <v>42430</v>
      </c>
    </row>
    <row r="65" spans="1:4" x14ac:dyDescent="0.25">
      <c r="A65" s="1" t="s">
        <v>3</v>
      </c>
      <c r="B65" s="1" t="s">
        <v>17</v>
      </c>
      <c r="C65" s="1">
        <v>1.06E-2</v>
      </c>
      <c r="D65" s="2">
        <v>42461</v>
      </c>
    </row>
    <row r="66" spans="1:4" x14ac:dyDescent="0.25">
      <c r="A66" s="1" t="s">
        <v>4</v>
      </c>
      <c r="B66" s="1" t="s">
        <v>17</v>
      </c>
      <c r="C66" s="1">
        <v>1.11E-2</v>
      </c>
      <c r="D66" s="2">
        <v>42491</v>
      </c>
    </row>
    <row r="67" spans="1:4" x14ac:dyDescent="0.25">
      <c r="A67" s="1" t="s">
        <v>5</v>
      </c>
      <c r="B67" s="1" t="s">
        <v>17</v>
      </c>
      <c r="C67">
        <v>1.1599999999999999E-2</v>
      </c>
      <c r="D67" s="2">
        <v>42522</v>
      </c>
    </row>
    <row r="68" spans="1:4" x14ac:dyDescent="0.25">
      <c r="A68" s="1" t="s">
        <v>6</v>
      </c>
      <c r="B68" s="1" t="s">
        <v>17</v>
      </c>
      <c r="C68">
        <v>1.11E-2</v>
      </c>
      <c r="D68" s="2">
        <v>42552</v>
      </c>
    </row>
    <row r="69" spans="1:4" x14ac:dyDescent="0.25">
      <c r="A69" s="1" t="s">
        <v>7</v>
      </c>
      <c r="B69" s="1" t="s">
        <v>17</v>
      </c>
      <c r="C69">
        <v>1.2200000000000001E-2</v>
      </c>
      <c r="D69" s="2">
        <v>42583</v>
      </c>
    </row>
    <row r="70" spans="1:4" x14ac:dyDescent="0.25">
      <c r="A70" s="1" t="s">
        <v>8</v>
      </c>
      <c r="B70" s="1" t="s">
        <v>17</v>
      </c>
      <c r="C70">
        <v>1.11E-2</v>
      </c>
      <c r="D70" s="2">
        <v>42614</v>
      </c>
    </row>
    <row r="71" spans="1:4" x14ac:dyDescent="0.25">
      <c r="A71" s="1" t="s">
        <v>9</v>
      </c>
      <c r="B71" s="1" t="s">
        <v>17</v>
      </c>
      <c r="C71">
        <v>1.0500000000000001E-2</v>
      </c>
      <c r="D71" s="2">
        <v>42644</v>
      </c>
    </row>
    <row r="72" spans="1:4" x14ac:dyDescent="0.25">
      <c r="A72" s="1" t="s">
        <v>10</v>
      </c>
      <c r="B72" s="1" t="s">
        <v>17</v>
      </c>
      <c r="C72">
        <v>1.04E-2</v>
      </c>
      <c r="D72" s="2">
        <v>42675</v>
      </c>
    </row>
    <row r="73" spans="1:4" x14ac:dyDescent="0.25">
      <c r="A73" s="1" t="s">
        <v>11</v>
      </c>
      <c r="B73" s="1" t="s">
        <v>17</v>
      </c>
      <c r="C73">
        <v>1.12E-2</v>
      </c>
      <c r="D73" s="2">
        <v>42705</v>
      </c>
    </row>
    <row r="74" spans="1:4" x14ac:dyDescent="0.25">
      <c r="A74" s="1" t="s">
        <v>0</v>
      </c>
      <c r="B74" s="1" t="s">
        <v>18</v>
      </c>
      <c r="C74">
        <v>1.09E-2</v>
      </c>
      <c r="D74" s="2">
        <v>42736</v>
      </c>
    </row>
    <row r="75" spans="1:4" x14ac:dyDescent="0.25">
      <c r="A75" s="1" t="s">
        <v>1</v>
      </c>
      <c r="B75" s="1" t="s">
        <v>18</v>
      </c>
      <c r="C75">
        <v>8.6999999999999994E-3</v>
      </c>
      <c r="D75" s="2">
        <v>42767</v>
      </c>
    </row>
    <row r="76" spans="1:4" x14ac:dyDescent="0.25">
      <c r="A76" s="1" t="s">
        <v>2</v>
      </c>
      <c r="B76" s="1" t="s">
        <v>18</v>
      </c>
      <c r="C76">
        <v>1.0500000000000001E-2</v>
      </c>
      <c r="D76" s="2">
        <v>42795</v>
      </c>
    </row>
    <row r="77" spans="1:4" x14ac:dyDescent="0.25">
      <c r="A77" s="1" t="s">
        <v>3</v>
      </c>
      <c r="B77" s="1" t="s">
        <v>18</v>
      </c>
      <c r="C77">
        <v>7.9000000000000008E-3</v>
      </c>
      <c r="D77" s="2">
        <v>42826</v>
      </c>
    </row>
    <row r="78" spans="1:4" x14ac:dyDescent="0.25">
      <c r="A78" s="1" t="s">
        <v>4</v>
      </c>
      <c r="B78" s="1" t="s">
        <v>18</v>
      </c>
      <c r="C78">
        <v>9.2999999999999992E-3</v>
      </c>
      <c r="D78" s="2">
        <v>42856</v>
      </c>
    </row>
    <row r="79" spans="1:4" x14ac:dyDescent="0.25">
      <c r="A79" s="1" t="s">
        <v>5</v>
      </c>
      <c r="B79" s="1" t="s">
        <v>18</v>
      </c>
      <c r="C79">
        <v>8.0999999999999996E-3</v>
      </c>
      <c r="D79" s="2">
        <v>42887</v>
      </c>
    </row>
    <row r="80" spans="1:4" x14ac:dyDescent="0.25">
      <c r="A80" s="1" t="s">
        <v>6</v>
      </c>
      <c r="B80" s="1" t="s">
        <v>18</v>
      </c>
      <c r="C80">
        <v>8.0000000000000002E-3</v>
      </c>
      <c r="D80" s="2">
        <v>42917</v>
      </c>
    </row>
    <row r="81" spans="1:4" x14ac:dyDescent="0.25">
      <c r="A81" s="1" t="s">
        <v>7</v>
      </c>
      <c r="B81" s="1" t="s">
        <v>18</v>
      </c>
      <c r="C81">
        <v>8.0000000000000002E-3</v>
      </c>
      <c r="D81" s="2">
        <v>42948</v>
      </c>
    </row>
    <row r="82" spans="1:4" x14ac:dyDescent="0.25">
      <c r="A82" s="1" t="s">
        <v>8</v>
      </c>
      <c r="B82" s="1" t="s">
        <v>18</v>
      </c>
      <c r="C82">
        <v>6.4000000000000003E-3</v>
      </c>
      <c r="D82" s="2">
        <v>42979</v>
      </c>
    </row>
    <row r="83" spans="1:4" x14ac:dyDescent="0.25">
      <c r="A83" s="1" t="s">
        <v>9</v>
      </c>
      <c r="B83" s="1" t="s">
        <v>18</v>
      </c>
      <c r="C83">
        <v>6.4000000000000003E-3</v>
      </c>
      <c r="D83" s="2">
        <v>43009</v>
      </c>
    </row>
    <row r="84" spans="1:4" x14ac:dyDescent="0.25">
      <c r="A84" s="1" t="s">
        <v>10</v>
      </c>
      <c r="B84" s="1" t="s">
        <v>18</v>
      </c>
      <c r="C84">
        <v>5.7000000000000002E-3</v>
      </c>
      <c r="D84" s="2">
        <v>43040</v>
      </c>
    </row>
    <row r="85" spans="1:4" x14ac:dyDescent="0.25">
      <c r="A85" s="1" t="s">
        <v>11</v>
      </c>
      <c r="B85" s="1" t="s">
        <v>18</v>
      </c>
      <c r="C85">
        <v>5.4000000000000003E-3</v>
      </c>
      <c r="D85" s="2">
        <v>43070</v>
      </c>
    </row>
    <row r="86" spans="1:4" x14ac:dyDescent="0.25">
      <c r="A86" s="1" t="s">
        <v>0</v>
      </c>
      <c r="B86" s="1" t="s">
        <v>19</v>
      </c>
      <c r="C86">
        <v>5.7999999999999996E-3</v>
      </c>
      <c r="D86" s="2">
        <v>43101</v>
      </c>
    </row>
    <row r="87" spans="1:4" x14ac:dyDescent="0.25">
      <c r="A87" s="1" t="s">
        <v>1</v>
      </c>
      <c r="B87" s="1" t="s">
        <v>19</v>
      </c>
      <c r="C87">
        <v>4.7000000000000002E-3</v>
      </c>
      <c r="D87" s="2">
        <v>43132</v>
      </c>
    </row>
    <row r="88" spans="1:4" x14ac:dyDescent="0.25">
      <c r="A88" s="1" t="s">
        <v>2</v>
      </c>
      <c r="B88" s="1" t="s">
        <v>19</v>
      </c>
      <c r="C88">
        <v>5.3E-3</v>
      </c>
      <c r="D88" s="2">
        <v>43160</v>
      </c>
    </row>
    <row r="89" spans="1:4" x14ac:dyDescent="0.25">
      <c r="A89" s="1" t="s">
        <v>3</v>
      </c>
      <c r="B89" s="1" t="s">
        <v>19</v>
      </c>
      <c r="C89">
        <v>5.1999999999999998E-3</v>
      </c>
      <c r="D89" s="2">
        <v>43191</v>
      </c>
    </row>
    <row r="90" spans="1:4" x14ac:dyDescent="0.25">
      <c r="A90" s="1" t="s">
        <v>4</v>
      </c>
      <c r="B90" s="1" t="s">
        <v>19</v>
      </c>
      <c r="C90">
        <v>5.1999999999999998E-3</v>
      </c>
      <c r="D90" s="2">
        <v>43221</v>
      </c>
    </row>
    <row r="91" spans="1:4" x14ac:dyDescent="0.25">
      <c r="A91" s="1" t="s">
        <v>5</v>
      </c>
      <c r="B91" s="1" t="s">
        <v>19</v>
      </c>
      <c r="C91">
        <v>5.1999999999999998E-3</v>
      </c>
      <c r="D91" s="2">
        <v>43252</v>
      </c>
    </row>
    <row r="92" spans="1:4" x14ac:dyDescent="0.25">
      <c r="A92" s="1" t="s">
        <v>6</v>
      </c>
      <c r="B92" s="1" t="s">
        <v>19</v>
      </c>
      <c r="C92">
        <v>5.4000000000000003E-3</v>
      </c>
      <c r="D92" s="2">
        <v>43282</v>
      </c>
    </row>
    <row r="93" spans="1:4" x14ac:dyDescent="0.25">
      <c r="A93" s="1" t="s">
        <v>7</v>
      </c>
      <c r="B93" s="1" t="s">
        <v>19</v>
      </c>
      <c r="C93">
        <v>5.7000000000000002E-3</v>
      </c>
      <c r="D93" s="2">
        <v>43313</v>
      </c>
    </row>
    <row r="94" spans="1:4" x14ac:dyDescent="0.25">
      <c r="A94" s="1" t="s">
        <v>8</v>
      </c>
      <c r="B94" s="1" t="s">
        <v>19</v>
      </c>
      <c r="C94">
        <v>4.7000000000000002E-3</v>
      </c>
      <c r="D94" s="2">
        <v>43344</v>
      </c>
    </row>
    <row r="95" spans="1:4" x14ac:dyDescent="0.25">
      <c r="A95" s="1" t="s">
        <v>9</v>
      </c>
      <c r="B95" s="1" t="s">
        <v>19</v>
      </c>
      <c r="C95">
        <v>5.4000000000000003E-3</v>
      </c>
      <c r="D95" s="2">
        <v>43374</v>
      </c>
    </row>
    <row r="96" spans="1:4" x14ac:dyDescent="0.25">
      <c r="A96" s="1" t="s">
        <v>10</v>
      </c>
      <c r="B96" s="1" t="s">
        <v>19</v>
      </c>
      <c r="C96">
        <v>4.8999999999999998E-3</v>
      </c>
      <c r="D96" s="2">
        <v>43405</v>
      </c>
    </row>
    <row r="97" spans="1:4" x14ac:dyDescent="0.25">
      <c r="A97" s="1" t="s">
        <v>11</v>
      </c>
      <c r="B97" s="1" t="s">
        <v>19</v>
      </c>
      <c r="C97">
        <v>4.8999999999999998E-3</v>
      </c>
      <c r="D97" s="2">
        <v>43435</v>
      </c>
    </row>
    <row r="98" spans="1:4" x14ac:dyDescent="0.25">
      <c r="A98" s="1" t="s">
        <v>0</v>
      </c>
      <c r="B98" s="1" t="s">
        <v>20</v>
      </c>
      <c r="C98">
        <v>5.4000000000000003E-3</v>
      </c>
      <c r="D98" s="2">
        <v>43466</v>
      </c>
    </row>
    <row r="99" spans="1:4" x14ac:dyDescent="0.25">
      <c r="A99" s="1" t="s">
        <v>1</v>
      </c>
      <c r="B99" s="1" t="s">
        <v>20</v>
      </c>
      <c r="C99">
        <v>4.8999999999999998E-3</v>
      </c>
      <c r="D99" s="2">
        <v>43497</v>
      </c>
    </row>
    <row r="100" spans="1:4" x14ac:dyDescent="0.25">
      <c r="A100" s="1" t="s">
        <v>2</v>
      </c>
      <c r="B100" s="1" t="s">
        <v>20</v>
      </c>
      <c r="C100">
        <v>4.7000000000000002E-3</v>
      </c>
      <c r="D100" s="2">
        <v>43525</v>
      </c>
    </row>
    <row r="101" spans="1:4" x14ac:dyDescent="0.25">
      <c r="A101" s="1" t="s">
        <v>3</v>
      </c>
      <c r="B101" s="1" t="s">
        <v>20</v>
      </c>
      <c r="C101">
        <v>5.1999999999999998E-3</v>
      </c>
      <c r="D101" s="2">
        <v>43556</v>
      </c>
    </row>
    <row r="102" spans="1:4" x14ac:dyDescent="0.25">
      <c r="A102" s="1" t="s">
        <v>4</v>
      </c>
      <c r="B102" s="1" t="s">
        <v>20</v>
      </c>
      <c r="C102">
        <v>5.4000000000000003E-3</v>
      </c>
      <c r="D102" s="2">
        <v>43586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DE3DAA-0D5A-4738-8316-89CF46B713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Lançamento</vt:lpstr>
      <vt:lpstr>Taxa Selic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Martins</dc:creator>
  <cp:lastModifiedBy>Davi Martins</cp:lastModifiedBy>
  <dcterms:created xsi:type="dcterms:W3CDTF">2019-06-26T22:46:20Z</dcterms:created>
  <dcterms:modified xsi:type="dcterms:W3CDTF">2019-06-27T00:36:31Z</dcterms:modified>
</cp:coreProperties>
</file>