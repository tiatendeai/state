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erida\Downloads\"/>
    </mc:Choice>
  </mc:AlternateContent>
  <xr:revisionPtr revIDLastSave="0" documentId="13_ncr:1_{E8191D7F-D389-4A83-9CA6-C175560A33F5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Página1" sheetId="1" r:id="rId1"/>
    <sheet name="Seguro Desempre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" i="2" l="1"/>
  <c r="I7" i="2" s="1"/>
  <c r="G6" i="2"/>
  <c r="I6" i="2" s="1"/>
  <c r="B6" i="2" s="1"/>
  <c r="J6" i="1"/>
  <c r="H6" i="1"/>
  <c r="J5" i="1"/>
  <c r="H5" i="1"/>
  <c r="J4" i="1"/>
  <c r="H4" i="1"/>
  <c r="J3" i="1"/>
  <c r="C3" i="1" s="1"/>
  <c r="C4" i="1" s="1"/>
  <c r="H3" i="1"/>
</calcChain>
</file>

<file path=xl/sharedStrings.xml><?xml version="1.0" encoding="utf-8"?>
<sst xmlns="http://schemas.openxmlformats.org/spreadsheetml/2006/main" count="21" uniqueCount="16">
  <si>
    <t>Salário</t>
  </si>
  <si>
    <t>Classe</t>
  </si>
  <si>
    <t>Inicial</t>
  </si>
  <si>
    <t>Final</t>
  </si>
  <si>
    <t>Intervalo</t>
  </si>
  <si>
    <t>Taxa</t>
  </si>
  <si>
    <t>Imposto</t>
  </si>
  <si>
    <t>Total Imposto</t>
  </si>
  <si>
    <t>Descontado</t>
  </si>
  <si>
    <t>-</t>
  </si>
  <si>
    <t>Media Salário</t>
  </si>
  <si>
    <t>Valor da parcela Seg. Desemprego</t>
  </si>
  <si>
    <t>Classe salarial</t>
  </si>
  <si>
    <t>Índice</t>
  </si>
  <si>
    <t>Parcela</t>
  </si>
  <si>
    <t>SIMULAÇÃO DO VALOR DA PARCELA SEGURO DESEMPREGO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</si>
</sst>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8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name val="Arial"/>
    </font>
    <font>
      <sz val="10"/>
      <name val="Arial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9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3" fillId="2" borderId="2" xfId="0" applyNumberFormat="1" applyFont="1" applyFill="1" applyBorder="1" applyAlignment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1" fillId="0" borderId="6" xfId="0" applyNumberFormat="1" applyFont="1" applyBorder="1"/>
    <xf numFmtId="0" fontId="1" fillId="0" borderId="7" xfId="0" applyFont="1" applyBorder="1" applyAlignment="1">
      <alignment horizontal="center"/>
    </xf>
    <xf numFmtId="164" fontId="4" fillId="2" borderId="8" xfId="0" applyNumberFormat="1" applyFont="1" applyFill="1" applyBorder="1" applyAlignment="1"/>
    <xf numFmtId="164" fontId="1" fillId="0" borderId="8" xfId="0" applyNumberFormat="1" applyFont="1" applyBorder="1" applyAlignment="1"/>
    <xf numFmtId="10" fontId="4" fillId="2" borderId="8" xfId="0" applyNumberFormat="1" applyFont="1" applyFill="1" applyBorder="1" applyAlignment="1"/>
    <xf numFmtId="164" fontId="1" fillId="0" borderId="8" xfId="0" applyNumberFormat="1" applyFont="1" applyBorder="1"/>
    <xf numFmtId="0" fontId="2" fillId="0" borderId="9" xfId="0" applyFont="1" applyBorder="1" applyAlignment="1">
      <alignment horizontal="center"/>
    </xf>
    <xf numFmtId="164" fontId="2" fillId="0" borderId="10" xfId="0" applyNumberFormat="1" applyFont="1" applyBorder="1"/>
    <xf numFmtId="0" fontId="1" fillId="0" borderId="5" xfId="0" applyFont="1" applyBorder="1" applyAlignment="1">
      <alignment horizontal="center"/>
    </xf>
    <xf numFmtId="164" fontId="4" fillId="2" borderId="6" xfId="0" applyNumberFormat="1" applyFont="1" applyFill="1" applyBorder="1" applyAlignment="1"/>
    <xf numFmtId="10" fontId="4" fillId="2" borderId="6" xfId="0" applyNumberFormat="1" applyFont="1" applyFill="1" applyBorder="1" applyAlignment="1"/>
    <xf numFmtId="0" fontId="1" fillId="0" borderId="9" xfId="0" applyFont="1" applyBorder="1" applyAlignment="1">
      <alignment horizontal="center"/>
    </xf>
    <xf numFmtId="164" fontId="4" fillId="2" borderId="10" xfId="0" applyNumberFormat="1" applyFont="1" applyFill="1" applyBorder="1" applyAlignment="1"/>
    <xf numFmtId="164" fontId="1" fillId="0" borderId="11" xfId="0" applyNumberFormat="1" applyFont="1" applyBorder="1" applyAlignment="1"/>
    <xf numFmtId="10" fontId="4" fillId="2" borderId="10" xfId="0" applyNumberFormat="1" applyFont="1" applyFill="1" applyBorder="1" applyAlignment="1"/>
    <xf numFmtId="164" fontId="1" fillId="0" borderId="11" xfId="0" applyNumberFormat="1" applyFont="1" applyBorder="1"/>
    <xf numFmtId="0" fontId="2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64" fontId="1" fillId="0" borderId="16" xfId="0" applyNumberFormat="1" applyFont="1" applyBorder="1"/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164" fontId="4" fillId="2" borderId="19" xfId="0" applyNumberFormat="1" applyFont="1" applyFill="1" applyBorder="1" applyAlignment="1"/>
    <xf numFmtId="164" fontId="4" fillId="2" borderId="19" xfId="0" applyNumberFormat="1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164" fontId="3" fillId="2" borderId="21" xfId="0" applyNumberFormat="1" applyFont="1" applyFill="1" applyBorder="1" applyAlignment="1"/>
    <xf numFmtId="164" fontId="4" fillId="3" borderId="19" xfId="0" applyNumberFormat="1" applyFont="1" applyFill="1" applyBorder="1" applyAlignment="1">
      <alignment horizontal="center"/>
    </xf>
    <xf numFmtId="164" fontId="4" fillId="3" borderId="19" xfId="0" applyNumberFormat="1" applyFont="1" applyFill="1" applyBorder="1" applyAlignment="1"/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0" fillId="0" borderId="0" xfId="0" applyFont="1" applyAlignment="1">
      <alignment horizontal="center"/>
    </xf>
    <xf numFmtId="0" fontId="7" fillId="4" borderId="18" xfId="0" applyFont="1" applyFill="1" applyBorder="1" applyAlignment="1">
      <alignment horizontal="center" vertical="center" wrapText="1"/>
    </xf>
    <xf numFmtId="164" fontId="7" fillId="4" borderId="2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736600</xdr:colOff>
      <xdr:row>0</xdr:row>
      <xdr:rowOff>50800</xdr:rowOff>
    </xdr:from>
    <xdr:to>
      <xdr:col>1</xdr:col>
      <xdr:colOff>322433</xdr:colOff>
      <xdr:row>3</xdr:row>
      <xdr:rowOff>60325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B877D3-897A-4782-A18D-ACC69CC7A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600" y="50800"/>
          <a:ext cx="709783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outlinePr summaryBelow="0" summaryRight="0"/>
  </sheetPr>
  <dimension ref="A1:J9"/>
  <sheetViews>
    <sheetView workbookViewId="0">
      <selection activeCell="B10" sqref="B10"/>
    </sheetView>
  </sheetViews>
  <sheetFormatPr defaultColWidth="14.453125" defaultRowHeight="15.75" customHeight="1" x14ac:dyDescent="0.25"/>
  <cols>
    <col min="5" max="5" width="14.81640625" customWidth="1"/>
  </cols>
  <sheetData>
    <row r="1" spans="1:10" ht="15.75" customHeight="1" x14ac:dyDescent="0.25">
      <c r="A1" s="1"/>
      <c r="B1" s="1"/>
      <c r="C1" s="1"/>
      <c r="D1" s="1"/>
      <c r="E1" s="1"/>
      <c r="F1" s="1"/>
    </row>
    <row r="2" spans="1:10" ht="13" x14ac:dyDescent="0.3">
      <c r="A2" s="2"/>
      <c r="B2" s="3" t="s">
        <v>0</v>
      </c>
      <c r="C2" s="4">
        <v>2500</v>
      </c>
      <c r="E2" s="5" t="s">
        <v>1</v>
      </c>
      <c r="F2" s="6" t="s">
        <v>2</v>
      </c>
      <c r="G2" s="6" t="s">
        <v>3</v>
      </c>
      <c r="H2" s="6" t="s">
        <v>4</v>
      </c>
      <c r="I2" s="6" t="s">
        <v>5</v>
      </c>
      <c r="J2" s="6" t="s">
        <v>6</v>
      </c>
    </row>
    <row r="3" spans="1:10" ht="13" x14ac:dyDescent="0.3">
      <c r="A3" s="2"/>
      <c r="B3" s="7" t="s">
        <v>7</v>
      </c>
      <c r="C3" s="8">
        <f>SUM($J$3:$J$6)</f>
        <v>221.72489999999996</v>
      </c>
      <c r="E3" s="9">
        <v>1</v>
      </c>
      <c r="F3" s="10">
        <v>0</v>
      </c>
      <c r="G3" s="10">
        <v>1039</v>
      </c>
      <c r="H3" s="11">
        <f t="shared" ref="H3:H6" si="0">$G3-$F3</f>
        <v>1039</v>
      </c>
      <c r="I3" s="12">
        <v>7.4999999999999997E-2</v>
      </c>
      <c r="J3" s="13">
        <f t="shared" ref="J3:J6" si="1">IF(IF($C$2&gt;$G3, $H3*$I3, ($C$2-$F3)*$I3)&gt;0, IF($C$2&gt;$G3, $H3*$I3, ($C$2-$F3)*$I3), 0)</f>
        <v>77.924999999999997</v>
      </c>
    </row>
    <row r="4" spans="1:10" ht="13" x14ac:dyDescent="0.3">
      <c r="A4" s="2"/>
      <c r="B4" s="14" t="s">
        <v>8</v>
      </c>
      <c r="C4" s="15">
        <f>$C$2-$C$3</f>
        <v>2278.2750999999998</v>
      </c>
      <c r="E4" s="16">
        <v>2</v>
      </c>
      <c r="F4" s="17">
        <v>1039.01</v>
      </c>
      <c r="G4" s="17">
        <v>2089.6</v>
      </c>
      <c r="H4" s="11">
        <f t="shared" si="0"/>
        <v>1050.5899999999999</v>
      </c>
      <c r="I4" s="18">
        <v>0.09</v>
      </c>
      <c r="J4" s="13">
        <f t="shared" si="1"/>
        <v>94.553099999999986</v>
      </c>
    </row>
    <row r="5" spans="1:10" ht="15.75" customHeight="1" x14ac:dyDescent="0.25">
      <c r="A5" s="2"/>
      <c r="E5" s="16">
        <v>3</v>
      </c>
      <c r="F5" s="17">
        <v>2089.61</v>
      </c>
      <c r="G5" s="17">
        <v>3134.4</v>
      </c>
      <c r="H5" s="11">
        <f t="shared" si="0"/>
        <v>1044.79</v>
      </c>
      <c r="I5" s="18">
        <v>0.12</v>
      </c>
      <c r="J5" s="13">
        <f t="shared" si="1"/>
        <v>49.246799999999986</v>
      </c>
    </row>
    <row r="6" spans="1:10" ht="15.75" customHeight="1" x14ac:dyDescent="0.25">
      <c r="A6" s="2"/>
      <c r="E6" s="19">
        <v>4</v>
      </c>
      <c r="F6" s="20">
        <v>3134.41</v>
      </c>
      <c r="G6" s="20">
        <v>6101.06</v>
      </c>
      <c r="H6" s="21">
        <f t="shared" si="0"/>
        <v>2966.6500000000005</v>
      </c>
      <c r="I6" s="22">
        <v>0.14000000000000001</v>
      </c>
      <c r="J6" s="23">
        <f t="shared" si="1"/>
        <v>0</v>
      </c>
    </row>
    <row r="9" spans="1:10" ht="15.75" customHeight="1" x14ac:dyDescent="0.25">
      <c r="A9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7D61-DDDF-4E32-93FA-9B1A0D1B2C6F}">
  <sheetPr codeName="Planilha2"/>
  <dimension ref="A1:I8"/>
  <sheetViews>
    <sheetView tabSelected="1" workbookViewId="0">
      <selection activeCell="B14" sqref="B14"/>
    </sheetView>
  </sheetViews>
  <sheetFormatPr defaultColWidth="14.453125" defaultRowHeight="15.75" customHeight="1" x14ac:dyDescent="0.25"/>
  <cols>
    <col min="1" max="1" width="16.08984375" bestFit="1" customWidth="1"/>
    <col min="4" max="4" width="14.81640625" customWidth="1"/>
  </cols>
  <sheetData>
    <row r="1" spans="1:9" ht="15.75" customHeight="1" x14ac:dyDescent="0.25">
      <c r="A1" s="39"/>
      <c r="B1" s="39"/>
      <c r="C1" s="38" t="s">
        <v>15</v>
      </c>
      <c r="D1" s="38"/>
      <c r="E1" s="38"/>
      <c r="F1" s="38"/>
    </row>
    <row r="2" spans="1:9" ht="15.75" customHeight="1" x14ac:dyDescent="0.25">
      <c r="A2" s="39"/>
      <c r="B2" s="39"/>
      <c r="C2" s="38"/>
      <c r="D2" s="38"/>
      <c r="E2" s="38"/>
      <c r="F2" s="38"/>
    </row>
    <row r="3" spans="1:9" ht="15.75" customHeight="1" x14ac:dyDescent="0.25">
      <c r="A3" s="39"/>
      <c r="B3" s="39"/>
      <c r="C3" s="38"/>
      <c r="D3" s="38"/>
      <c r="E3" s="38"/>
      <c r="F3" s="38"/>
    </row>
    <row r="4" spans="1:9" ht="15.75" customHeight="1" thickBot="1" x14ac:dyDescent="0.3">
      <c r="A4" s="1"/>
      <c r="B4" s="1"/>
      <c r="C4" s="1"/>
      <c r="D4" s="1"/>
      <c r="E4" s="1"/>
    </row>
    <row r="5" spans="1:9" ht="13.5" thickBot="1" x14ac:dyDescent="0.35">
      <c r="A5" s="31" t="s">
        <v>10</v>
      </c>
      <c r="B5" s="32">
        <v>8000</v>
      </c>
      <c r="D5" s="35" t="s">
        <v>12</v>
      </c>
      <c r="E5" s="24" t="s">
        <v>2</v>
      </c>
      <c r="F5" s="24" t="s">
        <v>3</v>
      </c>
      <c r="G5" s="24" t="s">
        <v>4</v>
      </c>
      <c r="H5" s="36" t="s">
        <v>13</v>
      </c>
      <c r="I5" s="37" t="s">
        <v>14</v>
      </c>
    </row>
    <row r="6" spans="1:9" ht="26.5" thickBot="1" x14ac:dyDescent="0.3">
      <c r="A6" s="40" t="s">
        <v>11</v>
      </c>
      <c r="B6" s="41">
        <f>SUM(I6:I8)</f>
        <v>1813.0230000000001</v>
      </c>
      <c r="D6" s="25">
        <v>1</v>
      </c>
      <c r="E6" s="10">
        <v>0</v>
      </c>
      <c r="F6" s="10">
        <v>1599.61</v>
      </c>
      <c r="G6" s="11">
        <f>$F6-$E6</f>
        <v>1599.61</v>
      </c>
      <c r="H6" s="12">
        <v>0.8</v>
      </c>
      <c r="I6" s="26">
        <f>IF(IF($B$5&gt;$F6, $G6*$H6, ($B$5-$E6)*$H6)&gt;0, IF($B$5&gt;$F6, $G6*$H6, ($B$5-$E6)*$H6), 0)</f>
        <v>1279.6880000000001</v>
      </c>
    </row>
    <row r="7" spans="1:9" ht="12.5" x14ac:dyDescent="0.25">
      <c r="A7" s="1"/>
      <c r="B7" s="1"/>
      <c r="D7" s="27">
        <v>2</v>
      </c>
      <c r="E7" s="10">
        <v>1599.62</v>
      </c>
      <c r="F7" s="17">
        <v>2666.29</v>
      </c>
      <c r="G7" s="11">
        <f>$F7-$E7</f>
        <v>1066.67</v>
      </c>
      <c r="H7" s="18">
        <v>0.5</v>
      </c>
      <c r="I7" s="26">
        <f>IF(IF($B$5&gt;$F7, $G7*$H7, ($B$5-$E7)*$H7)&gt;0, IF($B$5&gt;$F7, $G7*$H7, ($B$5-$E7)*$H7), 0)</f>
        <v>533.33500000000004</v>
      </c>
    </row>
    <row r="8" spans="1:9" ht="15.75" customHeight="1" thickBot="1" x14ac:dyDescent="0.3">
      <c r="D8" s="28">
        <v>3</v>
      </c>
      <c r="E8" s="29">
        <v>2666.29</v>
      </c>
      <c r="F8" s="30" t="s">
        <v>9</v>
      </c>
      <c r="G8" s="33" t="s">
        <v>9</v>
      </c>
      <c r="H8" s="30" t="s">
        <v>9</v>
      </c>
      <c r="I8" s="34">
        <v>0</v>
      </c>
    </row>
  </sheetData>
  <mergeCells count="2">
    <mergeCell ref="C1:F3"/>
    <mergeCell ref="A1:B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Página1</vt:lpstr>
      <vt:lpstr>Seguro Desemprego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eridan</dc:creator>
  <cp:lastModifiedBy>Eridan Mourão</cp:lastModifiedBy>
  <dcterms:created xsi:type="dcterms:W3CDTF">2020-01-26T20:48:56Z</dcterms:created>
  <dcterms:modified xsi:type="dcterms:W3CDTF">2020-01-26T21:05:24Z</dcterms:modified>
</cp:coreProperties>
</file>