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charts/chart2.xml" ContentType="application/vnd.openxmlformats-officedocument.drawingml.chart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020" windowHeight="12405"/>
  </bookViews>
  <sheets>
    <sheet name="AGPar" sheetId="4" r:id="rId1"/>
    <sheet name="AG Concessões" sheetId="6" r:id="rId2"/>
    <sheet name="Cash Flow CCR" sheetId="8" r:id="rId3"/>
    <sheet name="Cash Flow Cemig" sheetId="9" r:id="rId4"/>
    <sheet name="Cenário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macro_goto_.Contents" localSheetId="2">[1]!'[macro-goto].Contents'</definedName>
    <definedName name="_1macro_goto_.Contents" localSheetId="3">[1]!'[macro-goto].Contents'</definedName>
    <definedName name="_1macro_goto_.Contents">[1]!'[macro-goto].Contents'</definedName>
    <definedName name="_2macro" localSheetId="2">[1]!'[macro-goto].Contents'</definedName>
    <definedName name="_2macro" localSheetId="3">[1]!'[macro-goto].Contents'</definedName>
    <definedName name="_2macro">[1]!'[macro-goto].Contents'</definedName>
    <definedName name="area_de_impressaoEST" localSheetId="1">'[2]BCB IE1-51'!#REF!</definedName>
    <definedName name="area_de_impressaoEST" localSheetId="2">'[2]BCB IE1-51'!#REF!</definedName>
    <definedName name="area_de_impressaoEST" localSheetId="3">'[2]BCB IE1-51'!#REF!</definedName>
    <definedName name="area_de_impressaoEST" localSheetId="4">'[3]BCB IE1-51'!#REF!</definedName>
    <definedName name="area_de_impressaoEST">'[2]BCB IE1-51'!#REF!</definedName>
    <definedName name="_xlnm.Print_Area" localSheetId="4">Cenário!$A$2:$J$27</definedName>
    <definedName name="PrintAsia" localSheetId="1">[4]!PrintAsia</definedName>
    <definedName name="PrintAsia" localSheetId="2">[4]!PrintAsia</definedName>
    <definedName name="PrintAsia" localSheetId="3">[4]!PrintAsia</definedName>
    <definedName name="PrintAsia" localSheetId="4">[5]!PrintAsia</definedName>
    <definedName name="PrintAsia">[4]!PrintAsia</definedName>
    <definedName name="PrintInterestRates" localSheetId="1">[1]!PrintInterestRates</definedName>
    <definedName name="PrintInterestRates" localSheetId="2">[1]!PrintInterestRates</definedName>
    <definedName name="PrintInterestRates" localSheetId="3">[1]!PrintInterestRates</definedName>
    <definedName name="PrintInterestRates">[1]!PrintInterestRates</definedName>
  </definedNames>
  <calcPr calcId="125725"/>
</workbook>
</file>

<file path=xl/calcChain.xml><?xml version="1.0" encoding="utf-8"?>
<calcChain xmlns="http://schemas.openxmlformats.org/spreadsheetml/2006/main">
  <c r="L96" i="4"/>
  <c r="G133" i="6"/>
  <c r="G94" s="1"/>
  <c r="O119" i="4"/>
  <c r="P119"/>
  <c r="H133" i="6" l="1"/>
  <c r="K118" i="4"/>
  <c r="M128" i="6"/>
  <c r="G113"/>
  <c r="G108"/>
  <c r="H12" i="9"/>
  <c r="G12"/>
  <c r="J68" i="4"/>
  <c r="K108"/>
  <c r="L75"/>
  <c r="J84"/>
  <c r="J83"/>
  <c r="J82"/>
  <c r="F43" i="8"/>
  <c r="Q45" i="9"/>
  <c r="P45"/>
  <c r="O45"/>
  <c r="N45"/>
  <c r="M45"/>
  <c r="L45"/>
  <c r="K45"/>
  <c r="J45"/>
  <c r="I45"/>
  <c r="H45"/>
  <c r="G45"/>
  <c r="J44"/>
  <c r="I44"/>
  <c r="H44"/>
  <c r="G44"/>
  <c r="F44"/>
  <c r="Q47" i="8"/>
  <c r="P47"/>
  <c r="O47"/>
  <c r="N47"/>
  <c r="M47"/>
  <c r="L47"/>
  <c r="K47"/>
  <c r="J47"/>
  <c r="I47"/>
  <c r="H47"/>
  <c r="G47"/>
  <c r="F47"/>
  <c r="Q49"/>
  <c r="P49"/>
  <c r="O49"/>
  <c r="N49"/>
  <c r="M49"/>
  <c r="L49"/>
  <c r="K49"/>
  <c r="J49"/>
  <c r="I49"/>
  <c r="H49"/>
  <c r="G49"/>
  <c r="F49"/>
  <c r="Q48"/>
  <c r="P48"/>
  <c r="O48"/>
  <c r="N48"/>
  <c r="M48"/>
  <c r="L48"/>
  <c r="K48"/>
  <c r="J48"/>
  <c r="I48"/>
  <c r="H48"/>
  <c r="G48"/>
  <c r="F48"/>
  <c r="D67" i="6"/>
  <c r="L11" i="4"/>
  <c r="M11" s="1"/>
  <c r="N11" s="1"/>
  <c r="O11" s="1"/>
  <c r="P11" s="1"/>
  <c r="Q11" s="1"/>
  <c r="R11" s="1"/>
  <c r="S11" s="1"/>
  <c r="T11" s="1"/>
  <c r="U11" s="1"/>
  <c r="K11"/>
  <c r="K13"/>
  <c r="C71" i="6"/>
  <c r="D71"/>
  <c r="E71"/>
  <c r="F71"/>
  <c r="K50" i="4"/>
  <c r="L30"/>
  <c r="M30" s="1"/>
  <c r="N30" s="1"/>
  <c r="O30" s="1"/>
  <c r="P30" s="1"/>
  <c r="Q30" s="1"/>
  <c r="R30" s="1"/>
  <c r="S30" s="1"/>
  <c r="T30" s="1"/>
  <c r="U30" s="1"/>
  <c r="L29"/>
  <c r="M29" s="1"/>
  <c r="N29" s="1"/>
  <c r="O29" s="1"/>
  <c r="P29" s="1"/>
  <c r="Q29" s="1"/>
  <c r="R29" s="1"/>
  <c r="S29" s="1"/>
  <c r="T29" s="1"/>
  <c r="U29" s="1"/>
  <c r="L23"/>
  <c r="M23" s="1"/>
  <c r="N23" s="1"/>
  <c r="O23" s="1"/>
  <c r="P23" s="1"/>
  <c r="Q23" s="1"/>
  <c r="R23" s="1"/>
  <c r="S23" s="1"/>
  <c r="T23" s="1"/>
  <c r="U23" s="1"/>
  <c r="L22"/>
  <c r="M22" s="1"/>
  <c r="U21"/>
  <c r="K23"/>
  <c r="K30"/>
  <c r="K29"/>
  <c r="K22"/>
  <c r="L13"/>
  <c r="M13" s="1"/>
  <c r="N13" s="1"/>
  <c r="O13" s="1"/>
  <c r="P13" s="1"/>
  <c r="Q13" s="1"/>
  <c r="R13" s="1"/>
  <c r="S13" s="1"/>
  <c r="T13" s="1"/>
  <c r="U13" s="1"/>
  <c r="M10"/>
  <c r="N10" s="1"/>
  <c r="O10" s="1"/>
  <c r="P10" s="1"/>
  <c r="Q10" s="1"/>
  <c r="R10" s="1"/>
  <c r="S10" s="1"/>
  <c r="T10" s="1"/>
  <c r="U10" s="1"/>
  <c r="L10"/>
  <c r="M9"/>
  <c r="N9" s="1"/>
  <c r="O9" s="1"/>
  <c r="P9" s="1"/>
  <c r="Q9" s="1"/>
  <c r="R9" s="1"/>
  <c r="S9" s="1"/>
  <c r="T9" s="1"/>
  <c r="U9" s="1"/>
  <c r="L9"/>
  <c r="U118"/>
  <c r="T118"/>
  <c r="S118"/>
  <c r="R118"/>
  <c r="Q118"/>
  <c r="P118"/>
  <c r="O118"/>
  <c r="N118"/>
  <c r="M118"/>
  <c r="C79"/>
  <c r="D79"/>
  <c r="E79"/>
  <c r="F79"/>
  <c r="G79"/>
  <c r="H79"/>
  <c r="I79"/>
  <c r="K103"/>
  <c r="K101"/>
  <c r="M64"/>
  <c r="N64" s="1"/>
  <c r="O64" s="1"/>
  <c r="P64" s="1"/>
  <c r="Q64" s="1"/>
  <c r="R64" s="1"/>
  <c r="S64" s="1"/>
  <c r="T64" s="1"/>
  <c r="U64" s="1"/>
  <c r="L64"/>
  <c r="K64"/>
  <c r="L52"/>
  <c r="M52" s="1"/>
  <c r="N52" s="1"/>
  <c r="O52" s="1"/>
  <c r="P52" s="1"/>
  <c r="Q52" s="1"/>
  <c r="R52" s="1"/>
  <c r="S52" s="1"/>
  <c r="T52" s="1"/>
  <c r="U52" s="1"/>
  <c r="J66"/>
  <c r="I66"/>
  <c r="J63"/>
  <c r="I63"/>
  <c r="I61"/>
  <c r="I55"/>
  <c r="J55"/>
  <c r="P117"/>
  <c r="P102" s="1"/>
  <c r="O117"/>
  <c r="O102" s="1"/>
  <c r="N117"/>
  <c r="N102" s="1"/>
  <c r="M117"/>
  <c r="M102" s="1"/>
  <c r="L117"/>
  <c r="L102" s="1"/>
  <c r="K117"/>
  <c r="K102" s="1"/>
  <c r="J117"/>
  <c r="J79"/>
  <c r="K79" s="1"/>
  <c r="I81"/>
  <c r="J81" s="1"/>
  <c r="I80"/>
  <c r="J80" s="1"/>
  <c r="I71"/>
  <c r="K10"/>
  <c r="K9"/>
  <c r="J36"/>
  <c r="J34"/>
  <c r="J32"/>
  <c r="J30"/>
  <c r="J29"/>
  <c r="J28"/>
  <c r="J27"/>
  <c r="J26"/>
  <c r="J24"/>
  <c r="J23"/>
  <c r="J22"/>
  <c r="J21"/>
  <c r="J20"/>
  <c r="I36"/>
  <c r="I26"/>
  <c r="I20"/>
  <c r="J16"/>
  <c r="J15"/>
  <c r="J13"/>
  <c r="J11"/>
  <c r="J10"/>
  <c r="J9"/>
  <c r="I5"/>
  <c r="I15"/>
  <c r="G30" i="9"/>
  <c r="O30"/>
  <c r="N30"/>
  <c r="M30"/>
  <c r="L30"/>
  <c r="K30"/>
  <c r="J30"/>
  <c r="I30"/>
  <c r="H30"/>
  <c r="G29"/>
  <c r="G31" s="1"/>
  <c r="H29" s="1"/>
  <c r="H123" i="6"/>
  <c r="J123"/>
  <c r="I123"/>
  <c r="F81"/>
  <c r="I133" l="1"/>
  <c r="H94"/>
  <c r="K21" i="4"/>
  <c r="K20" s="1"/>
  <c r="L21"/>
  <c r="L20" s="1"/>
  <c r="K27"/>
  <c r="M21"/>
  <c r="O21"/>
  <c r="N21"/>
  <c r="N22"/>
  <c r="M20"/>
  <c r="K26"/>
  <c r="L50"/>
  <c r="I34"/>
  <c r="H31" i="9"/>
  <c r="J133" i="6" l="1"/>
  <c r="I94"/>
  <c r="N20" i="4"/>
  <c r="O22"/>
  <c r="M50"/>
  <c r="I29" i="9"/>
  <c r="K12"/>
  <c r="J12"/>
  <c r="J13" s="1"/>
  <c r="I12"/>
  <c r="G21"/>
  <c r="K9"/>
  <c r="L9" s="1"/>
  <c r="K6"/>
  <c r="L6" s="1"/>
  <c r="K5"/>
  <c r="L5" s="1"/>
  <c r="M5" s="1"/>
  <c r="N5" s="1"/>
  <c r="O5" s="1"/>
  <c r="P5" s="1"/>
  <c r="Q5" s="1"/>
  <c r="K4"/>
  <c r="E40"/>
  <c r="F40"/>
  <c r="F45" s="1"/>
  <c r="K10"/>
  <c r="J10"/>
  <c r="I10"/>
  <c r="H10"/>
  <c r="G10"/>
  <c r="J7"/>
  <c r="I7"/>
  <c r="H7"/>
  <c r="G7"/>
  <c r="I112" i="4"/>
  <c r="J112" s="1"/>
  <c r="H112"/>
  <c r="G112"/>
  <c r="F112"/>
  <c r="E112"/>
  <c r="D112"/>
  <c r="C112"/>
  <c r="K105"/>
  <c r="J71"/>
  <c r="U73"/>
  <c r="U96" s="1"/>
  <c r="U97" s="1"/>
  <c r="T73"/>
  <c r="T96" s="1"/>
  <c r="T97" s="1"/>
  <c r="S73"/>
  <c r="S96" s="1"/>
  <c r="S97" s="1"/>
  <c r="R73"/>
  <c r="R96" s="1"/>
  <c r="R97" s="1"/>
  <c r="Q73"/>
  <c r="Q96" s="1"/>
  <c r="Q97" s="1"/>
  <c r="U39"/>
  <c r="U70" s="1"/>
  <c r="U78" s="1"/>
  <c r="U86" s="1"/>
  <c r="U111" s="1"/>
  <c r="T39"/>
  <c r="T70" s="1"/>
  <c r="T78" s="1"/>
  <c r="T86" s="1"/>
  <c r="T111" s="1"/>
  <c r="S39"/>
  <c r="S70" s="1"/>
  <c r="S78" s="1"/>
  <c r="S86" s="1"/>
  <c r="S111" s="1"/>
  <c r="R39"/>
  <c r="R70" s="1"/>
  <c r="R78" s="1"/>
  <c r="R86" s="1"/>
  <c r="R111" s="1"/>
  <c r="Q39"/>
  <c r="Q70" s="1"/>
  <c r="Q78" s="1"/>
  <c r="Q86" s="1"/>
  <c r="Q111" s="1"/>
  <c r="H81"/>
  <c r="G81"/>
  <c r="F81"/>
  <c r="E81"/>
  <c r="D81"/>
  <c r="C81"/>
  <c r="H80"/>
  <c r="G80"/>
  <c r="F80"/>
  <c r="E80"/>
  <c r="D80"/>
  <c r="D113" s="1"/>
  <c r="C80"/>
  <c r="P78"/>
  <c r="P86" s="1"/>
  <c r="P111" s="1"/>
  <c r="O78"/>
  <c r="O86" s="1"/>
  <c r="O111" s="1"/>
  <c r="N78"/>
  <c r="N86" s="1"/>
  <c r="N111" s="1"/>
  <c r="M78"/>
  <c r="M86" s="1"/>
  <c r="M111" s="1"/>
  <c r="L78"/>
  <c r="L86" s="1"/>
  <c r="L111" s="1"/>
  <c r="K78"/>
  <c r="K86" s="1"/>
  <c r="K111" s="1"/>
  <c r="J78"/>
  <c r="J86" s="1"/>
  <c r="J111" s="1"/>
  <c r="I78"/>
  <c r="I86" s="1"/>
  <c r="I111" s="1"/>
  <c r="H78"/>
  <c r="H86" s="1"/>
  <c r="H111" s="1"/>
  <c r="G78"/>
  <c r="G86" s="1"/>
  <c r="G111" s="1"/>
  <c r="F78"/>
  <c r="F86" s="1"/>
  <c r="F111" s="1"/>
  <c r="E78"/>
  <c r="E86" s="1"/>
  <c r="E111" s="1"/>
  <c r="D78"/>
  <c r="D86" s="1"/>
  <c r="D111" s="1"/>
  <c r="C78"/>
  <c r="C86" s="1"/>
  <c r="C111" s="1"/>
  <c r="F130" i="6"/>
  <c r="F129"/>
  <c r="Q21"/>
  <c r="G29"/>
  <c r="H29" s="1"/>
  <c r="I29" s="1"/>
  <c r="J29" s="1"/>
  <c r="K29" s="1"/>
  <c r="L29" s="1"/>
  <c r="M29" s="1"/>
  <c r="N29" s="1"/>
  <c r="O29" s="1"/>
  <c r="P29" s="1"/>
  <c r="Q29" s="1"/>
  <c r="G28"/>
  <c r="H28" s="1"/>
  <c r="I28" s="1"/>
  <c r="J28" s="1"/>
  <c r="K28" s="1"/>
  <c r="L28" s="1"/>
  <c r="M28" s="1"/>
  <c r="N28" s="1"/>
  <c r="O28" s="1"/>
  <c r="P28" s="1"/>
  <c r="Q28" s="1"/>
  <c r="G23"/>
  <c r="H23" s="1"/>
  <c r="I23" s="1"/>
  <c r="J23" s="1"/>
  <c r="K23" s="1"/>
  <c r="L23" s="1"/>
  <c r="M23" s="1"/>
  <c r="N23" s="1"/>
  <c r="O23" s="1"/>
  <c r="P23" s="1"/>
  <c r="Q23" s="1"/>
  <c r="G22"/>
  <c r="H22" s="1"/>
  <c r="I22" s="1"/>
  <c r="H18"/>
  <c r="I18" s="1"/>
  <c r="G18"/>
  <c r="G13"/>
  <c r="H13" s="1"/>
  <c r="I13" s="1"/>
  <c r="J13" s="1"/>
  <c r="K13" s="1"/>
  <c r="L13" s="1"/>
  <c r="M13" s="1"/>
  <c r="N13" s="1"/>
  <c r="O13" s="1"/>
  <c r="P13" s="1"/>
  <c r="Q13" s="1"/>
  <c r="G10"/>
  <c r="H10" s="1"/>
  <c r="I10" s="1"/>
  <c r="J10" s="1"/>
  <c r="K10" s="1"/>
  <c r="L10" s="1"/>
  <c r="M10" s="1"/>
  <c r="N10" s="1"/>
  <c r="O10" s="1"/>
  <c r="P10" s="1"/>
  <c r="Q10" s="1"/>
  <c r="G9"/>
  <c r="H9" s="1"/>
  <c r="I9" s="1"/>
  <c r="J9" s="1"/>
  <c r="K9" s="1"/>
  <c r="L9" s="1"/>
  <c r="M9" s="1"/>
  <c r="N9" s="1"/>
  <c r="O9" s="1"/>
  <c r="P9" s="1"/>
  <c r="Q9" s="1"/>
  <c r="H56"/>
  <c r="I56" s="1"/>
  <c r="J56" s="1"/>
  <c r="K56" s="1"/>
  <c r="L56" s="1"/>
  <c r="M56" s="1"/>
  <c r="N56" s="1"/>
  <c r="O56" s="1"/>
  <c r="P56" s="1"/>
  <c r="Q56" s="1"/>
  <c r="G56"/>
  <c r="M119"/>
  <c r="L119"/>
  <c r="K119"/>
  <c r="J119"/>
  <c r="I119"/>
  <c r="H119"/>
  <c r="G119"/>
  <c r="D40" i="9"/>
  <c r="C40"/>
  <c r="Q19"/>
  <c r="Q24" s="1"/>
  <c r="Q43" s="1"/>
  <c r="P19"/>
  <c r="P24" s="1"/>
  <c r="P43" s="1"/>
  <c r="O19"/>
  <c r="O24" s="1"/>
  <c r="O43" s="1"/>
  <c r="N19"/>
  <c r="N24" s="1"/>
  <c r="N43" s="1"/>
  <c r="M19"/>
  <c r="M24" s="1"/>
  <c r="M43" s="1"/>
  <c r="L19"/>
  <c r="L24" s="1"/>
  <c r="L43" s="1"/>
  <c r="K19"/>
  <c r="K24" s="1"/>
  <c r="K43" s="1"/>
  <c r="J19"/>
  <c r="J24" s="1"/>
  <c r="J43" s="1"/>
  <c r="I19"/>
  <c r="I24" s="1"/>
  <c r="I43" s="1"/>
  <c r="H19"/>
  <c r="H24" s="1"/>
  <c r="H43" s="1"/>
  <c r="G19"/>
  <c r="G24" s="1"/>
  <c r="G43" s="1"/>
  <c r="F19"/>
  <c r="F24" s="1"/>
  <c r="F43" s="1"/>
  <c r="E19"/>
  <c r="E24" s="1"/>
  <c r="D19"/>
  <c r="D24" s="1"/>
  <c r="C19"/>
  <c r="C24" s="1"/>
  <c r="C17"/>
  <c r="D16" s="1"/>
  <c r="F15"/>
  <c r="E15"/>
  <c r="D15"/>
  <c r="C15"/>
  <c r="K13"/>
  <c r="I13"/>
  <c r="H13"/>
  <c r="G13"/>
  <c r="G16" i="8"/>
  <c r="Q90" i="6"/>
  <c r="P90"/>
  <c r="O90"/>
  <c r="N90"/>
  <c r="M90"/>
  <c r="Q38"/>
  <c r="Q70" s="1"/>
  <c r="Q80" s="1"/>
  <c r="P38"/>
  <c r="P70" s="1"/>
  <c r="P80" s="1"/>
  <c r="O38"/>
  <c r="O70" s="1"/>
  <c r="O80" s="1"/>
  <c r="N38"/>
  <c r="N70" s="1"/>
  <c r="N80" s="1"/>
  <c r="M38"/>
  <c r="M70" s="1"/>
  <c r="M80" s="1"/>
  <c r="L90"/>
  <c r="K90"/>
  <c r="J90"/>
  <c r="I90"/>
  <c r="H90"/>
  <c r="G90"/>
  <c r="D43" i="8"/>
  <c r="E43"/>
  <c r="C43"/>
  <c r="Q16"/>
  <c r="P16"/>
  <c r="O16"/>
  <c r="N16"/>
  <c r="M16"/>
  <c r="L16"/>
  <c r="K16"/>
  <c r="J16"/>
  <c r="I16"/>
  <c r="H16"/>
  <c r="G20"/>
  <c r="Q17"/>
  <c r="Q19" s="1"/>
  <c r="P17"/>
  <c r="P19" s="1"/>
  <c r="O17"/>
  <c r="O19" s="1"/>
  <c r="N17"/>
  <c r="N19" s="1"/>
  <c r="M17"/>
  <c r="M19" s="1"/>
  <c r="L17"/>
  <c r="L19" s="1"/>
  <c r="K17"/>
  <c r="K19" s="1"/>
  <c r="J17"/>
  <c r="J19" s="1"/>
  <c r="I17"/>
  <c r="I19" s="1"/>
  <c r="H17"/>
  <c r="H19" s="1"/>
  <c r="G17"/>
  <c r="G19" s="1"/>
  <c r="G21" s="1"/>
  <c r="H20" s="1"/>
  <c r="Q11"/>
  <c r="P11"/>
  <c r="O11"/>
  <c r="N11"/>
  <c r="M11"/>
  <c r="L11"/>
  <c r="K11"/>
  <c r="J11"/>
  <c r="I11"/>
  <c r="H11"/>
  <c r="G11"/>
  <c r="Q8"/>
  <c r="P8"/>
  <c r="O8"/>
  <c r="N8"/>
  <c r="M8"/>
  <c r="L8"/>
  <c r="K8"/>
  <c r="J8"/>
  <c r="I8"/>
  <c r="H8"/>
  <c r="G8"/>
  <c r="D20"/>
  <c r="D21" s="1"/>
  <c r="E20" s="1"/>
  <c r="E21" s="1"/>
  <c r="C21"/>
  <c r="C19"/>
  <c r="D19"/>
  <c r="F42"/>
  <c r="Q42"/>
  <c r="P42"/>
  <c r="O42"/>
  <c r="N42"/>
  <c r="M42"/>
  <c r="L42"/>
  <c r="K42"/>
  <c r="J42"/>
  <c r="I42"/>
  <c r="H42"/>
  <c r="G42"/>
  <c r="D42"/>
  <c r="Q41"/>
  <c r="P41"/>
  <c r="O41"/>
  <c r="N41"/>
  <c r="M41"/>
  <c r="L41"/>
  <c r="K41"/>
  <c r="J41"/>
  <c r="I41"/>
  <c r="H41"/>
  <c r="G41"/>
  <c r="F41"/>
  <c r="E41"/>
  <c r="D41"/>
  <c r="Q40"/>
  <c r="P40"/>
  <c r="O40"/>
  <c r="N40"/>
  <c r="M40"/>
  <c r="L40"/>
  <c r="K40"/>
  <c r="J40"/>
  <c r="I40"/>
  <c r="H40"/>
  <c r="G40"/>
  <c r="F40"/>
  <c r="E40"/>
  <c r="D40"/>
  <c r="Q39"/>
  <c r="P39"/>
  <c r="O39"/>
  <c r="N39"/>
  <c r="M39"/>
  <c r="L39"/>
  <c r="K39"/>
  <c r="J39"/>
  <c r="I39"/>
  <c r="H39"/>
  <c r="G39"/>
  <c r="F39"/>
  <c r="E39"/>
  <c r="D39"/>
  <c r="C42"/>
  <c r="C41"/>
  <c r="C40"/>
  <c r="C39"/>
  <c r="Q35"/>
  <c r="P35"/>
  <c r="O35"/>
  <c r="N35"/>
  <c r="M35"/>
  <c r="L35"/>
  <c r="K35"/>
  <c r="J35"/>
  <c r="I35"/>
  <c r="H35"/>
  <c r="G35"/>
  <c r="F35"/>
  <c r="E35"/>
  <c r="D35"/>
  <c r="C35"/>
  <c r="K133" i="6" l="1"/>
  <c r="J94"/>
  <c r="L4" i="9"/>
  <c r="K44"/>
  <c r="P22" i="4"/>
  <c r="O20"/>
  <c r="G118" i="6"/>
  <c r="G26" i="9"/>
  <c r="G25" s="1"/>
  <c r="G32" s="1"/>
  <c r="G22" s="1"/>
  <c r="I118" i="6"/>
  <c r="I26" i="9"/>
  <c r="I25" s="1"/>
  <c r="K118" i="6"/>
  <c r="K26" i="9"/>
  <c r="K25" s="1"/>
  <c r="M118" i="6"/>
  <c r="M26" i="9"/>
  <c r="M25" s="1"/>
  <c r="K114" i="4"/>
  <c r="K113" s="1"/>
  <c r="K112" s="1"/>
  <c r="K61" s="1"/>
  <c r="M114"/>
  <c r="M113" s="1"/>
  <c r="O114"/>
  <c r="O113" s="1"/>
  <c r="Q114"/>
  <c r="Q113" s="1"/>
  <c r="H118" i="6"/>
  <c r="H26" i="9"/>
  <c r="H25" s="1"/>
  <c r="H32" s="1"/>
  <c r="J118" i="6"/>
  <c r="J26" i="9"/>
  <c r="J25" s="1"/>
  <c r="L118" i="6"/>
  <c r="L26" i="9"/>
  <c r="L25" s="1"/>
  <c r="L114" i="4"/>
  <c r="L113" s="1"/>
  <c r="N114"/>
  <c r="N113" s="1"/>
  <c r="P114"/>
  <c r="P113" s="1"/>
  <c r="E113"/>
  <c r="J113"/>
  <c r="N50"/>
  <c r="I21" i="9"/>
  <c r="K21"/>
  <c r="J21"/>
  <c r="H21"/>
  <c r="H22" s="1"/>
  <c r="M9"/>
  <c r="N9" s="1"/>
  <c r="L10"/>
  <c r="M12"/>
  <c r="M21" s="1"/>
  <c r="L12"/>
  <c r="L21" s="1"/>
  <c r="I31"/>
  <c r="J29" s="1"/>
  <c r="I15"/>
  <c r="H15"/>
  <c r="J15"/>
  <c r="G15"/>
  <c r="M10"/>
  <c r="M6"/>
  <c r="N6" s="1"/>
  <c r="O6" s="1"/>
  <c r="P6" s="1"/>
  <c r="Q6" s="1"/>
  <c r="K7"/>
  <c r="K15" s="1"/>
  <c r="L7"/>
  <c r="J22" i="6"/>
  <c r="J18"/>
  <c r="N119"/>
  <c r="D17" i="9"/>
  <c r="E16" s="1"/>
  <c r="E17" s="1"/>
  <c r="F16" s="1"/>
  <c r="F17" s="1"/>
  <c r="G16" s="1"/>
  <c r="M88" i="6"/>
  <c r="M116" s="1"/>
  <c r="M73"/>
  <c r="M101" s="1"/>
  <c r="M102" s="1"/>
  <c r="O88"/>
  <c r="O116" s="1"/>
  <c r="O128" s="1"/>
  <c r="O73"/>
  <c r="O101" s="1"/>
  <c r="O102" s="1"/>
  <c r="Q88"/>
  <c r="Q116" s="1"/>
  <c r="Q128" s="1"/>
  <c r="Q73"/>
  <c r="Q101" s="1"/>
  <c r="Q102" s="1"/>
  <c r="N88"/>
  <c r="N116" s="1"/>
  <c r="N128" s="1"/>
  <c r="N73"/>
  <c r="N101" s="1"/>
  <c r="N102" s="1"/>
  <c r="P88"/>
  <c r="P116" s="1"/>
  <c r="P128" s="1"/>
  <c r="P73"/>
  <c r="P101" s="1"/>
  <c r="P102" s="1"/>
  <c r="H21" i="8"/>
  <c r="I20" s="1"/>
  <c r="I21" s="1"/>
  <c r="J20" s="1"/>
  <c r="J21" s="1"/>
  <c r="K20" s="1"/>
  <c r="K21" s="1"/>
  <c r="L20" s="1"/>
  <c r="L21" s="1"/>
  <c r="M20" s="1"/>
  <c r="M21" s="1"/>
  <c r="N20" s="1"/>
  <c r="N21" s="1"/>
  <c r="O20" s="1"/>
  <c r="O21" s="1"/>
  <c r="P20" s="1"/>
  <c r="P21" s="1"/>
  <c r="Q20" s="1"/>
  <c r="Q21" s="1"/>
  <c r="Q23"/>
  <c r="P23"/>
  <c r="O23"/>
  <c r="N23"/>
  <c r="M23"/>
  <c r="L23"/>
  <c r="K23"/>
  <c r="J23"/>
  <c r="I23"/>
  <c r="H23"/>
  <c r="G23"/>
  <c r="F23"/>
  <c r="E23"/>
  <c r="D23"/>
  <c r="C23"/>
  <c r="F20"/>
  <c r="F21" s="1"/>
  <c r="E19"/>
  <c r="F19"/>
  <c r="J122" i="6"/>
  <c r="I122"/>
  <c r="H122"/>
  <c r="G123"/>
  <c r="F119"/>
  <c r="E119"/>
  <c r="D119"/>
  <c r="F117"/>
  <c r="E117"/>
  <c r="G49"/>
  <c r="AC26" i="7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F89" i="6"/>
  <c r="E89"/>
  <c r="E86" s="1"/>
  <c r="D89"/>
  <c r="F83"/>
  <c r="E81"/>
  <c r="D81"/>
  <c r="C81"/>
  <c r="C83" s="1"/>
  <c r="I73" i="4"/>
  <c r="J73"/>
  <c r="P73"/>
  <c r="P96" s="1"/>
  <c r="P97" s="1"/>
  <c r="O73"/>
  <c r="O96" s="1"/>
  <c r="O97" s="1"/>
  <c r="N73"/>
  <c r="N96" s="1"/>
  <c r="N97" s="1"/>
  <c r="M73"/>
  <c r="L73"/>
  <c r="L97" s="1"/>
  <c r="K73"/>
  <c r="L133" i="6" l="1"/>
  <c r="K94"/>
  <c r="K97" i="4"/>
  <c r="K96"/>
  <c r="M96"/>
  <c r="M97" s="1"/>
  <c r="M4" i="9"/>
  <c r="L44"/>
  <c r="G91" i="6"/>
  <c r="H91"/>
  <c r="E83"/>
  <c r="E84"/>
  <c r="F86"/>
  <c r="F84"/>
  <c r="D83"/>
  <c r="D84"/>
  <c r="G122"/>
  <c r="Q22" i="4"/>
  <c r="E26" i="9"/>
  <c r="E25" s="1"/>
  <c r="E114" i="4"/>
  <c r="O119" i="6"/>
  <c r="N26" i="9"/>
  <c r="N25" s="1"/>
  <c r="R114" i="4"/>
  <c r="R113" s="1"/>
  <c r="K93"/>
  <c r="D26" i="9"/>
  <c r="D25" s="1"/>
  <c r="D114" i="4"/>
  <c r="D115" s="1"/>
  <c r="F26" i="9"/>
  <c r="F25" s="1"/>
  <c r="J114" i="4"/>
  <c r="J115" s="1"/>
  <c r="E115"/>
  <c r="K71"/>
  <c r="O50"/>
  <c r="G107" i="6"/>
  <c r="L13" i="9"/>
  <c r="L15" s="1"/>
  <c r="M13"/>
  <c r="I32"/>
  <c r="J31"/>
  <c r="K29" s="1"/>
  <c r="I21" i="6"/>
  <c r="J107"/>
  <c r="H21"/>
  <c r="I107"/>
  <c r="H107"/>
  <c r="G21"/>
  <c r="N10" i="9"/>
  <c r="O9"/>
  <c r="K22" i="6"/>
  <c r="K18"/>
  <c r="N118"/>
  <c r="H49"/>
  <c r="I49" s="1"/>
  <c r="O118"/>
  <c r="G17" i="9"/>
  <c r="H16" s="1"/>
  <c r="H17" s="1"/>
  <c r="I16" s="1"/>
  <c r="I17" s="1"/>
  <c r="J16" s="1"/>
  <c r="J17" s="1"/>
  <c r="K16" s="1"/>
  <c r="K17" s="1"/>
  <c r="L16" s="1"/>
  <c r="D82" i="6"/>
  <c r="D85" s="1"/>
  <c r="F82"/>
  <c r="F85" s="1"/>
  <c r="C82"/>
  <c r="E82"/>
  <c r="D60"/>
  <c r="D117" s="1"/>
  <c r="D118" s="1"/>
  <c r="D120" s="1"/>
  <c r="D47"/>
  <c r="D54" s="1"/>
  <c r="C24"/>
  <c r="D24"/>
  <c r="C11"/>
  <c r="D11"/>
  <c r="E47"/>
  <c r="E54" s="1"/>
  <c r="E62" s="1"/>
  <c r="E65" s="1"/>
  <c r="E67" s="1"/>
  <c r="F47"/>
  <c r="G47" s="1"/>
  <c r="E24"/>
  <c r="F24"/>
  <c r="G24" s="1"/>
  <c r="H24" s="1"/>
  <c r="I24" s="1"/>
  <c r="J24" s="1"/>
  <c r="K24" s="1"/>
  <c r="L24" s="1"/>
  <c r="M24" s="1"/>
  <c r="N24" s="1"/>
  <c r="O24" s="1"/>
  <c r="P24" s="1"/>
  <c r="Q24" s="1"/>
  <c r="E11"/>
  <c r="F11"/>
  <c r="G11" s="1"/>
  <c r="H11" s="1"/>
  <c r="I11" s="1"/>
  <c r="J11" s="1"/>
  <c r="K11" s="1"/>
  <c r="L11" s="1"/>
  <c r="M11" s="1"/>
  <c r="N11" s="1"/>
  <c r="O11" s="1"/>
  <c r="P11" s="1"/>
  <c r="Q11" s="1"/>
  <c r="F38"/>
  <c r="F70" s="1"/>
  <c r="F80" s="1"/>
  <c r="F88" s="1"/>
  <c r="F116" s="1"/>
  <c r="F128" s="1"/>
  <c r="F26"/>
  <c r="F20"/>
  <c r="F15"/>
  <c r="F7"/>
  <c r="C54"/>
  <c r="C62" s="1"/>
  <c r="C65" s="1"/>
  <c r="L38"/>
  <c r="L70" s="1"/>
  <c r="L80" s="1"/>
  <c r="L88" s="1"/>
  <c r="L116" s="1"/>
  <c r="L128" s="1"/>
  <c r="K38"/>
  <c r="K70" s="1"/>
  <c r="K80" s="1"/>
  <c r="K88" s="1"/>
  <c r="K116" s="1"/>
  <c r="K128" s="1"/>
  <c r="J38"/>
  <c r="J70" s="1"/>
  <c r="J80" s="1"/>
  <c r="J88" s="1"/>
  <c r="J116" s="1"/>
  <c r="J128" s="1"/>
  <c r="I38"/>
  <c r="I70" s="1"/>
  <c r="I80" s="1"/>
  <c r="I88" s="1"/>
  <c r="I116" s="1"/>
  <c r="I128" s="1"/>
  <c r="H38"/>
  <c r="H70" s="1"/>
  <c r="H80" s="1"/>
  <c r="H88" s="1"/>
  <c r="H116" s="1"/>
  <c r="H128" s="1"/>
  <c r="G38"/>
  <c r="G70" s="1"/>
  <c r="G80" s="1"/>
  <c r="G88" s="1"/>
  <c r="G116" s="1"/>
  <c r="G128" s="1"/>
  <c r="E38"/>
  <c r="E70" s="1"/>
  <c r="E80" s="1"/>
  <c r="E88" s="1"/>
  <c r="E116" s="1"/>
  <c r="E128" s="1"/>
  <c r="D38"/>
  <c r="D70" s="1"/>
  <c r="D80" s="1"/>
  <c r="D88" s="1"/>
  <c r="D116" s="1"/>
  <c r="D128" s="1"/>
  <c r="C38"/>
  <c r="C70" s="1"/>
  <c r="C80" s="1"/>
  <c r="C88" s="1"/>
  <c r="C116" s="1"/>
  <c r="C128" s="1"/>
  <c r="D26"/>
  <c r="E26"/>
  <c r="C26"/>
  <c r="E20"/>
  <c r="C20"/>
  <c r="D20"/>
  <c r="E15"/>
  <c r="D15"/>
  <c r="C15"/>
  <c r="D7"/>
  <c r="D5" s="1"/>
  <c r="C7"/>
  <c r="C5" s="1"/>
  <c r="E7"/>
  <c r="G93" l="1"/>
  <c r="G130"/>
  <c r="M133"/>
  <c r="L94"/>
  <c r="H93"/>
  <c r="H130"/>
  <c r="I22" i="9"/>
  <c r="I91" i="6" s="1"/>
  <c r="I130" s="1"/>
  <c r="L17" i="9"/>
  <c r="M16" s="1"/>
  <c r="N12"/>
  <c r="M44"/>
  <c r="N4"/>
  <c r="M7"/>
  <c r="M15" s="1"/>
  <c r="M17" s="1"/>
  <c r="N16" s="1"/>
  <c r="G117" i="6"/>
  <c r="G60" s="1"/>
  <c r="G98" s="1"/>
  <c r="D86"/>
  <c r="F118"/>
  <c r="F120" s="1"/>
  <c r="E85"/>
  <c r="H20"/>
  <c r="I20"/>
  <c r="R22" i="4"/>
  <c r="P119" i="6"/>
  <c r="O26" i="9"/>
  <c r="O25" s="1"/>
  <c r="S114" i="4"/>
  <c r="S113" s="1"/>
  <c r="L71"/>
  <c r="P50"/>
  <c r="K31" i="9"/>
  <c r="L29" s="1"/>
  <c r="J32"/>
  <c r="G20" i="6"/>
  <c r="P9" i="9"/>
  <c r="O10"/>
  <c r="N7"/>
  <c r="L22" i="6"/>
  <c r="L18"/>
  <c r="E118"/>
  <c r="E120" s="1"/>
  <c r="D62"/>
  <c r="D65" s="1"/>
  <c r="D58"/>
  <c r="H47"/>
  <c r="J49"/>
  <c r="G73"/>
  <c r="I73"/>
  <c r="I101" s="1"/>
  <c r="I102" s="1"/>
  <c r="K73"/>
  <c r="K101" s="1"/>
  <c r="K102" s="1"/>
  <c r="H73"/>
  <c r="J73"/>
  <c r="J101" s="1"/>
  <c r="J102" s="1"/>
  <c r="L73"/>
  <c r="L101" s="1"/>
  <c r="L102" s="1"/>
  <c r="F54"/>
  <c r="E58"/>
  <c r="F33"/>
  <c r="F5"/>
  <c r="E5"/>
  <c r="E33"/>
  <c r="C33"/>
  <c r="C35" s="1"/>
  <c r="D33"/>
  <c r="D35" s="1"/>
  <c r="N133" l="1"/>
  <c r="M94"/>
  <c r="I93"/>
  <c r="J22" i="9"/>
  <c r="J91" i="6" s="1"/>
  <c r="G50"/>
  <c r="G96" s="1"/>
  <c r="O12" i="9"/>
  <c r="N44"/>
  <c r="O4"/>
  <c r="N21"/>
  <c r="N13"/>
  <c r="N15" s="1"/>
  <c r="N17" s="1"/>
  <c r="O16" s="1"/>
  <c r="H89" i="6"/>
  <c r="H50"/>
  <c r="H96" s="1"/>
  <c r="G101"/>
  <c r="G102" s="1"/>
  <c r="I89"/>
  <c r="H101"/>
  <c r="H102" s="1"/>
  <c r="S22" i="4"/>
  <c r="P26" i="9"/>
  <c r="P25" s="1"/>
  <c r="T114" i="4"/>
  <c r="T113" s="1"/>
  <c r="P118" i="6"/>
  <c r="Q119"/>
  <c r="M71" i="4"/>
  <c r="Q50"/>
  <c r="L31" i="9"/>
  <c r="M29" s="1"/>
  <c r="K32"/>
  <c r="P10"/>
  <c r="Q9"/>
  <c r="Q10" s="1"/>
  <c r="O7"/>
  <c r="M22" i="6"/>
  <c r="M18"/>
  <c r="F58"/>
  <c r="F62"/>
  <c r="F65" s="1"/>
  <c r="K49"/>
  <c r="I47"/>
  <c r="E35"/>
  <c r="F35"/>
  <c r="J130" l="1"/>
  <c r="J93"/>
  <c r="O133"/>
  <c r="N94"/>
  <c r="K22" i="9"/>
  <c r="K91" i="6" s="1"/>
  <c r="K130" s="1"/>
  <c r="I126"/>
  <c r="P12" i="9"/>
  <c r="O44"/>
  <c r="P4"/>
  <c r="O21"/>
  <c r="O13"/>
  <c r="O15" s="1"/>
  <c r="O17" s="1"/>
  <c r="P16" s="1"/>
  <c r="H126" i="6"/>
  <c r="H54"/>
  <c r="J89"/>
  <c r="F67"/>
  <c r="I50"/>
  <c r="I96" s="1"/>
  <c r="T22" i="4"/>
  <c r="J50" i="6"/>
  <c r="Q118"/>
  <c r="Q26" i="9"/>
  <c r="Q25" s="1"/>
  <c r="U114" i="4"/>
  <c r="U113" s="1"/>
  <c r="N71"/>
  <c r="R50"/>
  <c r="M31" i="9"/>
  <c r="N29" s="1"/>
  <c r="L32"/>
  <c r="N22" i="6"/>
  <c r="N18"/>
  <c r="J47"/>
  <c r="L49"/>
  <c r="O94" l="1"/>
  <c r="P133"/>
  <c r="K93"/>
  <c r="L22" i="9"/>
  <c r="L91" i="6" s="1"/>
  <c r="L130" s="1"/>
  <c r="Q12" i="9"/>
  <c r="P44"/>
  <c r="Q4"/>
  <c r="Q44" s="1"/>
  <c r="P7"/>
  <c r="P21"/>
  <c r="P13"/>
  <c r="J126" i="6"/>
  <c r="L123"/>
  <c r="L122" s="1"/>
  <c r="H106"/>
  <c r="M123"/>
  <c r="M122" s="1"/>
  <c r="I106"/>
  <c r="K88" i="4"/>
  <c r="K87" s="1"/>
  <c r="H97" i="6"/>
  <c r="H58"/>
  <c r="K89"/>
  <c r="J96"/>
  <c r="J54"/>
  <c r="I54"/>
  <c r="U22" i="4"/>
  <c r="U20" s="1"/>
  <c r="O71"/>
  <c r="S50"/>
  <c r="N31" i="9"/>
  <c r="O29" s="1"/>
  <c r="M32"/>
  <c r="Q7"/>
  <c r="O22" i="6"/>
  <c r="O18"/>
  <c r="M49"/>
  <c r="K47"/>
  <c r="Q133" l="1"/>
  <c r="P94"/>
  <c r="L93"/>
  <c r="M22" i="9"/>
  <c r="M91" i="6" s="1"/>
  <c r="M130" s="1"/>
  <c r="K126"/>
  <c r="L107"/>
  <c r="K21"/>
  <c r="K20" s="1"/>
  <c r="N123"/>
  <c r="N122" s="1"/>
  <c r="J106"/>
  <c r="P15" i="9"/>
  <c r="P17" s="1"/>
  <c r="Q16" s="1"/>
  <c r="L21" i="6"/>
  <c r="L20" s="1"/>
  <c r="M107"/>
  <c r="Q21" i="9"/>
  <c r="Q13"/>
  <c r="Q15" s="1"/>
  <c r="Q17" s="1"/>
  <c r="L89" i="6"/>
  <c r="K84" i="4"/>
  <c r="K82"/>
  <c r="K50" i="6"/>
  <c r="K96" s="1"/>
  <c r="I58"/>
  <c r="I97"/>
  <c r="J58"/>
  <c r="J97"/>
  <c r="L50"/>
  <c r="P71" i="4"/>
  <c r="T50"/>
  <c r="O31" i="9"/>
  <c r="P29" s="1"/>
  <c r="N32"/>
  <c r="P22" i="6"/>
  <c r="P18"/>
  <c r="N49"/>
  <c r="L47"/>
  <c r="M47" s="1"/>
  <c r="N47" s="1"/>
  <c r="O47" s="1"/>
  <c r="P47" s="1"/>
  <c r="Q47" s="1"/>
  <c r="Q94" l="1"/>
  <c r="M93"/>
  <c r="N22" i="9"/>
  <c r="N91" i="6" s="1"/>
  <c r="N130" s="1"/>
  <c r="L126"/>
  <c r="N107"/>
  <c r="M21"/>
  <c r="M20" s="1"/>
  <c r="K106"/>
  <c r="O123"/>
  <c r="O122" s="1"/>
  <c r="M89"/>
  <c r="L96"/>
  <c r="L54"/>
  <c r="K54"/>
  <c r="Q71" i="4"/>
  <c r="U50"/>
  <c r="P31" i="9"/>
  <c r="Q29" s="1"/>
  <c r="O32"/>
  <c r="Q22" i="6"/>
  <c r="Q20" s="1"/>
  <c r="Q18"/>
  <c r="O49"/>
  <c r="H71" i="4"/>
  <c r="G71"/>
  <c r="F71"/>
  <c r="E71"/>
  <c r="D71"/>
  <c r="C71"/>
  <c r="P70"/>
  <c r="O70"/>
  <c r="N70"/>
  <c r="M70"/>
  <c r="L70"/>
  <c r="K70"/>
  <c r="J70"/>
  <c r="I70"/>
  <c r="H70"/>
  <c r="G70"/>
  <c r="F70"/>
  <c r="E70"/>
  <c r="D70"/>
  <c r="C70"/>
  <c r="F66"/>
  <c r="F63"/>
  <c r="F55"/>
  <c r="F34"/>
  <c r="F26"/>
  <c r="F24"/>
  <c r="F11"/>
  <c r="G66"/>
  <c r="G63"/>
  <c r="G55"/>
  <c r="G36"/>
  <c r="G34"/>
  <c r="G26"/>
  <c r="G24"/>
  <c r="G20" s="1"/>
  <c r="F15"/>
  <c r="F20"/>
  <c r="G15"/>
  <c r="C66"/>
  <c r="C63"/>
  <c r="C55"/>
  <c r="E66"/>
  <c r="D66"/>
  <c r="E63"/>
  <c r="D63"/>
  <c r="D55"/>
  <c r="E55"/>
  <c r="D52"/>
  <c r="D36"/>
  <c r="D34"/>
  <c r="D30"/>
  <c r="C24"/>
  <c r="D24"/>
  <c r="C26"/>
  <c r="C34" s="1"/>
  <c r="D26"/>
  <c r="C20"/>
  <c r="D20"/>
  <c r="C15"/>
  <c r="C8"/>
  <c r="C11" s="1"/>
  <c r="D15"/>
  <c r="D8"/>
  <c r="D11" s="1"/>
  <c r="H55"/>
  <c r="H63" s="1"/>
  <c r="H66" s="1"/>
  <c r="P39"/>
  <c r="O39"/>
  <c r="N39"/>
  <c r="M39"/>
  <c r="L39"/>
  <c r="K39"/>
  <c r="J39"/>
  <c r="I39"/>
  <c r="H39"/>
  <c r="G39"/>
  <c r="F39"/>
  <c r="E39"/>
  <c r="D39"/>
  <c r="C39"/>
  <c r="E30"/>
  <c r="H30"/>
  <c r="H26" s="1"/>
  <c r="E26"/>
  <c r="E34" s="1"/>
  <c r="E24"/>
  <c r="E20" s="1"/>
  <c r="H24"/>
  <c r="H20" s="1"/>
  <c r="E11"/>
  <c r="H8"/>
  <c r="H11" s="1"/>
  <c r="N93" i="6" l="1"/>
  <c r="O22" i="9"/>
  <c r="O91" i="6" s="1"/>
  <c r="O130" s="1"/>
  <c r="M126"/>
  <c r="P123"/>
  <c r="P122" s="1"/>
  <c r="L106"/>
  <c r="O107"/>
  <c r="N21"/>
  <c r="N20" s="1"/>
  <c r="K58"/>
  <c r="K97"/>
  <c r="L58"/>
  <c r="L97"/>
  <c r="M50"/>
  <c r="M96" s="1"/>
  <c r="R71" i="4"/>
  <c r="Q31" i="9"/>
  <c r="Q32" s="1"/>
  <c r="P32"/>
  <c r="P49" i="6"/>
  <c r="H34" i="4"/>
  <c r="N89" i="6" l="1"/>
  <c r="N126" s="1"/>
  <c r="O93"/>
  <c r="P91"/>
  <c r="P22" i="9"/>
  <c r="Q91" i="6"/>
  <c r="Q22" i="9"/>
  <c r="O21" i="6"/>
  <c r="O20" s="1"/>
  <c r="P107"/>
  <c r="Q123"/>
  <c r="Q122" s="1"/>
  <c r="M106"/>
  <c r="M54"/>
  <c r="N50"/>
  <c r="N96" s="1"/>
  <c r="P93"/>
  <c r="Q93"/>
  <c r="S71" i="4"/>
  <c r="Q49" i="6"/>
  <c r="E15" i="4"/>
  <c r="H15"/>
  <c r="C7"/>
  <c r="C5" s="1"/>
  <c r="C36" s="1"/>
  <c r="D7"/>
  <c r="D5" s="1"/>
  <c r="F7"/>
  <c r="F5" s="1"/>
  <c r="F36" s="1"/>
  <c r="G7"/>
  <c r="G5" s="1"/>
  <c r="I7"/>
  <c r="J7" s="1"/>
  <c r="H7"/>
  <c r="E7"/>
  <c r="J8"/>
  <c r="Q130" i="6" l="1"/>
  <c r="P130"/>
  <c r="O50"/>
  <c r="Q50"/>
  <c r="O89"/>
  <c r="O126" s="1"/>
  <c r="P21"/>
  <c r="P20" s="1"/>
  <c r="Q107"/>
  <c r="N106"/>
  <c r="P89"/>
  <c r="M58"/>
  <c r="M97"/>
  <c r="O96"/>
  <c r="N54"/>
  <c r="Q89"/>
  <c r="T71" i="4"/>
  <c r="H5"/>
  <c r="H36" s="1"/>
  <c r="E5"/>
  <c r="E36" s="1"/>
  <c r="J5"/>
  <c r="Q126" i="6" l="1"/>
  <c r="O106"/>
  <c r="P126"/>
  <c r="Q96"/>
  <c r="Q54"/>
  <c r="Q97" s="1"/>
  <c r="N58"/>
  <c r="N97"/>
  <c r="O54"/>
  <c r="P50"/>
  <c r="P96" s="1"/>
  <c r="U71" i="4"/>
  <c r="Q58" i="6" l="1"/>
  <c r="P106"/>
  <c r="Q106"/>
  <c r="P54"/>
  <c r="O58"/>
  <c r="O97"/>
  <c r="P58" l="1"/>
  <c r="P97"/>
  <c r="G89"/>
  <c r="G126" s="1"/>
  <c r="K123" l="1"/>
  <c r="K122" s="1"/>
  <c r="G106"/>
  <c r="G110" s="1"/>
  <c r="G81"/>
  <c r="G16"/>
  <c r="H16" s="1"/>
  <c r="G54"/>
  <c r="G86"/>
  <c r="G84"/>
  <c r="G15" l="1"/>
  <c r="G27"/>
  <c r="G26" s="1"/>
  <c r="H81"/>
  <c r="J21"/>
  <c r="J20" s="1"/>
  <c r="K107"/>
  <c r="H15"/>
  <c r="I16"/>
  <c r="G62"/>
  <c r="G65" s="1"/>
  <c r="H108" s="1"/>
  <c r="G97"/>
  <c r="G99" s="1"/>
  <c r="G112" s="1"/>
  <c r="G114" s="1"/>
  <c r="H113" s="1"/>
  <c r="G58"/>
  <c r="H27" l="1"/>
  <c r="H26" s="1"/>
  <c r="I81"/>
  <c r="H84"/>
  <c r="G8"/>
  <c r="G82" s="1"/>
  <c r="L88" i="4"/>
  <c r="L87" s="1"/>
  <c r="G31" i="6"/>
  <c r="G83" s="1"/>
  <c r="K51" i="4"/>
  <c r="J16" i="6"/>
  <c r="I15"/>
  <c r="H110"/>
  <c r="L121" i="4" l="1"/>
  <c r="Q119" s="1"/>
  <c r="G33" i="6"/>
  <c r="I84"/>
  <c r="J81"/>
  <c r="I27"/>
  <c r="I26" s="1"/>
  <c r="G7"/>
  <c r="G5" s="1"/>
  <c r="H117"/>
  <c r="H60" s="1"/>
  <c r="H86" s="1"/>
  <c r="G85"/>
  <c r="K55" i="4"/>
  <c r="K91"/>
  <c r="K15"/>
  <c r="G35" i="6"/>
  <c r="K16"/>
  <c r="J15"/>
  <c r="K81" l="1"/>
  <c r="J27"/>
  <c r="J26" s="1"/>
  <c r="J84"/>
  <c r="H62"/>
  <c r="H65" s="1"/>
  <c r="L51" i="4" s="1"/>
  <c r="H98" i="6"/>
  <c r="H99" s="1"/>
  <c r="K63" i="4"/>
  <c r="K66" s="1"/>
  <c r="K92"/>
  <c r="K94" s="1"/>
  <c r="K107" s="1"/>
  <c r="H31" i="6"/>
  <c r="H33" s="1"/>
  <c r="L16"/>
  <c r="K15"/>
  <c r="H112"/>
  <c r="I108"/>
  <c r="H83" l="1"/>
  <c r="L81"/>
  <c r="K84"/>
  <c r="K27"/>
  <c r="K26" s="1"/>
  <c r="H8"/>
  <c r="H82" s="1"/>
  <c r="I117" s="1"/>
  <c r="I60" s="1"/>
  <c r="H114"/>
  <c r="I113" s="1"/>
  <c r="M88" i="4"/>
  <c r="M87" s="1"/>
  <c r="M121" s="1"/>
  <c r="R119" s="1"/>
  <c r="K8"/>
  <c r="L108" s="1"/>
  <c r="K109"/>
  <c r="K32"/>
  <c r="L103"/>
  <c r="K80"/>
  <c r="L55"/>
  <c r="L91"/>
  <c r="L15"/>
  <c r="M16" i="6"/>
  <c r="L15"/>
  <c r="H7"/>
  <c r="H5" s="1"/>
  <c r="H35" s="1"/>
  <c r="I110"/>
  <c r="L27" l="1"/>
  <c r="L26" s="1"/>
  <c r="M81"/>
  <c r="L84"/>
  <c r="H85"/>
  <c r="K7" i="4"/>
  <c r="K5" s="1"/>
  <c r="L112"/>
  <c r="L61" s="1"/>
  <c r="L63" s="1"/>
  <c r="L66" s="1"/>
  <c r="K83"/>
  <c r="K34"/>
  <c r="K81"/>
  <c r="L92"/>
  <c r="N16" i="6"/>
  <c r="M15"/>
  <c r="I86"/>
  <c r="I98"/>
  <c r="I99" s="1"/>
  <c r="I62"/>
  <c r="I65" s="1"/>
  <c r="N81" l="1"/>
  <c r="M27"/>
  <c r="M26" s="1"/>
  <c r="M84"/>
  <c r="K36" i="4"/>
  <c r="L93"/>
  <c r="L84"/>
  <c r="L94"/>
  <c r="L32"/>
  <c r="M103"/>
  <c r="O16" i="6"/>
  <c r="N15"/>
  <c r="M51" i="4"/>
  <c r="M55" s="1"/>
  <c r="I112" i="6"/>
  <c r="I31"/>
  <c r="I33" s="1"/>
  <c r="J108"/>
  <c r="O81" l="1"/>
  <c r="N84"/>
  <c r="N27"/>
  <c r="N26" s="1"/>
  <c r="I8"/>
  <c r="I7" s="1"/>
  <c r="I5" s="1"/>
  <c r="I35" s="1"/>
  <c r="I114"/>
  <c r="J113" s="1"/>
  <c r="N88" i="4"/>
  <c r="N87" s="1"/>
  <c r="N121" s="1"/>
  <c r="S119" s="1"/>
  <c r="M92"/>
  <c r="M91"/>
  <c r="M15"/>
  <c r="P16" i="6"/>
  <c r="O15"/>
  <c r="J110"/>
  <c r="I83"/>
  <c r="I82" l="1"/>
  <c r="I85" s="1"/>
  <c r="O27"/>
  <c r="O26" s="1"/>
  <c r="P81"/>
  <c r="O84"/>
  <c r="Q16"/>
  <c r="Q15" s="1"/>
  <c r="P15"/>
  <c r="J117" l="1"/>
  <c r="J60" s="1"/>
  <c r="J86" s="1"/>
  <c r="P84"/>
  <c r="P27"/>
  <c r="P26" s="1"/>
  <c r="Q81"/>
  <c r="J98" l="1"/>
  <c r="J99" s="1"/>
  <c r="J112" s="1"/>
  <c r="J8" s="1"/>
  <c r="J62"/>
  <c r="J65" s="1"/>
  <c r="N51" i="4" s="1"/>
  <c r="Q84" i="6"/>
  <c r="Q27"/>
  <c r="Q26" s="1"/>
  <c r="J31"/>
  <c r="J33" s="1"/>
  <c r="N91" i="4"/>
  <c r="N55" l="1"/>
  <c r="N15"/>
  <c r="K108" i="6"/>
  <c r="O88" i="4" s="1"/>
  <c r="O87" s="1"/>
  <c r="O121" s="1"/>
  <c r="T119" s="1"/>
  <c r="T117" s="1"/>
  <c r="J114" i="6"/>
  <c r="K113" s="1"/>
  <c r="J82"/>
  <c r="K117" s="1"/>
  <c r="K60" s="1"/>
  <c r="K86" s="1"/>
  <c r="J7"/>
  <c r="J5" s="1"/>
  <c r="J35" s="1"/>
  <c r="J83"/>
  <c r="N92" i="4"/>
  <c r="K98" i="6"/>
  <c r="K99" s="1"/>
  <c r="O101" i="4" l="1"/>
  <c r="K62" i="6"/>
  <c r="K65" s="1"/>
  <c r="O51" i="4" s="1"/>
  <c r="J85" i="6"/>
  <c r="K110"/>
  <c r="K112" s="1"/>
  <c r="T102" i="4"/>
  <c r="S21"/>
  <c r="S20" s="1"/>
  <c r="K31" i="6" l="1"/>
  <c r="L108"/>
  <c r="K8"/>
  <c r="K82" s="1"/>
  <c r="L117" s="1"/>
  <c r="L60" s="1"/>
  <c r="K114"/>
  <c r="L113" s="1"/>
  <c r="P88" i="4"/>
  <c r="P87" s="1"/>
  <c r="P121" s="1"/>
  <c r="U119" s="1"/>
  <c r="O55"/>
  <c r="O91"/>
  <c r="O15"/>
  <c r="L110" i="6"/>
  <c r="K83"/>
  <c r="K33"/>
  <c r="K7" l="1"/>
  <c r="K5" s="1"/>
  <c r="K35" s="1"/>
  <c r="P101" i="4"/>
  <c r="U117"/>
  <c r="K85" i="6"/>
  <c r="O92" i="4"/>
  <c r="L86" i="6"/>
  <c r="L98"/>
  <c r="L99" s="1"/>
  <c r="L62"/>
  <c r="L65" s="1"/>
  <c r="U102" i="4" l="1"/>
  <c r="T21"/>
  <c r="T20" s="1"/>
  <c r="P51"/>
  <c r="L112" i="6"/>
  <c r="M108"/>
  <c r="L31"/>
  <c r="L8" l="1"/>
  <c r="L82" s="1"/>
  <c r="M117" s="1"/>
  <c r="M60" s="1"/>
  <c r="L114"/>
  <c r="M113" s="1"/>
  <c r="Q88" i="4"/>
  <c r="Q87" s="1"/>
  <c r="Q121" s="1"/>
  <c r="P55"/>
  <c r="P91"/>
  <c r="P15"/>
  <c r="M110" i="6"/>
  <c r="L83"/>
  <c r="L33"/>
  <c r="L7" l="1"/>
  <c r="L5" s="1"/>
  <c r="L35" s="1"/>
  <c r="L85"/>
  <c r="P92" i="4"/>
  <c r="M86" i="6"/>
  <c r="M98"/>
  <c r="M99" s="1"/>
  <c r="M62"/>
  <c r="M65" s="1"/>
  <c r="Q51" i="4" l="1"/>
  <c r="M112" i="6"/>
  <c r="N108"/>
  <c r="R88" i="4" s="1"/>
  <c r="M31" i="6"/>
  <c r="M8" l="1"/>
  <c r="M7" s="1"/>
  <c r="M5" s="1"/>
  <c r="M114"/>
  <c r="N113" s="1"/>
  <c r="Q55" i="4"/>
  <c r="Q91"/>
  <c r="Q15"/>
  <c r="N110" i="6"/>
  <c r="R87" i="4"/>
  <c r="R121" s="1"/>
  <c r="R101" s="1"/>
  <c r="M83" i="6"/>
  <c r="M33"/>
  <c r="M82" l="1"/>
  <c r="M85" s="1"/>
  <c r="Q92" i="4"/>
  <c r="M35" i="6"/>
  <c r="N117" l="1"/>
  <c r="N60" s="1"/>
  <c r="N86" s="1"/>
  <c r="N98" l="1"/>
  <c r="N99" s="1"/>
  <c r="N112" s="1"/>
  <c r="N114" s="1"/>
  <c r="O113" s="1"/>
  <c r="N62"/>
  <c r="N65" s="1"/>
  <c r="R51" i="4" s="1"/>
  <c r="R91" s="1"/>
  <c r="R55" l="1"/>
  <c r="R92" s="1"/>
  <c r="R15"/>
  <c r="N31" i="6"/>
  <c r="N33" s="1"/>
  <c r="N8"/>
  <c r="N82" s="1"/>
  <c r="N85" s="1"/>
  <c r="O108"/>
  <c r="N7" l="1"/>
  <c r="N5" s="1"/>
  <c r="N35" s="1"/>
  <c r="O117"/>
  <c r="O60" s="1"/>
  <c r="O62" s="1"/>
  <c r="O65" s="1"/>
  <c r="S51" i="4" s="1"/>
  <c r="S91" s="1"/>
  <c r="N83" i="6"/>
  <c r="S88" i="4"/>
  <c r="S87" s="1"/>
  <c r="O110" i="6"/>
  <c r="O86"/>
  <c r="S15" i="4" l="1"/>
  <c r="O31" i="6"/>
  <c r="O83" s="1"/>
  <c r="S55" i="4"/>
  <c r="S92" s="1"/>
  <c r="P108" i="6"/>
  <c r="T88" i="4" s="1"/>
  <c r="T87" s="1"/>
  <c r="T121" s="1"/>
  <c r="T101" s="1"/>
  <c r="O98" i="6"/>
  <c r="O99" s="1"/>
  <c r="O112" s="1"/>
  <c r="O8" s="1"/>
  <c r="O82" s="1"/>
  <c r="P117" s="1"/>
  <c r="P60" s="1"/>
  <c r="S121" i="4"/>
  <c r="S101" s="1"/>
  <c r="O33" i="6" l="1"/>
  <c r="P110"/>
  <c r="O114"/>
  <c r="P113" s="1"/>
  <c r="O7"/>
  <c r="O5" s="1"/>
  <c r="O35" s="1"/>
  <c r="O85"/>
  <c r="P62"/>
  <c r="P65" s="1"/>
  <c r="P98"/>
  <c r="P99" s="1"/>
  <c r="P86"/>
  <c r="T51" i="4" l="1"/>
  <c r="P112" i="6"/>
  <c r="Q108"/>
  <c r="U88" i="4" s="1"/>
  <c r="P31" i="6"/>
  <c r="P8" l="1"/>
  <c r="P7" s="1"/>
  <c r="P5" s="1"/>
  <c r="P114"/>
  <c r="Q113" s="1"/>
  <c r="T55" i="4"/>
  <c r="T91"/>
  <c r="T15"/>
  <c r="Q110" i="6"/>
  <c r="U87" i="4"/>
  <c r="U121" s="1"/>
  <c r="U101" s="1"/>
  <c r="P83" i="6"/>
  <c r="P33"/>
  <c r="P82" l="1"/>
  <c r="Q117" s="1"/>
  <c r="Q60" s="1"/>
  <c r="Q86" s="1"/>
  <c r="T92" i="4"/>
  <c r="P35" i="6"/>
  <c r="Q98" l="1"/>
  <c r="Q99" s="1"/>
  <c r="Q62"/>
  <c r="Q65" s="1"/>
  <c r="U51" i="4" s="1"/>
  <c r="U91" s="1"/>
  <c r="P85" i="6"/>
  <c r="U15" i="4"/>
  <c r="Q112" i="6"/>
  <c r="Q31"/>
  <c r="Q83" s="1"/>
  <c r="U55" i="4" l="1"/>
  <c r="U92" s="1"/>
  <c r="Q8" i="6"/>
  <c r="Q7" s="1"/>
  <c r="Q5" s="1"/>
  <c r="Q114"/>
  <c r="Q33"/>
  <c r="Q82" l="1"/>
  <c r="Q85" s="1"/>
  <c r="Q35"/>
  <c r="Q117" i="4"/>
  <c r="L79"/>
  <c r="L81" s="1"/>
  <c r="L101"/>
  <c r="L105" s="1"/>
  <c r="L107" s="1"/>
  <c r="L82" l="1"/>
  <c r="L109"/>
  <c r="L8"/>
  <c r="P21"/>
  <c r="P20" s="1"/>
  <c r="Q102"/>
  <c r="Q101"/>
  <c r="L27"/>
  <c r="L26" s="1"/>
  <c r="L34" s="1"/>
  <c r="M108" l="1"/>
  <c r="L7"/>
  <c r="L5" s="1"/>
  <c r="L36" s="1"/>
  <c r="L80"/>
  <c r="L83" l="1"/>
  <c r="M112"/>
  <c r="M61" s="1"/>
  <c r="M84" l="1"/>
  <c r="M63"/>
  <c r="M66" s="1"/>
  <c r="M93"/>
  <c r="M94" s="1"/>
  <c r="M32" l="1"/>
  <c r="N103"/>
  <c r="S117"/>
  <c r="R117"/>
  <c r="R102" l="1"/>
  <c r="Q21"/>
  <c r="Q20" s="1"/>
  <c r="R21"/>
  <c r="R20" s="1"/>
  <c r="S102"/>
  <c r="N101"/>
  <c r="N105" s="1"/>
  <c r="M101"/>
  <c r="M105" s="1"/>
  <c r="M107" s="1"/>
  <c r="M79"/>
  <c r="M81" l="1"/>
  <c r="M27"/>
  <c r="M26" s="1"/>
  <c r="M34" s="1"/>
  <c r="N79"/>
  <c r="M82"/>
  <c r="M8"/>
  <c r="M80" s="1"/>
  <c r="M109"/>
  <c r="M83" l="1"/>
  <c r="N112"/>
  <c r="N61" s="1"/>
  <c r="N84" s="1"/>
  <c r="N82"/>
  <c r="N27"/>
  <c r="N26" s="1"/>
  <c r="O79"/>
  <c r="N108"/>
  <c r="M7"/>
  <c r="M5" s="1"/>
  <c r="M36" s="1"/>
  <c r="P79" l="1"/>
  <c r="O82"/>
  <c r="O27"/>
  <c r="O26" s="1"/>
  <c r="N93"/>
  <c r="N94" s="1"/>
  <c r="N107" s="1"/>
  <c r="N63"/>
  <c r="N66" s="1"/>
  <c r="N32" l="1"/>
  <c r="O103"/>
  <c r="O105" s="1"/>
  <c r="N109"/>
  <c r="N8"/>
  <c r="P27"/>
  <c r="P26" s="1"/>
  <c r="P82"/>
  <c r="Q79"/>
  <c r="Q27" l="1"/>
  <c r="Q26" s="1"/>
  <c r="R79"/>
  <c r="Q82"/>
  <c r="N34"/>
  <c r="N81"/>
  <c r="O108"/>
  <c r="N7"/>
  <c r="N5" s="1"/>
  <c r="N80"/>
  <c r="N36" l="1"/>
  <c r="O112"/>
  <c r="O61" s="1"/>
  <c r="N83"/>
  <c r="R27"/>
  <c r="R26" s="1"/>
  <c r="R82"/>
  <c r="S79"/>
  <c r="O93" l="1"/>
  <c r="O94" s="1"/>
  <c r="O107" s="1"/>
  <c r="O84"/>
  <c r="O63"/>
  <c r="O66" s="1"/>
  <c r="S27"/>
  <c r="S26" s="1"/>
  <c r="T79"/>
  <c r="S82"/>
  <c r="T82" l="1"/>
  <c r="T27"/>
  <c r="T26" s="1"/>
  <c r="U79"/>
  <c r="P103"/>
  <c r="P105" s="1"/>
  <c r="O32"/>
  <c r="O109"/>
  <c r="O8"/>
  <c r="O7" l="1"/>
  <c r="O5" s="1"/>
  <c r="P108"/>
  <c r="O80"/>
  <c r="O34"/>
  <c r="O81"/>
  <c r="U82"/>
  <c r="U27"/>
  <c r="U26" s="1"/>
  <c r="O83" l="1"/>
  <c r="P112"/>
  <c r="P61" s="1"/>
  <c r="O36"/>
  <c r="P63" l="1"/>
  <c r="P66" s="1"/>
  <c r="P93"/>
  <c r="P94" s="1"/>
  <c r="P107" s="1"/>
  <c r="P84"/>
  <c r="Q103" l="1"/>
  <c r="Q105" s="1"/>
  <c r="P32"/>
  <c r="P109"/>
  <c r="P8"/>
  <c r="P7" l="1"/>
  <c r="P5" s="1"/>
  <c r="Q108"/>
  <c r="P80"/>
  <c r="P34"/>
  <c r="P81"/>
  <c r="P83" l="1"/>
  <c r="Q112"/>
  <c r="Q61" s="1"/>
  <c r="P36"/>
  <c r="Q84" l="1"/>
  <c r="Q63"/>
  <c r="Q66" s="1"/>
  <c r="Q93"/>
  <c r="Q94" s="1"/>
  <c r="Q107" s="1"/>
  <c r="R103" l="1"/>
  <c r="R105" s="1"/>
  <c r="Q32"/>
  <c r="Q109"/>
  <c r="Q8"/>
  <c r="R108" l="1"/>
  <c r="Q7"/>
  <c r="Q5" s="1"/>
  <c r="Q80"/>
  <c r="Q34"/>
  <c r="Q81"/>
  <c r="Q83" l="1"/>
  <c r="R112"/>
  <c r="R61" s="1"/>
  <c r="Q36"/>
  <c r="R63" l="1"/>
  <c r="R66" s="1"/>
  <c r="R84"/>
  <c r="R93"/>
  <c r="R94" s="1"/>
  <c r="R107" s="1"/>
  <c r="R109" l="1"/>
  <c r="R8"/>
  <c r="S103"/>
  <c r="S105" s="1"/>
  <c r="R32"/>
  <c r="R34" l="1"/>
  <c r="R81"/>
  <c r="R7"/>
  <c r="R5" s="1"/>
  <c r="S108"/>
  <c r="R80"/>
  <c r="R83" l="1"/>
  <c r="S112"/>
  <c r="S61" s="1"/>
  <c r="R36"/>
  <c r="S84" l="1"/>
  <c r="S93"/>
  <c r="S94" s="1"/>
  <c r="S107" s="1"/>
  <c r="S63"/>
  <c r="S66" s="1"/>
  <c r="T103" l="1"/>
  <c r="T105" s="1"/>
  <c r="S32"/>
  <c r="S109"/>
  <c r="S8"/>
  <c r="S7" l="1"/>
  <c r="S5" s="1"/>
  <c r="T108"/>
  <c r="S80"/>
  <c r="S34"/>
  <c r="S81"/>
  <c r="S83" l="1"/>
  <c r="T112"/>
  <c r="T61" s="1"/>
  <c r="S36"/>
  <c r="T63" l="1"/>
  <c r="T66" s="1"/>
  <c r="T84"/>
  <c r="T93"/>
  <c r="T94" s="1"/>
  <c r="T107" s="1"/>
  <c r="T109" l="1"/>
  <c r="T8"/>
  <c r="U103"/>
  <c r="U105" s="1"/>
  <c r="T32"/>
  <c r="T34" l="1"/>
  <c r="T81"/>
  <c r="T7"/>
  <c r="T5" s="1"/>
  <c r="T36" s="1"/>
  <c r="U108"/>
  <c r="T80"/>
  <c r="T83" l="1"/>
  <c r="U112"/>
  <c r="U61" s="1"/>
  <c r="U93" l="1"/>
  <c r="U94" s="1"/>
  <c r="U107" s="1"/>
  <c r="U63"/>
  <c r="U66" s="1"/>
  <c r="U84"/>
  <c r="U109" l="1"/>
  <c r="U8"/>
  <c r="U32"/>
  <c r="U34" l="1"/>
  <c r="U81"/>
  <c r="U7"/>
  <c r="U5" s="1"/>
  <c r="U36" s="1"/>
  <c r="U80"/>
  <c r="U83" s="1"/>
</calcChain>
</file>

<file path=xl/sharedStrings.xml><?xml version="1.0" encoding="utf-8"?>
<sst xmlns="http://schemas.openxmlformats.org/spreadsheetml/2006/main" count="377" uniqueCount="200">
  <si>
    <t>LS</t>
  </si>
  <si>
    <t>IFRS</t>
  </si>
  <si>
    <t>R$ mm</t>
  </si>
  <si>
    <t>1T11</t>
  </si>
  <si>
    <t>2T11</t>
  </si>
  <si>
    <t>3T11</t>
  </si>
  <si>
    <t>4T11</t>
  </si>
  <si>
    <t>2012E</t>
  </si>
  <si>
    <t>2013E</t>
  </si>
  <si>
    <t>2014E</t>
  </si>
  <si>
    <t>2015E</t>
  </si>
  <si>
    <t>2016E</t>
  </si>
  <si>
    <t>2017E</t>
  </si>
  <si>
    <t>Ativo</t>
  </si>
  <si>
    <t>Ativo Circulante</t>
  </si>
  <si>
    <t>Caixa</t>
  </si>
  <si>
    <t>Realizável Longo Prazo</t>
  </si>
  <si>
    <t>Ativos Fixos</t>
  </si>
  <si>
    <t>Investimentos</t>
  </si>
  <si>
    <t>Imobilizado</t>
  </si>
  <si>
    <t>Intangível</t>
  </si>
  <si>
    <t>Exigível de Curto Prazo</t>
  </si>
  <si>
    <t>Outros</t>
  </si>
  <si>
    <t>Impostos</t>
  </si>
  <si>
    <t>Patrimônio Líquido</t>
  </si>
  <si>
    <t>Check</t>
  </si>
  <si>
    <t>Receita Bruta</t>
  </si>
  <si>
    <t>Deduções</t>
  </si>
  <si>
    <t>Receita Líquida</t>
  </si>
  <si>
    <t>Lucro Bruto</t>
  </si>
  <si>
    <t>G&amp;A</t>
  </si>
  <si>
    <t>EBITDA</t>
  </si>
  <si>
    <t>EBT</t>
  </si>
  <si>
    <t>Lucro Líquido</t>
  </si>
  <si>
    <t>AG Participações</t>
  </si>
  <si>
    <t>Tributos a Recuperar</t>
  </si>
  <si>
    <t>Dívida CP</t>
  </si>
  <si>
    <t>Dividendos e JCP a receber</t>
  </si>
  <si>
    <t>Dividendos e JCP a pagar</t>
  </si>
  <si>
    <t>Obrigações Fiscais</t>
  </si>
  <si>
    <t>Passivo Não Circulante</t>
  </si>
  <si>
    <t>Dívida LP</t>
  </si>
  <si>
    <t>Passivos com Partes Relacionadas</t>
  </si>
  <si>
    <t>AFAC</t>
  </si>
  <si>
    <t>Passivo</t>
  </si>
  <si>
    <t>CPV</t>
  </si>
  <si>
    <t>Equivalência Patrimonial</t>
  </si>
  <si>
    <t>Outras Receitas Operacionais</t>
  </si>
  <si>
    <t>Outras Despesas Operacionais</t>
  </si>
  <si>
    <t>EBIT</t>
  </si>
  <si>
    <t>Depreciação</t>
  </si>
  <si>
    <t>Resultado Financeiro Líquido</t>
  </si>
  <si>
    <t>Capex Total</t>
  </si>
  <si>
    <t>CCR</t>
  </si>
  <si>
    <t xml:space="preserve"> -- Holding</t>
  </si>
  <si>
    <t xml:space="preserve"> -- Aporte CCR</t>
  </si>
  <si>
    <t xml:space="preserve"> -- Aporte Cemig</t>
  </si>
  <si>
    <t>AG Concessões</t>
  </si>
  <si>
    <t xml:space="preserve"> -- Aporte Sanepar</t>
  </si>
  <si>
    <t xml:space="preserve"> -- Aporte Water Port</t>
  </si>
  <si>
    <t xml:space="preserve"> -- Aporte AG Concessões</t>
  </si>
  <si>
    <t xml:space="preserve"> -- Aporte Santo Antônio</t>
  </si>
  <si>
    <t>Métricas de Crédito</t>
  </si>
  <si>
    <t>Dívida Total</t>
  </si>
  <si>
    <t>Dívida Líquida</t>
  </si>
  <si>
    <t>Divida Total / PL</t>
  </si>
  <si>
    <t>Dívida Bruta / Dividendos Recebidos</t>
  </si>
  <si>
    <t>Dívida Líquida / Dividendos Recebidos</t>
  </si>
  <si>
    <t>Interest Coverage Ratio</t>
  </si>
  <si>
    <t>Cash Flow (R$mm)</t>
  </si>
  <si>
    <t>Dividendos Recebidos</t>
  </si>
  <si>
    <t xml:space="preserve"> -- Light</t>
  </si>
  <si>
    <t>Indicadores Econômicos</t>
  </si>
  <si>
    <t>0Q2000</t>
  </si>
  <si>
    <t>0Q2001</t>
  </si>
  <si>
    <t>0Q2002</t>
  </si>
  <si>
    <t>0Q2003</t>
  </si>
  <si>
    <t>0Q2004</t>
  </si>
  <si>
    <t>0Q2005</t>
  </si>
  <si>
    <t>0Q2006</t>
  </si>
  <si>
    <t>0Q2007</t>
  </si>
  <si>
    <t>0Q2008</t>
  </si>
  <si>
    <t>0Q2009</t>
  </si>
  <si>
    <t>0Q2010</t>
  </si>
  <si>
    <t>1Q2011</t>
  </si>
  <si>
    <t>2Q2011</t>
  </si>
  <si>
    <t>3Q2011</t>
  </si>
  <si>
    <t>4Q2011</t>
  </si>
  <si>
    <t>0Q2011</t>
  </si>
  <si>
    <t>1Q2012</t>
  </si>
  <si>
    <t>2Q2012</t>
  </si>
  <si>
    <t>3Q2012</t>
  </si>
  <si>
    <t>4Q2012</t>
  </si>
  <si>
    <t>0Q2012</t>
  </si>
  <si>
    <t>0Q2013</t>
  </si>
  <si>
    <t>0Q2014</t>
  </si>
  <si>
    <t>0Q2015</t>
  </si>
  <si>
    <t>0Q2016</t>
  </si>
  <si>
    <t>0Q2017</t>
  </si>
  <si>
    <t>0Q2018</t>
  </si>
  <si>
    <t>1Q11</t>
  </si>
  <si>
    <t>2Q11</t>
  </si>
  <si>
    <t>3Q11</t>
  </si>
  <si>
    <t>4Q11</t>
  </si>
  <si>
    <t>1Q12</t>
  </si>
  <si>
    <t>2Q12</t>
  </si>
  <si>
    <t>3Q12</t>
  </si>
  <si>
    <t>4Q12</t>
  </si>
  <si>
    <t>PIB</t>
  </si>
  <si>
    <t>Crescimento Real</t>
  </si>
  <si>
    <t>ECO_GDP_REAL_GROWTH</t>
  </si>
  <si>
    <t>Inflação</t>
  </si>
  <si>
    <t>IPCA</t>
  </si>
  <si>
    <t>ECO_IPCA</t>
  </si>
  <si>
    <t>IGPM</t>
  </si>
  <si>
    <t>ECO_IGPM</t>
  </si>
  <si>
    <t>Taxa de Câmbio</t>
  </si>
  <si>
    <t>Variação Nominal</t>
  </si>
  <si>
    <t>ECO_FX_NOMINAL_VARIATION</t>
  </si>
  <si>
    <t>R$/US$ (fim de período)</t>
  </si>
  <si>
    <t>ECO_FX_USD</t>
  </si>
  <si>
    <t>R$/US$ (média)</t>
  </si>
  <si>
    <t>ECO_FX_USD_AVG</t>
  </si>
  <si>
    <t>Taxa de Juros</t>
  </si>
  <si>
    <t>Selic (fim de período)</t>
  </si>
  <si>
    <t>ECO_IR_EOP</t>
  </si>
  <si>
    <t>Selic (média)</t>
  </si>
  <si>
    <t>ECO_IR_AVG</t>
  </si>
  <si>
    <t>Real - IPCA (média)</t>
  </si>
  <si>
    <t>ECO_SELIC_REAL_IPCA_AVG</t>
  </si>
  <si>
    <t>Real - IGPM (média)</t>
  </si>
  <si>
    <t>ECO_SELIC_REAL_IGPM_AVG</t>
  </si>
  <si>
    <t>Selic média (US$) - (fim de período)</t>
  </si>
  <si>
    <t>ECO_IR_SELIC_USD_AVG</t>
  </si>
  <si>
    <t>Contas Públicas</t>
  </si>
  <si>
    <t>Superávit Primário  - % do PIB</t>
  </si>
  <si>
    <t>ECO_SURPLUS_GDP</t>
  </si>
  <si>
    <t>Dívida Pública Líquida - % do PIB</t>
  </si>
  <si>
    <t>ECO_DEBT_GDP</t>
  </si>
  <si>
    <t>Fluxo de Caixa Operacional</t>
  </si>
  <si>
    <t>Capex</t>
  </si>
  <si>
    <t>Fluxo de Caixa de Investimentos</t>
  </si>
  <si>
    <t>Novos aportes de Capital</t>
  </si>
  <si>
    <t>Mútuos Recebidos</t>
  </si>
  <si>
    <t>Amortização de Dívidas</t>
  </si>
  <si>
    <t>Dividendos pagos</t>
  </si>
  <si>
    <t>Mútuos Pagos</t>
  </si>
  <si>
    <t>Fluxo de Caixa de Financiamentos</t>
  </si>
  <si>
    <t>Novas Dívidas</t>
  </si>
  <si>
    <t>Dívida e Resultado Financeiro</t>
  </si>
  <si>
    <t>Custo Médio de Dívida</t>
  </si>
  <si>
    <t xml:space="preserve"> -- Selic Média</t>
  </si>
  <si>
    <t xml:space="preserve"> -- Spread Médio</t>
  </si>
  <si>
    <t>Cronograma de Amortização de Dívida</t>
  </si>
  <si>
    <t xml:space="preserve"> -- Dívida Antiga</t>
  </si>
  <si>
    <t xml:space="preserve"> -- Novas Dívidas</t>
  </si>
  <si>
    <t>2018E</t>
  </si>
  <si>
    <t>2019E</t>
  </si>
  <si>
    <t>2020E</t>
  </si>
  <si>
    <t>2021E</t>
  </si>
  <si>
    <t>2022E</t>
  </si>
  <si>
    <t>IR</t>
  </si>
  <si>
    <t>Variação de Capital de Giro</t>
  </si>
  <si>
    <t>Variação de Caixa</t>
  </si>
  <si>
    <t>Tax Rate</t>
  </si>
  <si>
    <t xml:space="preserve"> -- CCR (17%)</t>
  </si>
  <si>
    <t xml:space="preserve"> -- Cemig (14.4%)</t>
  </si>
  <si>
    <t xml:space="preserve"> -- Sanepar (9.6%) + Aeris</t>
  </si>
  <si>
    <t xml:space="preserve"> -- Water Port (100%)</t>
  </si>
  <si>
    <t>Caixa Inicial</t>
  </si>
  <si>
    <t>Caixa Final</t>
  </si>
  <si>
    <t>Cash Flow</t>
  </si>
  <si>
    <t>Destaques</t>
  </si>
  <si>
    <t>Dívida Liquida / EBITDA</t>
  </si>
  <si>
    <t>Dívida Total / PL</t>
  </si>
  <si>
    <t>FCF / Dívida Total</t>
  </si>
  <si>
    <t>Dívida Líquida / PL</t>
  </si>
  <si>
    <t xml:space="preserve"> --Mg. EBITDA Aj. (Ex Receitas de Construção)</t>
  </si>
  <si>
    <t>N/A</t>
  </si>
  <si>
    <t>Dividendos Pagos</t>
  </si>
  <si>
    <t>Payout Dividendos</t>
  </si>
  <si>
    <t>Resultado Finaceiro Líquido</t>
  </si>
  <si>
    <t>Cemig</t>
  </si>
  <si>
    <t>Dividend payout</t>
  </si>
  <si>
    <t>Water Port</t>
  </si>
  <si>
    <t>Sanepar</t>
  </si>
  <si>
    <t xml:space="preserve"> -- Santo Antônio (12.4%)</t>
  </si>
  <si>
    <t>Receita / (CCR + Cemig)</t>
  </si>
  <si>
    <t xml:space="preserve"> -- AG Concessões (90.35%)</t>
  </si>
  <si>
    <t>Dívida Inicial</t>
  </si>
  <si>
    <t>Amortização</t>
  </si>
  <si>
    <t>Dívida Final</t>
  </si>
  <si>
    <t>Juros</t>
  </si>
  <si>
    <t>Dividendos Participação AGC (14.4%)</t>
  </si>
  <si>
    <t>Lucro Líquido Sanepar</t>
  </si>
  <si>
    <t>Mútuos Cedidos</t>
  </si>
  <si>
    <t>Mútuos a Receber</t>
  </si>
  <si>
    <t>Payout</t>
  </si>
  <si>
    <t>DRE (R$mm)</t>
  </si>
  <si>
    <t>AGC (após encargos e perpétua)</t>
  </si>
</sst>
</file>

<file path=xl/styles.xml><?xml version="1.0" encoding="utf-8"?>
<styleSheet xmlns="http://schemas.openxmlformats.org/spreadsheetml/2006/main">
  <numFmts count="15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"/>
    <numFmt numFmtId="166" formatCode="#,##0.0;[Red]\(#,##0.0\)"/>
    <numFmt numFmtId="167" formatCode="General_)"/>
    <numFmt numFmtId="168" formatCode="#\ ###\ ###\ ##0\ "/>
    <numFmt numFmtId="169" formatCode="0.000_)"/>
    <numFmt numFmtId="170" formatCode="_-* #,##0.00_-;\-* #,##0.00_-;_-* &quot;-&quot;??_-;_-@_-"/>
    <numFmt numFmtId="171" formatCode="0.00_);\(0.00\);0.00"/>
    <numFmt numFmtId="172" formatCode="\$#,##0\ ;\(\$#,##0\)"/>
    <numFmt numFmtId="173" formatCode="#,##0,"/>
    <numFmt numFmtId="174" formatCode="#,##0,,"/>
    <numFmt numFmtId="175" formatCode="_ [$€-2]\ * #,##0.00_ ;_ [$€-2]\ * \-#,##0.00_ ;_ [$€-2]\ * &quot;-&quot;??_ "/>
    <numFmt numFmtId="176" formatCode="\+\ #\ ??/??;[Red]\ \-\ #\ ??/??"/>
    <numFmt numFmtId="177" formatCode="0.00_);\(0.00\);0.00_)"/>
    <numFmt numFmtId="178" formatCode="_-* #,##0_-;\-* #,##0_-;_-* &quot;-&quot;_-;_-@_-"/>
    <numFmt numFmtId="179" formatCode="_-&quot;$&quot;* #,##0_-;\-&quot;$&quot;* #,##0_-;_-&quot;$&quot;* &quot;-&quot;_-;_-@_-"/>
    <numFmt numFmtId="180" formatCode="_-&quot;$&quot;* #,##0.00_-;\-&quot;$&quot;* #,##0.00_-;_-&quot;$&quot;* &quot;-&quot;??_-;_-@_-"/>
    <numFmt numFmtId="181" formatCode="0.00_)"/>
    <numFmt numFmtId="182" formatCode="#,##0.00_);\(#,##0.00\);&quot; --- &quot;"/>
    <numFmt numFmtId="183" formatCode="#,"/>
    <numFmt numFmtId="184" formatCode="0.00\%;\-0.00\%;0.00\%"/>
    <numFmt numFmtId="185" formatCode="0.00;\-0.00;0.00"/>
    <numFmt numFmtId="186" formatCode="0.00\x;\-0.00\x;0.00\x"/>
    <numFmt numFmtId="187" formatCode="##0.00000"/>
    <numFmt numFmtId="188" formatCode="General;\-General;General;"/>
    <numFmt numFmtId="189" formatCode="&quot;R$ &quot;#,##0_);\(&quot;R$ &quot;#,##0\)"/>
    <numFmt numFmtId="190" formatCode="&quot;R$ &quot;#,##0_);[Red]\(&quot;R$ &quot;#,##0\)"/>
    <numFmt numFmtId="191" formatCode="&quot;R$ &quot;#,##0.00_);\(&quot;R$ &quot;#,##0.00\)"/>
    <numFmt numFmtId="192" formatCode="&quot;R$ &quot;#,##0.00_);[Red]\(&quot;R$ &quot;#,##0.00\)"/>
    <numFmt numFmtId="193" formatCode="_(&quot;R$ &quot;* #,##0_);_(&quot;R$ &quot;* \(#,##0\);_(&quot;R$ &quot;* &quot;-&quot;_);_(@_)"/>
    <numFmt numFmtId="194" formatCode="_(&quot;R$ &quot;* #,##0.00_);_(&quot;R$ &quot;* \(#,##0.00\);_(&quot;R$ &quot;* &quot;-&quot;??_);_(@_)"/>
    <numFmt numFmtId="195" formatCode="0.0"/>
    <numFmt numFmtId="196" formatCode="#,##0.0_);\(#,##0.0\)"/>
    <numFmt numFmtId="197" formatCode="#,##0.000_);\(#,##0.000\)"/>
    <numFmt numFmtId="198" formatCode="#,##0.0000_);\(#,##0.0000\)"/>
    <numFmt numFmtId="199" formatCode="_(* #,##0_);_(* \(#,##0\);_(* &quot;-&quot;??_);_(@_)"/>
    <numFmt numFmtId="200" formatCode="_(* #,##0.0_);_(* \(#,##0.0\);_(* &quot;-&quot;??_);_(@_)"/>
    <numFmt numFmtId="201" formatCode="#,##0.0\ ;\(#,##0.0\)"/>
    <numFmt numFmtId="202" formatCode="&quot;R$ &quot;#,##0.00_%_);\(&quot;R$ &quot;#,##0.00\)_%;&quot;R$ &quot;#,##0.00_%_);@_%_)"/>
    <numFmt numFmtId="203" formatCode="0.0\x_)_);&quot;NM&quot;_x_)_);0.0\x_)_);@_%_)"/>
    <numFmt numFmtId="204" formatCode="&quot;$&quot;#,##0.00_%_);\(&quot;$&quot;#,##0.00\)_%;&quot;$&quot;#,##0.00_%_);@_%_)"/>
    <numFmt numFmtId="205" formatCode="&quot;R$ &quot;#,##0.0_);\(&quot;R$ &quot;#,##0.0\)"/>
    <numFmt numFmtId="206" formatCode="&quot;R$ &quot;#,##0.000_);\(&quot;R$ &quot;#,##0.000\)"/>
    <numFmt numFmtId="207" formatCode="&quot;R$ &quot;#,##0.0000_);\(&quot;R$ &quot;#,##0.0000\)"/>
    <numFmt numFmtId="208" formatCode="&quot;$&quot;#,##0;\-&quot;$&quot;#,##0"/>
    <numFmt numFmtId="209" formatCode="0.0_)\%;\(0.0\)\%;0.0_)\%;@_)_%"/>
    <numFmt numFmtId="210" formatCode="#,##0.0_)_%;\(#,##0.0\)_%;0.0_)_%;@_)_%"/>
    <numFmt numFmtId="211" formatCode="#,##0.0_);\(#,##0.0\);#,##0.0_);@_)"/>
    <numFmt numFmtId="212" formatCode="&quot;R$ &quot;_(#,##0.00_);&quot;R$ &quot;\(#,##0.00\);&quot;R$ &quot;_(0.00_);@_)"/>
    <numFmt numFmtId="213" formatCode="&quot;R$ &quot;_(#,##0.00_);&quot;R$ &quot;\(#,##0.00\)"/>
    <numFmt numFmtId="214" formatCode="&quot;$&quot;_(#,##0.00_);&quot;$&quot;\(#,##0.00\)"/>
    <numFmt numFmtId="215" formatCode="&quot;$&quot;_(#,##0.00_);&quot;$&quot;\(#,##0.00\);&quot;$&quot;_(0.00_);@_)"/>
    <numFmt numFmtId="216" formatCode="_-&quot;R$ &quot;* #,##0.00_-;\-&quot;R$ &quot;* #,##0.00_-;_-&quot;R$ &quot;* &quot;-&quot;??_-;_-@_-"/>
    <numFmt numFmtId="217" formatCode="_(* #,##0.000000_);_(* \(#,##0.000000\);_(* &quot;-&quot;??????_);_(@_)"/>
    <numFmt numFmtId="218" formatCode="#,##0.0_%_);\(#,##0.0\)_%;#,##0.0_%_);@_%_)"/>
    <numFmt numFmtId="219" formatCode="&quot;$&quot;#,##0.00;\-&quot;$&quot;#,##0.00"/>
    <numFmt numFmtId="220" formatCode="#,##0.00_);\(#,##0.00\);0.00_);@_)"/>
    <numFmt numFmtId="221" formatCode="&quot;$&quot;#,##0.00;[Red]\-&quot;$&quot;#,##0.00"/>
    <numFmt numFmtId="222" formatCode="\€_(#,##0.00_);\€\(#,##0.00\);\€_(0.00_);@_)"/>
    <numFmt numFmtId="223" formatCode="#,##0_)\x;\(#,##0\)\x;0_)\x;@_)_x"/>
    <numFmt numFmtId="224" formatCode="#,##0.0_)\x;\(#,##0.0\)\x"/>
    <numFmt numFmtId="225" formatCode="_(&quot;R$&quot;* #,##0_);_(&quot;R$&quot;* \(#,##0\);_(&quot;R$&quot;* &quot;-&quot;_);_(@_)"/>
    <numFmt numFmtId="226" formatCode="0.0%_);\(0.0%\);0.0%_);@_%_)"/>
    <numFmt numFmtId="227" formatCode="#,##0_%_);\(#,##0\)_%;#,##0_%_);@_%_)"/>
    <numFmt numFmtId="228" formatCode="#,##0.0_)\x;\(#,##0.0\)\x;0.0_)\x;@_)_x"/>
    <numFmt numFmtId="229" formatCode="#,##0_)_x;\(#,##0\)_x;0_)_x;@_)_x"/>
    <numFmt numFmtId="230" formatCode="#,##0.0_)_x;\(#,##0.0\)_x"/>
    <numFmt numFmtId="231" formatCode="_(&quot;R$&quot;* #,##0.00_);_(&quot;R$&quot;* \(#,##0.00\);_(&quot;R$&quot;* &quot;-&quot;??_);_(@_)"/>
    <numFmt numFmtId="232" formatCode="#,##0.00_%_);\(#,##0.00\)_%;#,##0.00_%_);@_%_)"/>
    <numFmt numFmtId="233" formatCode="_(&quot;R$ &quot;* #,##0_);_(&quot;R$ &quot;* \(#,##0\);_(&quot;R$ &quot;* &quot;-&quot;???_);_(@_)"/>
    <numFmt numFmtId="234" formatCode="_(&quot;$&quot;* #,##0_);_(&quot;$&quot;* \(#,##0\);_(&quot;$&quot;* &quot;-&quot;???_);_(@_)"/>
    <numFmt numFmtId="235" formatCode="&quot;$&quot;#,##0;[Red]\-&quot;$&quot;#,##0"/>
    <numFmt numFmtId="236" formatCode="&quot;R$ &quot;#,##0;[Red]\-&quot;R$ &quot;#,##0"/>
    <numFmt numFmtId="237" formatCode="0.0_)\%;\(0.0\)\%"/>
    <numFmt numFmtId="238" formatCode="&quot;R$ &quot;#,##0.0_%_);\(&quot;R$ &quot;#,##0.0\)_%;&quot;R$ &quot;#,##0.0_%_);@_%_)"/>
    <numFmt numFmtId="239" formatCode="&quot;$&quot;#,##0.0_%_);\(&quot;$&quot;#,##0.0\)_%;&quot;$&quot;#,##0.0_%_);@_%_)"/>
    <numFmt numFmtId="240" formatCode="#,##0.0_)_%;\(#,##0.0\)_%"/>
    <numFmt numFmtId="241" formatCode="#,##0.0_);\(#,##0.0\);\-\ \ \ \ \ "/>
    <numFmt numFmtId="242" formatCode="#,##0.0_);[Red]\(#,##0.0\)"/>
    <numFmt numFmtId="243" formatCode="&quot;R$ &quot;#,##0.000_);[Red]\(&quot;R$ &quot;#,##0.000\)"/>
    <numFmt numFmtId="244" formatCode="#,##0.0000_);[Red]\(#,##0.0000\)"/>
    <numFmt numFmtId="245" formatCode="&quot;$&quot;#,##0.000_);[Red]\(&quot;$&quot;#,##0.000\)"/>
    <numFmt numFmtId="246" formatCode="&quot;  &quot;General&quot;  &quot;"/>
    <numFmt numFmtId="247" formatCode="_(* #,##0.0000000_);_(* \(#,##0.0000000\);_(* &quot;-&quot;?????_);_(@_)"/>
    <numFmt numFmtId="248" formatCode="#,##0_%_);\(#,##0\)_%;**;@_%_)"/>
    <numFmt numFmtId="249" formatCode="&quot;R$ thousands&quot;#,##0.0;[Red]\(&quot;R$ thousands&quot;#,##0.0\)"/>
    <numFmt numFmtId="250" formatCode="&quot;R$ thousands&quot;#,##0.00;[Red]\(&quot;R$ thousands&quot;#,##0.00\)"/>
    <numFmt numFmtId="251" formatCode="&quot;R$ &quot;#,##0_%_);\(&quot;R$ &quot;#,##0\)_%;&quot;R$ &quot;#,##0_%_);@_%_)"/>
    <numFmt numFmtId="252" formatCode="mmm\-d\-yy"/>
    <numFmt numFmtId="253" formatCode="mmm\-d\-yyyy"/>
    <numFmt numFmtId="254" formatCode="0.00000_);\(0.00000\)"/>
    <numFmt numFmtId="255" formatCode="m/d/yy_%_)"/>
    <numFmt numFmtId="256" formatCode="_(* #,##0.000000_);_(* \(#,##0.000000\);_(* &quot;-&quot;?????_);_(@_)"/>
    <numFmt numFmtId="257" formatCode="&quot;R$&quot;#,##0_);[Red]\(&quot;R$&quot;#,##0\)"/>
    <numFmt numFmtId="258" formatCode="0_%_);\(0\)_%;0_%_);@_%_)"/>
    <numFmt numFmtId="259" formatCode="###0_);\(###0\)"/>
    <numFmt numFmtId="260" formatCode="#,##0.0_);\(#,##0.0\);&quot;–&quot;_;&quot;&quot;"/>
    <numFmt numFmtId="261" formatCode="0.0\%_);\(0.0\%\);0.0\%_);@_%_)"/>
    <numFmt numFmtId="262" formatCode="_(&quot;R$ &quot;* #,##0.000_);_(&quot;R$ &quot;* \(#,##0.000\);_(&quot;R$ &quot;* &quot;-&quot;??_);_(@_)"/>
    <numFmt numFmtId="263" formatCode="_(&quot;R$ &quot;* #,##0.0000_);_(&quot;R$ &quot;* \(#,##0.0000\);_(&quot;R$ &quot;* &quot;-&quot;??_);_(@_)"/>
    <numFmt numFmtId="264" formatCode="_(&quot;R$ &quot;* #,##0.00000_);_(&quot;R$ &quot;* \(#,##0.00000\);_(&quot;R$ &quot;* &quot;-&quot;??_);_(@_)"/>
    <numFmt numFmtId="265" formatCode="_(&quot;R$ &quot;* #,##0.000000_);_(&quot;R$ &quot;* \(#,##0.000000\);_(&quot;R$ &quot;* &quot;-&quot;??_);_(@_)"/>
    <numFmt numFmtId="266" formatCode="#,##0.000%_);[Red]\(#,##0.000%\)"/>
    <numFmt numFmtId="267" formatCode="#,##0.000_);[Red]\(#,##0.000\)"/>
    <numFmt numFmtId="268" formatCode="#,##0\ \ \ ;\(#,##0\)\ \ "/>
    <numFmt numFmtId="269" formatCode="_(* #,##0\x_);_(* \(#,##0\x\);_(* &quot;0x&quot;_);_(@_)"/>
    <numFmt numFmtId="270" formatCode="_(* #,##0.0\x_);_(* \(#,##0.0\x\);_(* &quot;0,0x&quot;_);_(@_)"/>
    <numFmt numFmtId="271" formatCode="_(* #,##0.00\x_);_(* \(#,##0.00\x\);_(* &quot;0,00x&quot;_);_(@_)"/>
    <numFmt numFmtId="272" formatCode="#,##0.0_);[Red]\(#,##0.0\);&quot;N/A &quot;"/>
    <numFmt numFmtId="273" formatCode="&quot;R$&quot;#,##0.00_);[Red]\(&quot;R$&quot;#,##0.00\)"/>
    <numFmt numFmtId="274" formatCode="#,##0.0_)\ ;[Red]\(#,##0.0\)\ "/>
    <numFmt numFmtId="275" formatCode="0.0%&quot;NetPPE/sales&quot;"/>
    <numFmt numFmtId="276" formatCode="_(* #,##0_);_(* \(#,##0\);_(* &quot;0&quot;_);_(@_)"/>
    <numFmt numFmtId="277" formatCode="_(* #,##0.0_);_(* \(#,##0.0\);_(* &quot;0,0&quot;_);_(@_)"/>
    <numFmt numFmtId="278" formatCode="_(* #,##0.00_);_(* \(#,##0.00\);_(* &quot;0,00&quot;??_);_(@_)"/>
    <numFmt numFmtId="279" formatCode="0.0%&quot;NWI/Sls&quot;"/>
    <numFmt numFmtId="280" formatCode="&quot;  -  &quot;0&quot;  -  &quot;;&quot;  -  &quot;@&quot;  -  &quot;"/>
    <numFmt numFmtId="281" formatCode="_(* #,##0%_);_(* \(#,##0%\);_(* &quot;0%&quot;_);_(@_)"/>
    <numFmt numFmtId="282" formatCode="_(* #,##0.0%_);_(* \(#,##0.0%\);_(* &quot;0,0%&quot;_);_(@_)"/>
    <numFmt numFmtId="283" formatCode="_(* #,##0.00%_);_(* \(#,##0.00%\);_(* &quot;0,00%&quot;??_);_(@_)"/>
    <numFmt numFmtId="284" formatCode="0.0%&quot;Sales&quot;"/>
    <numFmt numFmtId="285" formatCode="##0.00%;\(##0.00\)%"/>
    <numFmt numFmtId="286" formatCode="&quot;TFCF: &quot;#,##0_);[Red]&quot;No! &quot;\(#,##0\)"/>
    <numFmt numFmtId="287" formatCode="0\ \ ;\(0\)\ \ \ "/>
    <numFmt numFmtId="288" formatCode="#,##0_);\(#,##0\);\-"/>
    <numFmt numFmtId="289" formatCode="#,##0_);\(#,##0\);&quot;    -   &quot;"/>
    <numFmt numFmtId="290" formatCode="#,##0.0_);\(#,##0.0\);\-"/>
    <numFmt numFmtId="291" formatCode="#,##0.00_);\(#,##0.00\);\-\ \ \ \ \ \ "/>
    <numFmt numFmtId="292" formatCode="#\ ##0\ "/>
    <numFmt numFmtId="293" formatCode="0&quot;E&quot;"/>
    <numFmt numFmtId="294" formatCode="_([$€-2]* #,##0.00_);_([$€-2]* \(#,##0.00\);_([$€-2]* &quot;-&quot;??_)"/>
    <numFmt numFmtId="295" formatCode="0.00%;\(0.00%\)"/>
    <numFmt numFmtId="296" formatCode="#,##0.00;\(#,##0.00\)"/>
    <numFmt numFmtId="297" formatCode="\£\ #,##0_);[Red]\(\£\ #,##0\)"/>
    <numFmt numFmtId="298" formatCode="\¥\ #,##0_);[Red]\(\¥\ #,##0\)"/>
    <numFmt numFmtId="299" formatCode="\•\ \ @"/>
    <numFmt numFmtId="300" formatCode="\ \ _•\–\ \ \ \ @"/>
    <numFmt numFmtId="301" formatCode="#,###\-"/>
    <numFmt numFmtId="302" formatCode="#,##0%"/>
    <numFmt numFmtId="303" formatCode="#,##0.0%"/>
    <numFmt numFmtId="304" formatCode="#,##0.0&quot;x&quot;"/>
    <numFmt numFmtId="305" formatCode="&quot;HK$&quot;#,##0"/>
    <numFmt numFmtId="306" formatCode="&quot;HK$&quot;#,##0.00"/>
    <numFmt numFmtId="307" formatCode="&quot;US$&quot;#,##0"/>
    <numFmt numFmtId="308" formatCode="&quot;US$&quot;#,##0.00"/>
    <numFmt numFmtId="309" formatCode="#,##0\ ;\(#,##0\);\ \-\ "/>
    <numFmt numFmtId="310" formatCode="#,##0.0_);\(#,##0.0\);0.0_)"/>
    <numFmt numFmtId="311" formatCode="#,##0.0&quot;x&quot;;\-#,##0.0&quot;x&quot;;0.0&quot;x&quot;"/>
    <numFmt numFmtId="312" formatCode="&quot;Cr$&quot;#,##0_);[Red]\(&quot;Cr$&quot;#,##0\)"/>
    <numFmt numFmtId="313" formatCode="0.0000"/>
    <numFmt numFmtId="314" formatCode="_-* #,##0.0_-;\-* #,##0.0_-;_-* &quot;-&quot;??_-;_-@_-"/>
    <numFmt numFmtId="315" formatCode="#,##0.0000"/>
  </numFmts>
  <fonts count="1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name val="Frutiger 45 Light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b/>
      <sz val="8"/>
      <color indexed="12"/>
      <name val="Times New Roman"/>
      <family val="1"/>
    </font>
    <font>
      <b/>
      <sz val="10"/>
      <color indexed="12"/>
      <name val="Arial"/>
      <family val="2"/>
    </font>
    <font>
      <sz val="10"/>
      <name val="Times New Roman"/>
      <family val="1"/>
    </font>
    <font>
      <sz val="7"/>
      <name val="SwitzerlandLight"/>
    </font>
    <font>
      <sz val="7"/>
      <name val="Times New Roman"/>
      <family val="1"/>
    </font>
    <font>
      <sz val="8"/>
      <color indexed="8"/>
      <name val="Times New Roman"/>
      <family val="1"/>
    </font>
    <font>
      <sz val="10"/>
      <name val="MS Sans Serif"/>
      <family val="2"/>
    </font>
    <font>
      <sz val="11"/>
      <name val="Tms Rmn"/>
    </font>
    <font>
      <sz val="10"/>
      <name val="Arial"/>
      <family val="2"/>
    </font>
    <font>
      <sz val="10"/>
      <color indexed="22"/>
      <name val="MS Sans Serif"/>
      <family val="2"/>
    </font>
    <font>
      <sz val="24"/>
      <name val="MS Sans Serif"/>
      <family val="2"/>
    </font>
    <font>
      <b/>
      <sz val="9"/>
      <name val="Times New Roman"/>
      <family val="1"/>
    </font>
    <font>
      <sz val="11"/>
      <name val="Book Antiqua"/>
      <family val="1"/>
    </font>
    <font>
      <sz val="1"/>
      <color indexed="8"/>
      <name val="Courier"/>
      <family val="3"/>
    </font>
    <font>
      <sz val="9"/>
      <name val="Times New Roman"/>
      <family val="1"/>
    </font>
    <font>
      <i/>
      <sz val="8"/>
      <color indexed="12"/>
      <name val="Times New Roman"/>
      <family val="1"/>
    </font>
    <font>
      <u/>
      <sz val="10"/>
      <color indexed="12"/>
      <name val="Arial"/>
      <family val="2"/>
    </font>
    <font>
      <b/>
      <sz val="10"/>
      <name val="MS Sans Serif"/>
      <family val="2"/>
    </font>
    <font>
      <sz val="11"/>
      <name val="Times New Roman"/>
      <family val="1"/>
    </font>
    <font>
      <sz val="10"/>
      <name val="Courier"/>
      <family val="3"/>
    </font>
    <font>
      <b/>
      <i/>
      <sz val="16"/>
      <name val="Helv"/>
    </font>
    <font>
      <i/>
      <sz val="10"/>
      <name val="Arial"/>
      <family val="2"/>
    </font>
    <font>
      <b/>
      <sz val="1"/>
      <color indexed="8"/>
      <name val="Courier"/>
      <family val="3"/>
    </font>
    <font>
      <b/>
      <sz val="8"/>
      <color indexed="10"/>
      <name val="Times New Roman"/>
      <family val="1"/>
    </font>
    <font>
      <sz val="10"/>
      <color indexed="23"/>
      <name val="MS Sans Serif"/>
      <family val="2"/>
    </font>
    <font>
      <b/>
      <sz val="12"/>
      <name val="MS Sans Serif"/>
      <family val="2"/>
    </font>
    <font>
      <b/>
      <sz val="9"/>
      <color indexed="12"/>
      <name val="Times New Roman"/>
      <family val="1"/>
    </font>
    <font>
      <sz val="8"/>
      <name val="Arial"/>
      <family val="2"/>
    </font>
    <font>
      <b/>
      <sz val="18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sz val="10"/>
      <color indexed="12"/>
      <name val="Arial"/>
      <family val="2"/>
    </font>
    <font>
      <sz val="8"/>
      <color indexed="12"/>
      <name val="Times New Roman"/>
      <family val="1"/>
    </font>
    <font>
      <sz val="10"/>
      <color indexed="8"/>
      <name val="MS Sans Serif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Helv"/>
    </font>
    <font>
      <sz val="12"/>
      <name val="Tms Rmn"/>
    </font>
    <font>
      <b/>
      <u/>
      <sz val="10"/>
      <name val="Times New Roman"/>
      <family val="1"/>
    </font>
    <font>
      <b/>
      <sz val="10"/>
      <color indexed="8"/>
      <name val="Arial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sz val="8"/>
      <name val="Times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18"/>
      <name val="Times New Roman"/>
      <family val="1"/>
    </font>
    <font>
      <sz val="8"/>
      <name val="Palatino"/>
      <family val="1"/>
    </font>
    <font>
      <b/>
      <sz val="10"/>
      <name val="Arial"/>
      <family val="2"/>
    </font>
    <font>
      <sz val="8"/>
      <color indexed="12"/>
      <name val="Arial"/>
      <family val="2"/>
    </font>
    <font>
      <u val="doubleAccounting"/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2"/>
      <name val="Times New Roman"/>
      <family val="1"/>
    </font>
    <font>
      <sz val="7"/>
      <name val="Palatino"/>
      <family val="1"/>
    </font>
    <font>
      <sz val="8"/>
      <name val="UNIVERS CONDENSED"/>
    </font>
    <font>
      <b/>
      <sz val="8.5"/>
      <color indexed="17"/>
      <name val="Arial"/>
      <family val="2"/>
    </font>
    <font>
      <sz val="10"/>
      <color indexed="17"/>
      <name val="Arial"/>
      <family val="2"/>
    </font>
    <font>
      <sz val="8.5"/>
      <name val="Arial"/>
      <family val="2"/>
    </font>
    <font>
      <sz val="6"/>
      <color indexed="16"/>
      <name val="Palatino"/>
      <family val="1"/>
    </font>
    <font>
      <b/>
      <sz val="11"/>
      <color indexed="56"/>
      <name val="Calibri"/>
      <family val="2"/>
    </font>
    <font>
      <b/>
      <sz val="9"/>
      <name val="Helv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b/>
      <i/>
      <sz val="7"/>
      <name val="Times New Roman"/>
      <family val="1"/>
    </font>
    <font>
      <sz val="8"/>
      <color indexed="39"/>
      <name val="Arial"/>
      <family val="2"/>
    </font>
    <font>
      <sz val="8"/>
      <color indexed="12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i/>
      <sz val="10"/>
      <name val="Helv"/>
    </font>
    <font>
      <sz val="10"/>
      <name val="TimesNewRomanPS"/>
    </font>
    <font>
      <sz val="10"/>
      <name val="Geneva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color indexed="16"/>
      <name val="Helvetica-Black"/>
    </font>
    <font>
      <sz val="8"/>
      <color indexed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u val="singleAccounting"/>
      <sz val="10"/>
      <name val="Arial"/>
      <family val="2"/>
    </font>
    <font>
      <i/>
      <sz val="9"/>
      <color indexed="12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10"/>
      <name val="Times New Roman"/>
      <family val="1"/>
    </font>
    <font>
      <sz val="11"/>
      <color indexed="10"/>
      <name val="Calibri"/>
      <family val="2"/>
    </font>
    <font>
      <sz val="7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7"/>
      <color indexed="12"/>
      <name val="Arial"/>
      <family val="2"/>
    </font>
    <font>
      <sz val="8"/>
      <color indexed="9"/>
      <name val="Arial"/>
      <family val="2"/>
    </font>
    <font>
      <b/>
      <i/>
      <sz val="8"/>
      <name val="Helv"/>
    </font>
    <font>
      <b/>
      <sz val="8"/>
      <name val="Palatino"/>
      <family val="1"/>
    </font>
    <font>
      <sz val="9"/>
      <name val="Frutiger 45 Light"/>
    </font>
    <font>
      <b/>
      <sz val="9"/>
      <name val="Frutiger 45 Light"/>
    </font>
    <font>
      <sz val="8"/>
      <color indexed="8"/>
      <name val="Arial"/>
      <family val="2"/>
    </font>
    <font>
      <sz val="6"/>
      <name val="Arial"/>
      <family val="2"/>
    </font>
    <font>
      <sz val="24"/>
      <name val="Arial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sz val="8"/>
      <color indexed="63"/>
      <name val="Arial"/>
      <family val="2"/>
    </font>
    <font>
      <b/>
      <sz val="8"/>
      <color indexed="9"/>
      <name val="Arial"/>
      <family val="2"/>
    </font>
    <font>
      <sz val="8.25"/>
      <name val="Helv"/>
    </font>
    <font>
      <sz val="10"/>
      <color indexed="9"/>
      <name val="Arial"/>
      <family val="2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name val="Helv"/>
    </font>
    <font>
      <b/>
      <sz val="48"/>
      <color indexed="12"/>
      <name val="Lucida Console"/>
      <family val="3"/>
    </font>
    <font>
      <sz val="10"/>
      <color indexed="18"/>
      <name val="Arial"/>
      <family val="2"/>
    </font>
    <font>
      <sz val="8"/>
      <name val="VeticaBlack"/>
      <family val="2"/>
    </font>
    <font>
      <u/>
      <sz val="12"/>
      <color indexed="36"/>
      <name val="Arial"/>
      <family val="2"/>
    </font>
    <font>
      <sz val="10"/>
      <color indexed="8"/>
      <name val="Times New Roman"/>
      <family val="1"/>
    </font>
    <font>
      <sz val="10"/>
      <name val="Palatino"/>
    </font>
    <font>
      <sz val="8.5"/>
      <name val="Arial Narrow"/>
      <family val="2"/>
    </font>
    <font>
      <sz val="10"/>
      <color indexed="24"/>
      <name val="Arial"/>
      <family val="2"/>
    </font>
    <font>
      <b/>
      <sz val="24"/>
      <name val="Sabon"/>
      <family val="2"/>
    </font>
    <font>
      <b/>
      <sz val="11"/>
      <color indexed="8"/>
      <name val="Calibri"/>
      <family val="2"/>
    </font>
    <font>
      <sz val="9"/>
      <color rgb="FFFF0000"/>
      <name val="Arial"/>
      <family val="2"/>
    </font>
    <font>
      <sz val="7"/>
      <name val="Times"/>
      <family val="1"/>
    </font>
    <font>
      <b/>
      <sz val="10"/>
      <color indexed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0"/>
      <color indexed="10"/>
      <name val="Arial"/>
      <family val="2"/>
    </font>
    <font>
      <sz val="10"/>
      <name val="Palatino"/>
      <family val="1"/>
    </font>
    <font>
      <u/>
      <sz val="8.5"/>
      <color indexed="12"/>
      <name val="Arial"/>
      <family val="2"/>
    </font>
    <font>
      <sz val="1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lightGray">
        <fgColor indexed="12"/>
      </patternFill>
    </fill>
    <fill>
      <patternFill patternType="solid">
        <fgColor indexed="13"/>
      </patternFill>
    </fill>
    <fill>
      <patternFill patternType="gray125">
        <fgColor indexed="22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darkTrellis">
        <fgColor indexed="13"/>
        <bgColor indexed="9"/>
      </patternFill>
    </fill>
    <fill>
      <patternFill patternType="gray0625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065">
    <xf numFmtId="0" fontId="0" fillId="0" borderId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" fontId="8" fillId="0" borderId="0" applyFill="0" applyBorder="0" applyProtection="0">
      <alignment horizontal="right" wrapText="1"/>
      <protection locked="0"/>
    </xf>
    <xf numFmtId="166" fontId="9" fillId="0" borderId="0" applyFill="0" applyBorder="0" applyProtection="0">
      <alignment horizontal="right"/>
      <protection locked="0"/>
    </xf>
    <xf numFmtId="0" fontId="10" fillId="0" borderId="0" applyNumberFormat="0" applyFill="0" applyBorder="0" applyProtection="0">
      <protection locked="0"/>
    </xf>
    <xf numFmtId="166" fontId="11" fillId="0" borderId="0">
      <protection locked="0"/>
    </xf>
    <xf numFmtId="167" fontId="12" fillId="0" borderId="0">
      <alignment vertical="top"/>
    </xf>
    <xf numFmtId="168" fontId="13" fillId="0" borderId="5"/>
    <xf numFmtId="167" fontId="14" fillId="0" borderId="0">
      <alignment horizontal="left"/>
    </xf>
    <xf numFmtId="1" fontId="15" fillId="0" borderId="0">
      <protection locked="0"/>
    </xf>
    <xf numFmtId="0" fontId="16" fillId="0" borderId="0">
      <alignment horizontal="center" wrapText="1"/>
      <protection hidden="1"/>
    </xf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3" fontId="19" fillId="0" borderId="0" applyFont="0" applyFill="0" applyBorder="0" applyAlignment="0" applyProtection="0"/>
    <xf numFmtId="0" fontId="20" fillId="3" borderId="0">
      <alignment horizontal="center" vertical="center" wrapText="1"/>
    </xf>
    <xf numFmtId="171" fontId="16" fillId="0" borderId="0" applyFill="0" applyBorder="0">
      <alignment horizontal="right"/>
      <protection locked="0"/>
    </xf>
    <xf numFmtId="172" fontId="19" fillId="0" borderId="0" applyFont="0" applyFill="0" applyBorder="0" applyAlignment="0" applyProtection="0"/>
    <xf numFmtId="0" fontId="16" fillId="0" borderId="0" applyFont="0" applyFill="0" applyBorder="0" applyAlignment="0">
      <protection locked="0"/>
    </xf>
    <xf numFmtId="17" fontId="21" fillId="0" borderId="4" applyFont="0" applyFill="0" applyBorder="0" applyAlignment="0" applyProtection="0"/>
    <xf numFmtId="173" fontId="22" fillId="0" borderId="0"/>
    <xf numFmtId="174" fontId="22" fillId="0" borderId="0"/>
    <xf numFmtId="175" fontId="18" fillId="0" borderId="0" applyFont="0" applyFill="0" applyBorder="0" applyAlignment="0" applyProtection="0"/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16" fillId="0" borderId="0"/>
    <xf numFmtId="176" fontId="24" fillId="0" borderId="0" applyFont="0" applyFill="0" applyBorder="0" applyAlignment="0" applyProtection="0">
      <protection locked="0"/>
    </xf>
    <xf numFmtId="13" fontId="24" fillId="0" borderId="0" applyFont="0" applyFill="0" applyBorder="0" applyAlignment="0" applyProtection="0">
      <protection locked="0"/>
    </xf>
    <xf numFmtId="164" fontId="25" fillId="0" borderId="0" applyFill="0" applyBorder="0" applyProtection="0">
      <alignment horizontal="right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3" fontId="8" fillId="0" borderId="6" applyNumberFormat="0" applyFont="0" applyFill="0" applyAlignment="0" applyProtection="0">
      <alignment horizontal="right" wrapText="1"/>
      <protection locked="0"/>
    </xf>
    <xf numFmtId="0" fontId="16" fillId="0" borderId="0" applyFill="0" applyBorder="0">
      <alignment horizontal="right"/>
      <protection locked="0"/>
    </xf>
    <xf numFmtId="177" fontId="16" fillId="0" borderId="0" applyFill="0" applyBorder="0">
      <alignment horizontal="right"/>
      <protection locked="0"/>
    </xf>
    <xf numFmtId="0" fontId="27" fillId="4" borderId="7">
      <alignment horizontal="left" vertical="center" wrapText="1"/>
    </xf>
    <xf numFmtId="15" fontId="18" fillId="0" borderId="0"/>
    <xf numFmtId="178" fontId="18" fillId="0" borderId="0" applyFont="0" applyFill="0" applyBorder="0" applyAlignment="0" applyProtection="0"/>
    <xf numFmtId="4" fontId="28" fillId="0" borderId="0" applyFont="0" applyFill="0" applyBorder="0" applyAlignment="0" applyProtection="0"/>
    <xf numFmtId="170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9" fillId="0" borderId="0"/>
    <xf numFmtId="181" fontId="30" fillId="0" borderId="0"/>
    <xf numFmtId="182" fontId="31" fillId="0" borderId="0" applyFont="0" applyFill="0" applyBorder="0" applyAlignment="0" applyProtection="0"/>
    <xf numFmtId="183" fontId="32" fillId="0" borderId="0">
      <protection locked="0"/>
    </xf>
    <xf numFmtId="184" fontId="16" fillId="0" borderId="0" applyFill="0" applyBorder="0">
      <alignment horizontal="right"/>
      <protection locked="0"/>
    </xf>
    <xf numFmtId="2" fontId="18" fillId="0" borderId="0" applyFont="0" applyFill="0" applyAlignment="0" applyProtection="0"/>
    <xf numFmtId="9" fontId="18" fillId="0" borderId="0" applyNumberFormat="0" applyFill="0" applyBorder="0" applyAlignment="0" applyProtection="0"/>
    <xf numFmtId="185" fontId="16" fillId="0" borderId="0" applyFill="0" applyBorder="0">
      <alignment horizontal="right"/>
      <protection locked="0"/>
    </xf>
    <xf numFmtId="186" fontId="16" fillId="0" borderId="0">
      <alignment horizontal="right"/>
      <protection locked="0"/>
    </xf>
    <xf numFmtId="0" fontId="33" fillId="0" borderId="0" applyNumberFormat="0" applyFill="0" applyBorder="0" applyProtection="0">
      <protection locked="0"/>
    </xf>
    <xf numFmtId="187" fontId="34" fillId="0" borderId="0" applyFill="0" applyBorder="0">
      <alignment horizontal="right"/>
      <protection hidden="1"/>
    </xf>
    <xf numFmtId="0" fontId="35" fillId="3" borderId="8">
      <alignment horizontal="center" vertical="center" wrapText="1"/>
      <protection hidden="1"/>
    </xf>
    <xf numFmtId="38" fontId="16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6" fillId="5" borderId="0" applyNumberFormat="0" applyFont="0" applyBorder="0" applyAlignment="0" applyProtection="0">
      <protection locked="0"/>
    </xf>
    <xf numFmtId="188" fontId="16" fillId="0" borderId="0">
      <protection locked="0"/>
    </xf>
    <xf numFmtId="0" fontId="16" fillId="0" borderId="0" applyBorder="0"/>
    <xf numFmtId="0" fontId="16" fillId="0" borderId="0"/>
    <xf numFmtId="0" fontId="24" fillId="4" borderId="0" applyNumberFormat="0" applyFont="0" applyBorder="0" applyAlignment="0" applyProtection="0"/>
    <xf numFmtId="0" fontId="7" fillId="0" borderId="0"/>
    <xf numFmtId="301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302" fontId="18" fillId="0" borderId="0" applyFont="0" applyFill="0" applyBorder="0" applyAlignment="0" applyProtection="0"/>
    <xf numFmtId="303" fontId="18" fillId="0" borderId="0" applyFont="0" applyFill="0" applyBorder="0" applyAlignment="0" applyProtection="0"/>
    <xf numFmtId="37" fontId="18" fillId="0" borderId="0" applyFont="0" applyFill="0" applyBorder="0" applyAlignment="0" applyProtection="0"/>
    <xf numFmtId="164" fontId="18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164" fontId="18" fillId="0" borderId="0"/>
    <xf numFmtId="202" fontId="18" fillId="0" borderId="0"/>
    <xf numFmtId="201" fontId="3" fillId="0" borderId="0"/>
    <xf numFmtId="203" fontId="18" fillId="0" borderId="0"/>
    <xf numFmtId="201" fontId="3" fillId="0" borderId="0"/>
    <xf numFmtId="201" fontId="3" fillId="0" borderId="0"/>
    <xf numFmtId="204" fontId="18" fillId="0" borderId="0"/>
    <xf numFmtId="204" fontId="18" fillId="0" borderId="0"/>
    <xf numFmtId="202" fontId="18" fillId="0" borderId="0"/>
    <xf numFmtId="204" fontId="18" fillId="0" borderId="0"/>
    <xf numFmtId="202" fontId="18" fillId="0" borderId="0"/>
    <xf numFmtId="202" fontId="18" fillId="0" borderId="0"/>
    <xf numFmtId="204" fontId="18" fillId="0" borderId="0"/>
    <xf numFmtId="202" fontId="18" fillId="0" borderId="0"/>
    <xf numFmtId="201" fontId="3" fillId="0" borderId="0"/>
    <xf numFmtId="203" fontId="18" fillId="0" borderId="0"/>
    <xf numFmtId="201" fontId="3" fillId="0" borderId="0"/>
    <xf numFmtId="201" fontId="3" fillId="0" borderId="0"/>
    <xf numFmtId="204" fontId="18" fillId="0" borderId="0"/>
    <xf numFmtId="204" fontId="18" fillId="0" borderId="0"/>
    <xf numFmtId="202" fontId="18" fillId="0" borderId="0"/>
    <xf numFmtId="204" fontId="18" fillId="0" borderId="0"/>
    <xf numFmtId="202" fontId="18" fillId="0" borderId="0"/>
    <xf numFmtId="202" fontId="18" fillId="0" borderId="0"/>
    <xf numFmtId="204" fontId="18" fillId="0" borderId="0"/>
    <xf numFmtId="189" fontId="43" fillId="0" borderId="0" applyFont="0" applyFill="0" applyBorder="0" applyAlignment="0" applyProtection="0"/>
    <xf numFmtId="189" fontId="18" fillId="0" borderId="0" applyFont="0" applyFill="0" applyBorder="0" applyAlignment="0" applyProtection="0"/>
    <xf numFmtId="205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206" fontId="44" fillId="0" borderId="0" applyFont="0" applyFill="0" applyBorder="0" applyAlignment="0" applyProtection="0"/>
    <xf numFmtId="207" fontId="12" fillId="0" borderId="0" applyFont="0" applyFill="0" applyBorder="0" applyAlignment="0" applyProtection="0"/>
    <xf numFmtId="208" fontId="18" fillId="0" borderId="0" applyFont="0" applyFill="0" applyBorder="0" applyAlignment="0" applyProtection="0"/>
    <xf numFmtId="191" fontId="45" fillId="0" borderId="0" applyFont="0" applyFill="0" applyBorder="0" applyAlignment="0" applyProtection="0"/>
    <xf numFmtId="206" fontId="43" fillId="0" borderId="0" applyFont="0" applyFill="0" applyBorder="0" applyAlignment="0" applyProtection="0"/>
    <xf numFmtId="207" fontId="45" fillId="0" borderId="0" applyFont="0" applyFill="0" applyBorder="0" applyAlignment="0" applyProtection="0"/>
    <xf numFmtId="208" fontId="43" fillId="0" borderId="0" applyFont="0" applyFill="0" applyBorder="0" applyAlignment="0" applyProtection="0"/>
    <xf numFmtId="0" fontId="46" fillId="0" borderId="0" applyNumberFormat="0" applyFont="0" applyFill="0" applyBorder="0" applyAlignment="0" applyProtection="0"/>
    <xf numFmtId="209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2" fontId="3" fillId="0" borderId="0" applyFont="0" applyFill="0" applyBorder="0" applyAlignment="0" applyProtection="0"/>
    <xf numFmtId="215" fontId="3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3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8" fillId="8" borderId="0" applyNumberFormat="0" applyFont="0" applyAlignment="0" applyProtection="0"/>
    <xf numFmtId="223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3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28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3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0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31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31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190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6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6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6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6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1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199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0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18" fillId="0" borderId="11" applyNumberFormat="0" applyFont="0" applyFill="0" applyAlignment="0" applyProtection="0"/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" fillId="0" borderId="0" applyNumberFormat="0" applyFill="0" applyBorder="0" applyAlignment="0" applyProtection="0"/>
    <xf numFmtId="297" fontId="72" fillId="0" borderId="0" applyFont="0" applyFill="0" applyBorder="0" applyAlignment="0" applyProtection="0"/>
    <xf numFmtId="298" fontId="72" fillId="0" borderId="0" applyFont="0" applyFill="0" applyBorder="0" applyAlignment="0" applyProtection="0"/>
    <xf numFmtId="241" fontId="38" fillId="0" borderId="0" applyFont="0" applyAlignment="0">
      <alignment horizontal="center"/>
    </xf>
    <xf numFmtId="9" fontId="51" fillId="0" borderId="0" applyFont="0" applyFill="0" applyBorder="0" applyAlignment="0" applyProtection="0"/>
    <xf numFmtId="37" fontId="18" fillId="0" borderId="0" applyFont="0" applyFill="0" applyBorder="0" applyAlignment="0" applyProtection="0"/>
    <xf numFmtId="196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197" fontId="18" fillId="0" borderId="0" applyFont="0" applyFill="0" applyBorder="0" applyAlignment="0" applyProtection="0"/>
    <xf numFmtId="198" fontId="44" fillId="0" borderId="0" applyFont="0" applyFill="0" applyBorder="0" applyAlignment="0" applyProtection="0"/>
    <xf numFmtId="195" fontId="131" fillId="0" borderId="12" applyFont="0" applyFill="0" applyBorder="0" applyAlignment="0" applyProtection="0">
      <alignment horizontal="right"/>
    </xf>
    <xf numFmtId="164" fontId="51" fillId="0" borderId="0" applyFont="0" applyFill="0" applyBorder="0" applyAlignment="0" applyProtection="0"/>
    <xf numFmtId="39" fontId="45" fillId="0" borderId="0" applyFont="0" applyFill="0" applyBorder="0" applyAlignment="0" applyProtection="0"/>
    <xf numFmtId="10" fontId="51" fillId="0" borderId="0" applyFont="0" applyFill="0" applyBorder="0" applyAlignment="0" applyProtection="0"/>
    <xf numFmtId="197" fontId="43" fillId="0" borderId="0" applyFont="0" applyFill="0" applyBorder="0" applyAlignment="0" applyProtection="0">
      <alignment horizontal="right"/>
    </xf>
    <xf numFmtId="304" fontId="18" fillId="0" borderId="0" applyFont="0" applyFill="0" applyBorder="0" applyAlignment="0" applyProtection="0"/>
    <xf numFmtId="241" fontId="41" fillId="0" borderId="0" applyFont="0" applyFill="0" applyBorder="0" applyAlignment="0" applyProtection="0"/>
    <xf numFmtId="241" fontId="38" fillId="0" borderId="0" applyFont="0" applyAlignment="0">
      <alignment horizontal="center"/>
    </xf>
    <xf numFmtId="242" fontId="51" fillId="0" borderId="0" applyFont="0" applyFill="0" applyBorder="0" applyAlignment="0" applyProtection="0"/>
    <xf numFmtId="39" fontId="29" fillId="0" borderId="0" applyFont="0" applyFill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4" borderId="0" applyNumberFormat="0" applyBorder="0" applyAlignment="0" applyProtection="0"/>
    <xf numFmtId="197" fontId="29" fillId="0" borderId="0" applyFont="0" applyFill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52" fillId="18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2" borderId="0" applyNumberFormat="0" applyBorder="0" applyAlignment="0" applyProtection="0"/>
    <xf numFmtId="0" fontId="52" fillId="15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19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7" fontId="54" fillId="0" borderId="0"/>
    <xf numFmtId="196" fontId="122" fillId="0" borderId="13" applyBorder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6" borderId="0" applyNumberFormat="0" applyBorder="0" applyAlignment="0" applyProtection="0"/>
    <xf numFmtId="243" fontId="55" fillId="0" borderId="0" applyFont="0" applyFill="0" applyBorder="0" applyAlignment="0" applyProtection="0"/>
    <xf numFmtId="244" fontId="55" fillId="0" borderId="0" applyFont="0" applyFill="0" applyBorder="0" applyAlignment="0" applyProtection="0"/>
    <xf numFmtId="245" fontId="55" fillId="0" borderId="0" applyFont="0" applyFill="0" applyBorder="0" applyAlignment="0" applyProtection="0"/>
    <xf numFmtId="0" fontId="18" fillId="0" borderId="0"/>
    <xf numFmtId="0" fontId="40" fillId="0" borderId="0" applyNumberFormat="0" applyFont="0" applyBorder="0" applyAlignment="0">
      <alignment horizontal="center"/>
    </xf>
    <xf numFmtId="246" fontId="56" fillId="0" borderId="0" applyFill="0" applyBorder="0" applyProtection="0">
      <alignment horizontal="center"/>
    </xf>
    <xf numFmtId="0" fontId="57" fillId="0" borderId="0" applyNumberFormat="0" applyFont="0" applyBorder="0" applyAlignment="0"/>
    <xf numFmtId="0" fontId="18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8" fillId="0" borderId="14">
      <protection hidden="1"/>
    </xf>
    <xf numFmtId="0" fontId="18" fillId="0" borderId="0"/>
    <xf numFmtId="0" fontId="58" fillId="10" borderId="0" applyNumberFormat="0" applyBorder="0" applyAlignment="0" applyProtection="0"/>
    <xf numFmtId="0" fontId="132" fillId="27" borderId="0" applyNumberFormat="0" applyBorder="0" applyAlignment="0">
      <protection hidden="1"/>
    </xf>
    <xf numFmtId="0" fontId="59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33" fillId="0" borderId="2" applyNumberFormat="0" applyFill="0" applyAlignment="0" applyProtection="0"/>
    <xf numFmtId="292" fontId="14" fillId="0" borderId="0" applyFill="0" applyBorder="0" applyProtection="0"/>
    <xf numFmtId="292" fontId="14" fillId="0" borderId="0" applyFill="0" applyBorder="0" applyProtection="0"/>
    <xf numFmtId="0" fontId="60" fillId="11" borderId="0" applyNumberFormat="0" applyBorder="0" applyAlignment="0" applyProtection="0"/>
    <xf numFmtId="0" fontId="43" fillId="0" borderId="3" applyNumberFormat="0" applyFont="0" applyFill="0" applyAlignment="0" applyProtection="0"/>
    <xf numFmtId="0" fontId="43" fillId="0" borderId="15" applyNumberFormat="0" applyFont="0" applyFill="0" applyAlignment="0" applyProtection="0"/>
    <xf numFmtId="247" fontId="18" fillId="0" borderId="0" applyFont="0" applyFill="0" applyBorder="0" applyAlignment="0" applyProtection="0"/>
    <xf numFmtId="299" fontId="72" fillId="0" borderId="0" applyFont="0" applyFill="0" applyBorder="0" applyAlignment="0" applyProtection="0"/>
    <xf numFmtId="0" fontId="134" fillId="0" borderId="0"/>
    <xf numFmtId="14" fontId="49" fillId="2" borderId="16" applyBorder="0" applyAlignment="0">
      <alignment horizontal="center" vertical="center"/>
    </xf>
    <xf numFmtId="0" fontId="49" fillId="28" borderId="16" applyNumberFormat="0" applyBorder="0" applyAlignment="0">
      <alignment horizontal="center" vertical="center"/>
    </xf>
    <xf numFmtId="39" fontId="61" fillId="0" borderId="0" applyFill="0" applyBorder="0" applyAlignment="0"/>
    <xf numFmtId="0" fontId="62" fillId="29" borderId="17" applyNumberFormat="0" applyAlignment="0" applyProtection="0"/>
    <xf numFmtId="0" fontId="62" fillId="29" borderId="17" applyNumberFormat="0" applyAlignment="0" applyProtection="0"/>
    <xf numFmtId="0" fontId="63" fillId="30" borderId="18" applyNumberFormat="0" applyAlignment="0" applyProtection="0"/>
    <xf numFmtId="0" fontId="64" fillId="0" borderId="19" applyNumberFormat="0" applyFill="0" applyAlignment="0" applyProtection="0"/>
    <xf numFmtId="1" fontId="65" fillId="0" borderId="0"/>
    <xf numFmtId="0" fontId="63" fillId="30" borderId="18" applyNumberFormat="0" applyAlignment="0" applyProtection="0"/>
    <xf numFmtId="0" fontId="42" fillId="31" borderId="20" applyFont="0" applyFill="0" applyBorder="0"/>
    <xf numFmtId="0" fontId="37" fillId="0" borderId="14"/>
    <xf numFmtId="0" fontId="18" fillId="0" borderId="0">
      <alignment horizontal="center" wrapText="1"/>
      <protection hidden="1"/>
    </xf>
    <xf numFmtId="0" fontId="16" fillId="0" borderId="0">
      <alignment horizontal="center" wrapText="1"/>
      <protection hidden="1"/>
    </xf>
    <xf numFmtId="43" fontId="7" fillId="0" borderId="0" applyFont="0" applyFill="0" applyBorder="0" applyAlignment="0" applyProtection="0"/>
    <xf numFmtId="227" fontId="66" fillId="0" borderId="0" applyFont="0" applyFill="0" applyBorder="0" applyAlignment="0" applyProtection="0">
      <alignment horizontal="right"/>
    </xf>
    <xf numFmtId="248" fontId="66" fillId="0" borderId="0" applyFont="0" applyFill="0" applyBorder="0" applyAlignment="0" applyProtection="0"/>
    <xf numFmtId="205" fontId="18" fillId="0" borderId="0" applyFont="0" applyFill="0" applyBorder="0" applyAlignment="0" applyProtection="0">
      <alignment horizontal="right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232" fontId="66" fillId="0" borderId="0" applyFont="0" applyFill="0" applyBorder="0" applyAlignment="0" applyProtection="0">
      <alignment horizontal="right"/>
    </xf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23" fillId="3" borderId="0">
      <alignment horizontal="center" vertical="center" wrapText="1"/>
    </xf>
    <xf numFmtId="0" fontId="20" fillId="3" borderId="0">
      <alignment horizontal="center" vertical="center" wrapText="1"/>
    </xf>
    <xf numFmtId="37" fontId="27" fillId="0" borderId="0" applyBorder="0" applyAlignment="0">
      <alignment horizontal="center"/>
    </xf>
    <xf numFmtId="43" fontId="18" fillId="32" borderId="0" applyNumberFormat="0" applyFont="0" applyBorder="0" applyAlignment="0" applyProtection="0"/>
    <xf numFmtId="171" fontId="18" fillId="0" borderId="0" applyFill="0" applyBorder="0">
      <alignment horizontal="right"/>
      <protection locked="0"/>
    </xf>
    <xf numFmtId="171" fontId="18" fillId="0" borderId="0" applyFill="0" applyBorder="0">
      <alignment horizontal="right"/>
      <protection locked="0"/>
    </xf>
    <xf numFmtId="249" fontId="37" fillId="0" borderId="0"/>
    <xf numFmtId="250" fontId="37" fillId="0" borderId="0"/>
    <xf numFmtId="251" fontId="66" fillId="0" borderId="0" applyFont="0" applyFill="0" applyBorder="0" applyAlignment="0" applyProtection="0">
      <alignment horizontal="right"/>
    </xf>
    <xf numFmtId="202" fontId="66" fillId="0" borderId="0" applyFont="0" applyFill="0" applyBorder="0" applyAlignment="0" applyProtection="0">
      <alignment horizontal="right"/>
    </xf>
    <xf numFmtId="300" fontId="72" fillId="0" borderId="0" applyFont="0" applyFill="0" applyBorder="0" applyAlignment="0" applyProtection="0"/>
    <xf numFmtId="0" fontId="18" fillId="0" borderId="0" applyFont="0" applyFill="0" applyBorder="0" applyAlignment="0" applyProtection="0"/>
    <xf numFmtId="15" fontId="42" fillId="0" borderId="0" applyFill="0" applyBorder="0" applyAlignment="0"/>
    <xf numFmtId="252" fontId="42" fillId="33" borderId="0" applyFont="0" applyFill="0" applyBorder="0" applyAlignment="0" applyProtection="0"/>
    <xf numFmtId="253" fontId="68" fillId="33" borderId="21" applyFont="0" applyFill="0" applyBorder="0" applyAlignment="0" applyProtection="0"/>
    <xf numFmtId="252" fontId="37" fillId="33" borderId="0" applyFont="0" applyFill="0" applyBorder="0" applyAlignment="0" applyProtection="0"/>
    <xf numFmtId="17" fontId="42" fillId="0" borderId="0" applyFill="0" applyBorder="0">
      <alignment horizontal="right"/>
    </xf>
    <xf numFmtId="254" fontId="18" fillId="0" borderId="2"/>
    <xf numFmtId="255" fontId="66" fillId="0" borderId="0" applyFont="0" applyFill="0" applyBorder="0" applyAlignment="0" applyProtection="0"/>
    <xf numFmtId="17" fontId="21" fillId="0" borderId="4" applyFont="0" applyFill="0" applyBorder="0" applyAlignment="0" applyProtection="0"/>
    <xf numFmtId="14" fontId="42" fillId="32" borderId="22" applyFill="0" applyBorder="0">
      <alignment horizontal="right"/>
    </xf>
    <xf numFmtId="253" fontId="42" fillId="0" borderId="0" applyFill="0" applyBorder="0">
      <alignment horizontal="right"/>
    </xf>
    <xf numFmtId="256" fontId="18" fillId="0" borderId="0"/>
    <xf numFmtId="0" fontId="18" fillId="0" borderId="0"/>
    <xf numFmtId="0" fontId="18" fillId="34" borderId="0" applyNumberFormat="0" applyFont="0" applyBorder="0" applyAlignment="0" applyProtection="0"/>
    <xf numFmtId="257" fontId="18" fillId="0" borderId="0"/>
    <xf numFmtId="191" fontId="37" fillId="0" borderId="0"/>
    <xf numFmtId="258" fontId="66" fillId="0" borderId="23" applyNumberFormat="0" applyFont="0" applyFill="0" applyAlignment="0" applyProtection="0"/>
    <xf numFmtId="193" fontId="69" fillId="0" borderId="0" applyFill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6" borderId="0" applyNumberFormat="0" applyBorder="0" applyAlignment="0" applyProtection="0"/>
    <xf numFmtId="0" fontId="70" fillId="14" borderId="17" applyNumberFormat="0" applyAlignment="0" applyProtection="0"/>
    <xf numFmtId="0" fontId="18" fillId="0" borderId="0"/>
    <xf numFmtId="0" fontId="18" fillId="0" borderId="0"/>
    <xf numFmtId="294" fontId="18" fillId="0" borderId="0" applyFont="0" applyFill="0" applyBorder="0" applyAlignment="0" applyProtection="0"/>
    <xf numFmtId="294" fontId="18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35" fillId="0" borderId="0"/>
    <xf numFmtId="0" fontId="18" fillId="28" borderId="0" applyNumberFormat="0" applyFont="0" applyBorder="0" applyAlignment="0" applyProtection="0"/>
    <xf numFmtId="2" fontId="18" fillId="0" borderId="0" applyFont="0" applyFill="0" applyBorder="0" applyAlignment="0" applyProtection="0"/>
    <xf numFmtId="259" fontId="18" fillId="33" borderId="0" applyFont="0" applyFill="0" applyBorder="0" applyAlignment="0"/>
    <xf numFmtId="0" fontId="37" fillId="0" borderId="0" applyFont="0" applyFill="0" applyBorder="0" applyAlignment="0" applyProtection="0">
      <alignment horizontal="right"/>
    </xf>
    <xf numFmtId="0" fontId="73" fillId="0" borderId="0" applyFill="0" applyBorder="0" applyProtection="0">
      <alignment horizontal="left"/>
    </xf>
    <xf numFmtId="39" fontId="74" fillId="0" borderId="24" applyAlignment="0"/>
    <xf numFmtId="0" fontId="136" fillId="33" borderId="0" applyNumberFormat="0" applyFont="0" applyBorder="0" applyAlignment="0" applyProtection="0">
      <alignment horizontal="centerContinuous"/>
    </xf>
    <xf numFmtId="0" fontId="136" fillId="35" borderId="0" applyNumberFormat="0" applyFont="0" applyBorder="0" applyAlignment="0" applyProtection="0">
      <alignment horizontal="centerContinuous"/>
    </xf>
    <xf numFmtId="0" fontId="137" fillId="36" borderId="25" applyNumberFormat="0" applyFont="0" applyBorder="0" applyAlignment="0"/>
    <xf numFmtId="0" fontId="18" fillId="33" borderId="26" applyNumberFormat="0" applyFont="0" applyBorder="0" applyAlignment="0" applyProtection="0"/>
    <xf numFmtId="10" fontId="18" fillId="33" borderId="0" applyNumberFormat="0" applyFont="0" applyBorder="0" applyAlignment="0"/>
    <xf numFmtId="260" fontId="75" fillId="0" borderId="0" applyFill="0" applyBorder="0"/>
    <xf numFmtId="0" fontId="60" fillId="11" borderId="0" applyNumberFormat="0" applyBorder="0" applyAlignment="0" applyProtection="0"/>
    <xf numFmtId="0" fontId="76" fillId="0" borderId="0" applyNumberFormat="0" applyFill="0" applyBorder="0" applyAlignment="0" applyProtection="0"/>
    <xf numFmtId="38" fontId="37" fillId="36" borderId="0" applyNumberFormat="0" applyFont="0" applyBorder="0" applyAlignment="0">
      <protection hidden="1"/>
    </xf>
    <xf numFmtId="0" fontId="124" fillId="0" borderId="0" applyNumberFormat="0">
      <alignment horizontal="right"/>
    </xf>
    <xf numFmtId="0" fontId="125" fillId="0" borderId="0" applyNumberFormat="0">
      <alignment horizontal="right"/>
    </xf>
    <xf numFmtId="0" fontId="125" fillId="0" borderId="0" applyNumberFormat="0">
      <alignment horizontal="left"/>
    </xf>
    <xf numFmtId="0" fontId="124" fillId="0" borderId="0" applyNumberFormat="0">
      <alignment horizontal="left"/>
    </xf>
    <xf numFmtId="0" fontId="126" fillId="0" borderId="0" applyNumberFormat="0">
      <alignment horizontal="left" vertical="top"/>
    </xf>
    <xf numFmtId="260" fontId="77" fillId="0" borderId="0" applyFill="0" applyBorder="0">
      <alignment horizontal="right"/>
    </xf>
    <xf numFmtId="261" fontId="66" fillId="0" borderId="0" applyFont="0" applyFill="0" applyBorder="0" applyAlignment="0" applyProtection="0">
      <alignment horizontal="right"/>
    </xf>
    <xf numFmtId="0" fontId="78" fillId="0" borderId="0" applyProtection="0">
      <alignment horizontal="right"/>
    </xf>
    <xf numFmtId="0" fontId="41" fillId="0" borderId="27" applyNumberFormat="0" applyAlignment="0" applyProtection="0">
      <alignment horizontal="left" vertical="center"/>
    </xf>
    <xf numFmtId="0" fontId="41" fillId="0" borderId="28">
      <alignment horizontal="left" vertical="center"/>
    </xf>
    <xf numFmtId="0" fontId="138" fillId="0" borderId="0" applyNumberFormat="0" applyFill="0" applyBorder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9" fillId="0" borderId="29" applyNumberFormat="0" applyFill="0" applyAlignment="0" applyProtection="0"/>
    <xf numFmtId="0" fontId="79" fillId="0" borderId="0" applyNumberFormat="0" applyFill="0" applyBorder="0" applyAlignment="0" applyProtection="0"/>
    <xf numFmtId="165" fontId="80" fillId="0" borderId="0" applyNumberFormat="0" applyFont="0" applyFill="0" applyBorder="0" applyAlignment="0">
      <alignment horizontal="left"/>
    </xf>
    <xf numFmtId="305" fontId="18" fillId="0" borderId="0" applyFont="0" applyFill="0" applyBorder="0" applyAlignment="0" applyProtection="0"/>
    <xf numFmtId="306" fontId="18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58" fillId="10" borderId="0" applyNumberFormat="0" applyBorder="0" applyAlignment="0" applyProtection="0"/>
    <xf numFmtId="0" fontId="18" fillId="0" borderId="0"/>
    <xf numFmtId="164" fontId="83" fillId="4" borderId="8" applyNumberFormat="0" applyFont="0" applyBorder="0" applyAlignment="0">
      <protection locked="0"/>
    </xf>
    <xf numFmtId="262" fontId="18" fillId="0" borderId="0"/>
    <xf numFmtId="263" fontId="18" fillId="0" borderId="0"/>
    <xf numFmtId="264" fontId="18" fillId="0" borderId="0"/>
    <xf numFmtId="265" fontId="18" fillId="0" borderId="0"/>
    <xf numFmtId="10" fontId="37" fillId="33" borderId="8" applyNumberFormat="0" applyBorder="0" applyAlignment="0" applyProtection="0"/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250" fontId="37" fillId="0" borderId="0"/>
    <xf numFmtId="253" fontId="37" fillId="33" borderId="0" applyFont="0" applyBorder="0" applyAlignment="0" applyProtection="0">
      <protection locked="0"/>
    </xf>
    <xf numFmtId="259" fontId="37" fillId="33" borderId="0" applyFont="0" applyBorder="0" applyAlignment="0">
      <protection locked="0"/>
    </xf>
    <xf numFmtId="242" fontId="37" fillId="0" borderId="0"/>
    <xf numFmtId="266" fontId="37" fillId="0" borderId="0"/>
    <xf numFmtId="10" fontId="37" fillId="33" borderId="0">
      <protection locked="0"/>
    </xf>
    <xf numFmtId="267" fontId="18" fillId="0" borderId="0"/>
    <xf numFmtId="242" fontId="84" fillId="33" borderId="0" applyNumberFormat="0" applyBorder="0" applyAlignment="0">
      <protection locked="0"/>
    </xf>
    <xf numFmtId="0" fontId="44" fillId="0" borderId="0" applyNumberFormat="0" applyFill="0" applyBorder="0" applyAlignment="0">
      <protection locked="0"/>
    </xf>
    <xf numFmtId="268" fontId="85" fillId="0" borderId="0"/>
    <xf numFmtId="9" fontId="12" fillId="37" borderId="8" applyProtection="0">
      <alignment horizontal="right"/>
      <protection locked="0"/>
    </xf>
    <xf numFmtId="0" fontId="18" fillId="0" borderId="0" applyFill="0" applyBorder="0">
      <alignment horizontal="right"/>
      <protection locked="0"/>
    </xf>
    <xf numFmtId="0" fontId="18" fillId="0" borderId="0" applyFill="0" applyBorder="0">
      <alignment horizontal="right"/>
      <protection locked="0"/>
    </xf>
    <xf numFmtId="177" fontId="18" fillId="0" borderId="0" applyFill="0" applyBorder="0">
      <alignment horizontal="right"/>
      <protection locked="0"/>
    </xf>
    <xf numFmtId="177" fontId="18" fillId="0" borderId="0" applyFill="0" applyBorder="0">
      <alignment horizontal="right"/>
      <protection locked="0"/>
    </xf>
    <xf numFmtId="309" fontId="18" fillId="38" borderId="0" applyBorder="0"/>
    <xf numFmtId="0" fontId="67" fillId="39" borderId="7">
      <alignment horizontal="left" vertical="center" wrapText="1"/>
    </xf>
    <xf numFmtId="0" fontId="67" fillId="39" borderId="7">
      <alignment horizontal="left" vertical="center" wrapText="1"/>
    </xf>
    <xf numFmtId="15" fontId="18" fillId="0" borderId="0"/>
    <xf numFmtId="15" fontId="18" fillId="0" borderId="0"/>
    <xf numFmtId="0" fontId="64" fillId="0" borderId="19" applyNumberFormat="0" applyFill="0" applyAlignment="0" applyProtection="0"/>
    <xf numFmtId="0" fontId="18" fillId="0" borderId="0"/>
    <xf numFmtId="0" fontId="18" fillId="0" borderId="14">
      <alignment horizontal="left"/>
      <protection locked="0"/>
    </xf>
    <xf numFmtId="0" fontId="18" fillId="0" borderId="0" applyBorder="0"/>
    <xf numFmtId="225" fontId="18" fillId="0" borderId="0" applyFont="0" applyFill="0" applyBorder="0" applyAlignment="0" applyProtection="0"/>
    <xf numFmtId="196" fontId="18" fillId="0" borderId="0" applyNumberFormat="0" applyFill="0" applyBorder="0" applyAlignment="0" applyProtection="0"/>
    <xf numFmtId="203" fontId="66" fillId="0" borderId="0" applyFont="0" applyFill="0" applyBorder="0" applyAlignment="0" applyProtection="0">
      <alignment horizontal="right"/>
    </xf>
    <xf numFmtId="269" fontId="18" fillId="0" borderId="0" applyFont="0" applyFill="0" applyBorder="0" applyAlignment="0" applyProtection="0"/>
    <xf numFmtId="270" fontId="18" fillId="0" borderId="0" applyFont="0" applyFill="0" applyBorder="0" applyAlignment="0" applyProtection="0"/>
    <xf numFmtId="271" fontId="18" fillId="0" borderId="0" applyFont="0" applyFill="0" applyBorder="0" applyAlignment="0" applyProtection="0"/>
    <xf numFmtId="272" fontId="37" fillId="36" borderId="0" applyFont="0" applyBorder="0" applyAlignment="0" applyProtection="0">
      <alignment horizontal="right"/>
      <protection hidden="1"/>
    </xf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37" fontId="87" fillId="0" borderId="0"/>
    <xf numFmtId="273" fontId="18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262" fontId="18" fillId="0" borderId="0"/>
    <xf numFmtId="295" fontId="141" fillId="0" borderId="0"/>
    <xf numFmtId="295" fontId="141" fillId="0" borderId="0"/>
    <xf numFmtId="263" fontId="18" fillId="0" borderId="0"/>
    <xf numFmtId="264" fontId="18" fillId="0" borderId="0"/>
    <xf numFmtId="296" fontId="141" fillId="0" borderId="0"/>
    <xf numFmtId="296" fontId="141" fillId="0" borderId="0"/>
    <xf numFmtId="265" fontId="18" fillId="0" borderId="0">
      <alignment horizontal="right"/>
    </xf>
    <xf numFmtId="38" fontId="37" fillId="0" borderId="8" applyFont="0" applyFill="0" applyBorder="0" applyAlignment="0" applyProtection="0"/>
    <xf numFmtId="242" fontId="18" fillId="0" borderId="0" applyFont="0" applyFill="0" applyBorder="0" applyAlignment="0"/>
    <xf numFmtId="40" fontId="37" fillId="0" borderId="0" applyFont="0" applyFill="0" applyBorder="0" applyAlignment="0"/>
    <xf numFmtId="267" fontId="37" fillId="0" borderId="0" applyFont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42" fontId="42" fillId="0" borderId="0" applyNumberFormat="0" applyFill="0" applyBorder="0" applyAlignment="0" applyProtection="0"/>
    <xf numFmtId="274" fontId="37" fillId="0" borderId="0" applyFont="0" applyFill="0" applyBorder="0" applyAlignment="0" applyProtection="0"/>
    <xf numFmtId="40" fontId="42" fillId="0" borderId="0">
      <alignment horizontal="left"/>
    </xf>
    <xf numFmtId="0" fontId="18" fillId="0" borderId="0"/>
    <xf numFmtId="0" fontId="18" fillId="40" borderId="30" applyNumberFormat="0" applyFont="0" applyAlignment="0" applyProtection="0"/>
    <xf numFmtId="0" fontId="18" fillId="40" borderId="30" applyNumberFormat="0" applyFont="0" applyAlignment="0" applyProtection="0"/>
    <xf numFmtId="0" fontId="88" fillId="0" borderId="14"/>
    <xf numFmtId="0" fontId="28" fillId="0" borderId="0">
      <alignment horizontal="left" vertical="top" wrapText="1"/>
    </xf>
    <xf numFmtId="275" fontId="37" fillId="0" borderId="0" applyFont="0" applyFill="0" applyBorder="0" applyAlignment="0" applyProtection="0"/>
    <xf numFmtId="242" fontId="3" fillId="0" borderId="0"/>
    <xf numFmtId="276" fontId="18" fillId="0" borderId="0" applyFont="0" applyFill="0" applyBorder="0" applyAlignment="0" applyProtection="0"/>
    <xf numFmtId="277" fontId="18" fillId="0" borderId="0" applyFont="0" applyFill="0" applyBorder="0" applyAlignment="0" applyProtection="0"/>
    <xf numFmtId="278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9" fontId="18" fillId="0" borderId="0" applyFont="0" applyFill="0" applyBorder="0" applyAlignment="0" applyProtection="0">
      <alignment horizontal="center"/>
    </xf>
    <xf numFmtId="310" fontId="142" fillId="0" borderId="0" applyFont="0" applyFill="0" applyBorder="0" applyAlignment="0" applyProtection="0"/>
    <xf numFmtId="311" fontId="142" fillId="0" borderId="0" applyFont="0" applyFill="0" applyBorder="0" applyAlignment="0" applyProtection="0"/>
    <xf numFmtId="38" fontId="89" fillId="0" borderId="0" applyFill="0" applyBorder="0" applyProtection="0"/>
    <xf numFmtId="242" fontId="89" fillId="0" borderId="0" applyFill="0" applyBorder="0" applyProtection="0"/>
    <xf numFmtId="40" fontId="89" fillId="0" borderId="0"/>
    <xf numFmtId="279" fontId="37" fillId="0" borderId="0" applyFont="0" applyFill="0" applyBorder="0" applyAlignment="0" applyProtection="0"/>
    <xf numFmtId="0" fontId="90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1" fillId="29" borderId="31" applyNumberFormat="0" applyAlignment="0" applyProtection="0"/>
    <xf numFmtId="40" fontId="92" fillId="41" borderId="0">
      <alignment horizontal="right"/>
    </xf>
    <xf numFmtId="0" fontId="93" fillId="41" borderId="0">
      <alignment horizontal="right"/>
    </xf>
    <xf numFmtId="0" fontId="12" fillId="0" borderId="0" applyProtection="0"/>
    <xf numFmtId="0" fontId="94" fillId="41" borderId="32"/>
    <xf numFmtId="0" fontId="94" fillId="0" borderId="0" applyBorder="0">
      <alignment horizontal="centerContinuous"/>
    </xf>
    <xf numFmtId="0" fontId="95" fillId="0" borderId="0" applyBorder="0">
      <alignment horizontal="centerContinuous"/>
    </xf>
    <xf numFmtId="1" fontId="96" fillId="0" borderId="0" applyProtection="0">
      <alignment horizontal="right" vertical="center"/>
    </xf>
    <xf numFmtId="280" fontId="67" fillId="0" borderId="0" applyFont="0">
      <alignment horizontal="centerContinuous"/>
    </xf>
    <xf numFmtId="0" fontId="37" fillId="0" borderId="0"/>
    <xf numFmtId="9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281" fontId="18" fillId="0" borderId="0" applyFont="0" applyFill="0" applyBorder="0" applyAlignment="0" applyProtection="0"/>
    <xf numFmtId="282" fontId="18" fillId="0" borderId="0" applyFont="0" applyFill="0" applyBorder="0" applyAlignment="0" applyProtection="0"/>
    <xf numFmtId="28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184" fontId="18" fillId="0" borderId="0" applyFill="0" applyBorder="0">
      <alignment horizontal="right"/>
      <protection locked="0"/>
    </xf>
    <xf numFmtId="184" fontId="18" fillId="0" borderId="0" applyFill="0" applyBorder="0">
      <alignment horizontal="right"/>
      <protection locked="0"/>
    </xf>
    <xf numFmtId="284" fontId="37" fillId="0" borderId="0" applyFont="0" applyFill="0" applyBorder="0" applyAlignment="0" applyProtection="0"/>
    <xf numFmtId="0" fontId="8" fillId="0" borderId="33" applyNumberFormat="0" applyFont="0" applyBorder="0" applyAlignment="0"/>
    <xf numFmtId="9" fontId="18" fillId="0" borderId="0" applyFont="0" applyFill="0" applyBorder="0" applyAlignment="0" applyProtection="0"/>
    <xf numFmtId="285" fontId="18" fillId="0" borderId="0" applyFont="0" applyFill="0" applyBorder="0" applyAlignment="0" applyProtection="0"/>
    <xf numFmtId="0" fontId="67" fillId="42" borderId="34" applyNumberFormat="0" applyFont="0" applyBorder="0" applyAlignment="0" applyProtection="0"/>
    <xf numFmtId="14" fontId="49" fillId="43" borderId="35" applyNumberFormat="0" applyFont="0" applyBorder="0" applyAlignment="0" applyProtection="0">
      <alignment horizontal="center" vertical="center"/>
    </xf>
    <xf numFmtId="3" fontId="143" fillId="0" borderId="0" applyFont="0" applyFill="0" applyBorder="0" applyAlignment="0" applyProtection="0"/>
    <xf numFmtId="0" fontId="135" fillId="0" borderId="0"/>
    <xf numFmtId="186" fontId="18" fillId="0" borderId="0">
      <alignment horizontal="right"/>
      <protection locked="0"/>
    </xf>
    <xf numFmtId="186" fontId="18" fillId="0" borderId="0">
      <alignment horizontal="right"/>
      <protection locked="0"/>
    </xf>
    <xf numFmtId="0" fontId="39" fillId="0" borderId="0" applyNumberFormat="0" applyFill="0" applyBorder="0" applyAlignment="0" applyProtection="0"/>
    <xf numFmtId="242" fontId="97" fillId="0" borderId="0" applyNumberFormat="0" applyFill="0" applyBorder="0" applyAlignment="0" applyProtection="0">
      <alignment horizontal="left"/>
    </xf>
    <xf numFmtId="0" fontId="37" fillId="0" borderId="0">
      <alignment horizontal="right"/>
    </xf>
    <xf numFmtId="0" fontId="140" fillId="0" borderId="11">
      <alignment horizontal="centerContinuous"/>
    </xf>
    <xf numFmtId="0" fontId="140" fillId="0" borderId="11">
      <alignment horizontal="centerContinuous"/>
    </xf>
    <xf numFmtId="196" fontId="140" fillId="0" borderId="0"/>
    <xf numFmtId="0" fontId="140" fillId="0" borderId="11">
      <protection locked="0"/>
    </xf>
    <xf numFmtId="0" fontId="140" fillId="0" borderId="11">
      <protection locked="0"/>
    </xf>
    <xf numFmtId="0" fontId="140" fillId="0" borderId="11">
      <protection locked="0"/>
    </xf>
    <xf numFmtId="0" fontId="140" fillId="0" borderId="11">
      <alignment horizontal="centerContinuous"/>
    </xf>
    <xf numFmtId="0" fontId="91" fillId="29" borderId="31" applyNumberFormat="0" applyAlignment="0" applyProtection="0"/>
    <xf numFmtId="0" fontId="18" fillId="0" borderId="36">
      <alignment vertical="center"/>
    </xf>
    <xf numFmtId="4" fontId="98" fillId="32" borderId="37" applyNumberFormat="0" applyProtection="0">
      <alignment vertical="center"/>
    </xf>
    <xf numFmtId="4" fontId="99" fillId="32" borderId="37" applyNumberFormat="0" applyProtection="0">
      <alignment vertical="center"/>
    </xf>
    <xf numFmtId="4" fontId="100" fillId="32" borderId="37" applyNumberFormat="0" applyProtection="0">
      <alignment horizontal="left" vertical="center" indent="1"/>
    </xf>
    <xf numFmtId="4" fontId="100" fillId="44" borderId="0" applyNumberFormat="0" applyProtection="0">
      <alignment horizontal="left" vertical="center" indent="1"/>
    </xf>
    <xf numFmtId="4" fontId="100" fillId="34" borderId="37" applyNumberFormat="0" applyProtection="0">
      <alignment horizontal="right" vertical="center"/>
    </xf>
    <xf numFmtId="4" fontId="100" fillId="45" borderId="37" applyNumberFormat="0" applyProtection="0">
      <alignment horizontal="right" vertical="center"/>
    </xf>
    <xf numFmtId="4" fontId="100" fillId="46" borderId="37" applyNumberFormat="0" applyProtection="0">
      <alignment horizontal="right" vertical="center"/>
    </xf>
    <xf numFmtId="4" fontId="100" fillId="47" borderId="37" applyNumberFormat="0" applyProtection="0">
      <alignment horizontal="right" vertical="center"/>
    </xf>
    <xf numFmtId="4" fontId="100" fillId="48" borderId="37" applyNumberFormat="0" applyProtection="0">
      <alignment horizontal="right" vertical="center"/>
    </xf>
    <xf numFmtId="4" fontId="100" fillId="49" borderId="37" applyNumberFormat="0" applyProtection="0">
      <alignment horizontal="right" vertical="center"/>
    </xf>
    <xf numFmtId="4" fontId="100" fillId="50" borderId="37" applyNumberFormat="0" applyProtection="0">
      <alignment horizontal="right" vertical="center"/>
    </xf>
    <xf numFmtId="4" fontId="100" fillId="51" borderId="37" applyNumberFormat="0" applyProtection="0">
      <alignment horizontal="right" vertical="center"/>
    </xf>
    <xf numFmtId="4" fontId="100" fillId="52" borderId="37" applyNumberFormat="0" applyProtection="0">
      <alignment horizontal="right" vertical="center"/>
    </xf>
    <xf numFmtId="4" fontId="98" fillId="53" borderId="38" applyNumberFormat="0" applyProtection="0">
      <alignment horizontal="left" vertical="center" indent="1"/>
    </xf>
    <xf numFmtId="4" fontId="98" fillId="42" borderId="0" applyNumberFormat="0" applyProtection="0">
      <alignment horizontal="left" vertical="center" indent="1"/>
    </xf>
    <xf numFmtId="4" fontId="98" fillId="44" borderId="0" applyNumberFormat="0" applyProtection="0">
      <alignment horizontal="left" vertical="center" indent="1"/>
    </xf>
    <xf numFmtId="4" fontId="100" fillId="42" borderId="37" applyNumberFormat="0" applyProtection="0">
      <alignment horizontal="right" vertical="center"/>
    </xf>
    <xf numFmtId="4" fontId="59" fillId="42" borderId="0" applyNumberFormat="0" applyProtection="0">
      <alignment horizontal="left" vertical="center" indent="1"/>
    </xf>
    <xf numFmtId="4" fontId="59" fillId="44" borderId="0" applyNumberFormat="0" applyProtection="0">
      <alignment horizontal="left" vertical="center" indent="1"/>
    </xf>
    <xf numFmtId="4" fontId="100" fillId="54" borderId="37" applyNumberFormat="0" applyProtection="0">
      <alignment vertical="center"/>
    </xf>
    <xf numFmtId="4" fontId="101" fillId="54" borderId="37" applyNumberFormat="0" applyProtection="0">
      <alignment vertical="center"/>
    </xf>
    <xf numFmtId="4" fontId="98" fillId="42" borderId="39" applyNumberFormat="0" applyProtection="0">
      <alignment horizontal="left" vertical="center" indent="1"/>
    </xf>
    <xf numFmtId="4" fontId="100" fillId="54" borderId="37" applyNumberFormat="0" applyProtection="0">
      <alignment horizontal="right" vertical="center"/>
    </xf>
    <xf numFmtId="4" fontId="101" fillId="54" borderId="37" applyNumberFormat="0" applyProtection="0">
      <alignment horizontal="right" vertical="center"/>
    </xf>
    <xf numFmtId="4" fontId="98" fillId="42" borderId="37" applyNumberFormat="0" applyProtection="0">
      <alignment horizontal="left" vertical="center" indent="1"/>
    </xf>
    <xf numFmtId="4" fontId="102" fillId="55" borderId="39" applyNumberFormat="0" applyProtection="0">
      <alignment horizontal="left" vertical="center" indent="1"/>
    </xf>
    <xf numFmtId="4" fontId="103" fillId="54" borderId="37" applyNumberFormat="0" applyProtection="0">
      <alignment horizontal="right" vertical="center"/>
    </xf>
    <xf numFmtId="0" fontId="41" fillId="3" borderId="8">
      <alignment horizontal="center" vertical="center" wrapText="1"/>
      <protection hidden="1"/>
    </xf>
    <xf numFmtId="0" fontId="35" fillId="3" borderId="8">
      <alignment horizontal="center" vertical="center" wrapText="1"/>
      <protection hidden="1"/>
    </xf>
    <xf numFmtId="43" fontId="18" fillId="0" borderId="0" applyFont="0" applyFill="0" applyBorder="0" applyAlignment="0" applyProtection="0"/>
    <xf numFmtId="0" fontId="7" fillId="0" borderId="0"/>
    <xf numFmtId="193" fontId="104" fillId="0" borderId="0" applyFill="0" applyBorder="0" applyAlignment="0" applyProtection="0"/>
    <xf numFmtId="0" fontId="105" fillId="0" borderId="0"/>
    <xf numFmtId="242" fontId="37" fillId="47" borderId="0" applyNumberFormat="0" applyFont="0" applyBorder="0" applyAlignment="0">
      <protection hidden="1"/>
    </xf>
    <xf numFmtId="0" fontId="18" fillId="0" borderId="0"/>
    <xf numFmtId="0" fontId="29" fillId="0" borderId="0">
      <alignment vertical="center"/>
    </xf>
    <xf numFmtId="0" fontId="29" fillId="0" borderId="0">
      <alignment vertical="center"/>
    </xf>
    <xf numFmtId="0" fontId="121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1" fillId="0" borderId="0" applyNumberFormat="0" applyFill="0" applyBorder="0" applyProtection="0">
      <alignment horizontal="center"/>
    </xf>
    <xf numFmtId="0" fontId="127" fillId="0" borderId="0" applyNumberFormat="0" applyFill="0" applyBorder="0" applyProtection="0">
      <alignment horizontal="center"/>
    </xf>
    <xf numFmtId="0" fontId="127" fillId="56" borderId="0" applyNumberFormat="0" applyBorder="0" applyAlignment="0" applyProtection="0"/>
    <xf numFmtId="4" fontId="121" fillId="0" borderId="0" applyFill="0" applyBorder="0" applyAlignment="0" applyProtection="0"/>
    <xf numFmtId="4" fontId="84" fillId="0" borderId="0" applyFill="0" applyBorder="0" applyAlignment="0" applyProtection="0"/>
    <xf numFmtId="0" fontId="128" fillId="57" borderId="0" applyNumberFormat="0" applyBorder="0" applyAlignment="0" applyProtection="0"/>
    <xf numFmtId="4" fontId="129" fillId="0" borderId="0" applyFill="0" applyBorder="0" applyAlignment="0" applyProtection="0"/>
    <xf numFmtId="0" fontId="130" fillId="58" borderId="0" applyNumberFormat="0" applyBorder="0" applyAlignment="0" applyProtection="0"/>
    <xf numFmtId="0" fontId="127" fillId="34" borderId="0" applyNumberFormat="0" applyBorder="0" applyAlignment="0" applyProtection="0"/>
    <xf numFmtId="0" fontId="106" fillId="0" borderId="0" applyBorder="0" applyProtection="0">
      <alignment vertical="center"/>
    </xf>
    <xf numFmtId="258" fontId="106" fillId="0" borderId="2" applyBorder="0" applyProtection="0">
      <alignment horizontal="right" vertical="center"/>
    </xf>
    <xf numFmtId="0" fontId="107" fillId="59" borderId="0" applyBorder="0" applyProtection="0">
      <alignment horizontal="centerContinuous" vertical="center"/>
    </xf>
    <xf numFmtId="0" fontId="107" fillId="58" borderId="2" applyBorder="0" applyProtection="0">
      <alignment horizontal="centerContinuous" vertical="center"/>
    </xf>
    <xf numFmtId="0" fontId="106" fillId="0" borderId="0" applyBorder="0" applyProtection="0">
      <alignment vertical="center"/>
    </xf>
    <xf numFmtId="0" fontId="18" fillId="0" borderId="0"/>
    <xf numFmtId="0" fontId="108" fillId="0" borderId="0" applyFill="0" applyBorder="0" applyProtection="0">
      <alignment horizontal="left"/>
    </xf>
    <xf numFmtId="0" fontId="67" fillId="0" borderId="0" applyFill="0" applyBorder="0" applyProtection="0">
      <alignment horizontal="left"/>
    </xf>
    <xf numFmtId="0" fontId="67" fillId="0" borderId="0" applyFill="0" applyBorder="0" applyProtection="0">
      <alignment horizontal="left"/>
    </xf>
    <xf numFmtId="0" fontId="73" fillId="0" borderId="12" applyFill="0" applyBorder="0" applyProtection="0">
      <alignment horizontal="left" vertical="top"/>
    </xf>
    <xf numFmtId="0" fontId="14" fillId="0" borderId="0" applyFill="0" applyBorder="0" applyProtection="0">
      <alignment horizontal="left" vertical="top"/>
    </xf>
    <xf numFmtId="0" fontId="14" fillId="0" borderId="0" applyFill="0" applyBorder="0" applyProtection="0">
      <alignment horizontal="left" vertical="top"/>
    </xf>
    <xf numFmtId="0" fontId="109" fillId="0" borderId="0">
      <alignment horizontal="centerContinuous"/>
    </xf>
    <xf numFmtId="242" fontId="18" fillId="60" borderId="0" applyNumberFormat="0" applyFont="0" applyBorder="0" applyAlignment="0" applyProtection="0"/>
    <xf numFmtId="0" fontId="18" fillId="0" borderId="0"/>
    <xf numFmtId="0" fontId="18" fillId="0" borderId="0"/>
    <xf numFmtId="0" fontId="11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286" fontId="111" fillId="0" borderId="0" applyFill="0" applyBorder="0" applyAlignment="0" applyProtection="0">
      <alignment horizontal="right"/>
    </xf>
    <xf numFmtId="0" fontId="1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44" fillId="0" borderId="0" applyNumberFormat="0" applyFill="0" applyBorder="0" applyProtection="0">
      <alignment vertical="center"/>
    </xf>
    <xf numFmtId="0" fontId="18" fillId="0" borderId="0" applyBorder="0"/>
    <xf numFmtId="0" fontId="16" fillId="0" borderId="0" applyBorder="0"/>
    <xf numFmtId="0" fontId="112" fillId="0" borderId="0" applyNumberFormat="0" applyFill="0" applyBorder="0" applyAlignment="0" applyProtection="0"/>
    <xf numFmtId="0" fontId="113" fillId="0" borderId="40" applyNumberFormat="0" applyFill="0" applyAlignment="0" applyProtection="0"/>
    <xf numFmtId="0" fontId="114" fillId="0" borderId="41" applyNumberFormat="0" applyFill="0" applyAlignment="0" applyProtection="0"/>
    <xf numFmtId="0" fontId="79" fillId="0" borderId="29" applyNumberFormat="0" applyFill="0" applyAlignment="0" applyProtection="0"/>
    <xf numFmtId="0" fontId="79" fillId="0" borderId="0" applyNumberFormat="0" applyFill="0" applyBorder="0" applyAlignment="0" applyProtection="0"/>
    <xf numFmtId="0" fontId="18" fillId="29" borderId="14"/>
    <xf numFmtId="0" fontId="18" fillId="0" borderId="42" applyNumberFormat="0" applyFont="0" applyFill="0" applyAlignment="0" applyProtection="0"/>
    <xf numFmtId="167" fontId="115" fillId="0" borderId="0">
      <alignment horizontal="left"/>
      <protection locked="0"/>
    </xf>
    <xf numFmtId="0" fontId="18" fillId="0" borderId="0">
      <alignment horizontal="fill"/>
    </xf>
    <xf numFmtId="307" fontId="18" fillId="0" borderId="0" applyFont="0" applyFill="0" applyBorder="0" applyAlignment="0" applyProtection="0"/>
    <xf numFmtId="308" fontId="18" fillId="0" borderId="0" applyFont="0" applyFill="0" applyBorder="0" applyAlignment="0" applyProtection="0"/>
    <xf numFmtId="0" fontId="110" fillId="0" borderId="0" applyNumberFormat="0" applyFill="0" applyBorder="0" applyAlignment="0" applyProtection="0"/>
    <xf numFmtId="242" fontId="116" fillId="0" borderId="0" applyNumberFormat="0" applyFill="0" applyBorder="0" applyAlignment="0" applyProtection="0"/>
    <xf numFmtId="195" fontId="18" fillId="0" borderId="0"/>
    <xf numFmtId="181" fontId="3" fillId="0" borderId="0"/>
    <xf numFmtId="181" fontId="3" fillId="0" borderId="0"/>
    <xf numFmtId="181" fontId="3" fillId="0" borderId="0"/>
    <xf numFmtId="181" fontId="3" fillId="0" borderId="0"/>
    <xf numFmtId="181" fontId="3" fillId="0" borderId="0"/>
    <xf numFmtId="195" fontId="18" fillId="0" borderId="0"/>
    <xf numFmtId="238" fontId="18" fillId="0" borderId="0"/>
    <xf numFmtId="181" fontId="3" fillId="0" borderId="0"/>
    <xf numFmtId="258" fontId="18" fillId="0" borderId="0"/>
    <xf numFmtId="181" fontId="3" fillId="0" borderId="0"/>
    <xf numFmtId="181" fontId="3" fillId="0" borderId="0"/>
    <xf numFmtId="239" fontId="18" fillId="0" borderId="0"/>
    <xf numFmtId="239" fontId="18" fillId="0" borderId="0"/>
    <xf numFmtId="238" fontId="18" fillId="0" borderId="0"/>
    <xf numFmtId="239" fontId="18" fillId="0" borderId="0"/>
    <xf numFmtId="238" fontId="18" fillId="0" borderId="0"/>
    <xf numFmtId="238" fontId="18" fillId="0" borderId="0"/>
    <xf numFmtId="239" fontId="18" fillId="0" borderId="0"/>
    <xf numFmtId="238" fontId="18" fillId="0" borderId="0"/>
    <xf numFmtId="181" fontId="3" fillId="0" borderId="0"/>
    <xf numFmtId="258" fontId="18" fillId="0" borderId="0"/>
    <xf numFmtId="181" fontId="3" fillId="0" borderId="0"/>
    <xf numFmtId="181" fontId="3" fillId="0" borderId="0"/>
    <xf numFmtId="239" fontId="18" fillId="0" borderId="0"/>
    <xf numFmtId="239" fontId="18" fillId="0" borderId="0"/>
    <xf numFmtId="238" fontId="18" fillId="0" borderId="0"/>
    <xf numFmtId="239" fontId="18" fillId="0" borderId="0"/>
    <xf numFmtId="238" fontId="18" fillId="0" borderId="0"/>
    <xf numFmtId="238" fontId="18" fillId="0" borderId="0"/>
    <xf numFmtId="239" fontId="18" fillId="0" borderId="0"/>
    <xf numFmtId="287" fontId="117" fillId="0" borderId="2" applyBorder="0" applyProtection="0">
      <alignment horizontal="right"/>
    </xf>
    <xf numFmtId="1" fontId="18" fillId="0" borderId="0" applyFont="0" applyFill="0" applyBorder="0" applyAlignment="0" applyProtection="0"/>
    <xf numFmtId="293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1" fontId="118" fillId="0" borderId="14">
      <alignment horizontal="center"/>
    </xf>
    <xf numFmtId="256" fontId="18" fillId="0" borderId="0" applyFont="0" applyFill="0" applyBorder="0" applyAlignment="0" applyProtection="0"/>
    <xf numFmtId="288" fontId="35" fillId="0" borderId="0">
      <alignment horizontal="center"/>
    </xf>
    <xf numFmtId="289" fontId="35" fillId="0" borderId="0" applyFont="0" applyFill="0" applyBorder="0" applyAlignment="0" applyProtection="0">
      <alignment horizontal="center"/>
    </xf>
    <xf numFmtId="290" fontId="16" fillId="0" borderId="0" applyFont="0" applyFill="0" applyBorder="0" applyAlignment="0" applyProtection="0"/>
    <xf numFmtId="291" fontId="18" fillId="0" borderId="0"/>
    <xf numFmtId="290" fontId="27" fillId="0" borderId="0" applyFont="0" applyFill="0" applyBorder="0" applyAlignment="0" applyProtection="0"/>
    <xf numFmtId="288" fontId="35" fillId="0" borderId="0">
      <alignment horizontal="center"/>
    </xf>
    <xf numFmtId="0" fontId="18" fillId="0" borderId="0"/>
    <xf numFmtId="0" fontId="18" fillId="0" borderId="0"/>
    <xf numFmtId="0" fontId="52" fillId="0" borderId="0"/>
    <xf numFmtId="0" fontId="70" fillId="14" borderId="17" applyNumberFormat="0" applyAlignment="0" applyProtection="0"/>
    <xf numFmtId="0" fontId="70" fillId="14" borderId="17" applyNumberFormat="0" applyAlignment="0" applyProtection="0"/>
    <xf numFmtId="201" fontId="3" fillId="0" borderId="0"/>
    <xf numFmtId="204" fontId="18" fillId="0" borderId="0"/>
    <xf numFmtId="204" fontId="18" fillId="0" borderId="0"/>
    <xf numFmtId="202" fontId="18" fillId="0" borderId="0"/>
    <xf numFmtId="204" fontId="18" fillId="0" borderId="0"/>
    <xf numFmtId="202" fontId="18" fillId="0" borderId="0"/>
    <xf numFmtId="202" fontId="18" fillId="0" borderId="0"/>
    <xf numFmtId="204" fontId="18" fillId="0" borderId="0"/>
    <xf numFmtId="202" fontId="18" fillId="0" borderId="0"/>
    <xf numFmtId="201" fontId="3" fillId="0" borderId="0"/>
    <xf numFmtId="203" fontId="18" fillId="0" borderId="0"/>
    <xf numFmtId="201" fontId="3" fillId="0" borderId="0"/>
    <xf numFmtId="201" fontId="3" fillId="0" borderId="0"/>
    <xf numFmtId="204" fontId="18" fillId="0" borderId="0"/>
    <xf numFmtId="204" fontId="18" fillId="0" borderId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202" fontId="18" fillId="0" borderId="0"/>
    <xf numFmtId="204" fontId="18" fillId="0" borderId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0" fontId="113" fillId="0" borderId="40" applyNumberFormat="0" applyFill="0" applyAlignment="0" applyProtection="0"/>
    <xf numFmtId="0" fontId="114" fillId="0" borderId="41" applyNumberFormat="0" applyFill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52" fillId="40" borderId="30" applyNumberFormat="0" applyFont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145" fillId="0" borderId="43" applyNumberFormat="0" applyFill="0" applyAlignment="0" applyProtection="0"/>
    <xf numFmtId="0" fontId="52" fillId="0" borderId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201" fontId="3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203" fontId="18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201" fontId="3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202" fontId="18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164" fontId="18" fillId="0" borderId="0"/>
    <xf numFmtId="201" fontId="3" fillId="0" borderId="0"/>
    <xf numFmtId="0" fontId="52" fillId="0" borderId="0"/>
    <xf numFmtId="43" fontId="52" fillId="0" borderId="0" applyFont="0" applyFill="0" applyBorder="0" applyAlignment="0" applyProtection="0"/>
    <xf numFmtId="201" fontId="3" fillId="0" borderId="0"/>
    <xf numFmtId="201" fontId="3" fillId="0" borderId="0"/>
    <xf numFmtId="201" fontId="3" fillId="0" borderId="0"/>
    <xf numFmtId="201" fontId="3" fillId="0" borderId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52" fillId="0" borderId="0"/>
    <xf numFmtId="43" fontId="52" fillId="0" borderId="0" applyFont="0" applyFill="0" applyBorder="0" applyAlignment="0" applyProtection="0"/>
    <xf numFmtId="0" fontId="52" fillId="0" borderId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202" fontId="18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164" fontId="18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202" fontId="18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204" fontId="18" fillId="0" borderId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189" fontId="18" fillId="0" borderId="0" applyFont="0" applyFill="0" applyBorder="0" applyAlignment="0" applyProtection="0"/>
    <xf numFmtId="205" fontId="18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191" fontId="18" fillId="0" borderId="0" applyFont="0" applyFill="0" applyBorder="0" applyAlignment="0" applyProtection="0"/>
    <xf numFmtId="207" fontId="12" fillId="0" borderId="0" applyFont="0" applyFill="0" applyBorder="0" applyAlignment="0" applyProtection="0"/>
    <xf numFmtId="209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211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0" fontId="52" fillId="0" borderId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219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194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216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3" fontId="18" fillId="0" borderId="0" applyFont="0" applyFill="0" applyBorder="0" applyAlignment="0" applyProtection="0"/>
    <xf numFmtId="214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215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43" fontId="52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1" fontId="18" fillId="0" borderId="0" applyFont="0" applyFill="0" applyBorder="0" applyAlignment="0" applyProtection="0"/>
    <xf numFmtId="220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3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222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8" fillId="8" borderId="0" applyNumberFormat="0" applyFont="0" applyAlignment="0" applyProtection="0"/>
    <xf numFmtId="223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28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225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4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0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31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31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190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6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6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3" fontId="18" fillId="0" borderId="0" applyFont="0" applyFill="0" applyBorder="0" applyProtection="0">
      <alignment horizontal="right"/>
    </xf>
    <xf numFmtId="234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6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5" fontId="18" fillId="0" borderId="0" applyFont="0" applyFill="0" applyBorder="0" applyProtection="0">
      <alignment horizontal="right"/>
    </xf>
    <xf numFmtId="236" fontId="18" fillId="0" borderId="0" applyFont="0" applyFill="0" applyBorder="0" applyProtection="0">
      <alignment horizontal="right"/>
    </xf>
    <xf numFmtId="229" fontId="18" fillId="0" borderId="0" applyFont="0" applyFill="0" applyBorder="0" applyProtection="0">
      <alignment horizontal="right"/>
    </xf>
    <xf numFmtId="231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230" fontId="18" fillId="0" borderId="0" applyFont="0" applyFill="0" applyBorder="0" applyAlignment="0" applyProtection="0"/>
    <xf numFmtId="199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8" fontId="18" fillId="0" borderId="0" applyFont="0" applyFill="0" applyBorder="0" applyAlignment="0" applyProtection="0"/>
    <xf numFmtId="239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37" fontId="18" fillId="0" borderId="0" applyFont="0" applyFill="0" applyBorder="0" applyAlignment="0" applyProtection="0"/>
    <xf numFmtId="20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4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240" fontId="18" fillId="0" borderId="0" applyFont="0" applyFill="0" applyBorder="0" applyAlignment="0" applyProtection="0"/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48" fillId="0" borderId="0" applyNumberFormat="0" applyFill="0" applyBorder="0" applyProtection="0">
      <alignment vertical="top"/>
    </xf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49" fillId="0" borderId="10" applyNumberFormat="0" applyFill="0" applyProtection="0">
      <alignment horizontal="center"/>
    </xf>
    <xf numFmtId="0" fontId="18" fillId="0" borderId="11" applyNumberFormat="0" applyFont="0" applyFill="0" applyAlignment="0" applyProtection="0"/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left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0" fontId="50" fillId="0" borderId="0" applyNumberFormat="0" applyFill="0" applyBorder="0" applyProtection="0">
      <alignment horizontal="centerContinuous"/>
    </xf>
    <xf numFmtId="3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0" fontId="52" fillId="0" borderId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14">
      <protection hidden="1"/>
    </xf>
    <xf numFmtId="247" fontId="18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42" fillId="31" borderId="20" applyFont="0" applyFill="0" applyBorder="0"/>
    <xf numFmtId="43" fontId="7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7" fontId="27" fillId="0" borderId="0" applyBorder="0" applyAlignment="0">
      <alignment horizontal="center"/>
    </xf>
    <xf numFmtId="249" fontId="37" fillId="0" borderId="0"/>
    <xf numFmtId="250" fontId="37" fillId="0" borderId="0"/>
    <xf numFmtId="0" fontId="18" fillId="0" borderId="0" applyFont="0" applyFill="0" applyBorder="0" applyAlignment="0" applyProtection="0"/>
    <xf numFmtId="254" fontId="18" fillId="0" borderId="2"/>
    <xf numFmtId="256" fontId="18" fillId="0" borderId="0"/>
    <xf numFmtId="257" fontId="18" fillId="0" borderId="0"/>
    <xf numFmtId="191" fontId="37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8" fillId="28" borderId="0" applyNumberFormat="0" applyFont="0" applyBorder="0" applyAlignment="0" applyProtection="0"/>
    <xf numFmtId="2" fontId="18" fillId="0" borderId="0" applyFont="0" applyFill="0" applyBorder="0" applyAlignment="0" applyProtection="0"/>
    <xf numFmtId="259" fontId="18" fillId="33" borderId="0" applyFont="0" applyFill="0" applyBorder="0" applyAlignment="0"/>
    <xf numFmtId="38" fontId="37" fillId="36" borderId="0" applyNumberFormat="0" applyFont="0" applyBorder="0" applyAlignment="0">
      <protection hidden="1"/>
    </xf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262" fontId="18" fillId="0" borderId="0"/>
    <xf numFmtId="263" fontId="18" fillId="0" borderId="0"/>
    <xf numFmtId="264" fontId="18" fillId="0" borderId="0"/>
    <xf numFmtId="265" fontId="18" fillId="0" borderId="0"/>
    <xf numFmtId="10" fontId="37" fillId="33" borderId="8" applyNumberFormat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250" fontId="37" fillId="0" borderId="0"/>
    <xf numFmtId="253" fontId="37" fillId="33" borderId="0" applyFont="0" applyBorder="0" applyAlignment="0" applyProtection="0">
      <protection locked="0"/>
    </xf>
    <xf numFmtId="259" fontId="37" fillId="33" borderId="0" applyFont="0" applyBorder="0" applyAlignment="0">
      <protection locked="0"/>
    </xf>
    <xf numFmtId="242" fontId="37" fillId="0" borderId="0"/>
    <xf numFmtId="266" fontId="37" fillId="0" borderId="0"/>
    <xf numFmtId="10" fontId="37" fillId="33" borderId="0">
      <protection locked="0"/>
    </xf>
    <xf numFmtId="0" fontId="18" fillId="0" borderId="0"/>
    <xf numFmtId="0" fontId="18" fillId="0" borderId="14">
      <alignment horizontal="left"/>
      <protection locked="0"/>
    </xf>
    <xf numFmtId="0" fontId="18" fillId="0" borderId="0" applyBorder="0"/>
    <xf numFmtId="225" fontId="18" fillId="0" borderId="0" applyFont="0" applyFill="0" applyBorder="0" applyAlignment="0" applyProtection="0"/>
    <xf numFmtId="269" fontId="18" fillId="0" borderId="0" applyFont="0" applyFill="0" applyBorder="0" applyAlignment="0" applyProtection="0"/>
    <xf numFmtId="270" fontId="18" fillId="0" borderId="0" applyFont="0" applyFill="0" applyBorder="0" applyAlignment="0" applyProtection="0"/>
    <xf numFmtId="271" fontId="18" fillId="0" borderId="0" applyFont="0" applyFill="0" applyBorder="0" applyAlignment="0" applyProtection="0"/>
    <xf numFmtId="272" fontId="37" fillId="36" borderId="0" applyFont="0" applyBorder="0" applyAlignment="0" applyProtection="0">
      <alignment horizontal="right"/>
      <protection hidden="1"/>
    </xf>
    <xf numFmtId="273" fontId="18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262" fontId="18" fillId="0" borderId="0"/>
    <xf numFmtId="0" fontId="52" fillId="0" borderId="0"/>
    <xf numFmtId="263" fontId="18" fillId="0" borderId="0"/>
    <xf numFmtId="264" fontId="18" fillId="0" borderId="0"/>
    <xf numFmtId="9" fontId="52" fillId="0" borderId="0" applyFont="0" applyFill="0" applyBorder="0" applyAlignment="0" applyProtection="0"/>
    <xf numFmtId="265" fontId="18" fillId="0" borderId="0">
      <alignment horizontal="right"/>
    </xf>
    <xf numFmtId="38" fontId="37" fillId="0" borderId="8" applyFont="0" applyFill="0" applyBorder="0" applyAlignment="0" applyProtection="0"/>
    <xf numFmtId="242" fontId="18" fillId="0" borderId="0" applyFont="0" applyFill="0" applyBorder="0" applyAlignment="0"/>
    <xf numFmtId="40" fontId="37" fillId="0" borderId="0" applyFont="0" applyFill="0" applyBorder="0" applyAlignment="0"/>
    <xf numFmtId="267" fontId="37" fillId="0" borderId="0" applyFont="0" applyFill="0" applyBorder="0" applyAlignment="0"/>
    <xf numFmtId="43" fontId="52" fillId="0" borderId="0" applyFont="0" applyFill="0" applyBorder="0" applyAlignment="0" applyProtection="0"/>
    <xf numFmtId="274" fontId="37" fillId="0" borderId="0" applyFont="0" applyFill="0" applyBorder="0" applyAlignment="0" applyProtection="0"/>
    <xf numFmtId="0" fontId="18" fillId="0" borderId="0"/>
    <xf numFmtId="0" fontId="18" fillId="40" borderId="30" applyNumberFormat="0" applyFont="0" applyAlignment="0" applyProtection="0"/>
    <xf numFmtId="0" fontId="18" fillId="40" borderId="30" applyNumberFormat="0" applyFont="0" applyAlignment="0" applyProtection="0"/>
    <xf numFmtId="275" fontId="37" fillId="0" borderId="0" applyFont="0" applyFill="0" applyBorder="0" applyAlignment="0" applyProtection="0"/>
    <xf numFmtId="0" fontId="52" fillId="0" borderId="0"/>
    <xf numFmtId="276" fontId="18" fillId="0" borderId="0" applyFont="0" applyFill="0" applyBorder="0" applyAlignment="0" applyProtection="0"/>
    <xf numFmtId="277" fontId="18" fillId="0" borderId="0" applyFont="0" applyFill="0" applyBorder="0" applyAlignment="0" applyProtection="0"/>
    <xf numFmtId="278" fontId="18" fillId="0" borderId="0" applyFont="0" applyFill="0" applyBorder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39" fontId="18" fillId="0" borderId="0" applyFont="0" applyFill="0" applyBorder="0" applyAlignment="0" applyProtection="0">
      <alignment horizontal="center"/>
    </xf>
    <xf numFmtId="279" fontId="37" fillId="0" borderId="0" applyFont="0" applyFill="0" applyBorder="0" applyAlignment="0" applyProtection="0"/>
    <xf numFmtId="0" fontId="37" fillId="0" borderId="0"/>
    <xf numFmtId="0" fontId="52" fillId="0" borderId="0"/>
    <xf numFmtId="9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281" fontId="18" fillId="0" borderId="0" applyFont="0" applyFill="0" applyBorder="0" applyAlignment="0" applyProtection="0"/>
    <xf numFmtId="282" fontId="18" fillId="0" borderId="0" applyFont="0" applyFill="0" applyBorder="0" applyAlignment="0" applyProtection="0"/>
    <xf numFmtId="283" fontId="18" fillId="0" borderId="0" applyFont="0" applyFill="0" applyBorder="0" applyAlignment="0" applyProtection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84" fontId="37" fillId="0" borderId="0" applyFont="0" applyFill="0" applyBorder="0" applyAlignment="0" applyProtection="0"/>
    <xf numFmtId="285" fontId="18" fillId="0" borderId="0" applyFont="0" applyFill="0" applyBorder="0" applyAlignment="0" applyProtection="0"/>
    <xf numFmtId="0" fontId="52" fillId="0" borderId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0" fontId="37" fillId="0" borderId="0">
      <alignment horizontal="right"/>
    </xf>
    <xf numFmtId="0" fontId="18" fillId="0" borderId="36">
      <alignment vertical="center"/>
    </xf>
    <xf numFmtId="4" fontId="59" fillId="42" borderId="0" applyNumberFormat="0" applyProtection="0">
      <alignment horizontal="left" vertical="center" indent="1"/>
    </xf>
    <xf numFmtId="4" fontId="59" fillId="44" borderId="0" applyNumberFormat="0" applyProtection="0">
      <alignment horizontal="left" vertical="center" indent="1"/>
    </xf>
    <xf numFmtId="242" fontId="37" fillId="47" borderId="0" applyNumberFormat="0" applyFont="0" applyBorder="0" applyAlignment="0">
      <protection hidden="1"/>
    </xf>
    <xf numFmtId="0" fontId="18" fillId="0" borderId="0"/>
    <xf numFmtId="0" fontId="52" fillId="0" borderId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18" fillId="0" borderId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242" fontId="18" fillId="60" borderId="0" applyNumberFormat="0" applyFont="0" applyBorder="0" applyAlignment="0" applyProtection="0"/>
    <xf numFmtId="0" fontId="18" fillId="0" borderId="0"/>
    <xf numFmtId="0" fontId="18" fillId="0" borderId="0"/>
    <xf numFmtId="0" fontId="12" fillId="0" borderId="0" applyNumberFormat="0" applyFill="0" applyBorder="0" applyAlignment="0" applyProtection="0"/>
    <xf numFmtId="0" fontId="18" fillId="29" borderId="14"/>
    <xf numFmtId="0" fontId="18" fillId="0" borderId="42" applyNumberFormat="0" applyFont="0" applyFill="0" applyAlignment="0" applyProtection="0"/>
    <xf numFmtId="195" fontId="18" fillId="0" borderId="0"/>
    <xf numFmtId="181" fontId="3" fillId="0" borderId="0"/>
    <xf numFmtId="181" fontId="3" fillId="0" borderId="0"/>
    <xf numFmtId="181" fontId="3" fillId="0" borderId="0"/>
    <xf numFmtId="181" fontId="3" fillId="0" borderId="0"/>
    <xf numFmtId="181" fontId="3" fillId="0" borderId="0"/>
    <xf numFmtId="195" fontId="18" fillId="0" borderId="0"/>
    <xf numFmtId="238" fontId="18" fillId="0" borderId="0"/>
    <xf numFmtId="181" fontId="3" fillId="0" borderId="0"/>
    <xf numFmtId="258" fontId="18" fillId="0" borderId="0"/>
    <xf numFmtId="181" fontId="3" fillId="0" borderId="0"/>
    <xf numFmtId="181" fontId="3" fillId="0" borderId="0"/>
    <xf numFmtId="239" fontId="18" fillId="0" borderId="0"/>
    <xf numFmtId="239" fontId="18" fillId="0" borderId="0"/>
    <xf numFmtId="238" fontId="18" fillId="0" borderId="0"/>
    <xf numFmtId="239" fontId="18" fillId="0" borderId="0"/>
    <xf numFmtId="238" fontId="18" fillId="0" borderId="0"/>
    <xf numFmtId="238" fontId="18" fillId="0" borderId="0"/>
    <xf numFmtId="239" fontId="18" fillId="0" borderId="0"/>
    <xf numFmtId="238" fontId="18" fillId="0" borderId="0"/>
    <xf numFmtId="181" fontId="3" fillId="0" borderId="0"/>
    <xf numFmtId="258" fontId="18" fillId="0" borderId="0"/>
    <xf numFmtId="181" fontId="3" fillId="0" borderId="0"/>
    <xf numFmtId="181" fontId="3" fillId="0" borderId="0"/>
    <xf numFmtId="239" fontId="18" fillId="0" borderId="0"/>
    <xf numFmtId="239" fontId="18" fillId="0" borderId="0"/>
    <xf numFmtId="238" fontId="18" fillId="0" borderId="0"/>
    <xf numFmtId="239" fontId="18" fillId="0" borderId="0"/>
    <xf numFmtId="238" fontId="18" fillId="0" borderId="0"/>
    <xf numFmtId="238" fontId="18" fillId="0" borderId="0"/>
    <xf numFmtId="239" fontId="18" fillId="0" borderId="0"/>
    <xf numFmtId="0" fontId="70" fillId="14" borderId="17" applyNumberFormat="0" applyAlignment="0" applyProtection="0"/>
    <xf numFmtId="0" fontId="70" fillId="14" borderId="17" applyNumberFormat="0" applyAlignment="0" applyProtection="0"/>
    <xf numFmtId="256" fontId="18" fillId="0" borderId="0" applyFont="0" applyFill="0" applyBorder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291" fontId="18" fillId="0" borderId="0"/>
    <xf numFmtId="290" fontId="27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52" fillId="0" borderId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0" fontId="70" fillId="14" borderId="17" applyNumberFormat="0" applyAlignment="0" applyProtection="0"/>
    <xf numFmtId="43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0" fontId="52" fillId="0" borderId="0"/>
    <xf numFmtId="0" fontId="52" fillId="0" borderId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0" fontId="52" fillId="0" borderId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0" fontId="70" fillId="14" borderId="17" applyNumberFormat="0" applyAlignment="0" applyProtection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0" fontId="52" fillId="0" borderId="0"/>
    <xf numFmtId="9" fontId="52" fillId="0" borderId="0" applyFont="0" applyFill="0" applyBorder="0" applyAlignment="0" applyProtection="0"/>
    <xf numFmtId="0" fontId="70" fillId="14" borderId="17" applyNumberFormat="0" applyAlignment="0" applyProtection="0"/>
    <xf numFmtId="0" fontId="52" fillId="0" borderId="0"/>
    <xf numFmtId="9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52" fillId="0" borderId="0"/>
    <xf numFmtId="9" fontId="52" fillId="0" borderId="0" applyFont="0" applyFill="0" applyBorder="0" applyAlignment="0" applyProtection="0"/>
    <xf numFmtId="0" fontId="1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1" fillId="0" borderId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64" fontId="18" fillId="0" borderId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217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93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226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190" fontId="18" fillId="0" borderId="0" applyFont="0" applyFill="0" applyBorder="0" applyProtection="0">
      <alignment horizontal="right"/>
    </xf>
    <xf numFmtId="218" fontId="18" fillId="0" borderId="0" applyFont="0" applyFill="0" applyBorder="0" applyAlignment="0" applyProtection="0"/>
    <xf numFmtId="227" fontId="18" fillId="0" borderId="0" applyFont="0" applyFill="0" applyBorder="0" applyAlignment="0" applyProtection="0"/>
    <xf numFmtId="232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2" fontId="18" fillId="0" borderId="0" applyFont="0" applyFill="0" applyBorder="0" applyAlignment="0" applyProtection="0"/>
    <xf numFmtId="266" fontId="37" fillId="0" borderId="0"/>
    <xf numFmtId="195" fontId="18" fillId="0" borderId="0"/>
    <xf numFmtId="0" fontId="18" fillId="0" borderId="0"/>
    <xf numFmtId="0" fontId="135" fillId="0" borderId="0"/>
    <xf numFmtId="0" fontId="135" fillId="0" borderId="0"/>
    <xf numFmtId="0" fontId="135" fillId="0" borderId="0"/>
    <xf numFmtId="0" fontId="147" fillId="0" borderId="12" applyBorder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312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296" fontId="152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164" fontId="83" fillId="4" borderId="8" applyNumberFormat="0" applyFont="0" applyBorder="0" applyAlignment="0">
      <protection locked="0"/>
    </xf>
    <xf numFmtId="43" fontId="7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0" fontId="18" fillId="0" borderId="0"/>
    <xf numFmtId="295" fontId="15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310" fontId="142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40" fillId="15" borderId="0" applyNumberFormat="0" applyFont="0" applyBorder="0" applyAlignment="0">
      <protection locked="0"/>
    </xf>
    <xf numFmtId="310" fontId="142" fillId="0" borderId="0" applyFont="0" applyFill="0" applyBorder="0" applyAlignment="0" applyProtection="0"/>
    <xf numFmtId="0" fontId="7" fillId="0" borderId="0"/>
    <xf numFmtId="164" fontId="83" fillId="4" borderId="8" applyNumberFormat="0" applyFont="0" applyBorder="0" applyAlignment="0">
      <protection locked="0"/>
    </xf>
    <xf numFmtId="43" fontId="7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0" fontId="7" fillId="0" borderId="0"/>
    <xf numFmtId="9" fontId="7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43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7" fillId="0" borderId="0"/>
    <xf numFmtId="310" fontId="142" fillId="0" borderId="0" applyFont="0" applyFill="0" applyBorder="0" applyAlignment="0" applyProtection="0"/>
    <xf numFmtId="0" fontId="7" fillId="0" borderId="0"/>
    <xf numFmtId="164" fontId="83" fillId="4" borderId="8" applyNumberFormat="0" applyFont="0" applyBorder="0" applyAlignment="0">
      <protection locked="0"/>
    </xf>
    <xf numFmtId="43" fontId="7" fillId="0" borderId="0" applyFont="0" applyFill="0" applyBorder="0" applyAlignment="0" applyProtection="0"/>
    <xf numFmtId="0" fontId="18" fillId="0" borderId="0"/>
    <xf numFmtId="0" fontId="153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43" fontId="7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9" fontId="7" fillId="0" borderId="0" applyFont="0" applyFill="0" applyBorder="0" applyAlignment="0" applyProtection="0"/>
    <xf numFmtId="0" fontId="7" fillId="0" borderId="0"/>
    <xf numFmtId="0" fontId="43" fillId="0" borderId="51" applyNumberFormat="0" applyFont="0" applyFill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54" fillId="0" borderId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310" fontId="142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40" fillId="15" borderId="0" applyNumberFormat="0" applyFont="0" applyBorder="0" applyAlignment="0">
      <protection locked="0"/>
    </xf>
    <xf numFmtId="0" fontId="18" fillId="0" borderId="0"/>
    <xf numFmtId="0" fontId="7" fillId="0" borderId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310" fontId="14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43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18" fillId="0" borderId="0"/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164" fontId="83" fillId="4" borderId="8" applyNumberFormat="0" applyFont="0" applyBorder="0" applyAlignment="0">
      <protection locked="0"/>
    </xf>
    <xf numFmtId="43" fontId="7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164" fontId="83" fillId="4" borderId="8" applyNumberFormat="0" applyFont="0" applyBorder="0" applyAlignment="0">
      <protection locked="0"/>
    </xf>
    <xf numFmtId="0" fontId="7" fillId="0" borderId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9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7" fillId="0" borderId="0"/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310" fontId="14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310" fontId="14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0" fontId="140" fillId="15" borderId="0" applyNumberFormat="0" applyFont="0" applyBorder="0" applyAlignment="0">
      <protection locked="0"/>
    </xf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310" fontId="142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9" fontId="7" fillId="0" borderId="0" applyFont="0" applyFill="0" applyBorder="0" applyAlignment="0" applyProtection="0"/>
    <xf numFmtId="0" fontId="18" fillId="0" borderId="0"/>
    <xf numFmtId="310" fontId="14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40" fillId="15" borderId="0" applyNumberFormat="0" applyFont="0" applyBorder="0" applyAlignment="0">
      <protection locked="0"/>
    </xf>
    <xf numFmtId="43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7" fillId="0" borderId="0"/>
    <xf numFmtId="0" fontId="140" fillId="15" borderId="0" applyNumberFormat="0" applyFont="0" applyBorder="0" applyAlignment="0">
      <protection locked="0"/>
    </xf>
    <xf numFmtId="0" fontId="43" fillId="0" borderId="52" applyNumberFormat="0" applyFont="0" applyFill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310" fontId="14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43" fillId="0" borderId="53" applyNumberFormat="0" applyFon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164" fontId="83" fillId="4" borderId="8" applyNumberFormat="0" applyFont="0" applyBorder="0" applyAlignment="0">
      <protection locked="0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4" fontId="83" fillId="4" borderId="8" applyNumberFormat="0" applyFont="0" applyBorder="0" applyAlignment="0">
      <protection locked="0"/>
    </xf>
    <xf numFmtId="43" fontId="7" fillId="0" borderId="0" applyFont="0" applyFill="0" applyBorder="0" applyAlignment="0" applyProtection="0"/>
  </cellStyleXfs>
  <cellXfs count="1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3" fontId="5" fillId="0" borderId="0" xfId="0" applyNumberFormat="1" applyFont="1" applyFill="1" applyAlignment="1">
      <alignment horizontal="center" wrapText="1"/>
    </xf>
    <xf numFmtId="3" fontId="3" fillId="0" borderId="0" xfId="0" applyNumberFormat="1" applyFont="1" applyFill="1" applyAlignment="1">
      <alignment horizontal="center"/>
    </xf>
    <xf numFmtId="3" fontId="6" fillId="0" borderId="0" xfId="0" applyNumberFormat="1" applyFont="1" applyFill="1" applyAlignment="1">
      <alignment horizontal="center" wrapText="1"/>
    </xf>
    <xf numFmtId="0" fontId="2" fillId="0" borderId="2" xfId="0" applyFont="1" applyBorder="1"/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Fill="1" applyBorder="1" applyAlignment="1">
      <alignment horizontal="center"/>
    </xf>
    <xf numFmtId="3" fontId="2" fillId="0" borderId="0" xfId="0" applyNumberFormat="1" applyFont="1" applyFill="1" applyAlignment="1">
      <alignment horizontal="center"/>
    </xf>
    <xf numFmtId="0" fontId="2" fillId="0" borderId="3" xfId="0" applyFont="1" applyBorder="1"/>
    <xf numFmtId="0" fontId="3" fillId="0" borderId="0" xfId="0" applyFont="1" applyBorder="1"/>
    <xf numFmtId="3" fontId="2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3" xfId="0" applyFont="1" applyBorder="1"/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3" fontId="6" fillId="0" borderId="3" xfId="0" applyNumberFormat="1" applyFont="1" applyFill="1" applyBorder="1" applyAlignment="1">
      <alignment horizontal="center" wrapText="1"/>
    </xf>
    <xf numFmtId="165" fontId="3" fillId="0" borderId="0" xfId="0" applyNumberFormat="1" applyFont="1" applyFill="1" applyAlignment="1">
      <alignment horizontal="center"/>
    </xf>
    <xf numFmtId="0" fontId="2" fillId="7" borderId="0" xfId="0" applyFont="1" applyFill="1"/>
    <xf numFmtId="3" fontId="6" fillId="7" borderId="0" xfId="0" applyNumberFormat="1" applyFont="1" applyFill="1" applyAlignment="1">
      <alignment horizontal="center" wrapText="1"/>
    </xf>
    <xf numFmtId="3" fontId="2" fillId="7" borderId="0" xfId="0" applyNumberFormat="1" applyFont="1" applyFill="1" applyAlignment="1">
      <alignment horizontal="center"/>
    </xf>
    <xf numFmtId="3" fontId="6" fillId="0" borderId="0" xfId="0" applyNumberFormat="1" applyFont="1" applyFill="1" applyBorder="1" applyAlignment="1">
      <alignment horizontal="center" wrapText="1"/>
    </xf>
    <xf numFmtId="3" fontId="5" fillId="0" borderId="0" xfId="0" applyNumberFormat="1" applyFont="1" applyFill="1" applyBorder="1" applyAlignment="1">
      <alignment horizontal="center" wrapText="1"/>
    </xf>
    <xf numFmtId="9" fontId="5" fillId="0" borderId="0" xfId="1" applyFont="1" applyFill="1" applyAlignment="1">
      <alignment horizontal="center" wrapText="1"/>
    </xf>
    <xf numFmtId="3" fontId="3" fillId="0" borderId="2" xfId="0" applyNumberFormat="1" applyFont="1" applyFill="1" applyBorder="1" applyAlignment="1">
      <alignment horizontal="center"/>
    </xf>
    <xf numFmtId="3" fontId="5" fillId="0" borderId="2" xfId="0" applyNumberFormat="1" applyFont="1" applyFill="1" applyBorder="1" applyAlignment="1">
      <alignment horizontal="center" wrapText="1"/>
    </xf>
    <xf numFmtId="165" fontId="5" fillId="0" borderId="0" xfId="0" applyNumberFormat="1" applyFont="1" applyFill="1" applyAlignment="1">
      <alignment horizontal="center" wrapText="1"/>
    </xf>
    <xf numFmtId="164" fontId="5" fillId="0" borderId="0" xfId="1" applyNumberFormat="1" applyFont="1" applyFill="1" applyAlignment="1">
      <alignment horizontal="center" wrapText="1"/>
    </xf>
    <xf numFmtId="195" fontId="18" fillId="0" borderId="0" xfId="1245" applyNumberFormat="1" applyFont="1" applyFill="1"/>
    <xf numFmtId="2" fontId="18" fillId="0" borderId="0" xfId="1245" applyNumberFormat="1" applyFont="1" applyFill="1"/>
    <xf numFmtId="10" fontId="18" fillId="0" borderId="0" xfId="1372" applyNumberFormat="1" applyFont="1" applyFill="1" applyBorder="1"/>
    <xf numFmtId="165" fontId="18" fillId="0" borderId="0" xfId="1245" applyNumberFormat="1" applyFont="1" applyFill="1" applyBorder="1"/>
    <xf numFmtId="2" fontId="39" fillId="0" borderId="0" xfId="1245" applyNumberFormat="1" applyFont="1" applyFill="1" applyBorder="1"/>
    <xf numFmtId="195" fontId="39" fillId="0" borderId="0" xfId="1245" applyNumberFormat="1" applyFont="1" applyFill="1" applyBorder="1"/>
    <xf numFmtId="165" fontId="39" fillId="0" borderId="0" xfId="1245" applyNumberFormat="1" applyFont="1" applyFill="1" applyBorder="1"/>
    <xf numFmtId="195" fontId="39" fillId="0" borderId="0" xfId="1245" applyNumberFormat="1" applyFont="1" applyFill="1"/>
    <xf numFmtId="0" fontId="39" fillId="0" borderId="0" xfId="1245" applyFont="1" applyFill="1"/>
    <xf numFmtId="165" fontId="149" fillId="42" borderId="50" xfId="1245" applyNumberFormat="1" applyFont="1" applyFill="1" applyBorder="1" applyAlignment="1">
      <alignment horizontal="center"/>
    </xf>
    <xf numFmtId="165" fontId="149" fillId="0" borderId="50" xfId="1245" applyNumberFormat="1" applyFont="1" applyFill="1" applyBorder="1" applyAlignment="1">
      <alignment horizontal="center"/>
    </xf>
    <xf numFmtId="9" fontId="150" fillId="0" borderId="48" xfId="1372" applyFont="1" applyFill="1" applyBorder="1" applyAlignment="1">
      <alignment horizontal="right"/>
    </xf>
    <xf numFmtId="0" fontId="150" fillId="0" borderId="48" xfId="1245" applyFont="1" applyFill="1" applyBorder="1" applyAlignment="1">
      <alignment horizontal="right"/>
    </xf>
    <xf numFmtId="165" fontId="149" fillId="0" borderId="48" xfId="1245" applyNumberFormat="1" applyFont="1" applyFill="1" applyBorder="1" applyAlignment="1">
      <alignment horizontal="centerContinuous"/>
    </xf>
    <xf numFmtId="2" fontId="149" fillId="42" borderId="48" xfId="1245" applyNumberFormat="1" applyFont="1" applyFill="1" applyBorder="1" applyAlignment="1">
      <alignment horizontal="center"/>
    </xf>
    <xf numFmtId="313" fontId="149" fillId="0" borderId="48" xfId="1245" applyNumberFormat="1" applyFont="1" applyFill="1" applyBorder="1" applyAlignment="1">
      <alignment horizontal="center"/>
    </xf>
    <xf numFmtId="4" fontId="149" fillId="61" borderId="48" xfId="1245" applyNumberFormat="1" applyFont="1" applyFill="1" applyBorder="1" applyAlignment="1">
      <alignment horizontal="center"/>
    </xf>
    <xf numFmtId="0" fontId="150" fillId="42" borderId="48" xfId="1245" applyFont="1" applyFill="1" applyBorder="1" applyAlignment="1">
      <alignment horizontal="center"/>
    </xf>
    <xf numFmtId="0" fontId="150" fillId="0" borderId="48" xfId="1245" applyFont="1" applyFill="1" applyBorder="1" applyAlignment="1">
      <alignment horizontal="center"/>
    </xf>
    <xf numFmtId="0" fontId="41" fillId="0" borderId="47" xfId="1245" applyFont="1" applyFill="1" applyBorder="1" applyAlignment="1">
      <alignment horizontal="left"/>
    </xf>
    <xf numFmtId="165" fontId="149" fillId="61" borderId="48" xfId="1245" applyNumberFormat="1" applyFont="1" applyFill="1" applyBorder="1" applyAlignment="1">
      <alignment horizontal="center"/>
    </xf>
    <xf numFmtId="0" fontId="150" fillId="7" borderId="47" xfId="1245" applyFont="1" applyFill="1" applyBorder="1" applyAlignment="1">
      <alignment horizontal="right"/>
    </xf>
    <xf numFmtId="0" fontId="150" fillId="0" borderId="0" xfId="1245" applyFont="1"/>
    <xf numFmtId="165" fontId="149" fillId="61" borderId="46" xfId="1245" applyNumberFormat="1" applyFont="1" applyFill="1" applyBorder="1" applyAlignment="1">
      <alignment horizontal="center"/>
    </xf>
    <xf numFmtId="165" fontId="149" fillId="0" borderId="46" xfId="1245" applyNumberFormat="1" applyFont="1" applyFill="1" applyBorder="1" applyAlignment="1">
      <alignment horizontal="center"/>
    </xf>
    <xf numFmtId="0" fontId="41" fillId="7" borderId="45" xfId="1245" applyFont="1" applyFill="1" applyBorder="1"/>
    <xf numFmtId="0" fontId="41" fillId="0" borderId="45" xfId="1245" applyFont="1" applyFill="1" applyBorder="1"/>
    <xf numFmtId="0" fontId="40" fillId="0" borderId="0" xfId="1245" applyFont="1"/>
    <xf numFmtId="0" fontId="41" fillId="42" borderId="1" xfId="1245" applyFont="1" applyFill="1" applyBorder="1" applyAlignment="1">
      <alignment horizontal="center"/>
    </xf>
    <xf numFmtId="0" fontId="41" fillId="61" borderId="1" xfId="1245" applyFont="1" applyFill="1" applyBorder="1" applyAlignment="1">
      <alignment horizontal="center"/>
    </xf>
    <xf numFmtId="0" fontId="40" fillId="7" borderId="44" xfId="1245" applyFont="1" applyFill="1" applyBorder="1"/>
    <xf numFmtId="0" fontId="40" fillId="0" borderId="44" xfId="1245" applyFont="1" applyFill="1" applyBorder="1"/>
    <xf numFmtId="0" fontId="18" fillId="7" borderId="0" xfId="1245" applyFill="1" applyBorder="1" applyAlignment="1">
      <alignment horizontal="center"/>
    </xf>
    <xf numFmtId="0" fontId="38" fillId="0" borderId="0" xfId="1245" applyFont="1" applyFill="1" applyBorder="1"/>
    <xf numFmtId="0" fontId="18" fillId="0" borderId="0" xfId="1245" applyFont="1"/>
    <xf numFmtId="9" fontId="3" fillId="0" borderId="0" xfId="0" applyNumberFormat="1" applyFont="1"/>
    <xf numFmtId="0" fontId="150" fillId="0" borderId="49" xfId="1245" applyFont="1" applyFill="1" applyBorder="1" applyAlignment="1">
      <alignment horizontal="right"/>
    </xf>
    <xf numFmtId="3" fontId="146" fillId="0" borderId="0" xfId="0" applyNumberFormat="1" applyFont="1" applyFill="1" applyAlignment="1">
      <alignment horizontal="center" wrapText="1"/>
    </xf>
    <xf numFmtId="10" fontId="18" fillId="0" borderId="0" xfId="1372" applyNumberFormat="1" applyFont="1" applyFill="1"/>
    <xf numFmtId="164" fontId="18" fillId="0" borderId="0" xfId="1372" applyNumberFormat="1" applyFont="1" applyFill="1"/>
    <xf numFmtId="4" fontId="18" fillId="0" borderId="0" xfId="1245" applyNumberFormat="1" applyFont="1" applyFill="1" applyBorder="1"/>
    <xf numFmtId="165" fontId="151" fillId="0" borderId="0" xfId="1245" applyNumberFormat="1" applyFont="1" applyFill="1" applyBorder="1"/>
    <xf numFmtId="164" fontId="39" fillId="0" borderId="0" xfId="1372" applyNumberFormat="1" applyFont="1" applyFill="1" applyBorder="1"/>
    <xf numFmtId="0" fontId="18" fillId="0" borderId="0" xfId="1245"/>
    <xf numFmtId="314" fontId="39" fillId="0" borderId="0" xfId="1018" applyNumberFormat="1" applyFont="1" applyFill="1" applyBorder="1"/>
    <xf numFmtId="2" fontId="39" fillId="0" borderId="0" xfId="1245" applyNumberFormat="1" applyFont="1" applyFill="1"/>
    <xf numFmtId="0" fontId="39" fillId="0" borderId="0" xfId="1245" applyFont="1"/>
    <xf numFmtId="165" fontId="149" fillId="61" borderId="50" xfId="1245" applyNumberFormat="1" applyFont="1" applyFill="1" applyBorder="1" applyAlignment="1">
      <alignment horizontal="center"/>
    </xf>
    <xf numFmtId="0" fontId="150" fillId="7" borderId="49" xfId="1245" applyFont="1" applyFill="1" applyBorder="1" applyAlignment="1">
      <alignment horizontal="right"/>
    </xf>
    <xf numFmtId="0" fontId="150" fillId="7" borderId="48" xfId="1245" applyFont="1" applyFill="1" applyBorder="1" applyAlignment="1">
      <alignment horizontal="right"/>
    </xf>
    <xf numFmtId="165" fontId="149" fillId="61" borderId="48" xfId="1245" applyNumberFormat="1" applyFont="1" applyFill="1" applyBorder="1" applyAlignment="1">
      <alignment horizontal="centerContinuous"/>
    </xf>
    <xf numFmtId="0" fontId="150" fillId="0" borderId="0" xfId="1245" applyFont="1" applyFill="1"/>
    <xf numFmtId="165" fontId="150" fillId="42" borderId="48" xfId="1245" applyNumberFormat="1" applyFont="1" applyFill="1" applyBorder="1" applyAlignment="1">
      <alignment horizontal="center"/>
    </xf>
    <xf numFmtId="4" fontId="149" fillId="42" borderId="48" xfId="1245" applyNumberFormat="1" applyFont="1" applyFill="1" applyBorder="1" applyAlignment="1">
      <alignment horizontal="center"/>
    </xf>
    <xf numFmtId="4" fontId="149" fillId="0" borderId="48" xfId="1245" applyNumberFormat="1" applyFont="1" applyFill="1" applyBorder="1" applyAlignment="1">
      <alignment horizontal="center"/>
    </xf>
    <xf numFmtId="0" fontId="150" fillId="61" borderId="48" xfId="1245" applyFont="1" applyFill="1" applyBorder="1" applyAlignment="1">
      <alignment horizontal="center"/>
    </xf>
    <xf numFmtId="0" fontId="41" fillId="7" borderId="47" xfId="1245" applyFont="1" applyFill="1" applyBorder="1" applyAlignment="1">
      <alignment horizontal="left"/>
    </xf>
    <xf numFmtId="165" fontId="149" fillId="42" borderId="48" xfId="1245" applyNumberFormat="1" applyFont="1" applyFill="1" applyBorder="1" applyAlignment="1">
      <alignment horizontal="center"/>
    </xf>
    <xf numFmtId="165" fontId="149" fillId="0" borderId="48" xfId="1245" applyNumberFormat="1" applyFont="1" applyFill="1" applyBorder="1" applyAlignment="1">
      <alignment horizontal="center"/>
    </xf>
    <xf numFmtId="0" fontId="150" fillId="0" borderId="47" xfId="1245" applyFont="1" applyFill="1" applyBorder="1" applyAlignment="1">
      <alignment horizontal="right"/>
    </xf>
    <xf numFmtId="165" fontId="149" fillId="42" borderId="46" xfId="1245" applyNumberFormat="1" applyFont="1" applyFill="1" applyBorder="1" applyAlignment="1">
      <alignment horizontal="center"/>
    </xf>
    <xf numFmtId="0" fontId="41" fillId="0" borderId="1" xfId="1245" applyFont="1" applyFill="1" applyBorder="1" applyAlignment="1">
      <alignment horizontal="center"/>
    </xf>
    <xf numFmtId="0" fontId="132" fillId="0" borderId="0" xfId="1245" applyFont="1" applyFill="1"/>
    <xf numFmtId="0" fontId="18" fillId="0" borderId="0" xfId="1245" applyFont="1" applyFill="1"/>
    <xf numFmtId="9" fontId="150" fillId="7" borderId="48" xfId="1372" applyFont="1" applyFill="1" applyBorder="1" applyAlignment="1">
      <alignment horizontal="right"/>
    </xf>
    <xf numFmtId="0" fontId="120" fillId="0" borderId="0" xfId="2877" applyFont="1" applyFill="1" applyBorder="1"/>
    <xf numFmtId="0" fontId="119" fillId="0" borderId="0" xfId="2891" applyFont="1" applyFill="1" applyBorder="1"/>
    <xf numFmtId="0" fontId="119" fillId="0" borderId="2" xfId="2891" applyFont="1" applyFill="1" applyBorder="1"/>
    <xf numFmtId="0" fontId="120" fillId="0" borderId="0" xfId="2891" applyFont="1" applyFill="1" applyBorder="1"/>
    <xf numFmtId="37" fontId="5" fillId="0" borderId="0" xfId="0" applyNumberFormat="1" applyFont="1" applyFill="1" applyAlignment="1">
      <alignment horizontal="center" wrapText="1"/>
    </xf>
    <xf numFmtId="37" fontId="2" fillId="0" borderId="0" xfId="0" applyNumberFormat="1" applyFont="1" applyFill="1" applyAlignment="1">
      <alignment horizontal="center"/>
    </xf>
    <xf numFmtId="9" fontId="146" fillId="0" borderId="0" xfId="1" applyFont="1" applyFill="1" applyAlignment="1">
      <alignment horizontal="center" wrapText="1"/>
    </xf>
    <xf numFmtId="164" fontId="3" fillId="0" borderId="0" xfId="1" applyNumberFormat="1" applyFont="1" applyFill="1" applyAlignment="1">
      <alignment horizontal="center"/>
    </xf>
    <xf numFmtId="0" fontId="120" fillId="0" borderId="2" xfId="2929" applyFont="1" applyFill="1" applyBorder="1"/>
    <xf numFmtId="164" fontId="5" fillId="0" borderId="0" xfId="0" applyNumberFormat="1" applyFont="1" applyFill="1" applyAlignment="1">
      <alignment horizontal="center" wrapText="1"/>
    </xf>
    <xf numFmtId="37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119" fillId="0" borderId="0" xfId="2929" applyFont="1" applyFill="1" applyBorder="1"/>
    <xf numFmtId="0" fontId="120" fillId="0" borderId="0" xfId="2929" applyFont="1" applyFill="1" applyBorder="1"/>
    <xf numFmtId="0" fontId="3" fillId="0" borderId="0" xfId="3009" applyFont="1" applyBorder="1"/>
    <xf numFmtId="0" fontId="119" fillId="0" borderId="2" xfId="2962" applyFont="1" applyFill="1" applyBorder="1"/>
    <xf numFmtId="0" fontId="119" fillId="0" borderId="4" xfId="2962" applyFont="1" applyFill="1" applyBorder="1"/>
    <xf numFmtId="37" fontId="3" fillId="0" borderId="2" xfId="2962" applyNumberFormat="1" applyFont="1" applyBorder="1" applyAlignment="1">
      <alignment horizontal="right"/>
    </xf>
    <xf numFmtId="37" fontId="3" fillId="0" borderId="4" xfId="2962" applyNumberFormat="1" applyFont="1" applyBorder="1" applyAlignment="1">
      <alignment horizontal="right"/>
    </xf>
    <xf numFmtId="37" fontId="3" fillId="0" borderId="4" xfId="2962" applyNumberFormat="1" applyFont="1" applyBorder="1" applyAlignment="1">
      <alignment horizontal="center"/>
    </xf>
    <xf numFmtId="37" fontId="3" fillId="0" borderId="2" xfId="2962" applyNumberFormat="1" applyFont="1" applyBorder="1" applyAlignment="1">
      <alignment horizontal="center"/>
    </xf>
    <xf numFmtId="37" fontId="2" fillId="0" borderId="2" xfId="0" applyNumberFormat="1" applyFont="1" applyFill="1" applyBorder="1" applyAlignment="1">
      <alignment horizontal="center"/>
    </xf>
    <xf numFmtId="3" fontId="6" fillId="0" borderId="2" xfId="0" applyNumberFormat="1" applyFont="1" applyFill="1" applyBorder="1" applyAlignment="1">
      <alignment horizontal="center" wrapText="1"/>
    </xf>
    <xf numFmtId="0" fontId="120" fillId="0" borderId="2" xfId="2891" applyFont="1" applyFill="1" applyBorder="1"/>
    <xf numFmtId="164" fontId="146" fillId="0" borderId="0" xfId="0" applyNumberFormat="1" applyFont="1" applyFill="1" applyAlignment="1">
      <alignment horizontal="center" wrapText="1"/>
    </xf>
    <xf numFmtId="9" fontId="5" fillId="0" borderId="0" xfId="1" applyFont="1" applyFill="1" applyBorder="1" applyAlignment="1">
      <alignment horizontal="center" wrapText="1"/>
    </xf>
    <xf numFmtId="0" fontId="3" fillId="0" borderId="0" xfId="3053" applyFont="1" applyFill="1"/>
    <xf numFmtId="37" fontId="6" fillId="0" borderId="0" xfId="0" applyNumberFormat="1" applyFont="1" applyFill="1" applyAlignment="1">
      <alignment horizontal="center" wrapText="1"/>
    </xf>
    <xf numFmtId="4" fontId="3" fillId="0" borderId="0" xfId="0" applyNumberFormat="1" applyFont="1" applyFill="1" applyAlignment="1">
      <alignment horizontal="center"/>
    </xf>
    <xf numFmtId="10" fontId="5" fillId="0" borderId="0" xfId="1" applyNumberFormat="1" applyFont="1" applyFill="1" applyAlignment="1">
      <alignment horizontal="center" wrapText="1"/>
    </xf>
    <xf numFmtId="10" fontId="146" fillId="0" borderId="0" xfId="1" applyNumberFormat="1" applyFont="1" applyFill="1" applyAlignment="1">
      <alignment horizontal="center" wrapText="1"/>
    </xf>
    <xf numFmtId="4" fontId="5" fillId="0" borderId="0" xfId="0" applyNumberFormat="1" applyFont="1" applyFill="1" applyAlignment="1">
      <alignment horizontal="center" wrapText="1"/>
    </xf>
    <xf numFmtId="315" fontId="5" fillId="0" borderId="0" xfId="0" applyNumberFormat="1" applyFont="1" applyFill="1" applyAlignment="1">
      <alignment horizontal="center" wrapText="1"/>
    </xf>
    <xf numFmtId="37" fontId="146" fillId="0" borderId="0" xfId="0" applyNumberFormat="1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center" wrapText="1"/>
    </xf>
    <xf numFmtId="9" fontId="3" fillId="0" borderId="0" xfId="1" applyFont="1" applyFill="1" applyAlignment="1">
      <alignment horizontal="center"/>
    </xf>
    <xf numFmtId="3" fontId="3" fillId="0" borderId="0" xfId="0" applyNumberFormat="1" applyFont="1" applyFill="1" applyAlignment="1">
      <alignment horizontal="center" wrapText="1"/>
    </xf>
    <xf numFmtId="9" fontId="5" fillId="62" borderId="0" xfId="1" applyFont="1" applyFill="1" applyAlignment="1">
      <alignment horizontal="center" wrapText="1"/>
    </xf>
    <xf numFmtId="10" fontId="146" fillId="0" borderId="0" xfId="0" applyNumberFormat="1" applyFont="1" applyFill="1" applyAlignment="1">
      <alignment horizontal="center"/>
    </xf>
    <xf numFmtId="198" fontId="3" fillId="0" borderId="0" xfId="0" applyNumberFormat="1" applyFont="1" applyFill="1" applyAlignment="1">
      <alignment horizontal="center"/>
    </xf>
    <xf numFmtId="165" fontId="148" fillId="0" borderId="0" xfId="1245" applyNumberFormat="1" applyFont="1" applyBorder="1" applyAlignment="1">
      <alignment horizontal="center"/>
    </xf>
  </cellXfs>
  <cellStyles count="3065">
    <cellStyle name="#,##-" xfId="76"/>
    <cellStyle name="#,##0" xfId="77"/>
    <cellStyle name="#,##0%" xfId="78"/>
    <cellStyle name="#,##0.0%" xfId="79"/>
    <cellStyle name="#,##0_),(#,##0)" xfId="80"/>
    <cellStyle name="$" xfId="81"/>
    <cellStyle name="$ 2" xfId="1777"/>
    <cellStyle name="$_01 AVP_ Project Infinitum" xfId="82"/>
    <cellStyle name="$_01 AVP_ Project Infinitum 2" xfId="1720"/>
    <cellStyle name="$_01_WACC Colombia_Analysis" xfId="83"/>
    <cellStyle name="$_01_WACC Colombia_Analysis 2" xfId="1719"/>
    <cellStyle name="$_04 WACC Vivax" xfId="84"/>
    <cellStyle name="$_04 WACC Vivax 2" xfId="1718"/>
    <cellStyle name="$_avp" xfId="85"/>
    <cellStyle name="$_avp 2" xfId="1717"/>
    <cellStyle name="$_AVP_ NewCo" xfId="86"/>
    <cellStyle name="$_AVP_ NewCo 2" xfId="1714"/>
    <cellStyle name="$_Sovereign Bonds 060705" xfId="87"/>
    <cellStyle name="$_Sovereign Bonds 060705 (version 1)" xfId="88"/>
    <cellStyle name="$_Sovereign Bonds 060705 (version 1) 2" xfId="1706"/>
    <cellStyle name="$_Sovereign Bonds 060705 (version 1)_01 NET DCF Model" xfId="89"/>
    <cellStyle name="$_Sovereign Bonds 060705 (version 1)_01 NET DCF Model 2" xfId="1699"/>
    <cellStyle name="$_Sovereign Bonds 060705 (version 1)_03 Embratel DCF Model_Loscos" xfId="90"/>
    <cellStyle name="$_Sovereign Bonds 060705 (version 1)_03 Embratel DCF Model_Loscos 2" xfId="1692"/>
    <cellStyle name="$_Sovereign Bonds 060705 (version 1)_05 NET DCF Model" xfId="91"/>
    <cellStyle name="$_Sovereign Bonds 060705 (version 1)_05 NET DCF Model 2" xfId="1685"/>
    <cellStyle name="$_Sovereign Bonds 060705 (version 1)_05 TMX Brazil DCF Model" xfId="92"/>
    <cellStyle name="$_Sovereign Bonds 060705 (version 1)_05 TMX Brazil DCF Model 2" xfId="1579"/>
    <cellStyle name="$_Sovereign Bonds 060705 (version 1)_Consolidação" xfId="93"/>
    <cellStyle name="$_Sovereign Bonds 060705 (version 1)_Consolidação 2" xfId="1580"/>
    <cellStyle name="$_Sovereign Bonds 060705 (version 1)_Consolidação IMOB" xfId="94"/>
    <cellStyle name="$_Sovereign Bonds 060705 (version 1)_Consolidação IMOB 2" xfId="1581"/>
    <cellStyle name="$_Sovereign Bonds 060705 (version 1)_Estudo de Viabilidade -IMOB Henri" xfId="95"/>
    <cellStyle name="$_Sovereign Bonds 060705 (version 1)_Estudo de Viabilidade -IMOB Henri 2" xfId="1582"/>
    <cellStyle name="$_Sovereign Bonds 060705 (version 1)_FP 100" xfId="96"/>
    <cellStyle name="$_Sovereign Bonds 060705 (version 1)_FP 100 2" xfId="1583"/>
    <cellStyle name="$_Sovereign Bonds 060705 (version 1)_Península" xfId="97"/>
    <cellStyle name="$_Sovereign Bonds 060705 (version 1)_Península 2" xfId="1584"/>
    <cellStyle name="$_Sovereign Bonds 060705 (version 1)_Peninsula_0510" xfId="98"/>
    <cellStyle name="$_Sovereign Bonds 060705 (version 1)_Peninsula_0510 2" xfId="1585"/>
    <cellStyle name="$_Sovereign Bonds 060705 (version 1)_Resumo Juros e Variações" xfId="99"/>
    <cellStyle name="$_Sovereign Bonds 060705 (version 1)_Resumo Juros e Variações 2" xfId="1586"/>
    <cellStyle name="$_Sovereign Bonds 060705 2" xfId="1713"/>
    <cellStyle name="$_Sovereign Bonds 060705 3" xfId="2814"/>
    <cellStyle name="$_Sovereign Bonds 060705_1" xfId="100"/>
    <cellStyle name="$_Sovereign Bonds 060705_1 2" xfId="1587"/>
    <cellStyle name="$_Sovereign Bonds 060705_1_01 NET DCF Model" xfId="101"/>
    <cellStyle name="$_Sovereign Bonds 060705_1_01 NET DCF Model 2" xfId="1588"/>
    <cellStyle name="$_Sovereign Bonds 060705_1_03 Embratel DCF Model_Loscos" xfId="102"/>
    <cellStyle name="$_Sovereign Bonds 060705_1_03 Embratel DCF Model_Loscos 2" xfId="1589"/>
    <cellStyle name="$_Sovereign Bonds 060705_1_05 NET DCF Model" xfId="103"/>
    <cellStyle name="$_Sovereign Bonds 060705_1_05 NET DCF Model 2" xfId="1590"/>
    <cellStyle name="$_Sovereign Bonds 060705_1_05 TMX Brazil DCF Model" xfId="104"/>
    <cellStyle name="$_Sovereign Bonds 060705_1_05 TMX Brazil DCF Model 2" xfId="1591"/>
    <cellStyle name="$_Sovereign Bonds 060705_1_Consolidação" xfId="105"/>
    <cellStyle name="$_Sovereign Bonds 060705_1_Consolidação 2" xfId="1592"/>
    <cellStyle name="$_Sovereign Bonds 060705_1_Consolidação IMOB" xfId="106"/>
    <cellStyle name="$_Sovereign Bonds 060705_1_Consolidação IMOB 2" xfId="1593"/>
    <cellStyle name="$_Sovereign Bonds 060705_1_Estudo de Viabilidade -IMOB Henri" xfId="107"/>
    <cellStyle name="$_Sovereign Bonds 060705_1_Estudo de Viabilidade -IMOB Henri 2" xfId="1597"/>
    <cellStyle name="$_Sovereign Bonds 060705_1_FP 100" xfId="108"/>
    <cellStyle name="$_Sovereign Bonds 060705_1_FP 100 2" xfId="1598"/>
    <cellStyle name="$_Sovereign Bonds 060705_1_Península" xfId="109"/>
    <cellStyle name="$_Sovereign Bonds 060705_1_Península 2" xfId="1773"/>
    <cellStyle name="$_Sovereign Bonds 060705_1_Peninsula_0510" xfId="110"/>
    <cellStyle name="$_Sovereign Bonds 060705_1_Peninsula_0510 2" xfId="1781"/>
    <cellStyle name="$_Sovereign Bonds 060705_1_Resumo Juros e Variações" xfId="111"/>
    <cellStyle name="$_Sovereign Bonds 060705_1_Resumo Juros e Variações 2" xfId="1788"/>
    <cellStyle name="$0" xfId="112"/>
    <cellStyle name="$0,000" xfId="113"/>
    <cellStyle name="$0,000 2" xfId="1801"/>
    <cellStyle name="$0,000.0" xfId="114"/>
    <cellStyle name="$0,000.0 2" xfId="1802"/>
    <cellStyle name="$0,000.00" xfId="115"/>
    <cellStyle name="$0,000.00 2" xfId="1805"/>
    <cellStyle name="$0,000.000" xfId="116"/>
    <cellStyle name="$0,000.0000" xfId="117"/>
    <cellStyle name="$0,000.0000 2" xfId="1806"/>
    <cellStyle name="$0,000_Consolidação" xfId="118"/>
    <cellStyle name="$0.00" xfId="119"/>
    <cellStyle name="$0.000" xfId="120"/>
    <cellStyle name="$0.0000" xfId="121"/>
    <cellStyle name="$0_Consolidação" xfId="122"/>
    <cellStyle name="******************************************" xfId="123"/>
    <cellStyle name="_%(SignOnly)" xfId="124"/>
    <cellStyle name="_%(SignOnly) 2" xfId="1807"/>
    <cellStyle name="_%(SignSpaceOnly)" xfId="125"/>
    <cellStyle name="_%(SignSpaceOnly) 2" xfId="1808"/>
    <cellStyle name="_ARA_Modelo_1Q06a" xfId="126"/>
    <cellStyle name="_ARA_Modelo_1Q06a_CYRE Model update" xfId="127"/>
    <cellStyle name="_ARA_Modelo_1Q06a_CYRE Model Updated4" xfId="128"/>
    <cellStyle name="_ARA_Modelo_1Q06a_MRV Model updated" xfId="129"/>
    <cellStyle name="_ARA_Modelo_1Q06a_P1 Future Launches" xfId="130"/>
    <cellStyle name="_ARA_Modelo_1Q06a_P1 Future Launches 2" xfId="1809"/>
    <cellStyle name="_ARA_Modelo_1Q06a_PDGR Model update" xfId="131"/>
    <cellStyle name="_ARA_Modelo_1Q06a_PDGR Model update 2" xfId="1810"/>
    <cellStyle name="_ARA_Modelo_1Q06a_RSID Model upated" xfId="132"/>
    <cellStyle name="_ARA_Modelo_1Q06a_RSID Model update" xfId="133"/>
    <cellStyle name="_BRML Model" xfId="134"/>
    <cellStyle name="_BRML Model 2" xfId="1811"/>
    <cellStyle name="_Comma" xfId="135"/>
    <cellStyle name="_Comma 2" xfId="1812"/>
    <cellStyle name="_Comma_01 AVP_ Project Infinitum" xfId="136"/>
    <cellStyle name="_Comma_01 AVP_ Project Infinitum 2" xfId="1813"/>
    <cellStyle name="_Comma_02 Backup Charts" xfId="137"/>
    <cellStyle name="_Comma_02 Backup Charts 2" xfId="1814"/>
    <cellStyle name="_Comma_avp" xfId="138"/>
    <cellStyle name="_Comma_avp 2" xfId="1815"/>
    <cellStyle name="_Comma_AVP_ NewCo" xfId="139"/>
    <cellStyle name="_Comma_AVP_ NewCo 2" xfId="1816"/>
    <cellStyle name="_Comma_Brazil bond data" xfId="140"/>
    <cellStyle name="_Comma_Brazil bond data 2" xfId="1817"/>
    <cellStyle name="_Comma_dcf" xfId="141"/>
    <cellStyle name="_Comma_dcf 2" xfId="1818"/>
    <cellStyle name="_Comma_LA WACC Discount_1" xfId="142"/>
    <cellStyle name="_Comma_LA WACC Discount_1 2" xfId="1819"/>
    <cellStyle name="_Comma_Oil &amp; Gas betas" xfId="143"/>
    <cellStyle name="_Comma_Oil &amp; Gas betas 2" xfId="1820"/>
    <cellStyle name="_Comma_WACC Analysis" xfId="144"/>
    <cellStyle name="_Comma_WACC Analysis 2" xfId="1821"/>
    <cellStyle name="_Comma_WACC Analysis_4b_0827_2" xfId="145"/>
    <cellStyle name="_Comma_WACC Analysis_4b_0827_2 2" xfId="1822"/>
    <cellStyle name="_Currency" xfId="146"/>
    <cellStyle name="_Currency 2" xfId="1823"/>
    <cellStyle name="_Currency_01 AVP_ Project Infinitum" xfId="147"/>
    <cellStyle name="_Currency_01 AVP_ Project Infinitum 2" xfId="1824"/>
    <cellStyle name="_Currency_01 AVP_ Project Infinitum_Consolidação" xfId="148"/>
    <cellStyle name="_Currency_01 AVP_ Project Infinitum_Consolidação 2" xfId="1825"/>
    <cellStyle name="_Currency_01 AVP_ Project Infinitum_Consolidação IMOB" xfId="149"/>
    <cellStyle name="_Currency_01 AVP_ Project Infinitum_Consolidação IMOB 2" xfId="1826"/>
    <cellStyle name="_Currency_01 AVP_ Project Infinitum_Estudo de Viabilidade -IMOB Henri" xfId="150"/>
    <cellStyle name="_Currency_01 AVP_ Project Infinitum_Estudo de Viabilidade -IMOB Henri 2" xfId="1827"/>
    <cellStyle name="_Currency_01 AVP_ Project Infinitum_FP 100" xfId="151"/>
    <cellStyle name="_Currency_01 AVP_ Project Infinitum_FP 100 2" xfId="1828"/>
    <cellStyle name="_Currency_01 AVP_ Project Infinitum_Península" xfId="152"/>
    <cellStyle name="_Currency_01 AVP_ Project Infinitum_Península 2" xfId="1829"/>
    <cellStyle name="_Currency_01 AVP_ Project Infinitum_Peninsula_0510" xfId="153"/>
    <cellStyle name="_Currency_01 AVP_ Project Infinitum_Peninsula_0510 2" xfId="1830"/>
    <cellStyle name="_Currency_01 AVP_ Project Infinitum_Resumo Juros e Variações" xfId="154"/>
    <cellStyle name="_Currency_01 AVP_ Project Infinitum_Resumo Juros e Variações 2" xfId="1831"/>
    <cellStyle name="_Currency_01 TMX BR Revenue mix" xfId="155"/>
    <cellStyle name="_Currency_01 TMX BR Revenue mix 2" xfId="1832"/>
    <cellStyle name="_Currency_01 TMX BR Revenue mix_Consolidação" xfId="156"/>
    <cellStyle name="_Currency_01 TMX BR Revenue mix_Consolidação 2" xfId="1833"/>
    <cellStyle name="_Currency_01 TMX BR Revenue mix_Consolidação IMOB" xfId="157"/>
    <cellStyle name="_Currency_01 TMX BR Revenue mix_Consolidação IMOB 2" xfId="1834"/>
    <cellStyle name="_Currency_01 TMX BR Revenue mix_Estudo de Viabilidade -IMOB Henri" xfId="158"/>
    <cellStyle name="_Currency_01 TMX BR Revenue mix_Estudo de Viabilidade -IMOB Henri 2" xfId="1835"/>
    <cellStyle name="_Currency_01 TMX BR Revenue mix_FP 100" xfId="159"/>
    <cellStyle name="_Currency_01 TMX BR Revenue mix_FP 100 2" xfId="1836"/>
    <cellStyle name="_Currency_01 TMX BR Revenue mix_Península" xfId="160"/>
    <cellStyle name="_Currency_01 TMX BR Revenue mix_Península 2" xfId="1837"/>
    <cellStyle name="_Currency_01 TMX BR Revenue mix_Peninsula_0510" xfId="161"/>
    <cellStyle name="_Currency_01 TMX BR Revenue mix_Peninsula_0510 2" xfId="1838"/>
    <cellStyle name="_Currency_01 TMX BR Revenue mix_Resumo Juros e Variações" xfId="162"/>
    <cellStyle name="_Currency_01 TMX BR Revenue mix_Resumo Juros e Variações 2" xfId="1839"/>
    <cellStyle name="_Currency_02 Backup Charts" xfId="163"/>
    <cellStyle name="_Currency_02 Backup Charts 2" xfId="1840"/>
    <cellStyle name="_Currency_02 Backup Charts_Consolidação" xfId="164"/>
    <cellStyle name="_Currency_02 Backup Charts_Consolidação 2" xfId="1841"/>
    <cellStyle name="_Currency_02 Backup Charts_Consolidação IMOB" xfId="165"/>
    <cellStyle name="_Currency_02 Backup Charts_Consolidação IMOB 2" xfId="1842"/>
    <cellStyle name="_Currency_02 Backup Charts_Estudo de Viabilidade -IMOB Henri" xfId="166"/>
    <cellStyle name="_Currency_02 Backup Charts_Estudo de Viabilidade -IMOB Henri 2" xfId="1843"/>
    <cellStyle name="_Currency_02 Backup Charts_FP 100" xfId="167"/>
    <cellStyle name="_Currency_02 Backup Charts_FP 100 2" xfId="1844"/>
    <cellStyle name="_Currency_02 Backup Charts_Península" xfId="168"/>
    <cellStyle name="_Currency_02 Backup Charts_Península 2" xfId="1845"/>
    <cellStyle name="_Currency_02 Backup Charts_Peninsula_0510" xfId="169"/>
    <cellStyle name="_Currency_02 Backup Charts_Peninsula_0510 2" xfId="1846"/>
    <cellStyle name="_Currency_02 Backup Charts_Resumo Juros e Variações" xfId="170"/>
    <cellStyle name="_Currency_02 Backup Charts_Resumo Juros e Variações 2" xfId="1847"/>
    <cellStyle name="_Currency_02 Blended and actual_Telmex_ buying_ NET" xfId="171"/>
    <cellStyle name="_Currency_02 Blended and actual_Telmex_ buying_ NET 2" xfId="1848"/>
    <cellStyle name="_Currency_02 Blended and actual_Telmex_ buying_ NET_Consolidação" xfId="172"/>
    <cellStyle name="_Currency_02 Blended and actual_Telmex_ buying_ NET_Consolidação 2" xfId="1849"/>
    <cellStyle name="_Currency_02 Blended and actual_Telmex_ buying_ NET_Consolidação IMOB" xfId="173"/>
    <cellStyle name="_Currency_02 Blended and actual_Telmex_ buying_ NET_Consolidação IMOB 2" xfId="1850"/>
    <cellStyle name="_Currency_02 Blended and actual_Telmex_ buying_ NET_Estudo de Viabilidade -IMOB Henri" xfId="174"/>
    <cellStyle name="_Currency_02 Blended and actual_Telmex_ buying_ NET_Estudo de Viabilidade -IMOB Henri 2" xfId="1851"/>
    <cellStyle name="_Currency_02 Blended and actual_Telmex_ buying_ NET_FP 100" xfId="175"/>
    <cellStyle name="_Currency_02 Blended and actual_Telmex_ buying_ NET_FP 100 2" xfId="1852"/>
    <cellStyle name="_Currency_02 Blended and actual_Telmex_ buying_ NET_Península" xfId="176"/>
    <cellStyle name="_Currency_02 Blended and actual_Telmex_ buying_ NET_Península 2" xfId="1853"/>
    <cellStyle name="_Currency_02 Blended and actual_Telmex_ buying_ NET_Peninsula_0510" xfId="177"/>
    <cellStyle name="_Currency_02 Blended and actual_Telmex_ buying_ NET_Peninsula_0510 2" xfId="1854"/>
    <cellStyle name="_Currency_02 Blended and actual_Telmex_ buying_ NET_Resumo Juros e Variações" xfId="178"/>
    <cellStyle name="_Currency_02 Blended and actual_Telmex_ buying_ NET_Resumo Juros e Variações 2" xfId="1855"/>
    <cellStyle name="_Currency_02 TMX Brazil Management Projections_R$" xfId="179"/>
    <cellStyle name="_Currency_02 TMX Brazil Management Projections_R$_Consolidação" xfId="180"/>
    <cellStyle name="_Currency_02 TMX Brazil Management Projections_R$_Consolidação IMOB" xfId="181"/>
    <cellStyle name="_Currency_02 TMX Brazil Management Projections_R$_Estudo de Viabilidade -IMOB Henri" xfId="182"/>
    <cellStyle name="_Currency_02 TMX Brazil Management Projections_R$_FP 100" xfId="183"/>
    <cellStyle name="_Currency_02 TMX Brazil Management Projections_R$_Península" xfId="184"/>
    <cellStyle name="_Currency_02 TMX Brazil Management Projections_R$_Peninsula_0510" xfId="185"/>
    <cellStyle name="_Currency_02 TMX Brazil Management Projections_R$_Resumo Juros e Variações" xfId="186"/>
    <cellStyle name="_Currency_03 Projections Comparison - Infinitum" xfId="187"/>
    <cellStyle name="_Currency_03 Projections Comparison - Infinitum 2" xfId="1857"/>
    <cellStyle name="_Currency_03 Projections Comparison - Infinitum_Consolidação" xfId="188"/>
    <cellStyle name="_Currency_03 Projections Comparison - Infinitum_Consolidação 2" xfId="1858"/>
    <cellStyle name="_Currency_03 Projections Comparison - Infinitum_Consolidação IMOB" xfId="189"/>
    <cellStyle name="_Currency_03 Projections Comparison - Infinitum_Consolidação IMOB 2" xfId="1859"/>
    <cellStyle name="_Currency_03 Projections Comparison - Infinitum_Estudo de Viabilidade -IMOB Henri" xfId="190"/>
    <cellStyle name="_Currency_03 Projections Comparison - Infinitum_Estudo de Viabilidade -IMOB Henri 2" xfId="1860"/>
    <cellStyle name="_Currency_03 Projections Comparison - Infinitum_FP 100" xfId="191"/>
    <cellStyle name="_Currency_03 Projections Comparison - Infinitum_FP 100 2" xfId="1861"/>
    <cellStyle name="_Currency_03 Projections Comparison - Infinitum_Península" xfId="192"/>
    <cellStyle name="_Currency_03 Projections Comparison - Infinitum_Península 2" xfId="1862"/>
    <cellStyle name="_Currency_03 Projections Comparison - Infinitum_Peninsula_0510" xfId="193"/>
    <cellStyle name="_Currency_03 Projections Comparison - Infinitum_Peninsula_0510 2" xfId="1863"/>
    <cellStyle name="_Currency_03 Projections Comparison - Infinitum_Resumo Juros e Variações" xfId="194"/>
    <cellStyle name="_Currency_03 Projections Comparison - Infinitum_Resumo Juros e Variações 2" xfId="1864"/>
    <cellStyle name="_Currency_04 WACC Vivax" xfId="195"/>
    <cellStyle name="_Currency_04 WACC Vivax 2" xfId="1865"/>
    <cellStyle name="_Currency_04 WACC Vivax_Consolidação" xfId="196"/>
    <cellStyle name="_Currency_04 WACC Vivax_Consolidação 2" xfId="1866"/>
    <cellStyle name="_Currency_04 WACC Vivax_Consolidação IMOB" xfId="197"/>
    <cellStyle name="_Currency_04 WACC Vivax_Consolidação IMOB 2" xfId="1867"/>
    <cellStyle name="_Currency_04 WACC Vivax_Estudo de Viabilidade -IMOB Henri" xfId="198"/>
    <cellStyle name="_Currency_04 WACC Vivax_Estudo de Viabilidade -IMOB Henri 2" xfId="1868"/>
    <cellStyle name="_Currency_04 WACC Vivax_FP 100" xfId="199"/>
    <cellStyle name="_Currency_04 WACC Vivax_FP 100 2" xfId="1869"/>
    <cellStyle name="_Currency_04 WACC Vivax_Península" xfId="200"/>
    <cellStyle name="_Currency_04 WACC Vivax_Península 2" xfId="1870"/>
    <cellStyle name="_Currency_04 WACC Vivax_Peninsula_0510" xfId="201"/>
    <cellStyle name="_Currency_04 WACC Vivax_Peninsula_0510 2" xfId="1871"/>
    <cellStyle name="_Currency_04 WACC Vivax_Resumo Juros e Variações" xfId="202"/>
    <cellStyle name="_Currency_04 WACC Vivax_Resumo Juros e Variações 2" xfId="1872"/>
    <cellStyle name="_Currency_05 Embratel DCF Model_NEW" xfId="203"/>
    <cellStyle name="_Currency_05 Embratel DCF Model_NEW 2" xfId="1873"/>
    <cellStyle name="_Currency_12 Blended and actual _Telmex_buying_Embratel" xfId="204"/>
    <cellStyle name="_Currency_12 Blended and actual _Telmex_buying_Embratel 2" xfId="1874"/>
    <cellStyle name="_Currency_12 Blended and actual _Telmex_buying_Embratel_Consolidação" xfId="205"/>
    <cellStyle name="_Currency_12 Blended and actual _Telmex_buying_Embratel_Consolidação 2" xfId="1875"/>
    <cellStyle name="_Currency_12 Blended and actual _Telmex_buying_Embratel_Consolidação IMOB" xfId="206"/>
    <cellStyle name="_Currency_12 Blended and actual _Telmex_buying_Embratel_Consolidação IMOB 2" xfId="1876"/>
    <cellStyle name="_Currency_12 Blended and actual _Telmex_buying_Embratel_Estudo de Viabilidade -IMOB Henri" xfId="207"/>
    <cellStyle name="_Currency_12 Blended and actual _Telmex_buying_Embratel_Estudo de Viabilidade -IMOB Henri 2" xfId="1877"/>
    <cellStyle name="_Currency_12 Blended and actual _Telmex_buying_Embratel_FP 100" xfId="208"/>
    <cellStyle name="_Currency_12 Blended and actual _Telmex_buying_Embratel_FP 100 2" xfId="1878"/>
    <cellStyle name="_Currency_12 Blended and actual _Telmex_buying_Embratel_Península" xfId="209"/>
    <cellStyle name="_Currency_12 Blended and actual _Telmex_buying_Embratel_Península 2" xfId="1879"/>
    <cellStyle name="_Currency_12 Blended and actual _Telmex_buying_Embratel_Peninsula_0510" xfId="210"/>
    <cellStyle name="_Currency_12 Blended and actual _Telmex_buying_Embratel_Peninsula_0510 2" xfId="1880"/>
    <cellStyle name="_Currency_12 Blended and actual _Telmex_buying_Embratel_Resumo Juros e Variações" xfId="211"/>
    <cellStyle name="_Currency_12 Blended and actual _Telmex_buying_Embratel_Resumo Juros e Variações 2" xfId="1881"/>
    <cellStyle name="_Currency_avp" xfId="212"/>
    <cellStyle name="_Currency_avp 2" xfId="1882"/>
    <cellStyle name="_Currency_AVP_ NewCo" xfId="213"/>
    <cellStyle name="_Currency_AVP_ NewCo 2" xfId="1883"/>
    <cellStyle name="_Currency_AVP_ NewCo_Consolidação" xfId="214"/>
    <cellStyle name="_Currency_AVP_ NewCo_Consolidação 2" xfId="1884"/>
    <cellStyle name="_Currency_AVP_ NewCo_Consolidação IMOB" xfId="215"/>
    <cellStyle name="_Currency_AVP_ NewCo_Consolidação IMOB 2" xfId="1885"/>
    <cellStyle name="_Currency_AVP_ NewCo_Estudo de Viabilidade -IMOB Henri" xfId="216"/>
    <cellStyle name="_Currency_AVP_ NewCo_Estudo de Viabilidade -IMOB Henri 2" xfId="1886"/>
    <cellStyle name="_Currency_AVP_ NewCo_FP 100" xfId="217"/>
    <cellStyle name="_Currency_AVP_ NewCo_FP 100 2" xfId="1887"/>
    <cellStyle name="_Currency_AVP_ NewCo_Península" xfId="218"/>
    <cellStyle name="_Currency_AVP_ NewCo_Península 2" xfId="1888"/>
    <cellStyle name="_Currency_AVP_ NewCo_Peninsula_0510" xfId="219"/>
    <cellStyle name="_Currency_AVP_ NewCo_Peninsula_0510 2" xfId="1889"/>
    <cellStyle name="_Currency_AVP_ NewCo_Resumo Juros e Variações" xfId="220"/>
    <cellStyle name="_Currency_AVP_ NewCo_Resumo Juros e Variações 2" xfId="1890"/>
    <cellStyle name="_Currency_avp_Consolidação" xfId="221"/>
    <cellStyle name="_Currency_avp_Consolidação 2" xfId="1891"/>
    <cellStyle name="_Currency_avp_Consolidação IMOB" xfId="222"/>
    <cellStyle name="_Currency_avp_Consolidação IMOB 2" xfId="1892"/>
    <cellStyle name="_Currency_avp_Estudo de Viabilidade -IMOB Henri" xfId="223"/>
    <cellStyle name="_Currency_avp_Estudo de Viabilidade -IMOB Henri 2" xfId="1893"/>
    <cellStyle name="_Currency_avp_FP 100" xfId="224"/>
    <cellStyle name="_Currency_avp_FP 100 2" xfId="1894"/>
    <cellStyle name="_Currency_avp_Península" xfId="225"/>
    <cellStyle name="_Currency_avp_Península 2" xfId="1895"/>
    <cellStyle name="_Currency_avp_Peninsula_0510" xfId="226"/>
    <cellStyle name="_Currency_avp_Peninsula_0510 2" xfId="1896"/>
    <cellStyle name="_Currency_avp_Resumo Juros e Variações" xfId="227"/>
    <cellStyle name="_Currency_avp_Resumo Juros e Variações 2" xfId="1897"/>
    <cellStyle name="_Currency_Brazil bond data" xfId="228"/>
    <cellStyle name="_Currency_Brazil bond data 2" xfId="1898"/>
    <cellStyle name="_Currency_Brazil bond data_Consolidação" xfId="229"/>
    <cellStyle name="_Currency_Brazil bond data_Consolidação 2" xfId="1899"/>
    <cellStyle name="_Currency_Brazil bond data_Consolidação IMOB" xfId="230"/>
    <cellStyle name="_Currency_Brazil bond data_Consolidação IMOB 2" xfId="1900"/>
    <cellStyle name="_Currency_Brazil bond data_Estudo de Viabilidade -IMOB Henri" xfId="231"/>
    <cellStyle name="_Currency_Brazil bond data_Estudo de Viabilidade -IMOB Henri 2" xfId="1901"/>
    <cellStyle name="_Currency_Brazil bond data_FP 100" xfId="232"/>
    <cellStyle name="_Currency_Brazil bond data_FP 100 2" xfId="1902"/>
    <cellStyle name="_Currency_Brazil bond data_Península" xfId="233"/>
    <cellStyle name="_Currency_Brazil bond data_Península 2" xfId="1903"/>
    <cellStyle name="_Currency_Brazil bond data_Peninsula_0510" xfId="234"/>
    <cellStyle name="_Currency_Brazil bond data_Peninsula_0510 2" xfId="1904"/>
    <cellStyle name="_Currency_Brazil bond data_Resumo Juros e Variações" xfId="235"/>
    <cellStyle name="_Currency_Brazil bond data_Resumo Juros e Variações 2" xfId="1905"/>
    <cellStyle name="_Currency_Consolidação" xfId="236"/>
    <cellStyle name="_Currency_Consolidação 2" xfId="1906"/>
    <cellStyle name="_Currency_Consolidação IMOB" xfId="237"/>
    <cellStyle name="_Currency_Consolidação IMOB 2" xfId="1907"/>
    <cellStyle name="_Currency_dcf" xfId="238"/>
    <cellStyle name="_Currency_dcf 2" xfId="1908"/>
    <cellStyle name="_Currency_dcf_01_WACC Colombia_Analysis" xfId="239"/>
    <cellStyle name="_Currency_dcf_01_WACC Colombia_Analysis 2" xfId="1909"/>
    <cellStyle name="_Currency_dcf_01_WACC Colombia_Analysis_Consolidação" xfId="240"/>
    <cellStyle name="_Currency_dcf_01_WACC Colombia_Analysis_Consolidação 2" xfId="1910"/>
    <cellStyle name="_Currency_dcf_01_WACC Colombia_Analysis_Consolidação IMOB" xfId="241"/>
    <cellStyle name="_Currency_dcf_01_WACC Colombia_Analysis_Consolidação IMOB 2" xfId="1911"/>
    <cellStyle name="_Currency_dcf_01_WACC Colombia_Analysis_Estudo de Viabilidade -IMOB Henri" xfId="242"/>
    <cellStyle name="_Currency_dcf_01_WACC Colombia_Analysis_Estudo de Viabilidade -IMOB Henri 2" xfId="1912"/>
    <cellStyle name="_Currency_dcf_01_WACC Colombia_Analysis_FP 100" xfId="243"/>
    <cellStyle name="_Currency_dcf_01_WACC Colombia_Analysis_FP 100 2" xfId="1913"/>
    <cellStyle name="_Currency_dcf_01_WACC Colombia_Analysis_Península" xfId="244"/>
    <cellStyle name="_Currency_dcf_01_WACC Colombia_Analysis_Península 2" xfId="1914"/>
    <cellStyle name="_Currency_dcf_01_WACC Colombia_Analysis_Peninsula_0510" xfId="245"/>
    <cellStyle name="_Currency_dcf_01_WACC Colombia_Analysis_Peninsula_0510 2" xfId="1915"/>
    <cellStyle name="_Currency_dcf_01_WACC Colombia_Analysis_Resumo Juros e Variações" xfId="246"/>
    <cellStyle name="_Currency_dcf_01_WACC Colombia_Analysis_Resumo Juros e Variações 2" xfId="1916"/>
    <cellStyle name="_Currency_dcf_04 WACC Vivax" xfId="247"/>
    <cellStyle name="_Currency_dcf_04 WACC Vivax 2" xfId="1917"/>
    <cellStyle name="_Currency_dcf_04 WACC Vivax_Consolidação" xfId="248"/>
    <cellStyle name="_Currency_dcf_04 WACC Vivax_Consolidação 2" xfId="1918"/>
    <cellStyle name="_Currency_dcf_04 WACC Vivax_Consolidação IMOB" xfId="249"/>
    <cellStyle name="_Currency_dcf_04 WACC Vivax_Consolidação IMOB 2" xfId="1919"/>
    <cellStyle name="_Currency_dcf_04 WACC Vivax_Estudo de Viabilidade -IMOB Henri" xfId="250"/>
    <cellStyle name="_Currency_dcf_04 WACC Vivax_Estudo de Viabilidade -IMOB Henri 2" xfId="1920"/>
    <cellStyle name="_Currency_dcf_04 WACC Vivax_FP 100" xfId="251"/>
    <cellStyle name="_Currency_dcf_04 WACC Vivax_FP 100 2" xfId="1921"/>
    <cellStyle name="_Currency_dcf_04 WACC Vivax_Península" xfId="252"/>
    <cellStyle name="_Currency_dcf_04 WACC Vivax_Península 2" xfId="1922"/>
    <cellStyle name="_Currency_dcf_04 WACC Vivax_Peninsula_0510" xfId="253"/>
    <cellStyle name="_Currency_dcf_04 WACC Vivax_Peninsula_0510 2" xfId="1923"/>
    <cellStyle name="_Currency_dcf_04 WACC Vivax_Resumo Juros e Variações" xfId="254"/>
    <cellStyle name="_Currency_dcf_04 WACC Vivax_Resumo Juros e Variações 2" xfId="1924"/>
    <cellStyle name="_Currency_dcf_Consolidação" xfId="255"/>
    <cellStyle name="_Currency_dcf_Consolidação 2" xfId="1925"/>
    <cellStyle name="_Currency_dcf_Consolidação IMOB" xfId="256"/>
    <cellStyle name="_Currency_dcf_Consolidação IMOB 2" xfId="1926"/>
    <cellStyle name="_Currency_dcf_Dados por segmento julho 06" xfId="257"/>
    <cellStyle name="_Currency_dcf_Dados por segmento julho 06 2" xfId="1927"/>
    <cellStyle name="_Currency_dcf_Estudo de Viabilidade - EXP BHS" xfId="258"/>
    <cellStyle name="_Currency_dcf_Estudo de Viabilidade - EXP BHS 2" xfId="1928"/>
    <cellStyle name="_Currency_dcf_Estudo de Viabilidade - EXP BHS_Consolidação" xfId="259"/>
    <cellStyle name="_Currency_dcf_Estudo de Viabilidade - EXP BHS_Consolidação 2" xfId="1929"/>
    <cellStyle name="_Currency_dcf_FP 100" xfId="260"/>
    <cellStyle name="_Currency_dcf_FP 100 2" xfId="1930"/>
    <cellStyle name="_Currency_dcf_Resumo Juros e Variações" xfId="261"/>
    <cellStyle name="_Currency_dcf_Resumo Juros e Variações 2" xfId="1931"/>
    <cellStyle name="_Currency_dcf_Sovereign Bonds 060705" xfId="262"/>
    <cellStyle name="_Currency_dcf_Sovereign Bonds 060705 (version 1)" xfId="263"/>
    <cellStyle name="_Currency_dcf_Sovereign Bonds 060705 (version 1) 2" xfId="1933"/>
    <cellStyle name="_Currency_dcf_Sovereign Bonds 060705 (version 1)_01 NET DCF Model" xfId="264"/>
    <cellStyle name="_Currency_dcf_Sovereign Bonds 060705 (version 1)_01 NET DCF Model 2" xfId="1934"/>
    <cellStyle name="_Currency_dcf_Sovereign Bonds 060705 (version 1)_01 NET DCF Model_Consolidação" xfId="265"/>
    <cellStyle name="_Currency_dcf_Sovereign Bonds 060705 (version 1)_01 NET DCF Model_Consolidação 2" xfId="1935"/>
    <cellStyle name="_Currency_dcf_Sovereign Bonds 060705 (version 1)_01 NET DCF Model_Consolidação IMOB" xfId="266"/>
    <cellStyle name="_Currency_dcf_Sovereign Bonds 060705 (version 1)_01 NET DCF Model_Consolidação IMOB 2" xfId="1936"/>
    <cellStyle name="_Currency_dcf_Sovereign Bonds 060705 (version 1)_01 NET DCF Model_Estudo de Viabilidade -IMOB Henri" xfId="267"/>
    <cellStyle name="_Currency_dcf_Sovereign Bonds 060705 (version 1)_01 NET DCF Model_Estudo de Viabilidade -IMOB Henri 2" xfId="1937"/>
    <cellStyle name="_Currency_dcf_Sovereign Bonds 060705 (version 1)_01 NET DCF Model_FP 100" xfId="268"/>
    <cellStyle name="_Currency_dcf_Sovereign Bonds 060705 (version 1)_01 NET DCF Model_FP 100 2" xfId="1938"/>
    <cellStyle name="_Currency_dcf_Sovereign Bonds 060705 (version 1)_01 NET DCF Model_Península" xfId="269"/>
    <cellStyle name="_Currency_dcf_Sovereign Bonds 060705 (version 1)_01 NET DCF Model_Península 2" xfId="1939"/>
    <cellStyle name="_Currency_dcf_Sovereign Bonds 060705 (version 1)_01 NET DCF Model_Peninsula_0510" xfId="270"/>
    <cellStyle name="_Currency_dcf_Sovereign Bonds 060705 (version 1)_01 NET DCF Model_Peninsula_0510 2" xfId="1940"/>
    <cellStyle name="_Currency_dcf_Sovereign Bonds 060705 (version 1)_01 NET DCF Model_Resumo Juros e Variações" xfId="271"/>
    <cellStyle name="_Currency_dcf_Sovereign Bonds 060705 (version 1)_01 NET DCF Model_Resumo Juros e Variações 2" xfId="1941"/>
    <cellStyle name="_Currency_dcf_Sovereign Bonds 060705 (version 1)_03 Embratel DCF Model_Loscos" xfId="272"/>
    <cellStyle name="_Currency_dcf_Sovereign Bonds 060705 (version 1)_03 Embratel DCF Model_Loscos 2" xfId="1942"/>
    <cellStyle name="_Currency_dcf_Sovereign Bonds 060705 (version 1)_05 NET DCF Model" xfId="273"/>
    <cellStyle name="_Currency_dcf_Sovereign Bonds 060705 (version 1)_05 NET DCF Model 2" xfId="1943"/>
    <cellStyle name="_Currency_dcf_Sovereign Bonds 060705 (version 1)_05 NET DCF Model_Consolidação" xfId="274"/>
    <cellStyle name="_Currency_dcf_Sovereign Bonds 060705 (version 1)_05 NET DCF Model_Consolidação 2" xfId="1944"/>
    <cellStyle name="_Currency_dcf_Sovereign Bonds 060705 (version 1)_05 NET DCF Model_Consolidação IMOB" xfId="275"/>
    <cellStyle name="_Currency_dcf_Sovereign Bonds 060705 (version 1)_05 NET DCF Model_Consolidação IMOB 2" xfId="1945"/>
    <cellStyle name="_Currency_dcf_Sovereign Bonds 060705 (version 1)_05 NET DCF Model_Estudo de Viabilidade -IMOB Henri" xfId="276"/>
    <cellStyle name="_Currency_dcf_Sovereign Bonds 060705 (version 1)_05 NET DCF Model_Estudo de Viabilidade -IMOB Henri 2" xfId="1946"/>
    <cellStyle name="_Currency_dcf_Sovereign Bonds 060705 (version 1)_05 NET DCF Model_FP 100" xfId="277"/>
    <cellStyle name="_Currency_dcf_Sovereign Bonds 060705 (version 1)_05 NET DCF Model_FP 100 2" xfId="1947"/>
    <cellStyle name="_Currency_dcf_Sovereign Bonds 060705 (version 1)_05 NET DCF Model_Península" xfId="278"/>
    <cellStyle name="_Currency_dcf_Sovereign Bonds 060705 (version 1)_05 NET DCF Model_Península 2" xfId="1948"/>
    <cellStyle name="_Currency_dcf_Sovereign Bonds 060705 (version 1)_05 NET DCF Model_Peninsula_0510" xfId="279"/>
    <cellStyle name="_Currency_dcf_Sovereign Bonds 060705 (version 1)_05 NET DCF Model_Peninsula_0510 2" xfId="1949"/>
    <cellStyle name="_Currency_dcf_Sovereign Bonds 060705 (version 1)_05 NET DCF Model_Resumo Juros e Variações" xfId="280"/>
    <cellStyle name="_Currency_dcf_Sovereign Bonds 060705 (version 1)_05 NET DCF Model_Resumo Juros e Variações 2" xfId="1950"/>
    <cellStyle name="_Currency_dcf_Sovereign Bonds 060705 (version 1)_05 TMX Brazil DCF Model" xfId="281"/>
    <cellStyle name="_Currency_dcf_Sovereign Bonds 060705 (version 1)_05 TMX Brazil DCF Model 2" xfId="1951"/>
    <cellStyle name="_Currency_dcf_Sovereign Bonds 060705 (version 1)_05 TMX Brazil DCF Model_Consolidação" xfId="282"/>
    <cellStyle name="_Currency_dcf_Sovereign Bonds 060705 (version 1)_05 TMX Brazil DCF Model_Consolidação 2" xfId="1952"/>
    <cellStyle name="_Currency_dcf_Sovereign Bonds 060705 (version 1)_05 TMX Brazil DCF Model_Consolidação IMOB" xfId="283"/>
    <cellStyle name="_Currency_dcf_Sovereign Bonds 060705 (version 1)_05 TMX Brazil DCF Model_Consolidação IMOB 2" xfId="1953"/>
    <cellStyle name="_Currency_dcf_Sovereign Bonds 060705 (version 1)_05 TMX Brazil DCF Model_Estudo de Viabilidade -IMOB Henri" xfId="284"/>
    <cellStyle name="_Currency_dcf_Sovereign Bonds 060705 (version 1)_05 TMX Brazil DCF Model_Estudo de Viabilidade -IMOB Henri 2" xfId="1954"/>
    <cellStyle name="_Currency_dcf_Sovereign Bonds 060705 (version 1)_05 TMX Brazil DCF Model_FP 100" xfId="285"/>
    <cellStyle name="_Currency_dcf_Sovereign Bonds 060705 (version 1)_05 TMX Brazil DCF Model_FP 100 2" xfId="1955"/>
    <cellStyle name="_Currency_dcf_Sovereign Bonds 060705 (version 1)_05 TMX Brazil DCF Model_Península" xfId="286"/>
    <cellStyle name="_Currency_dcf_Sovereign Bonds 060705 (version 1)_05 TMX Brazil DCF Model_Península 2" xfId="1956"/>
    <cellStyle name="_Currency_dcf_Sovereign Bonds 060705 (version 1)_05 TMX Brazil DCF Model_Peninsula_0510" xfId="287"/>
    <cellStyle name="_Currency_dcf_Sovereign Bonds 060705 (version 1)_05 TMX Brazil DCF Model_Peninsula_0510 2" xfId="1957"/>
    <cellStyle name="_Currency_dcf_Sovereign Bonds 060705 (version 1)_05 TMX Brazil DCF Model_Resumo Juros e Variações" xfId="288"/>
    <cellStyle name="_Currency_dcf_Sovereign Bonds 060705 (version 1)_05 TMX Brazil DCF Model_Resumo Juros e Variações 2" xfId="1958"/>
    <cellStyle name="_Currency_dcf_Sovereign Bonds 060705 2" xfId="1932"/>
    <cellStyle name="_Currency_dcf_Sovereign Bonds 060705 3" xfId="2815"/>
    <cellStyle name="_Currency_dcf_Sovereign Bonds 060705_01 NET DCF Model" xfId="289"/>
    <cellStyle name="_Currency_dcf_Sovereign Bonds 060705_01 NET DCF Model 2" xfId="1959"/>
    <cellStyle name="_Currency_dcf_Sovereign Bonds 060705_01 NET DCF Model_Consolidação" xfId="290"/>
    <cellStyle name="_Currency_dcf_Sovereign Bonds 060705_01 NET DCF Model_Consolidação 2" xfId="1960"/>
    <cellStyle name="_Currency_dcf_Sovereign Bonds 060705_01 NET DCF Model_Consolidação IMOB" xfId="291"/>
    <cellStyle name="_Currency_dcf_Sovereign Bonds 060705_01 NET DCF Model_Consolidação IMOB 2" xfId="1961"/>
    <cellStyle name="_Currency_dcf_Sovereign Bonds 060705_01 NET DCF Model_Estudo de Viabilidade -IMOB Henri" xfId="292"/>
    <cellStyle name="_Currency_dcf_Sovereign Bonds 060705_01 NET DCF Model_Estudo de Viabilidade -IMOB Henri 2" xfId="1962"/>
    <cellStyle name="_Currency_dcf_Sovereign Bonds 060705_01 NET DCF Model_FP 100" xfId="293"/>
    <cellStyle name="_Currency_dcf_Sovereign Bonds 060705_01 NET DCF Model_FP 100 2" xfId="1963"/>
    <cellStyle name="_Currency_dcf_Sovereign Bonds 060705_01 NET DCF Model_Península" xfId="294"/>
    <cellStyle name="_Currency_dcf_Sovereign Bonds 060705_01 NET DCF Model_Península 2" xfId="1964"/>
    <cellStyle name="_Currency_dcf_Sovereign Bonds 060705_01 NET DCF Model_Peninsula_0510" xfId="295"/>
    <cellStyle name="_Currency_dcf_Sovereign Bonds 060705_01 NET DCF Model_Peninsula_0510 2" xfId="1965"/>
    <cellStyle name="_Currency_dcf_Sovereign Bonds 060705_01 NET DCF Model_Resumo Juros e Variações" xfId="296"/>
    <cellStyle name="_Currency_dcf_Sovereign Bonds 060705_01 NET DCF Model_Resumo Juros e Variações 2" xfId="1966"/>
    <cellStyle name="_Currency_dcf_Sovereign Bonds 060705_03 Embratel DCF Model_Loscos" xfId="297"/>
    <cellStyle name="_Currency_dcf_Sovereign Bonds 060705_03 Embratel DCF Model_Loscos 2" xfId="1967"/>
    <cellStyle name="_Currency_dcf_Sovereign Bonds 060705_05 NET DCF Model" xfId="298"/>
    <cellStyle name="_Currency_dcf_Sovereign Bonds 060705_05 NET DCF Model 2" xfId="1968"/>
    <cellStyle name="_Currency_dcf_Sovereign Bonds 060705_05 NET DCF Model_Consolidação" xfId="299"/>
    <cellStyle name="_Currency_dcf_Sovereign Bonds 060705_05 NET DCF Model_Consolidação 2" xfId="1969"/>
    <cellStyle name="_Currency_dcf_Sovereign Bonds 060705_05 NET DCF Model_Consolidação IMOB" xfId="300"/>
    <cellStyle name="_Currency_dcf_Sovereign Bonds 060705_05 NET DCF Model_Consolidação IMOB 2" xfId="1970"/>
    <cellStyle name="_Currency_dcf_Sovereign Bonds 060705_05 NET DCF Model_Estudo de Viabilidade -IMOB Henri" xfId="301"/>
    <cellStyle name="_Currency_dcf_Sovereign Bonds 060705_05 NET DCF Model_Estudo de Viabilidade -IMOB Henri 2" xfId="1971"/>
    <cellStyle name="_Currency_dcf_Sovereign Bonds 060705_05 NET DCF Model_FP 100" xfId="302"/>
    <cellStyle name="_Currency_dcf_Sovereign Bonds 060705_05 NET DCF Model_FP 100 2" xfId="1972"/>
    <cellStyle name="_Currency_dcf_Sovereign Bonds 060705_05 NET DCF Model_Península" xfId="303"/>
    <cellStyle name="_Currency_dcf_Sovereign Bonds 060705_05 NET DCF Model_Península 2" xfId="1973"/>
    <cellStyle name="_Currency_dcf_Sovereign Bonds 060705_05 NET DCF Model_Peninsula_0510" xfId="304"/>
    <cellStyle name="_Currency_dcf_Sovereign Bonds 060705_05 NET DCF Model_Peninsula_0510 2" xfId="1974"/>
    <cellStyle name="_Currency_dcf_Sovereign Bonds 060705_05 NET DCF Model_Resumo Juros e Variações" xfId="305"/>
    <cellStyle name="_Currency_dcf_Sovereign Bonds 060705_05 NET DCF Model_Resumo Juros e Variações 2" xfId="1975"/>
    <cellStyle name="_Currency_dcf_Sovereign Bonds 060705_05 TMX Brazil DCF Model" xfId="306"/>
    <cellStyle name="_Currency_dcf_Sovereign Bonds 060705_05 TMX Brazil DCF Model 2" xfId="1976"/>
    <cellStyle name="_Currency_dcf_Sovereign Bonds 060705_05 TMX Brazil DCF Model_Consolidação" xfId="307"/>
    <cellStyle name="_Currency_dcf_Sovereign Bonds 060705_05 TMX Brazil DCF Model_Consolidação 2" xfId="1977"/>
    <cellStyle name="_Currency_dcf_Sovereign Bonds 060705_05 TMX Brazil DCF Model_Consolidação IMOB" xfId="308"/>
    <cellStyle name="_Currency_dcf_Sovereign Bonds 060705_05 TMX Brazil DCF Model_Consolidação IMOB 2" xfId="1978"/>
    <cellStyle name="_Currency_dcf_Sovereign Bonds 060705_05 TMX Brazil DCF Model_Estudo de Viabilidade -IMOB Henri" xfId="309"/>
    <cellStyle name="_Currency_dcf_Sovereign Bonds 060705_05 TMX Brazil DCF Model_Estudo de Viabilidade -IMOB Henri 2" xfId="1979"/>
    <cellStyle name="_Currency_dcf_Sovereign Bonds 060705_05 TMX Brazil DCF Model_FP 100" xfId="310"/>
    <cellStyle name="_Currency_dcf_Sovereign Bonds 060705_05 TMX Brazil DCF Model_FP 100 2" xfId="1980"/>
    <cellStyle name="_Currency_dcf_Sovereign Bonds 060705_05 TMX Brazil DCF Model_Península" xfId="311"/>
    <cellStyle name="_Currency_dcf_Sovereign Bonds 060705_05 TMX Brazil DCF Model_Península 2" xfId="1981"/>
    <cellStyle name="_Currency_dcf_Sovereign Bonds 060705_05 TMX Brazil DCF Model_Peninsula_0510" xfId="312"/>
    <cellStyle name="_Currency_dcf_Sovereign Bonds 060705_05 TMX Brazil DCF Model_Peninsula_0510 2" xfId="1982"/>
    <cellStyle name="_Currency_dcf_Sovereign Bonds 060705_05 TMX Brazil DCF Model_Resumo Juros e Variações" xfId="313"/>
    <cellStyle name="_Currency_dcf_Sovereign Bonds 060705_05 TMX Brazil DCF Model_Resumo Juros e Variações 2" xfId="1983"/>
    <cellStyle name="_Currency_EMT Management Assumptions_v2" xfId="314"/>
    <cellStyle name="_Currency_EMT Management Assumptions_v2 2" xfId="1984"/>
    <cellStyle name="_Currency_EMT Management Assumptions_v2_Consolidação" xfId="315"/>
    <cellStyle name="_Currency_EMT Management Assumptions_v2_Consolidação 2" xfId="1985"/>
    <cellStyle name="_Currency_EMT Management Assumptions_v2_Consolidação IMOB" xfId="316"/>
    <cellStyle name="_Currency_EMT Management Assumptions_v2_Consolidação IMOB 2" xfId="1986"/>
    <cellStyle name="_Currency_EMT Management Assumptions_v2_Estudo de Viabilidade -IMOB Henri" xfId="317"/>
    <cellStyle name="_Currency_EMT Management Assumptions_v2_Estudo de Viabilidade -IMOB Henri 2" xfId="1987"/>
    <cellStyle name="_Currency_EMT Management Assumptions_v2_FP 100" xfId="318"/>
    <cellStyle name="_Currency_EMT Management Assumptions_v2_FP 100 2" xfId="1988"/>
    <cellStyle name="_Currency_EMT Management Assumptions_v2_Península" xfId="319"/>
    <cellStyle name="_Currency_EMT Management Assumptions_v2_Península 2" xfId="1989"/>
    <cellStyle name="_Currency_EMT Management Assumptions_v2_Peninsula_0510" xfId="320"/>
    <cellStyle name="_Currency_EMT Management Assumptions_v2_Peninsula_0510 2" xfId="1990"/>
    <cellStyle name="_Currency_EMT Management Assumptions_v2_Resumo Juros e Variações" xfId="321"/>
    <cellStyle name="_Currency_EMT Management Assumptions_v2_Resumo Juros e Variações 2" xfId="1991"/>
    <cellStyle name="_Currency_Estudo de Viabilidade -IMOB Henri" xfId="322"/>
    <cellStyle name="_Currency_Estudo de Viabilidade -IMOB Henri 2" xfId="1992"/>
    <cellStyle name="_Currency_FP 100" xfId="323"/>
    <cellStyle name="_Currency_FP 100 2" xfId="1993"/>
    <cellStyle name="_Currency_LA WACC Discount_1" xfId="324"/>
    <cellStyle name="_Currency_LA WACC Discount_1 2" xfId="1994"/>
    <cellStyle name="_Currency_LA WACC Discount_1_Consolidação" xfId="325"/>
    <cellStyle name="_Currency_LA WACC Discount_1_Consolidação 2" xfId="1995"/>
    <cellStyle name="_Currency_LA WACC Discount_1_Consolidação IMOB" xfId="326"/>
    <cellStyle name="_Currency_LA WACC Discount_1_Consolidação IMOB 2" xfId="1996"/>
    <cellStyle name="_Currency_LA WACC Discount_1_Dados por segmento julho 06" xfId="327"/>
    <cellStyle name="_Currency_LA WACC Discount_1_Dados por segmento julho 06 2" xfId="1997"/>
    <cellStyle name="_Currency_LA WACC Discount_1_Estudo de Viabilidade - EXP BHS" xfId="328"/>
    <cellStyle name="_Currency_LA WACC Discount_1_Estudo de Viabilidade - EXP BHS 2" xfId="1998"/>
    <cellStyle name="_Currency_LA WACC Discount_1_Estudo de Viabilidade - EXP BHS_Consolidação" xfId="329"/>
    <cellStyle name="_Currency_LA WACC Discount_1_Estudo de Viabilidade - EXP BHS_Consolidação 2" xfId="1999"/>
    <cellStyle name="_Currency_LA WACC Discount_1_FP 100" xfId="330"/>
    <cellStyle name="_Currency_LA WACC Discount_1_FP 100 2" xfId="2000"/>
    <cellStyle name="_Currency_LA WACC Discount_1_Resumo Juros e Variações" xfId="331"/>
    <cellStyle name="_Currency_LA WACC Discount_1_Resumo Juros e Variações 2" xfId="2001"/>
    <cellStyle name="_Currency_LA WACC Discount_1_Sovereign Bonds 060705" xfId="332"/>
    <cellStyle name="_Currency_LA WACC Discount_1_Sovereign Bonds 060705 (version 1)" xfId="333"/>
    <cellStyle name="_Currency_LA WACC Discount_1_Sovereign Bonds 060705 (version 1) 2" xfId="2003"/>
    <cellStyle name="_Currency_LA WACC Discount_1_Sovereign Bonds 060705 (version 1)_01 NET DCF Model" xfId="334"/>
    <cellStyle name="_Currency_LA WACC Discount_1_Sovereign Bonds 060705 (version 1)_01 NET DCF Model 2" xfId="2004"/>
    <cellStyle name="_Currency_LA WACC Discount_1_Sovereign Bonds 060705 (version 1)_01 NET DCF Model_Consolidação" xfId="335"/>
    <cellStyle name="_Currency_LA WACC Discount_1_Sovereign Bonds 060705 (version 1)_01 NET DCF Model_Consolidação 2" xfId="2005"/>
    <cellStyle name="_Currency_LA WACC Discount_1_Sovereign Bonds 060705 (version 1)_01 NET DCF Model_Consolidação IMOB" xfId="336"/>
    <cellStyle name="_Currency_LA WACC Discount_1_Sovereign Bonds 060705 (version 1)_01 NET DCF Model_Consolidação IMOB 2" xfId="2006"/>
    <cellStyle name="_Currency_LA WACC Discount_1_Sovereign Bonds 060705 (version 1)_01 NET DCF Model_Estudo de Viabilidade -IMOB Henri" xfId="337"/>
    <cellStyle name="_Currency_LA WACC Discount_1_Sovereign Bonds 060705 (version 1)_01 NET DCF Model_Estudo de Viabilidade -IMOB Henri 2" xfId="2007"/>
    <cellStyle name="_Currency_LA WACC Discount_1_Sovereign Bonds 060705 (version 1)_01 NET DCF Model_FP 100" xfId="338"/>
    <cellStyle name="_Currency_LA WACC Discount_1_Sovereign Bonds 060705 (version 1)_01 NET DCF Model_FP 100 2" xfId="2008"/>
    <cellStyle name="_Currency_LA WACC Discount_1_Sovereign Bonds 060705 (version 1)_01 NET DCF Model_Península" xfId="339"/>
    <cellStyle name="_Currency_LA WACC Discount_1_Sovereign Bonds 060705 (version 1)_01 NET DCF Model_Península 2" xfId="2009"/>
    <cellStyle name="_Currency_LA WACC Discount_1_Sovereign Bonds 060705 (version 1)_01 NET DCF Model_Peninsula_0510" xfId="340"/>
    <cellStyle name="_Currency_LA WACC Discount_1_Sovereign Bonds 060705 (version 1)_01 NET DCF Model_Peninsula_0510 2" xfId="2010"/>
    <cellStyle name="_Currency_LA WACC Discount_1_Sovereign Bonds 060705 (version 1)_01 NET DCF Model_Resumo Juros e Variações" xfId="341"/>
    <cellStyle name="_Currency_LA WACC Discount_1_Sovereign Bonds 060705 (version 1)_01 NET DCF Model_Resumo Juros e Variações 2" xfId="2011"/>
    <cellStyle name="_Currency_LA WACC Discount_1_Sovereign Bonds 060705 (version 1)_03 Embratel DCF Model_Loscos" xfId="342"/>
    <cellStyle name="_Currency_LA WACC Discount_1_Sovereign Bonds 060705 (version 1)_03 Embratel DCF Model_Loscos 2" xfId="2012"/>
    <cellStyle name="_Currency_LA WACC Discount_1_Sovereign Bonds 060705 (version 1)_05 NET DCF Model" xfId="343"/>
    <cellStyle name="_Currency_LA WACC Discount_1_Sovereign Bonds 060705 (version 1)_05 NET DCF Model 2" xfId="2013"/>
    <cellStyle name="_Currency_LA WACC Discount_1_Sovereign Bonds 060705 (version 1)_05 NET DCF Model_Consolidação" xfId="344"/>
    <cellStyle name="_Currency_LA WACC Discount_1_Sovereign Bonds 060705 (version 1)_05 NET DCF Model_Consolidação 2" xfId="2014"/>
    <cellStyle name="_Currency_LA WACC Discount_1_Sovereign Bonds 060705 (version 1)_05 NET DCF Model_Consolidação IMOB" xfId="345"/>
    <cellStyle name="_Currency_LA WACC Discount_1_Sovereign Bonds 060705 (version 1)_05 NET DCF Model_Consolidação IMOB 2" xfId="2015"/>
    <cellStyle name="_Currency_LA WACC Discount_1_Sovereign Bonds 060705 (version 1)_05 NET DCF Model_Estudo de Viabilidade -IMOB Henri" xfId="346"/>
    <cellStyle name="_Currency_LA WACC Discount_1_Sovereign Bonds 060705 (version 1)_05 NET DCF Model_Estudo de Viabilidade -IMOB Henri 2" xfId="2016"/>
    <cellStyle name="_Currency_LA WACC Discount_1_Sovereign Bonds 060705 (version 1)_05 NET DCF Model_FP 100" xfId="347"/>
    <cellStyle name="_Currency_LA WACC Discount_1_Sovereign Bonds 060705 (version 1)_05 NET DCF Model_FP 100 2" xfId="2017"/>
    <cellStyle name="_Currency_LA WACC Discount_1_Sovereign Bonds 060705 (version 1)_05 NET DCF Model_Península" xfId="348"/>
    <cellStyle name="_Currency_LA WACC Discount_1_Sovereign Bonds 060705 (version 1)_05 NET DCF Model_Península 2" xfId="2018"/>
    <cellStyle name="_Currency_LA WACC Discount_1_Sovereign Bonds 060705 (version 1)_05 NET DCF Model_Peninsula_0510" xfId="349"/>
    <cellStyle name="_Currency_LA WACC Discount_1_Sovereign Bonds 060705 (version 1)_05 NET DCF Model_Peninsula_0510 2" xfId="2019"/>
    <cellStyle name="_Currency_LA WACC Discount_1_Sovereign Bonds 060705 (version 1)_05 NET DCF Model_Resumo Juros e Variações" xfId="350"/>
    <cellStyle name="_Currency_LA WACC Discount_1_Sovereign Bonds 060705 (version 1)_05 NET DCF Model_Resumo Juros e Variações 2" xfId="2020"/>
    <cellStyle name="_Currency_LA WACC Discount_1_Sovereign Bonds 060705 (version 1)_05 TMX Brazil DCF Model" xfId="351"/>
    <cellStyle name="_Currency_LA WACC Discount_1_Sovereign Bonds 060705 (version 1)_05 TMX Brazil DCF Model 2" xfId="2021"/>
    <cellStyle name="_Currency_LA WACC Discount_1_Sovereign Bonds 060705 (version 1)_05 TMX Brazil DCF Model_Consolidação" xfId="352"/>
    <cellStyle name="_Currency_LA WACC Discount_1_Sovereign Bonds 060705 (version 1)_05 TMX Brazil DCF Model_Consolidação 2" xfId="2022"/>
    <cellStyle name="_Currency_LA WACC Discount_1_Sovereign Bonds 060705 (version 1)_05 TMX Brazil DCF Model_Consolidação IMOB" xfId="353"/>
    <cellStyle name="_Currency_LA WACC Discount_1_Sovereign Bonds 060705 (version 1)_05 TMX Brazil DCF Model_Consolidação IMOB 2" xfId="2023"/>
    <cellStyle name="_Currency_LA WACC Discount_1_Sovereign Bonds 060705 (version 1)_05 TMX Brazil DCF Model_Estudo de Viabilidade -IMOB Henri" xfId="354"/>
    <cellStyle name="_Currency_LA WACC Discount_1_Sovereign Bonds 060705 (version 1)_05 TMX Brazil DCF Model_Estudo de Viabilidade -IMOB Henri 2" xfId="2024"/>
    <cellStyle name="_Currency_LA WACC Discount_1_Sovereign Bonds 060705 (version 1)_05 TMX Brazil DCF Model_FP 100" xfId="355"/>
    <cellStyle name="_Currency_LA WACC Discount_1_Sovereign Bonds 060705 (version 1)_05 TMX Brazil DCF Model_FP 100 2" xfId="2025"/>
    <cellStyle name="_Currency_LA WACC Discount_1_Sovereign Bonds 060705 (version 1)_05 TMX Brazil DCF Model_Península" xfId="356"/>
    <cellStyle name="_Currency_LA WACC Discount_1_Sovereign Bonds 060705 (version 1)_05 TMX Brazil DCF Model_Península 2" xfId="2026"/>
    <cellStyle name="_Currency_LA WACC Discount_1_Sovereign Bonds 060705 (version 1)_05 TMX Brazil DCF Model_Peninsula_0510" xfId="357"/>
    <cellStyle name="_Currency_LA WACC Discount_1_Sovereign Bonds 060705 (version 1)_05 TMX Brazil DCF Model_Peninsula_0510 2" xfId="2027"/>
    <cellStyle name="_Currency_LA WACC Discount_1_Sovereign Bonds 060705 (version 1)_05 TMX Brazil DCF Model_Resumo Juros e Variações" xfId="358"/>
    <cellStyle name="_Currency_LA WACC Discount_1_Sovereign Bonds 060705 (version 1)_05 TMX Brazil DCF Model_Resumo Juros e Variações 2" xfId="2028"/>
    <cellStyle name="_Currency_LA WACC Discount_1_Sovereign Bonds 060705 2" xfId="2002"/>
    <cellStyle name="_Currency_LA WACC Discount_1_Sovereign Bonds 060705 3" xfId="2816"/>
    <cellStyle name="_Currency_LA WACC Discount_1_Sovereign Bonds 060705_01 NET DCF Model" xfId="359"/>
    <cellStyle name="_Currency_LA WACC Discount_1_Sovereign Bonds 060705_01 NET DCF Model 2" xfId="2029"/>
    <cellStyle name="_Currency_LA WACC Discount_1_Sovereign Bonds 060705_01 NET DCF Model_Consolidação" xfId="360"/>
    <cellStyle name="_Currency_LA WACC Discount_1_Sovereign Bonds 060705_01 NET DCF Model_Consolidação 2" xfId="2030"/>
    <cellStyle name="_Currency_LA WACC Discount_1_Sovereign Bonds 060705_01 NET DCF Model_Consolidação IMOB" xfId="361"/>
    <cellStyle name="_Currency_LA WACC Discount_1_Sovereign Bonds 060705_01 NET DCF Model_Consolidação IMOB 2" xfId="2031"/>
    <cellStyle name="_Currency_LA WACC Discount_1_Sovereign Bonds 060705_01 NET DCF Model_Estudo de Viabilidade -IMOB Henri" xfId="362"/>
    <cellStyle name="_Currency_LA WACC Discount_1_Sovereign Bonds 060705_01 NET DCF Model_Estudo de Viabilidade -IMOB Henri 2" xfId="2032"/>
    <cellStyle name="_Currency_LA WACC Discount_1_Sovereign Bonds 060705_01 NET DCF Model_FP 100" xfId="363"/>
    <cellStyle name="_Currency_LA WACC Discount_1_Sovereign Bonds 060705_01 NET DCF Model_FP 100 2" xfId="2033"/>
    <cellStyle name="_Currency_LA WACC Discount_1_Sovereign Bonds 060705_01 NET DCF Model_Península" xfId="364"/>
    <cellStyle name="_Currency_LA WACC Discount_1_Sovereign Bonds 060705_01 NET DCF Model_Península 2" xfId="2034"/>
    <cellStyle name="_Currency_LA WACC Discount_1_Sovereign Bonds 060705_01 NET DCF Model_Peninsula_0510" xfId="365"/>
    <cellStyle name="_Currency_LA WACC Discount_1_Sovereign Bonds 060705_01 NET DCF Model_Peninsula_0510 2" xfId="2035"/>
    <cellStyle name="_Currency_LA WACC Discount_1_Sovereign Bonds 060705_01 NET DCF Model_Resumo Juros e Variações" xfId="366"/>
    <cellStyle name="_Currency_LA WACC Discount_1_Sovereign Bonds 060705_01 NET DCF Model_Resumo Juros e Variações 2" xfId="2036"/>
    <cellStyle name="_Currency_LA WACC Discount_1_Sovereign Bonds 060705_03 Embratel DCF Model_Loscos" xfId="367"/>
    <cellStyle name="_Currency_LA WACC Discount_1_Sovereign Bonds 060705_03 Embratel DCF Model_Loscos 2" xfId="2037"/>
    <cellStyle name="_Currency_LA WACC Discount_1_Sovereign Bonds 060705_05 NET DCF Model" xfId="368"/>
    <cellStyle name="_Currency_LA WACC Discount_1_Sovereign Bonds 060705_05 NET DCF Model 2" xfId="2038"/>
    <cellStyle name="_Currency_LA WACC Discount_1_Sovereign Bonds 060705_05 NET DCF Model_Consolidação" xfId="369"/>
    <cellStyle name="_Currency_LA WACC Discount_1_Sovereign Bonds 060705_05 NET DCF Model_Consolidação 2" xfId="2039"/>
    <cellStyle name="_Currency_LA WACC Discount_1_Sovereign Bonds 060705_05 NET DCF Model_Consolidação IMOB" xfId="370"/>
    <cellStyle name="_Currency_LA WACC Discount_1_Sovereign Bonds 060705_05 NET DCF Model_Consolidação IMOB 2" xfId="2040"/>
    <cellStyle name="_Currency_LA WACC Discount_1_Sovereign Bonds 060705_05 NET DCF Model_Estudo de Viabilidade -IMOB Henri" xfId="371"/>
    <cellStyle name="_Currency_LA WACC Discount_1_Sovereign Bonds 060705_05 NET DCF Model_Estudo de Viabilidade -IMOB Henri 2" xfId="2041"/>
    <cellStyle name="_Currency_LA WACC Discount_1_Sovereign Bonds 060705_05 NET DCF Model_FP 100" xfId="372"/>
    <cellStyle name="_Currency_LA WACC Discount_1_Sovereign Bonds 060705_05 NET DCF Model_FP 100 2" xfId="2042"/>
    <cellStyle name="_Currency_LA WACC Discount_1_Sovereign Bonds 060705_05 NET DCF Model_Península" xfId="373"/>
    <cellStyle name="_Currency_LA WACC Discount_1_Sovereign Bonds 060705_05 NET DCF Model_Península 2" xfId="2043"/>
    <cellStyle name="_Currency_LA WACC Discount_1_Sovereign Bonds 060705_05 NET DCF Model_Peninsula_0510" xfId="374"/>
    <cellStyle name="_Currency_LA WACC Discount_1_Sovereign Bonds 060705_05 NET DCF Model_Peninsula_0510 2" xfId="2044"/>
    <cellStyle name="_Currency_LA WACC Discount_1_Sovereign Bonds 060705_05 NET DCF Model_Resumo Juros e Variações" xfId="375"/>
    <cellStyle name="_Currency_LA WACC Discount_1_Sovereign Bonds 060705_05 NET DCF Model_Resumo Juros e Variações 2" xfId="2045"/>
    <cellStyle name="_Currency_LA WACC Discount_1_Sovereign Bonds 060705_05 TMX Brazil DCF Model" xfId="376"/>
    <cellStyle name="_Currency_LA WACC Discount_1_Sovereign Bonds 060705_05 TMX Brazil DCF Model 2" xfId="2046"/>
    <cellStyle name="_Currency_LA WACC Discount_1_Sovereign Bonds 060705_05 TMX Brazil DCF Model_Consolidação" xfId="377"/>
    <cellStyle name="_Currency_LA WACC Discount_1_Sovereign Bonds 060705_05 TMX Brazil DCF Model_Consolidação 2" xfId="2047"/>
    <cellStyle name="_Currency_LA WACC Discount_1_Sovereign Bonds 060705_05 TMX Brazil DCF Model_Consolidação IMOB" xfId="378"/>
    <cellStyle name="_Currency_LA WACC Discount_1_Sovereign Bonds 060705_05 TMX Brazil DCF Model_Consolidação IMOB 2" xfId="2048"/>
    <cellStyle name="_Currency_LA WACC Discount_1_Sovereign Bonds 060705_05 TMX Brazil DCF Model_Estudo de Viabilidade -IMOB Henri" xfId="379"/>
    <cellStyle name="_Currency_LA WACC Discount_1_Sovereign Bonds 060705_05 TMX Brazil DCF Model_Estudo de Viabilidade -IMOB Henri 2" xfId="2049"/>
    <cellStyle name="_Currency_LA WACC Discount_1_Sovereign Bonds 060705_05 TMX Brazil DCF Model_FP 100" xfId="380"/>
    <cellStyle name="_Currency_LA WACC Discount_1_Sovereign Bonds 060705_05 TMX Brazil DCF Model_FP 100 2" xfId="2050"/>
    <cellStyle name="_Currency_LA WACC Discount_1_Sovereign Bonds 060705_05 TMX Brazil DCF Model_Península" xfId="381"/>
    <cellStyle name="_Currency_LA WACC Discount_1_Sovereign Bonds 060705_05 TMX Brazil DCF Model_Península 2" xfId="2051"/>
    <cellStyle name="_Currency_LA WACC Discount_1_Sovereign Bonds 060705_05 TMX Brazil DCF Model_Peninsula_0510" xfId="382"/>
    <cellStyle name="_Currency_LA WACC Discount_1_Sovereign Bonds 060705_05 TMX Brazil DCF Model_Peninsula_0510 2" xfId="2052"/>
    <cellStyle name="_Currency_LA WACC Discount_1_Sovereign Bonds 060705_05 TMX Brazil DCF Model_Resumo Juros e Variações" xfId="383"/>
    <cellStyle name="_Currency_LA WACC Discount_1_Sovereign Bonds 060705_05 TMX Brazil DCF Model_Resumo Juros e Variações 2" xfId="2053"/>
    <cellStyle name="_Currency_Net Management Projections_2" xfId="384"/>
    <cellStyle name="_Currency_Net Management Projections_2 2" xfId="2054"/>
    <cellStyle name="_Currency_Net Management Projections_2_Consolidação" xfId="385"/>
    <cellStyle name="_Currency_Net Management Projections_2_Consolidação 2" xfId="2055"/>
    <cellStyle name="_Currency_Net Management Projections_2_Consolidação IMOB" xfId="386"/>
    <cellStyle name="_Currency_Net Management Projections_2_Consolidação IMOB 2" xfId="2056"/>
    <cellStyle name="_Currency_Net Management Projections_2_Estudo de Viabilidade -IMOB Henri" xfId="387"/>
    <cellStyle name="_Currency_Net Management Projections_2_Estudo de Viabilidade -IMOB Henri 2" xfId="2057"/>
    <cellStyle name="_Currency_Net Management Projections_2_FP 100" xfId="388"/>
    <cellStyle name="_Currency_Net Management Projections_2_FP 100 2" xfId="2058"/>
    <cellStyle name="_Currency_Net Management Projections_2_Península" xfId="389"/>
    <cellStyle name="_Currency_Net Management Projections_2_Península 2" xfId="2059"/>
    <cellStyle name="_Currency_Net Management Projections_2_Peninsula_0510" xfId="390"/>
    <cellStyle name="_Currency_Net Management Projections_2_Peninsula_0510 2" xfId="2060"/>
    <cellStyle name="_Currency_Net Management Projections_2_Resumo Juros e Variações" xfId="391"/>
    <cellStyle name="_Currency_Net Management Projections_2_Resumo Juros e Variações 2" xfId="2061"/>
    <cellStyle name="_Currency_Oil &amp; Gas betas" xfId="392"/>
    <cellStyle name="_Currency_Oil &amp; Gas betas 2" xfId="2062"/>
    <cellStyle name="_Currency_Oil &amp; Gas betas_Consolidação" xfId="393"/>
    <cellStyle name="_Currency_Oil &amp; Gas betas_Consolidação 2" xfId="2063"/>
    <cellStyle name="_Currency_Oil &amp; Gas betas_Consolidação IMOB" xfId="394"/>
    <cellStyle name="_Currency_Oil &amp; Gas betas_Consolidação IMOB 2" xfId="2064"/>
    <cellStyle name="_Currency_Oil &amp; Gas betas_Estudo de Viabilidade -IMOB Henri" xfId="395"/>
    <cellStyle name="_Currency_Oil &amp; Gas betas_Estudo de Viabilidade -IMOB Henri 2" xfId="2065"/>
    <cellStyle name="_Currency_Oil &amp; Gas betas_FP 100" xfId="396"/>
    <cellStyle name="_Currency_Oil &amp; Gas betas_FP 100 2" xfId="2066"/>
    <cellStyle name="_Currency_Oil &amp; Gas betas_Península" xfId="397"/>
    <cellStyle name="_Currency_Oil &amp; Gas betas_Península 2" xfId="2067"/>
    <cellStyle name="_Currency_Oil &amp; Gas betas_Peninsula_0510" xfId="398"/>
    <cellStyle name="_Currency_Oil &amp; Gas betas_Peninsula_0510 2" xfId="2068"/>
    <cellStyle name="_Currency_Oil &amp; Gas betas_Resumo Juros e Variações" xfId="399"/>
    <cellStyle name="_Currency_Oil &amp; Gas betas_Resumo Juros e Variações 2" xfId="2069"/>
    <cellStyle name="_Currency_Pay TV Subscribers" xfId="400"/>
    <cellStyle name="_Currency_Pay TV Subscribers 2" xfId="2070"/>
    <cellStyle name="_Currency_Pay TV Subscribers_Consolidação" xfId="401"/>
    <cellStyle name="_Currency_Pay TV Subscribers_Consolidação 2" xfId="2071"/>
    <cellStyle name="_Currency_Pay TV Subscribers_Consolidação IMOB" xfId="402"/>
    <cellStyle name="_Currency_Pay TV Subscribers_Consolidação IMOB 2" xfId="2072"/>
    <cellStyle name="_Currency_Pay TV Subscribers_Estudo de Viabilidade -IMOB Henri" xfId="403"/>
    <cellStyle name="_Currency_Pay TV Subscribers_Estudo de Viabilidade -IMOB Henri 2" xfId="2073"/>
    <cellStyle name="_Currency_Pay TV Subscribers_FP 100" xfId="404"/>
    <cellStyle name="_Currency_Pay TV Subscribers_FP 100 2" xfId="2074"/>
    <cellStyle name="_Currency_Pay TV Subscribers_Península" xfId="405"/>
    <cellStyle name="_Currency_Pay TV Subscribers_Península 2" xfId="2075"/>
    <cellStyle name="_Currency_Pay TV Subscribers_Peninsula_0510" xfId="406"/>
    <cellStyle name="_Currency_Pay TV Subscribers_Peninsula_0510 2" xfId="2076"/>
    <cellStyle name="_Currency_Pay TV Subscribers_Resumo Juros e Variações" xfId="407"/>
    <cellStyle name="_Currency_Pay TV Subscribers_Resumo Juros e Variações 2" xfId="2077"/>
    <cellStyle name="_Currency_Península" xfId="408"/>
    <cellStyle name="_Currency_Península 2" xfId="2078"/>
    <cellStyle name="_Currency_Peninsula_0510" xfId="409"/>
    <cellStyle name="_Currency_Peninsula_0510 2" xfId="2079"/>
    <cellStyle name="_Currency_Resumo Juros e Variações" xfId="410"/>
    <cellStyle name="_Currency_Resumo Juros e Variações 2" xfId="2080"/>
    <cellStyle name="_Currency_Revenue Mix Chart" xfId="411"/>
    <cellStyle name="_Currency_Revenue Mix Chart 2" xfId="2081"/>
    <cellStyle name="_Currency_Revenue Mix Chart_Consolidação" xfId="412"/>
    <cellStyle name="_Currency_Revenue Mix Chart_Consolidação 2" xfId="2082"/>
    <cellStyle name="_Currency_Revenue Mix Chart_Consolidação IMOB" xfId="413"/>
    <cellStyle name="_Currency_Revenue Mix Chart_Consolidação IMOB 2" xfId="2083"/>
    <cellStyle name="_Currency_Revenue Mix Chart_Estudo de Viabilidade -IMOB Henri" xfId="414"/>
    <cellStyle name="_Currency_Revenue Mix Chart_Estudo de Viabilidade -IMOB Henri 2" xfId="2084"/>
    <cellStyle name="_Currency_Revenue Mix Chart_FP 100" xfId="415"/>
    <cellStyle name="_Currency_Revenue Mix Chart_FP 100 2" xfId="2085"/>
    <cellStyle name="_Currency_Revenue Mix Chart_Península" xfId="416"/>
    <cellStyle name="_Currency_Revenue Mix Chart_Península 2" xfId="2086"/>
    <cellStyle name="_Currency_Revenue Mix Chart_Peninsula_0510" xfId="417"/>
    <cellStyle name="_Currency_Revenue Mix Chart_Peninsula_0510 2" xfId="2087"/>
    <cellStyle name="_Currency_Revenue Mix Chart_Resumo Juros e Variações" xfId="418"/>
    <cellStyle name="_Currency_Revenue Mix Chart_Resumo Juros e Variações 2" xfId="2088"/>
    <cellStyle name="_Currency_Sovereign Bonds 060705" xfId="419"/>
    <cellStyle name="_Currency_Sovereign Bonds 060705 (version 1)" xfId="420"/>
    <cellStyle name="_Currency_Sovereign Bonds 060705 (version 1) 2" xfId="2090"/>
    <cellStyle name="_Currency_Sovereign Bonds 060705 (version 1)_Consolidação" xfId="421"/>
    <cellStyle name="_Currency_Sovereign Bonds 060705 (version 1)_Consolidação 2" xfId="2091"/>
    <cellStyle name="_Currency_Sovereign Bonds 060705 (version 1)_Consolidação IMOB" xfId="422"/>
    <cellStyle name="_Currency_Sovereign Bonds 060705 (version 1)_Consolidação IMOB 2" xfId="2092"/>
    <cellStyle name="_Currency_Sovereign Bonds 060705 (version 1)_Estudo de Viabilidade -IMOB Henri" xfId="423"/>
    <cellStyle name="_Currency_Sovereign Bonds 060705 (version 1)_Estudo de Viabilidade -IMOB Henri 2" xfId="2093"/>
    <cellStyle name="_Currency_Sovereign Bonds 060705 (version 1)_FP 100" xfId="424"/>
    <cellStyle name="_Currency_Sovereign Bonds 060705 (version 1)_FP 100 2" xfId="2094"/>
    <cellStyle name="_Currency_Sovereign Bonds 060705 (version 1)_Península" xfId="425"/>
    <cellStyle name="_Currency_Sovereign Bonds 060705 (version 1)_Península 2" xfId="2095"/>
    <cellStyle name="_Currency_Sovereign Bonds 060705 (version 1)_Peninsula_0510" xfId="426"/>
    <cellStyle name="_Currency_Sovereign Bonds 060705 (version 1)_Peninsula_0510 2" xfId="2096"/>
    <cellStyle name="_Currency_Sovereign Bonds 060705 (version 1)_Resumo Juros e Variações" xfId="427"/>
    <cellStyle name="_Currency_Sovereign Bonds 060705 (version 1)_Resumo Juros e Variações 2" xfId="2097"/>
    <cellStyle name="_Currency_Sovereign Bonds 060705 2" xfId="2089"/>
    <cellStyle name="_Currency_Sovereign Bonds 060705 3" xfId="2817"/>
    <cellStyle name="_Currency_Sovereign Bonds 060705_1" xfId="428"/>
    <cellStyle name="_Currency_Sovereign Bonds 060705_1 2" xfId="2098"/>
    <cellStyle name="_Currency_Sovereign Bonds 060705_1_Consolidação" xfId="429"/>
    <cellStyle name="_Currency_Sovereign Bonds 060705_1_Consolidação 2" xfId="2099"/>
    <cellStyle name="_Currency_Sovereign Bonds 060705_1_Consolidação IMOB" xfId="430"/>
    <cellStyle name="_Currency_Sovereign Bonds 060705_1_Consolidação IMOB 2" xfId="2100"/>
    <cellStyle name="_Currency_Sovereign Bonds 060705_1_Estudo de Viabilidade -IMOB Henri" xfId="431"/>
    <cellStyle name="_Currency_Sovereign Bonds 060705_1_Estudo de Viabilidade -IMOB Henri 2" xfId="2101"/>
    <cellStyle name="_Currency_Sovereign Bonds 060705_1_FP 100" xfId="432"/>
    <cellStyle name="_Currency_Sovereign Bonds 060705_1_FP 100 2" xfId="2102"/>
    <cellStyle name="_Currency_Sovereign Bonds 060705_1_Península" xfId="433"/>
    <cellStyle name="_Currency_Sovereign Bonds 060705_1_Península 2" xfId="2103"/>
    <cellStyle name="_Currency_Sovereign Bonds 060705_1_Peninsula_0510" xfId="434"/>
    <cellStyle name="_Currency_Sovereign Bonds 060705_1_Peninsula_0510 2" xfId="2104"/>
    <cellStyle name="_Currency_Sovereign Bonds 060705_1_Resumo Juros e Variações" xfId="435"/>
    <cellStyle name="_Currency_Sovereign Bonds 060705_1_Resumo Juros e Variações 2" xfId="2105"/>
    <cellStyle name="_Currency_Sovereign Bonds 060705_Consolidação" xfId="436"/>
    <cellStyle name="_Currency_Sovereign Bonds 060705_Consolidação 2" xfId="2106"/>
    <cellStyle name="_Currency_Sovereign Bonds 060705_Dados por segmento julho 06" xfId="437"/>
    <cellStyle name="_Currency_Sovereign Bonds 060705_Dados por segmento julho 06 2" xfId="2107"/>
    <cellStyle name="_Currency_Sovereign Bonds 060705_Estudo de Viabilidade - EXP BHS" xfId="438"/>
    <cellStyle name="_Currency_Sovereign Bonds 060705_Estudo de Viabilidade - EXP BHS 2" xfId="2108"/>
    <cellStyle name="_Currency_Sovereign Bonds 060705_FP 100" xfId="439"/>
    <cellStyle name="_Currency_Sovereign Bonds 060705_FP 100 2" xfId="2109"/>
    <cellStyle name="_Currency_Urca Final Model" xfId="440"/>
    <cellStyle name="_Currency_Urca Final Model 2" xfId="2110"/>
    <cellStyle name="_Currency_Urca Final Model_01_WACC Colombia_Analysis" xfId="441"/>
    <cellStyle name="_Currency_Urca Final Model_01_WACC Colombia_Analysis 2" xfId="2111"/>
    <cellStyle name="_Currency_Urca Final Model_01_WACC Colombia_Analysis_Consolidação" xfId="442"/>
    <cellStyle name="_Currency_Urca Final Model_01_WACC Colombia_Analysis_Consolidação 2" xfId="2112"/>
    <cellStyle name="_Currency_Urca Final Model_01_WACC Colombia_Analysis_Consolidação IMOB" xfId="443"/>
    <cellStyle name="_Currency_Urca Final Model_01_WACC Colombia_Analysis_Consolidação IMOB 2" xfId="2113"/>
    <cellStyle name="_Currency_Urca Final Model_01_WACC Colombia_Analysis_Estudo de Viabilidade -IMOB Henri" xfId="444"/>
    <cellStyle name="_Currency_Urca Final Model_01_WACC Colombia_Analysis_Estudo de Viabilidade -IMOB Henri 2" xfId="2114"/>
    <cellStyle name="_Currency_Urca Final Model_01_WACC Colombia_Analysis_FP 100" xfId="445"/>
    <cellStyle name="_Currency_Urca Final Model_01_WACC Colombia_Analysis_FP 100 2" xfId="2115"/>
    <cellStyle name="_Currency_Urca Final Model_01_WACC Colombia_Analysis_Península" xfId="446"/>
    <cellStyle name="_Currency_Urca Final Model_01_WACC Colombia_Analysis_Península 2" xfId="2116"/>
    <cellStyle name="_Currency_Urca Final Model_01_WACC Colombia_Analysis_Peninsula_0510" xfId="447"/>
    <cellStyle name="_Currency_Urca Final Model_01_WACC Colombia_Analysis_Peninsula_0510 2" xfId="2117"/>
    <cellStyle name="_Currency_Urca Final Model_01_WACC Colombia_Analysis_Resumo Juros e Variações" xfId="448"/>
    <cellStyle name="_Currency_Urca Final Model_01_WACC Colombia_Analysis_Resumo Juros e Variações 2" xfId="2118"/>
    <cellStyle name="_Currency_Urca Final Model_04 WACC Vivax" xfId="449"/>
    <cellStyle name="_Currency_Urca Final Model_04 WACC Vivax 2" xfId="2119"/>
    <cellStyle name="_Currency_Urca Final Model_04 WACC Vivax_Consolidação" xfId="450"/>
    <cellStyle name="_Currency_Urca Final Model_04 WACC Vivax_Consolidação 2" xfId="2120"/>
    <cellStyle name="_Currency_Urca Final Model_04 WACC Vivax_Consolidação IMOB" xfId="451"/>
    <cellStyle name="_Currency_Urca Final Model_04 WACC Vivax_Consolidação IMOB 2" xfId="2121"/>
    <cellStyle name="_Currency_Urca Final Model_04 WACC Vivax_Estudo de Viabilidade -IMOB Henri" xfId="452"/>
    <cellStyle name="_Currency_Urca Final Model_04 WACC Vivax_Estudo de Viabilidade -IMOB Henri 2" xfId="2122"/>
    <cellStyle name="_Currency_Urca Final Model_04 WACC Vivax_FP 100" xfId="453"/>
    <cellStyle name="_Currency_Urca Final Model_04 WACC Vivax_FP 100 2" xfId="2123"/>
    <cellStyle name="_Currency_Urca Final Model_04 WACC Vivax_Península" xfId="454"/>
    <cellStyle name="_Currency_Urca Final Model_04 WACC Vivax_Península 2" xfId="2124"/>
    <cellStyle name="_Currency_Urca Final Model_04 WACC Vivax_Peninsula_0510" xfId="455"/>
    <cellStyle name="_Currency_Urca Final Model_04 WACC Vivax_Peninsula_0510 2" xfId="2125"/>
    <cellStyle name="_Currency_Urca Final Model_04 WACC Vivax_Resumo Juros e Variações" xfId="456"/>
    <cellStyle name="_Currency_Urca Final Model_04 WACC Vivax_Resumo Juros e Variações 2" xfId="2126"/>
    <cellStyle name="_Currency_Urca Final Model_Consolidação" xfId="457"/>
    <cellStyle name="_Currency_Urca Final Model_Consolidação 2" xfId="2127"/>
    <cellStyle name="_Currency_Urca Final Model_Consolidação IMOB" xfId="458"/>
    <cellStyle name="_Currency_Urca Final Model_Consolidação IMOB 2" xfId="2128"/>
    <cellStyle name="_Currency_Urca Final Model_Dados por segmento julho 06" xfId="459"/>
    <cellStyle name="_Currency_Urca Final Model_Dados por segmento julho 06 2" xfId="2129"/>
    <cellStyle name="_Currency_Urca Final Model_Estudo de Viabilidade - EXP BHS" xfId="460"/>
    <cellStyle name="_Currency_Urca Final Model_Estudo de Viabilidade - EXP BHS 2" xfId="2130"/>
    <cellStyle name="_Currency_Urca Final Model_Estudo de Viabilidade - EXP BHS_Consolidação" xfId="461"/>
    <cellStyle name="_Currency_Urca Final Model_Estudo de Viabilidade - EXP BHS_Consolidação 2" xfId="2131"/>
    <cellStyle name="_Currency_Urca Final Model_FP 100" xfId="462"/>
    <cellStyle name="_Currency_Urca Final Model_FP 100 2" xfId="2132"/>
    <cellStyle name="_Currency_Urca Final Model_Resumo Juros e Variações" xfId="463"/>
    <cellStyle name="_Currency_Urca Final Model_Resumo Juros e Variações 2" xfId="2133"/>
    <cellStyle name="_Currency_Urca Final Model_Sovereign Bonds 060705" xfId="464"/>
    <cellStyle name="_Currency_Urca Final Model_Sovereign Bonds 060705 (version 1)" xfId="465"/>
    <cellStyle name="_Currency_Urca Final Model_Sovereign Bonds 060705 (version 1) 2" xfId="2135"/>
    <cellStyle name="_Currency_Urca Final Model_Sovereign Bonds 060705 (version 1)_01 NET DCF Model" xfId="466"/>
    <cellStyle name="_Currency_Urca Final Model_Sovereign Bonds 060705 (version 1)_01 NET DCF Model 2" xfId="2136"/>
    <cellStyle name="_Currency_Urca Final Model_Sovereign Bonds 060705 (version 1)_01 NET DCF Model_Consolidação" xfId="467"/>
    <cellStyle name="_Currency_Urca Final Model_Sovereign Bonds 060705 (version 1)_01 NET DCF Model_Consolidação 2" xfId="2137"/>
    <cellStyle name="_Currency_Urca Final Model_Sovereign Bonds 060705 (version 1)_01 NET DCF Model_Consolidação IMOB" xfId="468"/>
    <cellStyle name="_Currency_Urca Final Model_Sovereign Bonds 060705 (version 1)_01 NET DCF Model_Consolidação IMOB 2" xfId="2138"/>
    <cellStyle name="_Currency_Urca Final Model_Sovereign Bonds 060705 (version 1)_01 NET DCF Model_Estudo de Viabilidade -IMOB Henri" xfId="469"/>
    <cellStyle name="_Currency_Urca Final Model_Sovereign Bonds 060705 (version 1)_01 NET DCF Model_Estudo de Viabilidade -IMOB Henri 2" xfId="2139"/>
    <cellStyle name="_Currency_Urca Final Model_Sovereign Bonds 060705 (version 1)_01 NET DCF Model_FP 100" xfId="470"/>
    <cellStyle name="_Currency_Urca Final Model_Sovereign Bonds 060705 (version 1)_01 NET DCF Model_FP 100 2" xfId="2140"/>
    <cellStyle name="_Currency_Urca Final Model_Sovereign Bonds 060705 (version 1)_01 NET DCF Model_Península" xfId="471"/>
    <cellStyle name="_Currency_Urca Final Model_Sovereign Bonds 060705 (version 1)_01 NET DCF Model_Península 2" xfId="2141"/>
    <cellStyle name="_Currency_Urca Final Model_Sovereign Bonds 060705 (version 1)_01 NET DCF Model_Peninsula_0510" xfId="472"/>
    <cellStyle name="_Currency_Urca Final Model_Sovereign Bonds 060705 (version 1)_01 NET DCF Model_Peninsula_0510 2" xfId="2142"/>
    <cellStyle name="_Currency_Urca Final Model_Sovereign Bonds 060705 (version 1)_01 NET DCF Model_Resumo Juros e Variações" xfId="473"/>
    <cellStyle name="_Currency_Urca Final Model_Sovereign Bonds 060705 (version 1)_01 NET DCF Model_Resumo Juros e Variações 2" xfId="2143"/>
    <cellStyle name="_Currency_Urca Final Model_Sovereign Bonds 060705 (version 1)_03 Embratel DCF Model_Loscos" xfId="474"/>
    <cellStyle name="_Currency_Urca Final Model_Sovereign Bonds 060705 (version 1)_03 Embratel DCF Model_Loscos 2" xfId="2144"/>
    <cellStyle name="_Currency_Urca Final Model_Sovereign Bonds 060705 (version 1)_05 NET DCF Model" xfId="475"/>
    <cellStyle name="_Currency_Urca Final Model_Sovereign Bonds 060705 (version 1)_05 NET DCF Model 2" xfId="2145"/>
    <cellStyle name="_Currency_Urca Final Model_Sovereign Bonds 060705 (version 1)_05 NET DCF Model_Consolidação" xfId="476"/>
    <cellStyle name="_Currency_Urca Final Model_Sovereign Bonds 060705 (version 1)_05 NET DCF Model_Consolidação 2" xfId="2146"/>
    <cellStyle name="_Currency_Urca Final Model_Sovereign Bonds 060705 (version 1)_05 NET DCF Model_Consolidação IMOB" xfId="477"/>
    <cellStyle name="_Currency_Urca Final Model_Sovereign Bonds 060705 (version 1)_05 NET DCF Model_Consolidação IMOB 2" xfId="2147"/>
    <cellStyle name="_Currency_Urca Final Model_Sovereign Bonds 060705 (version 1)_05 NET DCF Model_Estudo de Viabilidade -IMOB Henri" xfId="478"/>
    <cellStyle name="_Currency_Urca Final Model_Sovereign Bonds 060705 (version 1)_05 NET DCF Model_Estudo de Viabilidade -IMOB Henri 2" xfId="2148"/>
    <cellStyle name="_Currency_Urca Final Model_Sovereign Bonds 060705 (version 1)_05 NET DCF Model_FP 100" xfId="479"/>
    <cellStyle name="_Currency_Urca Final Model_Sovereign Bonds 060705 (version 1)_05 NET DCF Model_FP 100 2" xfId="2149"/>
    <cellStyle name="_Currency_Urca Final Model_Sovereign Bonds 060705 (version 1)_05 NET DCF Model_Península" xfId="480"/>
    <cellStyle name="_Currency_Urca Final Model_Sovereign Bonds 060705 (version 1)_05 NET DCF Model_Península 2" xfId="2150"/>
    <cellStyle name="_Currency_Urca Final Model_Sovereign Bonds 060705 (version 1)_05 NET DCF Model_Peninsula_0510" xfId="481"/>
    <cellStyle name="_Currency_Urca Final Model_Sovereign Bonds 060705 (version 1)_05 NET DCF Model_Peninsula_0510 2" xfId="2151"/>
    <cellStyle name="_Currency_Urca Final Model_Sovereign Bonds 060705 (version 1)_05 NET DCF Model_Resumo Juros e Variações" xfId="482"/>
    <cellStyle name="_Currency_Urca Final Model_Sovereign Bonds 060705 (version 1)_05 NET DCF Model_Resumo Juros e Variações 2" xfId="2152"/>
    <cellStyle name="_Currency_Urca Final Model_Sovereign Bonds 060705 (version 1)_05 TMX Brazil DCF Model" xfId="483"/>
    <cellStyle name="_Currency_Urca Final Model_Sovereign Bonds 060705 (version 1)_05 TMX Brazil DCF Model 2" xfId="2153"/>
    <cellStyle name="_Currency_Urca Final Model_Sovereign Bonds 060705 (version 1)_05 TMX Brazil DCF Model_Consolidação" xfId="484"/>
    <cellStyle name="_Currency_Urca Final Model_Sovereign Bonds 060705 (version 1)_05 TMX Brazil DCF Model_Consolidação 2" xfId="2154"/>
    <cellStyle name="_Currency_Urca Final Model_Sovereign Bonds 060705 (version 1)_05 TMX Brazil DCF Model_Consolidação IMOB" xfId="485"/>
    <cellStyle name="_Currency_Urca Final Model_Sovereign Bonds 060705 (version 1)_05 TMX Brazil DCF Model_Consolidação IMOB 2" xfId="2155"/>
    <cellStyle name="_Currency_Urca Final Model_Sovereign Bonds 060705 (version 1)_05 TMX Brazil DCF Model_Estudo de Viabilidade -IMOB Henri" xfId="486"/>
    <cellStyle name="_Currency_Urca Final Model_Sovereign Bonds 060705 (version 1)_05 TMX Brazil DCF Model_Estudo de Viabilidade -IMOB Henri 2" xfId="2156"/>
    <cellStyle name="_Currency_Urca Final Model_Sovereign Bonds 060705 (version 1)_05 TMX Brazil DCF Model_FP 100" xfId="487"/>
    <cellStyle name="_Currency_Urca Final Model_Sovereign Bonds 060705 (version 1)_05 TMX Brazil DCF Model_FP 100 2" xfId="2157"/>
    <cellStyle name="_Currency_Urca Final Model_Sovereign Bonds 060705 (version 1)_05 TMX Brazil DCF Model_Península" xfId="488"/>
    <cellStyle name="_Currency_Urca Final Model_Sovereign Bonds 060705 (version 1)_05 TMX Brazil DCF Model_Península 2" xfId="2158"/>
    <cellStyle name="_Currency_Urca Final Model_Sovereign Bonds 060705 (version 1)_05 TMX Brazil DCF Model_Peninsula_0510" xfId="489"/>
    <cellStyle name="_Currency_Urca Final Model_Sovereign Bonds 060705 (version 1)_05 TMX Brazil DCF Model_Peninsula_0510 2" xfId="2159"/>
    <cellStyle name="_Currency_Urca Final Model_Sovereign Bonds 060705 (version 1)_05 TMX Brazil DCF Model_Resumo Juros e Variações" xfId="490"/>
    <cellStyle name="_Currency_Urca Final Model_Sovereign Bonds 060705 (version 1)_05 TMX Brazil DCF Model_Resumo Juros e Variações 2" xfId="2160"/>
    <cellStyle name="_Currency_Urca Final Model_Sovereign Bonds 060705 2" xfId="2134"/>
    <cellStyle name="_Currency_Urca Final Model_Sovereign Bonds 060705 3" xfId="2818"/>
    <cellStyle name="_Currency_Urca Final Model_Sovereign Bonds 060705_01 NET DCF Model" xfId="491"/>
    <cellStyle name="_Currency_Urca Final Model_Sovereign Bonds 060705_01 NET DCF Model 2" xfId="2161"/>
    <cellStyle name="_Currency_Urca Final Model_Sovereign Bonds 060705_01 NET DCF Model_Consolidação" xfId="492"/>
    <cellStyle name="_Currency_Urca Final Model_Sovereign Bonds 060705_01 NET DCF Model_Consolidação 2" xfId="2162"/>
    <cellStyle name="_Currency_Urca Final Model_Sovereign Bonds 060705_01 NET DCF Model_Consolidação IMOB" xfId="493"/>
    <cellStyle name="_Currency_Urca Final Model_Sovereign Bonds 060705_01 NET DCF Model_Consolidação IMOB 2" xfId="2163"/>
    <cellStyle name="_Currency_Urca Final Model_Sovereign Bonds 060705_01 NET DCF Model_Estudo de Viabilidade -IMOB Henri" xfId="494"/>
    <cellStyle name="_Currency_Urca Final Model_Sovereign Bonds 060705_01 NET DCF Model_Estudo de Viabilidade -IMOB Henri 2" xfId="2164"/>
    <cellStyle name="_Currency_Urca Final Model_Sovereign Bonds 060705_01 NET DCF Model_FP 100" xfId="495"/>
    <cellStyle name="_Currency_Urca Final Model_Sovereign Bonds 060705_01 NET DCF Model_FP 100 2" xfId="2165"/>
    <cellStyle name="_Currency_Urca Final Model_Sovereign Bonds 060705_01 NET DCF Model_Península" xfId="496"/>
    <cellStyle name="_Currency_Urca Final Model_Sovereign Bonds 060705_01 NET DCF Model_Península 2" xfId="2166"/>
    <cellStyle name="_Currency_Urca Final Model_Sovereign Bonds 060705_01 NET DCF Model_Peninsula_0510" xfId="497"/>
    <cellStyle name="_Currency_Urca Final Model_Sovereign Bonds 060705_01 NET DCF Model_Peninsula_0510 2" xfId="2167"/>
    <cellStyle name="_Currency_Urca Final Model_Sovereign Bonds 060705_01 NET DCF Model_Resumo Juros e Variações" xfId="498"/>
    <cellStyle name="_Currency_Urca Final Model_Sovereign Bonds 060705_01 NET DCF Model_Resumo Juros e Variações 2" xfId="2168"/>
    <cellStyle name="_Currency_Urca Final Model_Sovereign Bonds 060705_03 Embratel DCF Model_Loscos" xfId="499"/>
    <cellStyle name="_Currency_Urca Final Model_Sovereign Bonds 060705_03 Embratel DCF Model_Loscos 2" xfId="2169"/>
    <cellStyle name="_Currency_Urca Final Model_Sovereign Bonds 060705_05 NET DCF Model" xfId="500"/>
    <cellStyle name="_Currency_Urca Final Model_Sovereign Bonds 060705_05 NET DCF Model 2" xfId="2170"/>
    <cellStyle name="_Currency_Urca Final Model_Sovereign Bonds 060705_05 NET DCF Model_Consolidação" xfId="501"/>
    <cellStyle name="_Currency_Urca Final Model_Sovereign Bonds 060705_05 NET DCF Model_Consolidação 2" xfId="2171"/>
    <cellStyle name="_Currency_Urca Final Model_Sovereign Bonds 060705_05 NET DCF Model_Consolidação IMOB" xfId="502"/>
    <cellStyle name="_Currency_Urca Final Model_Sovereign Bonds 060705_05 NET DCF Model_Consolidação IMOB 2" xfId="2172"/>
    <cellStyle name="_Currency_Urca Final Model_Sovereign Bonds 060705_05 NET DCF Model_Estudo de Viabilidade -IMOB Henri" xfId="503"/>
    <cellStyle name="_Currency_Urca Final Model_Sovereign Bonds 060705_05 NET DCF Model_Estudo de Viabilidade -IMOB Henri 2" xfId="2173"/>
    <cellStyle name="_Currency_Urca Final Model_Sovereign Bonds 060705_05 NET DCF Model_FP 100" xfId="504"/>
    <cellStyle name="_Currency_Urca Final Model_Sovereign Bonds 060705_05 NET DCF Model_FP 100 2" xfId="2174"/>
    <cellStyle name="_Currency_Urca Final Model_Sovereign Bonds 060705_05 NET DCF Model_Península" xfId="505"/>
    <cellStyle name="_Currency_Urca Final Model_Sovereign Bonds 060705_05 NET DCF Model_Península 2" xfId="2175"/>
    <cellStyle name="_Currency_Urca Final Model_Sovereign Bonds 060705_05 NET DCF Model_Peninsula_0510" xfId="506"/>
    <cellStyle name="_Currency_Urca Final Model_Sovereign Bonds 060705_05 NET DCF Model_Peninsula_0510 2" xfId="2176"/>
    <cellStyle name="_Currency_Urca Final Model_Sovereign Bonds 060705_05 NET DCF Model_Resumo Juros e Variações" xfId="507"/>
    <cellStyle name="_Currency_Urca Final Model_Sovereign Bonds 060705_05 NET DCF Model_Resumo Juros e Variações 2" xfId="2177"/>
    <cellStyle name="_Currency_Urca Final Model_Sovereign Bonds 060705_05 TMX Brazil DCF Model" xfId="508"/>
    <cellStyle name="_Currency_Urca Final Model_Sovereign Bonds 060705_05 TMX Brazil DCF Model 2" xfId="2178"/>
    <cellStyle name="_Currency_Urca Final Model_Sovereign Bonds 060705_05 TMX Brazil DCF Model_Consolidação" xfId="509"/>
    <cellStyle name="_Currency_Urca Final Model_Sovereign Bonds 060705_05 TMX Brazil DCF Model_Consolidação 2" xfId="2179"/>
    <cellStyle name="_Currency_Urca Final Model_Sovereign Bonds 060705_05 TMX Brazil DCF Model_Consolidação IMOB" xfId="510"/>
    <cellStyle name="_Currency_Urca Final Model_Sovereign Bonds 060705_05 TMX Brazil DCF Model_Consolidação IMOB 2" xfId="2180"/>
    <cellStyle name="_Currency_Urca Final Model_Sovereign Bonds 060705_05 TMX Brazil DCF Model_Estudo de Viabilidade -IMOB Henri" xfId="511"/>
    <cellStyle name="_Currency_Urca Final Model_Sovereign Bonds 060705_05 TMX Brazil DCF Model_Estudo de Viabilidade -IMOB Henri 2" xfId="2181"/>
    <cellStyle name="_Currency_Urca Final Model_Sovereign Bonds 060705_05 TMX Brazil DCF Model_FP 100" xfId="512"/>
    <cellStyle name="_Currency_Urca Final Model_Sovereign Bonds 060705_05 TMX Brazil DCF Model_FP 100 2" xfId="2182"/>
    <cellStyle name="_Currency_Urca Final Model_Sovereign Bonds 060705_05 TMX Brazil DCF Model_Península" xfId="513"/>
    <cellStyle name="_Currency_Urca Final Model_Sovereign Bonds 060705_05 TMX Brazil DCF Model_Península 2" xfId="2183"/>
    <cellStyle name="_Currency_Urca Final Model_Sovereign Bonds 060705_05 TMX Brazil DCF Model_Peninsula_0510" xfId="514"/>
    <cellStyle name="_Currency_Urca Final Model_Sovereign Bonds 060705_05 TMX Brazil DCF Model_Peninsula_0510 2" xfId="2184"/>
    <cellStyle name="_Currency_Urca Final Model_Sovereign Bonds 060705_05 TMX Brazil DCF Model_Resumo Juros e Variações" xfId="515"/>
    <cellStyle name="_Currency_Urca Final Model_Sovereign Bonds 060705_05 TMX Brazil DCF Model_Resumo Juros e Variações 2" xfId="2185"/>
    <cellStyle name="_Currency_WACC Analysis" xfId="516"/>
    <cellStyle name="_Currency_WACC Analysis 2" xfId="2186"/>
    <cellStyle name="_Currency_WACC Analysis_4b_0827_2" xfId="517"/>
    <cellStyle name="_Currency_WACC Analysis_4b_0827_2 2" xfId="2187"/>
    <cellStyle name="_Currency_WACC Analysis_4b_0827_2_Consolidação" xfId="518"/>
    <cellStyle name="_Currency_WACC Analysis_4b_0827_2_Consolidação 2" xfId="2188"/>
    <cellStyle name="_Currency_WACC Analysis_4b_0827_2_Consolidação IMOB" xfId="519"/>
    <cellStyle name="_Currency_WACC Analysis_4b_0827_2_Consolidação IMOB 2" xfId="2189"/>
    <cellStyle name="_Currency_WACC Analysis_4b_0827_2_Dados por segmento julho 06" xfId="520"/>
    <cellStyle name="_Currency_WACC Analysis_4b_0827_2_Dados por segmento julho 06 2" xfId="2190"/>
    <cellStyle name="_Currency_WACC Analysis_4b_0827_2_Estudo de Viabilidade - EXP BHS" xfId="521"/>
    <cellStyle name="_Currency_WACC Analysis_4b_0827_2_Estudo de Viabilidade - EXP BHS 2" xfId="2191"/>
    <cellStyle name="_Currency_WACC Analysis_4b_0827_2_Estudo de Viabilidade - EXP BHS_Consolidação" xfId="522"/>
    <cellStyle name="_Currency_WACC Analysis_4b_0827_2_Estudo de Viabilidade - EXP BHS_Consolidação 2" xfId="2192"/>
    <cellStyle name="_Currency_WACC Analysis_4b_0827_2_FP 100" xfId="523"/>
    <cellStyle name="_Currency_WACC Analysis_4b_0827_2_FP 100 2" xfId="2193"/>
    <cellStyle name="_Currency_WACC Analysis_4b_0827_2_Resumo Juros e Variações" xfId="524"/>
    <cellStyle name="_Currency_WACC Analysis_4b_0827_2_Resumo Juros e Variações 2" xfId="2194"/>
    <cellStyle name="_Currency_WACC Analysis_4b_0827_2_Sovereign Bonds 060705" xfId="525"/>
    <cellStyle name="_Currency_WACC Analysis_4b_0827_2_Sovereign Bonds 060705 (version 1)" xfId="526"/>
    <cellStyle name="_Currency_WACC Analysis_4b_0827_2_Sovereign Bonds 060705 (version 1) 2" xfId="2196"/>
    <cellStyle name="_Currency_WACC Analysis_4b_0827_2_Sovereign Bonds 060705 (version 1)_01 NET DCF Model" xfId="527"/>
    <cellStyle name="_Currency_WACC Analysis_4b_0827_2_Sovereign Bonds 060705 (version 1)_01 NET DCF Model 2" xfId="2197"/>
    <cellStyle name="_Currency_WACC Analysis_4b_0827_2_Sovereign Bonds 060705 (version 1)_01 NET DCF Model_Consolidação" xfId="528"/>
    <cellStyle name="_Currency_WACC Analysis_4b_0827_2_Sovereign Bonds 060705 (version 1)_01 NET DCF Model_Consolidação 2" xfId="2198"/>
    <cellStyle name="_Currency_WACC Analysis_4b_0827_2_Sovereign Bonds 060705 (version 1)_01 NET DCF Model_Consolidação IMOB" xfId="529"/>
    <cellStyle name="_Currency_WACC Analysis_4b_0827_2_Sovereign Bonds 060705 (version 1)_01 NET DCF Model_Consolidação IMOB 2" xfId="2199"/>
    <cellStyle name="_Currency_WACC Analysis_4b_0827_2_Sovereign Bonds 060705 (version 1)_01 NET DCF Model_Estudo de Viabilidade -IMOB Henri" xfId="530"/>
    <cellStyle name="_Currency_WACC Analysis_4b_0827_2_Sovereign Bonds 060705 (version 1)_01 NET DCF Model_Estudo de Viabilidade -IMOB Henri 2" xfId="2200"/>
    <cellStyle name="_Currency_WACC Analysis_4b_0827_2_Sovereign Bonds 060705 (version 1)_01 NET DCF Model_FP 100" xfId="531"/>
    <cellStyle name="_Currency_WACC Analysis_4b_0827_2_Sovereign Bonds 060705 (version 1)_01 NET DCF Model_FP 100 2" xfId="2201"/>
    <cellStyle name="_Currency_WACC Analysis_4b_0827_2_Sovereign Bonds 060705 (version 1)_01 NET DCF Model_Península" xfId="532"/>
    <cellStyle name="_Currency_WACC Analysis_4b_0827_2_Sovereign Bonds 060705 (version 1)_01 NET DCF Model_Península 2" xfId="2202"/>
    <cellStyle name="_Currency_WACC Analysis_4b_0827_2_Sovereign Bonds 060705 (version 1)_01 NET DCF Model_Peninsula_0510" xfId="533"/>
    <cellStyle name="_Currency_WACC Analysis_4b_0827_2_Sovereign Bonds 060705 (version 1)_01 NET DCF Model_Peninsula_0510 2" xfId="2203"/>
    <cellStyle name="_Currency_WACC Analysis_4b_0827_2_Sovereign Bonds 060705 (version 1)_01 NET DCF Model_Resumo Juros e Variações" xfId="534"/>
    <cellStyle name="_Currency_WACC Analysis_4b_0827_2_Sovereign Bonds 060705 (version 1)_01 NET DCF Model_Resumo Juros e Variações 2" xfId="2204"/>
    <cellStyle name="_Currency_WACC Analysis_4b_0827_2_Sovereign Bonds 060705 (version 1)_03 Embratel DCF Model_Loscos" xfId="535"/>
    <cellStyle name="_Currency_WACC Analysis_4b_0827_2_Sovereign Bonds 060705 (version 1)_03 Embratel DCF Model_Loscos 2" xfId="2205"/>
    <cellStyle name="_Currency_WACC Analysis_4b_0827_2_Sovereign Bonds 060705 (version 1)_05 NET DCF Model" xfId="536"/>
    <cellStyle name="_Currency_WACC Analysis_4b_0827_2_Sovereign Bonds 060705 (version 1)_05 NET DCF Model 2" xfId="2206"/>
    <cellStyle name="_Currency_WACC Analysis_4b_0827_2_Sovereign Bonds 060705 (version 1)_05 NET DCF Model_Consolidação" xfId="537"/>
    <cellStyle name="_Currency_WACC Analysis_4b_0827_2_Sovereign Bonds 060705 (version 1)_05 NET DCF Model_Consolidação 2" xfId="2207"/>
    <cellStyle name="_Currency_WACC Analysis_4b_0827_2_Sovereign Bonds 060705 (version 1)_05 NET DCF Model_Consolidação IMOB" xfId="538"/>
    <cellStyle name="_Currency_WACC Analysis_4b_0827_2_Sovereign Bonds 060705 (version 1)_05 NET DCF Model_Consolidação IMOB 2" xfId="2208"/>
    <cellStyle name="_Currency_WACC Analysis_4b_0827_2_Sovereign Bonds 060705 (version 1)_05 NET DCF Model_Estudo de Viabilidade -IMOB Henri" xfId="539"/>
    <cellStyle name="_Currency_WACC Analysis_4b_0827_2_Sovereign Bonds 060705 (version 1)_05 NET DCF Model_Estudo de Viabilidade -IMOB Henri 2" xfId="2209"/>
    <cellStyle name="_Currency_WACC Analysis_4b_0827_2_Sovereign Bonds 060705 (version 1)_05 NET DCF Model_FP 100" xfId="540"/>
    <cellStyle name="_Currency_WACC Analysis_4b_0827_2_Sovereign Bonds 060705 (version 1)_05 NET DCF Model_FP 100 2" xfId="2210"/>
    <cellStyle name="_Currency_WACC Analysis_4b_0827_2_Sovereign Bonds 060705 (version 1)_05 NET DCF Model_Península" xfId="541"/>
    <cellStyle name="_Currency_WACC Analysis_4b_0827_2_Sovereign Bonds 060705 (version 1)_05 NET DCF Model_Península 2" xfId="2211"/>
    <cellStyle name="_Currency_WACC Analysis_4b_0827_2_Sovereign Bonds 060705 (version 1)_05 NET DCF Model_Peninsula_0510" xfId="542"/>
    <cellStyle name="_Currency_WACC Analysis_4b_0827_2_Sovereign Bonds 060705 (version 1)_05 NET DCF Model_Peninsula_0510 2" xfId="2212"/>
    <cellStyle name="_Currency_WACC Analysis_4b_0827_2_Sovereign Bonds 060705 (version 1)_05 NET DCF Model_Resumo Juros e Variações" xfId="543"/>
    <cellStyle name="_Currency_WACC Analysis_4b_0827_2_Sovereign Bonds 060705 (version 1)_05 NET DCF Model_Resumo Juros e Variações 2" xfId="2213"/>
    <cellStyle name="_Currency_WACC Analysis_4b_0827_2_Sovereign Bonds 060705 (version 1)_05 TMX Brazil DCF Model" xfId="544"/>
    <cellStyle name="_Currency_WACC Analysis_4b_0827_2_Sovereign Bonds 060705 (version 1)_05 TMX Brazil DCF Model 2" xfId="2214"/>
    <cellStyle name="_Currency_WACC Analysis_4b_0827_2_Sovereign Bonds 060705 (version 1)_05 TMX Brazil DCF Model_Consolidação" xfId="545"/>
    <cellStyle name="_Currency_WACC Analysis_4b_0827_2_Sovereign Bonds 060705 (version 1)_05 TMX Brazil DCF Model_Consolidação 2" xfId="2215"/>
    <cellStyle name="_Currency_WACC Analysis_4b_0827_2_Sovereign Bonds 060705 (version 1)_05 TMX Brazil DCF Model_Consolidação IMOB" xfId="546"/>
    <cellStyle name="_Currency_WACC Analysis_4b_0827_2_Sovereign Bonds 060705 (version 1)_05 TMX Brazil DCF Model_Consolidação IMOB 2" xfId="2216"/>
    <cellStyle name="_Currency_WACC Analysis_4b_0827_2_Sovereign Bonds 060705 (version 1)_05 TMX Brazil DCF Model_Estudo de Viabilidade -IMOB Henri" xfId="547"/>
    <cellStyle name="_Currency_WACC Analysis_4b_0827_2_Sovereign Bonds 060705 (version 1)_05 TMX Brazil DCF Model_Estudo de Viabilidade -IMOB Henri 2" xfId="2217"/>
    <cellStyle name="_Currency_WACC Analysis_4b_0827_2_Sovereign Bonds 060705 (version 1)_05 TMX Brazil DCF Model_FP 100" xfId="548"/>
    <cellStyle name="_Currency_WACC Analysis_4b_0827_2_Sovereign Bonds 060705 (version 1)_05 TMX Brazil DCF Model_FP 100 2" xfId="2218"/>
    <cellStyle name="_Currency_WACC Analysis_4b_0827_2_Sovereign Bonds 060705 (version 1)_05 TMX Brazil DCF Model_Península" xfId="549"/>
    <cellStyle name="_Currency_WACC Analysis_4b_0827_2_Sovereign Bonds 060705 (version 1)_05 TMX Brazil DCF Model_Península 2" xfId="2219"/>
    <cellStyle name="_Currency_WACC Analysis_4b_0827_2_Sovereign Bonds 060705 (version 1)_05 TMX Brazil DCF Model_Peninsula_0510" xfId="550"/>
    <cellStyle name="_Currency_WACC Analysis_4b_0827_2_Sovereign Bonds 060705 (version 1)_05 TMX Brazil DCF Model_Peninsula_0510 2" xfId="2220"/>
    <cellStyle name="_Currency_WACC Analysis_4b_0827_2_Sovereign Bonds 060705 (version 1)_05 TMX Brazil DCF Model_Resumo Juros e Variações" xfId="551"/>
    <cellStyle name="_Currency_WACC Analysis_4b_0827_2_Sovereign Bonds 060705 (version 1)_05 TMX Brazil DCF Model_Resumo Juros e Variações 2" xfId="2221"/>
    <cellStyle name="_Currency_WACC Analysis_4b_0827_2_Sovereign Bonds 060705 2" xfId="2195"/>
    <cellStyle name="_Currency_WACC Analysis_4b_0827_2_Sovereign Bonds 060705 3" xfId="2819"/>
    <cellStyle name="_Currency_WACC Analysis_4b_0827_2_Sovereign Bonds 060705_01 NET DCF Model" xfId="552"/>
    <cellStyle name="_Currency_WACC Analysis_4b_0827_2_Sovereign Bonds 060705_01 NET DCF Model 2" xfId="2222"/>
    <cellStyle name="_Currency_WACC Analysis_4b_0827_2_Sovereign Bonds 060705_01 NET DCF Model_Consolidação" xfId="553"/>
    <cellStyle name="_Currency_WACC Analysis_4b_0827_2_Sovereign Bonds 060705_01 NET DCF Model_Consolidação 2" xfId="2223"/>
    <cellStyle name="_Currency_WACC Analysis_4b_0827_2_Sovereign Bonds 060705_01 NET DCF Model_Consolidação IMOB" xfId="554"/>
    <cellStyle name="_Currency_WACC Analysis_4b_0827_2_Sovereign Bonds 060705_01 NET DCF Model_Consolidação IMOB 2" xfId="2224"/>
    <cellStyle name="_Currency_WACC Analysis_4b_0827_2_Sovereign Bonds 060705_01 NET DCF Model_Estudo de Viabilidade -IMOB Henri" xfId="555"/>
    <cellStyle name="_Currency_WACC Analysis_4b_0827_2_Sovereign Bonds 060705_01 NET DCF Model_Estudo de Viabilidade -IMOB Henri 2" xfId="2225"/>
    <cellStyle name="_Currency_WACC Analysis_4b_0827_2_Sovereign Bonds 060705_01 NET DCF Model_FP 100" xfId="556"/>
    <cellStyle name="_Currency_WACC Analysis_4b_0827_2_Sovereign Bonds 060705_01 NET DCF Model_FP 100 2" xfId="2226"/>
    <cellStyle name="_Currency_WACC Analysis_4b_0827_2_Sovereign Bonds 060705_01 NET DCF Model_Península" xfId="557"/>
    <cellStyle name="_Currency_WACC Analysis_4b_0827_2_Sovereign Bonds 060705_01 NET DCF Model_Península 2" xfId="2227"/>
    <cellStyle name="_Currency_WACC Analysis_4b_0827_2_Sovereign Bonds 060705_01 NET DCF Model_Peninsula_0510" xfId="558"/>
    <cellStyle name="_Currency_WACC Analysis_4b_0827_2_Sovereign Bonds 060705_01 NET DCF Model_Peninsula_0510 2" xfId="2228"/>
    <cellStyle name="_Currency_WACC Analysis_4b_0827_2_Sovereign Bonds 060705_01 NET DCF Model_Resumo Juros e Variações" xfId="559"/>
    <cellStyle name="_Currency_WACC Analysis_4b_0827_2_Sovereign Bonds 060705_01 NET DCF Model_Resumo Juros e Variações 2" xfId="2229"/>
    <cellStyle name="_Currency_WACC Analysis_4b_0827_2_Sovereign Bonds 060705_03 Embratel DCF Model_Loscos" xfId="560"/>
    <cellStyle name="_Currency_WACC Analysis_4b_0827_2_Sovereign Bonds 060705_03 Embratel DCF Model_Loscos 2" xfId="2230"/>
    <cellStyle name="_Currency_WACC Analysis_4b_0827_2_Sovereign Bonds 060705_05 NET DCF Model" xfId="561"/>
    <cellStyle name="_Currency_WACC Analysis_4b_0827_2_Sovereign Bonds 060705_05 NET DCF Model 2" xfId="2231"/>
    <cellStyle name="_Currency_WACC Analysis_4b_0827_2_Sovereign Bonds 060705_05 NET DCF Model_Consolidação" xfId="562"/>
    <cellStyle name="_Currency_WACC Analysis_4b_0827_2_Sovereign Bonds 060705_05 NET DCF Model_Consolidação 2" xfId="2232"/>
    <cellStyle name="_Currency_WACC Analysis_4b_0827_2_Sovereign Bonds 060705_05 NET DCF Model_Consolidação IMOB" xfId="563"/>
    <cellStyle name="_Currency_WACC Analysis_4b_0827_2_Sovereign Bonds 060705_05 NET DCF Model_Consolidação IMOB 2" xfId="2233"/>
    <cellStyle name="_Currency_WACC Analysis_4b_0827_2_Sovereign Bonds 060705_05 NET DCF Model_Estudo de Viabilidade -IMOB Henri" xfId="564"/>
    <cellStyle name="_Currency_WACC Analysis_4b_0827_2_Sovereign Bonds 060705_05 NET DCF Model_Estudo de Viabilidade -IMOB Henri 2" xfId="2234"/>
    <cellStyle name="_Currency_WACC Analysis_4b_0827_2_Sovereign Bonds 060705_05 NET DCF Model_FP 100" xfId="565"/>
    <cellStyle name="_Currency_WACC Analysis_4b_0827_2_Sovereign Bonds 060705_05 NET DCF Model_FP 100 2" xfId="2235"/>
    <cellStyle name="_Currency_WACC Analysis_4b_0827_2_Sovereign Bonds 060705_05 NET DCF Model_Península" xfId="566"/>
    <cellStyle name="_Currency_WACC Analysis_4b_0827_2_Sovereign Bonds 060705_05 NET DCF Model_Península 2" xfId="2236"/>
    <cellStyle name="_Currency_WACC Analysis_4b_0827_2_Sovereign Bonds 060705_05 NET DCF Model_Peninsula_0510" xfId="567"/>
    <cellStyle name="_Currency_WACC Analysis_4b_0827_2_Sovereign Bonds 060705_05 NET DCF Model_Peninsula_0510 2" xfId="2237"/>
    <cellStyle name="_Currency_WACC Analysis_4b_0827_2_Sovereign Bonds 060705_05 NET DCF Model_Resumo Juros e Variações" xfId="568"/>
    <cellStyle name="_Currency_WACC Analysis_4b_0827_2_Sovereign Bonds 060705_05 NET DCF Model_Resumo Juros e Variações 2" xfId="2238"/>
    <cellStyle name="_Currency_WACC Analysis_4b_0827_2_Sovereign Bonds 060705_05 TMX Brazil DCF Model" xfId="569"/>
    <cellStyle name="_Currency_WACC Analysis_4b_0827_2_Sovereign Bonds 060705_05 TMX Brazil DCF Model 2" xfId="2239"/>
    <cellStyle name="_Currency_WACC Analysis_4b_0827_2_Sovereign Bonds 060705_05 TMX Brazil DCF Model_Consolidação" xfId="570"/>
    <cellStyle name="_Currency_WACC Analysis_4b_0827_2_Sovereign Bonds 060705_05 TMX Brazil DCF Model_Consolidação 2" xfId="2240"/>
    <cellStyle name="_Currency_WACC Analysis_4b_0827_2_Sovereign Bonds 060705_05 TMX Brazil DCF Model_Consolidação IMOB" xfId="571"/>
    <cellStyle name="_Currency_WACC Analysis_4b_0827_2_Sovereign Bonds 060705_05 TMX Brazil DCF Model_Consolidação IMOB 2" xfId="2241"/>
    <cellStyle name="_Currency_WACC Analysis_4b_0827_2_Sovereign Bonds 060705_05 TMX Brazil DCF Model_Estudo de Viabilidade -IMOB Henri" xfId="572"/>
    <cellStyle name="_Currency_WACC Analysis_4b_0827_2_Sovereign Bonds 060705_05 TMX Brazil DCF Model_Estudo de Viabilidade -IMOB Henri 2" xfId="2242"/>
    <cellStyle name="_Currency_WACC Analysis_4b_0827_2_Sovereign Bonds 060705_05 TMX Brazil DCF Model_FP 100" xfId="573"/>
    <cellStyle name="_Currency_WACC Analysis_4b_0827_2_Sovereign Bonds 060705_05 TMX Brazil DCF Model_FP 100 2" xfId="2243"/>
    <cellStyle name="_Currency_WACC Analysis_4b_0827_2_Sovereign Bonds 060705_05 TMX Brazil DCF Model_Península" xfId="574"/>
    <cellStyle name="_Currency_WACC Analysis_4b_0827_2_Sovereign Bonds 060705_05 TMX Brazil DCF Model_Península 2" xfId="2244"/>
    <cellStyle name="_Currency_WACC Analysis_4b_0827_2_Sovereign Bonds 060705_05 TMX Brazil DCF Model_Peninsula_0510" xfId="575"/>
    <cellStyle name="_Currency_WACC Analysis_4b_0827_2_Sovereign Bonds 060705_05 TMX Brazil DCF Model_Peninsula_0510 2" xfId="2245"/>
    <cellStyle name="_Currency_WACC Analysis_4b_0827_2_Sovereign Bonds 060705_05 TMX Brazil DCF Model_Resumo Juros e Variações" xfId="576"/>
    <cellStyle name="_Currency_WACC Analysis_4b_0827_2_Sovereign Bonds 060705_05 TMX Brazil DCF Model_Resumo Juros e Variações 2" xfId="2246"/>
    <cellStyle name="_Currency_WACC Analysis_Consolidação" xfId="577"/>
    <cellStyle name="_Currency_WACC Analysis_Consolidação 2" xfId="2247"/>
    <cellStyle name="_Currency_WACC Analysis_Consolidação IMOB" xfId="578"/>
    <cellStyle name="_Currency_WACC Analysis_Consolidação IMOB 2" xfId="2248"/>
    <cellStyle name="_Currency_WACC Analysis_Estudo de Viabilidade -IMOB Henri" xfId="579"/>
    <cellStyle name="_Currency_WACC Analysis_Estudo de Viabilidade -IMOB Henri 2" xfId="2249"/>
    <cellStyle name="_Currency_WACC Analysis_FP 100" xfId="580"/>
    <cellStyle name="_Currency_WACC Analysis_FP 100 2" xfId="2250"/>
    <cellStyle name="_Currency_WACC Analysis_Península" xfId="581"/>
    <cellStyle name="_Currency_WACC Analysis_Península 2" xfId="2251"/>
    <cellStyle name="_Currency_WACC Analysis_Peninsula_0510" xfId="582"/>
    <cellStyle name="_Currency_WACC Analysis_Peninsula_0510 2" xfId="2252"/>
    <cellStyle name="_Currency_WACC Analysis_Resumo Juros e Variações" xfId="583"/>
    <cellStyle name="_Currency_WACC Analysis_Resumo Juros e Variações 2" xfId="2253"/>
    <cellStyle name="_CurrencySpace" xfId="584"/>
    <cellStyle name="_CurrencySpace 2" xfId="2254"/>
    <cellStyle name="_CurrencySpace_01 AVP_ Project Infinitum" xfId="585"/>
    <cellStyle name="_CurrencySpace_01 AVP_ Project Infinitum 2" xfId="2255"/>
    <cellStyle name="_CurrencySpace_01 TMX BR Revenue mix" xfId="586"/>
    <cellStyle name="_CurrencySpace_01 TMX BR Revenue mix 2" xfId="2256"/>
    <cellStyle name="_CurrencySpace_02 Backup Charts" xfId="587"/>
    <cellStyle name="_CurrencySpace_02 Backup Charts 2" xfId="2257"/>
    <cellStyle name="_CurrencySpace_02 Blended and actual_Telmex_ buying_ NET" xfId="588"/>
    <cellStyle name="_CurrencySpace_02 Blended and actual_Telmex_ buying_ NET 2" xfId="2258"/>
    <cellStyle name="_CurrencySpace_02 TMX Brazil Management Projections_R$" xfId="589"/>
    <cellStyle name="_CurrencySpace_03 Projections Comparison - Infinitum" xfId="590"/>
    <cellStyle name="_CurrencySpace_03 Projections Comparison - Infinitum 2" xfId="2260"/>
    <cellStyle name="_CurrencySpace_04 WACC Vivax" xfId="591"/>
    <cellStyle name="_CurrencySpace_04 WACC Vivax 2" xfId="2261"/>
    <cellStyle name="_CurrencySpace_05 Embratel DCF Model_NEW" xfId="592"/>
    <cellStyle name="_CurrencySpace_05 Embratel DCF Model_NEW 2" xfId="2262"/>
    <cellStyle name="_CurrencySpace_12 Blended and actual _Telmex_buying_Embratel" xfId="593"/>
    <cellStyle name="_CurrencySpace_12 Blended and actual _Telmex_buying_Embratel 2" xfId="2263"/>
    <cellStyle name="_CurrencySpace_avp" xfId="594"/>
    <cellStyle name="_CurrencySpace_avp 2" xfId="2264"/>
    <cellStyle name="_CurrencySpace_AVP_ NewCo" xfId="595"/>
    <cellStyle name="_CurrencySpace_AVP_ NewCo 2" xfId="2265"/>
    <cellStyle name="_CurrencySpace_Brazil bond data" xfId="596"/>
    <cellStyle name="_CurrencySpace_Brazil bond data 2" xfId="2266"/>
    <cellStyle name="_CurrencySpace_dcf" xfId="597"/>
    <cellStyle name="_CurrencySpace_dcf 2" xfId="2267"/>
    <cellStyle name="_CurrencySpace_EMT Management Assumptions_v2" xfId="598"/>
    <cellStyle name="_CurrencySpace_EMT Management Assumptions_v2 2" xfId="2268"/>
    <cellStyle name="_CurrencySpace_LA WACC Discount_1" xfId="599"/>
    <cellStyle name="_CurrencySpace_LA WACC Discount_1 2" xfId="2269"/>
    <cellStyle name="_CurrencySpace_merval_argent_correl" xfId="600"/>
    <cellStyle name="_CurrencySpace_merval_argent_correl 2" xfId="2270"/>
    <cellStyle name="_CurrencySpace_Net Management Projections_2" xfId="601"/>
    <cellStyle name="_CurrencySpace_Net Management Projections_2 2" xfId="2271"/>
    <cellStyle name="_CurrencySpace_Oil &amp; Gas betas" xfId="602"/>
    <cellStyle name="_CurrencySpace_Oil &amp; Gas betas 2" xfId="2272"/>
    <cellStyle name="_CurrencySpace_Pay TV Subscribers" xfId="603"/>
    <cellStyle name="_CurrencySpace_Pay TV Subscribers 2" xfId="2273"/>
    <cellStyle name="_CurrencySpace_Revenue Mix Chart" xfId="604"/>
    <cellStyle name="_CurrencySpace_Revenue Mix Chart 2" xfId="2274"/>
    <cellStyle name="_CurrencySpace_Sovereign Bonds 060705" xfId="605"/>
    <cellStyle name="_CurrencySpace_Sovereign Bonds 060705 (version 1)" xfId="606"/>
    <cellStyle name="_CurrencySpace_Sovereign Bonds 060705 (version 1) 2" xfId="2276"/>
    <cellStyle name="_CurrencySpace_Sovereign Bonds 060705 2" xfId="2275"/>
    <cellStyle name="_CurrencySpace_Sovereign Bonds 060705 3" xfId="2820"/>
    <cellStyle name="_CurrencySpace_Sovereign Bonds 060705_1" xfId="607"/>
    <cellStyle name="_CurrencySpace_Sovereign Bonds 060705_1 2" xfId="2277"/>
    <cellStyle name="_CurrencySpace_Sovereign Bonds 060705_Consolidação" xfId="608"/>
    <cellStyle name="_CurrencySpace_Sovereign Bonds 060705_Consolidação 2" xfId="2278"/>
    <cellStyle name="_CurrencySpace_Sovereign Bonds 060705_Dados por segmento julho 06" xfId="609"/>
    <cellStyle name="_CurrencySpace_Sovereign Bonds 060705_Dados por segmento julho 06 2" xfId="2279"/>
    <cellStyle name="_CurrencySpace_Sovereign Bonds 060705_Estudo de Viabilidade - EXP BHS" xfId="610"/>
    <cellStyle name="_CurrencySpace_Sovereign Bonds 060705_Estudo de Viabilidade - EXP BHS 2" xfId="2280"/>
    <cellStyle name="_CurrencySpace_Sovereign Bonds 060705_FP 100" xfId="611"/>
    <cellStyle name="_CurrencySpace_Sovereign Bonds 060705_FP 100 2" xfId="2281"/>
    <cellStyle name="_CurrencySpace_WACC Analysis" xfId="612"/>
    <cellStyle name="_CurrencySpace_WACC Analysis 2" xfId="2282"/>
    <cellStyle name="_CurrencySpace_WACC Analysis_4b_0827_2" xfId="613"/>
    <cellStyle name="_CurrencySpace_WACC Analysis_4b_0827_2 2" xfId="2283"/>
    <cellStyle name="_Euro" xfId="614"/>
    <cellStyle name="_Euro 2" xfId="2284"/>
    <cellStyle name="_Euro_01 AVP_ Project Infinitum" xfId="615"/>
    <cellStyle name="_Euro_01 AVP_ Project Infinitum 2" xfId="2285"/>
    <cellStyle name="_Euro_01 TMX BR Revenue mix" xfId="616"/>
    <cellStyle name="_Euro_01 TMX BR Revenue mix 2" xfId="2286"/>
    <cellStyle name="_Euro_02 Blended and actual_Telmex_ buying_ NET" xfId="617"/>
    <cellStyle name="_Euro_02 Blended and actual_Telmex_ buying_ NET 2" xfId="2287"/>
    <cellStyle name="_Euro_02 TMX Brazil Management Projections_R$" xfId="618"/>
    <cellStyle name="_Euro_03 Projections Comparison - Infinitum" xfId="619"/>
    <cellStyle name="_Euro_03 Projections Comparison - Infinitum 2" xfId="2288"/>
    <cellStyle name="_Euro_04 WACC Vivax" xfId="620"/>
    <cellStyle name="_Euro_04 WACC Vivax 2" xfId="2289"/>
    <cellStyle name="_Euro_05 Embratel DCF Model_NEW" xfId="621"/>
    <cellStyle name="_Euro_05 Embratel DCF Model_NEW 2" xfId="2290"/>
    <cellStyle name="_Euro_12 Blended and actual _Telmex_buying_Embratel" xfId="622"/>
    <cellStyle name="_Euro_12 Blended and actual _Telmex_buying_Embratel 2" xfId="2291"/>
    <cellStyle name="_Euro_EMT Management Assumptions_v2" xfId="623"/>
    <cellStyle name="_Euro_EMT Management Assumptions_v2 2" xfId="2292"/>
    <cellStyle name="_Euro_Net Management Projections_2" xfId="624"/>
    <cellStyle name="_Euro_Net Management Projections_2 2" xfId="2293"/>
    <cellStyle name="_Euro_Pay TV Subscribers" xfId="625"/>
    <cellStyle name="_Euro_Pay TV Subscribers 2" xfId="2294"/>
    <cellStyle name="_Euro_Revenue Mix Chart" xfId="626"/>
    <cellStyle name="_Euro_Revenue Mix Chart 2" xfId="2295"/>
    <cellStyle name="_Euro_Sovereign Bonds 060705" xfId="627"/>
    <cellStyle name="_Euro_Sovereign Bonds 060705 (version 1)" xfId="628"/>
    <cellStyle name="_Euro_Sovereign Bonds 060705 (version 1) 2" xfId="2297"/>
    <cellStyle name="_Euro_Sovereign Bonds 060705 2" xfId="2296"/>
    <cellStyle name="_Euro_Sovereign Bonds 060705 3" xfId="2821"/>
    <cellStyle name="_Euro_Sovereign Bonds 060705_1" xfId="629"/>
    <cellStyle name="_Euro_Sovereign Bonds 060705_1 2" xfId="2298"/>
    <cellStyle name="_Euro_Sovereign Bonds 060705_Consolidação" xfId="630"/>
    <cellStyle name="_Euro_Sovereign Bonds 060705_Consolidação 2" xfId="2299"/>
    <cellStyle name="_Euro_Sovereign Bonds 060705_Dados por segmento julho 06" xfId="631"/>
    <cellStyle name="_Euro_Sovereign Bonds 060705_Dados por segmento julho 06 2" xfId="2300"/>
    <cellStyle name="_Euro_Sovereign Bonds 060705_Estudo de Viabilidade - EXP BHS" xfId="632"/>
    <cellStyle name="_Euro_Sovereign Bonds 060705_Estudo de Viabilidade - EXP BHS 2" xfId="2301"/>
    <cellStyle name="_Euro_Sovereign Bonds 060705_FP 100" xfId="633"/>
    <cellStyle name="_Euro_Sovereign Bonds 060705_FP 100 2" xfId="2302"/>
    <cellStyle name="_Heading" xfId="634"/>
    <cellStyle name="_Heading_02 TMX Brazil Management Projections_R$" xfId="635"/>
    <cellStyle name="_Heading_02 TMX Brazil Management Projections_R$ 2" xfId="2303"/>
    <cellStyle name="_Heading_02 WACC" xfId="636"/>
    <cellStyle name="_Heading_02 WACC 2" xfId="2304"/>
    <cellStyle name="_Heading_05 WACC" xfId="637"/>
    <cellStyle name="_Heading_05 WACC 2" xfId="2305"/>
    <cellStyle name="_Heading_10 yr UST data" xfId="638"/>
    <cellStyle name="_Heading_Beatles WACC Calculation" xfId="639"/>
    <cellStyle name="_Heading_Beatles WACC Calculation 2" xfId="2306"/>
    <cellStyle name="_Heading_prestemp" xfId="640"/>
    <cellStyle name="_Headline" xfId="641"/>
    <cellStyle name="_Headline 2" xfId="2307"/>
    <cellStyle name="_Highlight" xfId="642"/>
    <cellStyle name="_Highlight 2" xfId="2308"/>
    <cellStyle name="_Multiple" xfId="643"/>
    <cellStyle name="_Multiple 2" xfId="2309"/>
    <cellStyle name="_Multiple_01 AVP_ Project Infinitum" xfId="644"/>
    <cellStyle name="_Multiple_01 AVP_ Project Infinitum 2" xfId="2310"/>
    <cellStyle name="_Multiple_01 TMX BR Revenue mix" xfId="645"/>
    <cellStyle name="_Multiple_01 TMX BR Revenue mix 2" xfId="2311"/>
    <cellStyle name="_Multiple_02 Backup Charts" xfId="646"/>
    <cellStyle name="_Multiple_02 Backup Charts 2" xfId="2312"/>
    <cellStyle name="_Multiple_02 Blended and actual_Telmex_ buying_ NET" xfId="647"/>
    <cellStyle name="_Multiple_02 Blended and actual_Telmex_ buying_ NET 2" xfId="2313"/>
    <cellStyle name="_Multiple_02 TMX Brazil Management Projections_R$" xfId="648"/>
    <cellStyle name="_Multiple_03 Projections Comparison - Infinitum" xfId="649"/>
    <cellStyle name="_Multiple_03 Projections Comparison - Infinitum 2" xfId="2314"/>
    <cellStyle name="_Multiple_04 WACC Vivax" xfId="650"/>
    <cellStyle name="_Multiple_04 WACC Vivax 2" xfId="2315"/>
    <cellStyle name="_Multiple_05 Embratel DCF Model_NEW" xfId="651"/>
    <cellStyle name="_Multiple_05 Embratel DCF Model_NEW 2" xfId="2316"/>
    <cellStyle name="_Multiple_12 Blended and actual _Telmex_buying_Embratel" xfId="652"/>
    <cellStyle name="_Multiple_12 Blended and actual _Telmex_buying_Embratel 2" xfId="2317"/>
    <cellStyle name="_Multiple_avp" xfId="653"/>
    <cellStyle name="_Multiple_avp 2" xfId="2318"/>
    <cellStyle name="_Multiple_AVP_ NewCo" xfId="654"/>
    <cellStyle name="_Multiple_AVP_ NewCo 2" xfId="2319"/>
    <cellStyle name="_Multiple_Brazil bond data" xfId="655"/>
    <cellStyle name="_Multiple_Brazil bond data 2" xfId="2320"/>
    <cellStyle name="_Multiple_dcf" xfId="656"/>
    <cellStyle name="_Multiple_dcf 2" xfId="2321"/>
    <cellStyle name="_Multiple_dcf_01_WACC Colombia_Analysis" xfId="657"/>
    <cellStyle name="_Multiple_dcf_01_WACC Colombia_Analysis 2" xfId="2322"/>
    <cellStyle name="_Multiple_dcf_04 WACC Vivax" xfId="658"/>
    <cellStyle name="_Multiple_dcf_04 WACC Vivax 2" xfId="2323"/>
    <cellStyle name="_Multiple_dcf_Sovereign Bonds 060705" xfId="659"/>
    <cellStyle name="_Multiple_dcf_Sovereign Bonds 060705 (version 1)" xfId="660"/>
    <cellStyle name="_Multiple_dcf_Sovereign Bonds 060705 (version 1) 2" xfId="2325"/>
    <cellStyle name="_Multiple_dcf_Sovereign Bonds 060705 (version 1)_01 NET DCF Model" xfId="661"/>
    <cellStyle name="_Multiple_dcf_Sovereign Bonds 060705 (version 1)_01 NET DCF Model 2" xfId="2326"/>
    <cellStyle name="_Multiple_dcf_Sovereign Bonds 060705 (version 1)_03 Embratel DCF Model_Loscos" xfId="662"/>
    <cellStyle name="_Multiple_dcf_Sovereign Bonds 060705 (version 1)_03 Embratel DCF Model_Loscos 2" xfId="2327"/>
    <cellStyle name="_Multiple_dcf_Sovereign Bonds 060705 (version 1)_05 NET DCF Model" xfId="663"/>
    <cellStyle name="_Multiple_dcf_Sovereign Bonds 060705 (version 1)_05 NET DCF Model 2" xfId="2328"/>
    <cellStyle name="_Multiple_dcf_Sovereign Bonds 060705 (version 1)_05 TMX Brazil DCF Model" xfId="664"/>
    <cellStyle name="_Multiple_dcf_Sovereign Bonds 060705 (version 1)_05 TMX Brazil DCF Model 2" xfId="2329"/>
    <cellStyle name="_Multiple_dcf_Sovereign Bonds 060705 2" xfId="2324"/>
    <cellStyle name="_Multiple_dcf_Sovereign Bonds 060705 3" xfId="2822"/>
    <cellStyle name="_Multiple_dcf_Sovereign Bonds 060705_01 NET DCF Model" xfId="665"/>
    <cellStyle name="_Multiple_dcf_Sovereign Bonds 060705_01 NET DCF Model 2" xfId="2330"/>
    <cellStyle name="_Multiple_dcf_Sovereign Bonds 060705_03 Embratel DCF Model_Loscos" xfId="666"/>
    <cellStyle name="_Multiple_dcf_Sovereign Bonds 060705_03 Embratel DCF Model_Loscos 2" xfId="2331"/>
    <cellStyle name="_Multiple_dcf_Sovereign Bonds 060705_05 NET DCF Model" xfId="667"/>
    <cellStyle name="_Multiple_dcf_Sovereign Bonds 060705_05 NET DCF Model 2" xfId="2332"/>
    <cellStyle name="_Multiple_dcf_Sovereign Bonds 060705_05 TMX Brazil DCF Model" xfId="668"/>
    <cellStyle name="_Multiple_dcf_Sovereign Bonds 060705_05 TMX Brazil DCF Model 2" xfId="2333"/>
    <cellStyle name="_Multiple_EMT Management Assumptions_v2" xfId="669"/>
    <cellStyle name="_Multiple_EMT Management Assumptions_v2 2" xfId="2334"/>
    <cellStyle name="_Multiple_LA WACC Discount_1" xfId="670"/>
    <cellStyle name="_Multiple_LA WACC Discount_1 2" xfId="2335"/>
    <cellStyle name="_Multiple_LA WACC Discount_1_Sovereign Bonds 060705" xfId="671"/>
    <cellStyle name="_Multiple_LA WACC Discount_1_Sovereign Bonds 060705 (version 1)" xfId="672"/>
    <cellStyle name="_Multiple_LA WACC Discount_1_Sovereign Bonds 060705 (version 1) 2" xfId="2337"/>
    <cellStyle name="_Multiple_LA WACC Discount_1_Sovereign Bonds 060705 (version 1)_01 NET DCF Model" xfId="673"/>
    <cellStyle name="_Multiple_LA WACC Discount_1_Sovereign Bonds 060705 (version 1)_01 NET DCF Model 2" xfId="2338"/>
    <cellStyle name="_Multiple_LA WACC Discount_1_Sovereign Bonds 060705 (version 1)_03 Embratel DCF Model_Loscos" xfId="674"/>
    <cellStyle name="_Multiple_LA WACC Discount_1_Sovereign Bonds 060705 (version 1)_03 Embratel DCF Model_Loscos 2" xfId="2339"/>
    <cellStyle name="_Multiple_LA WACC Discount_1_Sovereign Bonds 060705 (version 1)_05 NET DCF Model" xfId="675"/>
    <cellStyle name="_Multiple_LA WACC Discount_1_Sovereign Bonds 060705 (version 1)_05 NET DCF Model 2" xfId="2340"/>
    <cellStyle name="_Multiple_LA WACC Discount_1_Sovereign Bonds 060705 (version 1)_05 TMX Brazil DCF Model" xfId="676"/>
    <cellStyle name="_Multiple_LA WACC Discount_1_Sovereign Bonds 060705 (version 1)_05 TMX Brazil DCF Model 2" xfId="2341"/>
    <cellStyle name="_Multiple_LA WACC Discount_1_Sovereign Bonds 060705 2" xfId="2336"/>
    <cellStyle name="_Multiple_LA WACC Discount_1_Sovereign Bonds 060705 3" xfId="2823"/>
    <cellStyle name="_Multiple_LA WACC Discount_1_Sovereign Bonds 060705_01 NET DCF Model" xfId="677"/>
    <cellStyle name="_Multiple_LA WACC Discount_1_Sovereign Bonds 060705_01 NET DCF Model 2" xfId="2342"/>
    <cellStyle name="_Multiple_LA WACC Discount_1_Sovereign Bonds 060705_03 Embratel DCF Model_Loscos" xfId="678"/>
    <cellStyle name="_Multiple_LA WACC Discount_1_Sovereign Bonds 060705_03 Embratel DCF Model_Loscos 2" xfId="2343"/>
    <cellStyle name="_Multiple_LA WACC Discount_1_Sovereign Bonds 060705_05 NET DCF Model" xfId="679"/>
    <cellStyle name="_Multiple_LA WACC Discount_1_Sovereign Bonds 060705_05 NET DCF Model 2" xfId="2344"/>
    <cellStyle name="_Multiple_LA WACC Discount_1_Sovereign Bonds 060705_05 TMX Brazil DCF Model" xfId="680"/>
    <cellStyle name="_Multiple_LA WACC Discount_1_Sovereign Bonds 060705_05 TMX Brazil DCF Model 2" xfId="2345"/>
    <cellStyle name="_Multiple_Net Management Projections_2" xfId="681"/>
    <cellStyle name="_Multiple_Net Management Projections_2 2" xfId="2346"/>
    <cellStyle name="_Multiple_Oil &amp; Gas betas" xfId="682"/>
    <cellStyle name="_Multiple_Oil &amp; Gas betas 2" xfId="2347"/>
    <cellStyle name="_Multiple_Pay TV Subscribers" xfId="683"/>
    <cellStyle name="_Multiple_Pay TV Subscribers 2" xfId="2348"/>
    <cellStyle name="_Multiple_Revenue Mix Chart" xfId="684"/>
    <cellStyle name="_Multiple_Revenue Mix Chart 2" xfId="2349"/>
    <cellStyle name="_Multiple_Sovereign Bonds 060705" xfId="685"/>
    <cellStyle name="_Multiple_Sovereign Bonds 060705 (version 1)" xfId="686"/>
    <cellStyle name="_Multiple_Sovereign Bonds 060705 (version 1) 2" xfId="2351"/>
    <cellStyle name="_Multiple_Sovereign Bonds 060705 2" xfId="2350"/>
    <cellStyle name="_Multiple_Sovereign Bonds 060705 3" xfId="2824"/>
    <cellStyle name="_Multiple_Sovereign Bonds 060705_1" xfId="687"/>
    <cellStyle name="_Multiple_Sovereign Bonds 060705_1 2" xfId="2352"/>
    <cellStyle name="_Multiple_Sovereign Bonds 060705_Consolidação" xfId="688"/>
    <cellStyle name="_Multiple_Sovereign Bonds 060705_Consolidação 2" xfId="2353"/>
    <cellStyle name="_Multiple_Sovereign Bonds 060705_Dados por segmento julho 06" xfId="689"/>
    <cellStyle name="_Multiple_Sovereign Bonds 060705_Dados por segmento julho 06 2" xfId="2354"/>
    <cellStyle name="_Multiple_Sovereign Bonds 060705_Estudo de Viabilidade - EXP BHS" xfId="690"/>
    <cellStyle name="_Multiple_Sovereign Bonds 060705_Estudo de Viabilidade - EXP BHS 2" xfId="2355"/>
    <cellStyle name="_Multiple_Sovereign Bonds 060705_FP 100" xfId="691"/>
    <cellStyle name="_Multiple_Sovereign Bonds 060705_FP 100 2" xfId="2356"/>
    <cellStyle name="_Multiple_v4_Dealcomp_distribution" xfId="692"/>
    <cellStyle name="_Multiple_v4_Dealcomp_distribution 2" xfId="2357"/>
    <cellStyle name="_Multiple_WACC Analysis" xfId="693"/>
    <cellStyle name="_Multiple_WACC Analysis 2" xfId="2358"/>
    <cellStyle name="_Multiple_WACC Analysis_4b_0827_2" xfId="694"/>
    <cellStyle name="_Multiple_WACC Analysis_4b_0827_2 2" xfId="2359"/>
    <cellStyle name="_Multiple_WACC Analysis_4b_0827_2_Sovereign Bonds 060705" xfId="695"/>
    <cellStyle name="_Multiple_WACC Analysis_4b_0827_2_Sovereign Bonds 060705 (version 1)" xfId="696"/>
    <cellStyle name="_Multiple_WACC Analysis_4b_0827_2_Sovereign Bonds 060705 (version 1) 2" xfId="2361"/>
    <cellStyle name="_Multiple_WACC Analysis_4b_0827_2_Sovereign Bonds 060705 (version 1)_01 NET DCF Model" xfId="697"/>
    <cellStyle name="_Multiple_WACC Analysis_4b_0827_2_Sovereign Bonds 060705 (version 1)_01 NET DCF Model 2" xfId="2362"/>
    <cellStyle name="_Multiple_WACC Analysis_4b_0827_2_Sovereign Bonds 060705 (version 1)_03 Embratel DCF Model_Loscos" xfId="698"/>
    <cellStyle name="_Multiple_WACC Analysis_4b_0827_2_Sovereign Bonds 060705 (version 1)_03 Embratel DCF Model_Loscos 2" xfId="2363"/>
    <cellStyle name="_Multiple_WACC Analysis_4b_0827_2_Sovereign Bonds 060705 (version 1)_05 NET DCF Model" xfId="699"/>
    <cellStyle name="_Multiple_WACC Analysis_4b_0827_2_Sovereign Bonds 060705 (version 1)_05 NET DCF Model 2" xfId="2364"/>
    <cellStyle name="_Multiple_WACC Analysis_4b_0827_2_Sovereign Bonds 060705 (version 1)_05 TMX Brazil DCF Model" xfId="700"/>
    <cellStyle name="_Multiple_WACC Analysis_4b_0827_2_Sovereign Bonds 060705 (version 1)_05 TMX Brazil DCF Model 2" xfId="2365"/>
    <cellStyle name="_Multiple_WACC Analysis_4b_0827_2_Sovereign Bonds 060705 2" xfId="2360"/>
    <cellStyle name="_Multiple_WACC Analysis_4b_0827_2_Sovereign Bonds 060705 3" xfId="2825"/>
    <cellStyle name="_Multiple_WACC Analysis_4b_0827_2_Sovereign Bonds 060705_01 NET DCF Model" xfId="701"/>
    <cellStyle name="_Multiple_WACC Analysis_4b_0827_2_Sovereign Bonds 060705_01 NET DCF Model 2" xfId="2366"/>
    <cellStyle name="_Multiple_WACC Analysis_4b_0827_2_Sovereign Bonds 060705_03 Embratel DCF Model_Loscos" xfId="702"/>
    <cellStyle name="_Multiple_WACC Analysis_4b_0827_2_Sovereign Bonds 060705_03 Embratel DCF Model_Loscos 2" xfId="2367"/>
    <cellStyle name="_Multiple_WACC Analysis_4b_0827_2_Sovereign Bonds 060705_05 NET DCF Model" xfId="703"/>
    <cellStyle name="_Multiple_WACC Analysis_4b_0827_2_Sovereign Bonds 060705_05 NET DCF Model 2" xfId="2368"/>
    <cellStyle name="_Multiple_WACC Analysis_4b_0827_2_Sovereign Bonds 060705_05 TMX Brazil DCF Model" xfId="704"/>
    <cellStyle name="_Multiple_WACC Analysis_4b_0827_2_Sovereign Bonds 060705_05 TMX Brazil DCF Model 2" xfId="2369"/>
    <cellStyle name="_MultipleSpace" xfId="705"/>
    <cellStyle name="_MultipleSpace 2" xfId="2370"/>
    <cellStyle name="_MultipleSpace_01 AVP_ Project Infinitum" xfId="706"/>
    <cellStyle name="_MultipleSpace_01 AVP_ Project Infinitum 2" xfId="2371"/>
    <cellStyle name="_MultipleSpace_01 TMX BR Revenue mix" xfId="707"/>
    <cellStyle name="_MultipleSpace_01 TMX BR Revenue mix 2" xfId="2372"/>
    <cellStyle name="_MultipleSpace_02 Backup Charts" xfId="708"/>
    <cellStyle name="_MultipleSpace_02 Backup Charts 2" xfId="2373"/>
    <cellStyle name="_MultipleSpace_02 Blended and actual_Telmex_ buying_ NET" xfId="709"/>
    <cellStyle name="_MultipleSpace_02 Blended and actual_Telmex_ buying_ NET 2" xfId="2374"/>
    <cellStyle name="_MultipleSpace_02 TMX Brazil Management Projections_R$" xfId="710"/>
    <cellStyle name="_MultipleSpace_03 Projections Comparison - Infinitum" xfId="711"/>
    <cellStyle name="_MultipleSpace_03 Projections Comparison - Infinitum 2" xfId="2375"/>
    <cellStyle name="_MultipleSpace_04 WACC Vivax" xfId="712"/>
    <cellStyle name="_MultipleSpace_04 WACC Vivax 2" xfId="2376"/>
    <cellStyle name="_MultipleSpace_05 Embratel DCF Model_NEW" xfId="713"/>
    <cellStyle name="_MultipleSpace_05 Embratel DCF Model_NEW 2" xfId="2377"/>
    <cellStyle name="_MultipleSpace_12 Blended and actual _Telmex_buying_Embratel" xfId="714"/>
    <cellStyle name="_MultipleSpace_12 Blended and actual _Telmex_buying_Embratel 2" xfId="2378"/>
    <cellStyle name="_MultipleSpace_avp" xfId="715"/>
    <cellStyle name="_MultipleSpace_avp 2" xfId="2379"/>
    <cellStyle name="_MultipleSpace_AVP_ NewCo" xfId="716"/>
    <cellStyle name="_MultipleSpace_AVP_ NewCo 2" xfId="2380"/>
    <cellStyle name="_MultipleSpace_Brazil bond data" xfId="717"/>
    <cellStyle name="_MultipleSpace_Brazil bond data 2" xfId="2381"/>
    <cellStyle name="_MultipleSpace_dcf" xfId="718"/>
    <cellStyle name="_MultipleSpace_dcf 2" xfId="2382"/>
    <cellStyle name="_MultipleSpace_dcf_01_WACC Colombia_Analysis" xfId="719"/>
    <cellStyle name="_MultipleSpace_dcf_01_WACC Colombia_Analysis 2" xfId="2383"/>
    <cellStyle name="_MultipleSpace_dcf_04 WACC Vivax" xfId="720"/>
    <cellStyle name="_MultipleSpace_dcf_04 WACC Vivax 2" xfId="2384"/>
    <cellStyle name="_MultipleSpace_dcf_Sovereign Bonds 060705" xfId="721"/>
    <cellStyle name="_MultipleSpace_dcf_Sovereign Bonds 060705 (version 1)" xfId="722"/>
    <cellStyle name="_MultipleSpace_dcf_Sovereign Bonds 060705 (version 1) 2" xfId="2386"/>
    <cellStyle name="_MultipleSpace_dcf_Sovereign Bonds 060705 (version 1)_01 NET DCF Model" xfId="723"/>
    <cellStyle name="_MultipleSpace_dcf_Sovereign Bonds 060705 (version 1)_01 NET DCF Model 2" xfId="2387"/>
    <cellStyle name="_MultipleSpace_dcf_Sovereign Bonds 060705 (version 1)_03 Embratel DCF Model_Loscos" xfId="724"/>
    <cellStyle name="_MultipleSpace_dcf_Sovereign Bonds 060705 (version 1)_03 Embratel DCF Model_Loscos 2" xfId="2388"/>
    <cellStyle name="_MultipleSpace_dcf_Sovereign Bonds 060705 (version 1)_05 NET DCF Model" xfId="725"/>
    <cellStyle name="_MultipleSpace_dcf_Sovereign Bonds 060705 (version 1)_05 NET DCF Model 2" xfId="2389"/>
    <cellStyle name="_MultipleSpace_dcf_Sovereign Bonds 060705 (version 1)_05 TMX Brazil DCF Model" xfId="726"/>
    <cellStyle name="_MultipleSpace_dcf_Sovereign Bonds 060705 (version 1)_05 TMX Brazil DCF Model 2" xfId="2390"/>
    <cellStyle name="_MultipleSpace_dcf_Sovereign Bonds 060705 2" xfId="2385"/>
    <cellStyle name="_MultipleSpace_dcf_Sovereign Bonds 060705 3" xfId="2826"/>
    <cellStyle name="_MultipleSpace_dcf_Sovereign Bonds 060705_01 NET DCF Model" xfId="727"/>
    <cellStyle name="_MultipleSpace_dcf_Sovereign Bonds 060705_01 NET DCF Model 2" xfId="2391"/>
    <cellStyle name="_MultipleSpace_dcf_Sovereign Bonds 060705_03 Embratel DCF Model_Loscos" xfId="728"/>
    <cellStyle name="_MultipleSpace_dcf_Sovereign Bonds 060705_03 Embratel DCF Model_Loscos 2" xfId="2392"/>
    <cellStyle name="_MultipleSpace_dcf_Sovereign Bonds 060705_05 NET DCF Model" xfId="729"/>
    <cellStyle name="_MultipleSpace_dcf_Sovereign Bonds 060705_05 NET DCF Model 2" xfId="2393"/>
    <cellStyle name="_MultipleSpace_dcf_Sovereign Bonds 060705_05 TMX Brazil DCF Model" xfId="730"/>
    <cellStyle name="_MultipleSpace_dcf_Sovereign Bonds 060705_05 TMX Brazil DCF Model 2" xfId="2394"/>
    <cellStyle name="_MultipleSpace_EMT Management Assumptions_v2" xfId="731"/>
    <cellStyle name="_MultipleSpace_EMT Management Assumptions_v2 2" xfId="2395"/>
    <cellStyle name="_MultipleSpace_LA WACC Discount_1" xfId="732"/>
    <cellStyle name="_MultipleSpace_LA WACC Discount_1 2" xfId="2396"/>
    <cellStyle name="_MultipleSpace_LA WACC Discount_1_Sovereign Bonds 060705" xfId="733"/>
    <cellStyle name="_MultipleSpace_LA WACC Discount_1_Sovereign Bonds 060705 (version 1)" xfId="734"/>
    <cellStyle name="_MultipleSpace_LA WACC Discount_1_Sovereign Bonds 060705 (version 1) 2" xfId="2398"/>
    <cellStyle name="_MultipleSpace_LA WACC Discount_1_Sovereign Bonds 060705 (version 1)_01 NET DCF Model" xfId="735"/>
    <cellStyle name="_MultipleSpace_LA WACC Discount_1_Sovereign Bonds 060705 (version 1)_01 NET DCF Model 2" xfId="2399"/>
    <cellStyle name="_MultipleSpace_LA WACC Discount_1_Sovereign Bonds 060705 (version 1)_03 Embratel DCF Model_Loscos" xfId="736"/>
    <cellStyle name="_MultipleSpace_LA WACC Discount_1_Sovereign Bonds 060705 (version 1)_03 Embratel DCF Model_Loscos 2" xfId="2400"/>
    <cellStyle name="_MultipleSpace_LA WACC Discount_1_Sovereign Bonds 060705 (version 1)_05 NET DCF Model" xfId="737"/>
    <cellStyle name="_MultipleSpace_LA WACC Discount_1_Sovereign Bonds 060705 (version 1)_05 NET DCF Model 2" xfId="2401"/>
    <cellStyle name="_MultipleSpace_LA WACC Discount_1_Sovereign Bonds 060705 (version 1)_05 TMX Brazil DCF Model" xfId="738"/>
    <cellStyle name="_MultipleSpace_LA WACC Discount_1_Sovereign Bonds 060705 (version 1)_05 TMX Brazil DCF Model 2" xfId="2402"/>
    <cellStyle name="_MultipleSpace_LA WACC Discount_1_Sovereign Bonds 060705 2" xfId="2397"/>
    <cellStyle name="_MultipleSpace_LA WACC Discount_1_Sovereign Bonds 060705 3" xfId="2827"/>
    <cellStyle name="_MultipleSpace_LA WACC Discount_1_Sovereign Bonds 060705_01 NET DCF Model" xfId="739"/>
    <cellStyle name="_MultipleSpace_LA WACC Discount_1_Sovereign Bonds 060705_01 NET DCF Model 2" xfId="2403"/>
    <cellStyle name="_MultipleSpace_LA WACC Discount_1_Sovereign Bonds 060705_03 Embratel DCF Model_Loscos" xfId="740"/>
    <cellStyle name="_MultipleSpace_LA WACC Discount_1_Sovereign Bonds 060705_03 Embratel DCF Model_Loscos 2" xfId="2404"/>
    <cellStyle name="_MultipleSpace_LA WACC Discount_1_Sovereign Bonds 060705_05 NET DCF Model" xfId="741"/>
    <cellStyle name="_MultipleSpace_LA WACC Discount_1_Sovereign Bonds 060705_05 NET DCF Model 2" xfId="2405"/>
    <cellStyle name="_MultipleSpace_LA WACC Discount_1_Sovereign Bonds 060705_05 TMX Brazil DCF Model" xfId="742"/>
    <cellStyle name="_MultipleSpace_LA WACC Discount_1_Sovereign Bonds 060705_05 TMX Brazil DCF Model 2" xfId="2406"/>
    <cellStyle name="_MultipleSpace_Net Management Projections_2" xfId="743"/>
    <cellStyle name="_MultipleSpace_Net Management Projections_2 2" xfId="2407"/>
    <cellStyle name="_MultipleSpace_Oil &amp; Gas betas" xfId="744"/>
    <cellStyle name="_MultipleSpace_Oil &amp; Gas betas 2" xfId="2408"/>
    <cellStyle name="_MultipleSpace_Pay TV Subscribers" xfId="745"/>
    <cellStyle name="_MultipleSpace_Pay TV Subscribers 2" xfId="2409"/>
    <cellStyle name="_MultipleSpace_Revenue Mix Chart" xfId="746"/>
    <cellStyle name="_MultipleSpace_Revenue Mix Chart 2" xfId="2410"/>
    <cellStyle name="_MultipleSpace_Sovereign Bonds 060705" xfId="747"/>
    <cellStyle name="_MultipleSpace_Sovereign Bonds 060705 (version 1)" xfId="748"/>
    <cellStyle name="_MultipleSpace_Sovereign Bonds 060705 (version 1) 2" xfId="2412"/>
    <cellStyle name="_MultipleSpace_Sovereign Bonds 060705 (version 1)_01 NET DCF Model" xfId="749"/>
    <cellStyle name="_MultipleSpace_Sovereign Bonds 060705 (version 1)_01 NET DCF Model 2" xfId="2413"/>
    <cellStyle name="_MultipleSpace_Sovereign Bonds 060705 (version 1)_03 Embratel DCF Model_Loscos" xfId="750"/>
    <cellStyle name="_MultipleSpace_Sovereign Bonds 060705 (version 1)_03 Embratel DCF Model_Loscos 2" xfId="2414"/>
    <cellStyle name="_MultipleSpace_Sovereign Bonds 060705 (version 1)_05 NET DCF Model" xfId="751"/>
    <cellStyle name="_MultipleSpace_Sovereign Bonds 060705 (version 1)_05 NET DCF Model 2" xfId="2415"/>
    <cellStyle name="_MultipleSpace_Sovereign Bonds 060705 (version 1)_05 TMX Brazil DCF Model" xfId="752"/>
    <cellStyle name="_MultipleSpace_Sovereign Bonds 060705 (version 1)_05 TMX Brazil DCF Model 2" xfId="2416"/>
    <cellStyle name="_MultipleSpace_Sovereign Bonds 060705 (version 1)_Consolidação" xfId="753"/>
    <cellStyle name="_MultipleSpace_Sovereign Bonds 060705 (version 1)_Consolidação 2" xfId="2417"/>
    <cellStyle name="_MultipleSpace_Sovereign Bonds 060705 (version 1)_Consolidação IMOB" xfId="754"/>
    <cellStyle name="_MultipleSpace_Sovereign Bonds 060705 (version 1)_Consolidação IMOB 2" xfId="2418"/>
    <cellStyle name="_MultipleSpace_Sovereign Bonds 060705 (version 1)_Estudo de Viabilidade -IMOB Henri" xfId="755"/>
    <cellStyle name="_MultipleSpace_Sovereign Bonds 060705 (version 1)_Estudo de Viabilidade -IMOB Henri 2" xfId="2419"/>
    <cellStyle name="_MultipleSpace_Sovereign Bonds 060705 (version 1)_FP 100" xfId="756"/>
    <cellStyle name="_MultipleSpace_Sovereign Bonds 060705 (version 1)_FP 100 2" xfId="2420"/>
    <cellStyle name="_MultipleSpace_Sovereign Bonds 060705 (version 1)_Península" xfId="757"/>
    <cellStyle name="_MultipleSpace_Sovereign Bonds 060705 (version 1)_Península 2" xfId="2421"/>
    <cellStyle name="_MultipleSpace_Sovereign Bonds 060705 (version 1)_Peninsula_0510" xfId="758"/>
    <cellStyle name="_MultipleSpace_Sovereign Bonds 060705 (version 1)_Peninsula_0510 2" xfId="2422"/>
    <cellStyle name="_MultipleSpace_Sovereign Bonds 060705 (version 1)_Resumo Juros e Variações" xfId="759"/>
    <cellStyle name="_MultipleSpace_Sovereign Bonds 060705 (version 1)_Resumo Juros e Variações 2" xfId="2423"/>
    <cellStyle name="_MultipleSpace_Sovereign Bonds 060705 2" xfId="2411"/>
    <cellStyle name="_MultipleSpace_Sovereign Bonds 060705 3" xfId="2828"/>
    <cellStyle name="_MultipleSpace_Sovereign Bonds 060705_1" xfId="760"/>
    <cellStyle name="_MultipleSpace_Sovereign Bonds 060705_1 2" xfId="2424"/>
    <cellStyle name="_MultipleSpace_Sovereign Bonds 060705_1_01 NET DCF Model" xfId="761"/>
    <cellStyle name="_MultipleSpace_Sovereign Bonds 060705_1_01 NET DCF Model 2" xfId="2425"/>
    <cellStyle name="_MultipleSpace_Sovereign Bonds 060705_1_03 Embratel DCF Model_Loscos" xfId="762"/>
    <cellStyle name="_MultipleSpace_Sovereign Bonds 060705_1_03 Embratel DCF Model_Loscos 2" xfId="2426"/>
    <cellStyle name="_MultipleSpace_Sovereign Bonds 060705_1_05 NET DCF Model" xfId="763"/>
    <cellStyle name="_MultipleSpace_Sovereign Bonds 060705_1_05 NET DCF Model 2" xfId="2427"/>
    <cellStyle name="_MultipleSpace_Sovereign Bonds 060705_1_05 TMX Brazil DCF Model" xfId="764"/>
    <cellStyle name="_MultipleSpace_Sovereign Bonds 060705_1_05 TMX Brazil DCF Model 2" xfId="2428"/>
    <cellStyle name="_MultipleSpace_Sovereign Bonds 060705_1_Consolidação" xfId="765"/>
    <cellStyle name="_MultipleSpace_Sovereign Bonds 060705_1_Consolidação 2" xfId="2429"/>
    <cellStyle name="_MultipleSpace_Sovereign Bonds 060705_1_Consolidação IMOB" xfId="766"/>
    <cellStyle name="_MultipleSpace_Sovereign Bonds 060705_1_Consolidação IMOB 2" xfId="2430"/>
    <cellStyle name="_MultipleSpace_Sovereign Bonds 060705_1_Estudo de Viabilidade -IMOB Henri" xfId="767"/>
    <cellStyle name="_MultipleSpace_Sovereign Bonds 060705_1_Estudo de Viabilidade -IMOB Henri 2" xfId="2431"/>
    <cellStyle name="_MultipleSpace_Sovereign Bonds 060705_1_FP 100" xfId="768"/>
    <cellStyle name="_MultipleSpace_Sovereign Bonds 060705_1_FP 100 2" xfId="2432"/>
    <cellStyle name="_MultipleSpace_Sovereign Bonds 060705_1_Península" xfId="769"/>
    <cellStyle name="_MultipleSpace_Sovereign Bonds 060705_1_Península 2" xfId="2433"/>
    <cellStyle name="_MultipleSpace_Sovereign Bonds 060705_1_Peninsula_0510" xfId="770"/>
    <cellStyle name="_MultipleSpace_Sovereign Bonds 060705_1_Peninsula_0510 2" xfId="2434"/>
    <cellStyle name="_MultipleSpace_Sovereign Bonds 060705_1_Resumo Juros e Variações" xfId="771"/>
    <cellStyle name="_MultipleSpace_Sovereign Bonds 060705_1_Resumo Juros e Variações 2" xfId="2435"/>
    <cellStyle name="_MultipleSpace_Sovereign Bonds 060705_Consolidação" xfId="772"/>
    <cellStyle name="_MultipleSpace_Sovereign Bonds 060705_Consolidação 2" xfId="2436"/>
    <cellStyle name="_MultipleSpace_Sovereign Bonds 060705_Consolidação IMOB" xfId="773"/>
    <cellStyle name="_MultipleSpace_Sovereign Bonds 060705_Consolidação IMOB 2" xfId="2437"/>
    <cellStyle name="_MultipleSpace_Sovereign Bonds 060705_Dados por segmento julho 06" xfId="774"/>
    <cellStyle name="_MultipleSpace_Sovereign Bonds 060705_Dados por segmento julho 06 2" xfId="2438"/>
    <cellStyle name="_MultipleSpace_Sovereign Bonds 060705_Estudo de Viabilidade - EXP BHS" xfId="775"/>
    <cellStyle name="_MultipleSpace_Sovereign Bonds 060705_Estudo de Viabilidade - EXP BHS 2" xfId="2439"/>
    <cellStyle name="_MultipleSpace_Sovereign Bonds 060705_Estudo de Viabilidade - EXP BHS_Consolidação" xfId="776"/>
    <cellStyle name="_MultipleSpace_Sovereign Bonds 060705_Estudo de Viabilidade - EXP BHS_Consolidação 2" xfId="2440"/>
    <cellStyle name="_MultipleSpace_Sovereign Bonds 060705_FP 100" xfId="777"/>
    <cellStyle name="_MultipleSpace_Sovereign Bonds 060705_FP 100 2" xfId="2441"/>
    <cellStyle name="_MultipleSpace_Sovereign Bonds 060705_Resumo Juros e Variações" xfId="778"/>
    <cellStyle name="_MultipleSpace_Sovereign Bonds 060705_Resumo Juros e Variações 2" xfId="2442"/>
    <cellStyle name="_MultipleSpace_WACC Analysis" xfId="779"/>
    <cellStyle name="_MultipleSpace_WACC Analysis 2" xfId="2443"/>
    <cellStyle name="_MultipleSpace_WACC Analysis_4b_0827_2" xfId="780"/>
    <cellStyle name="_MultipleSpace_WACC Analysis_4b_0827_2 2" xfId="2444"/>
    <cellStyle name="_MultipleSpace_WACC Analysis_4b_0827_2_Sovereign Bonds 060705" xfId="781"/>
    <cellStyle name="_MultipleSpace_WACC Analysis_4b_0827_2_Sovereign Bonds 060705 (version 1)" xfId="782"/>
    <cellStyle name="_MultipleSpace_WACC Analysis_4b_0827_2_Sovereign Bonds 060705 (version 1) 2" xfId="2446"/>
    <cellStyle name="_MultipleSpace_WACC Analysis_4b_0827_2_Sovereign Bonds 060705 (version 1)_01 NET DCF Model" xfId="783"/>
    <cellStyle name="_MultipleSpace_WACC Analysis_4b_0827_2_Sovereign Bonds 060705 (version 1)_01 NET DCF Model 2" xfId="2447"/>
    <cellStyle name="_MultipleSpace_WACC Analysis_4b_0827_2_Sovereign Bonds 060705 (version 1)_03 Embratel DCF Model_Loscos" xfId="784"/>
    <cellStyle name="_MultipleSpace_WACC Analysis_4b_0827_2_Sovereign Bonds 060705 (version 1)_03 Embratel DCF Model_Loscos 2" xfId="2448"/>
    <cellStyle name="_MultipleSpace_WACC Analysis_4b_0827_2_Sovereign Bonds 060705 (version 1)_05 NET DCF Model" xfId="785"/>
    <cellStyle name="_MultipleSpace_WACC Analysis_4b_0827_2_Sovereign Bonds 060705 (version 1)_05 NET DCF Model 2" xfId="2449"/>
    <cellStyle name="_MultipleSpace_WACC Analysis_4b_0827_2_Sovereign Bonds 060705 (version 1)_05 TMX Brazil DCF Model" xfId="786"/>
    <cellStyle name="_MultipleSpace_WACC Analysis_4b_0827_2_Sovereign Bonds 060705 (version 1)_05 TMX Brazil DCF Model 2" xfId="2450"/>
    <cellStyle name="_MultipleSpace_WACC Analysis_4b_0827_2_Sovereign Bonds 060705 2" xfId="2445"/>
    <cellStyle name="_MultipleSpace_WACC Analysis_4b_0827_2_Sovereign Bonds 060705 3" xfId="2829"/>
    <cellStyle name="_MultipleSpace_WACC Analysis_4b_0827_2_Sovereign Bonds 060705_01 NET DCF Model" xfId="787"/>
    <cellStyle name="_MultipleSpace_WACC Analysis_4b_0827_2_Sovereign Bonds 060705_01 NET DCF Model 2" xfId="2451"/>
    <cellStyle name="_MultipleSpace_WACC Analysis_4b_0827_2_Sovereign Bonds 060705_03 Embratel DCF Model_Loscos" xfId="788"/>
    <cellStyle name="_MultipleSpace_WACC Analysis_4b_0827_2_Sovereign Bonds 060705_03 Embratel DCF Model_Loscos 2" xfId="2452"/>
    <cellStyle name="_MultipleSpace_WACC Analysis_4b_0827_2_Sovereign Bonds 060705_05 NET DCF Model" xfId="789"/>
    <cellStyle name="_MultipleSpace_WACC Analysis_4b_0827_2_Sovereign Bonds 060705_05 NET DCF Model 2" xfId="2453"/>
    <cellStyle name="_MultipleSpace_WACC Analysis_4b_0827_2_Sovereign Bonds 060705_05 TMX Brazil DCF Model" xfId="790"/>
    <cellStyle name="_MultipleSpace_WACC Analysis_4b_0827_2_Sovereign Bonds 060705_05 TMX Brazil DCF Model 2" xfId="2454"/>
    <cellStyle name="_Percent" xfId="791"/>
    <cellStyle name="_Percent 2" xfId="2455"/>
    <cellStyle name="_Percent_01 AVP_ Project Infinitum" xfId="792"/>
    <cellStyle name="_Percent_01 AVP_ Project Infinitum 2" xfId="2456"/>
    <cellStyle name="_Percent_01_WACC Colombia_Analysis" xfId="793"/>
    <cellStyle name="_Percent_01_WACC Colombia_Analysis 2" xfId="2457"/>
    <cellStyle name="_Percent_04 WACC Vivax" xfId="794"/>
    <cellStyle name="_Percent_04 WACC Vivax 2" xfId="2458"/>
    <cellStyle name="_Percent_avp" xfId="795"/>
    <cellStyle name="_Percent_avp 2" xfId="2459"/>
    <cellStyle name="_Percent_AVP_ NewCo" xfId="796"/>
    <cellStyle name="_Percent_AVP_ NewCo 2" xfId="2460"/>
    <cellStyle name="_Percent_Sovereign Bonds 060705" xfId="797"/>
    <cellStyle name="_Percent_Sovereign Bonds 060705 (version 1)" xfId="798"/>
    <cellStyle name="_Percent_Sovereign Bonds 060705 (version 1) 2" xfId="2462"/>
    <cellStyle name="_Percent_Sovereign Bonds 060705 (version 1)_01 NET DCF Model" xfId="799"/>
    <cellStyle name="_Percent_Sovereign Bonds 060705 (version 1)_01 NET DCF Model 2" xfId="2463"/>
    <cellStyle name="_Percent_Sovereign Bonds 060705 (version 1)_03 Embratel DCF Model_Loscos" xfId="800"/>
    <cellStyle name="_Percent_Sovereign Bonds 060705 (version 1)_03 Embratel DCF Model_Loscos 2" xfId="2464"/>
    <cellStyle name="_Percent_Sovereign Bonds 060705 (version 1)_03 Embratel DCF Model_Loscos_Consolidação" xfId="801"/>
    <cellStyle name="_Percent_Sovereign Bonds 060705 (version 1)_03 Embratel DCF Model_Loscos_Consolidação 2" xfId="2465"/>
    <cellStyle name="_Percent_Sovereign Bonds 060705 (version 1)_03 Embratel DCF Model_Loscos_Consolidação IMOB" xfId="802"/>
    <cellStyle name="_Percent_Sovereign Bonds 060705 (version 1)_03 Embratel DCF Model_Loscos_Consolidação IMOB 2" xfId="2466"/>
    <cellStyle name="_Percent_Sovereign Bonds 060705 (version 1)_03 Embratel DCF Model_Loscos_Estudo de Viabilidade -IMOB Henri" xfId="803"/>
    <cellStyle name="_Percent_Sovereign Bonds 060705 (version 1)_03 Embratel DCF Model_Loscos_Estudo de Viabilidade -IMOB Henri 2" xfId="2467"/>
    <cellStyle name="_Percent_Sovereign Bonds 060705 (version 1)_03 Embratel DCF Model_Loscos_FP 100" xfId="804"/>
    <cellStyle name="_Percent_Sovereign Bonds 060705 (version 1)_03 Embratel DCF Model_Loscos_FP 100 2" xfId="2468"/>
    <cellStyle name="_Percent_Sovereign Bonds 060705 (version 1)_03 Embratel DCF Model_Loscos_Península" xfId="805"/>
    <cellStyle name="_Percent_Sovereign Bonds 060705 (version 1)_03 Embratel DCF Model_Loscos_Península 2" xfId="2469"/>
    <cellStyle name="_Percent_Sovereign Bonds 060705 (version 1)_03 Embratel DCF Model_Loscos_Peninsula_0510" xfId="806"/>
    <cellStyle name="_Percent_Sovereign Bonds 060705 (version 1)_03 Embratel DCF Model_Loscos_Peninsula_0510 2" xfId="2470"/>
    <cellStyle name="_Percent_Sovereign Bonds 060705 (version 1)_03 Embratel DCF Model_Loscos_Resumo Juros e Variações" xfId="807"/>
    <cellStyle name="_Percent_Sovereign Bonds 060705 (version 1)_03 Embratel DCF Model_Loscos_Resumo Juros e Variações 2" xfId="2471"/>
    <cellStyle name="_Percent_Sovereign Bonds 060705 (version 1)_05 NET DCF Model" xfId="808"/>
    <cellStyle name="_Percent_Sovereign Bonds 060705 (version 1)_05 NET DCF Model 2" xfId="2472"/>
    <cellStyle name="_Percent_Sovereign Bonds 060705 (version 1)_05 TMX Brazil DCF Model" xfId="809"/>
    <cellStyle name="_Percent_Sovereign Bonds 060705 (version 1)_05 TMX Brazil DCF Model 2" xfId="2473"/>
    <cellStyle name="_Percent_Sovereign Bonds 060705 2" xfId="2461"/>
    <cellStyle name="_Percent_Sovereign Bonds 060705 3" xfId="2830"/>
    <cellStyle name="_Percent_Sovereign Bonds 060705_01 NET DCF Model" xfId="810"/>
    <cellStyle name="_Percent_Sovereign Bonds 060705_01 NET DCF Model 2" xfId="2474"/>
    <cellStyle name="_Percent_Sovereign Bonds 060705_03 Embratel DCF Model_Loscos" xfId="811"/>
    <cellStyle name="_Percent_Sovereign Bonds 060705_03 Embratel DCF Model_Loscos 2" xfId="2475"/>
    <cellStyle name="_Percent_Sovereign Bonds 060705_03 Embratel DCF Model_Loscos_Consolidação" xfId="812"/>
    <cellStyle name="_Percent_Sovereign Bonds 060705_03 Embratel DCF Model_Loscos_Consolidação 2" xfId="2476"/>
    <cellStyle name="_Percent_Sovereign Bonds 060705_03 Embratel DCF Model_Loscos_Consolidação IMOB" xfId="813"/>
    <cellStyle name="_Percent_Sovereign Bonds 060705_03 Embratel DCF Model_Loscos_Consolidação IMOB 2" xfId="2477"/>
    <cellStyle name="_Percent_Sovereign Bonds 060705_03 Embratel DCF Model_Loscos_Estudo de Viabilidade -IMOB Henri" xfId="814"/>
    <cellStyle name="_Percent_Sovereign Bonds 060705_03 Embratel DCF Model_Loscos_Estudo de Viabilidade -IMOB Henri 2" xfId="2478"/>
    <cellStyle name="_Percent_Sovereign Bonds 060705_03 Embratel DCF Model_Loscos_FP 100" xfId="815"/>
    <cellStyle name="_Percent_Sovereign Bonds 060705_03 Embratel DCF Model_Loscos_FP 100 2" xfId="2479"/>
    <cellStyle name="_Percent_Sovereign Bonds 060705_03 Embratel DCF Model_Loscos_Península" xfId="816"/>
    <cellStyle name="_Percent_Sovereign Bonds 060705_03 Embratel DCF Model_Loscos_Península 2" xfId="2480"/>
    <cellStyle name="_Percent_Sovereign Bonds 060705_03 Embratel DCF Model_Loscos_Peninsula_0510" xfId="817"/>
    <cellStyle name="_Percent_Sovereign Bonds 060705_03 Embratel DCF Model_Loscos_Peninsula_0510 2" xfId="2481"/>
    <cellStyle name="_Percent_Sovereign Bonds 060705_03 Embratel DCF Model_Loscos_Resumo Juros e Variações" xfId="818"/>
    <cellStyle name="_Percent_Sovereign Bonds 060705_03 Embratel DCF Model_Loscos_Resumo Juros e Variações 2" xfId="2482"/>
    <cellStyle name="_Percent_Sovereign Bonds 060705_05 NET DCF Model" xfId="819"/>
    <cellStyle name="_Percent_Sovereign Bonds 060705_05 NET DCF Model 2" xfId="2483"/>
    <cellStyle name="_Percent_Sovereign Bonds 060705_05 TMX Brazil DCF Model" xfId="820"/>
    <cellStyle name="_Percent_Sovereign Bonds 060705_05 TMX Brazil DCF Model 2" xfId="2484"/>
    <cellStyle name="_PercentSpace" xfId="821"/>
    <cellStyle name="_PercentSpace 2" xfId="2485"/>
    <cellStyle name="_PercentSpace_01 AVP_ Project Infinitum" xfId="822"/>
    <cellStyle name="_PercentSpace_01 AVP_ Project Infinitum 2" xfId="2486"/>
    <cellStyle name="_PercentSpace_01_WACC Colombia_Analysis" xfId="823"/>
    <cellStyle name="_PercentSpace_01_WACC Colombia_Analysis 2" xfId="2487"/>
    <cellStyle name="_PercentSpace_04 WACC Vivax" xfId="824"/>
    <cellStyle name="_PercentSpace_04 WACC Vivax 2" xfId="2488"/>
    <cellStyle name="_PercentSpace_avp" xfId="825"/>
    <cellStyle name="_PercentSpace_avp 2" xfId="2489"/>
    <cellStyle name="_PercentSpace_AVP_ NewCo" xfId="826"/>
    <cellStyle name="_PercentSpace_AVP_ NewCo 2" xfId="2490"/>
    <cellStyle name="_PercentSpace_Sovereign Bonds 060705" xfId="827"/>
    <cellStyle name="_PercentSpace_Sovereign Bonds 060705 (version 1)" xfId="828"/>
    <cellStyle name="_PercentSpace_Sovereign Bonds 060705 (version 1) 2" xfId="2492"/>
    <cellStyle name="_PercentSpace_Sovereign Bonds 060705 (version 1)_01 NET DCF Model" xfId="829"/>
    <cellStyle name="_PercentSpace_Sovereign Bonds 060705 (version 1)_01 NET DCF Model 2" xfId="2493"/>
    <cellStyle name="_PercentSpace_Sovereign Bonds 060705 (version 1)_03 Embratel DCF Model_Loscos" xfId="830"/>
    <cellStyle name="_PercentSpace_Sovereign Bonds 060705 (version 1)_03 Embratel DCF Model_Loscos 2" xfId="2494"/>
    <cellStyle name="_PercentSpace_Sovereign Bonds 060705 (version 1)_03 Embratel DCF Model_Loscos_Consolidação" xfId="831"/>
    <cellStyle name="_PercentSpace_Sovereign Bonds 060705 (version 1)_03 Embratel DCF Model_Loscos_Consolidação 2" xfId="2495"/>
    <cellStyle name="_PercentSpace_Sovereign Bonds 060705 (version 1)_03 Embratel DCF Model_Loscos_Consolidação IMOB" xfId="832"/>
    <cellStyle name="_PercentSpace_Sovereign Bonds 060705 (version 1)_03 Embratel DCF Model_Loscos_Consolidação IMOB 2" xfId="2496"/>
    <cellStyle name="_PercentSpace_Sovereign Bonds 060705 (version 1)_03 Embratel DCF Model_Loscos_Estudo de Viabilidade -IMOB Henri" xfId="833"/>
    <cellStyle name="_PercentSpace_Sovereign Bonds 060705 (version 1)_03 Embratel DCF Model_Loscos_Estudo de Viabilidade -IMOB Henri 2" xfId="2497"/>
    <cellStyle name="_PercentSpace_Sovereign Bonds 060705 (version 1)_03 Embratel DCF Model_Loscos_FP 100" xfId="834"/>
    <cellStyle name="_PercentSpace_Sovereign Bonds 060705 (version 1)_03 Embratel DCF Model_Loscos_FP 100 2" xfId="2498"/>
    <cellStyle name="_PercentSpace_Sovereign Bonds 060705 (version 1)_03 Embratel DCF Model_Loscos_Península" xfId="835"/>
    <cellStyle name="_PercentSpace_Sovereign Bonds 060705 (version 1)_03 Embratel DCF Model_Loscos_Península 2" xfId="2499"/>
    <cellStyle name="_PercentSpace_Sovereign Bonds 060705 (version 1)_03 Embratel DCF Model_Loscos_Peninsula_0510" xfId="836"/>
    <cellStyle name="_PercentSpace_Sovereign Bonds 060705 (version 1)_03 Embratel DCF Model_Loscos_Peninsula_0510 2" xfId="2500"/>
    <cellStyle name="_PercentSpace_Sovereign Bonds 060705 (version 1)_03 Embratel DCF Model_Loscos_Resumo Juros e Variações" xfId="837"/>
    <cellStyle name="_PercentSpace_Sovereign Bonds 060705 (version 1)_03 Embratel DCF Model_Loscos_Resumo Juros e Variações 2" xfId="2501"/>
    <cellStyle name="_PercentSpace_Sovereign Bonds 060705 (version 1)_05 NET DCF Model" xfId="838"/>
    <cellStyle name="_PercentSpace_Sovereign Bonds 060705 (version 1)_05 NET DCF Model 2" xfId="2502"/>
    <cellStyle name="_PercentSpace_Sovereign Bonds 060705 (version 1)_05 TMX Brazil DCF Model" xfId="839"/>
    <cellStyle name="_PercentSpace_Sovereign Bonds 060705 (version 1)_05 TMX Brazil DCF Model 2" xfId="2503"/>
    <cellStyle name="_PercentSpace_Sovereign Bonds 060705 2" xfId="2491"/>
    <cellStyle name="_PercentSpace_Sovereign Bonds 060705 3" xfId="2831"/>
    <cellStyle name="_PercentSpace_Sovereign Bonds 060705_01 NET DCF Model" xfId="840"/>
    <cellStyle name="_PercentSpace_Sovereign Bonds 060705_01 NET DCF Model 2" xfId="2504"/>
    <cellStyle name="_PercentSpace_Sovereign Bonds 060705_03 Embratel DCF Model_Loscos" xfId="841"/>
    <cellStyle name="_PercentSpace_Sovereign Bonds 060705_03 Embratel DCF Model_Loscos 2" xfId="2505"/>
    <cellStyle name="_PercentSpace_Sovereign Bonds 060705_03 Embratel DCF Model_Loscos_Consolidação" xfId="842"/>
    <cellStyle name="_PercentSpace_Sovereign Bonds 060705_03 Embratel DCF Model_Loscos_Consolidação 2" xfId="2506"/>
    <cellStyle name="_PercentSpace_Sovereign Bonds 060705_03 Embratel DCF Model_Loscos_Consolidação IMOB" xfId="843"/>
    <cellStyle name="_PercentSpace_Sovereign Bonds 060705_03 Embratel DCF Model_Loscos_Consolidação IMOB 2" xfId="2507"/>
    <cellStyle name="_PercentSpace_Sovereign Bonds 060705_03 Embratel DCF Model_Loscos_Estudo de Viabilidade -IMOB Henri" xfId="844"/>
    <cellStyle name="_PercentSpace_Sovereign Bonds 060705_03 Embratel DCF Model_Loscos_Estudo de Viabilidade -IMOB Henri 2" xfId="2508"/>
    <cellStyle name="_PercentSpace_Sovereign Bonds 060705_03 Embratel DCF Model_Loscos_FP 100" xfId="845"/>
    <cellStyle name="_PercentSpace_Sovereign Bonds 060705_03 Embratel DCF Model_Loscos_FP 100 2" xfId="2509"/>
    <cellStyle name="_PercentSpace_Sovereign Bonds 060705_03 Embratel DCF Model_Loscos_Península" xfId="846"/>
    <cellStyle name="_PercentSpace_Sovereign Bonds 060705_03 Embratel DCF Model_Loscos_Península 2" xfId="2510"/>
    <cellStyle name="_PercentSpace_Sovereign Bonds 060705_03 Embratel DCF Model_Loscos_Peninsula_0510" xfId="847"/>
    <cellStyle name="_PercentSpace_Sovereign Bonds 060705_03 Embratel DCF Model_Loscos_Peninsula_0510 2" xfId="2511"/>
    <cellStyle name="_PercentSpace_Sovereign Bonds 060705_03 Embratel DCF Model_Loscos_Resumo Juros e Variações" xfId="848"/>
    <cellStyle name="_PercentSpace_Sovereign Bonds 060705_03 Embratel DCF Model_Loscos_Resumo Juros e Variações 2" xfId="2512"/>
    <cellStyle name="_PercentSpace_Sovereign Bonds 060705_05 NET DCF Model" xfId="849"/>
    <cellStyle name="_PercentSpace_Sovereign Bonds 060705_05 NET DCF Model 2" xfId="2513"/>
    <cellStyle name="_PercentSpace_Sovereign Bonds 060705_05 TMX Brazil DCF Model" xfId="850"/>
    <cellStyle name="_PercentSpace_Sovereign Bonds 060705_05 TMX Brazil DCF Model 2" xfId="2514"/>
    <cellStyle name="_SubHeading" xfId="851"/>
    <cellStyle name="_SubHeading_02 TMX Brazil Management Projections_R$" xfId="852"/>
    <cellStyle name="_SubHeading_02 TMX Brazil Management Projections_R$ 2" xfId="2515"/>
    <cellStyle name="_SubHeading_02 WACC" xfId="853"/>
    <cellStyle name="_SubHeading_02 WACC 2" xfId="2516"/>
    <cellStyle name="_SubHeading_05 WACC" xfId="854"/>
    <cellStyle name="_SubHeading_05 WACC 2" xfId="2517"/>
    <cellStyle name="_SubHeading_10 yr UST data" xfId="855"/>
    <cellStyle name="_SubHeading_Beatles WACC Calculation" xfId="856"/>
    <cellStyle name="_SubHeading_Beatles WACC Calculation 2" xfId="2518"/>
    <cellStyle name="_SubHeading_prestemp" xfId="857"/>
    <cellStyle name="_Table" xfId="858"/>
    <cellStyle name="_Table 2" xfId="2519"/>
    <cellStyle name="_Table_01 AVP_ Project Infinitum" xfId="859"/>
    <cellStyle name="_Table_02 TMX Brazil Management Projections_R$" xfId="860"/>
    <cellStyle name="_Table_02 WACC" xfId="861"/>
    <cellStyle name="_Table_05 WACC" xfId="862"/>
    <cellStyle name="_Table_10 yr UST data" xfId="863"/>
    <cellStyle name="_Table_10 yr UST data 2" xfId="2520"/>
    <cellStyle name="_Table_AVP_ NewCo" xfId="864"/>
    <cellStyle name="_Table_Beatles WACC Calculation" xfId="865"/>
    <cellStyle name="_TableHead" xfId="866"/>
    <cellStyle name="_TableHead_01 AVP_ Project Infinitum" xfId="867"/>
    <cellStyle name="_TableHead_01 AVP_ Project Infinitum 2" xfId="2521"/>
    <cellStyle name="_TableHead_02 TMX Brazil Management Projections_R$" xfId="868"/>
    <cellStyle name="_TableHead_02 TMX Brazil Management Projections_R$ 2" xfId="2522"/>
    <cellStyle name="_TableHead_02 WACC" xfId="869"/>
    <cellStyle name="_TableHead_02 WACC 2" xfId="2523"/>
    <cellStyle name="_TableHead_05 WACC" xfId="870"/>
    <cellStyle name="_TableHead_05 WACC 2" xfId="2524"/>
    <cellStyle name="_TableHead_10 yr UST data" xfId="871"/>
    <cellStyle name="_TableHead_AVP_ NewCo" xfId="872"/>
    <cellStyle name="_TableHead_AVP_ NewCo 2" xfId="2525"/>
    <cellStyle name="_TableHead_Beatles WACC Calculation" xfId="873"/>
    <cellStyle name="_TableHead_Beatles WACC Calculation 2" xfId="2526"/>
    <cellStyle name="_TableHead_KIARA Valuation Model" xfId="874"/>
    <cellStyle name="_TableHead_KIARA Valuation Model 2" xfId="2527"/>
    <cellStyle name="_TableHeading" xfId="875"/>
    <cellStyle name="_TableHeading 2" xfId="2528"/>
    <cellStyle name="_TableRowBorder" xfId="876"/>
    <cellStyle name="_TableRowBorder 2" xfId="2529"/>
    <cellStyle name="_TableRowHead" xfId="877"/>
    <cellStyle name="_TableRowHead_01 AVP_ Project Infinitum" xfId="878"/>
    <cellStyle name="_TableRowHead_01 AVP_ Project Infinitum 2" xfId="2530"/>
    <cellStyle name="_TableRowHead_02 TMX Brazil Management Projections_R$" xfId="879"/>
    <cellStyle name="_TableRowHead_02 TMX Brazil Management Projections_R$ 2" xfId="2531"/>
    <cellStyle name="_TableRowHead_02 WACC" xfId="880"/>
    <cellStyle name="_TableRowHead_02 WACC 2" xfId="2532"/>
    <cellStyle name="_TableRowHead_05 WACC" xfId="881"/>
    <cellStyle name="_TableRowHead_05 WACC 2" xfId="2533"/>
    <cellStyle name="_TableRowHead_10 yr UST data" xfId="882"/>
    <cellStyle name="_TableRowHead_AVP_ NewCo" xfId="883"/>
    <cellStyle name="_TableRowHead_AVP_ NewCo 2" xfId="2534"/>
    <cellStyle name="_TableRowHead_Beatles WACC Calculation" xfId="884"/>
    <cellStyle name="_TableRowHead_Beatles WACC Calculation 2" xfId="2535"/>
    <cellStyle name="_TableRowHeading" xfId="885"/>
    <cellStyle name="_TableRowHeading 2" xfId="2536"/>
    <cellStyle name="_TableSuperHead" xfId="886"/>
    <cellStyle name="_TableSuperHead_01 AVP_ Project Infinitum" xfId="887"/>
    <cellStyle name="_TableSuperHead_01 AVP_ Project Infinitum 2" xfId="2537"/>
    <cellStyle name="_TableSuperHead_02 TMX Brazil Management Projections_R$" xfId="888"/>
    <cellStyle name="_TableSuperHead_02 TMX Brazil Management Projections_R$ 2" xfId="2538"/>
    <cellStyle name="_TableSuperHead_02 WACC" xfId="889"/>
    <cellStyle name="_TableSuperHead_02 WACC 2" xfId="2539"/>
    <cellStyle name="_TableSuperHead_05 WACC" xfId="890"/>
    <cellStyle name="_TableSuperHead_05 WACC 2" xfId="2540"/>
    <cellStyle name="_TableSuperHead_10 yr UST data" xfId="891"/>
    <cellStyle name="_TableSuperHead_AVP_ NewCo" xfId="892"/>
    <cellStyle name="_TableSuperHead_AVP_ NewCo 2" xfId="2541"/>
    <cellStyle name="_TableSuperHead_Beatles WACC Calculation" xfId="893"/>
    <cellStyle name="_TableSuperHead_Beatles WACC Calculation 2" xfId="2542"/>
    <cellStyle name="_TableSuperHeading" xfId="894"/>
    <cellStyle name="_TableSuperHeading 2" xfId="2543"/>
    <cellStyle name="_TableText" xfId="895"/>
    <cellStyle name="£ BP" xfId="896"/>
    <cellStyle name="¥ JY" xfId="897"/>
    <cellStyle name="0  + -" xfId="898"/>
    <cellStyle name="0%" xfId="899"/>
    <cellStyle name="0,000" xfId="900"/>
    <cellStyle name="0,000 2" xfId="2544"/>
    <cellStyle name="0,000.0" xfId="901"/>
    <cellStyle name="0,000.00" xfId="902"/>
    <cellStyle name="0,000.000" xfId="903"/>
    <cellStyle name="0,000.000 2" xfId="2545"/>
    <cellStyle name="0,000.0000" xfId="904"/>
    <cellStyle name="0.0" xfId="905"/>
    <cellStyle name="0.0%" xfId="906"/>
    <cellStyle name="0.00" xfId="907"/>
    <cellStyle name="0.00%" xfId="908"/>
    <cellStyle name="0.000" xfId="909"/>
    <cellStyle name="0.0x" xfId="910"/>
    <cellStyle name="0+ -" xfId="911"/>
    <cellStyle name="0+   -" xfId="912"/>
    <cellStyle name="1 Decimal" xfId="913"/>
    <cellStyle name="2 Decimals" xfId="914"/>
    <cellStyle name="20% - Accent1 2" xfId="915"/>
    <cellStyle name="20% - Accent2 2" xfId="916"/>
    <cellStyle name="20% - Accent3 2" xfId="917"/>
    <cellStyle name="20% - Accent4 2" xfId="918"/>
    <cellStyle name="20% - Accent5 2" xfId="919"/>
    <cellStyle name="20% - Accent6 2" xfId="920"/>
    <cellStyle name="20% - Ênfase1" xfId="921"/>
    <cellStyle name="20% - Ênfase2" xfId="922"/>
    <cellStyle name="20% - Ênfase3" xfId="923"/>
    <cellStyle name="20% - Ênfase4" xfId="924"/>
    <cellStyle name="20% - Ênfase5" xfId="925"/>
    <cellStyle name="20% - Ênfase6" xfId="926"/>
    <cellStyle name="3 Decimals" xfId="927"/>
    <cellStyle name="40% - Accent1 2" xfId="928"/>
    <cellStyle name="40% - Accent2 2" xfId="929"/>
    <cellStyle name="40% - Accent3 2" xfId="930"/>
    <cellStyle name="40% - Accent4 2" xfId="931"/>
    <cellStyle name="40% - Accent5 2" xfId="932"/>
    <cellStyle name="40% - Accent6 2" xfId="933"/>
    <cellStyle name="40% - Ênfase1" xfId="934"/>
    <cellStyle name="40% - Ênfase2" xfId="935"/>
    <cellStyle name="40% - Ênfase3" xfId="936"/>
    <cellStyle name="40% - Ênfase4" xfId="937"/>
    <cellStyle name="40% - Ênfase5" xfId="938"/>
    <cellStyle name="40% - Ênfase6" xfId="939"/>
    <cellStyle name="60% - Accent1 2" xfId="940"/>
    <cellStyle name="60% - Accent2 2" xfId="941"/>
    <cellStyle name="60% - Accent3 2" xfId="942"/>
    <cellStyle name="60% - Accent4 2" xfId="943"/>
    <cellStyle name="60% - Accent5 2" xfId="944"/>
    <cellStyle name="60% - Accent6 2" xfId="945"/>
    <cellStyle name="60% - Ênfase1" xfId="946"/>
    <cellStyle name="60% - Ênfase2" xfId="947"/>
    <cellStyle name="60% - Ênfase3" xfId="948"/>
    <cellStyle name="60% - Ênfase4" xfId="949"/>
    <cellStyle name="60% - Ênfase5" xfId="950"/>
    <cellStyle name="60% - Ênfase6" xfId="951"/>
    <cellStyle name="8" xfId="952"/>
    <cellStyle name="8 2" xfId="2549"/>
    <cellStyle name="8_EMT Financial Projections" xfId="953"/>
    <cellStyle name="8_EMT Financial Projections 2" xfId="2550"/>
    <cellStyle name="8_EMT model base case 20_09" xfId="954"/>
    <cellStyle name="8_EMT model base case 20_09 2" xfId="2551"/>
    <cellStyle name="8_Executive Summary Nova projeção" xfId="955"/>
    <cellStyle name="8_Executive Summary Nova projeção 2" xfId="2552"/>
    <cellStyle name="8_Executive Summary Nova projeção1" xfId="956"/>
    <cellStyle name="8_Executive Summary Nova projeção1 2" xfId="2553"/>
    <cellStyle name="A3 297 x 420 mm" xfId="957"/>
    <cellStyle name="Above" xfId="958"/>
    <cellStyle name="Accent1 2" xfId="959"/>
    <cellStyle name="Accent2 2" xfId="960"/>
    <cellStyle name="Accent3 2" xfId="961"/>
    <cellStyle name="Accent4 2" xfId="962"/>
    <cellStyle name="Accent5 2" xfId="963"/>
    <cellStyle name="Accent6 2" xfId="964"/>
    <cellStyle name="Acctg" xfId="965"/>
    <cellStyle name="Acctg$" xfId="966"/>
    <cellStyle name="Acctg_Consolidação" xfId="967"/>
    <cellStyle name="AFE" xfId="968"/>
    <cellStyle name="AFINE" xfId="969"/>
    <cellStyle name="Año" xfId="970"/>
    <cellStyle name="ARIAL" xfId="971"/>
    <cellStyle name="Arial 10" xfId="972"/>
    <cellStyle name="Arial 12" xfId="973"/>
    <cellStyle name="Array" xfId="974"/>
    <cellStyle name="Array 2" xfId="2554"/>
    <cellStyle name="Availability" xfId="975"/>
    <cellStyle name="Bad 2" xfId="976"/>
    <cellStyle name="Banner" xfId="977"/>
    <cellStyle name="Black" xfId="978"/>
    <cellStyle name="Black Text" xfId="4"/>
    <cellStyle name="Black Text (No Wrap)" xfId="5"/>
    <cellStyle name="Blue" xfId="979"/>
    <cellStyle name="Blue Text" xfId="6"/>
    <cellStyle name="Blue Text - Ariel 10" xfId="7"/>
    <cellStyle name="Body" xfId="980"/>
    <cellStyle name="Bold/Border" xfId="981"/>
    <cellStyle name="Bol-Data" xfId="8"/>
    <cellStyle name="bolet" xfId="9"/>
    <cellStyle name="bolet 2" xfId="982"/>
    <cellStyle name="bolet_Dados Operacionais" xfId="983"/>
    <cellStyle name="Boletim" xfId="10"/>
    <cellStyle name="Bom" xfId="984"/>
    <cellStyle name="Border Heavy" xfId="985"/>
    <cellStyle name="Border Heavy 2" xfId="2908"/>
    <cellStyle name="Border Heavy 3" xfId="3011"/>
    <cellStyle name="Border Heavy 4" xfId="3041"/>
    <cellStyle name="Border Thin" xfId="986"/>
    <cellStyle name="British Pound" xfId="987"/>
    <cellStyle name="British Pound 2" xfId="2555"/>
    <cellStyle name="Bullet" xfId="988"/>
    <cellStyle name="c" xfId="989"/>
    <cellStyle name="CABEÇALHO" xfId="990"/>
    <cellStyle name="CABEÇALHO2" xfId="991"/>
    <cellStyle name="Calc Currency (0)" xfId="992"/>
    <cellStyle name="Calculation 2" xfId="993"/>
    <cellStyle name="Cálculo" xfId="994"/>
    <cellStyle name="Célula de Verificação" xfId="995"/>
    <cellStyle name="Célula Vinculada" xfId="996"/>
    <cellStyle name="Changeable" xfId="997"/>
    <cellStyle name="Check Cell 2" xfId="998"/>
    <cellStyle name="CLEAR" xfId="11"/>
    <cellStyle name="Code" xfId="999"/>
    <cellStyle name="Code 2" xfId="2560"/>
    <cellStyle name="Code Section" xfId="1000"/>
    <cellStyle name="ColHeading" xfId="12"/>
    <cellStyle name="ColHeading 2" xfId="1001"/>
    <cellStyle name="ColHeading_CUSMask" xfId="1002"/>
    <cellStyle name="Comma  - Style1" xfId="13"/>
    <cellStyle name="Comma  - Style2" xfId="14"/>
    <cellStyle name="Comma  - Style3" xfId="15"/>
    <cellStyle name="Comma  - Style4" xfId="16"/>
    <cellStyle name="Comma  - Style5" xfId="17"/>
    <cellStyle name="Comma  - Style6" xfId="18"/>
    <cellStyle name="Comma  - Style7" xfId="19"/>
    <cellStyle name="Comma  - Style8" xfId="20"/>
    <cellStyle name="Comma [0] 2" xfId="2851"/>
    <cellStyle name="Comma 0" xfId="1004"/>
    <cellStyle name="Comma 0*" xfId="1005"/>
    <cellStyle name="Comma 0_Budget 2001 - Business Plan" xfId="1006"/>
    <cellStyle name="Comma 10" xfId="1007"/>
    <cellStyle name="Comma 100" xfId="2678"/>
    <cellStyle name="Comma 101" xfId="2668"/>
    <cellStyle name="Comma 102" xfId="2657"/>
    <cellStyle name="Comma 103" xfId="2645"/>
    <cellStyle name="Comma 104" xfId="2634"/>
    <cellStyle name="Comma 105" xfId="2600"/>
    <cellStyle name="Comma 106" xfId="2584"/>
    <cellStyle name="Comma 107" xfId="2566"/>
    <cellStyle name="Comma 108" xfId="2559"/>
    <cellStyle name="Comma 109" xfId="2548"/>
    <cellStyle name="Comma 11" xfId="1008"/>
    <cellStyle name="Comma 110" xfId="2259"/>
    <cellStyle name="Comma 111" xfId="2736"/>
    <cellStyle name="Comma 112" xfId="2739"/>
    <cellStyle name="Comma 113" xfId="2742"/>
    <cellStyle name="Comma 114" xfId="2745"/>
    <cellStyle name="Comma 115" xfId="2748"/>
    <cellStyle name="Comma 116" xfId="2750"/>
    <cellStyle name="Comma 117" xfId="2762"/>
    <cellStyle name="Comma 118" xfId="2758"/>
    <cellStyle name="Comma 119" xfId="2763"/>
    <cellStyle name="Comma 12" xfId="1009"/>
    <cellStyle name="Comma 120" xfId="2757"/>
    <cellStyle name="Comma 121" xfId="2764"/>
    <cellStyle name="Comma 122" xfId="2761"/>
    <cellStyle name="Comma 123" xfId="2765"/>
    <cellStyle name="Comma 124" xfId="2760"/>
    <cellStyle name="Comma 125" xfId="2767"/>
    <cellStyle name="Comma 126" xfId="2759"/>
    <cellStyle name="Comma 127" xfId="2769"/>
    <cellStyle name="Comma 128" xfId="2756"/>
    <cellStyle name="Comma 129" xfId="2801"/>
    <cellStyle name="Comma 13" xfId="1010"/>
    <cellStyle name="Comma 130" xfId="2804"/>
    <cellStyle name="Comma 131" xfId="2807"/>
    <cellStyle name="Comma 132" xfId="2810"/>
    <cellStyle name="Comma 133" xfId="2813"/>
    <cellStyle name="Comma 134" xfId="2848"/>
    <cellStyle name="Comma 135" xfId="2854"/>
    <cellStyle name="Comma 136" xfId="2853"/>
    <cellStyle name="Comma 137" xfId="1003"/>
    <cellStyle name="Comma 138" xfId="2865"/>
    <cellStyle name="Comma 139" xfId="2879"/>
    <cellStyle name="Comma 14" xfId="1011"/>
    <cellStyle name="Comma 140" xfId="2898"/>
    <cellStyle name="Comma 141" xfId="2866"/>
    <cellStyle name="Comma 142" xfId="2881"/>
    <cellStyle name="Comma 143" xfId="2861"/>
    <cellStyle name="Comma 144" xfId="2872"/>
    <cellStyle name="Comma 145" xfId="2902"/>
    <cellStyle name="Comma 146" xfId="2904"/>
    <cellStyle name="Comma 147" xfId="2910"/>
    <cellStyle name="Comma 148" xfId="2913"/>
    <cellStyle name="Comma 149" xfId="2909"/>
    <cellStyle name="Comma 15" xfId="1012"/>
    <cellStyle name="Comma 150" xfId="2920"/>
    <cellStyle name="Comma 151" xfId="2887"/>
    <cellStyle name="Comma 152" xfId="2914"/>
    <cellStyle name="Comma 153" xfId="2956"/>
    <cellStyle name="Comma 154" xfId="2959"/>
    <cellStyle name="Comma 155" xfId="2979"/>
    <cellStyle name="Comma 156" xfId="2980"/>
    <cellStyle name="Comma 157" xfId="2965"/>
    <cellStyle name="Comma 158" xfId="3002"/>
    <cellStyle name="Comma 159" xfId="3014"/>
    <cellStyle name="Comma 16" xfId="1013"/>
    <cellStyle name="Comma 160" xfId="2955"/>
    <cellStyle name="Comma 161" xfId="2983"/>
    <cellStyle name="Comma 162" xfId="2994"/>
    <cellStyle name="Comma 163" xfId="3005"/>
    <cellStyle name="Comma 164" xfId="2995"/>
    <cellStyle name="Comma 165" xfId="2978"/>
    <cellStyle name="Comma 166" xfId="2912"/>
    <cellStyle name="Comma 167" xfId="2934"/>
    <cellStyle name="Comma 168" xfId="3007"/>
    <cellStyle name="Comma 169" xfId="3015"/>
    <cellStyle name="Comma 17" xfId="1014"/>
    <cellStyle name="Comma 170" xfId="2938"/>
    <cellStyle name="Comma 171" xfId="2972"/>
    <cellStyle name="Comma 172" xfId="3016"/>
    <cellStyle name="Comma 173" xfId="3003"/>
    <cellStyle name="Comma 174" xfId="3018"/>
    <cellStyle name="Comma 175" xfId="3021"/>
    <cellStyle name="Comma 176" xfId="3026"/>
    <cellStyle name="Comma 177" xfId="3029"/>
    <cellStyle name="Comma 178" xfId="3034"/>
    <cellStyle name="Comma 179" xfId="3057"/>
    <cellStyle name="Comma 18" xfId="1015"/>
    <cellStyle name="Comma 180" xfId="3064"/>
    <cellStyle name="Comma 181" xfId="3058"/>
    <cellStyle name="Comma 19" xfId="1016"/>
    <cellStyle name="Comma 2" xfId="1017"/>
    <cellStyle name="Comma 2 2" xfId="1018"/>
    <cellStyle name="Comma 2_Dados Operacionais" xfId="1019"/>
    <cellStyle name="Comma 20" xfId="1020"/>
    <cellStyle name="Comma 21" xfId="1021"/>
    <cellStyle name="Comma 22" xfId="1022"/>
    <cellStyle name="Comma 23" xfId="1023"/>
    <cellStyle name="Comma 24" xfId="1024"/>
    <cellStyle name="Comma 25" xfId="1025"/>
    <cellStyle name="Comma 26" xfId="1026"/>
    <cellStyle name="Comma 27" xfId="1027"/>
    <cellStyle name="Comma 28" xfId="1028"/>
    <cellStyle name="Comma 29" xfId="1029"/>
    <cellStyle name="Comma 3" xfId="1030"/>
    <cellStyle name="Comma 3 2" xfId="2561"/>
    <cellStyle name="Comma 30" xfId="1031"/>
    <cellStyle name="Comma 31" xfId="1032"/>
    <cellStyle name="Comma 32" xfId="1033"/>
    <cellStyle name="Comma 33" xfId="1034"/>
    <cellStyle name="Comma 34" xfId="1035"/>
    <cellStyle name="Comma 35" xfId="1036"/>
    <cellStyle name="Comma 36" xfId="1037"/>
    <cellStyle name="Comma 37" xfId="1038"/>
    <cellStyle name="Comma 38" xfId="1039"/>
    <cellStyle name="Comma 39" xfId="1040"/>
    <cellStyle name="Comma 4" xfId="1041"/>
    <cellStyle name="Comma 4 2" xfId="2564"/>
    <cellStyle name="Comma 40" xfId="1042"/>
    <cellStyle name="Comma 41" xfId="1043"/>
    <cellStyle name="Comma 42" xfId="1044"/>
    <cellStyle name="Comma 43" xfId="1045"/>
    <cellStyle name="Comma 44" xfId="1046"/>
    <cellStyle name="Comma 45" xfId="1047"/>
    <cellStyle name="Comma 46" xfId="1048"/>
    <cellStyle name="Comma 47" xfId="1049"/>
    <cellStyle name="Comma 48" xfId="1050"/>
    <cellStyle name="Comma 49" xfId="1051"/>
    <cellStyle name="Comma 5" xfId="1052"/>
    <cellStyle name="Comma 5 2" xfId="2567"/>
    <cellStyle name="Comma 50" xfId="1053"/>
    <cellStyle name="Comma 51" xfId="1054"/>
    <cellStyle name="Comma 52" xfId="1612"/>
    <cellStyle name="Comma 53" xfId="1620"/>
    <cellStyle name="Comma 54" xfId="1624"/>
    <cellStyle name="Comma 55" xfId="1628"/>
    <cellStyle name="Comma 56" xfId="1632"/>
    <cellStyle name="Comma 57" xfId="1636"/>
    <cellStyle name="Comma 58" xfId="1640"/>
    <cellStyle name="Comma 59" xfId="1644"/>
    <cellStyle name="Comma 6" xfId="1055"/>
    <cellStyle name="Comma 6 2" xfId="2568"/>
    <cellStyle name="Comma 60" xfId="1648"/>
    <cellStyle name="Comma 61" xfId="1652"/>
    <cellStyle name="Comma 62" xfId="1656"/>
    <cellStyle name="Comma 63" xfId="1660"/>
    <cellStyle name="Comma 64" xfId="1664"/>
    <cellStyle name="Comma 65" xfId="1668"/>
    <cellStyle name="Comma 66" xfId="1672"/>
    <cellStyle name="Comma 67" xfId="1676"/>
    <cellStyle name="Comma 68" xfId="1680"/>
    <cellStyle name="Comma 69" xfId="1684"/>
    <cellStyle name="Comma 7" xfId="1056"/>
    <cellStyle name="Comma 7 2" xfId="2569"/>
    <cellStyle name="Comma 70" xfId="1688"/>
    <cellStyle name="Comma 71" xfId="1691"/>
    <cellStyle name="Comma 72" xfId="1695"/>
    <cellStyle name="Comma 73" xfId="1698"/>
    <cellStyle name="Comma 74" xfId="1702"/>
    <cellStyle name="Comma 75" xfId="1705"/>
    <cellStyle name="Comma 76" xfId="1709"/>
    <cellStyle name="Comma 77" xfId="1712"/>
    <cellStyle name="Comma 78" xfId="1716"/>
    <cellStyle name="Comma 79" xfId="1728"/>
    <cellStyle name="Comma 8" xfId="1057"/>
    <cellStyle name="Comma 8 2" xfId="2570"/>
    <cellStyle name="Comma 80" xfId="1732"/>
    <cellStyle name="Comma 81" xfId="1736"/>
    <cellStyle name="Comma 82" xfId="1740"/>
    <cellStyle name="Comma 83" xfId="1744"/>
    <cellStyle name="Comma 84" xfId="1748"/>
    <cellStyle name="Comma 85" xfId="1752"/>
    <cellStyle name="Comma 86" xfId="1756"/>
    <cellStyle name="Comma 87" xfId="1760"/>
    <cellStyle name="Comma 88" xfId="1764"/>
    <cellStyle name="Comma 89" xfId="1768"/>
    <cellStyle name="Comma 9" xfId="1058"/>
    <cellStyle name="Comma 90" xfId="1772"/>
    <cellStyle name="Comma 91" xfId="1776"/>
    <cellStyle name="Comma 92" xfId="1780"/>
    <cellStyle name="Comma 93" xfId="1784"/>
    <cellStyle name="Comma 94" xfId="1787"/>
    <cellStyle name="Comma 95" xfId="1791"/>
    <cellStyle name="Comma 96" xfId="1794"/>
    <cellStyle name="Comma 97" xfId="1797"/>
    <cellStyle name="Comma 98" xfId="1800"/>
    <cellStyle name="Comma 99" xfId="1804"/>
    <cellStyle name="Comma0" xfId="21"/>
    <cellStyle name="Comma0 - Estilo4" xfId="2837"/>
    <cellStyle name="Comma1 - Estilo1" xfId="2838"/>
    <cellStyle name="Company" xfId="22"/>
    <cellStyle name="Company 2" xfId="1059"/>
    <cellStyle name="Company_CUSMask" xfId="1060"/>
    <cellStyle name="COMUN" xfId="1061"/>
    <cellStyle name="COMUN 2" xfId="2571"/>
    <cellStyle name="Conferência" xfId="1062"/>
    <cellStyle name="CurRatio" xfId="23"/>
    <cellStyle name="CurRatio 2" xfId="1063"/>
    <cellStyle name="CurRatio_Dados Operacionais" xfId="1064"/>
    <cellStyle name="Currency [0] 2" xfId="2850"/>
    <cellStyle name="Currency [1]" xfId="1065"/>
    <cellStyle name="Currency [1] 2" xfId="2572"/>
    <cellStyle name="Currency [2]" xfId="1066"/>
    <cellStyle name="Currency [2] 2" xfId="2573"/>
    <cellStyle name="Currency 0" xfId="1067"/>
    <cellStyle name="Currency 2" xfId="1068"/>
    <cellStyle name="Currency0" xfId="24"/>
    <cellStyle name="CUS.Work.Area" xfId="25"/>
    <cellStyle name="Dash" xfId="1069"/>
    <cellStyle name="Date" xfId="1070"/>
    <cellStyle name="Date - Estilo3" xfId="2839"/>
    <cellStyle name="Date [d-mmm-yy]" xfId="1071"/>
    <cellStyle name="Date [mm-d-yy]" xfId="1072"/>
    <cellStyle name="Date [mm-d-yyyy]" xfId="1073"/>
    <cellStyle name="Date [mmm-d-yyyy]" xfId="1074"/>
    <cellStyle name="Date [mmm-yy]" xfId="1075"/>
    <cellStyle name="Date [mmm-yyyy]" xfId="1076"/>
    <cellStyle name="Date [mmm-yyyy] 2" xfId="2575"/>
    <cellStyle name="Date 2" xfId="2574"/>
    <cellStyle name="Date 3" xfId="2832"/>
    <cellStyle name="Date Aligned" xfId="1077"/>
    <cellStyle name="Date, mmm-yy" xfId="26"/>
    <cellStyle name="Date, mmm-yy 2" xfId="1078"/>
    <cellStyle name="Date_BRML Model" xfId="1079"/>
    <cellStyle name="Date2" xfId="1080"/>
    <cellStyle name="default" xfId="1081"/>
    <cellStyle name="default 2" xfId="2576"/>
    <cellStyle name="Diseño" xfId="1082"/>
    <cellStyle name="División" xfId="1083"/>
    <cellStyle name="Dollar" xfId="1084"/>
    <cellStyle name="Dollar 2" xfId="2577"/>
    <cellStyle name="dollars" xfId="1085"/>
    <cellStyle name="dollars 2" xfId="2578"/>
    <cellStyle name="Dotted Line" xfId="1086"/>
    <cellStyle name="Double Accounting" xfId="1087"/>
    <cellStyle name="En miles" xfId="27"/>
    <cellStyle name="En millones" xfId="28"/>
    <cellStyle name="Ênfase1" xfId="1088"/>
    <cellStyle name="Ênfase2" xfId="1089"/>
    <cellStyle name="Ênfase3" xfId="1090"/>
    <cellStyle name="Ênfase4" xfId="1091"/>
    <cellStyle name="Ênfase5" xfId="1092"/>
    <cellStyle name="Ênfase6" xfId="1093"/>
    <cellStyle name="Entrada" xfId="1094"/>
    <cellStyle name="Estilo 1" xfId="1095"/>
    <cellStyle name="Estilo 1 2" xfId="2579"/>
    <cellStyle name="Estilo 2" xfId="1096"/>
    <cellStyle name="Estilo 2 2" xfId="2580"/>
    <cellStyle name="Euro" xfId="29"/>
    <cellStyle name="Euro 2" xfId="1097"/>
    <cellStyle name="Euro 3" xfId="2581"/>
    <cellStyle name="Euro_Dados Operacionais" xfId="1098"/>
    <cellStyle name="Explanatory Text 2" xfId="1099"/>
    <cellStyle name="EY House" xfId="1100"/>
    <cellStyle name="F2" xfId="30"/>
    <cellStyle name="F3" xfId="31"/>
    <cellStyle name="F4" xfId="32"/>
    <cellStyle name="F5" xfId="33"/>
    <cellStyle name="F6" xfId="34"/>
    <cellStyle name="F7" xfId="35"/>
    <cellStyle name="F8" xfId="36"/>
    <cellStyle name="F8 - Estilo5" xfId="1101"/>
    <cellStyle name="facha" xfId="37"/>
    <cellStyle name="Fill-in" xfId="1102"/>
    <cellStyle name="Fill-in 2" xfId="2585"/>
    <cellStyle name="Fixed" xfId="1103"/>
    <cellStyle name="Fixed [0]" xfId="1104"/>
    <cellStyle name="Fixed [0] 2" xfId="2587"/>
    <cellStyle name="Fixed 2" xfId="2586"/>
    <cellStyle name="Fixed 3" xfId="2833"/>
    <cellStyle name="Fixed_BRML Model" xfId="1105"/>
    <cellStyle name="Footnote" xfId="1106"/>
    <cellStyle name="forma" xfId="1107"/>
    <cellStyle name="Fraction Change" xfId="38"/>
    <cellStyle name="Fractions" xfId="39"/>
    <cellStyle name="fundoamarelo" xfId="1108"/>
    <cellStyle name="fundoazul" xfId="1109"/>
    <cellStyle name="fundocinza" xfId="1110"/>
    <cellStyle name="fundodeentrada" xfId="1111"/>
    <cellStyle name="fundoentrada" xfId="1112"/>
    <cellStyle name="G1_2001 figures .0" xfId="1113"/>
    <cellStyle name="Good 2" xfId="1114"/>
    <cellStyle name="Green" xfId="1115"/>
    <cellStyle name="Grey" xfId="1116"/>
    <cellStyle name="Grey 2" xfId="2588"/>
    <cellStyle name="Growth Rates/Margins" xfId="40"/>
    <cellStyle name="GWN Table Body" xfId="1117"/>
    <cellStyle name="GWN Table Header" xfId="1118"/>
    <cellStyle name="GWN Table Left Header" xfId="1119"/>
    <cellStyle name="GWN Table Note" xfId="1120"/>
    <cellStyle name="GWN Table Title" xfId="1121"/>
    <cellStyle name="H1_2000 figures .0" xfId="1122"/>
    <cellStyle name="Hard Percent" xfId="1123"/>
    <cellStyle name="Header" xfId="1124"/>
    <cellStyle name="Header1" xfId="1125"/>
    <cellStyle name="Header2" xfId="1126"/>
    <cellStyle name="Heading" xfId="1127"/>
    <cellStyle name="Heading 1 2" xfId="1602"/>
    <cellStyle name="Heading 1 3" xfId="2589"/>
    <cellStyle name="Heading 1 4" xfId="1128"/>
    <cellStyle name="Heading 2 2" xfId="1603"/>
    <cellStyle name="Heading 2 3" xfId="2590"/>
    <cellStyle name="Heading 2 4" xfId="1129"/>
    <cellStyle name="Heading 3 2" xfId="1130"/>
    <cellStyle name="Heading 4 2" xfId="1131"/>
    <cellStyle name="Helv" xfId="1132"/>
    <cellStyle name="Hipervínculo" xfId="41"/>
    <cellStyle name="HK$#,##0" xfId="1133"/>
    <cellStyle name="HK$#,##0.00" xfId="1134"/>
    <cellStyle name="Hyperliᯮk segui᫤o" xfId="1135"/>
    <cellStyle name="Hyperlink seguido" xfId="42"/>
    <cellStyle name="Hyperlink seguido 2" xfId="1136"/>
    <cellStyle name="Hyperlink seguido 3" xfId="2591"/>
    <cellStyle name="Hyperlink seguido_Dados Operacionais" xfId="1137"/>
    <cellStyle name="Hyperlink_Template_Industry" xfId="2900"/>
    <cellStyle name="Hyp᧥rlink_A᫬exandre" xfId="1138"/>
    <cellStyle name="Incorreto" xfId="1139"/>
    <cellStyle name="Indefinido" xfId="1140"/>
    <cellStyle name="Input (%)" xfId="1142"/>
    <cellStyle name="Input (%) 2" xfId="2592"/>
    <cellStyle name="Input (£m)" xfId="1143"/>
    <cellStyle name="Input (£m) 2" xfId="2593"/>
    <cellStyle name="Input (No)" xfId="1144"/>
    <cellStyle name="Input (No) 2" xfId="2594"/>
    <cellStyle name="Input (x)" xfId="1145"/>
    <cellStyle name="Input (x) 2" xfId="2595"/>
    <cellStyle name="Input [yellow]" xfId="1146"/>
    <cellStyle name="Input [yellow] 2" xfId="2596"/>
    <cellStyle name="Input 10" xfId="1147"/>
    <cellStyle name="Input 100" xfId="2730"/>
    <cellStyle name="Input 101" xfId="2681"/>
    <cellStyle name="Input 102" xfId="2667"/>
    <cellStyle name="Input 103" xfId="2680"/>
    <cellStyle name="Input 104" xfId="2599"/>
    <cellStyle name="Input 105" xfId="2688"/>
    <cellStyle name="Input 106" xfId="2565"/>
    <cellStyle name="Input 107" xfId="2687"/>
    <cellStyle name="Input 108" xfId="2547"/>
    <cellStyle name="Input 109" xfId="2677"/>
    <cellStyle name="Input 11" xfId="1148"/>
    <cellStyle name="Input 110" xfId="2766"/>
    <cellStyle name="Input 111" xfId="2754"/>
    <cellStyle name="Input 112" xfId="2768"/>
    <cellStyle name="Input 113" xfId="2753"/>
    <cellStyle name="Input 114" xfId="2777"/>
    <cellStyle name="Input 115" xfId="2755"/>
    <cellStyle name="Input 116" xfId="2780"/>
    <cellStyle name="Input 117" xfId="2752"/>
    <cellStyle name="Input 118" xfId="2781"/>
    <cellStyle name="Input 119" xfId="2773"/>
    <cellStyle name="Input 12" xfId="1149"/>
    <cellStyle name="Input 120" xfId="2783"/>
    <cellStyle name="Input 121" xfId="2786"/>
    <cellStyle name="input 122" xfId="1141"/>
    <cellStyle name="input 123" xfId="2870"/>
    <cellStyle name="input 124" xfId="2862"/>
    <cellStyle name="input 125" xfId="2878"/>
    <cellStyle name="input 126" xfId="2897"/>
    <cellStyle name="input 127" xfId="2859"/>
    <cellStyle name="input 128" xfId="2860"/>
    <cellStyle name="Input 129" xfId="2880"/>
    <cellStyle name="Input 13" xfId="1150"/>
    <cellStyle name="input 130" xfId="2905"/>
    <cellStyle name="input 131" xfId="2903"/>
    <cellStyle name="Input 132" xfId="2918"/>
    <cellStyle name="Input 133" xfId="2875"/>
    <cellStyle name="Input 134" xfId="2883"/>
    <cellStyle name="Input 135" xfId="2888"/>
    <cellStyle name="Input 136" xfId="2886"/>
    <cellStyle name="Input 137" xfId="2911"/>
    <cellStyle name="input 138" xfId="2961"/>
    <cellStyle name="input 139" xfId="2957"/>
    <cellStyle name="Input 14" xfId="1151"/>
    <cellStyle name="input 140" xfId="2960"/>
    <cellStyle name="input 141" xfId="2958"/>
    <cellStyle name="Input 142" xfId="2944"/>
    <cellStyle name="Input 143" xfId="2976"/>
    <cellStyle name="Input 144" xfId="2985"/>
    <cellStyle name="Input 145" xfId="2984"/>
    <cellStyle name="Input 146" xfId="2981"/>
    <cellStyle name="Input 147" xfId="2951"/>
    <cellStyle name="Input 148" xfId="2936"/>
    <cellStyle name="Input 149" xfId="2932"/>
    <cellStyle name="Input 15" xfId="1152"/>
    <cellStyle name="Input 150" xfId="2998"/>
    <cellStyle name="Input 151" xfId="3006"/>
    <cellStyle name="Input 152" xfId="2968"/>
    <cellStyle name="Input 153" xfId="3010"/>
    <cellStyle name="Input 154" xfId="2927"/>
    <cellStyle name="Input 155" xfId="2987"/>
    <cellStyle name="Input 156" xfId="2937"/>
    <cellStyle name="Input 157" xfId="2975"/>
    <cellStyle name="Input 158" xfId="2952"/>
    <cellStyle name="Input 159" xfId="2942"/>
    <cellStyle name="Input 16" xfId="1153"/>
    <cellStyle name="Input 160" xfId="2986"/>
    <cellStyle name="Input 161" xfId="2943"/>
    <cellStyle name="Input 162" xfId="2953"/>
    <cellStyle name="Input 163" xfId="2935"/>
    <cellStyle name="input 164" xfId="3059"/>
    <cellStyle name="input 165" xfId="3056"/>
    <cellStyle name="input 166" xfId="3063"/>
    <cellStyle name="Input 17" xfId="1154"/>
    <cellStyle name="Input 18" xfId="1155"/>
    <cellStyle name="Input 19" xfId="1156"/>
    <cellStyle name="Input 2" xfId="1157"/>
    <cellStyle name="Input 20" xfId="1158"/>
    <cellStyle name="Input 21" xfId="1159"/>
    <cellStyle name="Input 22" xfId="1160"/>
    <cellStyle name="Input 23" xfId="1161"/>
    <cellStyle name="Input 24" xfId="1162"/>
    <cellStyle name="Input 25" xfId="1163"/>
    <cellStyle name="Input 26" xfId="1164"/>
    <cellStyle name="Input 27" xfId="1165"/>
    <cellStyle name="Input 28" xfId="1166"/>
    <cellStyle name="Input 29" xfId="1167"/>
    <cellStyle name="Input 3" xfId="1168"/>
    <cellStyle name="Input 30" xfId="1169"/>
    <cellStyle name="Input 31" xfId="1170"/>
    <cellStyle name="Input 32" xfId="1171"/>
    <cellStyle name="Input 33" xfId="1172"/>
    <cellStyle name="Input 34" xfId="1173"/>
    <cellStyle name="Input 35" xfId="1174"/>
    <cellStyle name="Input 36" xfId="1175"/>
    <cellStyle name="Input 37" xfId="1176"/>
    <cellStyle name="Input 38" xfId="1177"/>
    <cellStyle name="Input 39" xfId="1178"/>
    <cellStyle name="Input 4" xfId="1179"/>
    <cellStyle name="Input 40" xfId="1180"/>
    <cellStyle name="Input 41" xfId="1181"/>
    <cellStyle name="Input 42" xfId="1182"/>
    <cellStyle name="Input 43" xfId="1183"/>
    <cellStyle name="Input 44" xfId="1184"/>
    <cellStyle name="Input 45" xfId="1606"/>
    <cellStyle name="Input 46" xfId="1578"/>
    <cellStyle name="Input 47" xfId="1604"/>
    <cellStyle name="Input 48" xfId="1577"/>
    <cellStyle name="Input 49" xfId="1605"/>
    <cellStyle name="Input 5" xfId="1185"/>
    <cellStyle name="Input 50" xfId="1616"/>
    <cellStyle name="Input 51" xfId="1607"/>
    <cellStyle name="Input 52" xfId="1617"/>
    <cellStyle name="Input 53" xfId="1608"/>
    <cellStyle name="Input 54" xfId="1618"/>
    <cellStyle name="Input 55" xfId="1610"/>
    <cellStyle name="Input 56" xfId="1621"/>
    <cellStyle name="Input 57" xfId="1625"/>
    <cellStyle name="Input 58" xfId="1629"/>
    <cellStyle name="Input 59" xfId="1633"/>
    <cellStyle name="Input 6" xfId="1186"/>
    <cellStyle name="Input 60" xfId="1637"/>
    <cellStyle name="Input 61" xfId="1641"/>
    <cellStyle name="Input 62" xfId="1645"/>
    <cellStyle name="Input 63" xfId="1649"/>
    <cellStyle name="Input 64" xfId="1653"/>
    <cellStyle name="Input 65" xfId="1657"/>
    <cellStyle name="Input 66" xfId="1661"/>
    <cellStyle name="Input 67" xfId="1665"/>
    <cellStyle name="Input 68" xfId="1669"/>
    <cellStyle name="Input 69" xfId="1673"/>
    <cellStyle name="Input 7" xfId="1187"/>
    <cellStyle name="Input 70" xfId="1677"/>
    <cellStyle name="Input 71" xfId="1681"/>
    <cellStyle name="Input 72" xfId="1722"/>
    <cellStyle name="Input 73" xfId="1595"/>
    <cellStyle name="Input 74" xfId="1724"/>
    <cellStyle name="Input 75" xfId="1594"/>
    <cellStyle name="Input 76" xfId="1725"/>
    <cellStyle name="Input 77" xfId="1596"/>
    <cellStyle name="Input 78" xfId="1726"/>
    <cellStyle name="Input 79" xfId="1599"/>
    <cellStyle name="Input 8" xfId="1188"/>
    <cellStyle name="Input 80" xfId="1721"/>
    <cellStyle name="Input 81" xfId="1741"/>
    <cellStyle name="Input 82" xfId="1723"/>
    <cellStyle name="Input 83" xfId="1749"/>
    <cellStyle name="Input 84" xfId="1729"/>
    <cellStyle name="Input 85" xfId="1750"/>
    <cellStyle name="Input 86" xfId="1730"/>
    <cellStyle name="Input 87" xfId="1754"/>
    <cellStyle name="Input 88" xfId="1737"/>
    <cellStyle name="Input 89" xfId="1757"/>
    <cellStyle name="Input 9" xfId="1189"/>
    <cellStyle name="Input 90" xfId="1761"/>
    <cellStyle name="Input 91" xfId="1765"/>
    <cellStyle name="Input 92" xfId="1769"/>
    <cellStyle name="Input 93" xfId="2685"/>
    <cellStyle name="Input 94" xfId="2726"/>
    <cellStyle name="Input 95" xfId="2684"/>
    <cellStyle name="Input 96" xfId="2727"/>
    <cellStyle name="Input 97" xfId="2686"/>
    <cellStyle name="Input 98" xfId="2729"/>
    <cellStyle name="Input 99" xfId="2683"/>
    <cellStyle name="Input Box" xfId="43"/>
    <cellStyle name="Input Currency" xfId="1190"/>
    <cellStyle name="Input Currency 2" xfId="2601"/>
    <cellStyle name="Input Date" xfId="1191"/>
    <cellStyle name="Input Date 2" xfId="2602"/>
    <cellStyle name="Input Fixed [0]" xfId="1192"/>
    <cellStyle name="Input Fixed [0] 2" xfId="2603"/>
    <cellStyle name="Input Normal" xfId="1193"/>
    <cellStyle name="Input Normal 2" xfId="2604"/>
    <cellStyle name="Input Percent" xfId="1194"/>
    <cellStyle name="Input Percent [2]" xfId="1195"/>
    <cellStyle name="Input Percent [2] 2" xfId="2606"/>
    <cellStyle name="Input Percent 2" xfId="2605"/>
    <cellStyle name="Input Percent 3" xfId="2834"/>
    <cellStyle name="Input Percent_~2144771" xfId="1196"/>
    <cellStyle name="Input Titles" xfId="1197"/>
    <cellStyle name="InputBlueFont" xfId="1198"/>
    <cellStyle name="InputNormal" xfId="1199"/>
    <cellStyle name="InputPct" xfId="1200"/>
    <cellStyle name="Integer" xfId="44"/>
    <cellStyle name="Integer 2" xfId="1201"/>
    <cellStyle name="Integer_Dados Operacionais" xfId="1202"/>
    <cellStyle name="Intermediário" xfId="2840"/>
    <cellStyle name="Item" xfId="45"/>
    <cellStyle name="Item 2" xfId="1203"/>
    <cellStyle name="Item_Dados Operacionais" xfId="1204"/>
    <cellStyle name="Items_Optional" xfId="1205"/>
    <cellStyle name="ItemTypeClass" xfId="46"/>
    <cellStyle name="ItemTypeClass 2" xfId="1206"/>
    <cellStyle name="ItemTypeClass_Dados Operacionais" xfId="1207"/>
    <cellStyle name="jo[" xfId="47"/>
    <cellStyle name="jo[ 2" xfId="1208"/>
    <cellStyle name="jo[_Dados Operacionais" xfId="1209"/>
    <cellStyle name="Linked Cell 2" xfId="1210"/>
    <cellStyle name="M S SANS SERIF" xfId="1211"/>
    <cellStyle name="M S SANS SERIF 2" xfId="2607"/>
    <cellStyle name="MacroCode" xfId="1212"/>
    <cellStyle name="MacroCode 2" xfId="2608"/>
    <cellStyle name="Mike" xfId="1213"/>
    <cellStyle name="Mike 2" xfId="2609"/>
    <cellStyle name="Millares [0]_19 02 01" xfId="48"/>
    <cellStyle name="Millares [2]" xfId="49"/>
    <cellStyle name="Millares_19 02 01" xfId="50"/>
    <cellStyle name="Moeda [0]_alocação por fontes" xfId="51"/>
    <cellStyle name="Moedaᦠ[0]" xfId="1214"/>
    <cellStyle name="Moedaᦠ[0] 2" xfId="2610"/>
    <cellStyle name="Moeda_alocação por fontes" xfId="52"/>
    <cellStyle name="Moneda [0]_19 02 01" xfId="53"/>
    <cellStyle name="Moneda_19 02 01" xfId="54"/>
    <cellStyle name="Morgan" xfId="1215"/>
    <cellStyle name="Multiple" xfId="1216"/>
    <cellStyle name="Multiple [0]" xfId="1217"/>
    <cellStyle name="Multiple [0] 2" xfId="2611"/>
    <cellStyle name="Multiple [1]" xfId="1218"/>
    <cellStyle name="Multiple [1] 2" xfId="2612"/>
    <cellStyle name="Multiple [2]" xfId="1219"/>
    <cellStyle name="Multiple [2] 2" xfId="2613"/>
    <cellStyle name="NA is zero" xfId="1220"/>
    <cellStyle name="NA is zero 2" xfId="2614"/>
    <cellStyle name="Neutra" xfId="1221"/>
    <cellStyle name="Neutral 2" xfId="1222"/>
    <cellStyle name="no dec" xfId="1223"/>
    <cellStyle name="No Decimal" xfId="1224"/>
    <cellStyle name="No Decimal 2" xfId="2615"/>
    <cellStyle name="No-definido" xfId="55"/>
    <cellStyle name="Normal" xfId="0" builtinId="0"/>
    <cellStyle name="Normal - Estilo1" xfId="1225"/>
    <cellStyle name="Normal - Estilo1 2" xfId="2616"/>
    <cellStyle name="Normal - Estilo2" xfId="1226"/>
    <cellStyle name="Normal - Estilo2 2" xfId="2617"/>
    <cellStyle name="Normal - Estilo3" xfId="1227"/>
    <cellStyle name="Normal - Estilo3 2" xfId="2618"/>
    <cellStyle name="Normal - Estilo4" xfId="1228"/>
    <cellStyle name="Normal - Estilo4 2" xfId="2619"/>
    <cellStyle name="Normal - Estilo5" xfId="1229"/>
    <cellStyle name="Normal - Estilo5 2" xfId="2620"/>
    <cellStyle name="Normal - Estilo5 3" xfId="2841"/>
    <cellStyle name="Normal - Estilo6" xfId="1230"/>
    <cellStyle name="Normal - Estilo6 2" xfId="2621"/>
    <cellStyle name="Normal - Estilo6 3" xfId="2842"/>
    <cellStyle name="Normal - Estilo7" xfId="1231"/>
    <cellStyle name="Normal - Estilo7 2" xfId="2622"/>
    <cellStyle name="Normal - Estilo7 3" xfId="2843"/>
    <cellStyle name="Normal - Estilo8" xfId="1232"/>
    <cellStyle name="Normal - Estilo8 2" xfId="2623"/>
    <cellStyle name="Normal - Estilo8 3" xfId="2844"/>
    <cellStyle name="Normal - Style1" xfId="56"/>
    <cellStyle name="Normal (%)" xfId="1233"/>
    <cellStyle name="Normal (%) 2" xfId="1234"/>
    <cellStyle name="Normal (%) 3" xfId="2624"/>
    <cellStyle name="Normal (%) 4" xfId="2864"/>
    <cellStyle name="Normal (%)_Dados Operacionais" xfId="1235"/>
    <cellStyle name="Normal (£m)" xfId="1236"/>
    <cellStyle name="Normal (£m) 2" xfId="2626"/>
    <cellStyle name="Normal (No)" xfId="1237"/>
    <cellStyle name="Normal (No) 2" xfId="1238"/>
    <cellStyle name="Normal (No) 3" xfId="2627"/>
    <cellStyle name="Normal (No) 4" xfId="2856"/>
    <cellStyle name="Normal (No)_Dados Operacionais" xfId="1239"/>
    <cellStyle name="Normal (x)" xfId="1240"/>
    <cellStyle name="Normal (x) 2" xfId="2629"/>
    <cellStyle name="Normal [0]" xfId="1241"/>
    <cellStyle name="Normal [0] 2" xfId="2630"/>
    <cellStyle name="Normal [1]" xfId="1242"/>
    <cellStyle name="Normal [1] 2" xfId="2631"/>
    <cellStyle name="Normal [2]" xfId="1243"/>
    <cellStyle name="Normal [2] 2" xfId="2632"/>
    <cellStyle name="Normal [3]" xfId="1244"/>
    <cellStyle name="Normal [3] 2" xfId="2633"/>
    <cellStyle name="Normal 10" xfId="1245"/>
    <cellStyle name="Normal 100" xfId="2640"/>
    <cellStyle name="Normal 101" xfId="2625"/>
    <cellStyle name="Normal 102" xfId="2597"/>
    <cellStyle name="Normal 103" xfId="2582"/>
    <cellStyle name="Normal 104" xfId="2562"/>
    <cellStyle name="Normal 105" xfId="2556"/>
    <cellStyle name="Normal 106" xfId="2546"/>
    <cellStyle name="Normal 107" xfId="1856"/>
    <cellStyle name="Normal 108" xfId="2738"/>
    <cellStyle name="Normal 109" xfId="2741"/>
    <cellStyle name="Normal 11" xfId="1246"/>
    <cellStyle name="Normal 110" xfId="2744"/>
    <cellStyle name="Normal 111" xfId="2747"/>
    <cellStyle name="Normal 112" xfId="2749"/>
    <cellStyle name="Normal 113" xfId="2751"/>
    <cellStyle name="Normal 114" xfId="2771"/>
    <cellStyle name="Normal 115" xfId="2775"/>
    <cellStyle name="Normal 116" xfId="2778"/>
    <cellStyle name="Normal 117" xfId="2774"/>
    <cellStyle name="Normal 118" xfId="2784"/>
    <cellStyle name="Normal 119" xfId="2787"/>
    <cellStyle name="Normal 12" xfId="1247"/>
    <cellStyle name="Normal 120" xfId="2789"/>
    <cellStyle name="Normal 121" xfId="2791"/>
    <cellStyle name="Normal 122" xfId="2793"/>
    <cellStyle name="Normal 123" xfId="2795"/>
    <cellStyle name="Normal 124" xfId="2797"/>
    <cellStyle name="Normal 125" xfId="2799"/>
    <cellStyle name="Normal 126" xfId="2802"/>
    <cellStyle name="Normal 127" xfId="2805"/>
    <cellStyle name="Normal 128" xfId="2808"/>
    <cellStyle name="Normal 129" xfId="2811"/>
    <cellStyle name="Normal 13" xfId="1248"/>
    <cellStyle name="Normal 130" xfId="2836"/>
    <cellStyle name="Normal 131" xfId="2847"/>
    <cellStyle name="Normal 132" xfId="2855"/>
    <cellStyle name="Normal 133" xfId="75"/>
    <cellStyle name="Normal 134" xfId="1475"/>
    <cellStyle name="Normal 135" xfId="2877"/>
    <cellStyle name="Normal 136" xfId="2891"/>
    <cellStyle name="Normal 137" xfId="2884"/>
    <cellStyle name="Normal 138" xfId="2874"/>
    <cellStyle name="Normal 139" xfId="2896"/>
    <cellStyle name="Normal 14" xfId="1249"/>
    <cellStyle name="Normal 140" xfId="2863"/>
    <cellStyle name="Normal 141" xfId="2894"/>
    <cellStyle name="Normal 142" xfId="2907"/>
    <cellStyle name="Normal 143" xfId="2915"/>
    <cellStyle name="Normal 144" xfId="2899"/>
    <cellStyle name="Normal 145" xfId="2923"/>
    <cellStyle name="Normal 146" xfId="2925"/>
    <cellStyle name="Normal 147" xfId="2926"/>
    <cellStyle name="Normal 148" xfId="2928"/>
    <cellStyle name="Normal 149" xfId="2929"/>
    <cellStyle name="Normal 15" xfId="1250"/>
    <cellStyle name="Normal 150" xfId="2974"/>
    <cellStyle name="Normal 151" xfId="3009"/>
    <cellStyle name="Normal 152" xfId="2962"/>
    <cellStyle name="Normal 153" xfId="3000"/>
    <cellStyle name="Normal 154" xfId="2941"/>
    <cellStyle name="Normal 155" xfId="2971"/>
    <cellStyle name="Normal 156" xfId="3020"/>
    <cellStyle name="Normal 157" xfId="3024"/>
    <cellStyle name="Normal 158" xfId="3028"/>
    <cellStyle name="Normal 159" xfId="3032"/>
    <cellStyle name="Normal 16" xfId="1251"/>
    <cellStyle name="Normal 160" xfId="3035"/>
    <cellStyle name="Normal 161" xfId="3037"/>
    <cellStyle name="Normal 162" xfId="3039"/>
    <cellStyle name="Normal 163" xfId="3040"/>
    <cellStyle name="Normal 164" xfId="3042"/>
    <cellStyle name="Normal 165" xfId="3043"/>
    <cellStyle name="Normal 166" xfId="3044"/>
    <cellStyle name="Normal 167" xfId="3045"/>
    <cellStyle name="Normal 168" xfId="3046"/>
    <cellStyle name="Normal 169" xfId="3047"/>
    <cellStyle name="Normal 17" xfId="1252"/>
    <cellStyle name="Normal 170" xfId="3048"/>
    <cellStyle name="Normal 171" xfId="3049"/>
    <cellStyle name="Normal 172" xfId="3050"/>
    <cellStyle name="Normal 173" xfId="3051"/>
    <cellStyle name="Normal 174" xfId="3052"/>
    <cellStyle name="Normal 175" xfId="3053"/>
    <cellStyle name="Normal 176" xfId="3061"/>
    <cellStyle name="Normal 177" xfId="3055"/>
    <cellStyle name="Normal 18" xfId="1253"/>
    <cellStyle name="Normal 19" xfId="1254"/>
    <cellStyle name="Normal 2" xfId="2"/>
    <cellStyle name="Normal 2 2" xfId="1255"/>
    <cellStyle name="Normal 2_Dados Operacionais" xfId="1256"/>
    <cellStyle name="Normal 20" xfId="1257"/>
    <cellStyle name="Normal 21" xfId="1258"/>
    <cellStyle name="Normal 22" xfId="1259"/>
    <cellStyle name="Normal 23" xfId="1260"/>
    <cellStyle name="Normal 24" xfId="1261"/>
    <cellStyle name="Normal 25" xfId="1262"/>
    <cellStyle name="Normal 26" xfId="1263"/>
    <cellStyle name="Normal 27" xfId="1264"/>
    <cellStyle name="Normal 28" xfId="1265"/>
    <cellStyle name="Normal 29" xfId="1266"/>
    <cellStyle name="Normal 3" xfId="1267"/>
    <cellStyle name="Normal 30" xfId="1268"/>
    <cellStyle name="Normal 31" xfId="1269"/>
    <cellStyle name="Normal 32" xfId="1270"/>
    <cellStyle name="Normal 33" xfId="1271"/>
    <cellStyle name="Normal 34" xfId="1272"/>
    <cellStyle name="Normal 35" xfId="1273"/>
    <cellStyle name="Normal 36" xfId="1274"/>
    <cellStyle name="Normal 37" xfId="1275"/>
    <cellStyle name="Normal 38" xfId="1276"/>
    <cellStyle name="Normal 39" xfId="1277"/>
    <cellStyle name="Normal 4" xfId="1278"/>
    <cellStyle name="Normal 40" xfId="1279"/>
    <cellStyle name="Normal 41" xfId="1280"/>
    <cellStyle name="Normal 42" xfId="1281"/>
    <cellStyle name="Normal 43" xfId="1282"/>
    <cellStyle name="Normal 44" xfId="1283"/>
    <cellStyle name="Normal 45" xfId="1284"/>
    <cellStyle name="Normal 46" xfId="1574"/>
    <cellStyle name="Normal 47" xfId="1575"/>
    <cellStyle name="Normal 48" xfId="1576"/>
    <cellStyle name="Normal 49" xfId="1615"/>
    <cellStyle name="Normal 5" xfId="1285"/>
    <cellStyle name="Normal 50" xfId="1623"/>
    <cellStyle name="Normal 51" xfId="1627"/>
    <cellStyle name="Normal 52" xfId="1631"/>
    <cellStyle name="Normal 53" xfId="1635"/>
    <cellStyle name="Normal 54" xfId="1639"/>
    <cellStyle name="Normal 55" xfId="1643"/>
    <cellStyle name="Normal 56" xfId="1647"/>
    <cellStyle name="Normal 57" xfId="1651"/>
    <cellStyle name="Normal 58" xfId="1655"/>
    <cellStyle name="Normal 59" xfId="1659"/>
    <cellStyle name="Normal 6" xfId="1286"/>
    <cellStyle name="Normal 60" xfId="1663"/>
    <cellStyle name="Normal 61" xfId="1667"/>
    <cellStyle name="Normal 62" xfId="1671"/>
    <cellStyle name="Normal 63" xfId="1675"/>
    <cellStyle name="Normal 64" xfId="1679"/>
    <cellStyle name="Normal 65" xfId="1683"/>
    <cellStyle name="Normal 66" xfId="1687"/>
    <cellStyle name="Normal 67" xfId="1690"/>
    <cellStyle name="Normal 68" xfId="1694"/>
    <cellStyle name="Normal 69" xfId="1697"/>
    <cellStyle name="Normal 7" xfId="1287"/>
    <cellStyle name="Normal 70" xfId="1701"/>
    <cellStyle name="Normal 71" xfId="1704"/>
    <cellStyle name="Normal 72" xfId="1708"/>
    <cellStyle name="Normal 73" xfId="1711"/>
    <cellStyle name="Normal 74" xfId="1715"/>
    <cellStyle name="Normal 75" xfId="1601"/>
    <cellStyle name="Normal 76" xfId="1731"/>
    <cellStyle name="Normal 77" xfId="1734"/>
    <cellStyle name="Normal 78" xfId="1739"/>
    <cellStyle name="Normal 79" xfId="1743"/>
    <cellStyle name="Normal 8" xfId="1288"/>
    <cellStyle name="Normal 80" xfId="1747"/>
    <cellStyle name="Normal 81" xfId="1751"/>
    <cellStyle name="Normal 82" xfId="1753"/>
    <cellStyle name="Normal 83" xfId="1759"/>
    <cellStyle name="Normal 84" xfId="1763"/>
    <cellStyle name="Normal 85" xfId="1767"/>
    <cellStyle name="Normal 86" xfId="1771"/>
    <cellStyle name="Normal 87" xfId="1775"/>
    <cellStyle name="Normal 88" xfId="1779"/>
    <cellStyle name="Normal 89" xfId="1783"/>
    <cellStyle name="Normal 9" xfId="1289"/>
    <cellStyle name="Normal 90" xfId="1786"/>
    <cellStyle name="Normal 91" xfId="1790"/>
    <cellStyle name="Normal 92" xfId="1793"/>
    <cellStyle name="Normal 93" xfId="1796"/>
    <cellStyle name="Normal 94" xfId="1799"/>
    <cellStyle name="Normal 95" xfId="1803"/>
    <cellStyle name="Normal 96" xfId="2734"/>
    <cellStyle name="Normal 97" xfId="2675"/>
    <cellStyle name="Normal 98" xfId="2666"/>
    <cellStyle name="Normal 99" xfId="2650"/>
    <cellStyle name="Normal Bold" xfId="1290"/>
    <cellStyle name="Normal Pct" xfId="1291"/>
    <cellStyle name="Normal Pct 2" xfId="2635"/>
    <cellStyle name="NormalBold" xfId="1292"/>
    <cellStyle name="NormalGB" xfId="1293"/>
    <cellStyle name="NormalGB 2" xfId="2636"/>
    <cellStyle name="Nota" xfId="1294"/>
    <cellStyle name="Nota 2" xfId="2637"/>
    <cellStyle name="Note 2" xfId="1609"/>
    <cellStyle name="Note 3" xfId="2638"/>
    <cellStyle name="Note 4" xfId="1295"/>
    <cellStyle name="Notes" xfId="1296"/>
    <cellStyle name="notetotal" xfId="1297"/>
    <cellStyle name="NPPESalesPct" xfId="1298"/>
    <cellStyle name="NPPESalesPct 2" xfId="2639"/>
    <cellStyle name="Nulos" xfId="57"/>
    <cellStyle name="Number" xfId="1299"/>
    <cellStyle name="Number [0]" xfId="1300"/>
    <cellStyle name="Number [0] 2" xfId="2641"/>
    <cellStyle name="Number [1]" xfId="1301"/>
    <cellStyle name="Number [1] 2" xfId="2642"/>
    <cellStyle name="Number [2]" xfId="1302"/>
    <cellStyle name="Number [2] 2" xfId="2643"/>
    <cellStyle name="Number 10" xfId="1303"/>
    <cellStyle name="Number 11" xfId="1304"/>
    <cellStyle name="Number 12" xfId="1305"/>
    <cellStyle name="Number 13" xfId="1306"/>
    <cellStyle name="Number 14" xfId="1307"/>
    <cellStyle name="Number 15" xfId="1308"/>
    <cellStyle name="Number 16" xfId="1309"/>
    <cellStyle name="Number 17" xfId="1310"/>
    <cellStyle name="Number 18" xfId="1311"/>
    <cellStyle name="Number 19" xfId="1312"/>
    <cellStyle name="Number 2" xfId="1313"/>
    <cellStyle name="Number 20" xfId="1314"/>
    <cellStyle name="Number 21" xfId="1315"/>
    <cellStyle name="Number 22" xfId="1316"/>
    <cellStyle name="Number 23" xfId="1317"/>
    <cellStyle name="Number 24" xfId="1318"/>
    <cellStyle name="Number 25" xfId="1319"/>
    <cellStyle name="Number 26" xfId="1320"/>
    <cellStyle name="Number 27" xfId="1321"/>
    <cellStyle name="Number 28" xfId="1322"/>
    <cellStyle name="Number 29" xfId="1323"/>
    <cellStyle name="Number 3" xfId="1324"/>
    <cellStyle name="Number 30" xfId="1325"/>
    <cellStyle name="Number 31" xfId="1326"/>
    <cellStyle name="Number 32" xfId="1327"/>
    <cellStyle name="Number 33" xfId="1328"/>
    <cellStyle name="Number 34" xfId="1329"/>
    <cellStyle name="Number 35" xfId="1330"/>
    <cellStyle name="Number 36" xfId="1331"/>
    <cellStyle name="Number 37" xfId="1332"/>
    <cellStyle name="Number 38" xfId="1333"/>
    <cellStyle name="Number 39" xfId="1334"/>
    <cellStyle name="Number 4" xfId="1335"/>
    <cellStyle name="Number 40" xfId="1336"/>
    <cellStyle name="Number 41" xfId="1337"/>
    <cellStyle name="Number 42" xfId="1338"/>
    <cellStyle name="Number 43" xfId="1339"/>
    <cellStyle name="Number 44" xfId="1340"/>
    <cellStyle name="Number 45" xfId="2871"/>
    <cellStyle name="Number 46" xfId="2917"/>
    <cellStyle name="Number 47" xfId="2869"/>
    <cellStyle name="Number 48" xfId="2919"/>
    <cellStyle name="Number 49" xfId="2876"/>
    <cellStyle name="Number 5" xfId="1341"/>
    <cellStyle name="Number 50" xfId="2895"/>
    <cellStyle name="Number 51" xfId="2916"/>
    <cellStyle name="Number 52" xfId="2973"/>
    <cellStyle name="Number 53" xfId="2982"/>
    <cellStyle name="Number 54" xfId="2988"/>
    <cellStyle name="Number 55" xfId="2931"/>
    <cellStyle name="Number 56" xfId="2989"/>
    <cellStyle name="Number 57" xfId="2964"/>
    <cellStyle name="Number 58" xfId="2990"/>
    <cellStyle name="Number 59" xfId="3001"/>
    <cellStyle name="Number 6" xfId="1342"/>
    <cellStyle name="Number 60" xfId="2991"/>
    <cellStyle name="Number 61" xfId="2963"/>
    <cellStyle name="Number 62" xfId="2992"/>
    <cellStyle name="Number 63" xfId="2930"/>
    <cellStyle name="Number 64" xfId="3008"/>
    <cellStyle name="Number 65" xfId="2947"/>
    <cellStyle name="Number 66" xfId="2940"/>
    <cellStyle name="Number 67" xfId="2933"/>
    <cellStyle name="Number 68" xfId="2977"/>
    <cellStyle name="Number 69" xfId="2970"/>
    <cellStyle name="Number 7" xfId="1343"/>
    <cellStyle name="Number 70" xfId="3019"/>
    <cellStyle name="Number 71" xfId="3022"/>
    <cellStyle name="Number 72" xfId="3027"/>
    <cellStyle name="Number 73" xfId="3030"/>
    <cellStyle name="Number 8" xfId="1344"/>
    <cellStyle name="Number 9" xfId="1345"/>
    <cellStyle name="Number[2]" xfId="1346"/>
    <cellStyle name="Number[2] 2" xfId="2647"/>
    <cellStyle name="Number_Dados Operacionais" xfId="1347"/>
    <cellStyle name="NumberX" xfId="1348"/>
    <cellStyle name="numero0" xfId="1349"/>
    <cellStyle name="Numero1" xfId="1350"/>
    <cellStyle name="Número2" xfId="1351"/>
    <cellStyle name="NWI%S" xfId="1352"/>
    <cellStyle name="NWI%S 2" xfId="2648"/>
    <cellStyle name="N嗯rmal_Workbook1 Chart 2" xfId="1353"/>
    <cellStyle name="Œ…‹æØ‚è [0.00]_GE 3 MINIMUM" xfId="1354"/>
    <cellStyle name="Œ…‹æØ‚è_GE 3 MINIMUM" xfId="1355"/>
    <cellStyle name="Oficio" xfId="58"/>
    <cellStyle name="Output 2" xfId="1357"/>
    <cellStyle name="Output Amounts" xfId="1358"/>
    <cellStyle name="Output Column Headings" xfId="1359"/>
    <cellStyle name="Output Labels" xfId="1360"/>
    <cellStyle name="Output Line Items" xfId="1361"/>
    <cellStyle name="Output Report Heading" xfId="1362"/>
    <cellStyle name="Output Report Title" xfId="1363"/>
    <cellStyle name="Page Number" xfId="1364"/>
    <cellStyle name="Pagina" xfId="1365"/>
    <cellStyle name="pc1" xfId="1366"/>
    <cellStyle name="pc1 2" xfId="2649"/>
    <cellStyle name="Percen - Estilo2" xfId="2845"/>
    <cellStyle name="Percent" xfId="1" builtinId="5"/>
    <cellStyle name="Percent [0%]" xfId="1367"/>
    <cellStyle name="Percent [0%] 2" xfId="2651"/>
    <cellStyle name="Percent [0.00%]" xfId="1368"/>
    <cellStyle name="Percent [0.00%] 2" xfId="2652"/>
    <cellStyle name="Percent [0]" xfId="1369"/>
    <cellStyle name="Percent [0] 2" xfId="2653"/>
    <cellStyle name="Percent [1]" xfId="1370"/>
    <cellStyle name="Percent [1] 2" xfId="2654"/>
    <cellStyle name="Percent [2]" xfId="1371"/>
    <cellStyle name="Percent [2] 2" xfId="2655"/>
    <cellStyle name="Percent 10" xfId="1372"/>
    <cellStyle name="Percent 100" xfId="2679"/>
    <cellStyle name="Percent 101" xfId="2731"/>
    <cellStyle name="Percent 102" xfId="2676"/>
    <cellStyle name="Percent 103" xfId="2646"/>
    <cellStyle name="Percent 104" xfId="2656"/>
    <cellStyle name="Percent 105" xfId="2644"/>
    <cellStyle name="Percent 106" xfId="2628"/>
    <cellStyle name="Percent 107" xfId="2598"/>
    <cellStyle name="Percent 108" xfId="2583"/>
    <cellStyle name="Percent 109" xfId="2563"/>
    <cellStyle name="Percent 11" xfId="1373"/>
    <cellStyle name="Percent 110" xfId="2557"/>
    <cellStyle name="Percent 111" xfId="2735"/>
    <cellStyle name="Percent 112" xfId="2558"/>
    <cellStyle name="Percent 113" xfId="2737"/>
    <cellStyle name="Percent 114" xfId="2740"/>
    <cellStyle name="Percent 115" xfId="2743"/>
    <cellStyle name="Percent 116" xfId="2746"/>
    <cellStyle name="Percent 117" xfId="2770"/>
    <cellStyle name="Percent 118" xfId="2772"/>
    <cellStyle name="Percent 119" xfId="2776"/>
    <cellStyle name="Percent 12" xfId="1374"/>
    <cellStyle name="Percent 120" xfId="2779"/>
    <cellStyle name="Percent 121" xfId="2782"/>
    <cellStyle name="Percent 122" xfId="2785"/>
    <cellStyle name="Percent 123" xfId="2788"/>
    <cellStyle name="Percent 124" xfId="2790"/>
    <cellStyle name="Percent 125" xfId="2792"/>
    <cellStyle name="Percent 126" xfId="2794"/>
    <cellStyle name="Percent 127" xfId="2796"/>
    <cellStyle name="Percent 128" xfId="2798"/>
    <cellStyle name="Percent 129" xfId="2800"/>
    <cellStyle name="Percent 13" xfId="1375"/>
    <cellStyle name="Percent 130" xfId="2803"/>
    <cellStyle name="Percent 131" xfId="2806"/>
    <cellStyle name="Percent 132" xfId="2809"/>
    <cellStyle name="Percent 133" xfId="2812"/>
    <cellStyle name="Percent 134" xfId="2846"/>
    <cellStyle name="Percent 135" xfId="2852"/>
    <cellStyle name="Percent 136" xfId="2873"/>
    <cellStyle name="Percent 137" xfId="2892"/>
    <cellStyle name="Percent 138" xfId="2882"/>
    <cellStyle name="Percent 139" xfId="2889"/>
    <cellStyle name="Percent 14" xfId="1376"/>
    <cellStyle name="Percent 140" xfId="2885"/>
    <cellStyle name="Percent 141" xfId="2890"/>
    <cellStyle name="Percent 142" xfId="2858"/>
    <cellStyle name="Percent 143" xfId="2906"/>
    <cellStyle name="Percent 144" xfId="2922"/>
    <cellStyle name="Percent 145" xfId="2921"/>
    <cellStyle name="Percent 146" xfId="2893"/>
    <cellStyle name="Percent 147" xfId="2868"/>
    <cellStyle name="Percent 148" xfId="2857"/>
    <cellStyle name="Percent 149" xfId="2924"/>
    <cellStyle name="Percent 15" xfId="1377"/>
    <cellStyle name="Percent 150" xfId="2867"/>
    <cellStyle name="Percent 151" xfId="2966"/>
    <cellStyle name="Percent 152" xfId="2945"/>
    <cellStyle name="Percent 153" xfId="2999"/>
    <cellStyle name="Percent 154" xfId="2939"/>
    <cellStyle name="Percent 155" xfId="2954"/>
    <cellStyle name="Percent 156" xfId="2950"/>
    <cellStyle name="Percent 157" xfId="2997"/>
    <cellStyle name="Percent 158" xfId="3013"/>
    <cellStyle name="Percent 159" xfId="2901"/>
    <cellStyle name="Percent 16" xfId="1378"/>
    <cellStyle name="Percent 160" xfId="2949"/>
    <cellStyle name="Percent 161" xfId="1356"/>
    <cellStyle name="Percent 162" xfId="3012"/>
    <cellStyle name="Percent 163" xfId="2996"/>
    <cellStyle name="Percent 164" xfId="2948"/>
    <cellStyle name="Percent 165" xfId="2993"/>
    <cellStyle name="Percent 166" xfId="3004"/>
    <cellStyle name="Percent 167" xfId="2969"/>
    <cellStyle name="Percent 168" xfId="2967"/>
    <cellStyle name="Percent 169" xfId="3017"/>
    <cellStyle name="Percent 17" xfId="1379"/>
    <cellStyle name="Percent 170" xfId="2946"/>
    <cellStyle name="Percent 171" xfId="3025"/>
    <cellStyle name="Percent 172" xfId="3023"/>
    <cellStyle name="Percent 173" xfId="3033"/>
    <cellStyle name="Percent 174" xfId="3031"/>
    <cellStyle name="Percent 175" xfId="3038"/>
    <cellStyle name="Percent 176" xfId="3036"/>
    <cellStyle name="Percent 177" xfId="3060"/>
    <cellStyle name="Percent 178" xfId="3062"/>
    <cellStyle name="Percent 179" xfId="3054"/>
    <cellStyle name="Percent 18" xfId="1380"/>
    <cellStyle name="Percent 19" xfId="1381"/>
    <cellStyle name="Percent 2" xfId="3"/>
    <cellStyle name="Percent 20" xfId="1382"/>
    <cellStyle name="Percent 21" xfId="1383"/>
    <cellStyle name="Percent 22" xfId="1384"/>
    <cellStyle name="Percent 23" xfId="1385"/>
    <cellStyle name="Percent 24" xfId="1386"/>
    <cellStyle name="Percent 25" xfId="1387"/>
    <cellStyle name="Percent 26" xfId="1388"/>
    <cellStyle name="Percent 27" xfId="1389"/>
    <cellStyle name="Percent 28" xfId="1390"/>
    <cellStyle name="Percent 29" xfId="1391"/>
    <cellStyle name="Percent 3" xfId="1392"/>
    <cellStyle name="Percent 3 2" xfId="2658"/>
    <cellStyle name="Percent 30" xfId="1393"/>
    <cellStyle name="Percent 31" xfId="1394"/>
    <cellStyle name="Percent 32" xfId="1395"/>
    <cellStyle name="Percent 33" xfId="1396"/>
    <cellStyle name="Percent 34" xfId="1397"/>
    <cellStyle name="Percent 35" xfId="1398"/>
    <cellStyle name="Percent 36" xfId="1399"/>
    <cellStyle name="Percent 37" xfId="1400"/>
    <cellStyle name="Percent 38" xfId="1401"/>
    <cellStyle name="Percent 39" xfId="1402"/>
    <cellStyle name="Percent 4" xfId="1403"/>
    <cellStyle name="Percent 4 2" xfId="2659"/>
    <cellStyle name="Percent 40" xfId="1404"/>
    <cellStyle name="Percent 41" xfId="1405"/>
    <cellStyle name="Percent 42" xfId="1406"/>
    <cellStyle name="Percent 43" xfId="1407"/>
    <cellStyle name="Percent 44" xfId="1408"/>
    <cellStyle name="Percent 45" xfId="1409"/>
    <cellStyle name="Percent 46" xfId="1410"/>
    <cellStyle name="Percent 47" xfId="1411"/>
    <cellStyle name="Percent 48" xfId="1412"/>
    <cellStyle name="Percent 49" xfId="1413"/>
    <cellStyle name="Percent 5" xfId="1414"/>
    <cellStyle name="Percent 5 2" xfId="2660"/>
    <cellStyle name="Percent 50" xfId="1415"/>
    <cellStyle name="Percent 51" xfId="1416"/>
    <cellStyle name="Percent 52" xfId="1611"/>
    <cellStyle name="Percent 53" xfId="1619"/>
    <cellStyle name="Percent 54" xfId="1613"/>
    <cellStyle name="Percent 55" xfId="1622"/>
    <cellStyle name="Percent 56" xfId="1626"/>
    <cellStyle name="Percent 57" xfId="1630"/>
    <cellStyle name="Percent 58" xfId="1634"/>
    <cellStyle name="Percent 59" xfId="1638"/>
    <cellStyle name="Percent 6" xfId="1417"/>
    <cellStyle name="Percent 6 2" xfId="2661"/>
    <cellStyle name="Percent 60" xfId="1642"/>
    <cellStyle name="Percent 61" xfId="1646"/>
    <cellStyle name="Percent 62" xfId="1650"/>
    <cellStyle name="Percent 63" xfId="1654"/>
    <cellStyle name="Percent 64" xfId="1658"/>
    <cellStyle name="Percent 65" xfId="1662"/>
    <cellStyle name="Percent 66" xfId="1666"/>
    <cellStyle name="Percent 67" xfId="1670"/>
    <cellStyle name="Percent 68" xfId="1674"/>
    <cellStyle name="Percent 69" xfId="1678"/>
    <cellStyle name="Percent 7" xfId="1418"/>
    <cellStyle name="Percent 7 2" xfId="2662"/>
    <cellStyle name="Percent 70" xfId="1682"/>
    <cellStyle name="Percent 71" xfId="1686"/>
    <cellStyle name="Percent 72" xfId="1689"/>
    <cellStyle name="Percent 73" xfId="1693"/>
    <cellStyle name="Percent 74" xfId="1696"/>
    <cellStyle name="Percent 75" xfId="1700"/>
    <cellStyle name="Percent 76" xfId="1703"/>
    <cellStyle name="Percent 77" xfId="1707"/>
    <cellStyle name="Percent 78" xfId="1710"/>
    <cellStyle name="Percent 79" xfId="1727"/>
    <cellStyle name="Percent 8" xfId="1419"/>
    <cellStyle name="Percent 8 2" xfId="2663"/>
    <cellStyle name="Percent 80" xfId="1600"/>
    <cellStyle name="Percent 81" xfId="1735"/>
    <cellStyle name="Percent 82" xfId="1733"/>
    <cellStyle name="Percent 83" xfId="1738"/>
    <cellStyle name="Percent 84" xfId="1742"/>
    <cellStyle name="Percent 85" xfId="1746"/>
    <cellStyle name="Percent 86" xfId="1755"/>
    <cellStyle name="Percent 87" xfId="1745"/>
    <cellStyle name="Percent 88" xfId="1758"/>
    <cellStyle name="Percent 89" xfId="1762"/>
    <cellStyle name="Percent 9" xfId="1420"/>
    <cellStyle name="Percent 90" xfId="1766"/>
    <cellStyle name="Percent 91" xfId="1770"/>
    <cellStyle name="Percent 92" xfId="1774"/>
    <cellStyle name="Percent 93" xfId="1778"/>
    <cellStyle name="Percent 94" xfId="1782"/>
    <cellStyle name="Percent 95" xfId="1785"/>
    <cellStyle name="Percent 96" xfId="1789"/>
    <cellStyle name="Percent 97" xfId="1792"/>
    <cellStyle name="Percent 98" xfId="1795"/>
    <cellStyle name="Percent 99" xfId="1798"/>
    <cellStyle name="PercentChange" xfId="59"/>
    <cellStyle name="PercentChange 2" xfId="1421"/>
    <cellStyle name="PercentChange_Dados Operacionais" xfId="1422"/>
    <cellStyle name="PercentSales" xfId="1423"/>
    <cellStyle name="PercentSales 2" xfId="2664"/>
    <cellStyle name="planilhas" xfId="1424"/>
    <cellStyle name="Porcentagem 2" xfId="1425"/>
    <cellStyle name="Porcentagem%" xfId="1426"/>
    <cellStyle name="Porcentagem% 2" xfId="2665"/>
    <cellStyle name="Porcentagem_Cenário Básico" xfId="60"/>
    <cellStyle name="Porcentual_mov_dolar" xfId="61"/>
    <cellStyle name="Premissas" xfId="1427"/>
    <cellStyle name="Projeções" xfId="1428"/>
    <cellStyle name="Punto0" xfId="1429"/>
    <cellStyle name="Punto0 - Estilo6" xfId="1430"/>
    <cellStyle name="Ratio" xfId="62"/>
    <cellStyle name="RatioX" xfId="63"/>
    <cellStyle name="RatioX 2" xfId="1431"/>
    <cellStyle name="RatioX_Dados Operacionais" xfId="1432"/>
    <cellStyle name="Red" xfId="1433"/>
    <cellStyle name="Red font" xfId="1434"/>
    <cellStyle name="Red Text" xfId="64"/>
    <cellStyle name="Roadrunner" xfId="1435"/>
    <cellStyle name="Roadrunner 2" xfId="2669"/>
    <cellStyle name="s" xfId="1436"/>
    <cellStyle name="s_Dados Operacionais" xfId="1437"/>
    <cellStyle name="s_DCFLBO Code" xfId="1438"/>
    <cellStyle name="s_DCFLBO Code_1" xfId="1439"/>
    <cellStyle name="s_DCFLBO Code_1_Dados Operacionais" xfId="1440"/>
    <cellStyle name="s_DCFLBO Code_1_Sheet1" xfId="1441"/>
    <cellStyle name="s_Sheet1" xfId="1442"/>
    <cellStyle name="Saída" xfId="1443"/>
    <cellStyle name="Salomon Logo" xfId="1444"/>
    <cellStyle name="Salomon Logo 2" xfId="2670"/>
    <cellStyle name="SAPBEXaggData" xfId="1445"/>
    <cellStyle name="SAPBEXaggDataEmph" xfId="1446"/>
    <cellStyle name="SAPBEXaggItem" xfId="1447"/>
    <cellStyle name="SAPBEXchaText" xfId="1448"/>
    <cellStyle name="SAPBEXexcBad7" xfId="1449"/>
    <cellStyle name="SAPBEXexcBad8" xfId="1450"/>
    <cellStyle name="SAPBEXexcBad9" xfId="1451"/>
    <cellStyle name="SAPBEXexcCritical4" xfId="1452"/>
    <cellStyle name="SAPBEXexcCritical5" xfId="1453"/>
    <cellStyle name="SAPBEXexcCritical6" xfId="1454"/>
    <cellStyle name="SAPBEXexcGood1" xfId="1455"/>
    <cellStyle name="SAPBEXexcGood2" xfId="1456"/>
    <cellStyle name="SAPBEXexcGood3" xfId="1457"/>
    <cellStyle name="SAPBEXfilterDrill" xfId="1458"/>
    <cellStyle name="SAPBEXfilterItem" xfId="1459"/>
    <cellStyle name="SAPBEXfilterText" xfId="1460"/>
    <cellStyle name="SAPBEXformats" xfId="1461"/>
    <cellStyle name="SAPBEXheaderItem" xfId="1462"/>
    <cellStyle name="SAPBEXheaderItem 2" xfId="2671"/>
    <cellStyle name="SAPBEXheaderText" xfId="1463"/>
    <cellStyle name="SAPBEXheaderText 2" xfId="2672"/>
    <cellStyle name="SAPBEXresData" xfId="1464"/>
    <cellStyle name="SAPBEXresDataEmph" xfId="1465"/>
    <cellStyle name="SAPBEXresItem" xfId="1466"/>
    <cellStyle name="SAPBEXstdData" xfId="1467"/>
    <cellStyle name="SAPBEXstdDataEmph" xfId="1468"/>
    <cellStyle name="SAPBEXstdItem" xfId="1469"/>
    <cellStyle name="SAPBEXtitle" xfId="1470"/>
    <cellStyle name="SAPBEXundefined" xfId="1471"/>
    <cellStyle name="ScripFactor" xfId="65"/>
    <cellStyle name="SectionHeading" xfId="66"/>
    <cellStyle name="SectionHeading 2" xfId="1472"/>
    <cellStyle name="SectionHeading_CUSMask" xfId="1473"/>
    <cellStyle name="Sep. milhar [0]" xfId="67"/>
    <cellStyle name="Separador de milhares [0]_ANALISE_backup 14_08_1345" xfId="68"/>
    <cellStyle name="Separador de milhares 2" xfId="1474"/>
    <cellStyle name="Separador de milhares 5" xfId="2849"/>
    <cellStyle name="Separador de milhares_ANALISE_backup 14_08_1345" xfId="69"/>
    <cellStyle name="Shading" xfId="70"/>
    <cellStyle name="Single Accounting" xfId="1476"/>
    <cellStyle name="Source" xfId="1477"/>
    <cellStyle name="Standard" xfId="71"/>
    <cellStyle name="Strange" xfId="1478"/>
    <cellStyle name="Strange 2" xfId="2673"/>
    <cellStyle name="Style 1" xfId="1479"/>
    <cellStyle name="Style 1 2" xfId="1480"/>
    <cellStyle name="Style 1 3" xfId="2674"/>
    <cellStyle name="Style 1_Dados Operacionais" xfId="1481"/>
    <cellStyle name="Style 21" xfId="1482"/>
    <cellStyle name="Style 22" xfId="1483"/>
    <cellStyle name="Style 23" xfId="1484"/>
    <cellStyle name="Style 24" xfId="1485"/>
    <cellStyle name="Style 25" xfId="1486"/>
    <cellStyle name="Style 26" xfId="1487"/>
    <cellStyle name="Style 27" xfId="1488"/>
    <cellStyle name="Style 28" xfId="1489"/>
    <cellStyle name="Style 29" xfId="1490"/>
    <cellStyle name="Style 30" xfId="1491"/>
    <cellStyle name="Style 31" xfId="1492"/>
    <cellStyle name="Table Head" xfId="1493"/>
    <cellStyle name="Table Head Aligned" xfId="1494"/>
    <cellStyle name="Table Head Blue" xfId="1495"/>
    <cellStyle name="Table Head Green" xfId="1496"/>
    <cellStyle name="Table Head_IPQ Comps" xfId="1497"/>
    <cellStyle name="Table Text" xfId="1498"/>
    <cellStyle name="Table Text 2" xfId="2682"/>
    <cellStyle name="Table Title" xfId="1499"/>
    <cellStyle name="Table Title 2" xfId="1500"/>
    <cellStyle name="Table Title_Dados Operacionais" xfId="1501"/>
    <cellStyle name="Table Units" xfId="1502"/>
    <cellStyle name="Table Units 2" xfId="1503"/>
    <cellStyle name="Table Units_Dados Operacionais" xfId="1504"/>
    <cellStyle name="Table_Header" xfId="1505"/>
    <cellStyle name="Test [green]" xfId="1506"/>
    <cellStyle name="Test [green] 2" xfId="2689"/>
    <cellStyle name="Text 1" xfId="1507"/>
    <cellStyle name="Text 1 2" xfId="2690"/>
    <cellStyle name="Text Head 1" xfId="1508"/>
    <cellStyle name="Text Head 1 2" xfId="2691"/>
    <cellStyle name="Texto de Aviso" xfId="1509"/>
    <cellStyle name="Texto Explicativo" xfId="1510"/>
    <cellStyle name="TFCF" xfId="1511"/>
    <cellStyle name="Times 10" xfId="1512"/>
    <cellStyle name="Times 10 2" xfId="2692"/>
    <cellStyle name="Times 12" xfId="1513"/>
    <cellStyle name="Title 2" xfId="1515"/>
    <cellStyle name="Title 3" xfId="1514"/>
    <cellStyle name="Titles" xfId="72"/>
    <cellStyle name="Titles 2" xfId="1516"/>
    <cellStyle name="Titles_cusLUPA" xfId="1517"/>
    <cellStyle name="Título" xfId="1518"/>
    <cellStyle name="Título 1" xfId="1519"/>
    <cellStyle name="Título 2" xfId="1520"/>
    <cellStyle name="Título 3" xfId="1521"/>
    <cellStyle name="Título 4" xfId="1522"/>
    <cellStyle name="TopGrey" xfId="1523"/>
    <cellStyle name="TopGrey 2" xfId="2693"/>
    <cellStyle name="Total 2" xfId="1614"/>
    <cellStyle name="Total 3" xfId="2694"/>
    <cellStyle name="Total 4" xfId="1524"/>
    <cellStyle name="ubordinated Debt" xfId="1525"/>
    <cellStyle name="Underline_Single" xfId="1526"/>
    <cellStyle name="US$#,##0" xfId="1527"/>
    <cellStyle name="US$#,##0.00" xfId="1528"/>
    <cellStyle name="vaca" xfId="73"/>
    <cellStyle name="Warning Text 2" xfId="1529"/>
    <cellStyle name="White" xfId="1530"/>
    <cellStyle name="x" xfId="1531"/>
    <cellStyle name="x 2" xfId="2695"/>
    <cellStyle name="x_01 AVP_ Project Infinitum" xfId="1532"/>
    <cellStyle name="x_01 AVP_ Project Infinitum 2" xfId="2696"/>
    <cellStyle name="x_01_WACC Colombia_Analysis" xfId="1533"/>
    <cellStyle name="x_01_WACC Colombia_Analysis 2" xfId="2697"/>
    <cellStyle name="x_04 WACC Vivax" xfId="1534"/>
    <cellStyle name="x_04 WACC Vivax 2" xfId="2698"/>
    <cellStyle name="x_avp" xfId="1535"/>
    <cellStyle name="x_avp 2" xfId="2699"/>
    <cellStyle name="x_AVP_ NewCo" xfId="1536"/>
    <cellStyle name="x_AVP_ NewCo 2" xfId="2700"/>
    <cellStyle name="x_Sovereign Bonds 060705" xfId="1537"/>
    <cellStyle name="x_Sovereign Bonds 060705 (version 1)" xfId="1538"/>
    <cellStyle name="x_Sovereign Bonds 060705 (version 1) 2" xfId="2702"/>
    <cellStyle name="x_Sovereign Bonds 060705 (version 1)_01 NET DCF Model" xfId="1539"/>
    <cellStyle name="x_Sovereign Bonds 060705 (version 1)_01 NET DCF Model 2" xfId="2703"/>
    <cellStyle name="x_Sovereign Bonds 060705 (version 1)_03 Embratel DCF Model_Loscos" xfId="1540"/>
    <cellStyle name="x_Sovereign Bonds 060705 (version 1)_03 Embratel DCF Model_Loscos 2" xfId="2704"/>
    <cellStyle name="x_Sovereign Bonds 060705 (version 1)_05 NET DCF Model" xfId="1541"/>
    <cellStyle name="x_Sovereign Bonds 060705 (version 1)_05 NET DCF Model 2" xfId="2705"/>
    <cellStyle name="x_Sovereign Bonds 060705 (version 1)_05 TMX Brazil DCF Model" xfId="1542"/>
    <cellStyle name="x_Sovereign Bonds 060705 (version 1)_05 TMX Brazil DCF Model 2" xfId="2706"/>
    <cellStyle name="x_Sovereign Bonds 060705 (version 1)_Consolidação" xfId="1543"/>
    <cellStyle name="x_Sovereign Bonds 060705 (version 1)_Consolidação 2" xfId="2707"/>
    <cellStyle name="x_Sovereign Bonds 060705 (version 1)_Consolidação IMOB" xfId="1544"/>
    <cellStyle name="x_Sovereign Bonds 060705 (version 1)_Consolidação IMOB 2" xfId="2708"/>
    <cellStyle name="x_Sovereign Bonds 060705 (version 1)_Estudo de Viabilidade -IMOB Henri" xfId="1545"/>
    <cellStyle name="x_Sovereign Bonds 060705 (version 1)_Estudo de Viabilidade -IMOB Henri 2" xfId="2709"/>
    <cellStyle name="x_Sovereign Bonds 060705 (version 1)_FP 100" xfId="1546"/>
    <cellStyle name="x_Sovereign Bonds 060705 (version 1)_FP 100 2" xfId="2710"/>
    <cellStyle name="x_Sovereign Bonds 060705 (version 1)_Península" xfId="1547"/>
    <cellStyle name="x_Sovereign Bonds 060705 (version 1)_Península 2" xfId="2711"/>
    <cellStyle name="x_Sovereign Bonds 060705 (version 1)_Peninsula_0510" xfId="1548"/>
    <cellStyle name="x_Sovereign Bonds 060705 (version 1)_Peninsula_0510 2" xfId="2712"/>
    <cellStyle name="x_Sovereign Bonds 060705 (version 1)_Resumo Juros e Variações" xfId="1549"/>
    <cellStyle name="x_Sovereign Bonds 060705 (version 1)_Resumo Juros e Variações 2" xfId="2713"/>
    <cellStyle name="x_Sovereign Bonds 060705 2" xfId="2701"/>
    <cellStyle name="x_Sovereign Bonds 060705 3" xfId="2835"/>
    <cellStyle name="x_Sovereign Bonds 060705_1" xfId="1550"/>
    <cellStyle name="x_Sovereign Bonds 060705_1 2" xfId="2714"/>
    <cellStyle name="x_Sovereign Bonds 060705_1_01 NET DCF Model" xfId="1551"/>
    <cellStyle name="x_Sovereign Bonds 060705_1_01 NET DCF Model 2" xfId="2715"/>
    <cellStyle name="x_Sovereign Bonds 060705_1_03 Embratel DCF Model_Loscos" xfId="1552"/>
    <cellStyle name="x_Sovereign Bonds 060705_1_03 Embratel DCF Model_Loscos 2" xfId="2716"/>
    <cellStyle name="x_Sovereign Bonds 060705_1_05 NET DCF Model" xfId="1553"/>
    <cellStyle name="x_Sovereign Bonds 060705_1_05 NET DCF Model 2" xfId="2717"/>
    <cellStyle name="x_Sovereign Bonds 060705_1_05 TMX Brazil DCF Model" xfId="1554"/>
    <cellStyle name="x_Sovereign Bonds 060705_1_05 TMX Brazil DCF Model 2" xfId="2718"/>
    <cellStyle name="x_Sovereign Bonds 060705_1_Consolidação" xfId="1555"/>
    <cellStyle name="x_Sovereign Bonds 060705_1_Consolidação 2" xfId="2719"/>
    <cellStyle name="x_Sovereign Bonds 060705_1_Consolidação IMOB" xfId="1556"/>
    <cellStyle name="x_Sovereign Bonds 060705_1_Consolidação IMOB 2" xfId="2720"/>
    <cellStyle name="x_Sovereign Bonds 060705_1_Estudo de Viabilidade -IMOB Henri" xfId="1557"/>
    <cellStyle name="x_Sovereign Bonds 060705_1_Estudo de Viabilidade -IMOB Henri 2" xfId="2721"/>
    <cellStyle name="x_Sovereign Bonds 060705_1_FP 100" xfId="1558"/>
    <cellStyle name="x_Sovereign Bonds 060705_1_FP 100 2" xfId="2722"/>
    <cellStyle name="x_Sovereign Bonds 060705_1_Península" xfId="1559"/>
    <cellStyle name="x_Sovereign Bonds 060705_1_Península 2" xfId="2723"/>
    <cellStyle name="x_Sovereign Bonds 060705_1_Peninsula_0510" xfId="1560"/>
    <cellStyle name="x_Sovereign Bonds 060705_1_Peninsula_0510 2" xfId="2724"/>
    <cellStyle name="x_Sovereign Bonds 060705_1_Resumo Juros e Variações" xfId="1561"/>
    <cellStyle name="x_Sovereign Bonds 060705_1_Resumo Juros e Variações 2" xfId="2725"/>
    <cellStyle name="year" xfId="1562"/>
    <cellStyle name="Year 2" xfId="1563"/>
    <cellStyle name="Year Estimate" xfId="1564"/>
    <cellStyle name="Year_Dados Operacionais" xfId="1565"/>
    <cellStyle name="YearlyColumn" xfId="1566"/>
    <cellStyle name="Yellow" xfId="74"/>
    <cellStyle name="Yen" xfId="1567"/>
    <cellStyle name="Yen 2" xfId="2728"/>
    <cellStyle name="ZERO" xfId="1568"/>
    <cellStyle name="zero = - [0]" xfId="1569"/>
    <cellStyle name="ZERO = - [1]" xfId="1570"/>
    <cellStyle name="zero = - [2]" xfId="1571"/>
    <cellStyle name="zero = - [2] 2" xfId="2732"/>
    <cellStyle name="ZERO = [-]" xfId="1572"/>
    <cellStyle name="ZERO = [-] 2" xfId="2733"/>
    <cellStyle name="ZERO_CYRE Model update" xfId="157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'Cash Flow CCR'!$E$48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002B55"/>
            </a:solidFill>
            <a:ln>
              <a:solidFill>
                <a:srgbClr val="002B55"/>
              </a:solidFill>
              <a:prstDash val="solid"/>
            </a:ln>
          </c:spPr>
          <c:dLbls>
            <c:dLbl>
              <c:idx val="3"/>
              <c:layout>
                <c:manualLayout>
                  <c:x val="0"/>
                  <c:y val="1.3877551912425002E-2"/>
                </c:manualLayout>
              </c:layout>
              <c:showVal val="1"/>
            </c:dLbl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strRef>
              <c:f>'Cash Flow CCR'!$F$47:$M$47</c:f>
              <c:strCache>
                <c:ptCount val="8"/>
                <c:pt idx="0">
                  <c:v>2011</c:v>
                </c:pt>
                <c:pt idx="1">
                  <c:v>2012E</c:v>
                </c:pt>
                <c:pt idx="2">
                  <c:v>2013E</c:v>
                </c:pt>
                <c:pt idx="3">
                  <c:v>2014E</c:v>
                </c:pt>
                <c:pt idx="4">
                  <c:v>2015E</c:v>
                </c:pt>
                <c:pt idx="5">
                  <c:v>2016E</c:v>
                </c:pt>
                <c:pt idx="6">
                  <c:v>2017E</c:v>
                </c:pt>
                <c:pt idx="7">
                  <c:v>2018E</c:v>
                </c:pt>
              </c:strCache>
            </c:strRef>
          </c:cat>
          <c:val>
            <c:numRef>
              <c:f>'Cash Flow CCR'!$F$48:$M$48</c:f>
              <c:numCache>
                <c:formatCode>#,##0</c:formatCode>
                <c:ptCount val="8"/>
                <c:pt idx="0">
                  <c:v>899.37199999999996</c:v>
                </c:pt>
                <c:pt idx="1">
                  <c:v>1287.7</c:v>
                </c:pt>
                <c:pt idx="2">
                  <c:v>1662.6</c:v>
                </c:pt>
                <c:pt idx="3">
                  <c:v>2105.3000000000002</c:v>
                </c:pt>
                <c:pt idx="4">
                  <c:v>2546.5</c:v>
                </c:pt>
                <c:pt idx="5">
                  <c:v>3002.9</c:v>
                </c:pt>
                <c:pt idx="6">
                  <c:v>3479</c:v>
                </c:pt>
                <c:pt idx="7">
                  <c:v>3973.7</c:v>
                </c:pt>
              </c:numCache>
            </c:numRef>
          </c:val>
        </c:ser>
        <c:gapWidth val="130"/>
        <c:axId val="153724800"/>
        <c:axId val="153726336"/>
      </c:barChart>
      <c:lineChart>
        <c:grouping val="standard"/>
        <c:ser>
          <c:idx val="1"/>
          <c:order val="1"/>
          <c:tx>
            <c:strRef>
              <c:f>'Cash Flow CCR'!$E$49</c:f>
              <c:strCache>
                <c:ptCount val="1"/>
                <c:pt idx="0">
                  <c:v>Payout</c:v>
                </c:pt>
              </c:strCache>
            </c:strRef>
          </c:tx>
          <c:spPr>
            <a:ln>
              <a:solidFill>
                <a:srgbClr val="95CAFF"/>
              </a:solidFill>
              <a:prstDash val="solid"/>
            </a:ln>
          </c:spPr>
          <c:dLbls>
            <c:dLbl>
              <c:idx val="4"/>
              <c:layout>
                <c:manualLayout>
                  <c:x val="-4.8048775153105863E-2"/>
                  <c:y val="7.6557828050211274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r"/>
              <c:showVal val="1"/>
            </c:dLbl>
            <c:dLbl>
              <c:idx val="5"/>
              <c:layout>
                <c:manualLayout>
                  <c:x val="-4.8048775153105863E-2"/>
                  <c:y val="7.6557828050211316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r"/>
              <c:showVal val="1"/>
            </c:dLbl>
            <c:dLbl>
              <c:idx val="6"/>
              <c:layout>
                <c:manualLayout>
                  <c:x val="-4.8048775153105863E-2"/>
                  <c:y val="7.1931977412736312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r"/>
              <c:showVal val="1"/>
            </c:dLbl>
            <c:dLbl>
              <c:idx val="7"/>
              <c:layout>
                <c:manualLayout>
                  <c:x val="-4.804877515310596E-2"/>
                  <c:y val="7.6557828050211316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dLblPos val="r"/>
              <c:showVal val="1"/>
            </c:dLbl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t"/>
            <c:showVal val="1"/>
          </c:dLbls>
          <c:cat>
            <c:strRef>
              <c:f>'Cash Flow CCR'!$F$47:$M$47</c:f>
              <c:strCache>
                <c:ptCount val="8"/>
                <c:pt idx="0">
                  <c:v>2011</c:v>
                </c:pt>
                <c:pt idx="1">
                  <c:v>2012E</c:v>
                </c:pt>
                <c:pt idx="2">
                  <c:v>2013E</c:v>
                </c:pt>
                <c:pt idx="3">
                  <c:v>2014E</c:v>
                </c:pt>
                <c:pt idx="4">
                  <c:v>2015E</c:v>
                </c:pt>
                <c:pt idx="5">
                  <c:v>2016E</c:v>
                </c:pt>
                <c:pt idx="6">
                  <c:v>2017E</c:v>
                </c:pt>
                <c:pt idx="7">
                  <c:v>2018E</c:v>
                </c:pt>
              </c:strCache>
            </c:strRef>
          </c:cat>
          <c:val>
            <c:numRef>
              <c:f>'Cash Flow CCR'!$F$49:$M$49</c:f>
              <c:numCache>
                <c:formatCode>0%</c:formatCode>
                <c:ptCount val="8"/>
                <c:pt idx="0">
                  <c:v>1.2010415022881489</c:v>
                </c:pt>
                <c:pt idx="1">
                  <c:v>0.8</c:v>
                </c:pt>
                <c:pt idx="2">
                  <c:v>0.8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</c:numCache>
            </c:numRef>
          </c:val>
        </c:ser>
        <c:marker val="1"/>
        <c:axId val="153746048"/>
        <c:axId val="153744512"/>
      </c:lineChart>
      <c:catAx>
        <c:axId val="153724800"/>
        <c:scaling>
          <c:orientation val="minMax"/>
        </c:scaling>
        <c:axPos val="b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53726336"/>
        <c:crosses val="autoZero"/>
        <c:auto val="1"/>
        <c:lblAlgn val="ctr"/>
        <c:lblOffset val="100"/>
      </c:catAx>
      <c:valAx>
        <c:axId val="153726336"/>
        <c:scaling>
          <c:orientation val="minMax"/>
          <c:max val="4500"/>
          <c:min val="0"/>
        </c:scaling>
        <c:axPos val="l"/>
        <c:majorGridlines/>
        <c:numFmt formatCode="#,##0" sourceLinked="1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53724800"/>
        <c:crosses val="autoZero"/>
        <c:crossBetween val="between"/>
        <c:majorUnit val="1000"/>
      </c:valAx>
      <c:valAx>
        <c:axId val="153744512"/>
        <c:scaling>
          <c:orientation val="minMax"/>
          <c:max val="1.3"/>
          <c:min val="0"/>
        </c:scaling>
        <c:axPos val="r"/>
        <c:numFmt formatCode="0%" sourceLinked="1"/>
        <c:tickLblPos val="nextTo"/>
        <c:crossAx val="153746048"/>
        <c:crosses val="max"/>
        <c:crossBetween val="between"/>
        <c:majorUnit val="0.30000000000000016"/>
      </c:valAx>
      <c:catAx>
        <c:axId val="153746048"/>
        <c:scaling>
          <c:orientation val="minMax"/>
        </c:scaling>
        <c:delete val="1"/>
        <c:axPos val="b"/>
        <c:tickLblPos val="none"/>
        <c:crossAx val="153744512"/>
        <c:crosses val="autoZero"/>
        <c:auto val="1"/>
        <c:lblAlgn val="ctr"/>
        <c:lblOffset val="100"/>
      </c:catAx>
    </c:plotArea>
    <c:legend>
      <c:legendPos val="b"/>
      <c:layout/>
      <c:spPr>
        <a:effectLst/>
      </c:spPr>
      <c:txPr>
        <a:bodyPr/>
        <a:lstStyle/>
        <a:p>
          <a:pPr>
            <a:defRPr sz="950" b="0" i="0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'Cash Flow Cemig'!$E$44</c:f>
              <c:strCache>
                <c:ptCount val="1"/>
                <c:pt idx="0">
                  <c:v>Lucro Líquido</c:v>
                </c:pt>
              </c:strCache>
            </c:strRef>
          </c:tx>
          <c:spPr>
            <a:solidFill>
              <a:srgbClr val="002B55"/>
            </a:solidFill>
            <a:ln>
              <a:solidFill>
                <a:srgbClr val="002B55"/>
              </a:solidFill>
              <a:prstDash val="solid"/>
            </a:ln>
          </c:spPr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'Cash Flow Cemig'!$F$43:$M$43</c:f>
              <c:strCache>
                <c:ptCount val="8"/>
                <c:pt idx="0">
                  <c:v>2011</c:v>
                </c:pt>
                <c:pt idx="1">
                  <c:v>2012E</c:v>
                </c:pt>
                <c:pt idx="2">
                  <c:v>2013E</c:v>
                </c:pt>
                <c:pt idx="3">
                  <c:v>2014E</c:v>
                </c:pt>
                <c:pt idx="4">
                  <c:v>2015E</c:v>
                </c:pt>
                <c:pt idx="5">
                  <c:v>2016E</c:v>
                </c:pt>
                <c:pt idx="6">
                  <c:v>2017E</c:v>
                </c:pt>
                <c:pt idx="7">
                  <c:v>2018E</c:v>
                </c:pt>
              </c:strCache>
            </c:strRef>
          </c:cat>
          <c:val>
            <c:numRef>
              <c:f>'Cash Flow Cemig'!$F$44:$M$44</c:f>
              <c:numCache>
                <c:formatCode>#,##0</c:formatCode>
                <c:ptCount val="8"/>
                <c:pt idx="0">
                  <c:v>2415.4499999999998</c:v>
                </c:pt>
                <c:pt idx="1">
                  <c:v>2934</c:v>
                </c:pt>
                <c:pt idx="2">
                  <c:v>2874</c:v>
                </c:pt>
                <c:pt idx="3">
                  <c:v>3094</c:v>
                </c:pt>
                <c:pt idx="4">
                  <c:v>3339</c:v>
                </c:pt>
                <c:pt idx="5">
                  <c:v>3505.9500000000003</c:v>
                </c:pt>
                <c:pt idx="6">
                  <c:v>3663.7177500000003</c:v>
                </c:pt>
                <c:pt idx="7">
                  <c:v>3828.5850487500002</c:v>
                </c:pt>
              </c:numCache>
            </c:numRef>
          </c:val>
        </c:ser>
        <c:gapWidth val="70"/>
        <c:axId val="153842432"/>
        <c:axId val="153843968"/>
      </c:barChart>
      <c:lineChart>
        <c:grouping val="standard"/>
        <c:ser>
          <c:idx val="1"/>
          <c:order val="1"/>
          <c:tx>
            <c:strRef>
              <c:f>'Cash Flow Cemig'!$E$45</c:f>
              <c:strCache>
                <c:ptCount val="1"/>
                <c:pt idx="0">
                  <c:v>Payout</c:v>
                </c:pt>
              </c:strCache>
            </c:strRef>
          </c:tx>
          <c:spPr>
            <a:ln>
              <a:solidFill>
                <a:srgbClr val="95CAFF"/>
              </a:solidFill>
              <a:prstDash val="solid"/>
            </a:ln>
          </c:spPr>
          <c:dLbls>
            <c:txPr>
              <a:bodyPr/>
              <a:lstStyle/>
              <a:p>
                <a:pPr>
                  <a:defRPr b="1"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'Cash Flow Cemig'!$F$43:$M$43</c:f>
              <c:strCache>
                <c:ptCount val="8"/>
                <c:pt idx="0">
                  <c:v>2011</c:v>
                </c:pt>
                <c:pt idx="1">
                  <c:v>2012E</c:v>
                </c:pt>
                <c:pt idx="2">
                  <c:v>2013E</c:v>
                </c:pt>
                <c:pt idx="3">
                  <c:v>2014E</c:v>
                </c:pt>
                <c:pt idx="4">
                  <c:v>2015E</c:v>
                </c:pt>
                <c:pt idx="5">
                  <c:v>2016E</c:v>
                </c:pt>
                <c:pt idx="6">
                  <c:v>2017E</c:v>
                </c:pt>
                <c:pt idx="7">
                  <c:v>2018E</c:v>
                </c:pt>
              </c:strCache>
            </c:strRef>
          </c:cat>
          <c:val>
            <c:numRef>
              <c:f>'Cash Flow Cemig'!$F$45:$M$45</c:f>
              <c:numCache>
                <c:formatCode>0%</c:formatCode>
                <c:ptCount val="8"/>
                <c:pt idx="0">
                  <c:v>0.84274979817425322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</c:numCache>
            </c:numRef>
          </c:val>
        </c:ser>
        <c:marker val="1"/>
        <c:axId val="153867776"/>
        <c:axId val="153866240"/>
      </c:lineChart>
      <c:catAx>
        <c:axId val="153842432"/>
        <c:scaling>
          <c:orientation val="minMax"/>
        </c:scaling>
        <c:axPos val="b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53843968"/>
        <c:crosses val="autoZero"/>
        <c:auto val="1"/>
        <c:lblAlgn val="ctr"/>
        <c:lblOffset val="100"/>
      </c:catAx>
      <c:valAx>
        <c:axId val="153843968"/>
        <c:scaling>
          <c:orientation val="minMax"/>
          <c:max val="4500"/>
          <c:min val="0"/>
        </c:scaling>
        <c:axPos val="l"/>
        <c:majorGridlines/>
        <c:numFmt formatCode="#,##0" sourceLinked="1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53842432"/>
        <c:crosses val="autoZero"/>
        <c:crossBetween val="between"/>
        <c:majorUnit val="1100"/>
      </c:valAx>
      <c:valAx>
        <c:axId val="153866240"/>
        <c:scaling>
          <c:orientation val="minMax"/>
          <c:max val="1"/>
          <c:min val="0"/>
        </c:scaling>
        <c:axPos val="r"/>
        <c:numFmt formatCode="0%" sourceLinked="1"/>
        <c:tickLblPos val="nextTo"/>
        <c:crossAx val="153867776"/>
        <c:crosses val="max"/>
        <c:crossBetween val="between"/>
        <c:majorUnit val="0.2"/>
      </c:valAx>
      <c:catAx>
        <c:axId val="153867776"/>
        <c:scaling>
          <c:orientation val="minMax"/>
        </c:scaling>
        <c:delete val="1"/>
        <c:axPos val="b"/>
        <c:tickLblPos val="none"/>
        <c:crossAx val="153866240"/>
        <c:crosses val="autoZero"/>
        <c:auto val="1"/>
        <c:lblAlgn val="ctr"/>
        <c:lblOffset val="100"/>
      </c:catAx>
    </c:plotArea>
    <c:legend>
      <c:legendPos val="b"/>
      <c:layout/>
      <c:spPr>
        <a:effectLst/>
      </c:spPr>
      <c:txPr>
        <a:bodyPr/>
        <a:lstStyle/>
        <a:p>
          <a:pPr>
            <a:defRPr sz="950" b="0" i="0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11205</xdr:colOff>
      <xdr:row>50</xdr:row>
      <xdr:rowOff>67235</xdr:rowOff>
    </xdr:from>
    <xdr:to>
      <xdr:col>10</xdr:col>
      <xdr:colOff>380999</xdr:colOff>
      <xdr:row>67</xdr:row>
      <xdr:rowOff>145676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48</xdr:row>
      <xdr:rowOff>0</xdr:rowOff>
    </xdr:from>
    <xdr:to>
      <xdr:col>12</xdr:col>
      <xdr:colOff>403412</xdr:colOff>
      <xdr:row>65</xdr:row>
      <xdr:rowOff>78441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47625</xdr:rowOff>
    </xdr:from>
    <xdr:to>
      <xdr:col>0</xdr:col>
      <xdr:colOff>2724150</xdr:colOff>
      <xdr:row>1</xdr:row>
      <xdr:rowOff>209550</xdr:rowOff>
    </xdr:to>
    <xdr:pic>
      <xdr:nvPicPr>
        <xdr:cNvPr id="2" name="LogoHide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-1637" b="-12030"/>
        <a:stretch>
          <a:fillRect/>
        </a:stretch>
      </xdr:blipFill>
      <xdr:spPr bwMode="auto">
        <a:xfrm>
          <a:off x="142875" y="47625"/>
          <a:ext cx="258127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y1178\EQUDATA\economic\STAFF\S_H\Data01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ral\ECO\Macrofiles\Cenario\Dec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Geral\ECO\Macrofiles\Cenario\Dec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onomic\DATABASE\AUST\FORECAST\Databas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conomic\DATABASE\AUST\FORECAST\Databas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xed%20Income\Bonds\Research%20Reports%20-%20Bonds\Economic%20Indicators%20-%20BEST%20get%20da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NGDP &amp; Cash Rate"/>
      <sheetName val="Calculations"/>
      <sheetName val="NFGDP (note)"/>
      <sheetName val="NFGDP (old)"/>
      <sheetName val="Chart2"/>
      <sheetName val="Chart2 (2)"/>
      <sheetName val="Sheet1"/>
      <sheetName val="Chart3"/>
      <sheetName val="EXP_DD"/>
      <sheetName val="EXP_DD (pres)"/>
      <sheetName val="EXP(NR)_DD"/>
      <sheetName val="EXPORT DEV FROM TREND"/>
      <sheetName val="EXPORT DEV FROM TREND (2)"/>
      <sheetName val="EXPORT DEV FROM TREND (3)"/>
      <sheetName val="BFI%GDP"/>
      <sheetName val="Shock Decomp"/>
      <sheetName val="Shock Decomp pres"/>
      <sheetName val="USGDP_TOT_MOD"/>
      <sheetName val="USGDP_TOT_MOD (PRES)"/>
      <sheetName val="USGDP_TOT"/>
      <sheetName val="USGDP_TOT (PRES)"/>
      <sheetName val="TOT_GNE (PRES)"/>
      <sheetName val="Chart1"/>
      <sheetName val="Domestic Demand Pres"/>
      <sheetName val="Domestic demand (2)"/>
      <sheetName val="Domestic demand"/>
      <sheetName val="Pub Cons &amp; Invest (levels)"/>
      <sheetName val="Underlying Public Demand"/>
      <sheetName val="Underlying Private Demand"/>
      <sheetName val="Private Demand"/>
      <sheetName val="Public demand"/>
      <sheetName val="Public demand Pres"/>
      <sheetName val=" Private Demand (note)"/>
      <sheetName val="Underlying Public Demand pres"/>
      <sheetName val=" Public Consumption"/>
      <sheetName val="Public Investment"/>
      <sheetName val="Output, demand &amp; Inv"/>
      <sheetName val="Cons &amp; Inv pres"/>
      <sheetName val="inv &amp; Empl"/>
      <sheetName val="Con &amp; Inc"/>
      <sheetName val="GNE &amp; TOT (2)"/>
      <sheetName val="Demand &amp; X TOT"/>
      <sheetName val="XT &amp; UPFD Q"/>
      <sheetName val="Chart15"/>
      <sheetName val="Chart14"/>
      <sheetName val="MR Chart14 "/>
      <sheetName val="Chart11 (2)"/>
      <sheetName val="Chart11 (3)"/>
      <sheetName val="P &amp; E &amp; X(ToTadj)"/>
      <sheetName val="P &amp; E &amp; X(ToTadj) (3)"/>
      <sheetName val="P &amp; E &amp; X(ToTadj) (2)"/>
      <sheetName val="BOP"/>
      <sheetName val="Year Average"/>
      <sheetName val="Year Ave (cal)"/>
      <sheetName val="CPI (long term)"/>
      <sheetName val="CPI"/>
      <sheetName val="productivity"/>
      <sheetName val="Stocks to sales"/>
      <sheetName val="GDP tot"/>
      <sheetName val="US_AU_gdp "/>
      <sheetName val="US_AU_gdp (pres)"/>
      <sheetName val="prof_share"/>
      <sheetName val="prof_share (2)"/>
      <sheetName val="Inv and X Tot pres"/>
      <sheetName val="GDP forc"/>
      <sheetName val="Imports rel prices"/>
      <sheetName val="deflators chain"/>
      <sheetName val="household saving"/>
      <sheetName val="household wages"/>
      <sheetName val="household income"/>
      <sheetName val="Dwell - AESP"/>
      <sheetName val="Dwell - pres (2)"/>
      <sheetName val="Dwell - pres"/>
      <sheetName val="Const - pres "/>
      <sheetName val="5206.1"/>
      <sheetName val="5206.5"/>
      <sheetName val="5206.13"/>
      <sheetName val="5206.17"/>
      <sheetName val="5206.32"/>
      <sheetName val="5206.23"/>
      <sheetName val="5206.8"/>
      <sheetName val="Forecast Submission"/>
      <sheetName val="Output &amp; Demand"/>
      <sheetName val="Output &amp; Demand (3)"/>
      <sheetName val="Output &amp; Demand (pres)"/>
      <sheetName val="Private Demand (pres) (2)"/>
      <sheetName val="Private Demand (pres)"/>
      <sheetName val="Output &amp; Demand (2)"/>
      <sheetName val="Private Demand (2)"/>
      <sheetName val="Data0100"/>
    </sheetNames>
    <definedNames>
      <definedName name="[macro-goto].Contents"/>
      <definedName name="PrintInterestRates"/>
    </defined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Log"/>
      <sheetName val="Cen. Basico"/>
      <sheetName val="Cen. Ingles"/>
      <sheetName val="&gt;&gt;PIB Nominal"/>
      <sheetName val="Quarterly"/>
      <sheetName val="Monthly"/>
      <sheetName val="ipca"/>
      <sheetName val="Selic"/>
      <sheetName val="Cambio"/>
      <sheetName val="BZ Databank - London"/>
      <sheetName val="BCB IE1-51"/>
      <sheetName val="IE1-51"/>
      <sheetName val="MCM"/>
      <sheetName val="Arguments"/>
      <sheetName val="Sheet1"/>
      <sheetName val="Chart1"/>
      <sheetName val="Chart3"/>
      <sheetName val="Chart2"/>
      <sheetName val="Cenario Mai07"/>
      <sheetName val="Cen_cpi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Log"/>
      <sheetName val="Cen. Basico"/>
      <sheetName val="Cen. Ingles"/>
      <sheetName val="Cen. Basico Otim"/>
      <sheetName val="Cen. Basico Pes"/>
      <sheetName val="&gt;&gt;PIB Nominal"/>
      <sheetName val="&gt;&gt;PIB Nominal Otim"/>
      <sheetName val="&gt;&gt;PIB Nominal Pes"/>
      <sheetName val="cenarios"/>
      <sheetName val="Quarterly"/>
      <sheetName val="Monthly"/>
      <sheetName val="ipca"/>
      <sheetName val="Selic"/>
      <sheetName val="Cambio"/>
      <sheetName val="BZ Databank - London"/>
      <sheetName val="BCB IE1-51"/>
      <sheetName val="IE1-51"/>
      <sheetName val="MCM"/>
      <sheetName val="Arguments"/>
      <sheetName val="Sheet1"/>
      <sheetName val="Chart4"/>
      <sheetName val="Chart5"/>
      <sheetName val="Chart6"/>
      <sheetName val="Cenario Mai07"/>
      <sheetName val="Cen_cpi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G4">
            <v>4.3099999999999996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5">
          <cell r="C25">
            <v>11.25</v>
          </cell>
        </row>
      </sheetData>
      <sheetData sheetId="14">
        <row r="14">
          <cell r="X14">
            <v>1.9554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(IP_NFGDP)"/>
      <sheetName val="Forecast Submission"/>
      <sheetName val="DATABASE"/>
      <sheetName val="Calculations"/>
      <sheetName val="Year Average"/>
      <sheetName val="Equip"/>
      <sheetName val="Build"/>
      <sheetName val="Total_inv"/>
      <sheetName val="Chart6"/>
      <sheetName val="NomGDP&amp;cash"/>
      <sheetName val="Imports to sales"/>
      <sheetName val="Real GDI"/>
      <sheetName val="(NFGDP)"/>
      <sheetName val="BFI%GDP (5)"/>
      <sheetName val="BFI%GDP"/>
      <sheetName val="(IMP%GDP)"/>
      <sheetName val="Tot Inv%GDP (utopea)"/>
      <sheetName val="NF GDP ex housing"/>
      <sheetName val="NF GDP ex housing (3)"/>
      <sheetName val="(NFGDP no fc)"/>
      <sheetName val="(NFGDP2)"/>
      <sheetName val="(Out &amp; Dem)"/>
      <sheetName val="(Out &amp; Dem2)"/>
      <sheetName val="(pub&amp;prv DD)"/>
      <sheetName val="(pub D)"/>
      <sheetName val="(hh sav)"/>
      <sheetName val="(Stks-sales)"/>
      <sheetName val="(defl)"/>
      <sheetName val="GDP&amp;Profits"/>
      <sheetName val="NFGDP&amp;profits"/>
      <sheetName val="real v nom NFGDP"/>
      <sheetName val="Chart2"/>
      <sheetName val="(GDP)"/>
      <sheetName val="ToT"/>
      <sheetName val="Chart4"/>
      <sheetName val="(GDP_employ) (2)"/>
      <sheetName val="(GDP_employ)"/>
      <sheetName val="Chart4 (2)"/>
      <sheetName val="GDP chart"/>
      <sheetName val="Dwell_Gos"/>
      <sheetName val="Dwell_Gos (2)"/>
      <sheetName val="Chart3"/>
      <sheetName val="Chart3 (2)"/>
      <sheetName val="Chart3 (3)"/>
      <sheetName val="GDP ex pub inv"/>
      <sheetName val="GDP ex pub demand"/>
      <sheetName val="GDP ex pub demand (2)"/>
      <sheetName val="deflators chain (2)"/>
      <sheetName val="GG_cons"/>
      <sheetName val="GOS &amp; nom GDP"/>
      <sheetName val="Chart13"/>
      <sheetName val="Chart2 (4)"/>
      <sheetName val="Chart2 (2)"/>
      <sheetName val="Chart2 (3)"/>
      <sheetName val="Chart2 (5)"/>
      <sheetName val="NFGDP fc (note)"/>
      <sheetName val="GDP_nom&amp;real"/>
      <sheetName val="GDP_nom&amp;real (2)"/>
      <sheetName val="DD_const"/>
      <sheetName val="G&amp; S bal"/>
      <sheetName val="EXPORT DEV FROM TREND (2)"/>
      <sheetName val=" Public Consumption"/>
      <sheetName val=" Public Consumption (2)"/>
      <sheetName val=" Public Consumption (3)"/>
      <sheetName val="Cons &amp; Inv pres"/>
      <sheetName val="MR Chart14 "/>
      <sheetName val="P&amp;E &amp; Xshock (SR)"/>
      <sheetName val="B&amp;S &amp; Xshock (SR)"/>
      <sheetName val="BOP"/>
      <sheetName val="Chart1"/>
      <sheetName val="household income"/>
      <sheetName val="5206.5"/>
      <sheetName val="5206.22"/>
      <sheetName val="GDPPexCons"/>
      <sheetName val="5206.26"/>
      <sheetName val="5206.41"/>
      <sheetName val="5206.41 (new)"/>
      <sheetName val="5206.32"/>
      <sheetName val="5206.8"/>
      <sheetName val="Output &amp; Demand (utopea)"/>
      <sheetName val="Output &amp; Demand (utopea) nf"/>
      <sheetName val="Output &amp; Demand (utopea) (2)"/>
      <sheetName val="5206.01"/>
      <sheetName val="Private Demand 2 - utopea ( (3)"/>
      <sheetName val="Output &amp; Demand (3)"/>
      <sheetName val="Private Demand (7)"/>
      <sheetName val="Private Demand (4)"/>
      <sheetName val="Private Demand (5)"/>
      <sheetName val="PE_deflator"/>
      <sheetName val="M_deflator"/>
      <sheetName val="Chart5"/>
      <sheetName val="NF GDP ex housing (2)"/>
      <sheetName val="DD, imports &amp; TWI"/>
      <sheetName val="DD, imports"/>
      <sheetName val="5206.2 NEW"/>
      <sheetName val="5206.6 NEW"/>
      <sheetName val="5206.9 NEW"/>
      <sheetName val="5206.16 NEW"/>
      <sheetName val="5206.19 NEW"/>
      <sheetName val="5206.22 NEW"/>
      <sheetName val="5206.36 NEW"/>
      <sheetName val="Chart21"/>
      <sheetName val="5206.41 NEW"/>
      <sheetName val="(NFGDP) (2)"/>
      <sheetName val="Chart22"/>
      <sheetName val="(hh sav) (2)"/>
      <sheetName val="real v nom G&amp; S bal"/>
      <sheetName val="real v nom imports"/>
      <sheetName val="ToT v TWI"/>
      <sheetName val="Out, Dem &amp; NX"/>
      <sheetName val="(Out &amp; Dem) (2)"/>
      <sheetName val="Chart31"/>
      <sheetName val="Chart32"/>
      <sheetName val="(Real GDI)"/>
      <sheetName val="(ToT)"/>
      <sheetName val="(GDP_XM)"/>
      <sheetName val="Chart24"/>
      <sheetName val="Chart26"/>
      <sheetName val="Chart27"/>
      <sheetName val="Chart25"/>
      <sheetName val="(DD_IMP)"/>
      <sheetName val="(farm)"/>
      <sheetName val="Chart29"/>
      <sheetName val="Chart23"/>
      <sheetName val="Total_inv (2)"/>
      <sheetName val="Output &amp; Demand (utopea) (2 (3)"/>
      <sheetName val="DD, imports &amp; TWI (2)"/>
      <sheetName val="Chart7"/>
      <sheetName val="IVA share"/>
      <sheetName val="Chart7 (2)"/>
      <sheetName val="Chart7 (3)"/>
      <sheetName val="ToT v TWI (2)"/>
      <sheetName val="ToT v TWI (3)"/>
      <sheetName val="Chart24 (2)"/>
      <sheetName val="Private Demand (8)"/>
      <sheetName val="Chart28"/>
      <sheetName val="Output &amp; Demand (utopea) (2 (4)"/>
      <sheetName val="SFD"/>
      <sheetName val="Australian Economic Outlook"/>
      <sheetName val=" GVA"/>
      <sheetName val="5206.1"/>
      <sheetName val="5206.2"/>
      <sheetName val="5206.3"/>
      <sheetName val="5206.05"/>
      <sheetName val="5206.6"/>
      <sheetName val="5206.7"/>
      <sheetName val="5206.9"/>
      <sheetName val="5206.14"/>
      <sheetName val="5206.20"/>
      <sheetName val="5206.21a"/>
      <sheetName val="5206.21b"/>
      <sheetName val="5206.29"/>
      <sheetName val="(Business investment)"/>
      <sheetName val="(GDP&amp;Profits)"/>
      <sheetName val="(Demand &amp; profits)"/>
      <sheetName val="(GNE&amp;Nfinprofit)"/>
      <sheetName val="(GNE&amp;profits)"/>
      <sheetName val="(GNE&amp;profit unincorp)"/>
      <sheetName val="(NFGDP&amp;profits)"/>
      <sheetName val="(GVA type)"/>
      <sheetName val="(Private nonres v M&amp;E)"/>
      <sheetName val="(SFD State)"/>
      <sheetName val="(GDP COW)"/>
      <sheetName val="(GDP f)"/>
      <sheetName val="(NF GDP &amp; Demand &amp; NX &amp; sto (3)"/>
      <sheetName val="(GDP &amp; Demand &amp; NX &amp; stocks)"/>
      <sheetName val="(NF GDP &amp; Demand &amp; NX &amp; sto (2)"/>
      <sheetName val="(Wages v super)"/>
      <sheetName val="(WPI AWE NA)"/>
      <sheetName val="(Profit share v GDP)"/>
      <sheetName val="(Profit v wages share)"/>
      <sheetName val="(Profit v wages share) (3)"/>
      <sheetName val="(DFD &amp; SFD 2q)"/>
      <sheetName val="(DFD &amp; SFD 2q qq)"/>
      <sheetName val="(DFD &amp; SFD)"/>
      <sheetName val="(DFD &amp; SFD 2q) (2)"/>
      <sheetName val="(DFD &amp; SFD 2q) (3)"/>
      <sheetName val="(Deflators) (2)"/>
      <sheetName val="(productivity mkt)"/>
      <sheetName val="(SFD commod v NSW v ROA)"/>
      <sheetName val="(SFD) (2)"/>
      <sheetName val="(GDI less GDP v ToT)"/>
      <sheetName val="(productivity GDP per hr mkt)"/>
      <sheetName val="(Output &amp; Demand)"/>
      <sheetName val="(Output &amp; Demand + f)"/>
      <sheetName val="(Output &amp; Demand no stocks)"/>
      <sheetName val="(Real &amp; nominal GDP +f)"/>
      <sheetName val="Contr_Bus"/>
      <sheetName val="(QLD, WA, NT v ROA SFD)"/>
      <sheetName val="(QLD, WA, NT v ROA SFD) (2)"/>
      <sheetName val="(NF GDP)"/>
      <sheetName val="(DD, NFGDP, Stocks, Net Export)"/>
      <sheetName val="(Domestic demand)"/>
      <sheetName val="(GDP Industry)"/>
      <sheetName val="Contr_Bus (2)"/>
      <sheetName val="(Trend public demand)"/>
      <sheetName val="(Trend private demand)"/>
      <sheetName val="(WA)"/>
      <sheetName val="(GDP &amp; IP)"/>
      <sheetName val="(GDP qq yy long)"/>
      <sheetName val="(E I P)"/>
      <sheetName val="(farm v livestock yy)"/>
      <sheetName val="(farm v livestock)"/>
      <sheetName val="(Business invest)"/>
      <sheetName val="(Bus &amp; Exp v Consum &amp; dwell)"/>
      <sheetName val="(Bus v Consum &amp; dwell"/>
      <sheetName val="Total_inv (3)"/>
      <sheetName val="(NomGDP&amp;cash)"/>
      <sheetName val="(Imports to sales)"/>
      <sheetName val="(Farm GDP)"/>
      <sheetName val="BFI%GDP (2)"/>
      <sheetName val="(public demand)"/>
      <sheetName val="(Private Demand)"/>
      <sheetName val="(Private Demand) (2)"/>
      <sheetName val="(Private Demand) (3)"/>
      <sheetName val="(M_deflator)"/>
      <sheetName val="(DD, imports &amp; TWI)"/>
      <sheetName val="(Imports v AUD)"/>
      <sheetName val="(GNE v imports)"/>
      <sheetName val="(Saving US v Aust)"/>
      <sheetName val="(real v nom imports)"/>
      <sheetName val="(exports v imports)"/>
      <sheetName val="(Bus invest v consump)"/>
      <sheetName val="(Private Demand by component)"/>
      <sheetName val="(Nominal GDP &amp; GOS)"/>
      <sheetName val="(domestic demand by state)"/>
      <sheetName val="(Output &amp; Demand master)"/>
      <sheetName val="(Dwelling GFCE)"/>
      <sheetName val="(GDP ex construction)"/>
      <sheetName val="(TOT by state)"/>
      <sheetName val="5206.6 old (2)"/>
      <sheetName val="5206.2 old"/>
      <sheetName val="5206.6 old"/>
      <sheetName val="5206.9 old"/>
      <sheetName val="5206.16 old"/>
      <sheetName val="5206.19 old"/>
      <sheetName val="5206.22 old"/>
      <sheetName val="5206.36 old"/>
      <sheetName val="5206.8old"/>
      <sheetName val="5206.41 old"/>
      <sheetName val="FI monthly"/>
      <sheetName val="CPI"/>
      <sheetName val="NZ Economic Outlook"/>
      <sheetName val="5206.21"/>
      <sheetName val="(GDP) (4)"/>
      <sheetName val="(GDP) (3)"/>
      <sheetName val="(GDP) (2)"/>
      <sheetName val="(NF GDP &amp; Demand &amp; NX &amp; stocks)"/>
      <sheetName val="(DD public v private)"/>
      <sheetName val="(GDP qq contr) (2)"/>
      <sheetName val="(GDP qq contr) (3)"/>
      <sheetName val="(Compensation of employees)"/>
      <sheetName val="(Household saving rate)"/>
      <sheetName val="(Stocks to sales)"/>
      <sheetName val="(Deflators)"/>
      <sheetName val="(GDI)"/>
      <sheetName val="(productivity per hour)"/>
      <sheetName val="(SFD)"/>
      <sheetName val="(Real &amp; nominal GDP)"/>
      <sheetName val="(GVA)"/>
      <sheetName val="(GDP E_I_P)"/>
      <sheetName val="(Industry shares)"/>
      <sheetName val="GNE&amp;profits"/>
      <sheetName val="Demand &amp; profits"/>
      <sheetName val="GNE&amp;Nfinprofit"/>
      <sheetName val="GNE&amp;profit unincorp"/>
      <sheetName val="(GDP qq contr)"/>
      <sheetName val="(HH saving rate)"/>
      <sheetName val="(DD by State yy)"/>
      <sheetName val="Sheet1"/>
      <sheetName val="demand&amp;profit unincorp"/>
      <sheetName val="Chart34"/>
      <sheetName val="(farm v livestock yy) (2)"/>
      <sheetName val="DATABASE (2)"/>
      <sheetName val="Trend private demand"/>
      <sheetName val="Trend public demand"/>
      <sheetName val="Domestic demand"/>
      <sheetName val="(Dom demand pub&amp;priv)"/>
      <sheetName val="(DFD &amp; SFD) (2)"/>
      <sheetName val="(productivity)"/>
      <sheetName val="FarmOutput"/>
      <sheetName val="Import &amp; XR"/>
      <sheetName val="GNE, imports"/>
      <sheetName val="Indy shares"/>
      <sheetName val="Saving (US v Aust)"/>
      <sheetName val="Real trade"/>
      <sheetName val="Bus v cons"/>
      <sheetName val="Private Demand comps"/>
      <sheetName val="Nominal GDP &amp; GOS"/>
      <sheetName val="Output &amp; Demand (no stocks)"/>
      <sheetName val="DD by state snapshot"/>
      <sheetName val="DD by state"/>
      <sheetName val="Output &amp; Demand (master)"/>
      <sheetName val="Dwelling GFCE"/>
      <sheetName val="GDP ex construction"/>
      <sheetName val="TOT by state"/>
      <sheetName val="(State final demand) (2)"/>
      <sheetName val="Chart9"/>
      <sheetName val="GVA"/>
      <sheetName val="WA"/>
      <sheetName val="(GDP &amp; IP) (2)"/>
      <sheetName val="State final demand"/>
      <sheetName val="5206.14 NEW"/>
      <sheetName val="(State final demand)"/>
      <sheetName val="Australian Economic Outlook (2)"/>
      <sheetName val="5206.27"/>
      <sheetName val="Chart30"/>
      <sheetName val="(GDP AEC)"/>
      <sheetName val="(ULC)"/>
      <sheetName val="(COE v Ave earnings)"/>
      <sheetName val="(WPI AWE NA) (2)"/>
      <sheetName val="(GDI) (2)"/>
      <sheetName val="Profits"/>
      <sheetName val="GDP&amp;Profit_LR"/>
      <sheetName val="GDP&amp;Profit_LR (real)"/>
      <sheetName val="GNE&amp;Nfinprofit_LR"/>
      <sheetName val="(GNE&amp;profit"/>
      <sheetName val="BFI%GDP (6)"/>
    </sheetNames>
    <definedNames>
      <definedName name="PrintAsia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 refreshError="1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(IP_NFGDP)"/>
      <sheetName val="Forecast Submission"/>
      <sheetName val="DATABASE"/>
      <sheetName val="Calculations"/>
      <sheetName val="Year Average"/>
      <sheetName val="Equip"/>
      <sheetName val="Build"/>
      <sheetName val="Total_inv"/>
      <sheetName val="Chart6"/>
      <sheetName val="NomGDP&amp;cash"/>
      <sheetName val="Imports to sales"/>
      <sheetName val="Real GDI"/>
      <sheetName val="(NFGDP)"/>
      <sheetName val="BFI%GDP (5)"/>
      <sheetName val="BFI%GDP"/>
      <sheetName val="(IMP%GDP)"/>
      <sheetName val="Tot Inv%GDP (utopea)"/>
      <sheetName val="NF GDP ex housing"/>
      <sheetName val="NF GDP ex housing (3)"/>
      <sheetName val="(NFGDP no fc)"/>
      <sheetName val="(NFGDP2)"/>
      <sheetName val="(Out &amp; Dem)"/>
      <sheetName val="(Out &amp; Dem2)"/>
      <sheetName val="(pub&amp;prv DD)"/>
      <sheetName val="(pub D)"/>
      <sheetName val="(hh sav)"/>
      <sheetName val="(Stks-sales)"/>
      <sheetName val="(defl)"/>
      <sheetName val="GDP&amp;Profits"/>
      <sheetName val="NFGDP&amp;profits"/>
      <sheetName val="real v nom NFGDP"/>
      <sheetName val="Chart2"/>
      <sheetName val="(GDP)"/>
      <sheetName val="ToT"/>
      <sheetName val="Chart4"/>
      <sheetName val="(GDP_employ) (2)"/>
      <sheetName val="(GDP_employ)"/>
      <sheetName val="Chart4 (2)"/>
      <sheetName val="GDP chart"/>
      <sheetName val="Dwell_Gos"/>
      <sheetName val="Dwell_Gos (2)"/>
      <sheetName val="Chart3"/>
      <sheetName val="Chart3 (2)"/>
      <sheetName val="Chart3 (3)"/>
      <sheetName val="GDP ex pub inv"/>
      <sheetName val="GDP ex pub demand"/>
      <sheetName val="GDP ex pub demand (2)"/>
      <sheetName val="deflators chain (2)"/>
      <sheetName val="GG_cons"/>
      <sheetName val="GOS &amp; nom GDP"/>
      <sheetName val="Chart13"/>
      <sheetName val="Chart2 (4)"/>
      <sheetName val="Chart2 (2)"/>
      <sheetName val="Chart2 (3)"/>
      <sheetName val="Chart2 (5)"/>
      <sheetName val="NFGDP fc (note)"/>
      <sheetName val="GDP_nom&amp;real"/>
      <sheetName val="GDP_nom&amp;real (2)"/>
      <sheetName val="DD_const"/>
      <sheetName val="G&amp; S bal"/>
      <sheetName val="EXPORT DEV FROM TREND (2)"/>
      <sheetName val=" Public Consumption"/>
      <sheetName val=" Public Consumption (2)"/>
      <sheetName val=" Public Consumption (3)"/>
      <sheetName val="Cons &amp; Inv pres"/>
      <sheetName val="MR Chart14 "/>
      <sheetName val="P&amp;E &amp; Xshock (SR)"/>
      <sheetName val="B&amp;S &amp; Xshock (SR)"/>
      <sheetName val="BOP"/>
      <sheetName val="Chart1"/>
      <sheetName val="household income"/>
      <sheetName val="5206.5"/>
      <sheetName val="5206.22"/>
      <sheetName val="GDPPexCons"/>
      <sheetName val="5206.26"/>
      <sheetName val="5206.41"/>
      <sheetName val="5206.41 (new)"/>
      <sheetName val="5206.32"/>
      <sheetName val="5206.8"/>
      <sheetName val="Output &amp; Demand (utopea)"/>
      <sheetName val="Output &amp; Demand (utopea) nf"/>
      <sheetName val="Output &amp; Demand (utopea) (2)"/>
      <sheetName val="5206.01"/>
      <sheetName val="Private Demand 2 - utopea ( (3)"/>
      <sheetName val="Output &amp; Demand (3)"/>
      <sheetName val="Private Demand (7)"/>
      <sheetName val="Private Demand (4)"/>
      <sheetName val="Private Demand (5)"/>
      <sheetName val="PE_deflator"/>
      <sheetName val="M_deflator"/>
      <sheetName val="Chart5"/>
      <sheetName val="NF GDP ex housing (2)"/>
      <sheetName val="DD, imports &amp; TWI"/>
      <sheetName val="DD, imports"/>
      <sheetName val="5206.2 NEW"/>
      <sheetName val="5206.6 NEW"/>
      <sheetName val="5206.9 NEW"/>
      <sheetName val="5206.16 NEW"/>
      <sheetName val="5206.19 NEW"/>
      <sheetName val="5206.22 NEW"/>
      <sheetName val="5206.36 NEW"/>
      <sheetName val="Chart21"/>
      <sheetName val="5206.41 NEW"/>
      <sheetName val="(NFGDP) (2)"/>
      <sheetName val="Chart22"/>
      <sheetName val="(hh sav) (2)"/>
      <sheetName val="real v nom G&amp; S bal"/>
      <sheetName val="real v nom imports"/>
      <sheetName val="ToT v TWI"/>
      <sheetName val="Out, Dem &amp; NX"/>
      <sheetName val="(Out &amp; Dem) (2)"/>
      <sheetName val="Chart31"/>
      <sheetName val="Chart32"/>
      <sheetName val="(Real GDI)"/>
      <sheetName val="(ToT)"/>
      <sheetName val="(GDP_XM)"/>
      <sheetName val="Chart24"/>
      <sheetName val="Chart26"/>
      <sheetName val="Chart27"/>
      <sheetName val="Chart25"/>
      <sheetName val="(DD_IMP)"/>
      <sheetName val="(farm)"/>
      <sheetName val="Chart29"/>
      <sheetName val="Chart23"/>
      <sheetName val="Total_inv (2)"/>
      <sheetName val="Output &amp; Demand (utopea) (2 (3)"/>
      <sheetName val="DD, imports &amp; TWI (2)"/>
      <sheetName val="Chart7"/>
      <sheetName val="IVA share"/>
      <sheetName val="Chart7 (2)"/>
      <sheetName val="Chart7 (3)"/>
      <sheetName val="ToT v TWI (2)"/>
      <sheetName val="ToT v TWI (3)"/>
      <sheetName val="Chart24 (2)"/>
      <sheetName val="Private Demand (8)"/>
      <sheetName val="Chart28"/>
      <sheetName val="Output &amp; Demand (utopea) (2 (4)"/>
      <sheetName val="SFD"/>
      <sheetName val="Australian Economic Outlook"/>
      <sheetName val=" GVA"/>
      <sheetName val="5206.1"/>
      <sheetName val="5206.2"/>
      <sheetName val="5206.3"/>
      <sheetName val="5206.05"/>
      <sheetName val="5206.6"/>
      <sheetName val="5206.7"/>
      <sheetName val="5206.9"/>
      <sheetName val="5206.14"/>
      <sheetName val="5206.20"/>
      <sheetName val="5206.21a"/>
      <sheetName val="5206.21b"/>
      <sheetName val="5206.29"/>
      <sheetName val="(Business investment)"/>
      <sheetName val="(GDP&amp;Profits)"/>
      <sheetName val="(Demand &amp; profits)"/>
      <sheetName val="(GNE&amp;Nfinprofit)"/>
      <sheetName val="(GNE&amp;profits)"/>
      <sheetName val="(GNE&amp;profit unincorp)"/>
      <sheetName val="(NFGDP&amp;profits)"/>
      <sheetName val="(GVA type)"/>
      <sheetName val="(Private nonres v M&amp;E)"/>
      <sheetName val="(SFD State)"/>
      <sheetName val="(GDP COW)"/>
      <sheetName val="(GDP f)"/>
      <sheetName val="(NF GDP &amp; Demand &amp; NX &amp; sto (3)"/>
      <sheetName val="(GDP &amp; Demand &amp; NX &amp; stocks)"/>
      <sheetName val="(NF GDP &amp; Demand &amp; NX &amp; sto (2)"/>
      <sheetName val="(Wages v super)"/>
      <sheetName val="(WPI AWE NA)"/>
      <sheetName val="(Profit share v GDP)"/>
      <sheetName val="(Profit v wages share)"/>
      <sheetName val="(Profit v wages share) (3)"/>
      <sheetName val="(DFD &amp; SFD 2q)"/>
      <sheetName val="(DFD &amp; SFD 2q qq)"/>
      <sheetName val="(DFD &amp; SFD)"/>
      <sheetName val="(DFD &amp; SFD 2q) (2)"/>
      <sheetName val="(DFD &amp; SFD 2q) (3)"/>
      <sheetName val="(Deflators) (2)"/>
      <sheetName val="(productivity mkt)"/>
      <sheetName val="(SFD commod v NSW v ROA)"/>
      <sheetName val="(SFD) (2)"/>
      <sheetName val="(GDI less GDP v ToT)"/>
      <sheetName val="(productivity GDP per hr mkt)"/>
      <sheetName val="(Output &amp; Demand)"/>
      <sheetName val="(Output &amp; Demand + f)"/>
      <sheetName val="(Output &amp; Demand no stocks)"/>
      <sheetName val="(Real &amp; nominal GDP +f)"/>
      <sheetName val="Contr_Bus"/>
      <sheetName val="(QLD, WA, NT v ROA SFD)"/>
      <sheetName val="(QLD, WA, NT v ROA SFD) (2)"/>
      <sheetName val="(NF GDP)"/>
      <sheetName val="(DD, NFGDP, Stocks, Net Export)"/>
      <sheetName val="(Domestic demand)"/>
      <sheetName val="(GDP Industry)"/>
      <sheetName val="Contr_Bus (2)"/>
      <sheetName val="(Trend public demand)"/>
      <sheetName val="(Trend private demand)"/>
      <sheetName val="(WA)"/>
      <sheetName val="(GDP &amp; IP)"/>
      <sheetName val="(GDP qq yy long)"/>
      <sheetName val="(E I P)"/>
      <sheetName val="(farm v livestock yy)"/>
      <sheetName val="(farm v livestock)"/>
      <sheetName val="(Business invest)"/>
      <sheetName val="(Bus &amp; Exp v Consum &amp; dwell)"/>
      <sheetName val="(Bus v Consum &amp; dwell"/>
      <sheetName val="Total_inv (3)"/>
      <sheetName val="(NomGDP&amp;cash)"/>
      <sheetName val="(Imports to sales)"/>
      <sheetName val="(Farm GDP)"/>
      <sheetName val="BFI%GDP (2)"/>
      <sheetName val="(public demand)"/>
      <sheetName val="(Private Demand)"/>
      <sheetName val="(Private Demand) (2)"/>
      <sheetName val="(Private Demand) (3)"/>
      <sheetName val="(M_deflator)"/>
      <sheetName val="(DD, imports &amp; TWI)"/>
      <sheetName val="(Imports v AUD)"/>
      <sheetName val="(GNE v imports)"/>
      <sheetName val="(Saving US v Aust)"/>
      <sheetName val="(real v nom imports)"/>
      <sheetName val="(exports v imports)"/>
      <sheetName val="(Bus invest v consump)"/>
      <sheetName val="(Private Demand by component)"/>
      <sheetName val="(Nominal GDP &amp; GOS)"/>
      <sheetName val="(domestic demand by state)"/>
      <sheetName val="(Output &amp; Demand master)"/>
      <sheetName val="(Dwelling GFCE)"/>
      <sheetName val="(GDP ex construction)"/>
      <sheetName val="(TOT by state)"/>
      <sheetName val="5206.6 old (2)"/>
      <sheetName val="5206.2 old"/>
      <sheetName val="5206.6 old"/>
      <sheetName val="5206.9 old"/>
      <sheetName val="5206.16 old"/>
      <sheetName val="5206.19 old"/>
      <sheetName val="5206.22 old"/>
      <sheetName val="5206.36 old"/>
      <sheetName val="5206.8old"/>
      <sheetName val="5206.41 old"/>
      <sheetName val="FI monthly"/>
      <sheetName val="CPI"/>
      <sheetName val="NZ Economic Outlook"/>
      <sheetName val="5206.21"/>
      <sheetName val="(GDP) (4)"/>
      <sheetName val="(GDP) (3)"/>
      <sheetName val="(GDP) (2)"/>
      <sheetName val="(NF GDP &amp; Demand &amp; NX &amp; stocks)"/>
      <sheetName val="(DD public v private)"/>
      <sheetName val="(GDP qq contr) (2)"/>
      <sheetName val="(GDP qq contr) (3)"/>
      <sheetName val="(Compensation of employees)"/>
      <sheetName val="(Household saving rate)"/>
      <sheetName val="(Stocks to sales)"/>
      <sheetName val="(Deflators)"/>
      <sheetName val="(GDI)"/>
      <sheetName val="(productivity per hour)"/>
      <sheetName val="(SFD)"/>
      <sheetName val="(Real &amp; nominal GDP)"/>
      <sheetName val="(GVA)"/>
      <sheetName val="(GDP E_I_P)"/>
      <sheetName val="(Industry shares)"/>
      <sheetName val="GNE&amp;profits"/>
      <sheetName val="Demand &amp; profits"/>
      <sheetName val="GNE&amp;Nfinprofit"/>
      <sheetName val="GNE&amp;profit unincorp"/>
      <sheetName val="(GDP qq contr)"/>
      <sheetName val="(HH saving rate)"/>
      <sheetName val="(DD by State yy)"/>
      <sheetName val="Sheet1"/>
      <sheetName val="demand&amp;profit unincorp"/>
      <sheetName val="Chart34"/>
      <sheetName val="(farm v livestock yy) (2)"/>
      <sheetName val="DATABASE (2)"/>
      <sheetName val="Trend private demand"/>
      <sheetName val="Trend public demand"/>
      <sheetName val="Domestic demand"/>
      <sheetName val="(Dom demand pub&amp;priv)"/>
      <sheetName val="(DFD &amp; SFD) (2)"/>
      <sheetName val="(productivity)"/>
      <sheetName val="FarmOutput"/>
      <sheetName val="Import &amp; XR"/>
      <sheetName val="GNE, imports"/>
      <sheetName val="Indy shares"/>
      <sheetName val="Saving (US v Aust)"/>
      <sheetName val="Real trade"/>
      <sheetName val="Bus v cons"/>
      <sheetName val="Private Demand comps"/>
      <sheetName val="Nominal GDP &amp; GOS"/>
      <sheetName val="Output &amp; Demand (no stocks)"/>
      <sheetName val="DD by state snapshot"/>
      <sheetName val="DD by state"/>
      <sheetName val="Output &amp; Demand (master)"/>
      <sheetName val="Dwelling GFCE"/>
      <sheetName val="GDP ex construction"/>
      <sheetName val="TOT by state"/>
      <sheetName val="(State final demand) (2)"/>
      <sheetName val="Chart9"/>
      <sheetName val="GVA"/>
      <sheetName val="WA"/>
      <sheetName val="(GDP &amp; IP) (2)"/>
      <sheetName val="State final demand"/>
      <sheetName val="5206.14 NEW"/>
      <sheetName val="(State final demand)"/>
      <sheetName val="Australian Economic Outlook (2)"/>
      <sheetName val="5206.27"/>
      <sheetName val="Chart30"/>
      <sheetName val="(GDP AEC)"/>
      <sheetName val="(ULC)"/>
      <sheetName val="(COE v Ave earnings)"/>
      <sheetName val="(WPI AWE NA) (2)"/>
      <sheetName val="(GDI) (2)"/>
      <sheetName val="Profits"/>
      <sheetName val="GDP&amp;Profit_LR"/>
      <sheetName val="GDP&amp;Profit_LR (real)"/>
      <sheetName val="GNE&amp;Nfinprofit_LR"/>
      <sheetName val="(GNE&amp;profit"/>
      <sheetName val="BFI%GDP (6)"/>
    </sheetNames>
    <definedNames>
      <definedName name="PrintAsia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 refreshError="1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en. Basico"/>
    </sheetNames>
    <sheetDataSet>
      <sheetData sheetId="0" refreshError="1">
        <row r="6">
          <cell r="C6">
            <v>4.3099999999999996</v>
          </cell>
          <cell r="D6">
            <v>1.31</v>
          </cell>
          <cell r="E6">
            <v>2.66</v>
          </cell>
          <cell r="F6">
            <v>1.1499999999999999</v>
          </cell>
          <cell r="G6">
            <v>5.71</v>
          </cell>
          <cell r="H6">
            <v>3.16</v>
          </cell>
          <cell r="I6">
            <v>3.97</v>
          </cell>
          <cell r="J6">
            <v>6.1</v>
          </cell>
          <cell r="K6">
            <v>5.2</v>
          </cell>
          <cell r="L6">
            <v>-0.3</v>
          </cell>
          <cell r="M6">
            <v>7.5</v>
          </cell>
          <cell r="N6">
            <v>4.235653966354147</v>
          </cell>
          <cell r="O6">
            <v>3.3143580012650276</v>
          </cell>
          <cell r="P6">
            <v>2.1219663970130753</v>
          </cell>
          <cell r="Q6">
            <v>1.4000000000000001</v>
          </cell>
          <cell r="R6">
            <v>2.7</v>
          </cell>
          <cell r="S6">
            <v>1.5</v>
          </cell>
          <cell r="T6">
            <v>2</v>
          </cell>
          <cell r="U6">
            <v>4</v>
          </cell>
          <cell r="V6">
            <v>5.5</v>
          </cell>
          <cell r="W6">
            <v>3.3</v>
          </cell>
          <cell r="X6">
            <v>4</v>
          </cell>
          <cell r="Y6">
            <v>4</v>
          </cell>
          <cell r="Z6">
            <v>4</v>
          </cell>
          <cell r="AA6">
            <v>4.5</v>
          </cell>
          <cell r="AB6">
            <v>4.5</v>
          </cell>
          <cell r="AC6">
            <v>4.5</v>
          </cell>
        </row>
        <row r="9">
          <cell r="C9">
            <v>6</v>
          </cell>
          <cell r="D9">
            <v>7.7</v>
          </cell>
          <cell r="E9">
            <v>12.5</v>
          </cell>
          <cell r="F9">
            <v>9.3000000000000007</v>
          </cell>
          <cell r="G9">
            <v>7.6</v>
          </cell>
          <cell r="H9">
            <v>5.7</v>
          </cell>
          <cell r="I9">
            <v>3.14</v>
          </cell>
          <cell r="J9">
            <v>4.46</v>
          </cell>
          <cell r="K9">
            <v>5.9</v>
          </cell>
          <cell r="L9">
            <v>4.3</v>
          </cell>
          <cell r="M9">
            <v>5.91</v>
          </cell>
          <cell r="N9">
            <v>2.4395694559999903</v>
          </cell>
          <cell r="O9">
            <v>1.3954844285000156</v>
          </cell>
          <cell r="P9">
            <v>1.0634041376000214</v>
          </cell>
          <cell r="Q9">
            <v>1.4569971799999859</v>
          </cell>
          <cell r="R9">
            <v>6.5</v>
          </cell>
          <cell r="S9">
            <v>1.3358002879999997</v>
          </cell>
          <cell r="T9">
            <v>1.1039295000000005</v>
          </cell>
          <cell r="U9">
            <v>1.0033035999999607</v>
          </cell>
          <cell r="V9">
            <v>1.558013749999998</v>
          </cell>
          <cell r="W9">
            <v>5.2</v>
          </cell>
          <cell r="X9">
            <v>5.3</v>
          </cell>
          <cell r="Y9">
            <v>5</v>
          </cell>
          <cell r="Z9">
            <v>5</v>
          </cell>
          <cell r="AA9">
            <v>4.5</v>
          </cell>
          <cell r="AB9">
            <v>4.5</v>
          </cell>
          <cell r="AC9">
            <v>4.5</v>
          </cell>
        </row>
        <row r="10">
          <cell r="C10">
            <v>9.81</v>
          </cell>
          <cell r="D10">
            <v>10.4</v>
          </cell>
          <cell r="E10">
            <v>25.3</v>
          </cell>
          <cell r="F10">
            <v>8.7100000000000009</v>
          </cell>
          <cell r="G10">
            <v>12.41</v>
          </cell>
          <cell r="H10">
            <v>1.2</v>
          </cell>
          <cell r="I10">
            <v>3.85</v>
          </cell>
          <cell r="J10">
            <v>7.75</v>
          </cell>
          <cell r="K10">
            <v>9.8075050358176661</v>
          </cell>
          <cell r="L10">
            <v>-1.7239482010694696</v>
          </cell>
          <cell r="M10">
            <v>11.3</v>
          </cell>
          <cell r="N10">
            <v>2.4395694559999903</v>
          </cell>
          <cell r="O10">
            <v>1.3954844285000156</v>
          </cell>
          <cell r="P10">
            <v>0.97154856799999134</v>
          </cell>
          <cell r="Q10">
            <v>0.91141081999999152</v>
          </cell>
          <cell r="R10">
            <v>5.0999999999999996</v>
          </cell>
          <cell r="S10">
            <v>0.49041954999997639</v>
          </cell>
          <cell r="T10">
            <v>1.8104192000000019</v>
          </cell>
          <cell r="U10">
            <v>1.5882943999999677</v>
          </cell>
          <cell r="V10">
            <v>1.5075124999999634</v>
          </cell>
          <cell r="W10">
            <v>5.5</v>
          </cell>
          <cell r="X10">
            <v>5.3</v>
          </cell>
          <cell r="Y10">
            <v>5</v>
          </cell>
          <cell r="Z10">
            <v>5</v>
          </cell>
          <cell r="AA10">
            <v>4.5</v>
          </cell>
          <cell r="AB10">
            <v>4.5</v>
          </cell>
          <cell r="AC10">
            <v>4.5</v>
          </cell>
        </row>
        <row r="13">
          <cell r="C13">
            <v>9</v>
          </cell>
          <cell r="D13">
            <v>19</v>
          </cell>
          <cell r="E13">
            <v>53.54671280276817</v>
          </cell>
          <cell r="F13">
            <v>-18.176702307259429</v>
          </cell>
          <cell r="G13">
            <v>-8.1268171120033372</v>
          </cell>
          <cell r="H13">
            <v>-11.818113321277879</v>
          </cell>
          <cell r="I13">
            <v>-8.6598026231469287</v>
          </cell>
          <cell r="J13">
            <v>-17.151543498596812</v>
          </cell>
          <cell r="K13">
            <v>31.936995427087457</v>
          </cell>
          <cell r="L13">
            <v>-25.494223363286274</v>
          </cell>
          <cell r="M13">
            <v>3.833333333333333</v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>
            <v>4.4117647058823373</v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>
            <v>3.1372549019607954</v>
          </cell>
          <cell r="X13">
            <v>3.2352941176470473</v>
          </cell>
          <cell r="Y13">
            <v>2.941176470588247</v>
          </cell>
          <cell r="Z13">
            <v>2.941176470588247</v>
          </cell>
          <cell r="AA13">
            <v>2.450980392156854</v>
          </cell>
          <cell r="AB13">
            <v>2.450980392156854</v>
          </cell>
          <cell r="AC13">
            <v>2.450980392156854</v>
          </cell>
        </row>
        <row r="14">
          <cell r="C14">
            <v>1.9554</v>
          </cell>
          <cell r="D14">
            <v>2.3203999999999998</v>
          </cell>
          <cell r="E14">
            <v>3.5333000000000001</v>
          </cell>
          <cell r="F14">
            <v>2.8892000000000002</v>
          </cell>
          <cell r="G14">
            <v>2.6543999999999999</v>
          </cell>
          <cell r="H14">
            <v>2.3407</v>
          </cell>
          <cell r="I14">
            <v>2.1379999999999999</v>
          </cell>
          <cell r="J14">
            <v>1.7713000000000001</v>
          </cell>
          <cell r="K14">
            <v>2.3370000000000002</v>
          </cell>
          <cell r="L14">
            <v>1.7412000000000001</v>
          </cell>
          <cell r="M14">
            <v>1.6661999999999999</v>
          </cell>
          <cell r="N14">
            <v>1.6287</v>
          </cell>
          <cell r="O14">
            <v>1.5611000000000002</v>
          </cell>
          <cell r="P14">
            <v>1.8544</v>
          </cell>
          <cell r="Q14">
            <v>1.8757999999999999</v>
          </cell>
          <cell r="R14">
            <v>1.8757999999999999</v>
          </cell>
          <cell r="S14">
            <v>1.7325049547298677</v>
          </cell>
          <cell r="T14">
            <v>1.7444211885834964</v>
          </cell>
          <cell r="U14">
            <v>1.7461652192074018</v>
          </cell>
          <cell r="V14">
            <v>1.7462308376313491</v>
          </cell>
          <cell r="W14">
            <v>1.7462308376313491</v>
          </cell>
          <cell r="X14">
            <v>1.802726541201775</v>
          </cell>
          <cell r="Y14">
            <v>1.8557479100606509</v>
          </cell>
          <cell r="Z14">
            <v>1.9103287309447878</v>
          </cell>
          <cell r="AA14">
            <v>1.9571505135659835</v>
          </cell>
          <cell r="AB14">
            <v>2.0051198888984829</v>
          </cell>
          <cell r="AC14">
            <v>2.0542649842146221</v>
          </cell>
        </row>
        <row r="15">
          <cell r="C15">
            <v>1.8301416666666668</v>
          </cell>
          <cell r="D15">
            <v>2.3504999999999998</v>
          </cell>
          <cell r="E15">
            <v>2.9284261904761903</v>
          </cell>
          <cell r="F15">
            <v>3.071526086956522</v>
          </cell>
          <cell r="G15">
            <v>2.9249320158102763</v>
          </cell>
          <cell r="H15">
            <v>2.4340872509960145</v>
          </cell>
          <cell r="I15">
            <v>2.177</v>
          </cell>
          <cell r="J15">
            <v>1.948</v>
          </cell>
          <cell r="K15">
            <v>1.8374673228346452</v>
          </cell>
          <cell r="L15">
            <v>2</v>
          </cell>
          <cell r="M15">
            <v>1.7593000000000001</v>
          </cell>
          <cell r="N15">
            <v>1.6591</v>
          </cell>
          <cell r="O15">
            <v>1.587</v>
          </cell>
          <cell r="P15">
            <v>1.7498</v>
          </cell>
          <cell r="Q15">
            <v>1.8369</v>
          </cell>
          <cell r="R15">
            <v>1.6746000000000001</v>
          </cell>
          <cell r="S15">
            <v>1.7360218184755585</v>
          </cell>
          <cell r="T15">
            <v>1.7414761987942005</v>
          </cell>
          <cell r="U15">
            <v>1.7458395161576161</v>
          </cell>
          <cell r="V15">
            <v>1.7464520151110368</v>
          </cell>
          <cell r="W15">
            <v>1.7424473871346027</v>
          </cell>
          <cell r="X15">
            <v>1.7744786894165621</v>
          </cell>
          <cell r="Y15">
            <v>1.8292372256312128</v>
          </cell>
          <cell r="Z15">
            <v>1.8830383205027195</v>
          </cell>
          <cell r="AA15">
            <v>1.9337396222553855</v>
          </cell>
          <cell r="AB15">
            <v>1.9811352012322332</v>
          </cell>
          <cell r="AC15">
            <v>2.0296924365565525</v>
          </cell>
        </row>
        <row r="18">
          <cell r="C18">
            <v>15.75</v>
          </cell>
          <cell r="D18">
            <v>19</v>
          </cell>
          <cell r="E18">
            <v>25</v>
          </cell>
          <cell r="F18">
            <v>16.5</v>
          </cell>
          <cell r="G18">
            <v>17.75</v>
          </cell>
          <cell r="H18">
            <v>18</v>
          </cell>
          <cell r="I18">
            <v>13.25</v>
          </cell>
          <cell r="J18">
            <v>11.25</v>
          </cell>
          <cell r="K18">
            <v>13.75</v>
          </cell>
          <cell r="L18">
            <v>8.75</v>
          </cell>
          <cell r="M18">
            <v>10.75</v>
          </cell>
          <cell r="N18">
            <v>11.75</v>
          </cell>
          <cell r="O18">
            <v>12.25</v>
          </cell>
          <cell r="P18">
            <v>12</v>
          </cell>
          <cell r="Q18">
            <v>11</v>
          </cell>
          <cell r="R18">
            <v>11</v>
          </cell>
          <cell r="S18">
            <v>9.75</v>
          </cell>
          <cell r="T18">
            <v>9</v>
          </cell>
          <cell r="U18">
            <v>9</v>
          </cell>
          <cell r="V18">
            <v>9</v>
          </cell>
          <cell r="W18">
            <v>9</v>
          </cell>
          <cell r="X18">
            <v>9.5</v>
          </cell>
          <cell r="Y18">
            <v>9.5</v>
          </cell>
          <cell r="Z18">
            <v>9</v>
          </cell>
          <cell r="AA18">
            <v>9</v>
          </cell>
          <cell r="AB18">
            <v>9</v>
          </cell>
          <cell r="AC18">
            <v>9</v>
          </cell>
        </row>
        <row r="19">
          <cell r="C19">
            <v>17.600000000000001</v>
          </cell>
          <cell r="D19">
            <v>17.399999999999999</v>
          </cell>
          <cell r="E19">
            <v>19.100000000000001</v>
          </cell>
          <cell r="F19">
            <v>23.35</v>
          </cell>
          <cell r="G19">
            <v>16.25</v>
          </cell>
          <cell r="H19">
            <v>19.100000000000001</v>
          </cell>
          <cell r="I19">
            <v>15.06</v>
          </cell>
          <cell r="J19">
            <v>11.979166666666666</v>
          </cell>
          <cell r="K19">
            <v>12.541666666666666</v>
          </cell>
          <cell r="L19">
            <v>9.9166666666666661</v>
          </cell>
          <cell r="M19">
            <v>10</v>
          </cell>
          <cell r="N19">
            <v>11.416666666666666</v>
          </cell>
          <cell r="O19">
            <v>12.083333333333334</v>
          </cell>
          <cell r="P19">
            <v>12.166666666666666</v>
          </cell>
          <cell r="Q19">
            <v>11.166666666666666</v>
          </cell>
          <cell r="R19">
            <v>11.708333333333334</v>
          </cell>
          <cell r="S19">
            <v>10.25</v>
          </cell>
          <cell r="T19">
            <v>9</v>
          </cell>
          <cell r="U19">
            <v>9</v>
          </cell>
          <cell r="V19">
            <v>9</v>
          </cell>
          <cell r="W19">
            <v>9.3125</v>
          </cell>
          <cell r="X19">
            <v>9.25</v>
          </cell>
          <cell r="Y19">
            <v>9.5</v>
          </cell>
          <cell r="Z19">
            <v>9.25</v>
          </cell>
          <cell r="AA19">
            <v>9</v>
          </cell>
          <cell r="AB19">
            <v>9</v>
          </cell>
          <cell r="AC19">
            <v>9</v>
          </cell>
        </row>
        <row r="20">
          <cell r="C20">
            <v>10.943396226415093</v>
          </cell>
          <cell r="D20">
            <v>9.0064995357474373</v>
          </cell>
          <cell r="E20">
            <v>5.8666666666666645</v>
          </cell>
          <cell r="F20">
            <v>12.854528819762123</v>
          </cell>
          <cell r="G20">
            <v>8.0390334572490794</v>
          </cell>
          <cell r="H20">
            <v>12.67738883632925</v>
          </cell>
          <cell r="I20">
            <v>11.557106845064947</v>
          </cell>
          <cell r="J20">
            <v>7.198130065734909</v>
          </cell>
          <cell r="K20">
            <v>6.2716399118665445</v>
          </cell>
          <cell r="L20">
            <v>8.75</v>
          </cell>
          <cell r="M20">
            <v>3.8617694268718861</v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>
            <v>4.8904538341158155</v>
          </cell>
          <cell r="W20">
            <v>3.9092205323193685</v>
          </cell>
          <cell r="X20">
            <v>3.7511870845204243</v>
          </cell>
          <cell r="Y20">
            <v>4.2857142857142705</v>
          </cell>
          <cell r="Z20">
            <v>4.0476190476190554</v>
          </cell>
          <cell r="AA20">
            <v>4.3062200956937913</v>
          </cell>
          <cell r="AB20">
            <v>4.3062200956937913</v>
          </cell>
          <cell r="AC20">
            <v>4.3062200956937913</v>
          </cell>
        </row>
        <row r="21">
          <cell r="C21">
            <v>7.094071578180472</v>
          </cell>
          <cell r="D21">
            <v>6.3405797101449224</v>
          </cell>
          <cell r="E21">
            <v>-4.9481245011971264</v>
          </cell>
          <cell r="F21">
            <v>13.467022353049396</v>
          </cell>
          <cell r="G21">
            <v>3.4160661862823627</v>
          </cell>
          <cell r="H21">
            <v>17.687747035573121</v>
          </cell>
          <cell r="I21">
            <v>10.79441502166587</v>
          </cell>
          <cell r="J21">
            <v>3.9249806651198815</v>
          </cell>
          <cell r="K21">
            <v>2.4899587964931635</v>
          </cell>
          <cell r="L21">
            <v>9.9166666666666661</v>
          </cell>
          <cell r="M21">
            <v>-1.1680143755615324</v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>
            <v>6.2876625436092848</v>
          </cell>
          <cell r="W21">
            <v>3.6137440758293726</v>
          </cell>
          <cell r="X21">
            <v>3.7511870845204243</v>
          </cell>
          <cell r="Y21">
            <v>4.2857142857142705</v>
          </cell>
          <cell r="Z21">
            <v>4.0476190476190554</v>
          </cell>
          <cell r="AA21">
            <v>4.3062200956937913</v>
          </cell>
          <cell r="AB21">
            <v>4.3062200956937913</v>
          </cell>
          <cell r="AC21">
            <v>4.3062200956937913</v>
          </cell>
        </row>
        <row r="22">
          <cell r="C22">
            <v>7.8899082568807177</v>
          </cell>
          <cell r="D22">
            <v>-1.3445378151260567</v>
          </cell>
          <cell r="E22">
            <v>-22.434028169014088</v>
          </cell>
          <cell r="F22">
            <v>50.751685006877587</v>
          </cell>
          <cell r="G22">
            <v>26.53311482820979</v>
          </cell>
          <cell r="H22">
            <v>35.061750758320166</v>
          </cell>
          <cell r="I22">
            <v>25.968635173058942</v>
          </cell>
          <cell r="J22">
            <v>35.16143980880333</v>
          </cell>
          <cell r="K22">
            <v>-14.70044751105406</v>
          </cell>
          <cell r="L22">
            <v>5.3851070629594044</v>
          </cell>
          <cell r="M22">
            <v>5.9390048154093211</v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>
            <v>6.9882629107981487</v>
          </cell>
          <cell r="W22">
            <v>5.9874049429657683</v>
          </cell>
          <cell r="X22">
            <v>5.8262108262108425</v>
          </cell>
          <cell r="Y22">
            <v>6.3714285714285612</v>
          </cell>
          <cell r="Z22">
            <v>6.1285714285714166</v>
          </cell>
          <cell r="AA22">
            <v>6.3923444976076826</v>
          </cell>
          <cell r="AB22">
            <v>6.3923444976076826</v>
          </cell>
          <cell r="AC22">
            <v>6.3923444976076826</v>
          </cell>
        </row>
        <row r="25">
          <cell r="H25">
            <v>3.7856020480411199</v>
          </cell>
          <cell r="I25">
            <v>3.2038800807049701</v>
          </cell>
          <cell r="J25">
            <v>3.3095299556460298</v>
          </cell>
          <cell r="K25">
            <v>3.4165001908603299</v>
          </cell>
          <cell r="L25">
            <v>1.99940620673638</v>
          </cell>
          <cell r="M25">
            <v>2.6974469385988602</v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>
            <v>3.1</v>
          </cell>
          <cell r="W25">
            <v>3.1</v>
          </cell>
          <cell r="X25">
            <v>3.1</v>
          </cell>
          <cell r="Y25">
            <v>2.9</v>
          </cell>
          <cell r="Z25">
            <v>2.9</v>
          </cell>
          <cell r="AA25">
            <v>2.9</v>
          </cell>
          <cell r="AB25">
            <v>2.9</v>
          </cell>
          <cell r="AC25">
            <v>2.9</v>
          </cell>
        </row>
        <row r="26">
          <cell r="H26">
            <v>48.436441560724198</v>
          </cell>
          <cell r="I26">
            <v>47.269900642196902</v>
          </cell>
          <cell r="J26">
            <v>45.531981590161287</v>
          </cell>
          <cell r="K26">
            <v>38.527709958386239</v>
          </cell>
          <cell r="L26">
            <v>42.06671115426785</v>
          </cell>
          <cell r="M26">
            <v>39.145541202068927</v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>
            <v>36.485857927514466</v>
          </cell>
          <cell r="W26">
            <v>36.041273789175101</v>
          </cell>
          <cell r="X26">
            <v>34.219655431870777</v>
          </cell>
          <cell r="Y26">
            <v>32.421877974031204</v>
          </cell>
          <cell r="Z26">
            <v>30.486714162393987</v>
          </cell>
          <cell r="AA26">
            <v>28.462305889314834</v>
          </cell>
          <cell r="AB26">
            <v>25.982158641269915</v>
          </cell>
          <cell r="AC26">
            <v>23.456712485358437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701"/>
  <sheetViews>
    <sheetView showGridLines="0" tabSelected="1" zoomScale="85" zoomScaleNormal="85" workbookViewId="0">
      <pane xSplit="1" topLeftCell="B1" activePane="topRight" state="frozen"/>
      <selection activeCell="A96" sqref="A96"/>
      <selection pane="topRight" activeCell="T39" sqref="T39"/>
    </sheetView>
  </sheetViews>
  <sheetFormatPr defaultRowHeight="12" outlineLevelRow="1" outlineLevelCol="2"/>
  <cols>
    <col min="1" max="1" width="42.42578125" style="2" customWidth="1"/>
    <col min="2" max="2" width="3.7109375" style="2" hidden="1" customWidth="1" outlineLevel="1"/>
    <col min="3" max="3" width="10.7109375" style="2" hidden="1" customWidth="1" outlineLevel="1"/>
    <col min="4" max="4" width="9.28515625" style="2" hidden="1" customWidth="1" outlineLevel="1"/>
    <col min="5" max="5" width="11" style="2" hidden="1" customWidth="1" outlineLevel="1"/>
    <col min="6" max="9" width="11" style="2" hidden="1" customWidth="1" outlineLevel="2"/>
    <col min="10" max="10" width="9.42578125" style="2" hidden="1" customWidth="1" outlineLevel="1" collapsed="1"/>
    <col min="11" max="11" width="9.42578125" style="2" bestFit="1" customWidth="1" collapsed="1"/>
    <col min="12" max="15" width="9.42578125" style="2" bestFit="1" customWidth="1"/>
    <col min="16" max="16" width="9.140625" style="2"/>
    <col min="17" max="17" width="9.28515625" style="2" bestFit="1" customWidth="1"/>
    <col min="18" max="247" width="9.140625" style="2"/>
    <col min="248" max="248" width="42.42578125" style="2" customWidth="1"/>
    <col min="249" max="249" width="3.7109375" style="2" customWidth="1"/>
    <col min="250" max="250" width="12.28515625" style="2" customWidth="1"/>
    <col min="251" max="251" width="10.7109375" style="2" customWidth="1"/>
    <col min="252" max="252" width="10.28515625" style="2" customWidth="1"/>
    <col min="253" max="254" width="10" style="2" customWidth="1"/>
    <col min="255" max="255" width="9" style="2" customWidth="1"/>
    <col min="256" max="256" width="9.28515625" style="2" customWidth="1"/>
    <col min="257" max="259" width="9" style="2" customWidth="1"/>
    <col min="260" max="260" width="10.7109375" style="2" customWidth="1"/>
    <col min="261" max="265" width="11" style="2" customWidth="1"/>
    <col min="266" max="266" width="9.42578125" style="2" customWidth="1"/>
    <col min="267" max="271" width="9.42578125" style="2" bestFit="1" customWidth="1"/>
    <col min="272" max="272" width="9.140625" style="2"/>
    <col min="273" max="273" width="9.28515625" style="2" bestFit="1" customWidth="1"/>
    <col min="274" max="503" width="9.140625" style="2"/>
    <col min="504" max="504" width="42.42578125" style="2" customWidth="1"/>
    <col min="505" max="505" width="3.7109375" style="2" customWidth="1"/>
    <col min="506" max="506" width="12.28515625" style="2" customWidth="1"/>
    <col min="507" max="507" width="10.7109375" style="2" customWidth="1"/>
    <col min="508" max="508" width="10.28515625" style="2" customWidth="1"/>
    <col min="509" max="510" width="10" style="2" customWidth="1"/>
    <col min="511" max="511" width="9" style="2" customWidth="1"/>
    <col min="512" max="512" width="9.28515625" style="2" customWidth="1"/>
    <col min="513" max="515" width="9" style="2" customWidth="1"/>
    <col min="516" max="516" width="10.7109375" style="2" customWidth="1"/>
    <col min="517" max="521" width="11" style="2" customWidth="1"/>
    <col min="522" max="522" width="9.42578125" style="2" customWidth="1"/>
    <col min="523" max="527" width="9.42578125" style="2" bestFit="1" customWidth="1"/>
    <col min="528" max="528" width="9.140625" style="2"/>
    <col min="529" max="529" width="9.28515625" style="2" bestFit="1" customWidth="1"/>
    <col min="530" max="759" width="9.140625" style="2"/>
    <col min="760" max="760" width="42.42578125" style="2" customWidth="1"/>
    <col min="761" max="761" width="3.7109375" style="2" customWidth="1"/>
    <col min="762" max="762" width="12.28515625" style="2" customWidth="1"/>
    <col min="763" max="763" width="10.7109375" style="2" customWidth="1"/>
    <col min="764" max="764" width="10.28515625" style="2" customWidth="1"/>
    <col min="765" max="766" width="10" style="2" customWidth="1"/>
    <col min="767" max="767" width="9" style="2" customWidth="1"/>
    <col min="768" max="768" width="9.28515625" style="2" customWidth="1"/>
    <col min="769" max="771" width="9" style="2" customWidth="1"/>
    <col min="772" max="772" width="10.7109375" style="2" customWidth="1"/>
    <col min="773" max="777" width="11" style="2" customWidth="1"/>
    <col min="778" max="778" width="9.42578125" style="2" customWidth="1"/>
    <col min="779" max="783" width="9.42578125" style="2" bestFit="1" customWidth="1"/>
    <col min="784" max="784" width="9.140625" style="2"/>
    <col min="785" max="785" width="9.28515625" style="2" bestFit="1" customWidth="1"/>
    <col min="786" max="1015" width="9.140625" style="2"/>
    <col min="1016" max="1016" width="42.42578125" style="2" customWidth="1"/>
    <col min="1017" max="1017" width="3.7109375" style="2" customWidth="1"/>
    <col min="1018" max="1018" width="12.28515625" style="2" customWidth="1"/>
    <col min="1019" max="1019" width="10.7109375" style="2" customWidth="1"/>
    <col min="1020" max="1020" width="10.28515625" style="2" customWidth="1"/>
    <col min="1021" max="1022" width="10" style="2" customWidth="1"/>
    <col min="1023" max="1023" width="9" style="2" customWidth="1"/>
    <col min="1024" max="1024" width="9.28515625" style="2" customWidth="1"/>
    <col min="1025" max="1027" width="9" style="2" customWidth="1"/>
    <col min="1028" max="1028" width="10.7109375" style="2" customWidth="1"/>
    <col min="1029" max="1033" width="11" style="2" customWidth="1"/>
    <col min="1034" max="1034" width="9.42578125" style="2" customWidth="1"/>
    <col min="1035" max="1039" width="9.42578125" style="2" bestFit="1" customWidth="1"/>
    <col min="1040" max="1040" width="9.140625" style="2"/>
    <col min="1041" max="1041" width="9.28515625" style="2" bestFit="1" customWidth="1"/>
    <col min="1042" max="1271" width="9.140625" style="2"/>
    <col min="1272" max="1272" width="42.42578125" style="2" customWidth="1"/>
    <col min="1273" max="1273" width="3.7109375" style="2" customWidth="1"/>
    <col min="1274" max="1274" width="12.28515625" style="2" customWidth="1"/>
    <col min="1275" max="1275" width="10.7109375" style="2" customWidth="1"/>
    <col min="1276" max="1276" width="10.28515625" style="2" customWidth="1"/>
    <col min="1277" max="1278" width="10" style="2" customWidth="1"/>
    <col min="1279" max="1279" width="9" style="2" customWidth="1"/>
    <col min="1280" max="1280" width="9.28515625" style="2" customWidth="1"/>
    <col min="1281" max="1283" width="9" style="2" customWidth="1"/>
    <col min="1284" max="1284" width="10.7109375" style="2" customWidth="1"/>
    <col min="1285" max="1289" width="11" style="2" customWidth="1"/>
    <col min="1290" max="1290" width="9.42578125" style="2" customWidth="1"/>
    <col min="1291" max="1295" width="9.42578125" style="2" bestFit="1" customWidth="1"/>
    <col min="1296" max="1296" width="9.140625" style="2"/>
    <col min="1297" max="1297" width="9.28515625" style="2" bestFit="1" customWidth="1"/>
    <col min="1298" max="1527" width="9.140625" style="2"/>
    <col min="1528" max="1528" width="42.42578125" style="2" customWidth="1"/>
    <col min="1529" max="1529" width="3.7109375" style="2" customWidth="1"/>
    <col min="1530" max="1530" width="12.28515625" style="2" customWidth="1"/>
    <col min="1531" max="1531" width="10.7109375" style="2" customWidth="1"/>
    <col min="1532" max="1532" width="10.28515625" style="2" customWidth="1"/>
    <col min="1533" max="1534" width="10" style="2" customWidth="1"/>
    <col min="1535" max="1535" width="9" style="2" customWidth="1"/>
    <col min="1536" max="1536" width="9.28515625" style="2" customWidth="1"/>
    <col min="1537" max="1539" width="9" style="2" customWidth="1"/>
    <col min="1540" max="1540" width="10.7109375" style="2" customWidth="1"/>
    <col min="1541" max="1545" width="11" style="2" customWidth="1"/>
    <col min="1546" max="1546" width="9.42578125" style="2" customWidth="1"/>
    <col min="1547" max="1551" width="9.42578125" style="2" bestFit="1" customWidth="1"/>
    <col min="1552" max="1552" width="9.140625" style="2"/>
    <col min="1553" max="1553" width="9.28515625" style="2" bestFit="1" customWidth="1"/>
    <col min="1554" max="1783" width="9.140625" style="2"/>
    <col min="1784" max="1784" width="42.42578125" style="2" customWidth="1"/>
    <col min="1785" max="1785" width="3.7109375" style="2" customWidth="1"/>
    <col min="1786" max="1786" width="12.28515625" style="2" customWidth="1"/>
    <col min="1787" max="1787" width="10.7109375" style="2" customWidth="1"/>
    <col min="1788" max="1788" width="10.28515625" style="2" customWidth="1"/>
    <col min="1789" max="1790" width="10" style="2" customWidth="1"/>
    <col min="1791" max="1791" width="9" style="2" customWidth="1"/>
    <col min="1792" max="1792" width="9.28515625" style="2" customWidth="1"/>
    <col min="1793" max="1795" width="9" style="2" customWidth="1"/>
    <col min="1796" max="1796" width="10.7109375" style="2" customWidth="1"/>
    <col min="1797" max="1801" width="11" style="2" customWidth="1"/>
    <col min="1802" max="1802" width="9.42578125" style="2" customWidth="1"/>
    <col min="1803" max="1807" width="9.42578125" style="2" bestFit="1" customWidth="1"/>
    <col min="1808" max="1808" width="9.140625" style="2"/>
    <col min="1809" max="1809" width="9.28515625" style="2" bestFit="1" customWidth="1"/>
    <col min="1810" max="2039" width="9.140625" style="2"/>
    <col min="2040" max="2040" width="42.42578125" style="2" customWidth="1"/>
    <col min="2041" max="2041" width="3.7109375" style="2" customWidth="1"/>
    <col min="2042" max="2042" width="12.28515625" style="2" customWidth="1"/>
    <col min="2043" max="2043" width="10.7109375" style="2" customWidth="1"/>
    <col min="2044" max="2044" width="10.28515625" style="2" customWidth="1"/>
    <col min="2045" max="2046" width="10" style="2" customWidth="1"/>
    <col min="2047" max="2047" width="9" style="2" customWidth="1"/>
    <col min="2048" max="2048" width="9.28515625" style="2" customWidth="1"/>
    <col min="2049" max="2051" width="9" style="2" customWidth="1"/>
    <col min="2052" max="2052" width="10.7109375" style="2" customWidth="1"/>
    <col min="2053" max="2057" width="11" style="2" customWidth="1"/>
    <col min="2058" max="2058" width="9.42578125" style="2" customWidth="1"/>
    <col min="2059" max="2063" width="9.42578125" style="2" bestFit="1" customWidth="1"/>
    <col min="2064" max="2064" width="9.140625" style="2"/>
    <col min="2065" max="2065" width="9.28515625" style="2" bestFit="1" customWidth="1"/>
    <col min="2066" max="2295" width="9.140625" style="2"/>
    <col min="2296" max="2296" width="42.42578125" style="2" customWidth="1"/>
    <col min="2297" max="2297" width="3.7109375" style="2" customWidth="1"/>
    <col min="2298" max="2298" width="12.28515625" style="2" customWidth="1"/>
    <col min="2299" max="2299" width="10.7109375" style="2" customWidth="1"/>
    <col min="2300" max="2300" width="10.28515625" style="2" customWidth="1"/>
    <col min="2301" max="2302" width="10" style="2" customWidth="1"/>
    <col min="2303" max="2303" width="9" style="2" customWidth="1"/>
    <col min="2304" max="2304" width="9.28515625" style="2" customWidth="1"/>
    <col min="2305" max="2307" width="9" style="2" customWidth="1"/>
    <col min="2308" max="2308" width="10.7109375" style="2" customWidth="1"/>
    <col min="2309" max="2313" width="11" style="2" customWidth="1"/>
    <col min="2314" max="2314" width="9.42578125" style="2" customWidth="1"/>
    <col min="2315" max="2319" width="9.42578125" style="2" bestFit="1" customWidth="1"/>
    <col min="2320" max="2320" width="9.140625" style="2"/>
    <col min="2321" max="2321" width="9.28515625" style="2" bestFit="1" customWidth="1"/>
    <col min="2322" max="2551" width="9.140625" style="2"/>
    <col min="2552" max="2552" width="42.42578125" style="2" customWidth="1"/>
    <col min="2553" max="2553" width="3.7109375" style="2" customWidth="1"/>
    <col min="2554" max="2554" width="12.28515625" style="2" customWidth="1"/>
    <col min="2555" max="2555" width="10.7109375" style="2" customWidth="1"/>
    <col min="2556" max="2556" width="10.28515625" style="2" customWidth="1"/>
    <col min="2557" max="2558" width="10" style="2" customWidth="1"/>
    <col min="2559" max="2559" width="9" style="2" customWidth="1"/>
    <col min="2560" max="2560" width="9.28515625" style="2" customWidth="1"/>
    <col min="2561" max="2563" width="9" style="2" customWidth="1"/>
    <col min="2564" max="2564" width="10.7109375" style="2" customWidth="1"/>
    <col min="2565" max="2569" width="11" style="2" customWidth="1"/>
    <col min="2570" max="2570" width="9.42578125" style="2" customWidth="1"/>
    <col min="2571" max="2575" width="9.42578125" style="2" bestFit="1" customWidth="1"/>
    <col min="2576" max="2576" width="9.140625" style="2"/>
    <col min="2577" max="2577" width="9.28515625" style="2" bestFit="1" customWidth="1"/>
    <col min="2578" max="2807" width="9.140625" style="2"/>
    <col min="2808" max="2808" width="42.42578125" style="2" customWidth="1"/>
    <col min="2809" max="2809" width="3.7109375" style="2" customWidth="1"/>
    <col min="2810" max="2810" width="12.28515625" style="2" customWidth="1"/>
    <col min="2811" max="2811" width="10.7109375" style="2" customWidth="1"/>
    <col min="2812" max="2812" width="10.28515625" style="2" customWidth="1"/>
    <col min="2813" max="2814" width="10" style="2" customWidth="1"/>
    <col min="2815" max="2815" width="9" style="2" customWidth="1"/>
    <col min="2816" max="2816" width="9.28515625" style="2" customWidth="1"/>
    <col min="2817" max="2819" width="9" style="2" customWidth="1"/>
    <col min="2820" max="2820" width="10.7109375" style="2" customWidth="1"/>
    <col min="2821" max="2825" width="11" style="2" customWidth="1"/>
    <col min="2826" max="2826" width="9.42578125" style="2" customWidth="1"/>
    <col min="2827" max="2831" width="9.42578125" style="2" bestFit="1" customWidth="1"/>
    <col min="2832" max="2832" width="9.140625" style="2"/>
    <col min="2833" max="2833" width="9.28515625" style="2" bestFit="1" customWidth="1"/>
    <col min="2834" max="3063" width="9.140625" style="2"/>
    <col min="3064" max="3064" width="42.42578125" style="2" customWidth="1"/>
    <col min="3065" max="3065" width="3.7109375" style="2" customWidth="1"/>
    <col min="3066" max="3066" width="12.28515625" style="2" customWidth="1"/>
    <col min="3067" max="3067" width="10.7109375" style="2" customWidth="1"/>
    <col min="3068" max="3068" width="10.28515625" style="2" customWidth="1"/>
    <col min="3069" max="3070" width="10" style="2" customWidth="1"/>
    <col min="3071" max="3071" width="9" style="2" customWidth="1"/>
    <col min="3072" max="3072" width="9.28515625" style="2" customWidth="1"/>
    <col min="3073" max="3075" width="9" style="2" customWidth="1"/>
    <col min="3076" max="3076" width="10.7109375" style="2" customWidth="1"/>
    <col min="3077" max="3081" width="11" style="2" customWidth="1"/>
    <col min="3082" max="3082" width="9.42578125" style="2" customWidth="1"/>
    <col min="3083" max="3087" width="9.42578125" style="2" bestFit="1" customWidth="1"/>
    <col min="3088" max="3088" width="9.140625" style="2"/>
    <col min="3089" max="3089" width="9.28515625" style="2" bestFit="1" customWidth="1"/>
    <col min="3090" max="3319" width="9.140625" style="2"/>
    <col min="3320" max="3320" width="42.42578125" style="2" customWidth="1"/>
    <col min="3321" max="3321" width="3.7109375" style="2" customWidth="1"/>
    <col min="3322" max="3322" width="12.28515625" style="2" customWidth="1"/>
    <col min="3323" max="3323" width="10.7109375" style="2" customWidth="1"/>
    <col min="3324" max="3324" width="10.28515625" style="2" customWidth="1"/>
    <col min="3325" max="3326" width="10" style="2" customWidth="1"/>
    <col min="3327" max="3327" width="9" style="2" customWidth="1"/>
    <col min="3328" max="3328" width="9.28515625" style="2" customWidth="1"/>
    <col min="3329" max="3331" width="9" style="2" customWidth="1"/>
    <col min="3332" max="3332" width="10.7109375" style="2" customWidth="1"/>
    <col min="3333" max="3337" width="11" style="2" customWidth="1"/>
    <col min="3338" max="3338" width="9.42578125" style="2" customWidth="1"/>
    <col min="3339" max="3343" width="9.42578125" style="2" bestFit="1" customWidth="1"/>
    <col min="3344" max="3344" width="9.140625" style="2"/>
    <col min="3345" max="3345" width="9.28515625" style="2" bestFit="1" customWidth="1"/>
    <col min="3346" max="3575" width="9.140625" style="2"/>
    <col min="3576" max="3576" width="42.42578125" style="2" customWidth="1"/>
    <col min="3577" max="3577" width="3.7109375" style="2" customWidth="1"/>
    <col min="3578" max="3578" width="12.28515625" style="2" customWidth="1"/>
    <col min="3579" max="3579" width="10.7109375" style="2" customWidth="1"/>
    <col min="3580" max="3580" width="10.28515625" style="2" customWidth="1"/>
    <col min="3581" max="3582" width="10" style="2" customWidth="1"/>
    <col min="3583" max="3583" width="9" style="2" customWidth="1"/>
    <col min="3584" max="3584" width="9.28515625" style="2" customWidth="1"/>
    <col min="3585" max="3587" width="9" style="2" customWidth="1"/>
    <col min="3588" max="3588" width="10.7109375" style="2" customWidth="1"/>
    <col min="3589" max="3593" width="11" style="2" customWidth="1"/>
    <col min="3594" max="3594" width="9.42578125" style="2" customWidth="1"/>
    <col min="3595" max="3599" width="9.42578125" style="2" bestFit="1" customWidth="1"/>
    <col min="3600" max="3600" width="9.140625" style="2"/>
    <col min="3601" max="3601" width="9.28515625" style="2" bestFit="1" customWidth="1"/>
    <col min="3602" max="3831" width="9.140625" style="2"/>
    <col min="3832" max="3832" width="42.42578125" style="2" customWidth="1"/>
    <col min="3833" max="3833" width="3.7109375" style="2" customWidth="1"/>
    <col min="3834" max="3834" width="12.28515625" style="2" customWidth="1"/>
    <col min="3835" max="3835" width="10.7109375" style="2" customWidth="1"/>
    <col min="3836" max="3836" width="10.28515625" style="2" customWidth="1"/>
    <col min="3837" max="3838" width="10" style="2" customWidth="1"/>
    <col min="3839" max="3839" width="9" style="2" customWidth="1"/>
    <col min="3840" max="3840" width="9.28515625" style="2" customWidth="1"/>
    <col min="3841" max="3843" width="9" style="2" customWidth="1"/>
    <col min="3844" max="3844" width="10.7109375" style="2" customWidth="1"/>
    <col min="3845" max="3849" width="11" style="2" customWidth="1"/>
    <col min="3850" max="3850" width="9.42578125" style="2" customWidth="1"/>
    <col min="3851" max="3855" width="9.42578125" style="2" bestFit="1" customWidth="1"/>
    <col min="3856" max="3856" width="9.140625" style="2"/>
    <col min="3857" max="3857" width="9.28515625" style="2" bestFit="1" customWidth="1"/>
    <col min="3858" max="4087" width="9.140625" style="2"/>
    <col min="4088" max="4088" width="42.42578125" style="2" customWidth="1"/>
    <col min="4089" max="4089" width="3.7109375" style="2" customWidth="1"/>
    <col min="4090" max="4090" width="12.28515625" style="2" customWidth="1"/>
    <col min="4091" max="4091" width="10.7109375" style="2" customWidth="1"/>
    <col min="4092" max="4092" width="10.28515625" style="2" customWidth="1"/>
    <col min="4093" max="4094" width="10" style="2" customWidth="1"/>
    <col min="4095" max="4095" width="9" style="2" customWidth="1"/>
    <col min="4096" max="4096" width="9.28515625" style="2" customWidth="1"/>
    <col min="4097" max="4099" width="9" style="2" customWidth="1"/>
    <col min="4100" max="4100" width="10.7109375" style="2" customWidth="1"/>
    <col min="4101" max="4105" width="11" style="2" customWidth="1"/>
    <col min="4106" max="4106" width="9.42578125" style="2" customWidth="1"/>
    <col min="4107" max="4111" width="9.42578125" style="2" bestFit="1" customWidth="1"/>
    <col min="4112" max="4112" width="9.140625" style="2"/>
    <col min="4113" max="4113" width="9.28515625" style="2" bestFit="1" customWidth="1"/>
    <col min="4114" max="4343" width="9.140625" style="2"/>
    <col min="4344" max="4344" width="42.42578125" style="2" customWidth="1"/>
    <col min="4345" max="4345" width="3.7109375" style="2" customWidth="1"/>
    <col min="4346" max="4346" width="12.28515625" style="2" customWidth="1"/>
    <col min="4347" max="4347" width="10.7109375" style="2" customWidth="1"/>
    <col min="4348" max="4348" width="10.28515625" style="2" customWidth="1"/>
    <col min="4349" max="4350" width="10" style="2" customWidth="1"/>
    <col min="4351" max="4351" width="9" style="2" customWidth="1"/>
    <col min="4352" max="4352" width="9.28515625" style="2" customWidth="1"/>
    <col min="4353" max="4355" width="9" style="2" customWidth="1"/>
    <col min="4356" max="4356" width="10.7109375" style="2" customWidth="1"/>
    <col min="4357" max="4361" width="11" style="2" customWidth="1"/>
    <col min="4362" max="4362" width="9.42578125" style="2" customWidth="1"/>
    <col min="4363" max="4367" width="9.42578125" style="2" bestFit="1" customWidth="1"/>
    <col min="4368" max="4368" width="9.140625" style="2"/>
    <col min="4369" max="4369" width="9.28515625" style="2" bestFit="1" customWidth="1"/>
    <col min="4370" max="4599" width="9.140625" style="2"/>
    <col min="4600" max="4600" width="42.42578125" style="2" customWidth="1"/>
    <col min="4601" max="4601" width="3.7109375" style="2" customWidth="1"/>
    <col min="4602" max="4602" width="12.28515625" style="2" customWidth="1"/>
    <col min="4603" max="4603" width="10.7109375" style="2" customWidth="1"/>
    <col min="4604" max="4604" width="10.28515625" style="2" customWidth="1"/>
    <col min="4605" max="4606" width="10" style="2" customWidth="1"/>
    <col min="4607" max="4607" width="9" style="2" customWidth="1"/>
    <col min="4608" max="4608" width="9.28515625" style="2" customWidth="1"/>
    <col min="4609" max="4611" width="9" style="2" customWidth="1"/>
    <col min="4612" max="4612" width="10.7109375" style="2" customWidth="1"/>
    <col min="4613" max="4617" width="11" style="2" customWidth="1"/>
    <col min="4618" max="4618" width="9.42578125" style="2" customWidth="1"/>
    <col min="4619" max="4623" width="9.42578125" style="2" bestFit="1" customWidth="1"/>
    <col min="4624" max="4624" width="9.140625" style="2"/>
    <col min="4625" max="4625" width="9.28515625" style="2" bestFit="1" customWidth="1"/>
    <col min="4626" max="4855" width="9.140625" style="2"/>
    <col min="4856" max="4856" width="42.42578125" style="2" customWidth="1"/>
    <col min="4857" max="4857" width="3.7109375" style="2" customWidth="1"/>
    <col min="4858" max="4858" width="12.28515625" style="2" customWidth="1"/>
    <col min="4859" max="4859" width="10.7109375" style="2" customWidth="1"/>
    <col min="4860" max="4860" width="10.28515625" style="2" customWidth="1"/>
    <col min="4861" max="4862" width="10" style="2" customWidth="1"/>
    <col min="4863" max="4863" width="9" style="2" customWidth="1"/>
    <col min="4864" max="4864" width="9.28515625" style="2" customWidth="1"/>
    <col min="4865" max="4867" width="9" style="2" customWidth="1"/>
    <col min="4868" max="4868" width="10.7109375" style="2" customWidth="1"/>
    <col min="4869" max="4873" width="11" style="2" customWidth="1"/>
    <col min="4874" max="4874" width="9.42578125" style="2" customWidth="1"/>
    <col min="4875" max="4879" width="9.42578125" style="2" bestFit="1" customWidth="1"/>
    <col min="4880" max="4880" width="9.140625" style="2"/>
    <col min="4881" max="4881" width="9.28515625" style="2" bestFit="1" customWidth="1"/>
    <col min="4882" max="5111" width="9.140625" style="2"/>
    <col min="5112" max="5112" width="42.42578125" style="2" customWidth="1"/>
    <col min="5113" max="5113" width="3.7109375" style="2" customWidth="1"/>
    <col min="5114" max="5114" width="12.28515625" style="2" customWidth="1"/>
    <col min="5115" max="5115" width="10.7109375" style="2" customWidth="1"/>
    <col min="5116" max="5116" width="10.28515625" style="2" customWidth="1"/>
    <col min="5117" max="5118" width="10" style="2" customWidth="1"/>
    <col min="5119" max="5119" width="9" style="2" customWidth="1"/>
    <col min="5120" max="5120" width="9.28515625" style="2" customWidth="1"/>
    <col min="5121" max="5123" width="9" style="2" customWidth="1"/>
    <col min="5124" max="5124" width="10.7109375" style="2" customWidth="1"/>
    <col min="5125" max="5129" width="11" style="2" customWidth="1"/>
    <col min="5130" max="5130" width="9.42578125" style="2" customWidth="1"/>
    <col min="5131" max="5135" width="9.42578125" style="2" bestFit="1" customWidth="1"/>
    <col min="5136" max="5136" width="9.140625" style="2"/>
    <col min="5137" max="5137" width="9.28515625" style="2" bestFit="1" customWidth="1"/>
    <col min="5138" max="5367" width="9.140625" style="2"/>
    <col min="5368" max="5368" width="42.42578125" style="2" customWidth="1"/>
    <col min="5369" max="5369" width="3.7109375" style="2" customWidth="1"/>
    <col min="5370" max="5370" width="12.28515625" style="2" customWidth="1"/>
    <col min="5371" max="5371" width="10.7109375" style="2" customWidth="1"/>
    <col min="5372" max="5372" width="10.28515625" style="2" customWidth="1"/>
    <col min="5373" max="5374" width="10" style="2" customWidth="1"/>
    <col min="5375" max="5375" width="9" style="2" customWidth="1"/>
    <col min="5376" max="5376" width="9.28515625" style="2" customWidth="1"/>
    <col min="5377" max="5379" width="9" style="2" customWidth="1"/>
    <col min="5380" max="5380" width="10.7109375" style="2" customWidth="1"/>
    <col min="5381" max="5385" width="11" style="2" customWidth="1"/>
    <col min="5386" max="5386" width="9.42578125" style="2" customWidth="1"/>
    <col min="5387" max="5391" width="9.42578125" style="2" bestFit="1" customWidth="1"/>
    <col min="5392" max="5392" width="9.140625" style="2"/>
    <col min="5393" max="5393" width="9.28515625" style="2" bestFit="1" customWidth="1"/>
    <col min="5394" max="5623" width="9.140625" style="2"/>
    <col min="5624" max="5624" width="42.42578125" style="2" customWidth="1"/>
    <col min="5625" max="5625" width="3.7109375" style="2" customWidth="1"/>
    <col min="5626" max="5626" width="12.28515625" style="2" customWidth="1"/>
    <col min="5627" max="5627" width="10.7109375" style="2" customWidth="1"/>
    <col min="5628" max="5628" width="10.28515625" style="2" customWidth="1"/>
    <col min="5629" max="5630" width="10" style="2" customWidth="1"/>
    <col min="5631" max="5631" width="9" style="2" customWidth="1"/>
    <col min="5632" max="5632" width="9.28515625" style="2" customWidth="1"/>
    <col min="5633" max="5635" width="9" style="2" customWidth="1"/>
    <col min="5636" max="5636" width="10.7109375" style="2" customWidth="1"/>
    <col min="5637" max="5641" width="11" style="2" customWidth="1"/>
    <col min="5642" max="5642" width="9.42578125" style="2" customWidth="1"/>
    <col min="5643" max="5647" width="9.42578125" style="2" bestFit="1" customWidth="1"/>
    <col min="5648" max="5648" width="9.140625" style="2"/>
    <col min="5649" max="5649" width="9.28515625" style="2" bestFit="1" customWidth="1"/>
    <col min="5650" max="5879" width="9.140625" style="2"/>
    <col min="5880" max="5880" width="42.42578125" style="2" customWidth="1"/>
    <col min="5881" max="5881" width="3.7109375" style="2" customWidth="1"/>
    <col min="5882" max="5882" width="12.28515625" style="2" customWidth="1"/>
    <col min="5883" max="5883" width="10.7109375" style="2" customWidth="1"/>
    <col min="5884" max="5884" width="10.28515625" style="2" customWidth="1"/>
    <col min="5885" max="5886" width="10" style="2" customWidth="1"/>
    <col min="5887" max="5887" width="9" style="2" customWidth="1"/>
    <col min="5888" max="5888" width="9.28515625" style="2" customWidth="1"/>
    <col min="5889" max="5891" width="9" style="2" customWidth="1"/>
    <col min="5892" max="5892" width="10.7109375" style="2" customWidth="1"/>
    <col min="5893" max="5897" width="11" style="2" customWidth="1"/>
    <col min="5898" max="5898" width="9.42578125" style="2" customWidth="1"/>
    <col min="5899" max="5903" width="9.42578125" style="2" bestFit="1" customWidth="1"/>
    <col min="5904" max="5904" width="9.140625" style="2"/>
    <col min="5905" max="5905" width="9.28515625" style="2" bestFit="1" customWidth="1"/>
    <col min="5906" max="6135" width="9.140625" style="2"/>
    <col min="6136" max="6136" width="42.42578125" style="2" customWidth="1"/>
    <col min="6137" max="6137" width="3.7109375" style="2" customWidth="1"/>
    <col min="6138" max="6138" width="12.28515625" style="2" customWidth="1"/>
    <col min="6139" max="6139" width="10.7109375" style="2" customWidth="1"/>
    <col min="6140" max="6140" width="10.28515625" style="2" customWidth="1"/>
    <col min="6141" max="6142" width="10" style="2" customWidth="1"/>
    <col min="6143" max="6143" width="9" style="2" customWidth="1"/>
    <col min="6144" max="6144" width="9.28515625" style="2" customWidth="1"/>
    <col min="6145" max="6147" width="9" style="2" customWidth="1"/>
    <col min="6148" max="6148" width="10.7109375" style="2" customWidth="1"/>
    <col min="6149" max="6153" width="11" style="2" customWidth="1"/>
    <col min="6154" max="6154" width="9.42578125" style="2" customWidth="1"/>
    <col min="6155" max="6159" width="9.42578125" style="2" bestFit="1" customWidth="1"/>
    <col min="6160" max="6160" width="9.140625" style="2"/>
    <col min="6161" max="6161" width="9.28515625" style="2" bestFit="1" customWidth="1"/>
    <col min="6162" max="6391" width="9.140625" style="2"/>
    <col min="6392" max="6392" width="42.42578125" style="2" customWidth="1"/>
    <col min="6393" max="6393" width="3.7109375" style="2" customWidth="1"/>
    <col min="6394" max="6394" width="12.28515625" style="2" customWidth="1"/>
    <col min="6395" max="6395" width="10.7109375" style="2" customWidth="1"/>
    <col min="6396" max="6396" width="10.28515625" style="2" customWidth="1"/>
    <col min="6397" max="6398" width="10" style="2" customWidth="1"/>
    <col min="6399" max="6399" width="9" style="2" customWidth="1"/>
    <col min="6400" max="6400" width="9.28515625" style="2" customWidth="1"/>
    <col min="6401" max="6403" width="9" style="2" customWidth="1"/>
    <col min="6404" max="6404" width="10.7109375" style="2" customWidth="1"/>
    <col min="6405" max="6409" width="11" style="2" customWidth="1"/>
    <col min="6410" max="6410" width="9.42578125" style="2" customWidth="1"/>
    <col min="6411" max="6415" width="9.42578125" style="2" bestFit="1" customWidth="1"/>
    <col min="6416" max="6416" width="9.140625" style="2"/>
    <col min="6417" max="6417" width="9.28515625" style="2" bestFit="1" customWidth="1"/>
    <col min="6418" max="6647" width="9.140625" style="2"/>
    <col min="6648" max="6648" width="42.42578125" style="2" customWidth="1"/>
    <col min="6649" max="6649" width="3.7109375" style="2" customWidth="1"/>
    <col min="6650" max="6650" width="12.28515625" style="2" customWidth="1"/>
    <col min="6651" max="6651" width="10.7109375" style="2" customWidth="1"/>
    <col min="6652" max="6652" width="10.28515625" style="2" customWidth="1"/>
    <col min="6653" max="6654" width="10" style="2" customWidth="1"/>
    <col min="6655" max="6655" width="9" style="2" customWidth="1"/>
    <col min="6656" max="6656" width="9.28515625" style="2" customWidth="1"/>
    <col min="6657" max="6659" width="9" style="2" customWidth="1"/>
    <col min="6660" max="6660" width="10.7109375" style="2" customWidth="1"/>
    <col min="6661" max="6665" width="11" style="2" customWidth="1"/>
    <col min="6666" max="6666" width="9.42578125" style="2" customWidth="1"/>
    <col min="6667" max="6671" width="9.42578125" style="2" bestFit="1" customWidth="1"/>
    <col min="6672" max="6672" width="9.140625" style="2"/>
    <col min="6673" max="6673" width="9.28515625" style="2" bestFit="1" customWidth="1"/>
    <col min="6674" max="6903" width="9.140625" style="2"/>
    <col min="6904" max="6904" width="42.42578125" style="2" customWidth="1"/>
    <col min="6905" max="6905" width="3.7109375" style="2" customWidth="1"/>
    <col min="6906" max="6906" width="12.28515625" style="2" customWidth="1"/>
    <col min="6907" max="6907" width="10.7109375" style="2" customWidth="1"/>
    <col min="6908" max="6908" width="10.28515625" style="2" customWidth="1"/>
    <col min="6909" max="6910" width="10" style="2" customWidth="1"/>
    <col min="6911" max="6911" width="9" style="2" customWidth="1"/>
    <col min="6912" max="6912" width="9.28515625" style="2" customWidth="1"/>
    <col min="6913" max="6915" width="9" style="2" customWidth="1"/>
    <col min="6916" max="6916" width="10.7109375" style="2" customWidth="1"/>
    <col min="6917" max="6921" width="11" style="2" customWidth="1"/>
    <col min="6922" max="6922" width="9.42578125" style="2" customWidth="1"/>
    <col min="6923" max="6927" width="9.42578125" style="2" bestFit="1" customWidth="1"/>
    <col min="6928" max="6928" width="9.140625" style="2"/>
    <col min="6929" max="6929" width="9.28515625" style="2" bestFit="1" customWidth="1"/>
    <col min="6930" max="7159" width="9.140625" style="2"/>
    <col min="7160" max="7160" width="42.42578125" style="2" customWidth="1"/>
    <col min="7161" max="7161" width="3.7109375" style="2" customWidth="1"/>
    <col min="7162" max="7162" width="12.28515625" style="2" customWidth="1"/>
    <col min="7163" max="7163" width="10.7109375" style="2" customWidth="1"/>
    <col min="7164" max="7164" width="10.28515625" style="2" customWidth="1"/>
    <col min="7165" max="7166" width="10" style="2" customWidth="1"/>
    <col min="7167" max="7167" width="9" style="2" customWidth="1"/>
    <col min="7168" max="7168" width="9.28515625" style="2" customWidth="1"/>
    <col min="7169" max="7171" width="9" style="2" customWidth="1"/>
    <col min="7172" max="7172" width="10.7109375" style="2" customWidth="1"/>
    <col min="7173" max="7177" width="11" style="2" customWidth="1"/>
    <col min="7178" max="7178" width="9.42578125" style="2" customWidth="1"/>
    <col min="7179" max="7183" width="9.42578125" style="2" bestFit="1" customWidth="1"/>
    <col min="7184" max="7184" width="9.140625" style="2"/>
    <col min="7185" max="7185" width="9.28515625" style="2" bestFit="1" customWidth="1"/>
    <col min="7186" max="7415" width="9.140625" style="2"/>
    <col min="7416" max="7416" width="42.42578125" style="2" customWidth="1"/>
    <col min="7417" max="7417" width="3.7109375" style="2" customWidth="1"/>
    <col min="7418" max="7418" width="12.28515625" style="2" customWidth="1"/>
    <col min="7419" max="7419" width="10.7109375" style="2" customWidth="1"/>
    <col min="7420" max="7420" width="10.28515625" style="2" customWidth="1"/>
    <col min="7421" max="7422" width="10" style="2" customWidth="1"/>
    <col min="7423" max="7423" width="9" style="2" customWidth="1"/>
    <col min="7424" max="7424" width="9.28515625" style="2" customWidth="1"/>
    <col min="7425" max="7427" width="9" style="2" customWidth="1"/>
    <col min="7428" max="7428" width="10.7109375" style="2" customWidth="1"/>
    <col min="7429" max="7433" width="11" style="2" customWidth="1"/>
    <col min="7434" max="7434" width="9.42578125" style="2" customWidth="1"/>
    <col min="7435" max="7439" width="9.42578125" style="2" bestFit="1" customWidth="1"/>
    <col min="7440" max="7440" width="9.140625" style="2"/>
    <col min="7441" max="7441" width="9.28515625" style="2" bestFit="1" customWidth="1"/>
    <col min="7442" max="7671" width="9.140625" style="2"/>
    <col min="7672" max="7672" width="42.42578125" style="2" customWidth="1"/>
    <col min="7673" max="7673" width="3.7109375" style="2" customWidth="1"/>
    <col min="7674" max="7674" width="12.28515625" style="2" customWidth="1"/>
    <col min="7675" max="7675" width="10.7109375" style="2" customWidth="1"/>
    <col min="7676" max="7676" width="10.28515625" style="2" customWidth="1"/>
    <col min="7677" max="7678" width="10" style="2" customWidth="1"/>
    <col min="7679" max="7679" width="9" style="2" customWidth="1"/>
    <col min="7680" max="7680" width="9.28515625" style="2" customWidth="1"/>
    <col min="7681" max="7683" width="9" style="2" customWidth="1"/>
    <col min="7684" max="7684" width="10.7109375" style="2" customWidth="1"/>
    <col min="7685" max="7689" width="11" style="2" customWidth="1"/>
    <col min="7690" max="7690" width="9.42578125" style="2" customWidth="1"/>
    <col min="7691" max="7695" width="9.42578125" style="2" bestFit="1" customWidth="1"/>
    <col min="7696" max="7696" width="9.140625" style="2"/>
    <col min="7697" max="7697" width="9.28515625" style="2" bestFit="1" customWidth="1"/>
    <col min="7698" max="7927" width="9.140625" style="2"/>
    <col min="7928" max="7928" width="42.42578125" style="2" customWidth="1"/>
    <col min="7929" max="7929" width="3.7109375" style="2" customWidth="1"/>
    <col min="7930" max="7930" width="12.28515625" style="2" customWidth="1"/>
    <col min="7931" max="7931" width="10.7109375" style="2" customWidth="1"/>
    <col min="7932" max="7932" width="10.28515625" style="2" customWidth="1"/>
    <col min="7933" max="7934" width="10" style="2" customWidth="1"/>
    <col min="7935" max="7935" width="9" style="2" customWidth="1"/>
    <col min="7936" max="7936" width="9.28515625" style="2" customWidth="1"/>
    <col min="7937" max="7939" width="9" style="2" customWidth="1"/>
    <col min="7940" max="7940" width="10.7109375" style="2" customWidth="1"/>
    <col min="7941" max="7945" width="11" style="2" customWidth="1"/>
    <col min="7946" max="7946" width="9.42578125" style="2" customWidth="1"/>
    <col min="7947" max="7951" width="9.42578125" style="2" bestFit="1" customWidth="1"/>
    <col min="7952" max="7952" width="9.140625" style="2"/>
    <col min="7953" max="7953" width="9.28515625" style="2" bestFit="1" customWidth="1"/>
    <col min="7954" max="8183" width="9.140625" style="2"/>
    <col min="8184" max="8184" width="42.42578125" style="2" customWidth="1"/>
    <col min="8185" max="8185" width="3.7109375" style="2" customWidth="1"/>
    <col min="8186" max="8186" width="12.28515625" style="2" customWidth="1"/>
    <col min="8187" max="8187" width="10.7109375" style="2" customWidth="1"/>
    <col min="8188" max="8188" width="10.28515625" style="2" customWidth="1"/>
    <col min="8189" max="8190" width="10" style="2" customWidth="1"/>
    <col min="8191" max="8191" width="9" style="2" customWidth="1"/>
    <col min="8192" max="8192" width="9.28515625" style="2" customWidth="1"/>
    <col min="8193" max="8195" width="9" style="2" customWidth="1"/>
    <col min="8196" max="8196" width="10.7109375" style="2" customWidth="1"/>
    <col min="8197" max="8201" width="11" style="2" customWidth="1"/>
    <col min="8202" max="8202" width="9.42578125" style="2" customWidth="1"/>
    <col min="8203" max="8207" width="9.42578125" style="2" bestFit="1" customWidth="1"/>
    <col min="8208" max="8208" width="9.140625" style="2"/>
    <col min="8209" max="8209" width="9.28515625" style="2" bestFit="1" customWidth="1"/>
    <col min="8210" max="8439" width="9.140625" style="2"/>
    <col min="8440" max="8440" width="42.42578125" style="2" customWidth="1"/>
    <col min="8441" max="8441" width="3.7109375" style="2" customWidth="1"/>
    <col min="8442" max="8442" width="12.28515625" style="2" customWidth="1"/>
    <col min="8443" max="8443" width="10.7109375" style="2" customWidth="1"/>
    <col min="8444" max="8444" width="10.28515625" style="2" customWidth="1"/>
    <col min="8445" max="8446" width="10" style="2" customWidth="1"/>
    <col min="8447" max="8447" width="9" style="2" customWidth="1"/>
    <col min="8448" max="8448" width="9.28515625" style="2" customWidth="1"/>
    <col min="8449" max="8451" width="9" style="2" customWidth="1"/>
    <col min="8452" max="8452" width="10.7109375" style="2" customWidth="1"/>
    <col min="8453" max="8457" width="11" style="2" customWidth="1"/>
    <col min="8458" max="8458" width="9.42578125" style="2" customWidth="1"/>
    <col min="8459" max="8463" width="9.42578125" style="2" bestFit="1" customWidth="1"/>
    <col min="8464" max="8464" width="9.140625" style="2"/>
    <col min="8465" max="8465" width="9.28515625" style="2" bestFit="1" customWidth="1"/>
    <col min="8466" max="8695" width="9.140625" style="2"/>
    <col min="8696" max="8696" width="42.42578125" style="2" customWidth="1"/>
    <col min="8697" max="8697" width="3.7109375" style="2" customWidth="1"/>
    <col min="8698" max="8698" width="12.28515625" style="2" customWidth="1"/>
    <col min="8699" max="8699" width="10.7109375" style="2" customWidth="1"/>
    <col min="8700" max="8700" width="10.28515625" style="2" customWidth="1"/>
    <col min="8701" max="8702" width="10" style="2" customWidth="1"/>
    <col min="8703" max="8703" width="9" style="2" customWidth="1"/>
    <col min="8704" max="8704" width="9.28515625" style="2" customWidth="1"/>
    <col min="8705" max="8707" width="9" style="2" customWidth="1"/>
    <col min="8708" max="8708" width="10.7109375" style="2" customWidth="1"/>
    <col min="8709" max="8713" width="11" style="2" customWidth="1"/>
    <col min="8714" max="8714" width="9.42578125" style="2" customWidth="1"/>
    <col min="8715" max="8719" width="9.42578125" style="2" bestFit="1" customWidth="1"/>
    <col min="8720" max="8720" width="9.140625" style="2"/>
    <col min="8721" max="8721" width="9.28515625" style="2" bestFit="1" customWidth="1"/>
    <col min="8722" max="8951" width="9.140625" style="2"/>
    <col min="8952" max="8952" width="42.42578125" style="2" customWidth="1"/>
    <col min="8953" max="8953" width="3.7109375" style="2" customWidth="1"/>
    <col min="8954" max="8954" width="12.28515625" style="2" customWidth="1"/>
    <col min="8955" max="8955" width="10.7109375" style="2" customWidth="1"/>
    <col min="8956" max="8956" width="10.28515625" style="2" customWidth="1"/>
    <col min="8957" max="8958" width="10" style="2" customWidth="1"/>
    <col min="8959" max="8959" width="9" style="2" customWidth="1"/>
    <col min="8960" max="8960" width="9.28515625" style="2" customWidth="1"/>
    <col min="8961" max="8963" width="9" style="2" customWidth="1"/>
    <col min="8964" max="8964" width="10.7109375" style="2" customWidth="1"/>
    <col min="8965" max="8969" width="11" style="2" customWidth="1"/>
    <col min="8970" max="8970" width="9.42578125" style="2" customWidth="1"/>
    <col min="8971" max="8975" width="9.42578125" style="2" bestFit="1" customWidth="1"/>
    <col min="8976" max="8976" width="9.140625" style="2"/>
    <col min="8977" max="8977" width="9.28515625" style="2" bestFit="1" customWidth="1"/>
    <col min="8978" max="9207" width="9.140625" style="2"/>
    <col min="9208" max="9208" width="42.42578125" style="2" customWidth="1"/>
    <col min="9209" max="9209" width="3.7109375" style="2" customWidth="1"/>
    <col min="9210" max="9210" width="12.28515625" style="2" customWidth="1"/>
    <col min="9211" max="9211" width="10.7109375" style="2" customWidth="1"/>
    <col min="9212" max="9212" width="10.28515625" style="2" customWidth="1"/>
    <col min="9213" max="9214" width="10" style="2" customWidth="1"/>
    <col min="9215" max="9215" width="9" style="2" customWidth="1"/>
    <col min="9216" max="9216" width="9.28515625" style="2" customWidth="1"/>
    <col min="9217" max="9219" width="9" style="2" customWidth="1"/>
    <col min="9220" max="9220" width="10.7109375" style="2" customWidth="1"/>
    <col min="9221" max="9225" width="11" style="2" customWidth="1"/>
    <col min="9226" max="9226" width="9.42578125" style="2" customWidth="1"/>
    <col min="9227" max="9231" width="9.42578125" style="2" bestFit="1" customWidth="1"/>
    <col min="9232" max="9232" width="9.140625" style="2"/>
    <col min="9233" max="9233" width="9.28515625" style="2" bestFit="1" customWidth="1"/>
    <col min="9234" max="9463" width="9.140625" style="2"/>
    <col min="9464" max="9464" width="42.42578125" style="2" customWidth="1"/>
    <col min="9465" max="9465" width="3.7109375" style="2" customWidth="1"/>
    <col min="9466" max="9466" width="12.28515625" style="2" customWidth="1"/>
    <col min="9467" max="9467" width="10.7109375" style="2" customWidth="1"/>
    <col min="9468" max="9468" width="10.28515625" style="2" customWidth="1"/>
    <col min="9469" max="9470" width="10" style="2" customWidth="1"/>
    <col min="9471" max="9471" width="9" style="2" customWidth="1"/>
    <col min="9472" max="9472" width="9.28515625" style="2" customWidth="1"/>
    <col min="9473" max="9475" width="9" style="2" customWidth="1"/>
    <col min="9476" max="9476" width="10.7109375" style="2" customWidth="1"/>
    <col min="9477" max="9481" width="11" style="2" customWidth="1"/>
    <col min="9482" max="9482" width="9.42578125" style="2" customWidth="1"/>
    <col min="9483" max="9487" width="9.42578125" style="2" bestFit="1" customWidth="1"/>
    <col min="9488" max="9488" width="9.140625" style="2"/>
    <col min="9489" max="9489" width="9.28515625" style="2" bestFit="1" customWidth="1"/>
    <col min="9490" max="9719" width="9.140625" style="2"/>
    <col min="9720" max="9720" width="42.42578125" style="2" customWidth="1"/>
    <col min="9721" max="9721" width="3.7109375" style="2" customWidth="1"/>
    <col min="9722" max="9722" width="12.28515625" style="2" customWidth="1"/>
    <col min="9723" max="9723" width="10.7109375" style="2" customWidth="1"/>
    <col min="9724" max="9724" width="10.28515625" style="2" customWidth="1"/>
    <col min="9725" max="9726" width="10" style="2" customWidth="1"/>
    <col min="9727" max="9727" width="9" style="2" customWidth="1"/>
    <col min="9728" max="9728" width="9.28515625" style="2" customWidth="1"/>
    <col min="9729" max="9731" width="9" style="2" customWidth="1"/>
    <col min="9732" max="9732" width="10.7109375" style="2" customWidth="1"/>
    <col min="9733" max="9737" width="11" style="2" customWidth="1"/>
    <col min="9738" max="9738" width="9.42578125" style="2" customWidth="1"/>
    <col min="9739" max="9743" width="9.42578125" style="2" bestFit="1" customWidth="1"/>
    <col min="9744" max="9744" width="9.140625" style="2"/>
    <col min="9745" max="9745" width="9.28515625" style="2" bestFit="1" customWidth="1"/>
    <col min="9746" max="9975" width="9.140625" style="2"/>
    <col min="9976" max="9976" width="42.42578125" style="2" customWidth="1"/>
    <col min="9977" max="9977" width="3.7109375" style="2" customWidth="1"/>
    <col min="9978" max="9978" width="12.28515625" style="2" customWidth="1"/>
    <col min="9979" max="9979" width="10.7109375" style="2" customWidth="1"/>
    <col min="9980" max="9980" width="10.28515625" style="2" customWidth="1"/>
    <col min="9981" max="9982" width="10" style="2" customWidth="1"/>
    <col min="9983" max="9983" width="9" style="2" customWidth="1"/>
    <col min="9984" max="9984" width="9.28515625" style="2" customWidth="1"/>
    <col min="9985" max="9987" width="9" style="2" customWidth="1"/>
    <col min="9988" max="9988" width="10.7109375" style="2" customWidth="1"/>
    <col min="9989" max="9993" width="11" style="2" customWidth="1"/>
    <col min="9994" max="9994" width="9.42578125" style="2" customWidth="1"/>
    <col min="9995" max="9999" width="9.42578125" style="2" bestFit="1" customWidth="1"/>
    <col min="10000" max="10000" width="9.140625" style="2"/>
    <col min="10001" max="10001" width="9.28515625" style="2" bestFit="1" customWidth="1"/>
    <col min="10002" max="10231" width="9.140625" style="2"/>
    <col min="10232" max="10232" width="42.42578125" style="2" customWidth="1"/>
    <col min="10233" max="10233" width="3.7109375" style="2" customWidth="1"/>
    <col min="10234" max="10234" width="12.28515625" style="2" customWidth="1"/>
    <col min="10235" max="10235" width="10.7109375" style="2" customWidth="1"/>
    <col min="10236" max="10236" width="10.28515625" style="2" customWidth="1"/>
    <col min="10237" max="10238" width="10" style="2" customWidth="1"/>
    <col min="10239" max="10239" width="9" style="2" customWidth="1"/>
    <col min="10240" max="10240" width="9.28515625" style="2" customWidth="1"/>
    <col min="10241" max="10243" width="9" style="2" customWidth="1"/>
    <col min="10244" max="10244" width="10.7109375" style="2" customWidth="1"/>
    <col min="10245" max="10249" width="11" style="2" customWidth="1"/>
    <col min="10250" max="10250" width="9.42578125" style="2" customWidth="1"/>
    <col min="10251" max="10255" width="9.42578125" style="2" bestFit="1" customWidth="1"/>
    <col min="10256" max="10256" width="9.140625" style="2"/>
    <col min="10257" max="10257" width="9.28515625" style="2" bestFit="1" customWidth="1"/>
    <col min="10258" max="10487" width="9.140625" style="2"/>
    <col min="10488" max="10488" width="42.42578125" style="2" customWidth="1"/>
    <col min="10489" max="10489" width="3.7109375" style="2" customWidth="1"/>
    <col min="10490" max="10490" width="12.28515625" style="2" customWidth="1"/>
    <col min="10491" max="10491" width="10.7109375" style="2" customWidth="1"/>
    <col min="10492" max="10492" width="10.28515625" style="2" customWidth="1"/>
    <col min="10493" max="10494" width="10" style="2" customWidth="1"/>
    <col min="10495" max="10495" width="9" style="2" customWidth="1"/>
    <col min="10496" max="10496" width="9.28515625" style="2" customWidth="1"/>
    <col min="10497" max="10499" width="9" style="2" customWidth="1"/>
    <col min="10500" max="10500" width="10.7109375" style="2" customWidth="1"/>
    <col min="10501" max="10505" width="11" style="2" customWidth="1"/>
    <col min="10506" max="10506" width="9.42578125" style="2" customWidth="1"/>
    <col min="10507" max="10511" width="9.42578125" style="2" bestFit="1" customWidth="1"/>
    <col min="10512" max="10512" width="9.140625" style="2"/>
    <col min="10513" max="10513" width="9.28515625" style="2" bestFit="1" customWidth="1"/>
    <col min="10514" max="10743" width="9.140625" style="2"/>
    <col min="10744" max="10744" width="42.42578125" style="2" customWidth="1"/>
    <col min="10745" max="10745" width="3.7109375" style="2" customWidth="1"/>
    <col min="10746" max="10746" width="12.28515625" style="2" customWidth="1"/>
    <col min="10747" max="10747" width="10.7109375" style="2" customWidth="1"/>
    <col min="10748" max="10748" width="10.28515625" style="2" customWidth="1"/>
    <col min="10749" max="10750" width="10" style="2" customWidth="1"/>
    <col min="10751" max="10751" width="9" style="2" customWidth="1"/>
    <col min="10752" max="10752" width="9.28515625" style="2" customWidth="1"/>
    <col min="10753" max="10755" width="9" style="2" customWidth="1"/>
    <col min="10756" max="10756" width="10.7109375" style="2" customWidth="1"/>
    <col min="10757" max="10761" width="11" style="2" customWidth="1"/>
    <col min="10762" max="10762" width="9.42578125" style="2" customWidth="1"/>
    <col min="10763" max="10767" width="9.42578125" style="2" bestFit="1" customWidth="1"/>
    <col min="10768" max="10768" width="9.140625" style="2"/>
    <col min="10769" max="10769" width="9.28515625" style="2" bestFit="1" customWidth="1"/>
    <col min="10770" max="10999" width="9.140625" style="2"/>
    <col min="11000" max="11000" width="42.42578125" style="2" customWidth="1"/>
    <col min="11001" max="11001" width="3.7109375" style="2" customWidth="1"/>
    <col min="11002" max="11002" width="12.28515625" style="2" customWidth="1"/>
    <col min="11003" max="11003" width="10.7109375" style="2" customWidth="1"/>
    <col min="11004" max="11004" width="10.28515625" style="2" customWidth="1"/>
    <col min="11005" max="11006" width="10" style="2" customWidth="1"/>
    <col min="11007" max="11007" width="9" style="2" customWidth="1"/>
    <col min="11008" max="11008" width="9.28515625" style="2" customWidth="1"/>
    <col min="11009" max="11011" width="9" style="2" customWidth="1"/>
    <col min="11012" max="11012" width="10.7109375" style="2" customWidth="1"/>
    <col min="11013" max="11017" width="11" style="2" customWidth="1"/>
    <col min="11018" max="11018" width="9.42578125" style="2" customWidth="1"/>
    <col min="11019" max="11023" width="9.42578125" style="2" bestFit="1" customWidth="1"/>
    <col min="11024" max="11024" width="9.140625" style="2"/>
    <col min="11025" max="11025" width="9.28515625" style="2" bestFit="1" customWidth="1"/>
    <col min="11026" max="11255" width="9.140625" style="2"/>
    <col min="11256" max="11256" width="42.42578125" style="2" customWidth="1"/>
    <col min="11257" max="11257" width="3.7109375" style="2" customWidth="1"/>
    <col min="11258" max="11258" width="12.28515625" style="2" customWidth="1"/>
    <col min="11259" max="11259" width="10.7109375" style="2" customWidth="1"/>
    <col min="11260" max="11260" width="10.28515625" style="2" customWidth="1"/>
    <col min="11261" max="11262" width="10" style="2" customWidth="1"/>
    <col min="11263" max="11263" width="9" style="2" customWidth="1"/>
    <col min="11264" max="11264" width="9.28515625" style="2" customWidth="1"/>
    <col min="11265" max="11267" width="9" style="2" customWidth="1"/>
    <col min="11268" max="11268" width="10.7109375" style="2" customWidth="1"/>
    <col min="11269" max="11273" width="11" style="2" customWidth="1"/>
    <col min="11274" max="11274" width="9.42578125" style="2" customWidth="1"/>
    <col min="11275" max="11279" width="9.42578125" style="2" bestFit="1" customWidth="1"/>
    <col min="11280" max="11280" width="9.140625" style="2"/>
    <col min="11281" max="11281" width="9.28515625" style="2" bestFit="1" customWidth="1"/>
    <col min="11282" max="11511" width="9.140625" style="2"/>
    <col min="11512" max="11512" width="42.42578125" style="2" customWidth="1"/>
    <col min="11513" max="11513" width="3.7109375" style="2" customWidth="1"/>
    <col min="11514" max="11514" width="12.28515625" style="2" customWidth="1"/>
    <col min="11515" max="11515" width="10.7109375" style="2" customWidth="1"/>
    <col min="11516" max="11516" width="10.28515625" style="2" customWidth="1"/>
    <col min="11517" max="11518" width="10" style="2" customWidth="1"/>
    <col min="11519" max="11519" width="9" style="2" customWidth="1"/>
    <col min="11520" max="11520" width="9.28515625" style="2" customWidth="1"/>
    <col min="11521" max="11523" width="9" style="2" customWidth="1"/>
    <col min="11524" max="11524" width="10.7109375" style="2" customWidth="1"/>
    <col min="11525" max="11529" width="11" style="2" customWidth="1"/>
    <col min="11530" max="11530" width="9.42578125" style="2" customWidth="1"/>
    <col min="11531" max="11535" width="9.42578125" style="2" bestFit="1" customWidth="1"/>
    <col min="11536" max="11536" width="9.140625" style="2"/>
    <col min="11537" max="11537" width="9.28515625" style="2" bestFit="1" customWidth="1"/>
    <col min="11538" max="11767" width="9.140625" style="2"/>
    <col min="11768" max="11768" width="42.42578125" style="2" customWidth="1"/>
    <col min="11769" max="11769" width="3.7109375" style="2" customWidth="1"/>
    <col min="11770" max="11770" width="12.28515625" style="2" customWidth="1"/>
    <col min="11771" max="11771" width="10.7109375" style="2" customWidth="1"/>
    <col min="11772" max="11772" width="10.28515625" style="2" customWidth="1"/>
    <col min="11773" max="11774" width="10" style="2" customWidth="1"/>
    <col min="11775" max="11775" width="9" style="2" customWidth="1"/>
    <col min="11776" max="11776" width="9.28515625" style="2" customWidth="1"/>
    <col min="11777" max="11779" width="9" style="2" customWidth="1"/>
    <col min="11780" max="11780" width="10.7109375" style="2" customWidth="1"/>
    <col min="11781" max="11785" width="11" style="2" customWidth="1"/>
    <col min="11786" max="11786" width="9.42578125" style="2" customWidth="1"/>
    <col min="11787" max="11791" width="9.42578125" style="2" bestFit="1" customWidth="1"/>
    <col min="11792" max="11792" width="9.140625" style="2"/>
    <col min="11793" max="11793" width="9.28515625" style="2" bestFit="1" customWidth="1"/>
    <col min="11794" max="12023" width="9.140625" style="2"/>
    <col min="12024" max="12024" width="42.42578125" style="2" customWidth="1"/>
    <col min="12025" max="12025" width="3.7109375" style="2" customWidth="1"/>
    <col min="12026" max="12026" width="12.28515625" style="2" customWidth="1"/>
    <col min="12027" max="12027" width="10.7109375" style="2" customWidth="1"/>
    <col min="12028" max="12028" width="10.28515625" style="2" customWidth="1"/>
    <col min="12029" max="12030" width="10" style="2" customWidth="1"/>
    <col min="12031" max="12031" width="9" style="2" customWidth="1"/>
    <col min="12032" max="12032" width="9.28515625" style="2" customWidth="1"/>
    <col min="12033" max="12035" width="9" style="2" customWidth="1"/>
    <col min="12036" max="12036" width="10.7109375" style="2" customWidth="1"/>
    <col min="12037" max="12041" width="11" style="2" customWidth="1"/>
    <col min="12042" max="12042" width="9.42578125" style="2" customWidth="1"/>
    <col min="12043" max="12047" width="9.42578125" style="2" bestFit="1" customWidth="1"/>
    <col min="12048" max="12048" width="9.140625" style="2"/>
    <col min="12049" max="12049" width="9.28515625" style="2" bestFit="1" customWidth="1"/>
    <col min="12050" max="12279" width="9.140625" style="2"/>
    <col min="12280" max="12280" width="42.42578125" style="2" customWidth="1"/>
    <col min="12281" max="12281" width="3.7109375" style="2" customWidth="1"/>
    <col min="12282" max="12282" width="12.28515625" style="2" customWidth="1"/>
    <col min="12283" max="12283" width="10.7109375" style="2" customWidth="1"/>
    <col min="12284" max="12284" width="10.28515625" style="2" customWidth="1"/>
    <col min="12285" max="12286" width="10" style="2" customWidth="1"/>
    <col min="12287" max="12287" width="9" style="2" customWidth="1"/>
    <col min="12288" max="12288" width="9.28515625" style="2" customWidth="1"/>
    <col min="12289" max="12291" width="9" style="2" customWidth="1"/>
    <col min="12292" max="12292" width="10.7109375" style="2" customWidth="1"/>
    <col min="12293" max="12297" width="11" style="2" customWidth="1"/>
    <col min="12298" max="12298" width="9.42578125" style="2" customWidth="1"/>
    <col min="12299" max="12303" width="9.42578125" style="2" bestFit="1" customWidth="1"/>
    <col min="12304" max="12304" width="9.140625" style="2"/>
    <col min="12305" max="12305" width="9.28515625" style="2" bestFit="1" customWidth="1"/>
    <col min="12306" max="12535" width="9.140625" style="2"/>
    <col min="12536" max="12536" width="42.42578125" style="2" customWidth="1"/>
    <col min="12537" max="12537" width="3.7109375" style="2" customWidth="1"/>
    <col min="12538" max="12538" width="12.28515625" style="2" customWidth="1"/>
    <col min="12539" max="12539" width="10.7109375" style="2" customWidth="1"/>
    <col min="12540" max="12540" width="10.28515625" style="2" customWidth="1"/>
    <col min="12541" max="12542" width="10" style="2" customWidth="1"/>
    <col min="12543" max="12543" width="9" style="2" customWidth="1"/>
    <col min="12544" max="12544" width="9.28515625" style="2" customWidth="1"/>
    <col min="12545" max="12547" width="9" style="2" customWidth="1"/>
    <col min="12548" max="12548" width="10.7109375" style="2" customWidth="1"/>
    <col min="12549" max="12553" width="11" style="2" customWidth="1"/>
    <col min="12554" max="12554" width="9.42578125" style="2" customWidth="1"/>
    <col min="12555" max="12559" width="9.42578125" style="2" bestFit="1" customWidth="1"/>
    <col min="12560" max="12560" width="9.140625" style="2"/>
    <col min="12561" max="12561" width="9.28515625" style="2" bestFit="1" customWidth="1"/>
    <col min="12562" max="12791" width="9.140625" style="2"/>
    <col min="12792" max="12792" width="42.42578125" style="2" customWidth="1"/>
    <col min="12793" max="12793" width="3.7109375" style="2" customWidth="1"/>
    <col min="12794" max="12794" width="12.28515625" style="2" customWidth="1"/>
    <col min="12795" max="12795" width="10.7109375" style="2" customWidth="1"/>
    <col min="12796" max="12796" width="10.28515625" style="2" customWidth="1"/>
    <col min="12797" max="12798" width="10" style="2" customWidth="1"/>
    <col min="12799" max="12799" width="9" style="2" customWidth="1"/>
    <col min="12800" max="12800" width="9.28515625" style="2" customWidth="1"/>
    <col min="12801" max="12803" width="9" style="2" customWidth="1"/>
    <col min="12804" max="12804" width="10.7109375" style="2" customWidth="1"/>
    <col min="12805" max="12809" width="11" style="2" customWidth="1"/>
    <col min="12810" max="12810" width="9.42578125" style="2" customWidth="1"/>
    <col min="12811" max="12815" width="9.42578125" style="2" bestFit="1" customWidth="1"/>
    <col min="12816" max="12816" width="9.140625" style="2"/>
    <col min="12817" max="12817" width="9.28515625" style="2" bestFit="1" customWidth="1"/>
    <col min="12818" max="13047" width="9.140625" style="2"/>
    <col min="13048" max="13048" width="42.42578125" style="2" customWidth="1"/>
    <col min="13049" max="13049" width="3.7109375" style="2" customWidth="1"/>
    <col min="13050" max="13050" width="12.28515625" style="2" customWidth="1"/>
    <col min="13051" max="13051" width="10.7109375" style="2" customWidth="1"/>
    <col min="13052" max="13052" width="10.28515625" style="2" customWidth="1"/>
    <col min="13053" max="13054" width="10" style="2" customWidth="1"/>
    <col min="13055" max="13055" width="9" style="2" customWidth="1"/>
    <col min="13056" max="13056" width="9.28515625" style="2" customWidth="1"/>
    <col min="13057" max="13059" width="9" style="2" customWidth="1"/>
    <col min="13060" max="13060" width="10.7109375" style="2" customWidth="1"/>
    <col min="13061" max="13065" width="11" style="2" customWidth="1"/>
    <col min="13066" max="13066" width="9.42578125" style="2" customWidth="1"/>
    <col min="13067" max="13071" width="9.42578125" style="2" bestFit="1" customWidth="1"/>
    <col min="13072" max="13072" width="9.140625" style="2"/>
    <col min="13073" max="13073" width="9.28515625" style="2" bestFit="1" customWidth="1"/>
    <col min="13074" max="13303" width="9.140625" style="2"/>
    <col min="13304" max="13304" width="42.42578125" style="2" customWidth="1"/>
    <col min="13305" max="13305" width="3.7109375" style="2" customWidth="1"/>
    <col min="13306" max="13306" width="12.28515625" style="2" customWidth="1"/>
    <col min="13307" max="13307" width="10.7109375" style="2" customWidth="1"/>
    <col min="13308" max="13308" width="10.28515625" style="2" customWidth="1"/>
    <col min="13309" max="13310" width="10" style="2" customWidth="1"/>
    <col min="13311" max="13311" width="9" style="2" customWidth="1"/>
    <col min="13312" max="13312" width="9.28515625" style="2" customWidth="1"/>
    <col min="13313" max="13315" width="9" style="2" customWidth="1"/>
    <col min="13316" max="13316" width="10.7109375" style="2" customWidth="1"/>
    <col min="13317" max="13321" width="11" style="2" customWidth="1"/>
    <col min="13322" max="13322" width="9.42578125" style="2" customWidth="1"/>
    <col min="13323" max="13327" width="9.42578125" style="2" bestFit="1" customWidth="1"/>
    <col min="13328" max="13328" width="9.140625" style="2"/>
    <col min="13329" max="13329" width="9.28515625" style="2" bestFit="1" customWidth="1"/>
    <col min="13330" max="13559" width="9.140625" style="2"/>
    <col min="13560" max="13560" width="42.42578125" style="2" customWidth="1"/>
    <col min="13561" max="13561" width="3.7109375" style="2" customWidth="1"/>
    <col min="13562" max="13562" width="12.28515625" style="2" customWidth="1"/>
    <col min="13563" max="13563" width="10.7109375" style="2" customWidth="1"/>
    <col min="13564" max="13564" width="10.28515625" style="2" customWidth="1"/>
    <col min="13565" max="13566" width="10" style="2" customWidth="1"/>
    <col min="13567" max="13567" width="9" style="2" customWidth="1"/>
    <col min="13568" max="13568" width="9.28515625" style="2" customWidth="1"/>
    <col min="13569" max="13571" width="9" style="2" customWidth="1"/>
    <col min="13572" max="13572" width="10.7109375" style="2" customWidth="1"/>
    <col min="13573" max="13577" width="11" style="2" customWidth="1"/>
    <col min="13578" max="13578" width="9.42578125" style="2" customWidth="1"/>
    <col min="13579" max="13583" width="9.42578125" style="2" bestFit="1" customWidth="1"/>
    <col min="13584" max="13584" width="9.140625" style="2"/>
    <col min="13585" max="13585" width="9.28515625" style="2" bestFit="1" customWidth="1"/>
    <col min="13586" max="13815" width="9.140625" style="2"/>
    <col min="13816" max="13816" width="42.42578125" style="2" customWidth="1"/>
    <col min="13817" max="13817" width="3.7109375" style="2" customWidth="1"/>
    <col min="13818" max="13818" width="12.28515625" style="2" customWidth="1"/>
    <col min="13819" max="13819" width="10.7109375" style="2" customWidth="1"/>
    <col min="13820" max="13820" width="10.28515625" style="2" customWidth="1"/>
    <col min="13821" max="13822" width="10" style="2" customWidth="1"/>
    <col min="13823" max="13823" width="9" style="2" customWidth="1"/>
    <col min="13824" max="13824" width="9.28515625" style="2" customWidth="1"/>
    <col min="13825" max="13827" width="9" style="2" customWidth="1"/>
    <col min="13828" max="13828" width="10.7109375" style="2" customWidth="1"/>
    <col min="13829" max="13833" width="11" style="2" customWidth="1"/>
    <col min="13834" max="13834" width="9.42578125" style="2" customWidth="1"/>
    <col min="13835" max="13839" width="9.42578125" style="2" bestFit="1" customWidth="1"/>
    <col min="13840" max="13840" width="9.140625" style="2"/>
    <col min="13841" max="13841" width="9.28515625" style="2" bestFit="1" customWidth="1"/>
    <col min="13842" max="14071" width="9.140625" style="2"/>
    <col min="14072" max="14072" width="42.42578125" style="2" customWidth="1"/>
    <col min="14073" max="14073" width="3.7109375" style="2" customWidth="1"/>
    <col min="14074" max="14074" width="12.28515625" style="2" customWidth="1"/>
    <col min="14075" max="14075" width="10.7109375" style="2" customWidth="1"/>
    <col min="14076" max="14076" width="10.28515625" style="2" customWidth="1"/>
    <col min="14077" max="14078" width="10" style="2" customWidth="1"/>
    <col min="14079" max="14079" width="9" style="2" customWidth="1"/>
    <col min="14080" max="14080" width="9.28515625" style="2" customWidth="1"/>
    <col min="14081" max="14083" width="9" style="2" customWidth="1"/>
    <col min="14084" max="14084" width="10.7109375" style="2" customWidth="1"/>
    <col min="14085" max="14089" width="11" style="2" customWidth="1"/>
    <col min="14090" max="14090" width="9.42578125" style="2" customWidth="1"/>
    <col min="14091" max="14095" width="9.42578125" style="2" bestFit="1" customWidth="1"/>
    <col min="14096" max="14096" width="9.140625" style="2"/>
    <col min="14097" max="14097" width="9.28515625" style="2" bestFit="1" customWidth="1"/>
    <col min="14098" max="14327" width="9.140625" style="2"/>
    <col min="14328" max="14328" width="42.42578125" style="2" customWidth="1"/>
    <col min="14329" max="14329" width="3.7109375" style="2" customWidth="1"/>
    <col min="14330" max="14330" width="12.28515625" style="2" customWidth="1"/>
    <col min="14331" max="14331" width="10.7109375" style="2" customWidth="1"/>
    <col min="14332" max="14332" width="10.28515625" style="2" customWidth="1"/>
    <col min="14333" max="14334" width="10" style="2" customWidth="1"/>
    <col min="14335" max="14335" width="9" style="2" customWidth="1"/>
    <col min="14336" max="14336" width="9.28515625" style="2" customWidth="1"/>
    <col min="14337" max="14339" width="9" style="2" customWidth="1"/>
    <col min="14340" max="14340" width="10.7109375" style="2" customWidth="1"/>
    <col min="14341" max="14345" width="11" style="2" customWidth="1"/>
    <col min="14346" max="14346" width="9.42578125" style="2" customWidth="1"/>
    <col min="14347" max="14351" width="9.42578125" style="2" bestFit="1" customWidth="1"/>
    <col min="14352" max="14352" width="9.140625" style="2"/>
    <col min="14353" max="14353" width="9.28515625" style="2" bestFit="1" customWidth="1"/>
    <col min="14354" max="14583" width="9.140625" style="2"/>
    <col min="14584" max="14584" width="42.42578125" style="2" customWidth="1"/>
    <col min="14585" max="14585" width="3.7109375" style="2" customWidth="1"/>
    <col min="14586" max="14586" width="12.28515625" style="2" customWidth="1"/>
    <col min="14587" max="14587" width="10.7109375" style="2" customWidth="1"/>
    <col min="14588" max="14588" width="10.28515625" style="2" customWidth="1"/>
    <col min="14589" max="14590" width="10" style="2" customWidth="1"/>
    <col min="14591" max="14591" width="9" style="2" customWidth="1"/>
    <col min="14592" max="14592" width="9.28515625" style="2" customWidth="1"/>
    <col min="14593" max="14595" width="9" style="2" customWidth="1"/>
    <col min="14596" max="14596" width="10.7109375" style="2" customWidth="1"/>
    <col min="14597" max="14601" width="11" style="2" customWidth="1"/>
    <col min="14602" max="14602" width="9.42578125" style="2" customWidth="1"/>
    <col min="14603" max="14607" width="9.42578125" style="2" bestFit="1" customWidth="1"/>
    <col min="14608" max="14608" width="9.140625" style="2"/>
    <col min="14609" max="14609" width="9.28515625" style="2" bestFit="1" customWidth="1"/>
    <col min="14610" max="14839" width="9.140625" style="2"/>
    <col min="14840" max="14840" width="42.42578125" style="2" customWidth="1"/>
    <col min="14841" max="14841" width="3.7109375" style="2" customWidth="1"/>
    <col min="14842" max="14842" width="12.28515625" style="2" customWidth="1"/>
    <col min="14843" max="14843" width="10.7109375" style="2" customWidth="1"/>
    <col min="14844" max="14844" width="10.28515625" style="2" customWidth="1"/>
    <col min="14845" max="14846" width="10" style="2" customWidth="1"/>
    <col min="14847" max="14847" width="9" style="2" customWidth="1"/>
    <col min="14848" max="14848" width="9.28515625" style="2" customWidth="1"/>
    <col min="14849" max="14851" width="9" style="2" customWidth="1"/>
    <col min="14852" max="14852" width="10.7109375" style="2" customWidth="1"/>
    <col min="14853" max="14857" width="11" style="2" customWidth="1"/>
    <col min="14858" max="14858" width="9.42578125" style="2" customWidth="1"/>
    <col min="14859" max="14863" width="9.42578125" style="2" bestFit="1" customWidth="1"/>
    <col min="14864" max="14864" width="9.140625" style="2"/>
    <col min="14865" max="14865" width="9.28515625" style="2" bestFit="1" customWidth="1"/>
    <col min="14866" max="15095" width="9.140625" style="2"/>
    <col min="15096" max="15096" width="42.42578125" style="2" customWidth="1"/>
    <col min="15097" max="15097" width="3.7109375" style="2" customWidth="1"/>
    <col min="15098" max="15098" width="12.28515625" style="2" customWidth="1"/>
    <col min="15099" max="15099" width="10.7109375" style="2" customWidth="1"/>
    <col min="15100" max="15100" width="10.28515625" style="2" customWidth="1"/>
    <col min="15101" max="15102" width="10" style="2" customWidth="1"/>
    <col min="15103" max="15103" width="9" style="2" customWidth="1"/>
    <col min="15104" max="15104" width="9.28515625" style="2" customWidth="1"/>
    <col min="15105" max="15107" width="9" style="2" customWidth="1"/>
    <col min="15108" max="15108" width="10.7109375" style="2" customWidth="1"/>
    <col min="15109" max="15113" width="11" style="2" customWidth="1"/>
    <col min="15114" max="15114" width="9.42578125" style="2" customWidth="1"/>
    <col min="15115" max="15119" width="9.42578125" style="2" bestFit="1" customWidth="1"/>
    <col min="15120" max="15120" width="9.140625" style="2"/>
    <col min="15121" max="15121" width="9.28515625" style="2" bestFit="1" customWidth="1"/>
    <col min="15122" max="15351" width="9.140625" style="2"/>
    <col min="15352" max="15352" width="42.42578125" style="2" customWidth="1"/>
    <col min="15353" max="15353" width="3.7109375" style="2" customWidth="1"/>
    <col min="15354" max="15354" width="12.28515625" style="2" customWidth="1"/>
    <col min="15355" max="15355" width="10.7109375" style="2" customWidth="1"/>
    <col min="15356" max="15356" width="10.28515625" style="2" customWidth="1"/>
    <col min="15357" max="15358" width="10" style="2" customWidth="1"/>
    <col min="15359" max="15359" width="9" style="2" customWidth="1"/>
    <col min="15360" max="15360" width="9.28515625" style="2" customWidth="1"/>
    <col min="15361" max="15363" width="9" style="2" customWidth="1"/>
    <col min="15364" max="15364" width="10.7109375" style="2" customWidth="1"/>
    <col min="15365" max="15369" width="11" style="2" customWidth="1"/>
    <col min="15370" max="15370" width="9.42578125" style="2" customWidth="1"/>
    <col min="15371" max="15375" width="9.42578125" style="2" bestFit="1" customWidth="1"/>
    <col min="15376" max="15376" width="9.140625" style="2"/>
    <col min="15377" max="15377" width="9.28515625" style="2" bestFit="1" customWidth="1"/>
    <col min="15378" max="15607" width="9.140625" style="2"/>
    <col min="15608" max="15608" width="42.42578125" style="2" customWidth="1"/>
    <col min="15609" max="15609" width="3.7109375" style="2" customWidth="1"/>
    <col min="15610" max="15610" width="12.28515625" style="2" customWidth="1"/>
    <col min="15611" max="15611" width="10.7109375" style="2" customWidth="1"/>
    <col min="15612" max="15612" width="10.28515625" style="2" customWidth="1"/>
    <col min="15613" max="15614" width="10" style="2" customWidth="1"/>
    <col min="15615" max="15615" width="9" style="2" customWidth="1"/>
    <col min="15616" max="15616" width="9.28515625" style="2" customWidth="1"/>
    <col min="15617" max="15619" width="9" style="2" customWidth="1"/>
    <col min="15620" max="15620" width="10.7109375" style="2" customWidth="1"/>
    <col min="15621" max="15625" width="11" style="2" customWidth="1"/>
    <col min="15626" max="15626" width="9.42578125" style="2" customWidth="1"/>
    <col min="15627" max="15631" width="9.42578125" style="2" bestFit="1" customWidth="1"/>
    <col min="15632" max="15632" width="9.140625" style="2"/>
    <col min="15633" max="15633" width="9.28515625" style="2" bestFit="1" customWidth="1"/>
    <col min="15634" max="15863" width="9.140625" style="2"/>
    <col min="15864" max="15864" width="42.42578125" style="2" customWidth="1"/>
    <col min="15865" max="15865" width="3.7109375" style="2" customWidth="1"/>
    <col min="15866" max="15866" width="12.28515625" style="2" customWidth="1"/>
    <col min="15867" max="15867" width="10.7109375" style="2" customWidth="1"/>
    <col min="15868" max="15868" width="10.28515625" style="2" customWidth="1"/>
    <col min="15869" max="15870" width="10" style="2" customWidth="1"/>
    <col min="15871" max="15871" width="9" style="2" customWidth="1"/>
    <col min="15872" max="15872" width="9.28515625" style="2" customWidth="1"/>
    <col min="15873" max="15875" width="9" style="2" customWidth="1"/>
    <col min="15876" max="15876" width="10.7109375" style="2" customWidth="1"/>
    <col min="15877" max="15881" width="11" style="2" customWidth="1"/>
    <col min="15882" max="15882" width="9.42578125" style="2" customWidth="1"/>
    <col min="15883" max="15887" width="9.42578125" style="2" bestFit="1" customWidth="1"/>
    <col min="15888" max="15888" width="9.140625" style="2"/>
    <col min="15889" max="15889" width="9.28515625" style="2" bestFit="1" customWidth="1"/>
    <col min="15890" max="16119" width="9.140625" style="2"/>
    <col min="16120" max="16120" width="42.42578125" style="2" customWidth="1"/>
    <col min="16121" max="16121" width="3.7109375" style="2" customWidth="1"/>
    <col min="16122" max="16122" width="12.28515625" style="2" customWidth="1"/>
    <col min="16123" max="16123" width="10.7109375" style="2" customWidth="1"/>
    <col min="16124" max="16124" width="10.28515625" style="2" customWidth="1"/>
    <col min="16125" max="16126" width="10" style="2" customWidth="1"/>
    <col min="16127" max="16127" width="9" style="2" customWidth="1"/>
    <col min="16128" max="16128" width="9.28515625" style="2" customWidth="1"/>
    <col min="16129" max="16131" width="9" style="2" customWidth="1"/>
    <col min="16132" max="16132" width="10.7109375" style="2" customWidth="1"/>
    <col min="16133" max="16137" width="11" style="2" customWidth="1"/>
    <col min="16138" max="16138" width="9.42578125" style="2" customWidth="1"/>
    <col min="16139" max="16143" width="9.42578125" style="2" bestFit="1" customWidth="1"/>
    <col min="16144" max="16144" width="9.140625" style="2"/>
    <col min="16145" max="16145" width="9.28515625" style="2" bestFit="1" customWidth="1"/>
    <col min="16146" max="16384" width="9.140625" style="2"/>
  </cols>
  <sheetData>
    <row r="1" spans="1:24" ht="26.25" customHeight="1" thickBot="1">
      <c r="A1" s="1" t="s">
        <v>34</v>
      </c>
    </row>
    <row r="2" spans="1:24" ht="12.75" customHeight="1"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</row>
    <row r="3" spans="1:24">
      <c r="A3" s="23" t="s">
        <v>2</v>
      </c>
      <c r="B3" s="23"/>
      <c r="C3" s="24">
        <v>2008</v>
      </c>
      <c r="D3" s="24">
        <v>2009</v>
      </c>
      <c r="E3" s="24">
        <v>2010</v>
      </c>
      <c r="F3" s="4" t="s">
        <v>3</v>
      </c>
      <c r="G3" s="4" t="s">
        <v>4</v>
      </c>
      <c r="H3" s="4" t="s">
        <v>5</v>
      </c>
      <c r="I3" s="4" t="s">
        <v>6</v>
      </c>
      <c r="J3" s="24">
        <v>2011</v>
      </c>
      <c r="K3" s="24" t="s">
        <v>7</v>
      </c>
      <c r="L3" s="24" t="s">
        <v>8</v>
      </c>
      <c r="M3" s="24" t="s">
        <v>9</v>
      </c>
      <c r="N3" s="24" t="s">
        <v>10</v>
      </c>
      <c r="O3" s="24" t="s">
        <v>11</v>
      </c>
      <c r="P3" s="24" t="s">
        <v>12</v>
      </c>
      <c r="Q3" s="24" t="s">
        <v>156</v>
      </c>
      <c r="R3" s="24" t="s">
        <v>157</v>
      </c>
      <c r="S3" s="24" t="s">
        <v>158</v>
      </c>
      <c r="T3" s="24" t="s">
        <v>159</v>
      </c>
      <c r="U3" s="24" t="s">
        <v>160</v>
      </c>
    </row>
    <row r="4" spans="1:24" ht="3.75" customHeight="1"/>
    <row r="5" spans="1:24">
      <c r="A5" s="5" t="s">
        <v>13</v>
      </c>
      <c r="B5" s="5"/>
      <c r="C5" s="6">
        <f t="shared" ref="C5:H5" si="0">+C7+C13+C15</f>
        <v>1243.085</v>
      </c>
      <c r="D5" s="6">
        <f t="shared" si="0"/>
        <v>2055.0509999999999</v>
      </c>
      <c r="E5" s="6">
        <f t="shared" si="0"/>
        <v>1573.0219999999999</v>
      </c>
      <c r="F5" s="6">
        <f t="shared" si="0"/>
        <v>1597.2830000000001</v>
      </c>
      <c r="G5" s="6">
        <f t="shared" si="0"/>
        <v>1655.57</v>
      </c>
      <c r="H5" s="6">
        <f t="shared" si="0"/>
        <v>1856.9690000000001</v>
      </c>
      <c r="I5" s="6">
        <f>+I7+I13+I15</f>
        <v>1999.0529999999999</v>
      </c>
      <c r="J5" s="6">
        <f>I5</f>
        <v>1999.0529999999999</v>
      </c>
      <c r="K5" s="6">
        <f>+K7+K13+K15</f>
        <v>3141.4370732212465</v>
      </c>
      <c r="L5" s="6">
        <f t="shared" ref="L5:U5" si="1">+L7+L13+L15</f>
        <v>3841.7906931278731</v>
      </c>
      <c r="M5" s="6">
        <f t="shared" si="1"/>
        <v>4268.7342833191242</v>
      </c>
      <c r="N5" s="6">
        <f t="shared" si="1"/>
        <v>4787.1639752382926</v>
      </c>
      <c r="O5" s="6">
        <f t="shared" si="1"/>
        <v>4975.0512408866498</v>
      </c>
      <c r="P5" s="6">
        <f t="shared" si="1"/>
        <v>5249.4086676918159</v>
      </c>
      <c r="Q5" s="6">
        <f t="shared" si="1"/>
        <v>5523.6451051469985</v>
      </c>
      <c r="R5" s="6">
        <f t="shared" si="1"/>
        <v>6070.6965287306339</v>
      </c>
      <c r="S5" s="6">
        <f t="shared" si="1"/>
        <v>6603.9841039027269</v>
      </c>
      <c r="T5" s="6">
        <f t="shared" si="1"/>
        <v>6980.4522297038975</v>
      </c>
      <c r="U5" s="6">
        <f t="shared" si="1"/>
        <v>7229.42372396667</v>
      </c>
    </row>
    <row r="6" spans="1:24" ht="5.25" customHeight="1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</row>
    <row r="7" spans="1:24">
      <c r="A7" s="5" t="s">
        <v>14</v>
      </c>
      <c r="B7" s="5"/>
      <c r="C7" s="6">
        <f t="shared" ref="C7:I7" si="2">+SUM(C8:C11)</f>
        <v>73.536000000000001</v>
      </c>
      <c r="D7" s="6">
        <f t="shared" si="2"/>
        <v>88.08</v>
      </c>
      <c r="E7" s="6">
        <f t="shared" si="2"/>
        <v>54.587000000000003</v>
      </c>
      <c r="F7" s="6">
        <f t="shared" si="2"/>
        <v>24.004999999999999</v>
      </c>
      <c r="G7" s="6">
        <f t="shared" si="2"/>
        <v>10.574</v>
      </c>
      <c r="H7" s="6">
        <f t="shared" si="2"/>
        <v>4.9659999999999993</v>
      </c>
      <c r="I7" s="6">
        <f t="shared" si="2"/>
        <v>28.46</v>
      </c>
      <c r="J7" s="6">
        <f>I7</f>
        <v>28.46</v>
      </c>
      <c r="K7" s="6">
        <f t="shared" ref="K7:P7" si="3">+SUM(K8:K12)</f>
        <v>368.87695224999999</v>
      </c>
      <c r="L7" s="6">
        <f t="shared" si="3"/>
        <v>356.54271848727393</v>
      </c>
      <c r="M7" s="6">
        <f t="shared" si="3"/>
        <v>420.86139153632826</v>
      </c>
      <c r="N7" s="6">
        <f t="shared" si="3"/>
        <v>588.19995797783758</v>
      </c>
      <c r="O7" s="6">
        <f t="shared" si="3"/>
        <v>386.93271703826287</v>
      </c>
      <c r="P7" s="6">
        <f t="shared" si="3"/>
        <v>237.75320499156243</v>
      </c>
      <c r="Q7" s="6">
        <f t="shared" ref="Q7:U7" si="4">+SUM(Q8:Q12)</f>
        <v>50.733777257110376</v>
      </c>
      <c r="R7" s="6">
        <f t="shared" si="4"/>
        <v>65.457151270081965</v>
      </c>
      <c r="S7" s="6">
        <f t="shared" si="4"/>
        <v>83.485471085211614</v>
      </c>
      <c r="T7" s="6">
        <f t="shared" si="4"/>
        <v>90.515385116430437</v>
      </c>
      <c r="U7" s="6">
        <f t="shared" si="4"/>
        <v>64.644889394553445</v>
      </c>
    </row>
    <row r="8" spans="1:24">
      <c r="A8" s="2" t="s">
        <v>15</v>
      </c>
      <c r="C8" s="10">
        <f>0.063+27.997</f>
        <v>28.06</v>
      </c>
      <c r="D8" s="10">
        <f>0.081+63.391</f>
        <v>63.472000000000001</v>
      </c>
      <c r="E8" s="10">
        <v>30.927</v>
      </c>
      <c r="F8" s="26">
        <v>0.27700000000000002</v>
      </c>
      <c r="G8" s="10">
        <v>5.5</v>
      </c>
      <c r="H8" s="10">
        <f>1.581</f>
        <v>1.581</v>
      </c>
      <c r="I8" s="10">
        <v>11.592000000000001</v>
      </c>
      <c r="J8" s="10">
        <f>I8</f>
        <v>11.592000000000001</v>
      </c>
      <c r="K8" s="10">
        <f>J8+K107</f>
        <v>32.008952250000007</v>
      </c>
      <c r="L8" s="10">
        <f>K8+L107</f>
        <v>19.674718487273921</v>
      </c>
      <c r="M8" s="10">
        <f t="shared" ref="M8:U8" si="5">L8+M107</f>
        <v>83.993391536328247</v>
      </c>
      <c r="N8" s="10">
        <f t="shared" si="5"/>
        <v>251.33195797783753</v>
      </c>
      <c r="O8" s="10">
        <f t="shared" si="5"/>
        <v>210.06471703826287</v>
      </c>
      <c r="P8" s="10">
        <f t="shared" si="5"/>
        <v>220.88520499156243</v>
      </c>
      <c r="Q8" s="10">
        <f t="shared" si="5"/>
        <v>33.865777257110381</v>
      </c>
      <c r="R8" s="10">
        <f t="shared" si="5"/>
        <v>48.58915127008197</v>
      </c>
      <c r="S8" s="10">
        <f t="shared" si="5"/>
        <v>66.617471085211605</v>
      </c>
      <c r="T8" s="10">
        <f t="shared" si="5"/>
        <v>73.647385116430428</v>
      </c>
      <c r="U8" s="10">
        <f t="shared" si="5"/>
        <v>47.77688939455345</v>
      </c>
    </row>
    <row r="9" spans="1:24">
      <c r="A9" s="2" t="s">
        <v>35</v>
      </c>
      <c r="C9" s="10">
        <v>2.2759999999999998</v>
      </c>
      <c r="D9" s="10">
        <v>2.9710000000000001</v>
      </c>
      <c r="E9" s="7">
        <v>3.7759999999999998</v>
      </c>
      <c r="F9" s="7">
        <v>3.8439999999999999</v>
      </c>
      <c r="G9" s="7">
        <v>3.8650000000000002</v>
      </c>
      <c r="H9" s="7">
        <v>3.3849999999999998</v>
      </c>
      <c r="I9" s="7">
        <v>3.3849999999999998</v>
      </c>
      <c r="J9" s="10">
        <f>I9</f>
        <v>3.3849999999999998</v>
      </c>
      <c r="K9" s="7">
        <f>J9</f>
        <v>3.3849999999999998</v>
      </c>
      <c r="L9" s="7">
        <f>K9</f>
        <v>3.3849999999999998</v>
      </c>
      <c r="M9" s="7">
        <f t="shared" ref="M9:U9" si="6">L9</f>
        <v>3.3849999999999998</v>
      </c>
      <c r="N9" s="7">
        <f t="shared" si="6"/>
        <v>3.3849999999999998</v>
      </c>
      <c r="O9" s="7">
        <f t="shared" si="6"/>
        <v>3.3849999999999998</v>
      </c>
      <c r="P9" s="7">
        <f t="shared" si="6"/>
        <v>3.3849999999999998</v>
      </c>
      <c r="Q9" s="7">
        <f t="shared" si="6"/>
        <v>3.3849999999999998</v>
      </c>
      <c r="R9" s="7">
        <f t="shared" si="6"/>
        <v>3.3849999999999998</v>
      </c>
      <c r="S9" s="7">
        <f t="shared" si="6"/>
        <v>3.3849999999999998</v>
      </c>
      <c r="T9" s="7">
        <f t="shared" si="6"/>
        <v>3.3849999999999998</v>
      </c>
      <c r="U9" s="7">
        <f t="shared" si="6"/>
        <v>3.3849999999999998</v>
      </c>
    </row>
    <row r="10" spans="1:24">
      <c r="A10" s="2" t="s">
        <v>37</v>
      </c>
      <c r="C10" s="9">
        <v>43.2</v>
      </c>
      <c r="D10" s="9">
        <v>21.637</v>
      </c>
      <c r="E10" s="9">
        <v>19.884</v>
      </c>
      <c r="F10" s="9">
        <v>19.884</v>
      </c>
      <c r="G10" s="9">
        <v>0</v>
      </c>
      <c r="H10" s="9">
        <v>0</v>
      </c>
      <c r="I10" s="9">
        <v>13.483000000000001</v>
      </c>
      <c r="J10" s="10">
        <f t="shared" ref="J10:K11" si="7">I10</f>
        <v>13.483000000000001</v>
      </c>
      <c r="K10" s="7">
        <f t="shared" si="7"/>
        <v>13.483000000000001</v>
      </c>
      <c r="L10" s="9">
        <f>K10</f>
        <v>13.483000000000001</v>
      </c>
      <c r="M10" s="9">
        <f t="shared" ref="M10:U10" si="8">L10</f>
        <v>13.483000000000001</v>
      </c>
      <c r="N10" s="9">
        <f t="shared" si="8"/>
        <v>13.483000000000001</v>
      </c>
      <c r="O10" s="9">
        <f t="shared" si="8"/>
        <v>13.483000000000001</v>
      </c>
      <c r="P10" s="9">
        <f t="shared" si="8"/>
        <v>13.483000000000001</v>
      </c>
      <c r="Q10" s="9">
        <f t="shared" si="8"/>
        <v>13.483000000000001</v>
      </c>
      <c r="R10" s="9">
        <f t="shared" si="8"/>
        <v>13.483000000000001</v>
      </c>
      <c r="S10" s="9">
        <f t="shared" si="8"/>
        <v>13.483000000000001</v>
      </c>
      <c r="T10" s="9">
        <f t="shared" si="8"/>
        <v>13.483000000000001</v>
      </c>
      <c r="U10" s="9">
        <f t="shared" si="8"/>
        <v>13.483000000000001</v>
      </c>
    </row>
    <row r="11" spans="1:24">
      <c r="A11" s="2" t="s">
        <v>196</v>
      </c>
      <c r="C11" s="9">
        <f>73.536-SUM(C8:C10)</f>
        <v>0</v>
      </c>
      <c r="D11" s="9">
        <f>88.08-SUM(D8:D10)</f>
        <v>0</v>
      </c>
      <c r="E11" s="9">
        <f>54.587-SUM(E8:E10)</f>
        <v>0</v>
      </c>
      <c r="F11" s="9">
        <f>24.005-SUM(F8:F10)</f>
        <v>0</v>
      </c>
      <c r="G11" s="9">
        <v>1.2090000000000001</v>
      </c>
      <c r="H11" s="9">
        <f>4.966-SUM(H8:H10)</f>
        <v>0</v>
      </c>
      <c r="I11" s="9">
        <v>0</v>
      </c>
      <c r="J11" s="10">
        <f t="shared" si="7"/>
        <v>0</v>
      </c>
      <c r="K11" s="7">
        <f>J11-K100</f>
        <v>320</v>
      </c>
      <c r="L11" s="7">
        <f t="shared" ref="L11:U11" si="9">K11-L100</f>
        <v>320</v>
      </c>
      <c r="M11" s="7">
        <f t="shared" si="9"/>
        <v>320</v>
      </c>
      <c r="N11" s="7">
        <f t="shared" si="9"/>
        <v>320</v>
      </c>
      <c r="O11" s="7">
        <f t="shared" si="9"/>
        <v>160</v>
      </c>
      <c r="P11" s="7">
        <f t="shared" si="9"/>
        <v>0</v>
      </c>
      <c r="Q11" s="7">
        <f t="shared" si="9"/>
        <v>0</v>
      </c>
      <c r="R11" s="7">
        <f t="shared" si="9"/>
        <v>0</v>
      </c>
      <c r="S11" s="7">
        <f t="shared" si="9"/>
        <v>0</v>
      </c>
      <c r="T11" s="7">
        <f t="shared" si="9"/>
        <v>0</v>
      </c>
      <c r="U11" s="7">
        <f t="shared" si="9"/>
        <v>0</v>
      </c>
    </row>
    <row r="12" spans="1:24" ht="5.25" customHeight="1">
      <c r="C12" s="9"/>
      <c r="D12" s="9"/>
      <c r="E12" s="9"/>
      <c r="F12" s="9"/>
      <c r="G12" s="9"/>
      <c r="H12" s="9"/>
      <c r="I12" s="9"/>
      <c r="J12" s="10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>
      <c r="A13" s="5" t="s">
        <v>16</v>
      </c>
      <c r="C13" s="11">
        <v>123.39700000000001</v>
      </c>
      <c r="D13" s="11">
        <v>510.56</v>
      </c>
      <c r="E13" s="11">
        <v>19.704000000000001</v>
      </c>
      <c r="F13" s="11">
        <v>19.704000000000001</v>
      </c>
      <c r="G13" s="11">
        <v>1.175</v>
      </c>
      <c r="H13" s="11">
        <v>1.175</v>
      </c>
      <c r="I13" s="11">
        <v>1.175</v>
      </c>
      <c r="J13" s="17">
        <f>I13</f>
        <v>1.175</v>
      </c>
      <c r="K13" s="11">
        <f>J13</f>
        <v>1.175</v>
      </c>
      <c r="L13" s="11">
        <f t="shared" ref="L13:U13" si="10">K13</f>
        <v>1.175</v>
      </c>
      <c r="M13" s="11">
        <f t="shared" si="10"/>
        <v>1.175</v>
      </c>
      <c r="N13" s="11">
        <f t="shared" si="10"/>
        <v>1.175</v>
      </c>
      <c r="O13" s="11">
        <f t="shared" si="10"/>
        <v>1.175</v>
      </c>
      <c r="P13" s="11">
        <f t="shared" si="10"/>
        <v>1.175</v>
      </c>
      <c r="Q13" s="11">
        <f t="shared" si="10"/>
        <v>1.175</v>
      </c>
      <c r="R13" s="11">
        <f t="shared" si="10"/>
        <v>1.175</v>
      </c>
      <c r="S13" s="11">
        <f t="shared" si="10"/>
        <v>1.175</v>
      </c>
      <c r="T13" s="11">
        <f t="shared" si="10"/>
        <v>1.175</v>
      </c>
      <c r="U13" s="11">
        <f t="shared" si="10"/>
        <v>1.175</v>
      </c>
      <c r="V13" s="9"/>
      <c r="W13" s="9"/>
      <c r="X13" s="9"/>
    </row>
    <row r="14" spans="1:24" ht="5.25" customHeight="1">
      <c r="C14" s="9"/>
      <c r="D14" s="9"/>
      <c r="E14" s="9"/>
      <c r="F14" s="9"/>
      <c r="G14" s="9"/>
      <c r="H14" s="9"/>
      <c r="I14" s="9"/>
      <c r="J14" s="10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>
      <c r="A15" s="12" t="s">
        <v>17</v>
      </c>
      <c r="B15" s="12"/>
      <c r="C15" s="20">
        <f t="shared" ref="C15:I15" si="11">SUM(C16:C18)</f>
        <v>1046.152</v>
      </c>
      <c r="D15" s="20">
        <f t="shared" si="11"/>
        <v>1456.4110000000001</v>
      </c>
      <c r="E15" s="20">
        <f t="shared" si="11"/>
        <v>1498.731</v>
      </c>
      <c r="F15" s="20">
        <f t="shared" si="11"/>
        <v>1553.5740000000001</v>
      </c>
      <c r="G15" s="20">
        <f t="shared" si="11"/>
        <v>1643.8209999999999</v>
      </c>
      <c r="H15" s="20">
        <f t="shared" si="11"/>
        <v>1850.828</v>
      </c>
      <c r="I15" s="20">
        <f t="shared" si="11"/>
        <v>1969.4179999999999</v>
      </c>
      <c r="J15" s="20">
        <f>I15</f>
        <v>1969.4179999999999</v>
      </c>
      <c r="K15" s="20">
        <f>J15+K73-K87+K51</f>
        <v>2771.3851209712466</v>
      </c>
      <c r="L15" s="20">
        <f t="shared" ref="L15:U15" si="12">K15+L73-L87+L51</f>
        <v>3484.0729746405991</v>
      </c>
      <c r="M15" s="20">
        <f t="shared" si="12"/>
        <v>3846.697891782796</v>
      </c>
      <c r="N15" s="20">
        <f>M15+N73-N87+N51</f>
        <v>4197.7890172604548</v>
      </c>
      <c r="O15" s="20">
        <f t="shared" si="12"/>
        <v>4586.9435238483866</v>
      </c>
      <c r="P15" s="20">
        <f t="shared" si="12"/>
        <v>5010.4804627002532</v>
      </c>
      <c r="Q15" s="20">
        <f t="shared" si="12"/>
        <v>5471.7363278898883</v>
      </c>
      <c r="R15" s="20">
        <f t="shared" si="12"/>
        <v>6004.0643774605524</v>
      </c>
      <c r="S15" s="20">
        <f t="shared" si="12"/>
        <v>6519.3236328175153</v>
      </c>
      <c r="T15" s="20">
        <f t="shared" si="12"/>
        <v>6888.7618445874668</v>
      </c>
      <c r="U15" s="20">
        <f t="shared" si="12"/>
        <v>7163.6038345721163</v>
      </c>
      <c r="V15" s="9"/>
      <c r="W15" s="9"/>
      <c r="X15" s="9"/>
    </row>
    <row r="16" spans="1:24">
      <c r="A16" s="2" t="s">
        <v>18</v>
      </c>
      <c r="C16" s="9">
        <v>1046.152</v>
      </c>
      <c r="D16" s="9">
        <v>1456.4110000000001</v>
      </c>
      <c r="E16" s="9">
        <v>1498.731</v>
      </c>
      <c r="F16" s="9">
        <v>1553.5740000000001</v>
      </c>
      <c r="G16" s="9">
        <v>1643.8209999999999</v>
      </c>
      <c r="H16" s="9">
        <v>1850.828</v>
      </c>
      <c r="I16" s="9">
        <v>1969.4179999999999</v>
      </c>
      <c r="J16" s="9">
        <f>I16</f>
        <v>1969.4179999999999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>
      <c r="A17" s="2" t="s">
        <v>19</v>
      </c>
      <c r="C17" s="9"/>
      <c r="D17" s="9"/>
      <c r="E17" s="9"/>
      <c r="F17" s="9"/>
      <c r="G17" s="9"/>
      <c r="H17" s="9"/>
      <c r="I17" s="9"/>
      <c r="J17" s="10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>
      <c r="A18" s="13" t="s">
        <v>20</v>
      </c>
      <c r="B18" s="13"/>
      <c r="C18" s="13"/>
      <c r="D18" s="13"/>
      <c r="E18" s="14"/>
      <c r="F18" s="13"/>
      <c r="G18" s="13"/>
      <c r="H18" s="1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"/>
      <c r="W18" s="9"/>
      <c r="X18" s="9"/>
    </row>
    <row r="19" spans="1:24" ht="4.5" customHeight="1">
      <c r="C19" s="9"/>
      <c r="D19" s="9"/>
      <c r="E19" s="9"/>
      <c r="F19" s="9"/>
      <c r="G19" s="9"/>
      <c r="H19" s="9"/>
      <c r="I19" s="9"/>
      <c r="J19" s="1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>
      <c r="A20" s="5" t="s">
        <v>21</v>
      </c>
      <c r="C20" s="6">
        <f t="shared" ref="C20:K20" si="13">+SUM(C21:C24)</f>
        <v>140.214</v>
      </c>
      <c r="D20" s="6">
        <f t="shared" si="13"/>
        <v>263.411</v>
      </c>
      <c r="E20" s="6">
        <f t="shared" si="13"/>
        <v>114.324</v>
      </c>
      <c r="F20" s="6">
        <f t="shared" si="13"/>
        <v>126.672</v>
      </c>
      <c r="G20" s="6">
        <f t="shared" si="13"/>
        <v>114.23699999999999</v>
      </c>
      <c r="H20" s="6">
        <f t="shared" si="13"/>
        <v>116.90600000000001</v>
      </c>
      <c r="I20" s="6">
        <f t="shared" si="13"/>
        <v>117.24299999999999</v>
      </c>
      <c r="J20" s="6">
        <f>I20</f>
        <v>117.24299999999999</v>
      </c>
      <c r="K20" s="6">
        <f t="shared" si="13"/>
        <v>77.046999999999997</v>
      </c>
      <c r="L20" s="6">
        <f t="shared" ref="L20:U20" si="14">+SUM(L21:L24)</f>
        <v>43.737828571428572</v>
      </c>
      <c r="M20" s="6">
        <f t="shared" si="14"/>
        <v>43.737828571428572</v>
      </c>
      <c r="N20" s="6">
        <f t="shared" si="14"/>
        <v>443.73782857142857</v>
      </c>
      <c r="O20" s="6">
        <f t="shared" si="14"/>
        <v>443.73782857142857</v>
      </c>
      <c r="P20" s="6">
        <f t="shared" si="14"/>
        <v>471.31301253721739</v>
      </c>
      <c r="Q20" s="6">
        <f t="shared" si="14"/>
        <v>185.17305461692735</v>
      </c>
      <c r="R20" s="6">
        <f t="shared" si="14"/>
        <v>205.07727631100727</v>
      </c>
      <c r="S20" s="6">
        <f t="shared" si="14"/>
        <v>223.06850627564609</v>
      </c>
      <c r="T20" s="6">
        <f t="shared" si="14"/>
        <v>243.64982804791975</v>
      </c>
      <c r="U20" s="6">
        <f t="shared" si="14"/>
        <v>34.6</v>
      </c>
      <c r="V20" s="9"/>
      <c r="W20" s="9"/>
      <c r="X20" s="9"/>
    </row>
    <row r="21" spans="1:24">
      <c r="A21" s="2" t="s">
        <v>36</v>
      </c>
      <c r="C21" s="9">
        <v>139.03899999999999</v>
      </c>
      <c r="D21" s="9">
        <v>145.34700000000001</v>
      </c>
      <c r="E21" s="9">
        <v>40.402000000000001</v>
      </c>
      <c r="F21" s="9">
        <v>52.371000000000002</v>
      </c>
      <c r="G21" s="9">
        <v>40.375</v>
      </c>
      <c r="H21" s="9">
        <v>42.895000000000003</v>
      </c>
      <c r="I21" s="9">
        <v>40.195999999999998</v>
      </c>
      <c r="J21" s="9">
        <f t="shared" ref="J21:K32" si="15">I21</f>
        <v>40.195999999999998</v>
      </c>
      <c r="K21" s="9">
        <f>L117</f>
        <v>42.447000000000003</v>
      </c>
      <c r="L21" s="9">
        <f t="shared" ref="L21:U21" si="16">M117</f>
        <v>9.137828571428571</v>
      </c>
      <c r="M21" s="9">
        <f t="shared" si="16"/>
        <v>9.137828571428571</v>
      </c>
      <c r="N21" s="9">
        <f t="shared" si="16"/>
        <v>409.1378285714286</v>
      </c>
      <c r="O21" s="9">
        <f t="shared" si="16"/>
        <v>409.1378285714286</v>
      </c>
      <c r="P21" s="9">
        <f t="shared" si="16"/>
        <v>436.71301253721742</v>
      </c>
      <c r="Q21" s="9">
        <f t="shared" si="16"/>
        <v>150.57305461692735</v>
      </c>
      <c r="R21" s="9">
        <f t="shared" si="16"/>
        <v>170.47727631100724</v>
      </c>
      <c r="S21" s="9">
        <f t="shared" si="16"/>
        <v>188.46850627564609</v>
      </c>
      <c r="T21" s="9">
        <f t="shared" si="16"/>
        <v>209.04982804791973</v>
      </c>
      <c r="U21" s="9">
        <f t="shared" si="16"/>
        <v>0</v>
      </c>
      <c r="V21" s="9"/>
      <c r="W21" s="9"/>
      <c r="X21" s="9"/>
    </row>
    <row r="22" spans="1:24">
      <c r="A22" s="2" t="s">
        <v>39</v>
      </c>
      <c r="C22" s="9">
        <v>2E-3</v>
      </c>
      <c r="D22" s="9">
        <v>1E-3</v>
      </c>
      <c r="E22" s="9">
        <v>5.3999999999999999E-2</v>
      </c>
      <c r="F22" s="9">
        <v>5.0000000000000001E-3</v>
      </c>
      <c r="G22" s="9">
        <v>3.0000000000000001E-3</v>
      </c>
      <c r="H22" s="9">
        <v>0.15</v>
      </c>
      <c r="I22" s="9">
        <v>0.186</v>
      </c>
      <c r="J22" s="9">
        <f t="shared" si="15"/>
        <v>0.186</v>
      </c>
      <c r="K22" s="9">
        <f>J22</f>
        <v>0.186</v>
      </c>
      <c r="L22" s="9">
        <f t="shared" ref="L22:U22" si="17">K22</f>
        <v>0.186</v>
      </c>
      <c r="M22" s="9">
        <f t="shared" si="17"/>
        <v>0.186</v>
      </c>
      <c r="N22" s="9">
        <f t="shared" si="17"/>
        <v>0.186</v>
      </c>
      <c r="O22" s="9">
        <f t="shared" si="17"/>
        <v>0.186</v>
      </c>
      <c r="P22" s="9">
        <f t="shared" si="17"/>
        <v>0.186</v>
      </c>
      <c r="Q22" s="9">
        <f t="shared" si="17"/>
        <v>0.186</v>
      </c>
      <c r="R22" s="9">
        <f t="shared" si="17"/>
        <v>0.186</v>
      </c>
      <c r="S22" s="9">
        <f t="shared" si="17"/>
        <v>0.186</v>
      </c>
      <c r="T22" s="9">
        <f t="shared" si="17"/>
        <v>0.186</v>
      </c>
      <c r="U22" s="9">
        <f t="shared" si="17"/>
        <v>0.186</v>
      </c>
      <c r="V22" s="9"/>
      <c r="W22" s="9"/>
      <c r="X22" s="9"/>
    </row>
    <row r="23" spans="1:24" s="15" customFormat="1">
      <c r="A23" s="2" t="s">
        <v>38</v>
      </c>
      <c r="B23" s="2"/>
      <c r="C23" s="9">
        <v>1.173</v>
      </c>
      <c r="D23" s="9">
        <v>118.05800000000001</v>
      </c>
      <c r="E23" s="9">
        <v>73.858999999999995</v>
      </c>
      <c r="F23" s="9">
        <v>73.858999999999995</v>
      </c>
      <c r="G23" s="9">
        <v>73.858999999999995</v>
      </c>
      <c r="H23" s="9">
        <v>73.858999999999995</v>
      </c>
      <c r="I23" s="9">
        <v>34.414000000000001</v>
      </c>
      <c r="J23" s="9">
        <f t="shared" si="15"/>
        <v>34.414000000000001</v>
      </c>
      <c r="K23" s="9">
        <f t="shared" si="15"/>
        <v>34.414000000000001</v>
      </c>
      <c r="L23" s="9">
        <f t="shared" ref="L23:U23" si="18">K23</f>
        <v>34.414000000000001</v>
      </c>
      <c r="M23" s="9">
        <f t="shared" si="18"/>
        <v>34.414000000000001</v>
      </c>
      <c r="N23" s="9">
        <f t="shared" si="18"/>
        <v>34.414000000000001</v>
      </c>
      <c r="O23" s="9">
        <f t="shared" si="18"/>
        <v>34.414000000000001</v>
      </c>
      <c r="P23" s="9">
        <f t="shared" si="18"/>
        <v>34.414000000000001</v>
      </c>
      <c r="Q23" s="9">
        <f t="shared" si="18"/>
        <v>34.414000000000001</v>
      </c>
      <c r="R23" s="9">
        <f t="shared" si="18"/>
        <v>34.414000000000001</v>
      </c>
      <c r="S23" s="9">
        <f t="shared" si="18"/>
        <v>34.414000000000001</v>
      </c>
      <c r="T23" s="9">
        <f t="shared" si="18"/>
        <v>34.414000000000001</v>
      </c>
      <c r="U23" s="9">
        <f t="shared" si="18"/>
        <v>34.414000000000001</v>
      </c>
      <c r="V23" s="9"/>
      <c r="W23" s="9"/>
      <c r="X23" s="9"/>
    </row>
    <row r="24" spans="1:24" s="15" customFormat="1">
      <c r="A24" s="2" t="s">
        <v>22</v>
      </c>
      <c r="B24" s="2"/>
      <c r="C24" s="9">
        <f>140.214-SUM(C21:C23)</f>
        <v>0</v>
      </c>
      <c r="D24" s="9">
        <f>263.411-SUM(D21:D23)</f>
        <v>4.9999999999954525E-3</v>
      </c>
      <c r="E24" s="9">
        <f>114.324-SUM(E21:E23)</f>
        <v>9.0000000000003411E-3</v>
      </c>
      <c r="F24" s="9">
        <f>0.428+0.009</f>
        <v>0.437</v>
      </c>
      <c r="G24" s="9">
        <f>114.237-SUM(G21:G23)</f>
        <v>0</v>
      </c>
      <c r="H24" s="9">
        <f>116.906-SUM(H21:H23)</f>
        <v>2.0000000000095497E-3</v>
      </c>
      <c r="I24" s="9">
        <v>42.447000000000003</v>
      </c>
      <c r="J24" s="9">
        <f t="shared" si="15"/>
        <v>42.447000000000003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/>
      <c r="W24" s="9"/>
      <c r="X24" s="9"/>
    </row>
    <row r="25" spans="1:24" s="15" customFormat="1" ht="6.75" customHeight="1">
      <c r="A25" s="2"/>
      <c r="B25" s="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s="15" customFormat="1">
      <c r="A26" s="5" t="s">
        <v>40</v>
      </c>
      <c r="B26" s="2"/>
      <c r="C26" s="6">
        <f t="shared" ref="C26:K26" si="19">+SUM(C27:C30)</f>
        <v>121.724</v>
      </c>
      <c r="D26" s="6">
        <f t="shared" si="19"/>
        <v>571.803</v>
      </c>
      <c r="E26" s="6">
        <f t="shared" si="19"/>
        <v>43.533000000000001</v>
      </c>
      <c r="F26" s="6">
        <f t="shared" si="19"/>
        <v>43.536999999999999</v>
      </c>
      <c r="G26" s="6">
        <f t="shared" si="19"/>
        <v>87.503999999999991</v>
      </c>
      <c r="H26" s="6">
        <f t="shared" si="19"/>
        <v>267.24200000000002</v>
      </c>
      <c r="I26" s="6">
        <f t="shared" si="19"/>
        <v>205.69100000000003</v>
      </c>
      <c r="J26" s="6">
        <f t="shared" si="15"/>
        <v>205.69100000000003</v>
      </c>
      <c r="K26" s="6">
        <f t="shared" si="19"/>
        <v>963.24399999999991</v>
      </c>
      <c r="L26" s="6">
        <f t="shared" ref="L26:U26" si="20">+SUM(L27:L30)</f>
        <v>1381.68135539436</v>
      </c>
      <c r="M26" s="6">
        <f t="shared" si="20"/>
        <v>1513.9787528684303</v>
      </c>
      <c r="N26" s="6">
        <f t="shared" si="20"/>
        <v>1266.1803720365804</v>
      </c>
      <c r="O26" s="6">
        <f t="shared" si="20"/>
        <v>1036.3732211693693</v>
      </c>
      <c r="P26" s="6">
        <f t="shared" si="20"/>
        <v>799.57220810864317</v>
      </c>
      <c r="Q26" s="6">
        <f t="shared" si="20"/>
        <v>845.67357866053271</v>
      </c>
      <c r="R26" s="6">
        <f t="shared" si="20"/>
        <v>864.91546034857311</v>
      </c>
      <c r="S26" s="6">
        <f t="shared" si="20"/>
        <v>878.59929411164319</v>
      </c>
      <c r="T26" s="6">
        <f t="shared" si="20"/>
        <v>914.25458095785723</v>
      </c>
      <c r="U26" s="6">
        <f t="shared" si="20"/>
        <v>1181.3500213249179</v>
      </c>
      <c r="V26" s="9"/>
      <c r="W26" s="9"/>
      <c r="X26" s="9"/>
    </row>
    <row r="27" spans="1:24">
      <c r="A27" s="2" t="s">
        <v>41</v>
      </c>
      <c r="C27" s="9">
        <v>120</v>
      </c>
      <c r="D27" s="9">
        <v>80</v>
      </c>
      <c r="E27" s="9">
        <v>40.003999999999998</v>
      </c>
      <c r="F27" s="9">
        <v>40.008000000000003</v>
      </c>
      <c r="G27" s="9">
        <v>40.008000000000003</v>
      </c>
      <c r="H27" s="9">
        <v>40.008000000000003</v>
      </c>
      <c r="I27" s="9">
        <v>159.91200000000001</v>
      </c>
      <c r="J27" s="9">
        <f t="shared" si="15"/>
        <v>159.91200000000001</v>
      </c>
      <c r="K27" s="9">
        <f>K79-K21</f>
        <v>961.54</v>
      </c>
      <c r="L27" s="9">
        <f t="shared" ref="L27:U27" si="21">L79-L21</f>
        <v>1379.9773553943601</v>
      </c>
      <c r="M27" s="9">
        <f t="shared" si="21"/>
        <v>1512.2747528684304</v>
      </c>
      <c r="N27" s="9">
        <f t="shared" si="21"/>
        <v>1264.4763720365804</v>
      </c>
      <c r="O27" s="9">
        <f t="shared" si="21"/>
        <v>1034.6692211693694</v>
      </c>
      <c r="P27" s="9">
        <f t="shared" si="21"/>
        <v>797.86820810864322</v>
      </c>
      <c r="Q27" s="9">
        <f t="shared" si="21"/>
        <v>843.96957866053276</v>
      </c>
      <c r="R27" s="9">
        <f t="shared" si="21"/>
        <v>863.21146034857315</v>
      </c>
      <c r="S27" s="9">
        <f t="shared" si="21"/>
        <v>876.89529411164324</v>
      </c>
      <c r="T27" s="9">
        <f t="shared" si="21"/>
        <v>912.55058095785728</v>
      </c>
      <c r="U27" s="9">
        <f t="shared" si="21"/>
        <v>1179.6460213249179</v>
      </c>
      <c r="V27" s="9"/>
      <c r="W27" s="9"/>
      <c r="X27" s="9"/>
    </row>
    <row r="28" spans="1:24">
      <c r="A28" s="2" t="s">
        <v>42</v>
      </c>
      <c r="C28" s="9">
        <v>1.724</v>
      </c>
      <c r="D28" s="9">
        <v>477.46</v>
      </c>
      <c r="E28" s="9">
        <v>1.607</v>
      </c>
      <c r="F28" s="9">
        <v>1.607</v>
      </c>
      <c r="G28" s="9">
        <v>1.607</v>
      </c>
      <c r="H28" s="9">
        <v>84.257999999999996</v>
      </c>
      <c r="I28" s="9">
        <v>44.075000000000003</v>
      </c>
      <c r="J28" s="9">
        <f t="shared" si="15"/>
        <v>44.075000000000003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/>
      <c r="W28" s="9"/>
      <c r="X28" s="9"/>
    </row>
    <row r="29" spans="1:24">
      <c r="A29" s="2" t="s">
        <v>43</v>
      </c>
      <c r="C29" s="9"/>
      <c r="D29" s="9">
        <v>0</v>
      </c>
      <c r="E29" s="9">
        <v>0</v>
      </c>
      <c r="F29" s="9">
        <v>0</v>
      </c>
      <c r="G29" s="9">
        <v>43.966999999999999</v>
      </c>
      <c r="H29" s="9">
        <v>141.23599999999999</v>
      </c>
      <c r="I29" s="9">
        <v>0</v>
      </c>
      <c r="J29" s="9">
        <f t="shared" si="15"/>
        <v>0</v>
      </c>
      <c r="K29" s="9">
        <f>J29</f>
        <v>0</v>
      </c>
      <c r="L29" s="9">
        <f t="shared" ref="L29:U29" si="22">K29</f>
        <v>0</v>
      </c>
      <c r="M29" s="9">
        <f t="shared" si="22"/>
        <v>0</v>
      </c>
      <c r="N29" s="9">
        <f t="shared" si="22"/>
        <v>0</v>
      </c>
      <c r="O29" s="9">
        <f t="shared" si="22"/>
        <v>0</v>
      </c>
      <c r="P29" s="9">
        <f t="shared" si="22"/>
        <v>0</v>
      </c>
      <c r="Q29" s="9">
        <f t="shared" si="22"/>
        <v>0</v>
      </c>
      <c r="R29" s="9">
        <f t="shared" si="22"/>
        <v>0</v>
      </c>
      <c r="S29" s="9">
        <f t="shared" si="22"/>
        <v>0</v>
      </c>
      <c r="T29" s="9">
        <f t="shared" si="22"/>
        <v>0</v>
      </c>
      <c r="U29" s="9">
        <f t="shared" si="22"/>
        <v>0</v>
      </c>
      <c r="V29" s="9"/>
      <c r="W29" s="9"/>
      <c r="X29" s="9"/>
    </row>
    <row r="30" spans="1:24">
      <c r="A30" s="2" t="s">
        <v>22</v>
      </c>
      <c r="C30" s="9"/>
      <c r="D30" s="9">
        <f>571.803-SUM(D27:D29)</f>
        <v>14.342999999999961</v>
      </c>
      <c r="E30" s="9">
        <f>43.533-SUM(E27:E29)</f>
        <v>1.9220000000000041</v>
      </c>
      <c r="F30" s="9">
        <v>1.9219999999999999</v>
      </c>
      <c r="G30" s="9">
        <v>1.9219999999999999</v>
      </c>
      <c r="H30" s="9">
        <f>267.242-SUM(H27:H29)</f>
        <v>1.7400000000000659</v>
      </c>
      <c r="I30" s="9">
        <v>1.704</v>
      </c>
      <c r="J30" s="9">
        <f t="shared" si="15"/>
        <v>1.704</v>
      </c>
      <c r="K30" s="9">
        <f>J30</f>
        <v>1.704</v>
      </c>
      <c r="L30" s="9">
        <f t="shared" ref="L30:U30" si="23">K30</f>
        <v>1.704</v>
      </c>
      <c r="M30" s="9">
        <f t="shared" si="23"/>
        <v>1.704</v>
      </c>
      <c r="N30" s="9">
        <f t="shared" si="23"/>
        <v>1.704</v>
      </c>
      <c r="O30" s="9">
        <f t="shared" si="23"/>
        <v>1.704</v>
      </c>
      <c r="P30" s="9">
        <f t="shared" si="23"/>
        <v>1.704</v>
      </c>
      <c r="Q30" s="9">
        <f t="shared" si="23"/>
        <v>1.704</v>
      </c>
      <c r="R30" s="9">
        <f t="shared" si="23"/>
        <v>1.704</v>
      </c>
      <c r="S30" s="9">
        <f t="shared" si="23"/>
        <v>1.704</v>
      </c>
      <c r="T30" s="9">
        <f t="shared" si="23"/>
        <v>1.704</v>
      </c>
      <c r="U30" s="9">
        <f t="shared" si="23"/>
        <v>1.704</v>
      </c>
      <c r="V30" s="9"/>
      <c r="W30" s="9"/>
      <c r="X30" s="9"/>
    </row>
    <row r="31" spans="1:24" ht="4.5" customHeight="1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>
      <c r="A32" s="5" t="s">
        <v>24</v>
      </c>
      <c r="C32" s="11">
        <v>981.14700000000005</v>
      </c>
      <c r="D32" s="11">
        <v>1219.837</v>
      </c>
      <c r="E32" s="11">
        <v>1415.165</v>
      </c>
      <c r="F32" s="11">
        <v>1427.0740000000001</v>
      </c>
      <c r="G32" s="11">
        <v>1453.829</v>
      </c>
      <c r="H32" s="11">
        <v>1472.8209999999999</v>
      </c>
      <c r="I32" s="11">
        <v>1676.1189999999999</v>
      </c>
      <c r="J32" s="11">
        <f t="shared" si="15"/>
        <v>1676.1189999999999</v>
      </c>
      <c r="K32" s="11">
        <f>J32+K66+K99+K103</f>
        <v>2101.1460732212468</v>
      </c>
      <c r="L32" s="11">
        <f t="shared" ref="L32:U32" si="24">K32+L66+L99+L103</f>
        <v>2416.3715091620843</v>
      </c>
      <c r="M32" s="11">
        <f t="shared" si="24"/>
        <v>2711.0177018792651</v>
      </c>
      <c r="N32" s="11">
        <f t="shared" si="24"/>
        <v>3077.245774630283</v>
      </c>
      <c r="O32" s="11">
        <f t="shared" si="24"/>
        <v>3494.9401911458517</v>
      </c>
      <c r="P32" s="11">
        <f t="shared" si="24"/>
        <v>3978.523447045955</v>
      </c>
      <c r="Q32" s="11">
        <f t="shared" si="24"/>
        <v>4492.7984718695379</v>
      </c>
      <c r="R32" s="11">
        <f t="shared" si="24"/>
        <v>5000.7037920710536</v>
      </c>
      <c r="S32" s="11">
        <f t="shared" si="24"/>
        <v>5502.3163035154375</v>
      </c>
      <c r="T32" s="11">
        <f t="shared" si="24"/>
        <v>5822.5478206981197</v>
      </c>
      <c r="U32" s="11">
        <f t="shared" si="24"/>
        <v>6013.4737026417506</v>
      </c>
      <c r="V32" s="9"/>
      <c r="W32" s="9"/>
      <c r="X32" s="9"/>
    </row>
    <row r="33" spans="1:24" ht="3.75" customHeight="1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2.75" thickBot="1">
      <c r="A34" s="18" t="s">
        <v>44</v>
      </c>
      <c r="B34" s="22"/>
      <c r="C34" s="25">
        <f t="shared" ref="C34:K34" si="25">C32+C26+C20</f>
        <v>1243.085</v>
      </c>
      <c r="D34" s="25">
        <f t="shared" si="25"/>
        <v>2055.0509999999999</v>
      </c>
      <c r="E34" s="25">
        <f t="shared" si="25"/>
        <v>1573.0219999999999</v>
      </c>
      <c r="F34" s="25">
        <f t="shared" si="25"/>
        <v>1597.2830000000001</v>
      </c>
      <c r="G34" s="25">
        <f t="shared" si="25"/>
        <v>1655.57</v>
      </c>
      <c r="H34" s="25">
        <f t="shared" si="25"/>
        <v>1856.9689999999998</v>
      </c>
      <c r="I34" s="25">
        <f t="shared" si="25"/>
        <v>1999.0529999999999</v>
      </c>
      <c r="J34" s="25">
        <f>I34</f>
        <v>1999.0529999999999</v>
      </c>
      <c r="K34" s="25">
        <f t="shared" si="25"/>
        <v>3141.4370732212469</v>
      </c>
      <c r="L34" s="25">
        <f t="shared" ref="L34:U34" si="26">L32+L26+L20</f>
        <v>3841.7906931278731</v>
      </c>
      <c r="M34" s="25">
        <f t="shared" si="26"/>
        <v>4268.7342833191242</v>
      </c>
      <c r="N34" s="25">
        <f t="shared" si="26"/>
        <v>4787.1639752382916</v>
      </c>
      <c r="O34" s="25">
        <f t="shared" si="26"/>
        <v>4975.0512408866498</v>
      </c>
      <c r="P34" s="25">
        <f t="shared" si="26"/>
        <v>5249.408667691815</v>
      </c>
      <c r="Q34" s="25">
        <f t="shared" si="26"/>
        <v>5523.6451051469976</v>
      </c>
      <c r="R34" s="25">
        <f t="shared" si="26"/>
        <v>6070.6965287306339</v>
      </c>
      <c r="S34" s="25">
        <f t="shared" si="26"/>
        <v>6603.9841039027269</v>
      </c>
      <c r="T34" s="25">
        <f t="shared" si="26"/>
        <v>6980.4522297038966</v>
      </c>
      <c r="U34" s="25">
        <f t="shared" si="26"/>
        <v>7229.4237239666691</v>
      </c>
      <c r="V34" s="9"/>
      <c r="W34" s="9"/>
      <c r="X34" s="9"/>
    </row>
    <row r="35" spans="1:24" ht="5.25" customHeight="1">
      <c r="C35" s="9"/>
      <c r="D35" s="9"/>
      <c r="E35" s="9"/>
      <c r="F35" s="9"/>
      <c r="G35" s="9"/>
      <c r="H35" s="9"/>
      <c r="I35" s="9"/>
      <c r="J35" s="1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>
      <c r="A36" s="2" t="s">
        <v>25</v>
      </c>
      <c r="C36" s="9">
        <f t="shared" ref="C36:K36" si="27">C5-C34</f>
        <v>0</v>
      </c>
      <c r="D36" s="9">
        <f t="shared" si="27"/>
        <v>0</v>
      </c>
      <c r="E36" s="9">
        <f t="shared" si="27"/>
        <v>0</v>
      </c>
      <c r="F36" s="9">
        <f t="shared" si="27"/>
        <v>0</v>
      </c>
      <c r="G36" s="9">
        <f t="shared" si="27"/>
        <v>0</v>
      </c>
      <c r="H36" s="9">
        <f t="shared" si="27"/>
        <v>0</v>
      </c>
      <c r="I36" s="9">
        <f t="shared" si="27"/>
        <v>0</v>
      </c>
      <c r="J36" s="9">
        <f t="shared" si="27"/>
        <v>0</v>
      </c>
      <c r="K36" s="9">
        <f t="shared" si="27"/>
        <v>0</v>
      </c>
      <c r="L36" s="9">
        <f t="shared" ref="L36:U36" si="28">L5-L34</f>
        <v>0</v>
      </c>
      <c r="M36" s="9">
        <f t="shared" si="28"/>
        <v>0</v>
      </c>
      <c r="N36" s="9">
        <f t="shared" si="28"/>
        <v>0</v>
      </c>
      <c r="O36" s="9">
        <f t="shared" si="28"/>
        <v>0</v>
      </c>
      <c r="P36" s="9">
        <f t="shared" si="28"/>
        <v>0</v>
      </c>
      <c r="Q36" s="9">
        <f t="shared" si="28"/>
        <v>0</v>
      </c>
      <c r="R36" s="9">
        <f t="shared" si="28"/>
        <v>0</v>
      </c>
      <c r="S36" s="9">
        <f t="shared" si="28"/>
        <v>0</v>
      </c>
      <c r="T36" s="9">
        <f t="shared" si="28"/>
        <v>0</v>
      </c>
      <c r="U36" s="9">
        <f t="shared" si="28"/>
        <v>0</v>
      </c>
      <c r="V36" s="9"/>
      <c r="W36" s="9"/>
      <c r="X36" s="9"/>
    </row>
    <row r="37" spans="1:24">
      <c r="C37" s="9"/>
      <c r="D37" s="9"/>
      <c r="E37" s="9"/>
      <c r="F37" s="9"/>
      <c r="G37" s="9"/>
      <c r="H37" s="9"/>
      <c r="I37" s="9"/>
      <c r="J37" s="1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>
      <c r="C38" s="9" t="s">
        <v>0</v>
      </c>
      <c r="D38" s="3" t="s">
        <v>1</v>
      </c>
      <c r="E38" s="3" t="s">
        <v>1</v>
      </c>
      <c r="F38" s="3" t="s">
        <v>1</v>
      </c>
      <c r="G38" s="3" t="s">
        <v>1</v>
      </c>
      <c r="H38" s="3" t="s">
        <v>1</v>
      </c>
      <c r="I38" s="9"/>
      <c r="J38" s="10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>
      <c r="A39" s="23" t="s">
        <v>198</v>
      </c>
      <c r="B39" s="23"/>
      <c r="C39" s="24">
        <f t="shared" ref="C39:P39" si="29">C3</f>
        <v>2008</v>
      </c>
      <c r="D39" s="24">
        <f t="shared" si="29"/>
        <v>2009</v>
      </c>
      <c r="E39" s="24">
        <f t="shared" si="29"/>
        <v>2010</v>
      </c>
      <c r="F39" s="4" t="str">
        <f t="shared" si="29"/>
        <v>1T11</v>
      </c>
      <c r="G39" s="4" t="str">
        <f t="shared" si="29"/>
        <v>2T11</v>
      </c>
      <c r="H39" s="4" t="str">
        <f t="shared" si="29"/>
        <v>3T11</v>
      </c>
      <c r="I39" s="4" t="str">
        <f t="shared" si="29"/>
        <v>4T11</v>
      </c>
      <c r="J39" s="24">
        <f t="shared" si="29"/>
        <v>2011</v>
      </c>
      <c r="K39" s="24" t="str">
        <f t="shared" si="29"/>
        <v>2012E</v>
      </c>
      <c r="L39" s="24" t="str">
        <f t="shared" si="29"/>
        <v>2013E</v>
      </c>
      <c r="M39" s="24" t="str">
        <f t="shared" si="29"/>
        <v>2014E</v>
      </c>
      <c r="N39" s="24" t="str">
        <f t="shared" si="29"/>
        <v>2015E</v>
      </c>
      <c r="O39" s="24" t="str">
        <f t="shared" si="29"/>
        <v>2016E</v>
      </c>
      <c r="P39" s="24" t="str">
        <f t="shared" si="29"/>
        <v>2017E</v>
      </c>
      <c r="Q39" s="24" t="str">
        <f t="shared" ref="Q39:U39" si="30">Q3</f>
        <v>2018E</v>
      </c>
      <c r="R39" s="24" t="str">
        <f t="shared" si="30"/>
        <v>2019E</v>
      </c>
      <c r="S39" s="24" t="str">
        <f t="shared" si="30"/>
        <v>2020E</v>
      </c>
      <c r="T39" s="24" t="str">
        <f t="shared" si="30"/>
        <v>2021E</v>
      </c>
      <c r="U39" s="24" t="str">
        <f t="shared" si="30"/>
        <v>2022E</v>
      </c>
      <c r="V39" s="9"/>
      <c r="W39" s="9"/>
      <c r="X39" s="9"/>
    </row>
    <row r="40" spans="1:24" hidden="1" outlineLevel="1">
      <c r="A40" s="5" t="s">
        <v>26</v>
      </c>
      <c r="B40" s="5"/>
      <c r="C40" s="11"/>
      <c r="D40" s="11"/>
      <c r="E40" s="11"/>
      <c r="F40" s="11"/>
      <c r="G40" s="11"/>
      <c r="H40" s="11"/>
      <c r="I40" s="11"/>
      <c r="J40" s="17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9"/>
      <c r="W40" s="9"/>
      <c r="X40" s="9"/>
    </row>
    <row r="41" spans="1:24" ht="3.75" hidden="1" customHeight="1" outlineLevel="1">
      <c r="C41" s="9"/>
      <c r="D41" s="9"/>
      <c r="E41" s="9"/>
      <c r="F41" s="9"/>
      <c r="G41" s="9"/>
      <c r="H41" s="9"/>
      <c r="I41" s="9"/>
      <c r="J41" s="10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idden="1" outlineLevel="1">
      <c r="A42" s="2" t="s">
        <v>27</v>
      </c>
      <c r="C42" s="9"/>
      <c r="D42" s="9"/>
      <c r="E42" s="9"/>
      <c r="F42" s="9"/>
      <c r="G42" s="9"/>
      <c r="H42" s="9"/>
      <c r="I42" s="9"/>
      <c r="J42" s="10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3.75" hidden="1" customHeight="1" outlineLevel="1">
      <c r="C43" s="9"/>
      <c r="D43" s="9"/>
      <c r="E43" s="9"/>
      <c r="F43" s="9"/>
      <c r="G43" s="9"/>
      <c r="H43" s="9"/>
      <c r="I43" s="9"/>
      <c r="J43" s="10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idden="1" outlineLevel="1">
      <c r="A44" s="5" t="s">
        <v>28</v>
      </c>
      <c r="B44" s="5"/>
      <c r="C44" s="11"/>
      <c r="D44" s="11"/>
      <c r="E44" s="11"/>
      <c r="F44" s="11"/>
      <c r="G44" s="11"/>
      <c r="H44" s="11"/>
      <c r="I44" s="11"/>
      <c r="J44" s="17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9"/>
      <c r="W44" s="9"/>
      <c r="X44" s="9"/>
    </row>
    <row r="45" spans="1:24" ht="5.25" hidden="1" customHeight="1" outlineLevel="1">
      <c r="C45" s="9"/>
      <c r="D45" s="9"/>
      <c r="E45" s="9"/>
      <c r="F45" s="9"/>
      <c r="G45" s="9"/>
      <c r="H45" s="9"/>
      <c r="I45" s="9"/>
      <c r="J45" s="10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idden="1" outlineLevel="1">
      <c r="A46" s="2" t="s">
        <v>45</v>
      </c>
      <c r="C46" s="9"/>
      <c r="D46" s="9"/>
      <c r="E46" s="9"/>
      <c r="F46" s="9"/>
      <c r="G46" s="9"/>
      <c r="H46" s="9"/>
      <c r="I46" s="9"/>
      <c r="J46" s="10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5.25" hidden="1" customHeight="1" outlineLevel="1">
      <c r="C47" s="9"/>
      <c r="D47" s="9"/>
      <c r="E47" s="9"/>
      <c r="F47" s="9"/>
      <c r="G47" s="9"/>
      <c r="H47" s="9"/>
      <c r="I47" s="9"/>
      <c r="J47" s="10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idden="1" outlineLevel="1">
      <c r="A48" s="5" t="s">
        <v>29</v>
      </c>
      <c r="C48" s="9"/>
      <c r="D48" s="9"/>
      <c r="E48" s="9"/>
      <c r="F48" s="9"/>
      <c r="G48" s="9"/>
      <c r="H48" s="9"/>
      <c r="I48" s="9"/>
      <c r="J48" s="10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idden="1" outlineLevel="1">
      <c r="C49" s="9"/>
      <c r="D49" s="9"/>
      <c r="E49" s="9"/>
      <c r="F49" s="9"/>
      <c r="G49" s="9"/>
      <c r="H49" s="9"/>
      <c r="I49" s="9"/>
      <c r="J49" s="10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collapsed="1">
      <c r="A50" s="2" t="s">
        <v>30</v>
      </c>
      <c r="C50" s="9">
        <v>-1.7410000000000001</v>
      </c>
      <c r="D50" s="9">
        <v>-2.6520000000000001</v>
      </c>
      <c r="E50" s="9">
        <v>-2.847</v>
      </c>
      <c r="F50" s="9">
        <v>-0.32600000000000001</v>
      </c>
      <c r="G50" s="9">
        <v>-0.28000000000000003</v>
      </c>
      <c r="H50" s="9">
        <v>-0.14299999999999999</v>
      </c>
      <c r="I50" s="9"/>
      <c r="J50" s="10">
        <v>-2.74</v>
      </c>
      <c r="K50" s="135">
        <f>J50*(1+(Cenário!W9/100))</f>
        <v>-2.8824800000000002</v>
      </c>
      <c r="L50" s="135">
        <f>K50*(1+(Cenário!X9/100))</f>
        <v>-3.0352514400000001</v>
      </c>
      <c r="M50" s="135">
        <f>L50*(1+(Cenário!Y9/100))</f>
        <v>-3.1870140120000001</v>
      </c>
      <c r="N50" s="135">
        <f>M50*(1+(Cenário!Z9/100))</f>
        <v>-3.3463647126000002</v>
      </c>
      <c r="O50" s="135">
        <f>N50*(1+(Cenário!AA9/100))</f>
        <v>-3.496951124667</v>
      </c>
      <c r="P50" s="135">
        <f>O50*(1+(Cenário!AB9/100))</f>
        <v>-3.6543139252770147</v>
      </c>
      <c r="Q50" s="135">
        <f>P50*(1+(Cenário!AC9/100))</f>
        <v>-3.8187580519144801</v>
      </c>
      <c r="R50" s="135">
        <f>Q50*(1+(Cenário!AD9/100))</f>
        <v>-3.9906021642506313</v>
      </c>
      <c r="S50" s="135">
        <f>R50*(1+(Cenário!AE9/100))</f>
        <v>-4.1701792616419091</v>
      </c>
      <c r="T50" s="135">
        <f>S50*(1+(Cenário!AF9/100))</f>
        <v>-4.357837328415795</v>
      </c>
      <c r="U50" s="135">
        <f>T50*(1+(Cenário!AG9/100))</f>
        <v>-4.5539400081945054</v>
      </c>
      <c r="V50" s="9"/>
      <c r="W50" s="9"/>
      <c r="X50" s="9"/>
    </row>
    <row r="51" spans="1:24">
      <c r="A51" s="2" t="s">
        <v>46</v>
      </c>
      <c r="C51" s="9">
        <v>104.657</v>
      </c>
      <c r="D51" s="9">
        <v>528.80499999999995</v>
      </c>
      <c r="E51" s="9">
        <v>529.11599999999999</v>
      </c>
      <c r="F51" s="9">
        <v>14.861000000000001</v>
      </c>
      <c r="G51" s="9">
        <v>35.436</v>
      </c>
      <c r="H51" s="9">
        <v>86.768000000000001</v>
      </c>
      <c r="I51" s="9"/>
      <c r="J51" s="10">
        <v>263.52499999999998</v>
      </c>
      <c r="K51" s="9">
        <f>'AG Concessões'!G65*0.85</f>
        <v>515.29690397124693</v>
      </c>
      <c r="L51" s="9">
        <f>'AG Concessões'!H65*0.85</f>
        <v>563.73797631321168</v>
      </c>
      <c r="M51" s="9">
        <f>'AG Concessões'!I65*0.85</f>
        <v>626.9254194655274</v>
      </c>
      <c r="N51" s="9">
        <f>'AG Concessões'!J65*0.85</f>
        <v>709.62323156561126</v>
      </c>
      <c r="O51" s="9">
        <f>'AG Concessões'!K65*0.85</f>
        <v>787.66712370841549</v>
      </c>
      <c r="P51" s="9">
        <f>'AG Concessões'!L65*0.85</f>
        <v>867.7858265774023</v>
      </c>
      <c r="Q51" s="9">
        <f>'AG Concessões'!M65*0.85</f>
        <v>952.9419281116775</v>
      </c>
      <c r="R51" s="9">
        <f>'AG Concessões'!N65*0.85</f>
        <v>1074.3827867108002</v>
      </c>
      <c r="S51" s="9">
        <f>'AG Concessões'!O65*0.85</f>
        <v>1189.1003888193495</v>
      </c>
      <c r="T51" s="9">
        <f>'AG Concessões'!P65*0.85</f>
        <v>1185.1219280837306</v>
      </c>
      <c r="U51" s="9">
        <f>'AG Concessões'!Q65*0.85</f>
        <v>1165.1601245415177</v>
      </c>
      <c r="V51" s="9"/>
      <c r="W51" s="9"/>
      <c r="X51" s="9"/>
    </row>
    <row r="52" spans="1:24">
      <c r="A52" s="2" t="s">
        <v>47</v>
      </c>
      <c r="C52" s="9"/>
      <c r="D52" s="9">
        <f>0.286+0.113</f>
        <v>0.39899999999999997</v>
      </c>
      <c r="E52" s="9">
        <v>34.859000000000002</v>
      </c>
      <c r="F52" s="9">
        <v>0</v>
      </c>
      <c r="G52" s="9">
        <v>0.97899999999999998</v>
      </c>
      <c r="H52" s="9">
        <v>0</v>
      </c>
      <c r="I52" s="9"/>
      <c r="J52" s="10">
        <v>0.89</v>
      </c>
      <c r="K52" s="135">
        <v>1</v>
      </c>
      <c r="L52" s="135">
        <f t="shared" ref="L52:U52" si="31">K52</f>
        <v>1</v>
      </c>
      <c r="M52" s="135">
        <f t="shared" si="31"/>
        <v>1</v>
      </c>
      <c r="N52" s="135">
        <f t="shared" si="31"/>
        <v>1</v>
      </c>
      <c r="O52" s="135">
        <f t="shared" si="31"/>
        <v>1</v>
      </c>
      <c r="P52" s="135">
        <f t="shared" si="31"/>
        <v>1</v>
      </c>
      <c r="Q52" s="135">
        <f t="shared" si="31"/>
        <v>1</v>
      </c>
      <c r="R52" s="135">
        <f t="shared" si="31"/>
        <v>1</v>
      </c>
      <c r="S52" s="135">
        <f t="shared" si="31"/>
        <v>1</v>
      </c>
      <c r="T52" s="135">
        <f t="shared" si="31"/>
        <v>1</v>
      </c>
      <c r="U52" s="135">
        <f t="shared" si="31"/>
        <v>1</v>
      </c>
      <c r="V52" s="9"/>
      <c r="W52" s="9"/>
      <c r="X52" s="9"/>
    </row>
    <row r="53" spans="1:24">
      <c r="A53" s="2" t="s">
        <v>48</v>
      </c>
      <c r="C53" s="9">
        <v>-65.864999999999995</v>
      </c>
      <c r="D53" s="9">
        <v>-8.6050000000000004</v>
      </c>
      <c r="E53" s="9">
        <v>-237.66300000000001</v>
      </c>
      <c r="F53" s="9">
        <v>-1E-3</v>
      </c>
      <c r="G53" s="9">
        <v>0</v>
      </c>
      <c r="H53" s="9">
        <v>0</v>
      </c>
      <c r="I53" s="9"/>
      <c r="J53" s="10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3" customHeight="1">
      <c r="C54" s="9"/>
      <c r="D54" s="9"/>
      <c r="E54" s="9"/>
      <c r="F54" s="9"/>
      <c r="G54" s="9"/>
      <c r="H54" s="9"/>
      <c r="I54" s="9"/>
      <c r="J54" s="10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>
      <c r="A55" s="5" t="s">
        <v>49</v>
      </c>
      <c r="C55" s="11">
        <f t="shared" ref="C55:U55" si="32">SUM(C50:C53)</f>
        <v>37.051000000000002</v>
      </c>
      <c r="D55" s="11">
        <f t="shared" si="32"/>
        <v>517.94699999999989</v>
      </c>
      <c r="E55" s="11">
        <f t="shared" si="32"/>
        <v>323.46500000000003</v>
      </c>
      <c r="F55" s="11">
        <f t="shared" si="32"/>
        <v>14.534000000000001</v>
      </c>
      <c r="G55" s="11">
        <f t="shared" si="32"/>
        <v>36.134999999999998</v>
      </c>
      <c r="H55" s="11">
        <f t="shared" si="32"/>
        <v>86.625</v>
      </c>
      <c r="I55" s="11">
        <f>J55-H55-G55-F55</f>
        <v>124.38099999999996</v>
      </c>
      <c r="J55" s="11">
        <f t="shared" si="32"/>
        <v>261.67499999999995</v>
      </c>
      <c r="K55" s="11">
        <f t="shared" si="32"/>
        <v>513.41442397124695</v>
      </c>
      <c r="L55" s="11">
        <f t="shared" si="32"/>
        <v>561.70272487321165</v>
      </c>
      <c r="M55" s="11">
        <f t="shared" si="32"/>
        <v>624.73840545352743</v>
      </c>
      <c r="N55" s="11">
        <f t="shared" si="32"/>
        <v>707.27686685301126</v>
      </c>
      <c r="O55" s="11">
        <f t="shared" si="32"/>
        <v>785.17017258374847</v>
      </c>
      <c r="P55" s="11">
        <f t="shared" si="32"/>
        <v>865.13151265212525</v>
      </c>
      <c r="Q55" s="11">
        <f t="shared" si="32"/>
        <v>950.12317005976297</v>
      </c>
      <c r="R55" s="11">
        <f t="shared" si="32"/>
        <v>1071.3921845465495</v>
      </c>
      <c r="S55" s="11">
        <f t="shared" si="32"/>
        <v>1185.9302095577077</v>
      </c>
      <c r="T55" s="11">
        <f t="shared" si="32"/>
        <v>1181.7640907553148</v>
      </c>
      <c r="U55" s="11">
        <f t="shared" si="32"/>
        <v>1161.6061845333231</v>
      </c>
      <c r="V55" s="9"/>
      <c r="W55" s="9"/>
      <c r="X55" s="9"/>
    </row>
    <row r="56" spans="1:24" ht="3.75" customHeight="1">
      <c r="C56" s="9"/>
      <c r="D56" s="9"/>
      <c r="E56" s="9"/>
      <c r="F56" s="9"/>
      <c r="G56" s="9"/>
      <c r="H56" s="9"/>
      <c r="I56" s="9"/>
      <c r="J56" s="10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idden="1" outlineLevel="1">
      <c r="A57" s="2" t="s">
        <v>50</v>
      </c>
      <c r="C57" s="9"/>
      <c r="D57" s="9"/>
      <c r="E57" s="9"/>
      <c r="F57" s="9"/>
      <c r="G57" s="9"/>
      <c r="H57" s="9"/>
      <c r="I57" s="9"/>
      <c r="J57" s="10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3" hidden="1" customHeight="1" outlineLevel="1">
      <c r="C58" s="9"/>
      <c r="D58" s="9"/>
      <c r="E58" s="9"/>
      <c r="F58" s="9"/>
      <c r="G58" s="9"/>
      <c r="H58" s="9"/>
      <c r="I58" s="9"/>
      <c r="J58" s="10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idden="1" outlineLevel="1">
      <c r="A59" s="5" t="s">
        <v>31</v>
      </c>
      <c r="C59" s="9"/>
      <c r="D59" s="9"/>
      <c r="E59" s="9"/>
      <c r="F59" s="9"/>
      <c r="G59" s="9"/>
      <c r="H59" s="9"/>
      <c r="I59" s="9"/>
      <c r="J59" s="10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3.75" hidden="1" customHeight="1" outlineLevel="1">
      <c r="C60" s="9"/>
      <c r="D60" s="9"/>
      <c r="E60" s="9"/>
      <c r="F60" s="9"/>
      <c r="G60" s="9"/>
      <c r="H60" s="9"/>
      <c r="I60" s="9"/>
      <c r="J60" s="10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collapsed="1">
      <c r="A61" s="2" t="s">
        <v>51</v>
      </c>
      <c r="C61" s="9">
        <v>-27.619</v>
      </c>
      <c r="D61" s="9">
        <v>-20.863</v>
      </c>
      <c r="E61" s="9">
        <v>-12.48</v>
      </c>
      <c r="F61" s="9">
        <v>-4.9119999999999999</v>
      </c>
      <c r="G61" s="9">
        <v>-2.3959999999999999</v>
      </c>
      <c r="H61" s="9">
        <v>-10.36</v>
      </c>
      <c r="I61" s="9">
        <f>J61-H61-G61-F61</f>
        <v>-5.5609999999999991</v>
      </c>
      <c r="J61" s="10">
        <v>-23.228999999999999</v>
      </c>
      <c r="K61" s="9">
        <f>K112</f>
        <v>-28.77585075</v>
      </c>
      <c r="L61" s="9">
        <f t="shared" ref="L61:U61" si="33">L112</f>
        <v>-101.08571696599999</v>
      </c>
      <c r="M61" s="9">
        <f t="shared" si="33"/>
        <v>-145.84540957346184</v>
      </c>
      <c r="N61" s="9">
        <f>N112</f>
        <v>-149.49159574996719</v>
      </c>
      <c r="O61" s="9">
        <f t="shared" si="33"/>
        <v>-144.36164762696239</v>
      </c>
      <c r="P61" s="9">
        <f t="shared" si="33"/>
        <v>-125.22484676930731</v>
      </c>
      <c r="Q61" s="9">
        <f t="shared" si="33"/>
        <v>-102.89014558891127</v>
      </c>
      <c r="R61" s="9">
        <f t="shared" si="33"/>
        <v>-97.508700886065498</v>
      </c>
      <c r="S61" s="9">
        <f t="shared" si="33"/>
        <v>-99.987607917034083</v>
      </c>
      <c r="T61" s="9">
        <f t="shared" si="33"/>
        <v>-101.37275242416088</v>
      </c>
      <c r="U61" s="9">
        <f t="shared" si="33"/>
        <v>-106.36723192476869</v>
      </c>
      <c r="V61" s="9"/>
      <c r="W61" s="9"/>
      <c r="X61" s="9"/>
    </row>
    <row r="62" spans="1:24" ht="8.25" customHeight="1">
      <c r="C62" s="9"/>
      <c r="D62" s="9"/>
      <c r="E62" s="9"/>
      <c r="F62" s="9"/>
      <c r="G62" s="9"/>
      <c r="H62" s="9"/>
      <c r="I62" s="9"/>
      <c r="J62" s="10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>
      <c r="A63" s="5" t="s">
        <v>32</v>
      </c>
      <c r="C63" s="11">
        <f t="shared" ref="C63:U63" si="34">+C55+C61</f>
        <v>9.4320000000000022</v>
      </c>
      <c r="D63" s="11">
        <f t="shared" si="34"/>
        <v>497.08399999999989</v>
      </c>
      <c r="E63" s="11">
        <f t="shared" si="34"/>
        <v>310.98500000000001</v>
      </c>
      <c r="F63" s="11">
        <f t="shared" si="34"/>
        <v>9.6219999999999999</v>
      </c>
      <c r="G63" s="11">
        <f t="shared" si="34"/>
        <v>33.738999999999997</v>
      </c>
      <c r="H63" s="11">
        <f t="shared" si="34"/>
        <v>76.265000000000001</v>
      </c>
      <c r="I63" s="11">
        <f t="shared" si="34"/>
        <v>118.81999999999996</v>
      </c>
      <c r="J63" s="11">
        <f t="shared" si="34"/>
        <v>238.44599999999997</v>
      </c>
      <c r="K63" s="11">
        <f t="shared" si="34"/>
        <v>484.63857322124693</v>
      </c>
      <c r="L63" s="11">
        <f t="shared" si="34"/>
        <v>460.61700790721164</v>
      </c>
      <c r="M63" s="11">
        <f t="shared" si="34"/>
        <v>478.8929958800656</v>
      </c>
      <c r="N63" s="11">
        <f t="shared" si="34"/>
        <v>557.78527110304412</v>
      </c>
      <c r="O63" s="11">
        <f t="shared" si="34"/>
        <v>640.80852495678607</v>
      </c>
      <c r="P63" s="11">
        <f t="shared" si="34"/>
        <v>739.90666588281795</v>
      </c>
      <c r="Q63" s="11">
        <f t="shared" si="34"/>
        <v>847.23302447085166</v>
      </c>
      <c r="R63" s="11">
        <f t="shared" si="34"/>
        <v>973.88348366048399</v>
      </c>
      <c r="S63" s="11">
        <f t="shared" si="34"/>
        <v>1085.9426016406737</v>
      </c>
      <c r="T63" s="11">
        <f t="shared" si="34"/>
        <v>1080.391338331154</v>
      </c>
      <c r="U63" s="11">
        <f t="shared" si="34"/>
        <v>1055.2389526085544</v>
      </c>
      <c r="V63" s="9"/>
      <c r="W63" s="9"/>
      <c r="X63" s="9"/>
    </row>
    <row r="64" spans="1:24">
      <c r="A64" s="2" t="s">
        <v>23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10">
        <v>0</v>
      </c>
      <c r="K64" s="9">
        <f>J64</f>
        <v>0</v>
      </c>
      <c r="L64" s="9">
        <f t="shared" ref="L64:U64" si="35">K64</f>
        <v>0</v>
      </c>
      <c r="M64" s="9">
        <f t="shared" si="35"/>
        <v>0</v>
      </c>
      <c r="N64" s="9">
        <f t="shared" si="35"/>
        <v>0</v>
      </c>
      <c r="O64" s="9">
        <f t="shared" si="35"/>
        <v>0</v>
      </c>
      <c r="P64" s="9">
        <f t="shared" si="35"/>
        <v>0</v>
      </c>
      <c r="Q64" s="9">
        <f t="shared" si="35"/>
        <v>0</v>
      </c>
      <c r="R64" s="9">
        <f t="shared" si="35"/>
        <v>0</v>
      </c>
      <c r="S64" s="9">
        <f t="shared" si="35"/>
        <v>0</v>
      </c>
      <c r="T64" s="9">
        <f t="shared" si="35"/>
        <v>0</v>
      </c>
      <c r="U64" s="9">
        <f t="shared" si="35"/>
        <v>0</v>
      </c>
      <c r="V64" s="9"/>
      <c r="W64" s="9"/>
      <c r="X64" s="9"/>
    </row>
    <row r="65" spans="1:24">
      <c r="C65" s="9"/>
      <c r="D65" s="9"/>
      <c r="E65" s="9"/>
      <c r="F65" s="9"/>
      <c r="G65" s="9"/>
      <c r="H65" s="9"/>
      <c r="I65" s="9"/>
      <c r="J65" s="10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2.75" thickBot="1">
      <c r="A66" s="18" t="s">
        <v>33</v>
      </c>
      <c r="B66" s="22"/>
      <c r="C66" s="25">
        <f t="shared" ref="C66:U66" si="36">C63+C64</f>
        <v>9.4320000000000022</v>
      </c>
      <c r="D66" s="25">
        <f t="shared" si="36"/>
        <v>497.08399999999989</v>
      </c>
      <c r="E66" s="25">
        <f t="shared" si="36"/>
        <v>310.98500000000001</v>
      </c>
      <c r="F66" s="25">
        <f t="shared" si="36"/>
        <v>9.6219999999999999</v>
      </c>
      <c r="G66" s="25">
        <f t="shared" si="36"/>
        <v>33.738999999999997</v>
      </c>
      <c r="H66" s="25">
        <f t="shared" si="36"/>
        <v>76.265000000000001</v>
      </c>
      <c r="I66" s="25">
        <f t="shared" si="36"/>
        <v>118.81999999999996</v>
      </c>
      <c r="J66" s="25">
        <f t="shared" si="36"/>
        <v>238.44599999999997</v>
      </c>
      <c r="K66" s="25">
        <f t="shared" si="36"/>
        <v>484.63857322124693</v>
      </c>
      <c r="L66" s="25">
        <f t="shared" si="36"/>
        <v>460.61700790721164</v>
      </c>
      <c r="M66" s="25">
        <f t="shared" si="36"/>
        <v>478.8929958800656</v>
      </c>
      <c r="N66" s="25">
        <f t="shared" si="36"/>
        <v>557.78527110304412</v>
      </c>
      <c r="O66" s="25">
        <f t="shared" si="36"/>
        <v>640.80852495678607</v>
      </c>
      <c r="P66" s="25">
        <f t="shared" si="36"/>
        <v>739.90666588281795</v>
      </c>
      <c r="Q66" s="25">
        <f t="shared" si="36"/>
        <v>847.23302447085166</v>
      </c>
      <c r="R66" s="25">
        <f t="shared" si="36"/>
        <v>973.88348366048399</v>
      </c>
      <c r="S66" s="25">
        <f t="shared" si="36"/>
        <v>1085.9426016406737</v>
      </c>
      <c r="T66" s="25">
        <f t="shared" si="36"/>
        <v>1080.391338331154</v>
      </c>
      <c r="U66" s="25">
        <f t="shared" si="36"/>
        <v>1055.2389526085544</v>
      </c>
      <c r="V66" s="9"/>
      <c r="W66" s="9"/>
      <c r="X66" s="9"/>
    </row>
    <row r="67" spans="1:24" ht="5.25" customHeight="1">
      <c r="A67" s="21"/>
      <c r="B67" s="1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9"/>
      <c r="W67" s="9"/>
      <c r="X67" s="9"/>
    </row>
    <row r="68" spans="1:24">
      <c r="A68" s="128" t="s">
        <v>183</v>
      </c>
      <c r="B68" s="19"/>
      <c r="C68" s="30"/>
      <c r="D68" s="127"/>
      <c r="E68" s="127"/>
      <c r="F68" s="127"/>
      <c r="G68" s="127"/>
      <c r="H68" s="127"/>
      <c r="I68" s="127"/>
      <c r="J68" s="127">
        <f>J103/E66</f>
        <v>0.3089409457047767</v>
      </c>
      <c r="K68" s="127">
        <v>0.25</v>
      </c>
      <c r="L68" s="127">
        <v>0.3</v>
      </c>
      <c r="M68" s="127">
        <v>0.4</v>
      </c>
      <c r="N68" s="127">
        <v>0.4</v>
      </c>
      <c r="O68" s="127">
        <v>0.4</v>
      </c>
      <c r="P68" s="127">
        <v>0.4</v>
      </c>
      <c r="Q68" s="127">
        <v>0.45</v>
      </c>
      <c r="R68" s="127">
        <v>0.55000000000000004</v>
      </c>
      <c r="S68" s="127">
        <v>0.6</v>
      </c>
      <c r="T68" s="127">
        <v>0.7</v>
      </c>
      <c r="U68" s="127">
        <v>0.8</v>
      </c>
      <c r="V68" s="9"/>
      <c r="W68" s="9"/>
      <c r="X68" s="9"/>
    </row>
    <row r="69" spans="1:24" ht="6" customHeight="1">
      <c r="C69" s="9"/>
      <c r="D69" s="9"/>
      <c r="E69" s="9"/>
      <c r="F69" s="9"/>
      <c r="G69" s="9"/>
      <c r="H69" s="9"/>
      <c r="I69" s="9"/>
      <c r="J69" s="10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outlineLevel="1">
      <c r="A70" s="23" t="s">
        <v>19</v>
      </c>
      <c r="B70" s="23"/>
      <c r="C70" s="24">
        <f>C39</f>
        <v>2008</v>
      </c>
      <c r="D70" s="24">
        <f t="shared" ref="D70:P70" si="37">D39</f>
        <v>2009</v>
      </c>
      <c r="E70" s="24">
        <f t="shared" si="37"/>
        <v>2010</v>
      </c>
      <c r="F70" s="4" t="str">
        <f t="shared" si="37"/>
        <v>1T11</v>
      </c>
      <c r="G70" s="4" t="str">
        <f t="shared" si="37"/>
        <v>2T11</v>
      </c>
      <c r="H70" s="4" t="str">
        <f t="shared" si="37"/>
        <v>3T11</v>
      </c>
      <c r="I70" s="4" t="str">
        <f t="shared" si="37"/>
        <v>4T11</v>
      </c>
      <c r="J70" s="24">
        <f t="shared" si="37"/>
        <v>2011</v>
      </c>
      <c r="K70" s="24" t="str">
        <f t="shared" si="37"/>
        <v>2012E</v>
      </c>
      <c r="L70" s="24" t="str">
        <f t="shared" si="37"/>
        <v>2013E</v>
      </c>
      <c r="M70" s="24" t="str">
        <f t="shared" si="37"/>
        <v>2014E</v>
      </c>
      <c r="N70" s="24" t="str">
        <f t="shared" si="37"/>
        <v>2015E</v>
      </c>
      <c r="O70" s="24" t="str">
        <f t="shared" si="37"/>
        <v>2016E</v>
      </c>
      <c r="P70" s="24" t="str">
        <f t="shared" si="37"/>
        <v>2017E</v>
      </c>
      <c r="Q70" s="24" t="str">
        <f t="shared" ref="Q70:U70" si="38">Q39</f>
        <v>2018E</v>
      </c>
      <c r="R70" s="24" t="str">
        <f t="shared" si="38"/>
        <v>2019E</v>
      </c>
      <c r="S70" s="24" t="str">
        <f t="shared" si="38"/>
        <v>2020E</v>
      </c>
      <c r="T70" s="24" t="str">
        <f t="shared" si="38"/>
        <v>2021E</v>
      </c>
      <c r="U70" s="24" t="str">
        <f t="shared" si="38"/>
        <v>2022E</v>
      </c>
      <c r="V70" s="9"/>
      <c r="W70" s="9"/>
      <c r="X70" s="9"/>
    </row>
    <row r="71" spans="1:24" outlineLevel="1">
      <c r="A71" s="2" t="s">
        <v>18</v>
      </c>
      <c r="C71" s="9">
        <f t="shared" ref="C71:I71" si="39">+C15</f>
        <v>1046.152</v>
      </c>
      <c r="D71" s="9">
        <f t="shared" si="39"/>
        <v>1456.4110000000001</v>
      </c>
      <c r="E71" s="9">
        <f t="shared" si="39"/>
        <v>1498.731</v>
      </c>
      <c r="F71" s="9">
        <f t="shared" si="39"/>
        <v>1553.5740000000001</v>
      </c>
      <c r="G71" s="9">
        <f t="shared" si="39"/>
        <v>1643.8209999999999</v>
      </c>
      <c r="H71" s="9">
        <f t="shared" si="39"/>
        <v>1850.828</v>
      </c>
      <c r="I71" s="9">
        <f t="shared" si="39"/>
        <v>1969.4179999999999</v>
      </c>
      <c r="J71" s="10">
        <f>I71</f>
        <v>1969.4179999999999</v>
      </c>
      <c r="K71" s="9">
        <f>J71+K73</f>
        <v>2406.4179999999997</v>
      </c>
      <c r="L71" s="9">
        <f t="shared" ref="L71:U71" si="40">K71+L73</f>
        <v>2840.4179999999997</v>
      </c>
      <c r="M71" s="9">
        <f t="shared" si="40"/>
        <v>2890.4179999999997</v>
      </c>
      <c r="N71" s="9">
        <f t="shared" si="40"/>
        <v>2890.4179999999997</v>
      </c>
      <c r="O71" s="9">
        <f t="shared" si="40"/>
        <v>2890.4179999999997</v>
      </c>
      <c r="P71" s="9">
        <f t="shared" si="40"/>
        <v>2890.4179999999997</v>
      </c>
      <c r="Q71" s="9">
        <f t="shared" si="40"/>
        <v>2890.4179999999997</v>
      </c>
      <c r="R71" s="9">
        <f t="shared" si="40"/>
        <v>2890.4179999999997</v>
      </c>
      <c r="S71" s="9">
        <f t="shared" si="40"/>
        <v>2890.4179999999997</v>
      </c>
      <c r="T71" s="9">
        <f t="shared" si="40"/>
        <v>2890.4179999999997</v>
      </c>
      <c r="U71" s="9">
        <f t="shared" si="40"/>
        <v>2890.4179999999997</v>
      </c>
      <c r="V71" s="9"/>
      <c r="W71" s="9"/>
      <c r="X71" s="9"/>
    </row>
    <row r="72" spans="1:24" outlineLevel="1">
      <c r="C72" s="9"/>
      <c r="D72" s="9"/>
      <c r="E72" s="9"/>
      <c r="F72" s="9"/>
      <c r="G72" s="9"/>
      <c r="H72" s="9"/>
      <c r="I72" s="9"/>
      <c r="J72" s="10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outlineLevel="1">
      <c r="A73" s="27" t="s">
        <v>52</v>
      </c>
      <c r="B73" s="27"/>
      <c r="C73" s="28"/>
      <c r="D73" s="28"/>
      <c r="E73" s="28"/>
      <c r="F73" s="28"/>
      <c r="G73" s="28"/>
      <c r="H73" s="28"/>
      <c r="I73" s="28">
        <f t="shared" ref="I73:P73" si="41">SUM(I74:I76)</f>
        <v>0</v>
      </c>
      <c r="J73" s="28">
        <f t="shared" si="41"/>
        <v>0</v>
      </c>
      <c r="K73" s="28">
        <f t="shared" si="41"/>
        <v>437</v>
      </c>
      <c r="L73" s="28">
        <f t="shared" si="41"/>
        <v>434</v>
      </c>
      <c r="M73" s="28">
        <f t="shared" si="41"/>
        <v>50</v>
      </c>
      <c r="N73" s="28">
        <f t="shared" si="41"/>
        <v>0</v>
      </c>
      <c r="O73" s="28">
        <f t="shared" si="41"/>
        <v>0</v>
      </c>
      <c r="P73" s="28">
        <f t="shared" si="41"/>
        <v>0</v>
      </c>
      <c r="Q73" s="28">
        <f t="shared" ref="Q73" si="42">SUM(Q74:Q76)</f>
        <v>0</v>
      </c>
      <c r="R73" s="28">
        <f t="shared" ref="R73" si="43">SUM(R74:R76)</f>
        <v>0</v>
      </c>
      <c r="S73" s="28">
        <f t="shared" ref="S73" si="44">SUM(S74:S76)</f>
        <v>0</v>
      </c>
      <c r="T73" s="28">
        <f t="shared" ref="T73" si="45">SUM(T74:T76)</f>
        <v>0</v>
      </c>
      <c r="U73" s="28">
        <f t="shared" ref="U73" si="46">SUM(U74:U76)</f>
        <v>0</v>
      </c>
      <c r="V73" s="9"/>
      <c r="W73" s="9"/>
      <c r="X73" s="9"/>
    </row>
    <row r="74" spans="1:24" outlineLevel="1">
      <c r="A74" s="19" t="s">
        <v>54</v>
      </c>
      <c r="C74" s="9"/>
      <c r="D74" s="9"/>
      <c r="E74" s="9"/>
      <c r="F74" s="9"/>
      <c r="G74" s="9"/>
      <c r="H74" s="9"/>
      <c r="I74" s="9"/>
      <c r="J74" s="10"/>
      <c r="K74" s="9">
        <v>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outlineLevel="1">
      <c r="A75" s="19" t="s">
        <v>60</v>
      </c>
      <c r="C75" s="9"/>
      <c r="D75" s="9"/>
      <c r="E75" s="9"/>
      <c r="F75" s="9"/>
      <c r="G75" s="9"/>
      <c r="H75" s="9"/>
      <c r="I75" s="9"/>
      <c r="J75" s="10"/>
      <c r="K75" s="9">
        <v>80</v>
      </c>
      <c r="L75" s="9">
        <f>254+63</f>
        <v>317</v>
      </c>
      <c r="M75" s="9">
        <v>31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outlineLevel="1">
      <c r="A76" s="19" t="s">
        <v>61</v>
      </c>
      <c r="C76" s="9"/>
      <c r="D76" s="9"/>
      <c r="E76" s="9"/>
      <c r="F76" s="9"/>
      <c r="G76" s="9"/>
      <c r="H76" s="9"/>
      <c r="I76" s="9"/>
      <c r="J76" s="10"/>
      <c r="K76" s="9">
        <v>357</v>
      </c>
      <c r="L76" s="9">
        <v>117</v>
      </c>
      <c r="M76" s="9">
        <v>19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outlineLevel="1">
      <c r="C77" s="9"/>
      <c r="D77" s="9"/>
      <c r="E77" s="9"/>
      <c r="F77" s="9"/>
      <c r="G77" s="9"/>
      <c r="H77" s="9"/>
      <c r="I77" s="9"/>
      <c r="J77" s="10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>
      <c r="A78" s="23" t="s">
        <v>62</v>
      </c>
      <c r="B78" s="23"/>
      <c r="C78" s="24">
        <f>C70</f>
        <v>2008</v>
      </c>
      <c r="D78" s="24">
        <f t="shared" ref="D78:P78" si="47">D70</f>
        <v>2009</v>
      </c>
      <c r="E78" s="24">
        <f t="shared" si="47"/>
        <v>2010</v>
      </c>
      <c r="F78" s="4" t="str">
        <f t="shared" si="47"/>
        <v>1T11</v>
      </c>
      <c r="G78" s="4" t="str">
        <f t="shared" si="47"/>
        <v>2T11</v>
      </c>
      <c r="H78" s="4" t="str">
        <f t="shared" si="47"/>
        <v>3T11</v>
      </c>
      <c r="I78" s="4" t="str">
        <f t="shared" si="47"/>
        <v>4T11</v>
      </c>
      <c r="J78" s="24">
        <f t="shared" si="47"/>
        <v>2011</v>
      </c>
      <c r="K78" s="24" t="str">
        <f t="shared" si="47"/>
        <v>2012E</v>
      </c>
      <c r="L78" s="24" t="str">
        <f t="shared" si="47"/>
        <v>2013E</v>
      </c>
      <c r="M78" s="24" t="str">
        <f t="shared" si="47"/>
        <v>2014E</v>
      </c>
      <c r="N78" s="24" t="str">
        <f t="shared" si="47"/>
        <v>2015E</v>
      </c>
      <c r="O78" s="24" t="str">
        <f t="shared" si="47"/>
        <v>2016E</v>
      </c>
      <c r="P78" s="24" t="str">
        <f t="shared" si="47"/>
        <v>2017E</v>
      </c>
      <c r="Q78" s="24" t="str">
        <f t="shared" ref="Q78:U78" si="48">Q70</f>
        <v>2018E</v>
      </c>
      <c r="R78" s="24" t="str">
        <f t="shared" si="48"/>
        <v>2019E</v>
      </c>
      <c r="S78" s="24" t="str">
        <f t="shared" si="48"/>
        <v>2020E</v>
      </c>
      <c r="T78" s="24" t="str">
        <f t="shared" si="48"/>
        <v>2021E</v>
      </c>
      <c r="U78" s="24" t="str">
        <f t="shared" si="48"/>
        <v>2022E</v>
      </c>
      <c r="V78" s="9"/>
      <c r="W78" s="9"/>
      <c r="X78" s="9"/>
    </row>
    <row r="79" spans="1:24">
      <c r="A79" s="19" t="s">
        <v>63</v>
      </c>
      <c r="C79" s="9">
        <f t="shared" ref="C79:I79" si="49">C21+C27+C28+C24</f>
        <v>260.76299999999998</v>
      </c>
      <c r="D79" s="9">
        <f t="shared" si="49"/>
        <v>702.81200000000001</v>
      </c>
      <c r="E79" s="9">
        <f t="shared" si="49"/>
        <v>82.022000000000006</v>
      </c>
      <c r="F79" s="9">
        <f t="shared" si="49"/>
        <v>94.423000000000002</v>
      </c>
      <c r="G79" s="9">
        <f t="shared" si="49"/>
        <v>81.990000000000009</v>
      </c>
      <c r="H79" s="9">
        <f t="shared" si="49"/>
        <v>167.16300000000001</v>
      </c>
      <c r="I79" s="9">
        <f t="shared" si="49"/>
        <v>286.63</v>
      </c>
      <c r="J79" s="10">
        <f>I79</f>
        <v>286.63</v>
      </c>
      <c r="K79" s="9">
        <f>J79-K117+K121</f>
        <v>1003.987</v>
      </c>
      <c r="L79" s="9">
        <f t="shared" ref="L79:U79" si="50">K79-L117+L121</f>
        <v>1389.1151839657887</v>
      </c>
      <c r="M79" s="9">
        <f t="shared" si="50"/>
        <v>1521.412581439859</v>
      </c>
      <c r="N79" s="9">
        <f t="shared" si="50"/>
        <v>1673.614200608009</v>
      </c>
      <c r="O79" s="9">
        <f t="shared" si="50"/>
        <v>1443.807049740798</v>
      </c>
      <c r="P79" s="9">
        <f t="shared" si="50"/>
        <v>1234.5812206458606</v>
      </c>
      <c r="Q79" s="9">
        <f t="shared" si="50"/>
        <v>994.54263327746014</v>
      </c>
      <c r="R79" s="9">
        <f t="shared" si="50"/>
        <v>1033.6887366595804</v>
      </c>
      <c r="S79" s="9">
        <f t="shared" si="50"/>
        <v>1065.3638003872893</v>
      </c>
      <c r="T79" s="9">
        <f t="shared" si="50"/>
        <v>1121.600409005777</v>
      </c>
      <c r="U79" s="9">
        <f t="shared" si="50"/>
        <v>1179.6460213249179</v>
      </c>
      <c r="V79" s="9"/>
      <c r="W79" s="9"/>
      <c r="X79" s="9"/>
    </row>
    <row r="80" spans="1:24">
      <c r="A80" s="19" t="s">
        <v>64</v>
      </c>
      <c r="C80" s="9">
        <f>C79-C8</f>
        <v>232.70299999999997</v>
      </c>
      <c r="D80" s="9">
        <f t="shared" ref="D80:U80" si="51">D79-D8</f>
        <v>639.34</v>
      </c>
      <c r="E80" s="9">
        <f t="shared" si="51"/>
        <v>51.095000000000006</v>
      </c>
      <c r="F80" s="9">
        <f t="shared" si="51"/>
        <v>94.146000000000001</v>
      </c>
      <c r="G80" s="9">
        <f t="shared" si="51"/>
        <v>76.490000000000009</v>
      </c>
      <c r="H80" s="9">
        <f t="shared" si="51"/>
        <v>165.58200000000002</v>
      </c>
      <c r="I80" s="9">
        <f t="shared" si="51"/>
        <v>275.03800000000001</v>
      </c>
      <c r="J80" s="10">
        <f t="shared" ref="J80:J81" si="52">I80</f>
        <v>275.03800000000001</v>
      </c>
      <c r="K80" s="9">
        <f t="shared" si="51"/>
        <v>971.97804774999997</v>
      </c>
      <c r="L80" s="9">
        <f t="shared" si="51"/>
        <v>1369.4404654785149</v>
      </c>
      <c r="M80" s="9">
        <f t="shared" si="51"/>
        <v>1437.4191899035307</v>
      </c>
      <c r="N80" s="9">
        <f t="shared" si="51"/>
        <v>1422.2822426301714</v>
      </c>
      <c r="O80" s="9">
        <f t="shared" si="51"/>
        <v>1233.7423327025351</v>
      </c>
      <c r="P80" s="9">
        <f t="shared" si="51"/>
        <v>1013.6960156542982</v>
      </c>
      <c r="Q80" s="9">
        <f t="shared" si="51"/>
        <v>960.67685602034976</v>
      </c>
      <c r="R80" s="9">
        <f t="shared" si="51"/>
        <v>985.09958538949843</v>
      </c>
      <c r="S80" s="9">
        <f t="shared" si="51"/>
        <v>998.7463293020777</v>
      </c>
      <c r="T80" s="9">
        <f t="shared" si="51"/>
        <v>1047.9530238893467</v>
      </c>
      <c r="U80" s="9">
        <f t="shared" si="51"/>
        <v>1131.8691319303643</v>
      </c>
      <c r="V80" s="9"/>
      <c r="W80" s="9"/>
      <c r="X80" s="9"/>
    </row>
    <row r="81" spans="1:24">
      <c r="A81" s="19" t="s">
        <v>65</v>
      </c>
      <c r="C81" s="32">
        <f>C79/C32</f>
        <v>0.26577363025112444</v>
      </c>
      <c r="D81" s="32">
        <f t="shared" ref="D81:U81" si="53">D79/D32</f>
        <v>0.57615238757309384</v>
      </c>
      <c r="E81" s="32">
        <f t="shared" si="53"/>
        <v>5.7959319231326391E-2</v>
      </c>
      <c r="F81" s="32">
        <f t="shared" si="53"/>
        <v>6.616545462954268E-2</v>
      </c>
      <c r="G81" s="32">
        <f t="shared" si="53"/>
        <v>5.6395903507221283E-2</v>
      </c>
      <c r="H81" s="32">
        <f t="shared" si="53"/>
        <v>0.1134985174708943</v>
      </c>
      <c r="I81" s="32">
        <f t="shared" si="53"/>
        <v>0.17100814440979431</v>
      </c>
      <c r="J81" s="32">
        <f t="shared" si="52"/>
        <v>0.17100814440979431</v>
      </c>
      <c r="K81" s="32">
        <f t="shared" si="53"/>
        <v>0.47782827324365756</v>
      </c>
      <c r="L81" s="32">
        <f t="shared" si="53"/>
        <v>0.57487649506655814</v>
      </c>
      <c r="M81" s="32">
        <f t="shared" si="53"/>
        <v>0.56119610741944725</v>
      </c>
      <c r="N81" s="32">
        <f t="shared" si="53"/>
        <v>0.54386757613115455</v>
      </c>
      <c r="O81" s="32">
        <f t="shared" si="53"/>
        <v>0.41311352148416342</v>
      </c>
      <c r="P81" s="32">
        <f t="shared" si="53"/>
        <v>0.31031141001884366</v>
      </c>
      <c r="Q81" s="32">
        <f t="shared" si="53"/>
        <v>0.22136373120328548</v>
      </c>
      <c r="R81" s="32">
        <f t="shared" si="53"/>
        <v>0.20670865134994842</v>
      </c>
      <c r="S81" s="32">
        <f t="shared" si="53"/>
        <v>0.1936209664476444</v>
      </c>
      <c r="T81" s="32">
        <f t="shared" si="53"/>
        <v>0.19263051906910708</v>
      </c>
      <c r="U81" s="32">
        <f t="shared" si="53"/>
        <v>0.19616715390418907</v>
      </c>
      <c r="V81" s="9"/>
      <c r="W81" s="9"/>
      <c r="X81" s="9"/>
    </row>
    <row r="82" spans="1:24">
      <c r="A82" s="19" t="s">
        <v>66</v>
      </c>
      <c r="C82" s="9"/>
      <c r="D82" s="9"/>
      <c r="E82" s="9"/>
      <c r="F82" s="9"/>
      <c r="G82" s="9"/>
      <c r="H82" s="9"/>
      <c r="I82" s="9"/>
      <c r="J82" s="35">
        <f>J79/J87</f>
        <v>3.7270658604772122</v>
      </c>
      <c r="K82" s="35">
        <f>K79/K87</f>
        <v>6.6785634886468257</v>
      </c>
      <c r="L82" s="35">
        <f t="shared" ref="L82:U82" si="54">L79/L87</f>
        <v>4.8732313148356203</v>
      </c>
      <c r="M82" s="35">
        <f t="shared" si="54"/>
        <v>4.8406304482286036</v>
      </c>
      <c r="N82" s="35">
        <f t="shared" si="54"/>
        <v>4.6679618706098509</v>
      </c>
      <c r="O82" s="35">
        <f t="shared" si="54"/>
        <v>3.6229895559474548</v>
      </c>
      <c r="P82" s="35">
        <f t="shared" si="54"/>
        <v>2.7790305271593718</v>
      </c>
      <c r="Q82" s="35">
        <f t="shared" si="54"/>
        <v>2.0227187798795643</v>
      </c>
      <c r="R82" s="35">
        <f t="shared" si="54"/>
        <v>1.9069822027813832</v>
      </c>
      <c r="S82" s="35">
        <f t="shared" si="54"/>
        <v>1.5810311176955727</v>
      </c>
      <c r="T82" s="35">
        <f t="shared" si="54"/>
        <v>1.3750432754431949</v>
      </c>
      <c r="U82" s="35">
        <f t="shared" si="54"/>
        <v>1.3249713507318981</v>
      </c>
      <c r="V82" s="9"/>
      <c r="W82" s="9"/>
      <c r="X82" s="9"/>
    </row>
    <row r="83" spans="1:24">
      <c r="A83" s="19" t="s">
        <v>67</v>
      </c>
      <c r="C83" s="9"/>
      <c r="D83" s="9"/>
      <c r="E83" s="9"/>
      <c r="F83" s="9"/>
      <c r="G83" s="9"/>
      <c r="H83" s="9"/>
      <c r="I83" s="9"/>
      <c r="J83" s="35">
        <f>J80/J87</f>
        <v>3.5763344385930695</v>
      </c>
      <c r="K83" s="35">
        <f>K80/K87</f>
        <v>6.4656386003696964</v>
      </c>
      <c r="L83" s="35">
        <f t="shared" ref="L83:U83" si="55">L80/L87</f>
        <v>4.8042093536984369</v>
      </c>
      <c r="M83" s="35">
        <f t="shared" si="55"/>
        <v>4.5733913222474376</v>
      </c>
      <c r="N83" s="35">
        <f t="shared" si="55"/>
        <v>3.9669592164258418</v>
      </c>
      <c r="O83" s="35">
        <f t="shared" si="55"/>
        <v>3.0958676832295491</v>
      </c>
      <c r="P83" s="35">
        <f t="shared" si="55"/>
        <v>2.2818200420134218</v>
      </c>
      <c r="Q83" s="35">
        <f t="shared" si="55"/>
        <v>1.9538419501076374</v>
      </c>
      <c r="R83" s="35">
        <f t="shared" si="55"/>
        <v>1.8173433749271395</v>
      </c>
      <c r="S83" s="35">
        <f t="shared" si="55"/>
        <v>1.4821688372899344</v>
      </c>
      <c r="T83" s="35">
        <f t="shared" si="55"/>
        <v>1.2847541307128625</v>
      </c>
      <c r="U83" s="35">
        <f t="shared" si="55"/>
        <v>1.2713086345182907</v>
      </c>
      <c r="V83" s="9"/>
      <c r="W83" s="9"/>
      <c r="X83" s="9"/>
    </row>
    <row r="84" spans="1:24">
      <c r="A84" s="19" t="s">
        <v>68</v>
      </c>
      <c r="C84" s="9"/>
      <c r="D84" s="9"/>
      <c r="E84" s="9"/>
      <c r="F84" s="9"/>
      <c r="G84" s="9"/>
      <c r="H84" s="9"/>
      <c r="I84" s="9"/>
      <c r="J84" s="35">
        <f>J87/ABS(J61)</f>
        <v>3.310732274312282</v>
      </c>
      <c r="K84" s="35">
        <f>K87/ABS(K61)</f>
        <v>5.2241646756525508</v>
      </c>
      <c r="L84" s="35">
        <f t="shared" ref="L84:U84" si="56">L87/ABS(L61)</f>
        <v>2.8198852538161776</v>
      </c>
      <c r="M84" s="35">
        <f t="shared" si="56"/>
        <v>2.1550249901078891</v>
      </c>
      <c r="N84" s="35">
        <f>N87/ABS(N61)</f>
        <v>2.3983428920487078</v>
      </c>
      <c r="O84" s="35">
        <f t="shared" si="56"/>
        <v>2.7605158549468731</v>
      </c>
      <c r="P84" s="35">
        <f t="shared" si="56"/>
        <v>3.5476097530703594</v>
      </c>
      <c r="Q84" s="35">
        <f t="shared" si="56"/>
        <v>4.7787478587748504</v>
      </c>
      <c r="R84" s="35">
        <f t="shared" si="56"/>
        <v>5.5590396776335123</v>
      </c>
      <c r="S84" s="35">
        <f t="shared" si="56"/>
        <v>6.7392464676374173</v>
      </c>
      <c r="T84" s="35">
        <f t="shared" si="56"/>
        <v>8.0463802827491513</v>
      </c>
      <c r="U84" s="35">
        <f t="shared" si="56"/>
        <v>8.3702294254171434</v>
      </c>
      <c r="V84" s="9"/>
      <c r="W84" s="9"/>
      <c r="X84" s="9"/>
    </row>
    <row r="85" spans="1:24" s="19" customFormat="1"/>
    <row r="86" spans="1:24">
      <c r="A86" s="23" t="s">
        <v>69</v>
      </c>
      <c r="B86" s="23"/>
      <c r="C86" s="24">
        <f>C78</f>
        <v>2008</v>
      </c>
      <c r="D86" s="24">
        <f t="shared" ref="D86:P86" si="57">D78</f>
        <v>2009</v>
      </c>
      <c r="E86" s="24">
        <f t="shared" si="57"/>
        <v>2010</v>
      </c>
      <c r="F86" s="4" t="str">
        <f t="shared" si="57"/>
        <v>1T11</v>
      </c>
      <c r="G86" s="4" t="str">
        <f t="shared" si="57"/>
        <v>2T11</v>
      </c>
      <c r="H86" s="4" t="str">
        <f t="shared" si="57"/>
        <v>3T11</v>
      </c>
      <c r="I86" s="4" t="str">
        <f t="shared" si="57"/>
        <v>4T11</v>
      </c>
      <c r="J86" s="24">
        <f t="shared" si="57"/>
        <v>2011</v>
      </c>
      <c r="K86" s="24" t="str">
        <f t="shared" si="57"/>
        <v>2012E</v>
      </c>
      <c r="L86" s="24" t="str">
        <f t="shared" si="57"/>
        <v>2013E</v>
      </c>
      <c r="M86" s="24" t="str">
        <f t="shared" si="57"/>
        <v>2014E</v>
      </c>
      <c r="N86" s="24" t="str">
        <f t="shared" si="57"/>
        <v>2015E</v>
      </c>
      <c r="O86" s="24" t="str">
        <f t="shared" si="57"/>
        <v>2016E</v>
      </c>
      <c r="P86" s="24" t="str">
        <f t="shared" si="57"/>
        <v>2017E</v>
      </c>
      <c r="Q86" s="24" t="str">
        <f t="shared" ref="Q86:U86" si="58">Q78</f>
        <v>2018E</v>
      </c>
      <c r="R86" s="24" t="str">
        <f t="shared" si="58"/>
        <v>2019E</v>
      </c>
      <c r="S86" s="24" t="str">
        <f t="shared" si="58"/>
        <v>2020E</v>
      </c>
      <c r="T86" s="24" t="str">
        <f t="shared" si="58"/>
        <v>2021E</v>
      </c>
      <c r="U86" s="24" t="str">
        <f t="shared" si="58"/>
        <v>2022E</v>
      </c>
      <c r="V86" s="9"/>
      <c r="W86" s="9"/>
      <c r="X86" s="9"/>
    </row>
    <row r="87" spans="1:24">
      <c r="A87" s="5" t="s">
        <v>70</v>
      </c>
      <c r="C87" s="9"/>
      <c r="D87" s="9"/>
      <c r="E87" s="9"/>
      <c r="F87" s="9"/>
      <c r="G87" s="9"/>
      <c r="H87" s="9"/>
      <c r="I87" s="9"/>
      <c r="J87" s="11">
        <v>76.905000000000001</v>
      </c>
      <c r="K87" s="11">
        <f>K88+K89</f>
        <v>150.32978299999996</v>
      </c>
      <c r="L87" s="11">
        <f t="shared" ref="L87:U87" si="59">L88+L89</f>
        <v>285.0501226438592</v>
      </c>
      <c r="M87" s="11">
        <f t="shared" si="59"/>
        <v>314.30050232333059</v>
      </c>
      <c r="N87" s="11">
        <f t="shared" si="59"/>
        <v>358.53210608795263</v>
      </c>
      <c r="O87" s="11">
        <f t="shared" si="59"/>
        <v>398.51261712048336</v>
      </c>
      <c r="P87" s="11">
        <f t="shared" si="59"/>
        <v>444.24888772553589</v>
      </c>
      <c r="Q87" s="11">
        <f t="shared" si="59"/>
        <v>491.68606292204237</v>
      </c>
      <c r="R87" s="11">
        <f t="shared" si="59"/>
        <v>542.05473714013613</v>
      </c>
      <c r="S87" s="11">
        <f t="shared" si="59"/>
        <v>673.84113346238701</v>
      </c>
      <c r="T87" s="11">
        <f t="shared" si="59"/>
        <v>815.68371631377931</v>
      </c>
      <c r="U87" s="11">
        <f t="shared" si="59"/>
        <v>890.31813455686859</v>
      </c>
      <c r="V87" s="9"/>
      <c r="W87" s="9"/>
      <c r="X87" s="9"/>
    </row>
    <row r="88" spans="1:24">
      <c r="A88" s="2" t="s">
        <v>188</v>
      </c>
      <c r="C88" s="9"/>
      <c r="D88" s="9">
        <v>21.562999999999999</v>
      </c>
      <c r="E88" s="9">
        <v>1.7529999999999999</v>
      </c>
      <c r="F88" s="9"/>
      <c r="G88" s="9"/>
      <c r="H88" s="9"/>
      <c r="I88" s="9"/>
      <c r="J88" s="10"/>
      <c r="K88" s="9">
        <f>ABS('AG Concessões'!G108*0.862)</f>
        <v>150.32978299999996</v>
      </c>
      <c r="L88" s="9">
        <f>ABS('AG Concessões'!H108*0.9404)</f>
        <v>285.0501226438592</v>
      </c>
      <c r="M88" s="9">
        <f>ABS('AG Concessões'!I108*0.9478)</f>
        <v>314.30050232333059</v>
      </c>
      <c r="N88" s="9">
        <f>ABS('AG Concessões'!J108*0.9478)</f>
        <v>349.52936033495695</v>
      </c>
      <c r="O88" s="9">
        <f>ABS('AG Concessões'!K108*0.9478)</f>
        <v>395.63582286934496</v>
      </c>
      <c r="P88" s="9">
        <f>ABS('AG Concessões'!L108*0.9478)</f>
        <v>439.14758814755066</v>
      </c>
      <c r="Q88" s="9">
        <f>ABS('AG Concessões'!M108*0.9478)</f>
        <v>483.81612142944817</v>
      </c>
      <c r="R88" s="9">
        <f>ABS('AG Concessões'!N108*0.9478)</f>
        <v>531.29315262602825</v>
      </c>
      <c r="S88" s="9">
        <f>ABS('AG Concessões'!O108*0.9478)</f>
        <v>658.90000339349785</v>
      </c>
      <c r="T88" s="9">
        <f>ABS('AG Concessões'!P108*0.9478)</f>
        <v>795.55012836916205</v>
      </c>
      <c r="U88" s="9">
        <f>ABS('AG Concessões'!Q108*0.9478)</f>
        <v>858.96243086416928</v>
      </c>
      <c r="V88" s="9"/>
      <c r="W88" s="9"/>
      <c r="X88" s="9"/>
    </row>
    <row r="89" spans="1:24">
      <c r="A89" s="2" t="s">
        <v>186</v>
      </c>
      <c r="C89" s="9"/>
      <c r="D89" s="9"/>
      <c r="E89" s="9"/>
      <c r="F89" s="9"/>
      <c r="G89" s="9"/>
      <c r="H89" s="9"/>
      <c r="I89" s="9"/>
      <c r="J89" s="10"/>
      <c r="K89" s="9"/>
      <c r="L89" s="9"/>
      <c r="M89" s="9"/>
      <c r="N89" s="9">
        <v>9.002745752995672</v>
      </c>
      <c r="O89" s="9">
        <v>2.876794251138401</v>
      </c>
      <c r="P89" s="9">
        <v>5.1012995779852428</v>
      </c>
      <c r="Q89" s="9">
        <v>7.8699414925942106</v>
      </c>
      <c r="R89" s="9">
        <v>10.761584514107923</v>
      </c>
      <c r="S89" s="9">
        <v>14.941130068889178</v>
      </c>
      <c r="T89" s="9">
        <v>20.133587944617219</v>
      </c>
      <c r="U89" s="9">
        <v>31.355703692699326</v>
      </c>
      <c r="V89" s="9"/>
      <c r="W89" s="9"/>
      <c r="X89" s="9"/>
    </row>
    <row r="90" spans="1:24">
      <c r="C90" s="9"/>
      <c r="D90" s="9"/>
      <c r="E90" s="9"/>
      <c r="F90" s="9"/>
      <c r="G90" s="9"/>
      <c r="H90" s="134"/>
      <c r="I90" s="9"/>
      <c r="J90" s="10"/>
      <c r="K90" s="9"/>
      <c r="L90" s="9"/>
      <c r="M90" s="9"/>
      <c r="N90" s="9"/>
      <c r="O90" s="9"/>
      <c r="P90" s="9"/>
      <c r="S90" s="9"/>
      <c r="T90" s="9"/>
      <c r="U90" s="9"/>
      <c r="V90" s="9"/>
      <c r="W90" s="9"/>
      <c r="X90" s="9"/>
    </row>
    <row r="91" spans="1:24">
      <c r="A91" s="19" t="s">
        <v>46</v>
      </c>
      <c r="C91" s="9"/>
      <c r="D91" s="9"/>
      <c r="E91" s="9"/>
      <c r="F91" s="9"/>
      <c r="G91" s="9"/>
      <c r="H91" s="134"/>
      <c r="I91" s="9"/>
      <c r="J91" s="10"/>
      <c r="K91" s="9">
        <f>-K51</f>
        <v>-515.29690397124693</v>
      </c>
      <c r="L91" s="9">
        <f t="shared" ref="L91:U91" si="60">-L51</f>
        <v>-563.73797631321168</v>
      </c>
      <c r="M91" s="9">
        <f t="shared" si="60"/>
        <v>-626.9254194655274</v>
      </c>
      <c r="N91" s="9">
        <f t="shared" si="60"/>
        <v>-709.62323156561126</v>
      </c>
      <c r="O91" s="9">
        <f t="shared" si="60"/>
        <v>-787.66712370841549</v>
      </c>
      <c r="P91" s="9">
        <f t="shared" si="60"/>
        <v>-867.7858265774023</v>
      </c>
      <c r="Q91" s="9">
        <f t="shared" si="60"/>
        <v>-952.9419281116775</v>
      </c>
      <c r="R91" s="9">
        <f t="shared" si="60"/>
        <v>-1074.3827867108002</v>
      </c>
      <c r="S91" s="9">
        <f t="shared" si="60"/>
        <v>-1189.1003888193495</v>
      </c>
      <c r="T91" s="9">
        <f t="shared" si="60"/>
        <v>-1185.1219280837306</v>
      </c>
      <c r="U91" s="9">
        <f t="shared" si="60"/>
        <v>-1165.1601245415177</v>
      </c>
      <c r="V91" s="9"/>
      <c r="W91" s="9"/>
      <c r="X91" s="9"/>
    </row>
    <row r="92" spans="1:24">
      <c r="A92" s="2" t="s">
        <v>49</v>
      </c>
      <c r="C92" s="9"/>
      <c r="D92" s="9"/>
      <c r="E92" s="9"/>
      <c r="F92" s="9"/>
      <c r="G92" s="9"/>
      <c r="H92" s="134"/>
      <c r="I92" s="9"/>
      <c r="J92" s="10"/>
      <c r="K92" s="9">
        <f>K55</f>
        <v>513.41442397124695</v>
      </c>
      <c r="L92" s="9">
        <f t="shared" ref="L92:U92" si="61">L55</f>
        <v>561.70272487321165</v>
      </c>
      <c r="M92" s="9">
        <f t="shared" si="61"/>
        <v>624.73840545352743</v>
      </c>
      <c r="N92" s="9">
        <f t="shared" si="61"/>
        <v>707.27686685301126</v>
      </c>
      <c r="O92" s="9">
        <f t="shared" si="61"/>
        <v>785.17017258374847</v>
      </c>
      <c r="P92" s="9">
        <f t="shared" si="61"/>
        <v>865.13151265212525</v>
      </c>
      <c r="Q92" s="9">
        <f t="shared" si="61"/>
        <v>950.12317005976297</v>
      </c>
      <c r="R92" s="9">
        <f t="shared" si="61"/>
        <v>1071.3921845465495</v>
      </c>
      <c r="S92" s="9">
        <f t="shared" si="61"/>
        <v>1185.9302095577077</v>
      </c>
      <c r="T92" s="9">
        <f t="shared" si="61"/>
        <v>1181.7640907553148</v>
      </c>
      <c r="U92" s="9">
        <f t="shared" si="61"/>
        <v>1161.6061845333231</v>
      </c>
      <c r="V92" s="9"/>
      <c r="W92" s="9"/>
      <c r="X92" s="9"/>
    </row>
    <row r="93" spans="1:24">
      <c r="A93" s="2" t="s">
        <v>181</v>
      </c>
      <c r="C93" s="9"/>
      <c r="D93" s="9"/>
      <c r="E93" s="9"/>
      <c r="F93" s="9"/>
      <c r="G93" s="9"/>
      <c r="H93" s="134"/>
      <c r="I93" s="9"/>
      <c r="J93" s="10"/>
      <c r="K93" s="9">
        <f>K61</f>
        <v>-28.77585075</v>
      </c>
      <c r="L93" s="9">
        <f t="shared" ref="L93:U93" si="62">L61</f>
        <v>-101.08571696599999</v>
      </c>
      <c r="M93" s="9">
        <f t="shared" si="62"/>
        <v>-145.84540957346184</v>
      </c>
      <c r="N93" s="9">
        <f t="shared" si="62"/>
        <v>-149.49159574996719</v>
      </c>
      <c r="O93" s="9">
        <f t="shared" si="62"/>
        <v>-144.36164762696239</v>
      </c>
      <c r="P93" s="9">
        <f t="shared" si="62"/>
        <v>-125.22484676930731</v>
      </c>
      <c r="Q93" s="9">
        <f t="shared" si="62"/>
        <v>-102.89014558891127</v>
      </c>
      <c r="R93" s="9">
        <f t="shared" si="62"/>
        <v>-97.508700886065498</v>
      </c>
      <c r="S93" s="9">
        <f t="shared" si="62"/>
        <v>-99.987607917034083</v>
      </c>
      <c r="T93" s="9">
        <f t="shared" si="62"/>
        <v>-101.37275242416088</v>
      </c>
      <c r="U93" s="9">
        <f t="shared" si="62"/>
        <v>-106.36723192476869</v>
      </c>
      <c r="V93" s="9"/>
      <c r="W93" s="9"/>
      <c r="X93" s="9"/>
    </row>
    <row r="94" spans="1:24">
      <c r="A94" s="5" t="s">
        <v>139</v>
      </c>
      <c r="C94" s="9"/>
      <c r="D94" s="9"/>
      <c r="E94" s="9"/>
      <c r="F94" s="9"/>
      <c r="G94" s="9"/>
      <c r="H94" s="134"/>
      <c r="I94" s="9"/>
      <c r="J94" s="10"/>
      <c r="K94" s="11">
        <f>K93+K92+K87+K91</f>
        <v>119.67145225000002</v>
      </c>
      <c r="L94" s="11">
        <f t="shared" ref="L94:U94" si="63">L93+L92+L87+L91</f>
        <v>181.92915423785917</v>
      </c>
      <c r="M94" s="11">
        <f t="shared" si="63"/>
        <v>166.26807873786879</v>
      </c>
      <c r="N94" s="11">
        <f t="shared" si="63"/>
        <v>206.69414562538543</v>
      </c>
      <c r="O94" s="11">
        <f t="shared" si="63"/>
        <v>251.65401836885405</v>
      </c>
      <c r="P94" s="11">
        <f t="shared" si="63"/>
        <v>316.36972703095148</v>
      </c>
      <c r="Q94" s="11">
        <f t="shared" si="63"/>
        <v>385.97715928121647</v>
      </c>
      <c r="R94" s="11">
        <f t="shared" si="63"/>
        <v>441.55543408981976</v>
      </c>
      <c r="S94" s="11">
        <f t="shared" si="63"/>
        <v>570.68334628371122</v>
      </c>
      <c r="T94" s="11">
        <f t="shared" si="63"/>
        <v>710.95312656120268</v>
      </c>
      <c r="U94" s="11">
        <f t="shared" si="63"/>
        <v>780.39696262390544</v>
      </c>
      <c r="V94" s="9"/>
      <c r="W94" s="9"/>
      <c r="X94" s="9"/>
    </row>
    <row r="95" spans="1:24">
      <c r="C95" s="9"/>
      <c r="D95" s="9"/>
      <c r="E95" s="9"/>
      <c r="F95" s="9"/>
      <c r="G95" s="9"/>
      <c r="H95" s="134"/>
      <c r="I95" s="9"/>
      <c r="J95" s="10"/>
      <c r="K95" s="9"/>
      <c r="L95" s="9"/>
      <c r="M95" s="9"/>
      <c r="N95" s="9"/>
      <c r="O95" s="9"/>
      <c r="P95" s="9"/>
      <c r="S95" s="9"/>
      <c r="T95" s="9"/>
      <c r="U95" s="9"/>
      <c r="V95" s="9"/>
      <c r="W95" s="9"/>
      <c r="X95" s="9"/>
    </row>
    <row r="96" spans="1:24">
      <c r="A96" s="2" t="s">
        <v>140</v>
      </c>
      <c r="C96" s="9"/>
      <c r="D96" s="9"/>
      <c r="E96" s="9"/>
      <c r="F96" s="9"/>
      <c r="G96" s="9"/>
      <c r="H96" s="134"/>
      <c r="I96" s="9"/>
      <c r="J96" s="10"/>
      <c r="K96" s="9">
        <f>-K73</f>
        <v>-437</v>
      </c>
      <c r="L96" s="9">
        <f t="shared" ref="L96:U96" si="64">-L73</f>
        <v>-434</v>
      </c>
      <c r="M96" s="9">
        <f>-M73</f>
        <v>-50</v>
      </c>
      <c r="N96" s="9">
        <f t="shared" si="64"/>
        <v>0</v>
      </c>
      <c r="O96" s="9">
        <f t="shared" si="64"/>
        <v>0</v>
      </c>
      <c r="P96" s="9">
        <f t="shared" si="64"/>
        <v>0</v>
      </c>
      <c r="Q96" s="9">
        <f t="shared" si="64"/>
        <v>0</v>
      </c>
      <c r="R96" s="9">
        <f t="shared" si="64"/>
        <v>0</v>
      </c>
      <c r="S96" s="9">
        <f t="shared" si="64"/>
        <v>0</v>
      </c>
      <c r="T96" s="9">
        <f t="shared" si="64"/>
        <v>0</v>
      </c>
      <c r="U96" s="9">
        <f t="shared" si="64"/>
        <v>0</v>
      </c>
      <c r="V96" s="9"/>
      <c r="W96" s="9"/>
      <c r="X96" s="9"/>
    </row>
    <row r="97" spans="1:24">
      <c r="A97" s="5" t="s">
        <v>141</v>
      </c>
      <c r="C97" s="9"/>
      <c r="D97" s="9"/>
      <c r="E97" s="9"/>
      <c r="F97" s="9"/>
      <c r="G97" s="9"/>
      <c r="H97" s="134"/>
      <c r="I97" s="9"/>
      <c r="J97" s="10"/>
      <c r="K97" s="11">
        <f>K96</f>
        <v>-437</v>
      </c>
      <c r="L97" s="11">
        <f t="shared" ref="L97:U97" si="65">L96</f>
        <v>-434</v>
      </c>
      <c r="M97" s="11">
        <f t="shared" si="65"/>
        <v>-50</v>
      </c>
      <c r="N97" s="11">
        <f t="shared" si="65"/>
        <v>0</v>
      </c>
      <c r="O97" s="11">
        <f t="shared" si="65"/>
        <v>0</v>
      </c>
      <c r="P97" s="11">
        <f t="shared" si="65"/>
        <v>0</v>
      </c>
      <c r="Q97" s="11">
        <f t="shared" si="65"/>
        <v>0</v>
      </c>
      <c r="R97" s="11">
        <f t="shared" si="65"/>
        <v>0</v>
      </c>
      <c r="S97" s="11">
        <f t="shared" si="65"/>
        <v>0</v>
      </c>
      <c r="T97" s="11">
        <f t="shared" si="65"/>
        <v>0</v>
      </c>
      <c r="U97" s="11">
        <f t="shared" si="65"/>
        <v>0</v>
      </c>
      <c r="V97" s="9"/>
      <c r="W97" s="9"/>
      <c r="X97" s="9"/>
    </row>
    <row r="98" spans="1:24">
      <c r="C98" s="9"/>
      <c r="D98" s="9"/>
      <c r="E98" s="9"/>
      <c r="F98" s="9"/>
      <c r="G98" s="9"/>
      <c r="H98" s="134"/>
      <c r="I98" s="9"/>
      <c r="J98" s="10"/>
      <c r="K98" s="9"/>
      <c r="L98" s="9"/>
      <c r="M98" s="9"/>
      <c r="N98" s="9"/>
      <c r="O98" s="9"/>
      <c r="P98" s="9"/>
      <c r="S98" s="9"/>
      <c r="T98" s="9"/>
      <c r="U98" s="9"/>
      <c r="V98" s="9"/>
      <c r="W98" s="9"/>
      <c r="X98" s="9"/>
    </row>
    <row r="99" spans="1:24">
      <c r="A99" s="103" t="s">
        <v>142</v>
      </c>
      <c r="C99" s="9"/>
      <c r="D99" s="9"/>
      <c r="E99" s="9"/>
      <c r="F99" s="9"/>
      <c r="G99" s="9"/>
      <c r="H99" s="134"/>
      <c r="I99" s="9"/>
      <c r="J99" s="10"/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/>
      <c r="W99" s="9"/>
      <c r="X99" s="9"/>
    </row>
    <row r="100" spans="1:24">
      <c r="A100" s="103" t="s">
        <v>195</v>
      </c>
      <c r="C100" s="9"/>
      <c r="D100" s="9"/>
      <c r="E100" s="9"/>
      <c r="F100" s="9"/>
      <c r="G100" s="9"/>
      <c r="H100" s="134"/>
      <c r="I100" s="9"/>
      <c r="J100" s="10"/>
      <c r="K100" s="9">
        <v>-320</v>
      </c>
      <c r="L100" s="9">
        <v>0</v>
      </c>
      <c r="M100" s="9">
        <v>0</v>
      </c>
      <c r="N100" s="9">
        <v>0</v>
      </c>
      <c r="O100" s="9">
        <v>160</v>
      </c>
      <c r="P100" s="9">
        <v>160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/>
      <c r="W100" s="9"/>
      <c r="X100" s="9"/>
    </row>
    <row r="101" spans="1:24">
      <c r="A101" s="103" t="s">
        <v>148</v>
      </c>
      <c r="C101" s="9"/>
      <c r="D101" s="9"/>
      <c r="E101" s="9"/>
      <c r="F101" s="9"/>
      <c r="G101" s="9"/>
      <c r="H101" s="9"/>
      <c r="I101" s="9"/>
      <c r="J101" s="10"/>
      <c r="K101" s="9">
        <f>K121</f>
        <v>800</v>
      </c>
      <c r="L101" s="9">
        <f t="shared" ref="L101:U101" si="66">L121</f>
        <v>427.57518396578882</v>
      </c>
      <c r="M101" s="9">
        <f t="shared" si="66"/>
        <v>141.43522604549878</v>
      </c>
      <c r="N101" s="9">
        <f t="shared" si="66"/>
        <v>161.33944773957867</v>
      </c>
      <c r="O101" s="9">
        <f t="shared" si="66"/>
        <v>179.33067770421752</v>
      </c>
      <c r="P101" s="9">
        <f t="shared" si="66"/>
        <v>199.91199947649116</v>
      </c>
      <c r="Q101" s="9">
        <f t="shared" si="66"/>
        <v>196.67442516881695</v>
      </c>
      <c r="R101" s="9">
        <f t="shared" si="66"/>
        <v>189.71915799904764</v>
      </c>
      <c r="S101" s="9">
        <f t="shared" si="66"/>
        <v>202.15234003871609</v>
      </c>
      <c r="T101" s="9">
        <f t="shared" si="66"/>
        <v>244.70511489413377</v>
      </c>
      <c r="U101" s="9">
        <f t="shared" si="66"/>
        <v>267.09544036706058</v>
      </c>
      <c r="V101" s="9"/>
      <c r="W101" s="9"/>
      <c r="X101" s="9"/>
    </row>
    <row r="102" spans="1:24">
      <c r="A102" s="103" t="s">
        <v>144</v>
      </c>
      <c r="C102" s="9"/>
      <c r="D102" s="9"/>
      <c r="E102" s="9"/>
      <c r="F102" s="9"/>
      <c r="G102" s="9"/>
      <c r="H102" s="9"/>
      <c r="I102" s="9"/>
      <c r="J102" s="10"/>
      <c r="K102" s="9">
        <f>-K117</f>
        <v>-82.643000000000001</v>
      </c>
      <c r="L102" s="9">
        <f t="shared" ref="L102:U102" si="67">-L117</f>
        <v>-42.447000000000003</v>
      </c>
      <c r="M102" s="9">
        <f t="shared" si="67"/>
        <v>-9.137828571428571</v>
      </c>
      <c r="N102" s="9">
        <f t="shared" si="67"/>
        <v>-9.137828571428571</v>
      </c>
      <c r="O102" s="9">
        <f t="shared" si="67"/>
        <v>-409.1378285714286</v>
      </c>
      <c r="P102" s="9">
        <f t="shared" si="67"/>
        <v>-409.1378285714286</v>
      </c>
      <c r="Q102" s="9">
        <f t="shared" si="67"/>
        <v>-436.71301253721742</v>
      </c>
      <c r="R102" s="9">
        <f t="shared" si="67"/>
        <v>-150.57305461692735</v>
      </c>
      <c r="S102" s="9">
        <f t="shared" si="67"/>
        <v>-170.47727631100724</v>
      </c>
      <c r="T102" s="9">
        <f t="shared" si="67"/>
        <v>-188.46850627564609</v>
      </c>
      <c r="U102" s="9">
        <f t="shared" si="67"/>
        <v>-209.04982804791973</v>
      </c>
      <c r="V102" s="9"/>
      <c r="W102" s="9"/>
      <c r="X102" s="9"/>
    </row>
    <row r="103" spans="1:24">
      <c r="A103" s="103" t="s">
        <v>145</v>
      </c>
      <c r="C103" s="9"/>
      <c r="D103" s="9"/>
      <c r="E103" s="9"/>
      <c r="F103" s="9"/>
      <c r="G103" s="9"/>
      <c r="H103" s="9"/>
      <c r="I103" s="9"/>
      <c r="J103" s="10">
        <v>96.075999999999993</v>
      </c>
      <c r="K103" s="9">
        <f>-J66*K68</f>
        <v>-59.611499999999992</v>
      </c>
      <c r="L103" s="9">
        <f t="shared" ref="L103:U103" si="68">-K66*L68</f>
        <v>-145.39157196637407</v>
      </c>
      <c r="M103" s="9">
        <f t="shared" si="68"/>
        <v>-184.24680316288467</v>
      </c>
      <c r="N103" s="9">
        <f t="shared" si="68"/>
        <v>-191.55719835202626</v>
      </c>
      <c r="O103" s="9">
        <f t="shared" si="68"/>
        <v>-223.11410844121767</v>
      </c>
      <c r="P103" s="9">
        <f t="shared" si="68"/>
        <v>-256.32340998271445</v>
      </c>
      <c r="Q103" s="9">
        <f t="shared" si="68"/>
        <v>-332.95799964726808</v>
      </c>
      <c r="R103" s="9">
        <f t="shared" si="68"/>
        <v>-465.97816345896842</v>
      </c>
      <c r="S103" s="9">
        <f t="shared" si="68"/>
        <v>-584.33009019629037</v>
      </c>
      <c r="T103" s="9">
        <f t="shared" si="68"/>
        <v>-760.15982114847156</v>
      </c>
      <c r="U103" s="9">
        <f t="shared" si="68"/>
        <v>-864.3130706649232</v>
      </c>
      <c r="V103" s="9"/>
      <c r="W103" s="9"/>
      <c r="X103" s="9"/>
    </row>
    <row r="104" spans="1:24">
      <c r="A104" s="103" t="s">
        <v>146</v>
      </c>
      <c r="C104" s="9"/>
      <c r="D104" s="9"/>
      <c r="E104" s="9"/>
      <c r="F104" s="9"/>
      <c r="G104" s="9"/>
      <c r="H104" s="9"/>
      <c r="I104" s="9"/>
      <c r="J104" s="10"/>
      <c r="K104" s="9"/>
      <c r="L104" s="9"/>
      <c r="M104" s="9"/>
      <c r="N104" s="9"/>
      <c r="O104" s="9"/>
      <c r="P104" s="9"/>
      <c r="S104" s="9"/>
      <c r="T104" s="9"/>
      <c r="U104" s="9"/>
      <c r="V104" s="9"/>
      <c r="W104" s="9"/>
      <c r="X104" s="9"/>
    </row>
    <row r="105" spans="1:24">
      <c r="A105" s="105" t="s">
        <v>147</v>
      </c>
      <c r="C105" s="9"/>
      <c r="D105" s="9"/>
      <c r="E105" s="9"/>
      <c r="F105" s="9"/>
      <c r="G105" s="9"/>
      <c r="H105" s="9"/>
      <c r="I105" s="9"/>
      <c r="J105" s="10"/>
      <c r="K105" s="11">
        <f>SUM(K99:K104)</f>
        <v>337.74549999999999</v>
      </c>
      <c r="L105" s="11">
        <f t="shared" ref="L105:U105" si="69">SUM(L99:L104)</f>
        <v>239.73661199941475</v>
      </c>
      <c r="M105" s="11">
        <f t="shared" si="69"/>
        <v>-51.949405688814466</v>
      </c>
      <c r="N105" s="11">
        <f t="shared" si="69"/>
        <v>-39.355579183876159</v>
      </c>
      <c r="O105" s="11">
        <f t="shared" si="69"/>
        <v>-292.92125930842872</v>
      </c>
      <c r="P105" s="11">
        <f t="shared" si="69"/>
        <v>-305.54923907765192</v>
      </c>
      <c r="Q105" s="11">
        <f t="shared" si="69"/>
        <v>-572.99658701566852</v>
      </c>
      <c r="R105" s="11">
        <f t="shared" si="69"/>
        <v>-426.83206007684817</v>
      </c>
      <c r="S105" s="11">
        <f t="shared" si="69"/>
        <v>-552.65502646858158</v>
      </c>
      <c r="T105" s="11">
        <f t="shared" si="69"/>
        <v>-703.92321252998386</v>
      </c>
      <c r="U105" s="11">
        <f t="shared" si="69"/>
        <v>-806.26745834578242</v>
      </c>
      <c r="V105" s="9"/>
      <c r="W105" s="9"/>
      <c r="X105" s="9"/>
    </row>
    <row r="106" spans="1:24">
      <c r="A106" s="105"/>
      <c r="C106" s="9"/>
      <c r="D106" s="9"/>
      <c r="E106" s="9"/>
      <c r="F106" s="9"/>
      <c r="G106" s="9"/>
      <c r="H106" s="9"/>
      <c r="I106" s="9"/>
      <c r="J106" s="10"/>
      <c r="K106" s="9"/>
      <c r="L106" s="9"/>
      <c r="M106" s="9"/>
      <c r="N106" s="9"/>
      <c r="O106" s="9"/>
      <c r="P106" s="9"/>
      <c r="S106" s="9"/>
      <c r="T106" s="9"/>
      <c r="U106" s="9"/>
      <c r="V106" s="9"/>
      <c r="W106" s="9"/>
      <c r="X106" s="9"/>
    </row>
    <row r="107" spans="1:24">
      <c r="A107" s="125" t="s">
        <v>163</v>
      </c>
      <c r="B107" s="13"/>
      <c r="C107" s="34"/>
      <c r="D107" s="34"/>
      <c r="E107" s="34"/>
      <c r="F107" s="34"/>
      <c r="G107" s="34"/>
      <c r="H107" s="34"/>
      <c r="I107" s="34"/>
      <c r="J107" s="33"/>
      <c r="K107" s="124">
        <f>K94+K97+K105</f>
        <v>20.416952250000008</v>
      </c>
      <c r="L107" s="124">
        <f t="shared" ref="L107:U107" si="70">L94+L97+L105</f>
        <v>-12.334233762726086</v>
      </c>
      <c r="M107" s="124">
        <f t="shared" si="70"/>
        <v>64.318673049054325</v>
      </c>
      <c r="N107" s="124">
        <f t="shared" si="70"/>
        <v>167.33856644150927</v>
      </c>
      <c r="O107" s="124">
        <f t="shared" si="70"/>
        <v>-41.267240939574663</v>
      </c>
      <c r="P107" s="124">
        <f t="shared" si="70"/>
        <v>10.820487953299562</v>
      </c>
      <c r="Q107" s="124">
        <f t="shared" si="70"/>
        <v>-187.01942773445205</v>
      </c>
      <c r="R107" s="124">
        <f t="shared" si="70"/>
        <v>14.72337401297159</v>
      </c>
      <c r="S107" s="124">
        <f t="shared" si="70"/>
        <v>18.028319815129635</v>
      </c>
      <c r="T107" s="124">
        <f t="shared" si="70"/>
        <v>7.0299140312188229</v>
      </c>
      <c r="U107" s="124">
        <f t="shared" si="70"/>
        <v>-25.870495721876978</v>
      </c>
      <c r="V107" s="9"/>
      <c r="W107" s="9"/>
      <c r="X107" s="9"/>
    </row>
    <row r="108" spans="1:24">
      <c r="A108" s="105" t="s">
        <v>169</v>
      </c>
      <c r="B108" s="19"/>
      <c r="C108" s="31"/>
      <c r="D108" s="31"/>
      <c r="E108" s="31"/>
      <c r="F108" s="31"/>
      <c r="G108" s="31"/>
      <c r="H108" s="31"/>
      <c r="I108" s="31"/>
      <c r="J108" s="16"/>
      <c r="K108" s="30">
        <f>J8</f>
        <v>11.592000000000001</v>
      </c>
      <c r="L108" s="30">
        <f t="shared" ref="L108:U108" si="71">K8</f>
        <v>32.008952250000007</v>
      </c>
      <c r="M108" s="30">
        <f t="shared" si="71"/>
        <v>19.674718487273921</v>
      </c>
      <c r="N108" s="30">
        <f t="shared" si="71"/>
        <v>83.993391536328247</v>
      </c>
      <c r="O108" s="30">
        <f t="shared" si="71"/>
        <v>251.33195797783753</v>
      </c>
      <c r="P108" s="30">
        <f t="shared" si="71"/>
        <v>210.06471703826287</v>
      </c>
      <c r="Q108" s="30">
        <f t="shared" si="71"/>
        <v>220.88520499156243</v>
      </c>
      <c r="R108" s="30">
        <f t="shared" si="71"/>
        <v>33.865777257110381</v>
      </c>
      <c r="S108" s="30">
        <f t="shared" si="71"/>
        <v>48.58915127008197</v>
      </c>
      <c r="T108" s="30">
        <f t="shared" si="71"/>
        <v>66.617471085211605</v>
      </c>
      <c r="U108" s="30">
        <f t="shared" si="71"/>
        <v>73.647385116430428</v>
      </c>
      <c r="V108" s="9"/>
      <c r="W108" s="9"/>
      <c r="X108" s="9"/>
    </row>
    <row r="109" spans="1:24">
      <c r="A109" s="12" t="s">
        <v>170</v>
      </c>
      <c r="B109" s="13"/>
      <c r="C109" s="34"/>
      <c r="D109" s="34"/>
      <c r="E109" s="34"/>
      <c r="F109" s="34"/>
      <c r="G109" s="34"/>
      <c r="H109" s="34"/>
      <c r="I109" s="34"/>
      <c r="J109" s="33"/>
      <c r="K109" s="124">
        <f>K107+K108</f>
        <v>32.008952250000007</v>
      </c>
      <c r="L109" s="124">
        <f t="shared" ref="L109:U109" si="72">L107+L108</f>
        <v>19.674718487273921</v>
      </c>
      <c r="M109" s="124">
        <f t="shared" si="72"/>
        <v>83.993391536328247</v>
      </c>
      <c r="N109" s="124">
        <f t="shared" si="72"/>
        <v>251.33195797783753</v>
      </c>
      <c r="O109" s="124">
        <f t="shared" si="72"/>
        <v>210.06471703826287</v>
      </c>
      <c r="P109" s="124">
        <f t="shared" si="72"/>
        <v>220.88520499156243</v>
      </c>
      <c r="Q109" s="124">
        <f t="shared" si="72"/>
        <v>33.865777257110381</v>
      </c>
      <c r="R109" s="124">
        <f t="shared" si="72"/>
        <v>48.58915127008197</v>
      </c>
      <c r="S109" s="124">
        <f t="shared" si="72"/>
        <v>66.617471085211605</v>
      </c>
      <c r="T109" s="124">
        <f t="shared" si="72"/>
        <v>73.647385116430428</v>
      </c>
      <c r="U109" s="124">
        <f t="shared" si="72"/>
        <v>47.77688939455345</v>
      </c>
      <c r="V109" s="9"/>
      <c r="W109" s="9"/>
      <c r="X109" s="9"/>
    </row>
    <row r="110" spans="1:24">
      <c r="C110" s="9"/>
      <c r="D110" s="9"/>
      <c r="E110" s="9"/>
      <c r="F110" s="9"/>
      <c r="G110" s="9"/>
      <c r="H110" s="9"/>
      <c r="I110" s="9"/>
      <c r="J110" s="10"/>
      <c r="K110" s="9"/>
      <c r="L110" s="9"/>
      <c r="M110" s="9"/>
      <c r="N110" s="9"/>
      <c r="O110" s="9"/>
      <c r="P110" s="9"/>
      <c r="S110" s="9"/>
      <c r="T110" s="9"/>
      <c r="U110" s="9"/>
      <c r="V110" s="9"/>
      <c r="W110" s="9"/>
      <c r="X110" s="9"/>
    </row>
    <row r="111" spans="1:24">
      <c r="A111" s="23" t="s">
        <v>149</v>
      </c>
      <c r="B111" s="23"/>
      <c r="C111" s="24">
        <f>C86</f>
        <v>2008</v>
      </c>
      <c r="D111" s="24">
        <f t="shared" ref="D111:U111" si="73">D86</f>
        <v>2009</v>
      </c>
      <c r="E111" s="24">
        <f t="shared" si="73"/>
        <v>2010</v>
      </c>
      <c r="F111" s="4" t="str">
        <f t="shared" si="73"/>
        <v>1T11</v>
      </c>
      <c r="G111" s="4" t="str">
        <f t="shared" si="73"/>
        <v>2T11</v>
      </c>
      <c r="H111" s="4" t="str">
        <f t="shared" si="73"/>
        <v>3T11</v>
      </c>
      <c r="I111" s="4" t="str">
        <f t="shared" si="73"/>
        <v>4T11</v>
      </c>
      <c r="J111" s="24">
        <f t="shared" si="73"/>
        <v>2011</v>
      </c>
      <c r="K111" s="24" t="str">
        <f t="shared" si="73"/>
        <v>2012E</v>
      </c>
      <c r="L111" s="24" t="str">
        <f t="shared" si="73"/>
        <v>2013E</v>
      </c>
      <c r="M111" s="24" t="str">
        <f t="shared" si="73"/>
        <v>2014E</v>
      </c>
      <c r="N111" s="24" t="str">
        <f t="shared" si="73"/>
        <v>2015E</v>
      </c>
      <c r="O111" s="24" t="str">
        <f t="shared" si="73"/>
        <v>2016E</v>
      </c>
      <c r="P111" s="24" t="str">
        <f t="shared" si="73"/>
        <v>2017E</v>
      </c>
      <c r="Q111" s="24" t="str">
        <f t="shared" si="73"/>
        <v>2018E</v>
      </c>
      <c r="R111" s="24" t="str">
        <f t="shared" si="73"/>
        <v>2019E</v>
      </c>
      <c r="S111" s="24" t="str">
        <f t="shared" si="73"/>
        <v>2020E</v>
      </c>
      <c r="T111" s="24" t="str">
        <f t="shared" si="73"/>
        <v>2021E</v>
      </c>
      <c r="U111" s="24" t="str">
        <f t="shared" si="73"/>
        <v>2022E</v>
      </c>
      <c r="V111" s="9"/>
      <c r="W111" s="9"/>
      <c r="X111" s="9"/>
    </row>
    <row r="112" spans="1:24">
      <c r="A112" s="103" t="s">
        <v>51</v>
      </c>
      <c r="C112" s="9">
        <f>+C61</f>
        <v>-27.619</v>
      </c>
      <c r="D112" s="9">
        <f t="shared" ref="D112:I112" si="74">+D61</f>
        <v>-20.863</v>
      </c>
      <c r="E112" s="9">
        <f t="shared" si="74"/>
        <v>-12.48</v>
      </c>
      <c r="F112" s="9">
        <f t="shared" si="74"/>
        <v>-4.9119999999999999</v>
      </c>
      <c r="G112" s="9">
        <f t="shared" si="74"/>
        <v>-2.3959999999999999</v>
      </c>
      <c r="H112" s="9">
        <f t="shared" si="74"/>
        <v>-10.36</v>
      </c>
      <c r="I112" s="9">
        <f t="shared" si="74"/>
        <v>-5.5609999999999991</v>
      </c>
      <c r="J112" s="10">
        <f>SUM(F112:I112)</f>
        <v>-23.228999999999999</v>
      </c>
      <c r="K112" s="9">
        <f>-K113*J80</f>
        <v>-28.77585075</v>
      </c>
      <c r="L112" s="9">
        <f t="shared" ref="L112:U112" si="75">-L113*K80</f>
        <v>-101.08571696599999</v>
      </c>
      <c r="M112" s="9">
        <f t="shared" si="75"/>
        <v>-145.84540957346184</v>
      </c>
      <c r="N112" s="9">
        <f t="shared" si="75"/>
        <v>-149.49159574996719</v>
      </c>
      <c r="O112" s="9">
        <f t="shared" si="75"/>
        <v>-144.36164762696239</v>
      </c>
      <c r="P112" s="9">
        <f t="shared" si="75"/>
        <v>-125.22484676930731</v>
      </c>
      <c r="Q112" s="9">
        <f t="shared" si="75"/>
        <v>-102.89014558891127</v>
      </c>
      <c r="R112" s="9">
        <f t="shared" si="75"/>
        <v>-97.508700886065498</v>
      </c>
      <c r="S112" s="9">
        <f t="shared" si="75"/>
        <v>-99.987607917034083</v>
      </c>
      <c r="T112" s="9">
        <f t="shared" si="75"/>
        <v>-101.37275242416088</v>
      </c>
      <c r="U112" s="9">
        <f t="shared" si="75"/>
        <v>-106.36723192476869</v>
      </c>
      <c r="V112" s="9"/>
      <c r="W112" s="9"/>
      <c r="X112" s="9"/>
    </row>
    <row r="113" spans="1:30">
      <c r="A113" s="103" t="s">
        <v>150</v>
      </c>
      <c r="C113" s="9"/>
      <c r="D113" s="32">
        <f>-D112/AVERAGE(C80:D80)</f>
        <v>4.7848557926616006E-2</v>
      </c>
      <c r="E113" s="32">
        <f>-E112/AVERAGE(D80:E80)</f>
        <v>3.6151122118664315E-2</v>
      </c>
      <c r="F113" s="9"/>
      <c r="G113" s="9"/>
      <c r="H113" s="9"/>
      <c r="I113" s="9"/>
      <c r="J113" s="32">
        <f>-J112/AVERAGE(J80,E80)</f>
        <v>0.14245108590666997</v>
      </c>
      <c r="K113" s="113">
        <f>K114+K115</f>
        <v>0.104625</v>
      </c>
      <c r="L113" s="113">
        <f t="shared" ref="L113:U113" si="76">L114+L115</f>
        <v>0.104</v>
      </c>
      <c r="M113" s="113">
        <f t="shared" si="76"/>
        <v>0.1065</v>
      </c>
      <c r="N113" s="113">
        <f t="shared" si="76"/>
        <v>0.104</v>
      </c>
      <c r="O113" s="113">
        <f t="shared" si="76"/>
        <v>0.10149999999999999</v>
      </c>
      <c r="P113" s="113">
        <f t="shared" si="76"/>
        <v>0.10149999999999999</v>
      </c>
      <c r="Q113" s="113">
        <f t="shared" si="76"/>
        <v>0.10149999999999999</v>
      </c>
      <c r="R113" s="113">
        <f t="shared" si="76"/>
        <v>0.10149999999999999</v>
      </c>
      <c r="S113" s="113">
        <f t="shared" si="76"/>
        <v>0.10149999999999999</v>
      </c>
      <c r="T113" s="113">
        <f t="shared" si="76"/>
        <v>0.10149999999999999</v>
      </c>
      <c r="U113" s="113">
        <f t="shared" si="76"/>
        <v>0.10149999999999999</v>
      </c>
      <c r="V113" s="9"/>
      <c r="W113" s="9"/>
      <c r="X113" s="9"/>
    </row>
    <row r="114" spans="1:30">
      <c r="A114" s="103" t="s">
        <v>151</v>
      </c>
      <c r="C114" s="9"/>
      <c r="D114" s="36">
        <f>'AG Concessões'!D119</f>
        <v>9.9166666666666667E-2</v>
      </c>
      <c r="E114" s="36">
        <f>'AG Concessões'!E119</f>
        <v>0.1</v>
      </c>
      <c r="F114" s="111"/>
      <c r="G114" s="111"/>
      <c r="H114" s="111"/>
      <c r="I114" s="111"/>
      <c r="J114" s="113">
        <f>'AG Concessões'!F119</f>
        <v>0.11708333333333334</v>
      </c>
      <c r="K114" s="113">
        <f>'AG Concessões'!G119</f>
        <v>9.3124999999999999E-2</v>
      </c>
      <c r="L114" s="113">
        <f>'AG Concessões'!H119</f>
        <v>9.2499999999999999E-2</v>
      </c>
      <c r="M114" s="113">
        <f>'AG Concessões'!I119</f>
        <v>9.5000000000000001E-2</v>
      </c>
      <c r="N114" s="113">
        <f>'AG Concessões'!J119</f>
        <v>9.2499999999999999E-2</v>
      </c>
      <c r="O114" s="113">
        <f>'AG Concessões'!K119</f>
        <v>0.09</v>
      </c>
      <c r="P114" s="113">
        <f>'AG Concessões'!L119</f>
        <v>0.09</v>
      </c>
      <c r="Q114" s="113">
        <f>'AG Concessões'!M119</f>
        <v>0.09</v>
      </c>
      <c r="R114" s="113">
        <f>'AG Concessões'!N119</f>
        <v>0.09</v>
      </c>
      <c r="S114" s="113">
        <f>'AG Concessões'!O119</f>
        <v>0.09</v>
      </c>
      <c r="T114" s="113">
        <f>'AG Concessões'!P119</f>
        <v>0.09</v>
      </c>
      <c r="U114" s="113">
        <f>'AG Concessões'!Q119</f>
        <v>0.09</v>
      </c>
      <c r="V114" s="9"/>
      <c r="W114" s="9"/>
      <c r="X114" s="9"/>
    </row>
    <row r="115" spans="1:30">
      <c r="A115" s="103" t="s">
        <v>152</v>
      </c>
      <c r="C115" s="9"/>
      <c r="D115" s="36">
        <f>D113-D114</f>
        <v>-5.1318108740050661E-2</v>
      </c>
      <c r="E115" s="36">
        <f>E113-E114</f>
        <v>-6.3848877881335697E-2</v>
      </c>
      <c r="F115" s="9"/>
      <c r="G115" s="9"/>
      <c r="H115" s="9"/>
      <c r="I115" s="9"/>
      <c r="J115" s="36">
        <f>J113-J114</f>
        <v>2.5367752573336622E-2</v>
      </c>
      <c r="K115" s="141">
        <v>1.15E-2</v>
      </c>
      <c r="L115" s="141">
        <v>1.15E-2</v>
      </c>
      <c r="M115" s="141">
        <v>1.15E-2</v>
      </c>
      <c r="N115" s="141">
        <v>1.15E-2</v>
      </c>
      <c r="O115" s="141">
        <v>1.15E-2</v>
      </c>
      <c r="P115" s="141">
        <v>1.15E-2</v>
      </c>
      <c r="Q115" s="141">
        <v>1.15E-2</v>
      </c>
      <c r="R115" s="141">
        <v>1.15E-2</v>
      </c>
      <c r="S115" s="141">
        <v>1.15E-2</v>
      </c>
      <c r="T115" s="141">
        <v>1.15E-2</v>
      </c>
      <c r="U115" s="141">
        <v>1.15E-2</v>
      </c>
      <c r="V115" s="9"/>
      <c r="W115" s="9"/>
      <c r="X115" s="9"/>
    </row>
    <row r="116" spans="1:30">
      <c r="A116" s="103"/>
      <c r="C116" s="9"/>
      <c r="D116" s="9"/>
      <c r="E116" s="9"/>
      <c r="F116" s="9"/>
      <c r="G116" s="9"/>
      <c r="H116" s="9"/>
      <c r="I116" s="9"/>
      <c r="J116" s="10"/>
      <c r="K116" s="9"/>
      <c r="L116" s="9"/>
      <c r="M116" s="9"/>
      <c r="N116" s="9"/>
      <c r="O116" s="9"/>
      <c r="P116" s="9"/>
      <c r="S116" s="9"/>
      <c r="T116" s="9"/>
      <c r="U116" s="9"/>
      <c r="V116" s="9"/>
      <c r="W116" s="9"/>
      <c r="X116" s="9"/>
    </row>
    <row r="117" spans="1:30">
      <c r="A117" s="103" t="s">
        <v>153</v>
      </c>
      <c r="C117" s="9"/>
      <c r="D117" s="9"/>
      <c r="E117" s="9"/>
      <c r="F117" s="9"/>
      <c r="G117" s="9"/>
      <c r="H117" s="9"/>
      <c r="I117" s="9"/>
      <c r="J117" s="10">
        <f>J118+J119</f>
        <v>0</v>
      </c>
      <c r="K117" s="10">
        <f t="shared" ref="K117:U117" si="77">K118+K119</f>
        <v>82.643000000000001</v>
      </c>
      <c r="L117" s="10">
        <f t="shared" si="77"/>
        <v>42.447000000000003</v>
      </c>
      <c r="M117" s="10">
        <f t="shared" si="77"/>
        <v>9.137828571428571</v>
      </c>
      <c r="N117" s="10">
        <f t="shared" si="77"/>
        <v>9.137828571428571</v>
      </c>
      <c r="O117" s="10">
        <f t="shared" si="77"/>
        <v>409.1378285714286</v>
      </c>
      <c r="P117" s="10">
        <f t="shared" si="77"/>
        <v>409.1378285714286</v>
      </c>
      <c r="Q117" s="10">
        <f t="shared" si="77"/>
        <v>436.71301253721742</v>
      </c>
      <c r="R117" s="10">
        <f t="shared" si="77"/>
        <v>150.57305461692735</v>
      </c>
      <c r="S117" s="10">
        <f t="shared" si="77"/>
        <v>170.47727631100724</v>
      </c>
      <c r="T117" s="10">
        <f t="shared" si="77"/>
        <v>188.46850627564609</v>
      </c>
      <c r="U117" s="10">
        <f t="shared" si="77"/>
        <v>209.04982804791973</v>
      </c>
      <c r="V117" s="9"/>
      <c r="W117" s="9"/>
      <c r="X117" s="9"/>
    </row>
    <row r="118" spans="1:30">
      <c r="A118" s="103" t="s">
        <v>154</v>
      </c>
      <c r="C118" s="9"/>
      <c r="D118" s="9"/>
      <c r="E118" s="9"/>
      <c r="F118" s="9"/>
      <c r="G118" s="9"/>
      <c r="H118" s="9"/>
      <c r="I118" s="9"/>
      <c r="J118" s="10"/>
      <c r="K118" s="9">
        <f>J21+J24</f>
        <v>82.643000000000001</v>
      </c>
      <c r="L118" s="9">
        <v>42.447000000000003</v>
      </c>
      <c r="M118" s="9">
        <f t="shared" ref="M118:U118" si="78">159.912/35*2</f>
        <v>9.137828571428571</v>
      </c>
      <c r="N118" s="9">
        <f t="shared" si="78"/>
        <v>9.137828571428571</v>
      </c>
      <c r="O118" s="9">
        <f t="shared" si="78"/>
        <v>9.137828571428571</v>
      </c>
      <c r="P118" s="9">
        <f t="shared" si="78"/>
        <v>9.137828571428571</v>
      </c>
      <c r="Q118" s="9">
        <f t="shared" si="78"/>
        <v>9.137828571428571</v>
      </c>
      <c r="R118" s="9">
        <f t="shared" si="78"/>
        <v>9.137828571428571</v>
      </c>
      <c r="S118" s="9">
        <f t="shared" si="78"/>
        <v>9.137828571428571</v>
      </c>
      <c r="T118" s="9">
        <f t="shared" si="78"/>
        <v>9.137828571428571</v>
      </c>
      <c r="U118" s="9">
        <f t="shared" si="78"/>
        <v>9.137828571428571</v>
      </c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>
      <c r="A119" s="103" t="s">
        <v>155</v>
      </c>
      <c r="C119" s="9"/>
      <c r="D119" s="9"/>
      <c r="E119" s="9"/>
      <c r="F119" s="9"/>
      <c r="G119" s="9"/>
      <c r="H119" s="9"/>
      <c r="I119" s="9"/>
      <c r="J119" s="10"/>
      <c r="K119" s="9"/>
      <c r="L119" s="9"/>
      <c r="M119" s="9"/>
      <c r="N119" s="9"/>
      <c r="O119" s="9">
        <f>K121/2</f>
        <v>400</v>
      </c>
      <c r="P119" s="9">
        <f>K121/2</f>
        <v>400</v>
      </c>
      <c r="Q119" s="9">
        <f>L121</f>
        <v>427.57518396578882</v>
      </c>
      <c r="R119" s="9">
        <f t="shared" ref="R119:U119" si="79">M121</f>
        <v>141.43522604549878</v>
      </c>
      <c r="S119" s="9">
        <f t="shared" si="79"/>
        <v>161.33944773957867</v>
      </c>
      <c r="T119" s="9">
        <f t="shared" si="79"/>
        <v>179.33067770421752</v>
      </c>
      <c r="U119" s="9">
        <f t="shared" si="79"/>
        <v>199.91199947649116</v>
      </c>
      <c r="V119" s="9"/>
      <c r="W119" s="9"/>
      <c r="X119" s="9"/>
    </row>
    <row r="120" spans="1:30">
      <c r="A120" s="103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30">
      <c r="A121" s="104" t="s">
        <v>148</v>
      </c>
      <c r="B121" s="13"/>
      <c r="C121" s="34"/>
      <c r="D121" s="34"/>
      <c r="E121" s="34"/>
      <c r="F121" s="34"/>
      <c r="G121" s="34"/>
      <c r="H121" s="34"/>
      <c r="I121" s="34"/>
      <c r="J121" s="33"/>
      <c r="K121" s="34">
        <v>800</v>
      </c>
      <c r="L121" s="34">
        <f>L122*L87</f>
        <v>427.57518396578882</v>
      </c>
      <c r="M121" s="34">
        <f t="shared" ref="M121:U121" si="80">M122*M87</f>
        <v>141.43522604549878</v>
      </c>
      <c r="N121" s="34">
        <f t="shared" si="80"/>
        <v>161.33944773957867</v>
      </c>
      <c r="O121" s="34">
        <f t="shared" si="80"/>
        <v>179.33067770421752</v>
      </c>
      <c r="P121" s="34">
        <f t="shared" si="80"/>
        <v>199.91199947649116</v>
      </c>
      <c r="Q121" s="34">
        <f t="shared" si="80"/>
        <v>196.67442516881695</v>
      </c>
      <c r="R121" s="34">
        <f t="shared" si="80"/>
        <v>189.71915799904764</v>
      </c>
      <c r="S121" s="34">
        <f t="shared" si="80"/>
        <v>202.15234003871609</v>
      </c>
      <c r="T121" s="34">
        <f t="shared" si="80"/>
        <v>244.70511489413377</v>
      </c>
      <c r="U121" s="34">
        <f t="shared" si="80"/>
        <v>267.09544036706058</v>
      </c>
      <c r="V121" s="9"/>
      <c r="W121" s="9"/>
      <c r="X121" s="9"/>
    </row>
    <row r="122" spans="1:30">
      <c r="C122" s="9"/>
      <c r="D122" s="9"/>
      <c r="E122" s="9"/>
      <c r="F122" s="9"/>
      <c r="G122" s="9"/>
      <c r="H122" s="9"/>
      <c r="I122" s="9"/>
      <c r="J122" s="10"/>
      <c r="K122" s="32"/>
      <c r="L122" s="32">
        <v>1.5</v>
      </c>
      <c r="M122" s="32">
        <v>0.45</v>
      </c>
      <c r="N122" s="32">
        <v>0.45</v>
      </c>
      <c r="O122" s="32">
        <v>0.45</v>
      </c>
      <c r="P122" s="32">
        <v>0.45</v>
      </c>
      <c r="Q122" s="32">
        <v>0.4</v>
      </c>
      <c r="R122" s="32">
        <v>0.35</v>
      </c>
      <c r="S122" s="32">
        <v>0.3</v>
      </c>
      <c r="T122" s="32">
        <v>0.3</v>
      </c>
      <c r="U122" s="32">
        <v>0.3</v>
      </c>
      <c r="V122" s="9"/>
      <c r="W122" s="9"/>
      <c r="X122" s="9"/>
    </row>
    <row r="123" spans="1:30">
      <c r="C123" s="9"/>
      <c r="D123" s="9"/>
      <c r="E123" s="9"/>
      <c r="F123" s="9"/>
      <c r="G123" s="9"/>
      <c r="H123" s="9"/>
      <c r="I123" s="9"/>
      <c r="J123" s="10"/>
      <c r="K123" s="9"/>
      <c r="L123" s="9"/>
      <c r="M123" s="9"/>
      <c r="N123" s="9"/>
      <c r="O123" s="9"/>
      <c r="P123" s="9"/>
      <c r="S123" s="9"/>
      <c r="T123" s="9"/>
      <c r="U123" s="9"/>
      <c r="V123" s="9"/>
      <c r="W123" s="9"/>
      <c r="X123" s="9"/>
    </row>
    <row r="124" spans="1:30">
      <c r="C124" s="9"/>
      <c r="D124" s="9"/>
      <c r="E124" s="9"/>
      <c r="F124" s="9"/>
      <c r="G124" s="9"/>
      <c r="H124" s="9"/>
      <c r="I124" s="9"/>
      <c r="J124" s="10"/>
      <c r="K124" s="9"/>
      <c r="L124" s="9"/>
      <c r="M124" s="9"/>
      <c r="N124" s="9"/>
      <c r="O124" s="9"/>
      <c r="P124" s="9"/>
      <c r="S124" s="9"/>
      <c r="T124" s="9"/>
      <c r="U124" s="9"/>
      <c r="V124" s="9"/>
      <c r="W124" s="9"/>
      <c r="X124" s="9"/>
    </row>
    <row r="125" spans="1:30">
      <c r="C125" s="9"/>
      <c r="D125" s="9"/>
      <c r="E125" s="9"/>
      <c r="F125" s="9"/>
      <c r="G125" s="9"/>
      <c r="H125" s="9"/>
      <c r="I125" s="9"/>
      <c r="J125" s="10"/>
      <c r="K125" s="9"/>
      <c r="L125" s="9"/>
      <c r="M125" s="9"/>
      <c r="N125" s="9"/>
      <c r="O125" s="9"/>
      <c r="P125" s="9"/>
      <c r="S125" s="9"/>
      <c r="T125" s="9"/>
      <c r="U125" s="9"/>
      <c r="V125" s="9"/>
      <c r="W125" s="9"/>
      <c r="X125" s="9"/>
    </row>
    <row r="126" spans="1:30">
      <c r="C126" s="9"/>
      <c r="D126" s="9"/>
      <c r="E126" s="9"/>
      <c r="F126" s="9"/>
      <c r="G126" s="9"/>
      <c r="H126" s="9"/>
      <c r="I126" s="9"/>
      <c r="J126" s="10"/>
      <c r="K126" s="9"/>
      <c r="L126" s="9"/>
      <c r="M126" s="9"/>
      <c r="N126" s="9"/>
      <c r="O126" s="9"/>
      <c r="P126" s="9"/>
      <c r="S126" s="9"/>
      <c r="T126" s="9"/>
      <c r="U126" s="9"/>
      <c r="V126" s="9"/>
      <c r="W126" s="9"/>
      <c r="X126" s="9"/>
    </row>
    <row r="127" spans="1:30">
      <c r="C127" s="9"/>
      <c r="D127" s="9"/>
      <c r="E127" s="9"/>
      <c r="F127" s="9"/>
      <c r="G127" s="9"/>
      <c r="H127" s="9"/>
      <c r="I127" s="137"/>
      <c r="J127" s="136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30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3:24">
      <c r="C129" s="9"/>
      <c r="D129" s="9"/>
      <c r="E129" s="9"/>
      <c r="F129" s="9"/>
      <c r="G129" s="9"/>
      <c r="H129" s="9"/>
      <c r="I129" s="32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9"/>
      <c r="W129" s="9"/>
      <c r="X129" s="9"/>
    </row>
    <row r="130" spans="3:24">
      <c r="C130" s="9"/>
      <c r="D130" s="9"/>
      <c r="E130" s="9"/>
      <c r="F130" s="9"/>
      <c r="G130" s="9"/>
      <c r="H130" s="9"/>
      <c r="I130" s="9"/>
      <c r="J130" s="10"/>
      <c r="K130" s="9"/>
      <c r="L130" s="9"/>
      <c r="M130" s="9"/>
      <c r="N130" s="9"/>
      <c r="O130" s="9"/>
      <c r="P130" s="9"/>
      <c r="S130" s="9"/>
      <c r="T130" s="9"/>
      <c r="U130" s="9"/>
      <c r="V130" s="9"/>
      <c r="W130" s="9"/>
      <c r="X130" s="9"/>
    </row>
    <row r="131" spans="3:24">
      <c r="C131" s="9"/>
      <c r="D131" s="9"/>
      <c r="E131" s="9"/>
      <c r="F131" s="9"/>
      <c r="G131" s="9"/>
      <c r="H131" s="9"/>
      <c r="I131" s="9"/>
      <c r="J131" s="10"/>
      <c r="K131" s="9"/>
      <c r="L131" s="9"/>
      <c r="M131" s="9"/>
      <c r="N131" s="9"/>
      <c r="O131" s="9"/>
      <c r="P131" s="9"/>
      <c r="S131" s="9"/>
      <c r="T131" s="9"/>
      <c r="U131" s="9"/>
      <c r="V131" s="9"/>
      <c r="W131" s="9"/>
      <c r="X131" s="9"/>
    </row>
    <row r="132" spans="3:24">
      <c r="C132" s="9"/>
      <c r="D132" s="9"/>
      <c r="E132" s="9"/>
      <c r="F132" s="9"/>
      <c r="G132" s="9"/>
      <c r="H132" s="9"/>
      <c r="I132" s="9"/>
      <c r="J132" s="10"/>
      <c r="K132" s="9"/>
      <c r="L132" s="9"/>
      <c r="M132" s="9"/>
      <c r="N132" s="9"/>
      <c r="O132" s="9"/>
      <c r="P132" s="9"/>
      <c r="S132" s="9"/>
      <c r="T132" s="9"/>
      <c r="U132" s="9"/>
      <c r="V132" s="9"/>
      <c r="W132" s="9"/>
      <c r="X132" s="9"/>
    </row>
    <row r="133" spans="3:24">
      <c r="C133" s="9"/>
      <c r="D133" s="9"/>
      <c r="E133" s="9"/>
      <c r="F133" s="9"/>
      <c r="G133" s="9"/>
      <c r="H133" s="9"/>
      <c r="I133" s="9"/>
      <c r="J133" s="10"/>
      <c r="K133" s="9"/>
      <c r="L133" s="9"/>
      <c r="M133" s="9"/>
      <c r="N133" s="9"/>
      <c r="O133" s="9"/>
      <c r="P133" s="9"/>
      <c r="S133" s="9"/>
      <c r="T133" s="9"/>
      <c r="U133" s="9"/>
      <c r="V133" s="9"/>
      <c r="W133" s="9"/>
      <c r="X133" s="9"/>
    </row>
    <row r="134" spans="3:24">
      <c r="C134" s="9"/>
      <c r="D134" s="9"/>
      <c r="E134" s="9"/>
      <c r="F134" s="9"/>
      <c r="G134" s="9"/>
      <c r="H134" s="9"/>
      <c r="I134" s="9"/>
      <c r="J134" s="10"/>
      <c r="K134" s="9"/>
      <c r="L134" s="9"/>
      <c r="M134" s="9"/>
      <c r="N134" s="9"/>
      <c r="O134" s="9"/>
      <c r="P134" s="9"/>
      <c r="S134" s="9"/>
      <c r="T134" s="9"/>
      <c r="U134" s="9"/>
      <c r="V134" s="9"/>
      <c r="W134" s="9"/>
      <c r="X134" s="9"/>
    </row>
    <row r="135" spans="3:24">
      <c r="C135" s="9"/>
      <c r="D135" s="9"/>
      <c r="E135" s="9"/>
      <c r="F135" s="9"/>
      <c r="G135" s="9"/>
      <c r="H135" s="9"/>
      <c r="I135" s="9"/>
      <c r="J135" s="10"/>
      <c r="K135" s="9"/>
      <c r="L135" s="9"/>
      <c r="M135" s="9"/>
      <c r="N135" s="9"/>
      <c r="O135" s="9"/>
      <c r="P135" s="9"/>
      <c r="S135" s="9"/>
      <c r="T135" s="9"/>
      <c r="U135" s="9"/>
      <c r="V135" s="9"/>
      <c r="W135" s="9"/>
      <c r="X135" s="9"/>
    </row>
    <row r="136" spans="3:24">
      <c r="C136" s="9"/>
      <c r="D136" s="9"/>
      <c r="E136" s="9"/>
      <c r="F136" s="9"/>
      <c r="G136" s="9"/>
      <c r="H136" s="9"/>
      <c r="I136" s="9"/>
      <c r="J136" s="10"/>
      <c r="K136" s="9"/>
      <c r="L136" s="9"/>
      <c r="M136" s="9"/>
      <c r="N136" s="9"/>
      <c r="O136" s="9"/>
      <c r="P136" s="9"/>
      <c r="S136" s="9"/>
      <c r="T136" s="9"/>
      <c r="U136" s="9"/>
      <c r="V136" s="9"/>
      <c r="W136" s="9"/>
      <c r="X136" s="9"/>
    </row>
    <row r="137" spans="3:24">
      <c r="C137" s="9"/>
      <c r="D137" s="9"/>
      <c r="E137" s="9"/>
      <c r="F137" s="9"/>
      <c r="G137" s="9"/>
      <c r="H137" s="9"/>
      <c r="I137" s="9"/>
      <c r="J137" s="10"/>
      <c r="K137" s="9"/>
      <c r="L137" s="9"/>
      <c r="M137" s="9"/>
      <c r="N137" s="9"/>
      <c r="O137" s="9"/>
      <c r="P137" s="9"/>
      <c r="S137" s="9"/>
      <c r="T137" s="9"/>
      <c r="U137" s="9"/>
      <c r="V137" s="9"/>
      <c r="W137" s="9"/>
      <c r="X137" s="9"/>
    </row>
    <row r="138" spans="3:24">
      <c r="C138" s="9"/>
      <c r="D138" s="9"/>
      <c r="E138" s="9"/>
      <c r="F138" s="9"/>
      <c r="G138" s="9"/>
      <c r="H138" s="9"/>
      <c r="I138" s="9"/>
      <c r="J138" s="10"/>
      <c r="K138" s="9"/>
      <c r="L138" s="9"/>
      <c r="M138" s="9"/>
      <c r="N138" s="9"/>
      <c r="O138" s="9"/>
      <c r="P138" s="9"/>
      <c r="S138" s="9"/>
      <c r="T138" s="9"/>
      <c r="U138" s="9"/>
      <c r="V138" s="9"/>
      <c r="W138" s="9"/>
      <c r="X138" s="9"/>
    </row>
    <row r="139" spans="3:24">
      <c r="C139" s="9"/>
      <c r="D139" s="9"/>
      <c r="E139" s="9"/>
      <c r="F139" s="9"/>
      <c r="G139" s="9"/>
      <c r="H139" s="9"/>
      <c r="I139" s="9"/>
      <c r="J139" s="10"/>
      <c r="K139" s="9"/>
      <c r="L139" s="9"/>
      <c r="M139" s="9"/>
      <c r="N139" s="9"/>
      <c r="O139" s="9"/>
      <c r="P139" s="9"/>
      <c r="S139" s="9"/>
      <c r="T139" s="9"/>
      <c r="U139" s="9"/>
      <c r="V139" s="9"/>
      <c r="W139" s="9"/>
      <c r="X139" s="9"/>
    </row>
    <row r="140" spans="3:24">
      <c r="C140" s="9"/>
      <c r="D140" s="9"/>
      <c r="E140" s="9"/>
      <c r="F140" s="9"/>
      <c r="G140" s="9"/>
      <c r="H140" s="9"/>
      <c r="I140" s="9"/>
      <c r="J140" s="10"/>
      <c r="K140" s="9"/>
      <c r="L140" s="9"/>
      <c r="M140" s="9"/>
      <c r="N140" s="9"/>
      <c r="O140" s="9"/>
      <c r="P140" s="9"/>
      <c r="S140" s="9"/>
      <c r="T140" s="9"/>
      <c r="U140" s="9"/>
      <c r="V140" s="9"/>
      <c r="W140" s="9"/>
      <c r="X140" s="9"/>
    </row>
    <row r="141" spans="3:24">
      <c r="C141" s="9"/>
      <c r="D141" s="9"/>
      <c r="E141" s="9"/>
      <c r="F141" s="9"/>
      <c r="G141" s="9"/>
      <c r="H141" s="9"/>
      <c r="I141" s="9"/>
      <c r="J141" s="10"/>
      <c r="K141" s="9"/>
      <c r="L141" s="9"/>
      <c r="M141" s="9"/>
      <c r="N141" s="9"/>
      <c r="O141" s="9"/>
      <c r="P141" s="9"/>
      <c r="S141" s="9"/>
      <c r="T141" s="9"/>
      <c r="U141" s="9"/>
      <c r="V141" s="9"/>
      <c r="W141" s="9"/>
      <c r="X141" s="9"/>
    </row>
    <row r="142" spans="3:24">
      <c r="C142" s="9"/>
      <c r="D142" s="9"/>
      <c r="E142" s="9"/>
      <c r="F142" s="9"/>
      <c r="G142" s="9"/>
      <c r="H142" s="9"/>
      <c r="I142" s="9"/>
      <c r="J142" s="10"/>
      <c r="K142" s="9"/>
      <c r="L142" s="9"/>
      <c r="M142" s="9"/>
      <c r="N142" s="9"/>
      <c r="O142" s="9"/>
      <c r="P142" s="9"/>
      <c r="S142" s="9"/>
      <c r="T142" s="9"/>
      <c r="U142" s="9"/>
      <c r="V142" s="9"/>
      <c r="W142" s="9"/>
      <c r="X142" s="9"/>
    </row>
    <row r="143" spans="3:24">
      <c r="C143" s="9"/>
      <c r="D143" s="9"/>
      <c r="E143" s="9"/>
      <c r="F143" s="9"/>
      <c r="G143" s="9"/>
      <c r="H143" s="9"/>
      <c r="I143" s="9"/>
      <c r="J143" s="10"/>
      <c r="K143" s="9"/>
      <c r="L143" s="9"/>
      <c r="M143" s="9"/>
      <c r="N143" s="9"/>
      <c r="O143" s="9"/>
      <c r="P143" s="9"/>
      <c r="S143" s="9"/>
      <c r="T143" s="9"/>
      <c r="U143" s="9"/>
      <c r="V143" s="9"/>
      <c r="W143" s="9"/>
      <c r="X143" s="9"/>
    </row>
    <row r="144" spans="3:24">
      <c r="C144" s="9"/>
      <c r="D144" s="9"/>
      <c r="E144" s="9"/>
      <c r="F144" s="9"/>
      <c r="G144" s="9"/>
      <c r="H144" s="9"/>
      <c r="I144" s="9"/>
      <c r="J144" s="10"/>
      <c r="K144" s="9"/>
      <c r="L144" s="9"/>
      <c r="M144" s="9"/>
      <c r="N144" s="9"/>
      <c r="O144" s="9"/>
      <c r="P144" s="9"/>
      <c r="S144" s="9"/>
      <c r="T144" s="9"/>
      <c r="U144" s="9"/>
      <c r="V144" s="9"/>
      <c r="W144" s="9"/>
      <c r="X144" s="9"/>
    </row>
    <row r="145" spans="3:24">
      <c r="C145" s="9"/>
      <c r="D145" s="9"/>
      <c r="E145" s="9"/>
      <c r="F145" s="9"/>
      <c r="G145" s="9"/>
      <c r="H145" s="9"/>
      <c r="I145" s="9"/>
      <c r="J145" s="10"/>
      <c r="K145" s="9"/>
      <c r="L145" s="9"/>
      <c r="M145" s="9"/>
      <c r="N145" s="9"/>
      <c r="O145" s="9"/>
      <c r="P145" s="9"/>
      <c r="S145" s="9"/>
      <c r="T145" s="9"/>
      <c r="U145" s="9"/>
      <c r="V145" s="9"/>
      <c r="W145" s="9"/>
      <c r="X145" s="9"/>
    </row>
    <row r="146" spans="3:24">
      <c r="C146" s="9"/>
      <c r="D146" s="9"/>
      <c r="E146" s="9"/>
      <c r="F146" s="9"/>
      <c r="G146" s="9"/>
      <c r="H146" s="9"/>
      <c r="I146" s="9"/>
      <c r="J146" s="10"/>
      <c r="K146" s="9"/>
      <c r="L146" s="9"/>
      <c r="M146" s="9"/>
      <c r="N146" s="9"/>
      <c r="O146" s="9"/>
      <c r="P146" s="9"/>
      <c r="S146" s="9"/>
      <c r="T146" s="9"/>
      <c r="U146" s="9"/>
      <c r="V146" s="9"/>
      <c r="W146" s="9"/>
      <c r="X146" s="9"/>
    </row>
    <row r="147" spans="3:24">
      <c r="C147" s="9"/>
      <c r="D147" s="9"/>
      <c r="E147" s="9"/>
      <c r="F147" s="9"/>
      <c r="G147" s="9"/>
      <c r="H147" s="9"/>
      <c r="I147" s="9"/>
      <c r="J147" s="10"/>
      <c r="K147" s="9"/>
      <c r="L147" s="9"/>
      <c r="M147" s="9"/>
      <c r="N147" s="9"/>
      <c r="O147" s="9"/>
      <c r="P147" s="9"/>
      <c r="S147" s="9"/>
      <c r="T147" s="9"/>
      <c r="U147" s="9"/>
      <c r="V147" s="9"/>
      <c r="W147" s="9"/>
      <c r="X147" s="9"/>
    </row>
    <row r="148" spans="3:24">
      <c r="C148" s="9"/>
      <c r="D148" s="9"/>
      <c r="E148" s="9"/>
      <c r="F148" s="9"/>
      <c r="G148" s="9"/>
      <c r="H148" s="9"/>
      <c r="I148" s="9"/>
      <c r="J148" s="10"/>
      <c r="K148" s="9"/>
      <c r="L148" s="9"/>
      <c r="M148" s="9"/>
      <c r="N148" s="9"/>
      <c r="O148" s="9"/>
      <c r="P148" s="9"/>
      <c r="S148" s="9"/>
      <c r="T148" s="9"/>
      <c r="U148" s="9"/>
      <c r="V148" s="9"/>
      <c r="W148" s="9"/>
      <c r="X148" s="9"/>
    </row>
    <row r="149" spans="3:24">
      <c r="C149" s="9"/>
      <c r="D149" s="9"/>
      <c r="E149" s="9"/>
      <c r="F149" s="9"/>
      <c r="G149" s="9"/>
      <c r="H149" s="9"/>
      <c r="I149" s="9"/>
      <c r="J149" s="10"/>
      <c r="K149" s="9"/>
      <c r="L149" s="9"/>
      <c r="M149" s="9"/>
      <c r="N149" s="9"/>
      <c r="O149" s="9"/>
      <c r="P149" s="9"/>
      <c r="S149" s="9"/>
      <c r="T149" s="9"/>
      <c r="U149" s="9"/>
      <c r="V149" s="9"/>
      <c r="W149" s="9"/>
      <c r="X149" s="9"/>
    </row>
    <row r="150" spans="3:24">
      <c r="C150" s="9"/>
      <c r="D150" s="9"/>
      <c r="E150" s="9"/>
      <c r="F150" s="9"/>
      <c r="G150" s="9"/>
      <c r="H150" s="9"/>
      <c r="I150" s="9"/>
      <c r="J150" s="10"/>
      <c r="K150" s="9"/>
      <c r="L150" s="9"/>
      <c r="M150" s="9"/>
      <c r="N150" s="9"/>
      <c r="O150" s="9"/>
      <c r="P150" s="9"/>
      <c r="S150" s="9"/>
      <c r="T150" s="9"/>
      <c r="U150" s="9"/>
      <c r="V150" s="9"/>
      <c r="W150" s="9"/>
      <c r="X150" s="9"/>
    </row>
    <row r="151" spans="3:24">
      <c r="C151" s="9"/>
      <c r="D151" s="9"/>
      <c r="E151" s="9"/>
      <c r="F151" s="9"/>
      <c r="G151" s="9"/>
      <c r="H151" s="9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9"/>
      <c r="W151" s="9"/>
      <c r="X151" s="9"/>
    </row>
    <row r="152" spans="3:24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3:24">
      <c r="C153" s="9"/>
      <c r="D153" s="9"/>
      <c r="E153" s="9"/>
      <c r="F153" s="9"/>
      <c r="G153" s="9"/>
      <c r="H153" s="9"/>
      <c r="I153" s="9"/>
      <c r="J153" s="10"/>
      <c r="K153" s="9"/>
      <c r="L153" s="9"/>
      <c r="M153" s="9"/>
      <c r="N153" s="9"/>
      <c r="O153" s="9"/>
      <c r="P153" s="9"/>
      <c r="S153" s="9"/>
      <c r="T153" s="9"/>
      <c r="U153" s="9"/>
      <c r="V153" s="9"/>
      <c r="W153" s="9"/>
      <c r="X153" s="9"/>
    </row>
    <row r="154" spans="3:24">
      <c r="C154" s="9"/>
      <c r="D154" s="9"/>
      <c r="E154" s="9"/>
      <c r="F154" s="9"/>
      <c r="G154" s="9"/>
      <c r="H154" s="9"/>
      <c r="I154" s="9"/>
      <c r="J154" s="10"/>
      <c r="K154" s="9"/>
      <c r="L154" s="9"/>
      <c r="M154" s="9"/>
      <c r="N154" s="9"/>
      <c r="O154" s="9"/>
      <c r="P154" s="9"/>
      <c r="S154" s="9"/>
      <c r="T154" s="9"/>
      <c r="U154" s="9"/>
      <c r="V154" s="9"/>
      <c r="W154" s="9"/>
      <c r="X154" s="9"/>
    </row>
    <row r="155" spans="3:24">
      <c r="C155" s="9"/>
      <c r="D155" s="9"/>
      <c r="E155" s="9"/>
      <c r="F155" s="9"/>
      <c r="G155" s="9"/>
      <c r="H155" s="9"/>
      <c r="I155" s="9"/>
      <c r="J155" s="10"/>
      <c r="K155" s="9"/>
      <c r="L155" s="9"/>
      <c r="M155" s="9"/>
      <c r="N155" s="9"/>
      <c r="O155" s="9"/>
      <c r="P155" s="9"/>
      <c r="S155" s="9"/>
      <c r="T155" s="9"/>
      <c r="U155" s="9"/>
      <c r="V155" s="9"/>
      <c r="W155" s="9"/>
      <c r="X155" s="9"/>
    </row>
    <row r="156" spans="3:24">
      <c r="C156" s="9"/>
      <c r="D156" s="9"/>
      <c r="E156" s="9"/>
      <c r="F156" s="9"/>
      <c r="G156" s="9"/>
      <c r="H156" s="9"/>
      <c r="I156" s="9"/>
      <c r="J156" s="10"/>
      <c r="K156" s="9"/>
      <c r="L156" s="9"/>
      <c r="M156" s="9"/>
      <c r="N156" s="9"/>
      <c r="O156" s="9"/>
      <c r="P156" s="9"/>
      <c r="S156" s="9"/>
      <c r="T156" s="9"/>
      <c r="U156" s="9"/>
      <c r="V156" s="9"/>
      <c r="W156" s="9"/>
      <c r="X156" s="9"/>
    </row>
    <row r="157" spans="3:24">
      <c r="C157" s="9"/>
      <c r="D157" s="9"/>
      <c r="E157" s="9"/>
      <c r="F157" s="9"/>
      <c r="G157" s="9"/>
      <c r="H157" s="9"/>
      <c r="I157" s="9"/>
      <c r="J157" s="10"/>
      <c r="K157" s="9"/>
      <c r="L157" s="9"/>
      <c r="M157" s="9"/>
      <c r="N157" s="9"/>
      <c r="O157" s="9"/>
      <c r="P157" s="9"/>
      <c r="S157" s="9"/>
      <c r="T157" s="9"/>
      <c r="U157" s="9"/>
      <c r="V157" s="9"/>
      <c r="W157" s="9"/>
      <c r="X157" s="9"/>
    </row>
    <row r="158" spans="3:24">
      <c r="C158" s="9"/>
      <c r="D158" s="9"/>
      <c r="E158" s="9"/>
      <c r="F158" s="9"/>
      <c r="G158" s="9"/>
      <c r="H158" s="9"/>
      <c r="I158" s="9"/>
      <c r="J158" s="10"/>
      <c r="K158" s="9"/>
      <c r="L158" s="9"/>
      <c r="M158" s="9"/>
      <c r="N158" s="9"/>
      <c r="O158" s="9"/>
      <c r="P158" s="9"/>
      <c r="S158" s="9"/>
      <c r="T158" s="9"/>
      <c r="U158" s="9"/>
      <c r="V158" s="9"/>
      <c r="W158" s="9"/>
      <c r="X158" s="9"/>
    </row>
    <row r="159" spans="3:24">
      <c r="C159" s="9"/>
      <c r="D159" s="9"/>
      <c r="E159" s="9"/>
      <c r="F159" s="9"/>
      <c r="G159" s="9"/>
      <c r="H159" s="9"/>
      <c r="I159" s="9"/>
      <c r="J159" s="10"/>
      <c r="K159" s="9"/>
      <c r="L159" s="9"/>
      <c r="M159" s="9"/>
      <c r="N159" s="9"/>
      <c r="O159" s="9"/>
      <c r="P159" s="9"/>
      <c r="S159" s="9"/>
      <c r="T159" s="9"/>
      <c r="U159" s="9"/>
      <c r="V159" s="9"/>
      <c r="W159" s="9"/>
      <c r="X159" s="9"/>
    </row>
    <row r="160" spans="3:24">
      <c r="C160" s="9"/>
      <c r="D160" s="9"/>
      <c r="E160" s="9"/>
      <c r="F160" s="9"/>
      <c r="G160" s="9"/>
      <c r="H160" s="9"/>
      <c r="I160" s="9"/>
      <c r="J160" s="10"/>
      <c r="K160" s="9"/>
      <c r="L160" s="9"/>
      <c r="M160" s="9"/>
      <c r="N160" s="9"/>
      <c r="O160" s="9"/>
      <c r="P160" s="9"/>
      <c r="S160" s="9"/>
      <c r="T160" s="9"/>
      <c r="U160" s="9"/>
      <c r="V160" s="9"/>
      <c r="W160" s="9"/>
      <c r="X160" s="9"/>
    </row>
    <row r="161" spans="3:24">
      <c r="C161" s="9"/>
      <c r="D161" s="9"/>
      <c r="E161" s="9"/>
      <c r="F161" s="9"/>
      <c r="G161" s="9"/>
      <c r="H161" s="9"/>
      <c r="I161" s="9"/>
      <c r="J161" s="10"/>
      <c r="K161" s="9"/>
      <c r="L161" s="9"/>
      <c r="M161" s="9"/>
      <c r="N161" s="9"/>
      <c r="O161" s="9"/>
      <c r="P161" s="9"/>
      <c r="S161" s="9"/>
      <c r="T161" s="9"/>
      <c r="U161" s="9"/>
      <c r="V161" s="9"/>
      <c r="W161" s="9"/>
      <c r="X161" s="9"/>
    </row>
    <row r="162" spans="3:24">
      <c r="C162" s="9"/>
      <c r="D162" s="9"/>
      <c r="E162" s="9"/>
      <c r="F162" s="9"/>
      <c r="G162" s="9"/>
      <c r="H162" s="9"/>
      <c r="I162" s="9"/>
      <c r="J162" s="10"/>
      <c r="K162" s="9"/>
      <c r="L162" s="9"/>
      <c r="M162" s="9"/>
      <c r="N162" s="9"/>
      <c r="O162" s="9"/>
      <c r="P162" s="9"/>
      <c r="S162" s="9"/>
      <c r="T162" s="9"/>
      <c r="U162" s="9"/>
      <c r="V162" s="9"/>
      <c r="W162" s="9"/>
      <c r="X162" s="9"/>
    </row>
    <row r="163" spans="3:24">
      <c r="C163" s="9"/>
      <c r="D163" s="9"/>
      <c r="E163" s="9"/>
      <c r="F163" s="9"/>
      <c r="G163" s="9"/>
      <c r="H163" s="9"/>
      <c r="I163" s="9"/>
      <c r="J163" s="10"/>
      <c r="K163" s="9"/>
      <c r="L163" s="9"/>
      <c r="M163" s="9"/>
      <c r="N163" s="9"/>
      <c r="O163" s="9"/>
      <c r="P163" s="9"/>
      <c r="S163" s="9"/>
      <c r="T163" s="9"/>
      <c r="U163" s="9"/>
      <c r="V163" s="9"/>
      <c r="W163" s="9"/>
      <c r="X163" s="9"/>
    </row>
    <row r="164" spans="3:24">
      <c r="C164" s="9"/>
      <c r="D164" s="9"/>
      <c r="E164" s="9"/>
      <c r="F164" s="9"/>
      <c r="G164" s="9"/>
      <c r="H164" s="9"/>
      <c r="I164" s="9"/>
      <c r="J164" s="10"/>
      <c r="K164" s="9"/>
      <c r="L164" s="9"/>
      <c r="M164" s="9"/>
      <c r="N164" s="9"/>
      <c r="O164" s="9"/>
      <c r="P164" s="9"/>
      <c r="S164" s="9"/>
      <c r="T164" s="9"/>
      <c r="U164" s="9"/>
      <c r="V164" s="9"/>
      <c r="W164" s="9"/>
      <c r="X164" s="9"/>
    </row>
    <row r="165" spans="3:24">
      <c r="C165" s="9"/>
      <c r="D165" s="9"/>
      <c r="E165" s="9"/>
      <c r="F165" s="9"/>
      <c r="G165" s="9"/>
      <c r="H165" s="9"/>
      <c r="I165" s="9"/>
      <c r="J165" s="10"/>
      <c r="K165" s="9"/>
      <c r="L165" s="9"/>
      <c r="M165" s="9"/>
      <c r="N165" s="9"/>
      <c r="O165" s="9"/>
      <c r="P165" s="9"/>
      <c r="S165" s="9"/>
      <c r="T165" s="9"/>
      <c r="U165" s="9"/>
      <c r="V165" s="9"/>
      <c r="W165" s="9"/>
      <c r="X165" s="9"/>
    </row>
    <row r="166" spans="3:24">
      <c r="C166" s="9"/>
      <c r="D166" s="9"/>
      <c r="E166" s="9"/>
      <c r="F166" s="9"/>
      <c r="G166" s="9"/>
      <c r="H166" s="9"/>
      <c r="I166" s="9"/>
      <c r="J166" s="10"/>
      <c r="K166" s="9"/>
      <c r="L166" s="9"/>
      <c r="M166" s="9"/>
      <c r="N166" s="9"/>
      <c r="O166" s="9"/>
      <c r="P166" s="9"/>
      <c r="S166" s="9"/>
      <c r="T166" s="9"/>
      <c r="U166" s="9"/>
      <c r="V166" s="9"/>
      <c r="W166" s="9"/>
      <c r="X166" s="9"/>
    </row>
    <row r="167" spans="3:24">
      <c r="C167" s="9"/>
      <c r="D167" s="9"/>
      <c r="E167" s="9"/>
      <c r="F167" s="9"/>
      <c r="G167" s="9"/>
      <c r="H167" s="9"/>
      <c r="I167" s="9"/>
      <c r="J167" s="10"/>
      <c r="K167" s="9"/>
      <c r="L167" s="9"/>
      <c r="M167" s="9"/>
      <c r="N167" s="9"/>
      <c r="O167" s="9"/>
      <c r="P167" s="9"/>
      <c r="S167" s="9"/>
      <c r="T167" s="9"/>
      <c r="U167" s="9"/>
      <c r="V167" s="9"/>
      <c r="W167" s="9"/>
      <c r="X167" s="9"/>
    </row>
    <row r="168" spans="3:24">
      <c r="C168" s="9"/>
      <c r="D168" s="9"/>
      <c r="E168" s="9"/>
      <c r="F168" s="9"/>
      <c r="G168" s="9"/>
      <c r="H168" s="9"/>
      <c r="I168" s="9"/>
      <c r="J168" s="10"/>
      <c r="K168" s="9"/>
      <c r="L168" s="9"/>
      <c r="M168" s="9"/>
      <c r="N168" s="9"/>
      <c r="O168" s="9"/>
      <c r="P168" s="9"/>
      <c r="S168" s="9"/>
      <c r="T168" s="9"/>
      <c r="U168" s="9"/>
      <c r="V168" s="9"/>
      <c r="W168" s="9"/>
      <c r="X168" s="9"/>
    </row>
    <row r="169" spans="3:24">
      <c r="C169" s="9"/>
      <c r="D169" s="9"/>
      <c r="E169" s="9"/>
      <c r="F169" s="9"/>
      <c r="G169" s="9"/>
      <c r="H169" s="9"/>
      <c r="I169" s="9"/>
      <c r="J169" s="10"/>
      <c r="K169" s="9"/>
      <c r="L169" s="9"/>
      <c r="M169" s="9"/>
      <c r="N169" s="9"/>
      <c r="O169" s="9"/>
      <c r="P169" s="9"/>
      <c r="S169" s="9"/>
      <c r="T169" s="9"/>
      <c r="U169" s="9"/>
      <c r="V169" s="9"/>
      <c r="W169" s="9"/>
      <c r="X169" s="9"/>
    </row>
    <row r="170" spans="3:24">
      <c r="C170" s="9"/>
      <c r="D170" s="9"/>
      <c r="E170" s="9"/>
      <c r="F170" s="9"/>
      <c r="G170" s="9"/>
      <c r="H170" s="9"/>
      <c r="I170" s="9"/>
      <c r="J170" s="10"/>
      <c r="K170" s="9"/>
      <c r="L170" s="9"/>
      <c r="M170" s="9"/>
      <c r="N170" s="9"/>
      <c r="O170" s="9"/>
      <c r="P170" s="9"/>
      <c r="S170" s="9"/>
      <c r="T170" s="9"/>
      <c r="U170" s="9"/>
      <c r="V170" s="9"/>
      <c r="W170" s="9"/>
      <c r="X170" s="9"/>
    </row>
    <row r="171" spans="3:24">
      <c r="C171" s="9"/>
      <c r="D171" s="9"/>
      <c r="E171" s="9"/>
      <c r="F171" s="9"/>
      <c r="G171" s="9"/>
      <c r="H171" s="9"/>
      <c r="I171" s="9"/>
      <c r="J171" s="10"/>
      <c r="K171" s="9"/>
      <c r="L171" s="9"/>
      <c r="M171" s="9"/>
      <c r="N171" s="9"/>
      <c r="O171" s="9"/>
      <c r="P171" s="9"/>
      <c r="S171" s="9"/>
      <c r="T171" s="9"/>
      <c r="U171" s="9"/>
      <c r="V171" s="9"/>
      <c r="W171" s="9"/>
      <c r="X171" s="9"/>
    </row>
    <row r="172" spans="3:24">
      <c r="C172" s="9"/>
      <c r="D172" s="9"/>
      <c r="E172" s="9"/>
      <c r="F172" s="9"/>
      <c r="G172" s="9"/>
      <c r="H172" s="9"/>
      <c r="I172" s="9"/>
      <c r="J172" s="10"/>
      <c r="K172" s="9"/>
      <c r="L172" s="9"/>
      <c r="M172" s="9"/>
      <c r="N172" s="9"/>
      <c r="O172" s="9"/>
      <c r="P172" s="9"/>
      <c r="S172" s="9"/>
      <c r="T172" s="9"/>
      <c r="U172" s="9"/>
      <c r="V172" s="9"/>
      <c r="W172" s="9"/>
      <c r="X172" s="9"/>
    </row>
    <row r="173" spans="3:24">
      <c r="C173" s="9"/>
      <c r="D173" s="9"/>
      <c r="E173" s="9"/>
      <c r="F173" s="9"/>
      <c r="G173" s="9"/>
      <c r="H173" s="9"/>
      <c r="I173" s="9"/>
      <c r="J173" s="10"/>
      <c r="K173" s="9"/>
      <c r="L173" s="9"/>
      <c r="M173" s="9"/>
      <c r="N173" s="9"/>
      <c r="O173" s="9"/>
      <c r="P173" s="9"/>
      <c r="S173" s="9"/>
      <c r="T173" s="9"/>
      <c r="U173" s="9"/>
      <c r="V173" s="9"/>
      <c r="W173" s="9"/>
      <c r="X173" s="9"/>
    </row>
    <row r="174" spans="3:24">
      <c r="C174" s="9"/>
      <c r="D174" s="9"/>
      <c r="E174" s="9"/>
      <c r="F174" s="9"/>
      <c r="G174" s="9"/>
      <c r="H174" s="9"/>
      <c r="I174" s="9"/>
      <c r="J174" s="10"/>
      <c r="K174" s="9"/>
      <c r="L174" s="9"/>
      <c r="M174" s="9"/>
      <c r="N174" s="9"/>
      <c r="O174" s="9"/>
      <c r="P174" s="9"/>
      <c r="S174" s="9"/>
      <c r="T174" s="9"/>
      <c r="U174" s="9"/>
      <c r="V174" s="9"/>
      <c r="W174" s="9"/>
      <c r="X174" s="9"/>
    </row>
    <row r="175" spans="3:24">
      <c r="C175" s="9"/>
      <c r="D175" s="9"/>
      <c r="E175" s="9"/>
      <c r="F175" s="9"/>
      <c r="G175" s="9"/>
      <c r="H175" s="9"/>
      <c r="I175" s="9"/>
      <c r="J175" s="10"/>
      <c r="K175" s="9"/>
      <c r="L175" s="9"/>
      <c r="M175" s="9"/>
      <c r="N175" s="9"/>
      <c r="O175" s="9"/>
      <c r="P175" s="9"/>
      <c r="S175" s="9"/>
      <c r="T175" s="9"/>
      <c r="U175" s="9"/>
      <c r="V175" s="9"/>
      <c r="W175" s="9"/>
      <c r="X175" s="9"/>
    </row>
    <row r="176" spans="3:24">
      <c r="C176" s="9"/>
      <c r="D176" s="9"/>
      <c r="E176" s="9"/>
      <c r="F176" s="9"/>
      <c r="G176" s="9"/>
      <c r="H176" s="9"/>
      <c r="I176" s="9"/>
      <c r="J176" s="10"/>
      <c r="K176" s="9"/>
      <c r="L176" s="9"/>
      <c r="M176" s="9"/>
      <c r="N176" s="9"/>
      <c r="O176" s="9"/>
      <c r="P176" s="9"/>
      <c r="S176" s="9"/>
      <c r="T176" s="9"/>
      <c r="U176" s="9"/>
      <c r="V176" s="9"/>
      <c r="W176" s="9"/>
      <c r="X176" s="9"/>
    </row>
    <row r="177" spans="3:24">
      <c r="C177" s="9"/>
      <c r="D177" s="9"/>
      <c r="E177" s="9"/>
      <c r="F177" s="9"/>
      <c r="G177" s="9"/>
      <c r="H177" s="9"/>
      <c r="I177" s="9"/>
      <c r="J177" s="10"/>
      <c r="K177" s="9"/>
      <c r="L177" s="9"/>
      <c r="M177" s="9"/>
      <c r="N177" s="9"/>
      <c r="O177" s="9"/>
      <c r="P177" s="9"/>
      <c r="S177" s="9"/>
      <c r="T177" s="9"/>
      <c r="U177" s="9"/>
      <c r="V177" s="9"/>
      <c r="W177" s="9"/>
      <c r="X177" s="9"/>
    </row>
    <row r="178" spans="3:24">
      <c r="C178" s="9"/>
      <c r="D178" s="9"/>
      <c r="E178" s="9"/>
      <c r="F178" s="9"/>
      <c r="G178" s="9"/>
      <c r="H178" s="9"/>
      <c r="I178" s="9"/>
      <c r="J178" s="10"/>
      <c r="K178" s="9"/>
      <c r="L178" s="9"/>
      <c r="M178" s="9"/>
      <c r="N178" s="9"/>
      <c r="O178" s="9"/>
      <c r="P178" s="9"/>
      <c r="S178" s="9"/>
      <c r="T178" s="9"/>
      <c r="U178" s="9"/>
      <c r="V178" s="9"/>
      <c r="W178" s="9"/>
      <c r="X178" s="9"/>
    </row>
    <row r="179" spans="3:24">
      <c r="C179" s="9"/>
      <c r="D179" s="9"/>
      <c r="E179" s="9"/>
      <c r="F179" s="9"/>
      <c r="G179" s="9"/>
      <c r="H179" s="9"/>
      <c r="I179" s="9"/>
      <c r="J179" s="10"/>
      <c r="K179" s="9"/>
      <c r="L179" s="9"/>
      <c r="M179" s="9"/>
      <c r="N179" s="9"/>
      <c r="O179" s="9"/>
      <c r="P179" s="9"/>
      <c r="S179" s="9"/>
      <c r="T179" s="9"/>
      <c r="U179" s="9"/>
      <c r="V179" s="9"/>
      <c r="W179" s="9"/>
      <c r="X179" s="9"/>
    </row>
    <row r="180" spans="3:24">
      <c r="C180" s="9"/>
      <c r="D180" s="9"/>
      <c r="E180" s="9"/>
      <c r="F180" s="9"/>
      <c r="G180" s="9"/>
      <c r="H180" s="9"/>
      <c r="I180" s="9"/>
      <c r="J180" s="10"/>
      <c r="K180" s="9"/>
      <c r="L180" s="9"/>
      <c r="M180" s="9"/>
      <c r="N180" s="9"/>
      <c r="O180" s="9"/>
      <c r="P180" s="9"/>
      <c r="S180" s="9"/>
      <c r="T180" s="9"/>
      <c r="U180" s="9"/>
      <c r="V180" s="9"/>
      <c r="W180" s="9"/>
      <c r="X180" s="9"/>
    </row>
    <row r="181" spans="3:24">
      <c r="C181" s="9"/>
      <c r="D181" s="9"/>
      <c r="E181" s="9"/>
      <c r="F181" s="9"/>
      <c r="G181" s="9"/>
      <c r="H181" s="9"/>
      <c r="I181" s="9"/>
      <c r="J181" s="10"/>
      <c r="K181" s="9"/>
      <c r="L181" s="9"/>
      <c r="M181" s="9"/>
      <c r="N181" s="9"/>
      <c r="O181" s="9"/>
      <c r="P181" s="9"/>
      <c r="S181" s="9"/>
      <c r="T181" s="9"/>
      <c r="U181" s="9"/>
      <c r="V181" s="9"/>
      <c r="W181" s="9"/>
      <c r="X181" s="9"/>
    </row>
    <row r="182" spans="3:24">
      <c r="C182" s="9"/>
      <c r="D182" s="9"/>
      <c r="E182" s="9"/>
      <c r="F182" s="9"/>
      <c r="G182" s="9"/>
      <c r="H182" s="9"/>
      <c r="I182" s="9"/>
      <c r="J182" s="10"/>
      <c r="K182" s="9"/>
      <c r="L182" s="9"/>
      <c r="M182" s="9"/>
      <c r="N182" s="9"/>
      <c r="O182" s="9"/>
      <c r="P182" s="9"/>
      <c r="S182" s="9"/>
      <c r="T182" s="9"/>
      <c r="U182" s="9"/>
      <c r="V182" s="9"/>
      <c r="W182" s="9"/>
      <c r="X182" s="9"/>
    </row>
    <row r="183" spans="3:24">
      <c r="C183" s="9"/>
      <c r="D183" s="9"/>
      <c r="E183" s="9"/>
      <c r="F183" s="9"/>
      <c r="G183" s="9"/>
      <c r="H183" s="9"/>
      <c r="I183" s="9"/>
      <c r="J183" s="10"/>
      <c r="K183" s="9"/>
      <c r="L183" s="9"/>
      <c r="M183" s="9"/>
      <c r="N183" s="9"/>
      <c r="O183" s="9"/>
      <c r="P183" s="9"/>
      <c r="S183" s="9"/>
      <c r="T183" s="9"/>
      <c r="U183" s="9"/>
      <c r="V183" s="9"/>
      <c r="W183" s="9"/>
      <c r="X183" s="9"/>
    </row>
    <row r="184" spans="3:24">
      <c r="C184" s="9"/>
      <c r="D184" s="9"/>
      <c r="E184" s="9"/>
      <c r="F184" s="9"/>
      <c r="G184" s="9"/>
      <c r="H184" s="9"/>
      <c r="I184" s="9"/>
      <c r="J184" s="10"/>
      <c r="K184" s="9"/>
      <c r="L184" s="9"/>
      <c r="M184" s="9"/>
      <c r="N184" s="9"/>
      <c r="O184" s="9"/>
      <c r="P184" s="9"/>
      <c r="S184" s="9"/>
      <c r="T184" s="9"/>
      <c r="U184" s="9"/>
      <c r="V184" s="9"/>
      <c r="W184" s="9"/>
      <c r="X184" s="9"/>
    </row>
    <row r="185" spans="3:24">
      <c r="C185" s="9"/>
      <c r="D185" s="9"/>
      <c r="E185" s="9"/>
      <c r="F185" s="9"/>
      <c r="G185" s="9"/>
      <c r="H185" s="9"/>
      <c r="I185" s="9"/>
      <c r="J185" s="10"/>
      <c r="K185" s="9"/>
      <c r="L185" s="9"/>
      <c r="M185" s="9"/>
      <c r="N185" s="9"/>
      <c r="O185" s="9"/>
      <c r="P185" s="9"/>
      <c r="S185" s="9"/>
      <c r="T185" s="9"/>
      <c r="U185" s="9"/>
      <c r="V185" s="9"/>
      <c r="W185" s="9"/>
      <c r="X185" s="9"/>
    </row>
    <row r="186" spans="3:24">
      <c r="C186" s="9"/>
      <c r="D186" s="9"/>
      <c r="E186" s="9"/>
      <c r="F186" s="9"/>
      <c r="G186" s="9"/>
      <c r="H186" s="9"/>
      <c r="I186" s="9"/>
      <c r="J186" s="10"/>
      <c r="K186" s="9"/>
      <c r="L186" s="9"/>
      <c r="M186" s="9"/>
      <c r="N186" s="9"/>
      <c r="O186" s="9"/>
      <c r="P186" s="9"/>
      <c r="S186" s="9"/>
      <c r="T186" s="9"/>
      <c r="U186" s="9"/>
      <c r="V186" s="9"/>
      <c r="W186" s="9"/>
      <c r="X186" s="9"/>
    </row>
    <row r="187" spans="3:24">
      <c r="C187" s="9"/>
      <c r="D187" s="9"/>
      <c r="E187" s="9"/>
      <c r="F187" s="9"/>
      <c r="G187" s="9"/>
      <c r="H187" s="9"/>
      <c r="I187" s="9"/>
      <c r="J187" s="10"/>
      <c r="K187" s="9"/>
      <c r="L187" s="9"/>
      <c r="M187" s="9"/>
      <c r="N187" s="9"/>
      <c r="O187" s="9"/>
      <c r="P187" s="9"/>
      <c r="S187" s="9"/>
      <c r="T187" s="9"/>
      <c r="U187" s="9"/>
      <c r="V187" s="9"/>
      <c r="W187" s="9"/>
      <c r="X187" s="9"/>
    </row>
    <row r="188" spans="3:24">
      <c r="C188" s="9"/>
      <c r="D188" s="9"/>
      <c r="E188" s="9"/>
      <c r="F188" s="9"/>
      <c r="G188" s="9"/>
      <c r="H188" s="9"/>
      <c r="I188" s="9"/>
      <c r="J188" s="10"/>
      <c r="K188" s="9"/>
      <c r="L188" s="9"/>
      <c r="M188" s="9"/>
      <c r="N188" s="9"/>
      <c r="O188" s="9"/>
      <c r="P188" s="9"/>
      <c r="S188" s="9"/>
      <c r="T188" s="9"/>
      <c r="U188" s="9"/>
      <c r="V188" s="9"/>
      <c r="W188" s="9"/>
      <c r="X188" s="9"/>
    </row>
    <row r="189" spans="3:24">
      <c r="C189" s="9"/>
      <c r="D189" s="9"/>
      <c r="E189" s="9"/>
      <c r="F189" s="9"/>
      <c r="G189" s="9"/>
      <c r="H189" s="9"/>
      <c r="I189" s="9"/>
      <c r="J189" s="10"/>
      <c r="K189" s="9"/>
      <c r="L189" s="9"/>
      <c r="M189" s="9"/>
      <c r="N189" s="9"/>
      <c r="O189" s="9"/>
      <c r="P189" s="9"/>
      <c r="S189" s="9"/>
      <c r="T189" s="9"/>
      <c r="U189" s="9"/>
      <c r="V189" s="9"/>
      <c r="W189" s="9"/>
      <c r="X189" s="9"/>
    </row>
    <row r="190" spans="3:24">
      <c r="C190" s="9"/>
      <c r="D190" s="9"/>
      <c r="E190" s="9"/>
      <c r="F190" s="9"/>
      <c r="G190" s="9"/>
      <c r="H190" s="9"/>
      <c r="I190" s="9"/>
      <c r="J190" s="10"/>
      <c r="K190" s="9"/>
      <c r="L190" s="9"/>
      <c r="M190" s="9"/>
      <c r="N190" s="9"/>
      <c r="O190" s="9"/>
      <c r="P190" s="9"/>
      <c r="S190" s="9"/>
      <c r="T190" s="9"/>
      <c r="U190" s="9"/>
      <c r="V190" s="9"/>
      <c r="W190" s="9"/>
      <c r="X190" s="9"/>
    </row>
    <row r="191" spans="3:24">
      <c r="C191" s="9"/>
      <c r="D191" s="9"/>
      <c r="E191" s="9"/>
      <c r="F191" s="9"/>
      <c r="G191" s="9"/>
      <c r="H191" s="9"/>
      <c r="I191" s="9"/>
      <c r="J191" s="10"/>
      <c r="K191" s="9"/>
      <c r="L191" s="9"/>
      <c r="M191" s="9"/>
      <c r="N191" s="9"/>
      <c r="O191" s="9"/>
      <c r="P191" s="9"/>
      <c r="S191" s="9"/>
      <c r="T191" s="9"/>
      <c r="U191" s="9"/>
      <c r="V191" s="9"/>
      <c r="W191" s="9"/>
      <c r="X191" s="9"/>
    </row>
    <row r="192" spans="3:24">
      <c r="C192" s="9"/>
      <c r="D192" s="9"/>
      <c r="E192" s="9"/>
      <c r="F192" s="9"/>
      <c r="G192" s="9"/>
      <c r="H192" s="9"/>
      <c r="I192" s="9"/>
      <c r="J192" s="10"/>
      <c r="K192" s="9"/>
      <c r="L192" s="9"/>
      <c r="M192" s="9"/>
      <c r="N192" s="9"/>
      <c r="O192" s="9"/>
      <c r="P192" s="9"/>
      <c r="S192" s="9"/>
      <c r="T192" s="9"/>
      <c r="U192" s="9"/>
      <c r="V192" s="9"/>
      <c r="W192" s="9"/>
      <c r="X192" s="9"/>
    </row>
    <row r="193" spans="3:24">
      <c r="C193" s="9"/>
      <c r="D193" s="9"/>
      <c r="E193" s="9"/>
      <c r="F193" s="9"/>
      <c r="G193" s="9"/>
      <c r="H193" s="9"/>
      <c r="I193" s="9"/>
      <c r="J193" s="10"/>
      <c r="K193" s="9"/>
      <c r="L193" s="9"/>
      <c r="M193" s="9"/>
      <c r="N193" s="9"/>
      <c r="O193" s="9"/>
      <c r="P193" s="9"/>
      <c r="S193" s="9"/>
      <c r="T193" s="9"/>
      <c r="U193" s="9"/>
      <c r="V193" s="9"/>
      <c r="W193" s="9"/>
      <c r="X193" s="9"/>
    </row>
    <row r="194" spans="3:24">
      <c r="C194" s="9"/>
      <c r="D194" s="9"/>
      <c r="E194" s="9"/>
      <c r="F194" s="9"/>
      <c r="G194" s="9"/>
      <c r="H194" s="9"/>
      <c r="I194" s="9"/>
      <c r="J194" s="10"/>
      <c r="K194" s="9"/>
      <c r="L194" s="9"/>
      <c r="M194" s="9"/>
      <c r="N194" s="9"/>
      <c r="O194" s="9"/>
      <c r="P194" s="9"/>
      <c r="S194" s="9"/>
      <c r="T194" s="9"/>
      <c r="U194" s="9"/>
      <c r="V194" s="9"/>
      <c r="W194" s="9"/>
      <c r="X194" s="9"/>
    </row>
    <row r="195" spans="3:24">
      <c r="C195" s="9"/>
      <c r="D195" s="9"/>
      <c r="E195" s="9"/>
      <c r="F195" s="9"/>
      <c r="G195" s="9"/>
      <c r="H195" s="9"/>
      <c r="I195" s="9"/>
      <c r="J195" s="10"/>
      <c r="K195" s="9"/>
      <c r="L195" s="9"/>
      <c r="M195" s="9"/>
      <c r="N195" s="9"/>
      <c r="O195" s="9"/>
      <c r="P195" s="9"/>
      <c r="S195" s="9"/>
      <c r="T195" s="9"/>
      <c r="U195" s="9"/>
      <c r="V195" s="9"/>
      <c r="W195" s="9"/>
      <c r="X195" s="9"/>
    </row>
    <row r="196" spans="3:24">
      <c r="C196" s="9"/>
      <c r="D196" s="9"/>
      <c r="E196" s="9"/>
      <c r="F196" s="9"/>
      <c r="G196" s="9"/>
      <c r="H196" s="9"/>
      <c r="I196" s="9"/>
      <c r="J196" s="10"/>
      <c r="K196" s="9"/>
      <c r="L196" s="9"/>
      <c r="M196" s="9"/>
      <c r="N196" s="9"/>
      <c r="O196" s="9"/>
      <c r="P196" s="9"/>
      <c r="S196" s="9"/>
      <c r="T196" s="9"/>
      <c r="U196" s="9"/>
      <c r="V196" s="9"/>
      <c r="W196" s="9"/>
      <c r="X196" s="9"/>
    </row>
    <row r="197" spans="3:24">
      <c r="C197" s="9"/>
      <c r="D197" s="9"/>
      <c r="E197" s="9"/>
      <c r="F197" s="9"/>
      <c r="G197" s="9"/>
      <c r="H197" s="9"/>
      <c r="I197" s="9"/>
      <c r="J197" s="10"/>
      <c r="K197" s="9"/>
      <c r="L197" s="9"/>
      <c r="M197" s="9"/>
      <c r="N197" s="9"/>
      <c r="O197" s="9"/>
      <c r="P197" s="9"/>
      <c r="S197" s="9"/>
      <c r="T197" s="9"/>
      <c r="U197" s="9"/>
      <c r="V197" s="9"/>
      <c r="W197" s="9"/>
      <c r="X197" s="9"/>
    </row>
    <row r="198" spans="3:24">
      <c r="C198" s="9"/>
      <c r="D198" s="9"/>
      <c r="E198" s="9"/>
      <c r="F198" s="9"/>
      <c r="G198" s="9"/>
      <c r="H198" s="9"/>
      <c r="I198" s="9"/>
      <c r="J198" s="10"/>
      <c r="K198" s="9"/>
      <c r="L198" s="9"/>
      <c r="M198" s="9"/>
      <c r="N198" s="9"/>
      <c r="O198" s="9"/>
      <c r="P198" s="9"/>
      <c r="S198" s="9"/>
      <c r="T198" s="9"/>
      <c r="U198" s="9"/>
      <c r="V198" s="9"/>
      <c r="W198" s="9"/>
      <c r="X198" s="9"/>
    </row>
    <row r="199" spans="3:24">
      <c r="C199" s="9"/>
      <c r="D199" s="9"/>
      <c r="E199" s="9"/>
      <c r="F199" s="9"/>
      <c r="G199" s="9"/>
      <c r="H199" s="9"/>
      <c r="I199" s="9"/>
      <c r="J199" s="10"/>
      <c r="K199" s="9"/>
      <c r="L199" s="9"/>
      <c r="M199" s="9"/>
      <c r="N199" s="9"/>
      <c r="O199" s="9"/>
      <c r="P199" s="9"/>
      <c r="S199" s="9"/>
      <c r="T199" s="9"/>
      <c r="U199" s="9"/>
      <c r="V199" s="9"/>
      <c r="W199" s="9"/>
      <c r="X199" s="9"/>
    </row>
    <row r="200" spans="3:24">
      <c r="C200" s="9"/>
      <c r="D200" s="9"/>
      <c r="E200" s="9"/>
      <c r="F200" s="9"/>
      <c r="G200" s="9"/>
      <c r="H200" s="9"/>
      <c r="I200" s="9"/>
      <c r="J200" s="10"/>
      <c r="K200" s="9"/>
      <c r="L200" s="9"/>
      <c r="M200" s="9"/>
      <c r="N200" s="9"/>
      <c r="O200" s="9"/>
      <c r="P200" s="9"/>
      <c r="S200" s="9"/>
      <c r="T200" s="9"/>
      <c r="U200" s="9"/>
      <c r="V200" s="9"/>
      <c r="W200" s="9"/>
      <c r="X200" s="9"/>
    </row>
    <row r="201" spans="3:24">
      <c r="C201" s="9"/>
      <c r="D201" s="9"/>
      <c r="E201" s="9"/>
      <c r="F201" s="9"/>
      <c r="G201" s="9"/>
      <c r="H201" s="9"/>
      <c r="I201" s="9"/>
      <c r="J201" s="10"/>
      <c r="K201" s="9"/>
      <c r="L201" s="9"/>
      <c r="M201" s="9"/>
      <c r="N201" s="9"/>
      <c r="O201" s="9"/>
      <c r="P201" s="9"/>
      <c r="S201" s="9"/>
      <c r="T201" s="9"/>
      <c r="U201" s="9"/>
      <c r="V201" s="9"/>
      <c r="W201" s="9"/>
      <c r="X201" s="9"/>
    </row>
    <row r="202" spans="3:24">
      <c r="C202" s="9"/>
      <c r="D202" s="9"/>
      <c r="E202" s="9"/>
      <c r="F202" s="9"/>
      <c r="G202" s="9"/>
      <c r="H202" s="9"/>
      <c r="I202" s="9"/>
      <c r="J202" s="10"/>
      <c r="K202" s="9"/>
      <c r="L202" s="9"/>
      <c r="M202" s="9"/>
      <c r="N202" s="9"/>
      <c r="O202" s="9"/>
      <c r="P202" s="9"/>
      <c r="S202" s="9"/>
      <c r="T202" s="9"/>
      <c r="U202" s="9"/>
      <c r="V202" s="9"/>
      <c r="W202" s="9"/>
      <c r="X202" s="9"/>
    </row>
    <row r="203" spans="3:24">
      <c r="C203" s="9"/>
      <c r="D203" s="9"/>
      <c r="E203" s="9"/>
      <c r="F203" s="9"/>
      <c r="G203" s="9"/>
      <c r="H203" s="9"/>
      <c r="I203" s="9"/>
      <c r="J203" s="10"/>
      <c r="K203" s="9"/>
      <c r="L203" s="9"/>
      <c r="M203" s="9"/>
      <c r="N203" s="9"/>
      <c r="O203" s="9"/>
      <c r="P203" s="9"/>
      <c r="S203" s="9"/>
      <c r="T203" s="9"/>
      <c r="U203" s="9"/>
      <c r="V203" s="9"/>
      <c r="W203" s="9"/>
      <c r="X203" s="9"/>
    </row>
    <row r="204" spans="3:24">
      <c r="C204" s="9"/>
      <c r="D204" s="9"/>
      <c r="E204" s="9"/>
      <c r="F204" s="9"/>
      <c r="G204" s="9"/>
      <c r="H204" s="9"/>
      <c r="I204" s="9"/>
      <c r="J204" s="10"/>
      <c r="K204" s="9"/>
      <c r="L204" s="9"/>
      <c r="M204" s="9"/>
      <c r="N204" s="9"/>
      <c r="O204" s="9"/>
      <c r="P204" s="9"/>
      <c r="S204" s="9"/>
      <c r="T204" s="9"/>
      <c r="U204" s="9"/>
      <c r="V204" s="9"/>
      <c r="W204" s="9"/>
      <c r="X204" s="9"/>
    </row>
    <row r="205" spans="3:24">
      <c r="C205" s="9"/>
      <c r="D205" s="9"/>
      <c r="E205" s="9"/>
      <c r="F205" s="9"/>
      <c r="G205" s="9"/>
      <c r="H205" s="9"/>
      <c r="I205" s="9"/>
      <c r="J205" s="10"/>
      <c r="K205" s="9"/>
      <c r="L205" s="9"/>
      <c r="M205" s="9"/>
      <c r="N205" s="9"/>
      <c r="O205" s="9"/>
      <c r="P205" s="9"/>
      <c r="S205" s="9"/>
      <c r="T205" s="9"/>
      <c r="U205" s="9"/>
      <c r="V205" s="9"/>
      <c r="W205" s="9"/>
      <c r="X205" s="9"/>
    </row>
    <row r="206" spans="3:24">
      <c r="C206" s="9"/>
      <c r="D206" s="9"/>
      <c r="E206" s="9"/>
      <c r="F206" s="9"/>
      <c r="G206" s="9"/>
      <c r="H206" s="9"/>
      <c r="I206" s="9"/>
      <c r="J206" s="10"/>
      <c r="K206" s="9"/>
      <c r="L206" s="9"/>
      <c r="M206" s="9"/>
      <c r="N206" s="9"/>
      <c r="O206" s="9"/>
      <c r="P206" s="9"/>
      <c r="S206" s="9"/>
      <c r="T206" s="9"/>
      <c r="U206" s="9"/>
      <c r="V206" s="9"/>
      <c r="W206" s="9"/>
      <c r="X206" s="9"/>
    </row>
    <row r="207" spans="3:24">
      <c r="C207" s="9"/>
      <c r="D207" s="9"/>
      <c r="E207" s="9"/>
      <c r="F207" s="9"/>
      <c r="G207" s="9"/>
      <c r="H207" s="9"/>
      <c r="I207" s="9"/>
      <c r="J207" s="10"/>
      <c r="K207" s="9"/>
      <c r="L207" s="9"/>
      <c r="M207" s="9"/>
      <c r="N207" s="9"/>
      <c r="O207" s="9"/>
      <c r="P207" s="9"/>
      <c r="S207" s="9"/>
      <c r="T207" s="9"/>
      <c r="U207" s="9"/>
      <c r="V207" s="9"/>
      <c r="W207" s="9"/>
      <c r="X207" s="9"/>
    </row>
    <row r="208" spans="3:24">
      <c r="C208" s="9"/>
      <c r="D208" s="9"/>
      <c r="E208" s="9"/>
      <c r="F208" s="9"/>
      <c r="G208" s="9"/>
      <c r="H208" s="9"/>
      <c r="I208" s="9"/>
      <c r="J208" s="10"/>
      <c r="K208" s="9"/>
      <c r="L208" s="9"/>
      <c r="M208" s="9"/>
      <c r="N208" s="9"/>
      <c r="O208" s="9"/>
      <c r="P208" s="9"/>
      <c r="S208" s="9"/>
      <c r="T208" s="9"/>
      <c r="U208" s="9"/>
      <c r="V208" s="9"/>
      <c r="W208" s="9"/>
      <c r="X208" s="9"/>
    </row>
    <row r="209" spans="3:24">
      <c r="C209" s="9"/>
      <c r="D209" s="9"/>
      <c r="E209" s="9"/>
      <c r="F209" s="9"/>
      <c r="G209" s="9"/>
      <c r="H209" s="9"/>
      <c r="I209" s="9"/>
      <c r="J209" s="10"/>
      <c r="K209" s="9"/>
      <c r="L209" s="9"/>
      <c r="M209" s="9"/>
      <c r="N209" s="9"/>
      <c r="O209" s="9"/>
      <c r="P209" s="9"/>
      <c r="S209" s="9"/>
      <c r="T209" s="9"/>
      <c r="U209" s="9"/>
      <c r="V209" s="9"/>
      <c r="W209" s="9"/>
      <c r="X209" s="9"/>
    </row>
    <row r="210" spans="3:24">
      <c r="C210" s="9"/>
      <c r="D210" s="9"/>
      <c r="E210" s="9"/>
      <c r="F210" s="9"/>
      <c r="G210" s="9"/>
      <c r="H210" s="9"/>
      <c r="I210" s="9"/>
      <c r="J210" s="10"/>
      <c r="K210" s="9"/>
      <c r="L210" s="9"/>
      <c r="M210" s="9"/>
      <c r="N210" s="9"/>
      <c r="O210" s="9"/>
      <c r="P210" s="9"/>
      <c r="S210" s="9"/>
      <c r="T210" s="9"/>
      <c r="U210" s="9"/>
      <c r="V210" s="9"/>
      <c r="W210" s="9"/>
      <c r="X210" s="9"/>
    </row>
    <row r="211" spans="3:24">
      <c r="C211" s="9"/>
      <c r="D211" s="9"/>
      <c r="E211" s="9"/>
      <c r="F211" s="9"/>
      <c r="G211" s="9"/>
      <c r="H211" s="9"/>
      <c r="I211" s="9"/>
      <c r="J211" s="10"/>
      <c r="K211" s="9"/>
      <c r="L211" s="9"/>
      <c r="M211" s="9"/>
      <c r="N211" s="9"/>
      <c r="O211" s="9"/>
      <c r="P211" s="9"/>
      <c r="S211" s="9"/>
      <c r="T211" s="9"/>
      <c r="U211" s="9"/>
      <c r="V211" s="9"/>
      <c r="W211" s="9"/>
      <c r="X211" s="9"/>
    </row>
    <row r="212" spans="3:24">
      <c r="C212" s="9"/>
      <c r="D212" s="9"/>
      <c r="E212" s="9"/>
      <c r="F212" s="9"/>
      <c r="G212" s="9"/>
      <c r="H212" s="9"/>
      <c r="I212" s="9"/>
      <c r="J212" s="10"/>
      <c r="K212" s="9"/>
      <c r="L212" s="9"/>
      <c r="M212" s="9"/>
      <c r="N212" s="9"/>
      <c r="O212" s="9"/>
      <c r="P212" s="9"/>
      <c r="S212" s="9"/>
      <c r="T212" s="9"/>
      <c r="U212" s="9"/>
      <c r="V212" s="9"/>
      <c r="W212" s="9"/>
      <c r="X212" s="9"/>
    </row>
    <row r="213" spans="3:24">
      <c r="C213" s="9"/>
      <c r="D213" s="9"/>
      <c r="E213" s="9"/>
      <c r="F213" s="9"/>
      <c r="G213" s="9"/>
      <c r="H213" s="9"/>
      <c r="I213" s="9"/>
      <c r="J213" s="10"/>
      <c r="K213" s="9"/>
      <c r="L213" s="9"/>
      <c r="M213" s="9"/>
      <c r="N213" s="9"/>
      <c r="O213" s="9"/>
      <c r="P213" s="9"/>
      <c r="S213" s="9"/>
      <c r="T213" s="9"/>
      <c r="U213" s="9"/>
      <c r="V213" s="9"/>
      <c r="W213" s="9"/>
      <c r="X213" s="9"/>
    </row>
    <row r="214" spans="3:24">
      <c r="C214" s="9"/>
      <c r="D214" s="9"/>
      <c r="E214" s="9"/>
      <c r="F214" s="9"/>
      <c r="G214" s="9"/>
      <c r="H214" s="9"/>
      <c r="I214" s="9"/>
      <c r="J214" s="10"/>
      <c r="K214" s="9"/>
      <c r="L214" s="9"/>
      <c r="M214" s="9"/>
      <c r="N214" s="9"/>
      <c r="O214" s="9"/>
      <c r="P214" s="9"/>
      <c r="S214" s="9"/>
      <c r="T214" s="9"/>
      <c r="U214" s="9"/>
      <c r="V214" s="9"/>
      <c r="W214" s="9"/>
      <c r="X214" s="9"/>
    </row>
    <row r="215" spans="3:24">
      <c r="C215" s="9"/>
      <c r="D215" s="9"/>
      <c r="E215" s="9"/>
      <c r="F215" s="9"/>
      <c r="G215" s="9"/>
      <c r="H215" s="9"/>
      <c r="I215" s="9"/>
      <c r="J215" s="10"/>
      <c r="K215" s="9"/>
      <c r="L215" s="9"/>
      <c r="M215" s="9"/>
      <c r="N215" s="9"/>
      <c r="O215" s="9"/>
      <c r="P215" s="9"/>
      <c r="S215" s="9"/>
      <c r="T215" s="9"/>
      <c r="U215" s="9"/>
      <c r="V215" s="9"/>
      <c r="W215" s="9"/>
      <c r="X215" s="9"/>
    </row>
    <row r="216" spans="3:24">
      <c r="C216" s="9"/>
      <c r="D216" s="9"/>
      <c r="E216" s="9"/>
      <c r="F216" s="9"/>
      <c r="G216" s="9"/>
      <c r="H216" s="9"/>
      <c r="I216" s="9"/>
      <c r="J216" s="10"/>
      <c r="K216" s="9"/>
      <c r="L216" s="9"/>
      <c r="M216" s="9"/>
      <c r="N216" s="9"/>
      <c r="O216" s="9"/>
      <c r="P216" s="9"/>
      <c r="S216" s="9"/>
      <c r="T216" s="9"/>
      <c r="U216" s="9"/>
      <c r="V216" s="9"/>
      <c r="W216" s="9"/>
      <c r="X216" s="9"/>
    </row>
    <row r="217" spans="3:24">
      <c r="C217" s="9"/>
      <c r="D217" s="9"/>
      <c r="E217" s="9"/>
      <c r="F217" s="9"/>
      <c r="G217" s="9"/>
      <c r="H217" s="9"/>
      <c r="I217" s="9"/>
      <c r="J217" s="10"/>
      <c r="K217" s="9"/>
      <c r="L217" s="9"/>
      <c r="M217" s="9"/>
      <c r="N217" s="9"/>
      <c r="O217" s="9"/>
      <c r="P217" s="9"/>
      <c r="S217" s="9"/>
      <c r="T217" s="9"/>
      <c r="U217" s="9"/>
      <c r="V217" s="9"/>
      <c r="W217" s="9"/>
      <c r="X217" s="9"/>
    </row>
    <row r="218" spans="3:24">
      <c r="C218" s="9"/>
      <c r="D218" s="9"/>
      <c r="E218" s="9"/>
      <c r="F218" s="9"/>
      <c r="G218" s="9"/>
      <c r="H218" s="9"/>
      <c r="I218" s="9"/>
      <c r="J218" s="10"/>
      <c r="K218" s="9"/>
      <c r="L218" s="9"/>
      <c r="M218" s="9"/>
      <c r="N218" s="9"/>
      <c r="O218" s="9"/>
      <c r="P218" s="9"/>
      <c r="S218" s="9"/>
      <c r="T218" s="9"/>
      <c r="U218" s="9"/>
      <c r="V218" s="9"/>
      <c r="W218" s="9"/>
      <c r="X218" s="9"/>
    </row>
    <row r="219" spans="3:24">
      <c r="C219" s="9"/>
      <c r="D219" s="9"/>
      <c r="E219" s="9"/>
      <c r="F219" s="9"/>
      <c r="G219" s="9"/>
      <c r="H219" s="9"/>
      <c r="I219" s="9"/>
      <c r="J219" s="10"/>
      <c r="K219" s="9"/>
      <c r="L219" s="9"/>
      <c r="M219" s="9"/>
      <c r="N219" s="9"/>
      <c r="O219" s="9"/>
      <c r="P219" s="9"/>
      <c r="S219" s="9"/>
      <c r="T219" s="9"/>
      <c r="U219" s="9"/>
      <c r="V219" s="9"/>
      <c r="W219" s="9"/>
      <c r="X219" s="9"/>
    </row>
    <row r="220" spans="3:24">
      <c r="C220" s="9"/>
      <c r="D220" s="9"/>
      <c r="E220" s="9"/>
      <c r="F220" s="9"/>
      <c r="G220" s="9"/>
      <c r="H220" s="9"/>
      <c r="I220" s="9"/>
      <c r="J220" s="10"/>
      <c r="K220" s="9"/>
      <c r="L220" s="9"/>
      <c r="M220" s="9"/>
      <c r="N220" s="9"/>
      <c r="O220" s="9"/>
      <c r="P220" s="9"/>
      <c r="S220" s="9"/>
      <c r="T220" s="9"/>
      <c r="U220" s="9"/>
      <c r="V220" s="9"/>
      <c r="W220" s="9"/>
      <c r="X220" s="9"/>
    </row>
    <row r="221" spans="3:24">
      <c r="C221" s="9"/>
      <c r="D221" s="9"/>
      <c r="E221" s="9"/>
      <c r="F221" s="9"/>
      <c r="G221" s="9"/>
      <c r="H221" s="9"/>
      <c r="I221" s="9"/>
      <c r="J221" s="10"/>
      <c r="K221" s="9"/>
      <c r="L221" s="9"/>
      <c r="M221" s="9"/>
      <c r="N221" s="9"/>
      <c r="O221" s="9"/>
      <c r="P221" s="9"/>
      <c r="S221" s="9"/>
      <c r="T221" s="9"/>
      <c r="U221" s="9"/>
      <c r="V221" s="9"/>
      <c r="W221" s="9"/>
      <c r="X221" s="9"/>
    </row>
    <row r="222" spans="3:24">
      <c r="C222" s="9"/>
      <c r="D222" s="9"/>
      <c r="E222" s="9"/>
      <c r="F222" s="9"/>
      <c r="G222" s="9"/>
      <c r="H222" s="9"/>
      <c r="I222" s="9"/>
      <c r="J222" s="10"/>
      <c r="K222" s="9"/>
      <c r="L222" s="9"/>
      <c r="M222" s="9"/>
      <c r="N222" s="9"/>
      <c r="O222" s="9"/>
      <c r="P222" s="9"/>
      <c r="S222" s="9"/>
      <c r="T222" s="9"/>
      <c r="U222" s="9"/>
      <c r="V222" s="9"/>
      <c r="W222" s="9"/>
      <c r="X222" s="9"/>
    </row>
    <row r="223" spans="3:24">
      <c r="C223" s="9"/>
      <c r="D223" s="9"/>
      <c r="E223" s="9"/>
      <c r="F223" s="9"/>
      <c r="G223" s="9"/>
      <c r="H223" s="9"/>
      <c r="I223" s="9"/>
      <c r="J223" s="10"/>
      <c r="K223" s="9"/>
      <c r="L223" s="9"/>
      <c r="M223" s="9"/>
      <c r="N223" s="9"/>
      <c r="O223" s="9"/>
      <c r="P223" s="9"/>
      <c r="S223" s="9"/>
      <c r="T223" s="9"/>
      <c r="U223" s="9"/>
      <c r="V223" s="9"/>
      <c r="W223" s="9"/>
      <c r="X223" s="9"/>
    </row>
    <row r="224" spans="3:24">
      <c r="C224" s="9"/>
      <c r="D224" s="9"/>
      <c r="E224" s="9"/>
      <c r="F224" s="9"/>
      <c r="G224" s="9"/>
      <c r="H224" s="9"/>
      <c r="I224" s="9"/>
      <c r="J224" s="10"/>
      <c r="K224" s="9"/>
      <c r="L224" s="9"/>
      <c r="M224" s="9"/>
      <c r="N224" s="9"/>
      <c r="O224" s="9"/>
      <c r="P224" s="9"/>
      <c r="S224" s="9"/>
      <c r="T224" s="9"/>
      <c r="U224" s="9"/>
      <c r="V224" s="9"/>
      <c r="W224" s="9"/>
      <c r="X224" s="9"/>
    </row>
    <row r="225" spans="3:24">
      <c r="C225" s="9"/>
      <c r="D225" s="9"/>
      <c r="E225" s="9"/>
      <c r="F225" s="9"/>
      <c r="G225" s="9"/>
      <c r="H225" s="9"/>
      <c r="I225" s="9"/>
      <c r="J225" s="10"/>
      <c r="K225" s="9"/>
      <c r="L225" s="9"/>
      <c r="M225" s="9"/>
      <c r="N225" s="9"/>
      <c r="O225" s="9"/>
      <c r="P225" s="9"/>
      <c r="S225" s="9"/>
      <c r="T225" s="9"/>
      <c r="U225" s="9"/>
      <c r="V225" s="9"/>
      <c r="W225" s="9"/>
      <c r="X225" s="9"/>
    </row>
    <row r="226" spans="3:24">
      <c r="C226" s="9"/>
      <c r="D226" s="9"/>
      <c r="E226" s="9"/>
      <c r="F226" s="9"/>
      <c r="G226" s="9"/>
      <c r="H226" s="9"/>
      <c r="I226" s="9"/>
      <c r="J226" s="10"/>
      <c r="K226" s="9"/>
      <c r="L226" s="9"/>
      <c r="M226" s="9"/>
      <c r="N226" s="9"/>
      <c r="O226" s="9"/>
      <c r="P226" s="9"/>
      <c r="S226" s="9"/>
      <c r="T226" s="9"/>
      <c r="U226" s="9"/>
      <c r="V226" s="9"/>
      <c r="W226" s="9"/>
      <c r="X226" s="9"/>
    </row>
    <row r="227" spans="3:24">
      <c r="C227" s="9"/>
      <c r="D227" s="9"/>
      <c r="E227" s="9"/>
      <c r="F227" s="9"/>
      <c r="G227" s="9"/>
      <c r="H227" s="9"/>
      <c r="I227" s="9"/>
      <c r="J227" s="10"/>
      <c r="K227" s="9"/>
      <c r="L227" s="9"/>
      <c r="M227" s="9"/>
      <c r="N227" s="9"/>
      <c r="O227" s="9"/>
      <c r="P227" s="9"/>
      <c r="S227" s="9"/>
      <c r="T227" s="9"/>
      <c r="U227" s="9"/>
      <c r="V227" s="9"/>
      <c r="W227" s="9"/>
      <c r="X227" s="9"/>
    </row>
    <row r="228" spans="3:24">
      <c r="C228" s="9"/>
      <c r="D228" s="9"/>
      <c r="E228" s="9"/>
      <c r="F228" s="9"/>
      <c r="G228" s="9"/>
      <c r="H228" s="9"/>
      <c r="I228" s="9"/>
      <c r="J228" s="10"/>
      <c r="K228" s="9"/>
      <c r="L228" s="9"/>
      <c r="M228" s="9"/>
      <c r="N228" s="9"/>
      <c r="O228" s="9"/>
      <c r="P228" s="9"/>
      <c r="S228" s="9"/>
      <c r="T228" s="9"/>
      <c r="U228" s="9"/>
      <c r="V228" s="9"/>
      <c r="W228" s="9"/>
      <c r="X228" s="9"/>
    </row>
    <row r="229" spans="3:24">
      <c r="C229" s="9"/>
      <c r="D229" s="9"/>
      <c r="E229" s="9"/>
      <c r="F229" s="9"/>
      <c r="G229" s="9"/>
      <c r="H229" s="9"/>
      <c r="I229" s="9"/>
      <c r="J229" s="10"/>
      <c r="K229" s="9"/>
      <c r="L229" s="9"/>
      <c r="M229" s="9"/>
      <c r="N229" s="9"/>
      <c r="O229" s="9"/>
      <c r="P229" s="9"/>
      <c r="S229" s="9"/>
      <c r="T229" s="9"/>
      <c r="U229" s="9"/>
      <c r="V229" s="9"/>
      <c r="W229" s="9"/>
      <c r="X229" s="9"/>
    </row>
    <row r="230" spans="3:24">
      <c r="C230" s="9"/>
      <c r="D230" s="9"/>
      <c r="E230" s="9"/>
      <c r="F230" s="9"/>
      <c r="G230" s="9"/>
      <c r="H230" s="9"/>
      <c r="I230" s="9"/>
      <c r="J230" s="10"/>
      <c r="K230" s="9"/>
      <c r="L230" s="9"/>
      <c r="M230" s="9"/>
      <c r="N230" s="9"/>
      <c r="O230" s="9"/>
      <c r="P230" s="9"/>
      <c r="S230" s="9"/>
      <c r="T230" s="9"/>
      <c r="U230" s="9"/>
      <c r="V230" s="9"/>
      <c r="W230" s="9"/>
      <c r="X230" s="9"/>
    </row>
    <row r="231" spans="3:24">
      <c r="C231" s="9"/>
      <c r="D231" s="9"/>
      <c r="E231" s="9"/>
      <c r="F231" s="9"/>
      <c r="G231" s="9"/>
      <c r="H231" s="9"/>
      <c r="I231" s="9"/>
      <c r="J231" s="10"/>
      <c r="K231" s="9"/>
      <c r="L231" s="9"/>
      <c r="M231" s="9"/>
      <c r="N231" s="9"/>
      <c r="O231" s="9"/>
      <c r="P231" s="9"/>
      <c r="S231" s="9"/>
      <c r="T231" s="9"/>
      <c r="U231" s="9"/>
      <c r="V231" s="9"/>
      <c r="W231" s="9"/>
      <c r="X231" s="9"/>
    </row>
    <row r="232" spans="3:24">
      <c r="C232" s="9"/>
      <c r="D232" s="9"/>
      <c r="E232" s="9"/>
      <c r="F232" s="9"/>
      <c r="G232" s="9"/>
      <c r="H232" s="9"/>
      <c r="I232" s="9"/>
      <c r="J232" s="10"/>
      <c r="K232" s="9"/>
      <c r="L232" s="9"/>
      <c r="M232" s="9"/>
      <c r="N232" s="9"/>
      <c r="O232" s="9"/>
      <c r="P232" s="9"/>
      <c r="S232" s="9"/>
      <c r="T232" s="9"/>
      <c r="U232" s="9"/>
      <c r="V232" s="9"/>
      <c r="W232" s="9"/>
      <c r="X232" s="9"/>
    </row>
    <row r="233" spans="3:24">
      <c r="C233" s="9"/>
      <c r="D233" s="9"/>
      <c r="E233" s="9"/>
      <c r="F233" s="9"/>
      <c r="G233" s="9"/>
      <c r="H233" s="9"/>
      <c r="I233" s="9"/>
      <c r="J233" s="10"/>
      <c r="K233" s="9"/>
      <c r="L233" s="9"/>
      <c r="M233" s="9"/>
      <c r="N233" s="9"/>
      <c r="O233" s="9"/>
      <c r="P233" s="9"/>
      <c r="S233" s="9"/>
      <c r="T233" s="9"/>
      <c r="U233" s="9"/>
      <c r="V233" s="9"/>
      <c r="W233" s="9"/>
      <c r="X233" s="9"/>
    </row>
    <row r="234" spans="3:24">
      <c r="C234" s="9"/>
      <c r="D234" s="9"/>
      <c r="E234" s="9"/>
      <c r="F234" s="9"/>
      <c r="G234" s="9"/>
      <c r="H234" s="9"/>
      <c r="I234" s="9"/>
      <c r="J234" s="10"/>
      <c r="K234" s="9"/>
      <c r="L234" s="9"/>
      <c r="M234" s="9"/>
      <c r="N234" s="9"/>
      <c r="O234" s="9"/>
      <c r="P234" s="9"/>
      <c r="S234" s="9"/>
      <c r="T234" s="9"/>
      <c r="U234" s="9"/>
      <c r="V234" s="9"/>
      <c r="W234" s="9"/>
      <c r="X234" s="9"/>
    </row>
    <row r="235" spans="3:24">
      <c r="C235" s="9"/>
      <c r="D235" s="9"/>
      <c r="E235" s="9"/>
      <c r="F235" s="9"/>
      <c r="G235" s="9"/>
      <c r="H235" s="9"/>
      <c r="I235" s="9"/>
      <c r="J235" s="10"/>
      <c r="K235" s="9"/>
      <c r="L235" s="9"/>
      <c r="M235" s="9"/>
      <c r="N235" s="9"/>
      <c r="O235" s="9"/>
      <c r="P235" s="9"/>
      <c r="S235" s="9"/>
      <c r="T235" s="9"/>
      <c r="U235" s="9"/>
      <c r="V235" s="9"/>
      <c r="W235" s="9"/>
      <c r="X235" s="9"/>
    </row>
    <row r="236" spans="3:24">
      <c r="C236" s="9"/>
      <c r="D236" s="9"/>
      <c r="E236" s="9"/>
      <c r="F236" s="9"/>
      <c r="G236" s="9"/>
      <c r="H236" s="9"/>
      <c r="I236" s="9"/>
      <c r="J236" s="10"/>
      <c r="K236" s="9"/>
      <c r="L236" s="9"/>
      <c r="M236" s="9"/>
      <c r="N236" s="9"/>
      <c r="O236" s="9"/>
      <c r="P236" s="9"/>
      <c r="S236" s="9"/>
      <c r="T236" s="9"/>
      <c r="U236" s="9"/>
      <c r="V236" s="9"/>
      <c r="W236" s="9"/>
      <c r="X236" s="9"/>
    </row>
    <row r="237" spans="3:24">
      <c r="C237" s="9"/>
      <c r="D237" s="9"/>
      <c r="E237" s="9"/>
      <c r="F237" s="9"/>
      <c r="G237" s="9"/>
      <c r="H237" s="9"/>
      <c r="I237" s="9"/>
      <c r="J237" s="10"/>
      <c r="K237" s="9"/>
      <c r="L237" s="9"/>
      <c r="M237" s="9"/>
      <c r="N237" s="9"/>
      <c r="O237" s="9"/>
      <c r="P237" s="9"/>
      <c r="S237" s="9"/>
      <c r="T237" s="9"/>
      <c r="U237" s="9"/>
      <c r="V237" s="9"/>
      <c r="W237" s="9"/>
      <c r="X237" s="9"/>
    </row>
    <row r="238" spans="3:24">
      <c r="C238" s="9"/>
      <c r="D238" s="9"/>
      <c r="E238" s="9"/>
      <c r="F238" s="9"/>
      <c r="G238" s="9"/>
      <c r="H238" s="9"/>
      <c r="I238" s="9"/>
      <c r="J238" s="10"/>
      <c r="K238" s="9"/>
      <c r="L238" s="9"/>
      <c r="M238" s="9"/>
      <c r="N238" s="9"/>
      <c r="O238" s="9"/>
      <c r="P238" s="9"/>
      <c r="S238" s="9"/>
      <c r="T238" s="9"/>
      <c r="U238" s="9"/>
      <c r="V238" s="9"/>
      <c r="W238" s="9"/>
      <c r="X238" s="9"/>
    </row>
    <row r="239" spans="3:24">
      <c r="C239" s="9"/>
      <c r="D239" s="9"/>
      <c r="E239" s="9"/>
      <c r="F239" s="9"/>
      <c r="G239" s="9"/>
      <c r="H239" s="9"/>
      <c r="I239" s="9"/>
      <c r="J239" s="10"/>
      <c r="K239" s="9"/>
      <c r="L239" s="9"/>
      <c r="M239" s="9"/>
      <c r="N239" s="9"/>
      <c r="O239" s="9"/>
      <c r="P239" s="9"/>
      <c r="S239" s="9"/>
      <c r="T239" s="9"/>
      <c r="U239" s="9"/>
      <c r="V239" s="9"/>
      <c r="W239" s="9"/>
      <c r="X239" s="9"/>
    </row>
    <row r="240" spans="3:24">
      <c r="C240" s="9"/>
      <c r="D240" s="9"/>
      <c r="E240" s="9"/>
      <c r="F240" s="9"/>
      <c r="G240" s="9"/>
      <c r="H240" s="9"/>
      <c r="I240" s="9"/>
      <c r="J240" s="10"/>
      <c r="K240" s="9"/>
      <c r="L240" s="9"/>
      <c r="M240" s="9"/>
      <c r="N240" s="9"/>
      <c r="O240" s="9"/>
      <c r="P240" s="9"/>
      <c r="S240" s="9"/>
      <c r="T240" s="9"/>
      <c r="U240" s="9"/>
      <c r="V240" s="9"/>
      <c r="W240" s="9"/>
      <c r="X240" s="9"/>
    </row>
    <row r="241" spans="3:24">
      <c r="C241" s="9"/>
      <c r="D241" s="9"/>
      <c r="E241" s="9"/>
      <c r="F241" s="9"/>
      <c r="G241" s="9"/>
      <c r="H241" s="9"/>
      <c r="I241" s="9"/>
      <c r="J241" s="10"/>
      <c r="K241" s="9"/>
      <c r="L241" s="9"/>
      <c r="M241" s="9"/>
      <c r="N241" s="9"/>
      <c r="O241" s="9"/>
      <c r="P241" s="9"/>
      <c r="S241" s="9"/>
      <c r="T241" s="9"/>
      <c r="U241" s="9"/>
      <c r="V241" s="9"/>
      <c r="W241" s="9"/>
      <c r="X241" s="9"/>
    </row>
    <row r="242" spans="3:24">
      <c r="C242" s="9"/>
      <c r="D242" s="9"/>
      <c r="E242" s="9"/>
      <c r="F242" s="9"/>
      <c r="G242" s="9"/>
      <c r="H242" s="9"/>
      <c r="I242" s="9"/>
      <c r="J242" s="10"/>
      <c r="K242" s="9"/>
      <c r="L242" s="9"/>
      <c r="M242" s="9"/>
      <c r="N242" s="9"/>
      <c r="O242" s="9"/>
      <c r="P242" s="9"/>
      <c r="S242" s="9"/>
      <c r="T242" s="9"/>
      <c r="U242" s="9"/>
      <c r="V242" s="9"/>
      <c r="W242" s="9"/>
      <c r="X242" s="9"/>
    </row>
    <row r="243" spans="3:24">
      <c r="C243" s="9"/>
      <c r="D243" s="9"/>
      <c r="E243" s="9"/>
      <c r="F243" s="9"/>
      <c r="G243" s="9"/>
      <c r="H243" s="9"/>
      <c r="I243" s="9"/>
      <c r="J243" s="10"/>
      <c r="K243" s="9"/>
      <c r="L243" s="9"/>
      <c r="M243" s="9"/>
      <c r="N243" s="9"/>
      <c r="O243" s="9"/>
      <c r="P243" s="9"/>
      <c r="S243" s="9"/>
      <c r="T243" s="9"/>
      <c r="U243" s="9"/>
      <c r="V243" s="9"/>
      <c r="W243" s="9"/>
      <c r="X243" s="9"/>
    </row>
    <row r="244" spans="3:24">
      <c r="C244" s="9"/>
      <c r="D244" s="9"/>
      <c r="E244" s="9"/>
      <c r="F244" s="9"/>
      <c r="G244" s="9"/>
      <c r="H244" s="9"/>
      <c r="I244" s="9"/>
      <c r="J244" s="10"/>
      <c r="K244" s="9"/>
      <c r="L244" s="9"/>
      <c r="M244" s="9"/>
      <c r="N244" s="9"/>
      <c r="O244" s="9"/>
      <c r="P244" s="9"/>
      <c r="S244" s="9"/>
      <c r="T244" s="9"/>
      <c r="U244" s="9"/>
      <c r="V244" s="9"/>
      <c r="W244" s="9"/>
      <c r="X244" s="9"/>
    </row>
    <row r="245" spans="3:24">
      <c r="C245" s="9"/>
      <c r="D245" s="9"/>
      <c r="E245" s="9"/>
      <c r="F245" s="9"/>
      <c r="G245" s="9"/>
      <c r="H245" s="9"/>
      <c r="I245" s="9"/>
      <c r="J245" s="10"/>
      <c r="K245" s="9"/>
      <c r="L245" s="9"/>
      <c r="M245" s="9"/>
      <c r="N245" s="9"/>
      <c r="O245" s="9"/>
      <c r="P245" s="9"/>
      <c r="S245" s="9"/>
      <c r="T245" s="9"/>
      <c r="U245" s="9"/>
      <c r="V245" s="9"/>
      <c r="W245" s="9"/>
      <c r="X245" s="9"/>
    </row>
    <row r="246" spans="3:24">
      <c r="C246" s="9"/>
      <c r="D246" s="9"/>
      <c r="E246" s="9"/>
      <c r="F246" s="9"/>
      <c r="G246" s="9"/>
      <c r="H246" s="9"/>
      <c r="I246" s="9"/>
      <c r="J246" s="10"/>
      <c r="K246" s="9"/>
      <c r="L246" s="9"/>
      <c r="M246" s="9"/>
      <c r="N246" s="9"/>
      <c r="O246" s="9"/>
      <c r="P246" s="9"/>
      <c r="S246" s="9"/>
      <c r="T246" s="9"/>
      <c r="U246" s="9"/>
      <c r="V246" s="9"/>
      <c r="W246" s="9"/>
      <c r="X246" s="9"/>
    </row>
    <row r="247" spans="3:24">
      <c r="C247" s="9"/>
      <c r="D247" s="9"/>
      <c r="E247" s="9"/>
      <c r="F247" s="9"/>
      <c r="G247" s="9"/>
      <c r="H247" s="9"/>
      <c r="I247" s="9"/>
      <c r="J247" s="10"/>
      <c r="K247" s="9"/>
      <c r="L247" s="9"/>
      <c r="M247" s="9"/>
      <c r="N247" s="9"/>
      <c r="O247" s="9"/>
      <c r="P247" s="9"/>
      <c r="S247" s="9"/>
      <c r="T247" s="9"/>
      <c r="U247" s="9"/>
      <c r="V247" s="9"/>
      <c r="W247" s="9"/>
      <c r="X247" s="9"/>
    </row>
    <row r="248" spans="3:24">
      <c r="C248" s="9"/>
      <c r="D248" s="9"/>
      <c r="E248" s="9"/>
      <c r="F248" s="9"/>
      <c r="G248" s="9"/>
      <c r="H248" s="9"/>
      <c r="I248" s="9"/>
      <c r="J248" s="10"/>
      <c r="K248" s="9"/>
      <c r="L248" s="9"/>
      <c r="M248" s="9"/>
      <c r="N248" s="9"/>
      <c r="O248" s="9"/>
      <c r="P248" s="9"/>
      <c r="S248" s="9"/>
      <c r="T248" s="9"/>
      <c r="U248" s="9"/>
      <c r="V248" s="9"/>
      <c r="W248" s="9"/>
      <c r="X248" s="9"/>
    </row>
    <row r="249" spans="3:24">
      <c r="C249" s="9"/>
      <c r="D249" s="9"/>
      <c r="E249" s="9"/>
      <c r="F249" s="9"/>
      <c r="G249" s="9"/>
      <c r="H249" s="9"/>
      <c r="I249" s="9"/>
      <c r="J249" s="10"/>
      <c r="K249" s="9"/>
      <c r="L249" s="9"/>
      <c r="M249" s="9"/>
      <c r="N249" s="9"/>
      <c r="O249" s="9"/>
      <c r="P249" s="9"/>
      <c r="S249" s="9"/>
      <c r="T249" s="9"/>
      <c r="U249" s="9"/>
      <c r="V249" s="9"/>
      <c r="W249" s="9"/>
      <c r="X249" s="9"/>
    </row>
    <row r="250" spans="3:24">
      <c r="C250" s="9"/>
      <c r="D250" s="9"/>
      <c r="E250" s="9"/>
      <c r="F250" s="9"/>
      <c r="G250" s="9"/>
      <c r="H250" s="9"/>
      <c r="I250" s="9"/>
      <c r="J250" s="10"/>
      <c r="K250" s="9"/>
      <c r="L250" s="9"/>
      <c r="M250" s="9"/>
      <c r="N250" s="9"/>
      <c r="O250" s="9"/>
      <c r="P250" s="9"/>
      <c r="S250" s="9"/>
      <c r="T250" s="9"/>
      <c r="U250" s="9"/>
      <c r="V250" s="9"/>
      <c r="W250" s="9"/>
      <c r="X250" s="9"/>
    </row>
    <row r="251" spans="3:24">
      <c r="C251" s="9"/>
      <c r="D251" s="9"/>
      <c r="E251" s="9"/>
      <c r="F251" s="9"/>
      <c r="G251" s="9"/>
      <c r="H251" s="9"/>
      <c r="I251" s="9"/>
      <c r="J251" s="10"/>
      <c r="K251" s="9"/>
      <c r="L251" s="9"/>
      <c r="M251" s="9"/>
      <c r="N251" s="9"/>
      <c r="O251" s="9"/>
      <c r="P251" s="9"/>
      <c r="S251" s="9"/>
      <c r="T251" s="9"/>
      <c r="U251" s="9"/>
      <c r="V251" s="9"/>
      <c r="W251" s="9"/>
      <c r="X251" s="9"/>
    </row>
    <row r="252" spans="3:24">
      <c r="C252" s="9"/>
      <c r="D252" s="9"/>
      <c r="E252" s="9"/>
      <c r="F252" s="9"/>
      <c r="G252" s="9"/>
      <c r="H252" s="9"/>
      <c r="I252" s="9"/>
      <c r="J252" s="10"/>
      <c r="K252" s="9"/>
      <c r="L252" s="9"/>
      <c r="M252" s="9"/>
      <c r="N252" s="9"/>
      <c r="O252" s="9"/>
      <c r="P252" s="9"/>
      <c r="S252" s="9"/>
      <c r="T252" s="9"/>
      <c r="U252" s="9"/>
      <c r="V252" s="9"/>
      <c r="W252" s="9"/>
      <c r="X252" s="9"/>
    </row>
    <row r="253" spans="3:24">
      <c r="C253" s="9"/>
      <c r="D253" s="9"/>
      <c r="E253" s="9"/>
      <c r="F253" s="9"/>
      <c r="G253" s="9"/>
      <c r="H253" s="9"/>
      <c r="I253" s="9"/>
      <c r="J253" s="10"/>
      <c r="K253" s="9"/>
      <c r="L253" s="9"/>
      <c r="M253" s="9"/>
      <c r="N253" s="9"/>
      <c r="O253" s="9"/>
      <c r="P253" s="9"/>
      <c r="S253" s="9"/>
      <c r="T253" s="9"/>
      <c r="U253" s="9"/>
      <c r="V253" s="9"/>
      <c r="W253" s="9"/>
      <c r="X253" s="9"/>
    </row>
    <row r="254" spans="3:24">
      <c r="C254" s="9"/>
      <c r="D254" s="9"/>
      <c r="E254" s="9"/>
      <c r="F254" s="9"/>
      <c r="G254" s="9"/>
      <c r="H254" s="9"/>
      <c r="I254" s="9"/>
      <c r="J254" s="10"/>
      <c r="K254" s="9"/>
      <c r="L254" s="9"/>
      <c r="M254" s="9"/>
      <c r="N254" s="9"/>
      <c r="O254" s="9"/>
      <c r="P254" s="9"/>
      <c r="S254" s="9"/>
      <c r="T254" s="9"/>
      <c r="U254" s="9"/>
      <c r="V254" s="9"/>
      <c r="W254" s="9"/>
      <c r="X254" s="9"/>
    </row>
    <row r="255" spans="3:24">
      <c r="C255" s="9"/>
      <c r="D255" s="9"/>
      <c r="E255" s="9"/>
      <c r="F255" s="9"/>
      <c r="G255" s="9"/>
      <c r="H255" s="9"/>
      <c r="I255" s="9"/>
      <c r="J255" s="10"/>
      <c r="K255" s="9"/>
      <c r="L255" s="9"/>
      <c r="M255" s="9"/>
      <c r="N255" s="9"/>
      <c r="O255" s="9"/>
      <c r="P255" s="9"/>
      <c r="S255" s="9"/>
      <c r="T255" s="9"/>
      <c r="U255" s="9"/>
      <c r="V255" s="9"/>
      <c r="W255" s="9"/>
      <c r="X255" s="9"/>
    </row>
    <row r="256" spans="3:24">
      <c r="C256" s="9"/>
      <c r="D256" s="9"/>
      <c r="E256" s="9"/>
      <c r="F256" s="9"/>
      <c r="G256" s="9"/>
      <c r="H256" s="9"/>
      <c r="I256" s="9"/>
      <c r="J256" s="10"/>
      <c r="K256" s="9"/>
      <c r="L256" s="9"/>
      <c r="M256" s="9"/>
      <c r="N256" s="9"/>
      <c r="O256" s="9"/>
      <c r="P256" s="9"/>
      <c r="S256" s="9"/>
      <c r="T256" s="9"/>
      <c r="U256" s="9"/>
      <c r="V256" s="9"/>
      <c r="W256" s="9"/>
      <c r="X256" s="9"/>
    </row>
    <row r="257" spans="3:24">
      <c r="C257" s="9"/>
      <c r="D257" s="9"/>
      <c r="E257" s="9"/>
      <c r="F257" s="9"/>
      <c r="G257" s="9"/>
      <c r="H257" s="9"/>
      <c r="I257" s="9"/>
      <c r="J257" s="10"/>
      <c r="K257" s="9"/>
      <c r="L257" s="9"/>
      <c r="M257" s="9"/>
      <c r="N257" s="9"/>
      <c r="O257" s="9"/>
      <c r="P257" s="9"/>
      <c r="S257" s="9"/>
      <c r="T257" s="9"/>
      <c r="U257" s="9"/>
      <c r="V257" s="9"/>
      <c r="W257" s="9"/>
      <c r="X257" s="9"/>
    </row>
    <row r="258" spans="3:24">
      <c r="C258" s="9"/>
      <c r="D258" s="9"/>
      <c r="E258" s="9"/>
      <c r="F258" s="9"/>
      <c r="G258" s="9"/>
      <c r="H258" s="9"/>
      <c r="I258" s="9"/>
      <c r="J258" s="10"/>
      <c r="K258" s="9"/>
      <c r="L258" s="9"/>
      <c r="M258" s="9"/>
      <c r="N258" s="9"/>
      <c r="O258" s="9"/>
      <c r="P258" s="9"/>
      <c r="S258" s="9"/>
      <c r="T258" s="9"/>
      <c r="U258" s="9"/>
      <c r="V258" s="9"/>
      <c r="W258" s="9"/>
      <c r="X258" s="9"/>
    </row>
    <row r="259" spans="3:24">
      <c r="C259" s="9"/>
      <c r="D259" s="9"/>
      <c r="E259" s="9"/>
      <c r="F259" s="9"/>
      <c r="G259" s="9"/>
      <c r="H259" s="9"/>
      <c r="I259" s="9"/>
      <c r="J259" s="10"/>
      <c r="K259" s="9"/>
      <c r="L259" s="9"/>
      <c r="M259" s="9"/>
      <c r="N259" s="9"/>
      <c r="O259" s="9"/>
      <c r="P259" s="9"/>
      <c r="S259" s="9"/>
      <c r="T259" s="9"/>
      <c r="U259" s="9"/>
      <c r="V259" s="9"/>
      <c r="W259" s="9"/>
      <c r="X259" s="9"/>
    </row>
    <row r="260" spans="3:24">
      <c r="C260" s="9"/>
      <c r="D260" s="9"/>
      <c r="E260" s="9"/>
      <c r="F260" s="9"/>
      <c r="G260" s="9"/>
      <c r="H260" s="9"/>
      <c r="I260" s="9"/>
      <c r="J260" s="10"/>
      <c r="K260" s="9"/>
      <c r="L260" s="9"/>
      <c r="M260" s="9"/>
      <c r="N260" s="9"/>
      <c r="O260" s="9"/>
      <c r="P260" s="9"/>
      <c r="S260" s="9"/>
      <c r="T260" s="9"/>
      <c r="U260" s="9"/>
      <c r="V260" s="9"/>
      <c r="W260" s="9"/>
      <c r="X260" s="9"/>
    </row>
    <row r="261" spans="3:24">
      <c r="C261" s="9"/>
      <c r="D261" s="9"/>
      <c r="E261" s="9"/>
      <c r="F261" s="9"/>
      <c r="G261" s="9"/>
      <c r="H261" s="9"/>
      <c r="I261" s="9"/>
      <c r="J261" s="10"/>
      <c r="K261" s="9"/>
      <c r="L261" s="9"/>
      <c r="M261" s="9"/>
      <c r="N261" s="9"/>
      <c r="O261" s="9"/>
      <c r="P261" s="9"/>
      <c r="S261" s="9"/>
      <c r="T261" s="9"/>
      <c r="U261" s="9"/>
      <c r="V261" s="9"/>
      <c r="W261" s="9"/>
      <c r="X261" s="9"/>
    </row>
    <row r="262" spans="3:24">
      <c r="C262" s="9"/>
      <c r="D262" s="9"/>
      <c r="E262" s="9"/>
      <c r="F262" s="9"/>
      <c r="G262" s="9"/>
      <c r="H262" s="9"/>
      <c r="I262" s="9"/>
      <c r="J262" s="10"/>
      <c r="K262" s="9"/>
      <c r="L262" s="9"/>
      <c r="M262" s="9"/>
      <c r="N262" s="9"/>
      <c r="O262" s="9"/>
      <c r="P262" s="9"/>
      <c r="S262" s="9"/>
      <c r="T262" s="9"/>
      <c r="U262" s="9"/>
      <c r="V262" s="9"/>
      <c r="W262" s="9"/>
      <c r="X262" s="9"/>
    </row>
    <row r="263" spans="3:24">
      <c r="C263" s="9"/>
      <c r="D263" s="9"/>
      <c r="E263" s="9"/>
      <c r="F263" s="9"/>
      <c r="G263" s="9"/>
      <c r="H263" s="9"/>
      <c r="I263" s="9"/>
      <c r="J263" s="10"/>
      <c r="K263" s="9"/>
      <c r="L263" s="9"/>
      <c r="M263" s="9"/>
      <c r="N263" s="9"/>
      <c r="O263" s="9"/>
      <c r="P263" s="9"/>
      <c r="S263" s="9"/>
      <c r="T263" s="9"/>
      <c r="U263" s="9"/>
      <c r="V263" s="9"/>
      <c r="W263" s="9"/>
      <c r="X263" s="9"/>
    </row>
    <row r="264" spans="3:24">
      <c r="C264" s="9"/>
      <c r="D264" s="9"/>
      <c r="E264" s="9"/>
      <c r="F264" s="9"/>
      <c r="G264" s="9"/>
      <c r="H264" s="9"/>
      <c r="I264" s="9"/>
      <c r="J264" s="10"/>
      <c r="K264" s="9"/>
      <c r="L264" s="9"/>
      <c r="M264" s="9"/>
      <c r="N264" s="9"/>
      <c r="O264" s="9"/>
      <c r="P264" s="9"/>
      <c r="S264" s="9"/>
      <c r="T264" s="9"/>
      <c r="U264" s="9"/>
      <c r="V264" s="9"/>
      <c r="W264" s="9"/>
      <c r="X264" s="9"/>
    </row>
    <row r="265" spans="3:24">
      <c r="C265" s="9"/>
      <c r="D265" s="9"/>
      <c r="E265" s="9"/>
      <c r="F265" s="9"/>
      <c r="G265" s="9"/>
      <c r="H265" s="9"/>
      <c r="I265" s="9"/>
      <c r="J265" s="10"/>
      <c r="K265" s="9"/>
      <c r="L265" s="9"/>
      <c r="M265" s="9"/>
      <c r="N265" s="9"/>
      <c r="O265" s="9"/>
      <c r="P265" s="9"/>
      <c r="S265" s="9"/>
      <c r="T265" s="9"/>
      <c r="U265" s="9"/>
      <c r="V265" s="9"/>
      <c r="W265" s="9"/>
      <c r="X265" s="9"/>
    </row>
    <row r="266" spans="3:24">
      <c r="C266" s="9"/>
      <c r="D266" s="9"/>
      <c r="E266" s="9"/>
      <c r="F266" s="9"/>
      <c r="G266" s="9"/>
      <c r="H266" s="9"/>
      <c r="I266" s="9"/>
      <c r="J266" s="10"/>
      <c r="K266" s="9"/>
      <c r="L266" s="9"/>
      <c r="M266" s="9"/>
      <c r="N266" s="9"/>
      <c r="O266" s="9"/>
      <c r="P266" s="9"/>
      <c r="S266" s="9"/>
      <c r="T266" s="9"/>
      <c r="U266" s="9"/>
      <c r="V266" s="9"/>
      <c r="W266" s="9"/>
      <c r="X266" s="9"/>
    </row>
    <row r="267" spans="3:24">
      <c r="C267" s="9"/>
      <c r="D267" s="9"/>
      <c r="E267" s="9"/>
      <c r="F267" s="9"/>
      <c r="G267" s="9"/>
      <c r="H267" s="9"/>
      <c r="I267" s="9"/>
      <c r="J267" s="10"/>
      <c r="K267" s="9"/>
      <c r="L267" s="9"/>
      <c r="M267" s="9"/>
      <c r="N267" s="9"/>
      <c r="O267" s="9"/>
      <c r="P267" s="9"/>
      <c r="S267" s="9"/>
      <c r="T267" s="9"/>
      <c r="U267" s="9"/>
      <c r="V267" s="9"/>
      <c r="W267" s="9"/>
      <c r="X267" s="9"/>
    </row>
    <row r="268" spans="3:24">
      <c r="C268" s="9"/>
      <c r="D268" s="9"/>
      <c r="E268" s="9"/>
      <c r="F268" s="9"/>
      <c r="G268" s="9"/>
      <c r="H268" s="9"/>
      <c r="I268" s="9"/>
      <c r="J268" s="10"/>
      <c r="K268" s="9"/>
      <c r="L268" s="9"/>
      <c r="M268" s="9"/>
      <c r="N268" s="9"/>
      <c r="O268" s="9"/>
      <c r="P268" s="9"/>
      <c r="S268" s="9"/>
      <c r="T268" s="9"/>
      <c r="U268" s="9"/>
      <c r="V268" s="9"/>
      <c r="W268" s="9"/>
      <c r="X268" s="9"/>
    </row>
    <row r="269" spans="3:24">
      <c r="C269" s="9"/>
      <c r="D269" s="9"/>
      <c r="E269" s="9"/>
      <c r="F269" s="9"/>
      <c r="G269" s="9"/>
      <c r="H269" s="9"/>
      <c r="I269" s="9"/>
      <c r="J269" s="10"/>
      <c r="K269" s="9"/>
      <c r="L269" s="9"/>
      <c r="M269" s="9"/>
      <c r="N269" s="9"/>
      <c r="O269" s="9"/>
      <c r="P269" s="9"/>
      <c r="S269" s="9"/>
      <c r="T269" s="9"/>
      <c r="U269" s="9"/>
      <c r="V269" s="9"/>
      <c r="W269" s="9"/>
      <c r="X269" s="9"/>
    </row>
    <row r="270" spans="3:24">
      <c r="C270" s="9"/>
      <c r="D270" s="9"/>
      <c r="E270" s="9"/>
      <c r="F270" s="9"/>
      <c r="G270" s="9"/>
      <c r="H270" s="9"/>
      <c r="I270" s="9"/>
      <c r="J270" s="10"/>
      <c r="K270" s="9"/>
      <c r="L270" s="9"/>
      <c r="M270" s="9"/>
      <c r="N270" s="9"/>
      <c r="O270" s="9"/>
      <c r="P270" s="9"/>
      <c r="S270" s="9"/>
      <c r="T270" s="9"/>
      <c r="U270" s="9"/>
      <c r="V270" s="9"/>
      <c r="W270" s="9"/>
      <c r="X270" s="9"/>
    </row>
    <row r="271" spans="3:24">
      <c r="C271" s="9"/>
      <c r="D271" s="9"/>
      <c r="E271" s="9"/>
      <c r="F271" s="9"/>
      <c r="G271" s="9"/>
      <c r="H271" s="9"/>
      <c r="I271" s="9"/>
      <c r="J271" s="10"/>
      <c r="K271" s="9"/>
      <c r="L271" s="9"/>
      <c r="M271" s="9"/>
      <c r="N271" s="9"/>
      <c r="O271" s="9"/>
      <c r="P271" s="9"/>
      <c r="S271" s="9"/>
      <c r="T271" s="9"/>
      <c r="U271" s="9"/>
      <c r="V271" s="9"/>
      <c r="W271" s="9"/>
      <c r="X271" s="9"/>
    </row>
    <row r="272" spans="3:24">
      <c r="C272" s="9"/>
      <c r="D272" s="9"/>
      <c r="E272" s="9"/>
      <c r="F272" s="9"/>
      <c r="G272" s="9"/>
      <c r="H272" s="9"/>
      <c r="I272" s="9"/>
      <c r="J272" s="10"/>
      <c r="K272" s="9"/>
      <c r="L272" s="9"/>
      <c r="M272" s="9"/>
      <c r="N272" s="9"/>
      <c r="O272" s="9"/>
      <c r="P272" s="9"/>
      <c r="S272" s="9"/>
      <c r="T272" s="9"/>
      <c r="U272" s="9"/>
      <c r="V272" s="9"/>
      <c r="W272" s="9"/>
      <c r="X272" s="9"/>
    </row>
    <row r="273" spans="3:24">
      <c r="C273" s="9"/>
      <c r="D273" s="9"/>
      <c r="E273" s="9"/>
      <c r="F273" s="9"/>
      <c r="G273" s="9"/>
      <c r="H273" s="9"/>
      <c r="I273" s="9"/>
      <c r="J273" s="10"/>
      <c r="K273" s="9"/>
      <c r="L273" s="9"/>
      <c r="M273" s="9"/>
      <c r="N273" s="9"/>
      <c r="O273" s="9"/>
      <c r="P273" s="9"/>
      <c r="S273" s="9"/>
      <c r="T273" s="9"/>
      <c r="U273" s="9"/>
      <c r="V273" s="9"/>
      <c r="W273" s="9"/>
      <c r="X273" s="9"/>
    </row>
    <row r="274" spans="3:24">
      <c r="C274" s="9"/>
      <c r="D274" s="9"/>
      <c r="E274" s="9"/>
      <c r="F274" s="9"/>
      <c r="G274" s="9"/>
      <c r="H274" s="9"/>
      <c r="I274" s="9"/>
      <c r="J274" s="10"/>
      <c r="K274" s="9"/>
      <c r="L274" s="9"/>
      <c r="M274" s="9"/>
      <c r="N274" s="9"/>
      <c r="O274" s="9"/>
      <c r="P274" s="9"/>
      <c r="S274" s="9"/>
      <c r="T274" s="9"/>
      <c r="U274" s="9"/>
      <c r="V274" s="9"/>
      <c r="W274" s="9"/>
      <c r="X274" s="9"/>
    </row>
    <row r="275" spans="3:24">
      <c r="C275" s="9"/>
      <c r="D275" s="9"/>
      <c r="E275" s="9"/>
      <c r="F275" s="9"/>
      <c r="G275" s="9"/>
      <c r="H275" s="9"/>
      <c r="I275" s="9"/>
      <c r="J275" s="10"/>
      <c r="K275" s="9"/>
      <c r="L275" s="9"/>
      <c r="M275" s="9"/>
      <c r="N275" s="9"/>
      <c r="O275" s="9"/>
      <c r="P275" s="9"/>
      <c r="S275" s="9"/>
      <c r="T275" s="9"/>
      <c r="U275" s="9"/>
      <c r="V275" s="9"/>
      <c r="W275" s="9"/>
      <c r="X275" s="9"/>
    </row>
    <row r="276" spans="3:24">
      <c r="C276" s="9"/>
      <c r="D276" s="9"/>
      <c r="E276" s="9"/>
      <c r="F276" s="9"/>
      <c r="G276" s="9"/>
      <c r="H276" s="9"/>
      <c r="I276" s="9"/>
      <c r="J276" s="10"/>
      <c r="K276" s="9"/>
      <c r="L276" s="9"/>
      <c r="M276" s="9"/>
      <c r="N276" s="9"/>
      <c r="O276" s="9"/>
      <c r="P276" s="9"/>
      <c r="S276" s="9"/>
      <c r="T276" s="9"/>
      <c r="U276" s="9"/>
      <c r="V276" s="9"/>
      <c r="W276" s="9"/>
      <c r="X276" s="9"/>
    </row>
    <row r="277" spans="3:24">
      <c r="C277" s="9"/>
      <c r="D277" s="9"/>
      <c r="E277" s="9"/>
      <c r="F277" s="9"/>
      <c r="G277" s="9"/>
      <c r="H277" s="9"/>
      <c r="I277" s="9"/>
      <c r="J277" s="10"/>
      <c r="K277" s="9"/>
      <c r="L277" s="9"/>
      <c r="M277" s="9"/>
      <c r="N277" s="9"/>
      <c r="O277" s="9"/>
      <c r="P277" s="9"/>
      <c r="S277" s="9"/>
      <c r="T277" s="9"/>
      <c r="U277" s="9"/>
      <c r="V277" s="9"/>
      <c r="W277" s="9"/>
      <c r="X277" s="9"/>
    </row>
    <row r="278" spans="3:24">
      <c r="C278" s="9"/>
      <c r="D278" s="9"/>
      <c r="E278" s="9"/>
      <c r="F278" s="9"/>
      <c r="G278" s="9"/>
      <c r="H278" s="9"/>
      <c r="I278" s="9"/>
      <c r="J278" s="10"/>
      <c r="K278" s="9"/>
      <c r="L278" s="9"/>
      <c r="M278" s="9"/>
      <c r="N278" s="9"/>
      <c r="O278" s="9"/>
      <c r="P278" s="9"/>
      <c r="S278" s="9"/>
      <c r="T278" s="9"/>
      <c r="U278" s="9"/>
      <c r="V278" s="9"/>
      <c r="W278" s="9"/>
      <c r="X278" s="9"/>
    </row>
    <row r="279" spans="3:24">
      <c r="C279" s="9"/>
      <c r="D279" s="9"/>
      <c r="E279" s="9"/>
      <c r="F279" s="9"/>
      <c r="G279" s="9"/>
      <c r="H279" s="9"/>
      <c r="I279" s="9"/>
      <c r="J279" s="10"/>
      <c r="K279" s="9"/>
      <c r="L279" s="9"/>
      <c r="M279" s="9"/>
      <c r="N279" s="9"/>
      <c r="O279" s="9"/>
      <c r="P279" s="9"/>
      <c r="S279" s="9"/>
      <c r="T279" s="9"/>
      <c r="U279" s="9"/>
      <c r="V279" s="9"/>
      <c r="W279" s="9"/>
      <c r="X279" s="9"/>
    </row>
    <row r="280" spans="3:24">
      <c r="C280" s="9"/>
      <c r="D280" s="9"/>
      <c r="E280" s="9"/>
      <c r="F280" s="9"/>
      <c r="G280" s="9"/>
      <c r="H280" s="9"/>
      <c r="I280" s="9"/>
      <c r="J280" s="10"/>
      <c r="K280" s="9"/>
      <c r="L280" s="9"/>
      <c r="M280" s="9"/>
      <c r="N280" s="9"/>
      <c r="O280" s="9"/>
      <c r="P280" s="9"/>
      <c r="S280" s="9"/>
      <c r="T280" s="9"/>
      <c r="U280" s="9"/>
      <c r="V280" s="9"/>
      <c r="W280" s="9"/>
      <c r="X280" s="9"/>
    </row>
    <row r="281" spans="3:24">
      <c r="C281" s="9"/>
      <c r="D281" s="9"/>
      <c r="E281" s="9"/>
      <c r="F281" s="9"/>
      <c r="G281" s="9"/>
      <c r="H281" s="9"/>
      <c r="I281" s="9"/>
      <c r="J281" s="10"/>
      <c r="K281" s="9"/>
      <c r="L281" s="9"/>
      <c r="M281" s="9"/>
      <c r="N281" s="9"/>
      <c r="O281" s="9"/>
      <c r="P281" s="9"/>
      <c r="S281" s="9"/>
      <c r="T281" s="9"/>
      <c r="U281" s="9"/>
      <c r="V281" s="9"/>
      <c r="W281" s="9"/>
      <c r="X281" s="9"/>
    </row>
    <row r="282" spans="3:24">
      <c r="C282" s="9"/>
      <c r="D282" s="9"/>
      <c r="E282" s="9"/>
      <c r="F282" s="9"/>
      <c r="G282" s="9"/>
      <c r="H282" s="9"/>
      <c r="I282" s="9"/>
      <c r="J282" s="10"/>
      <c r="K282" s="9"/>
      <c r="L282" s="9"/>
      <c r="M282" s="9"/>
      <c r="N282" s="9"/>
      <c r="O282" s="9"/>
      <c r="P282" s="9"/>
      <c r="S282" s="9"/>
      <c r="T282" s="9"/>
      <c r="U282" s="9"/>
      <c r="V282" s="9"/>
      <c r="W282" s="9"/>
      <c r="X282" s="9"/>
    </row>
    <row r="283" spans="3:24">
      <c r="C283" s="9"/>
      <c r="D283" s="9"/>
      <c r="E283" s="9"/>
      <c r="F283" s="9"/>
      <c r="G283" s="9"/>
      <c r="H283" s="9"/>
      <c r="I283" s="9"/>
      <c r="J283" s="10"/>
      <c r="K283" s="9"/>
      <c r="L283" s="9"/>
      <c r="M283" s="9"/>
      <c r="N283" s="9"/>
      <c r="O283" s="9"/>
      <c r="P283" s="9"/>
      <c r="S283" s="9"/>
      <c r="T283" s="9"/>
      <c r="U283" s="9"/>
      <c r="V283" s="9"/>
      <c r="W283" s="9"/>
      <c r="X283" s="9"/>
    </row>
    <row r="284" spans="3:24">
      <c r="C284" s="9"/>
      <c r="D284" s="9"/>
      <c r="E284" s="9"/>
      <c r="F284" s="9"/>
      <c r="G284" s="9"/>
      <c r="H284" s="9"/>
      <c r="I284" s="9"/>
      <c r="J284" s="10"/>
      <c r="K284" s="9"/>
      <c r="L284" s="9"/>
      <c r="M284" s="9"/>
      <c r="N284" s="9"/>
      <c r="O284" s="9"/>
      <c r="P284" s="9"/>
      <c r="S284" s="9"/>
      <c r="T284" s="9"/>
      <c r="U284" s="9"/>
      <c r="V284" s="9"/>
      <c r="W284" s="9"/>
      <c r="X284" s="9"/>
    </row>
    <row r="285" spans="3:24">
      <c r="C285" s="9"/>
      <c r="D285" s="9"/>
      <c r="E285" s="9"/>
      <c r="F285" s="9"/>
      <c r="G285" s="9"/>
      <c r="H285" s="9"/>
      <c r="I285" s="9"/>
      <c r="J285" s="10"/>
      <c r="K285" s="9"/>
      <c r="L285" s="9"/>
      <c r="M285" s="9"/>
      <c r="N285" s="9"/>
      <c r="O285" s="9"/>
      <c r="P285" s="9"/>
      <c r="S285" s="9"/>
      <c r="T285" s="9"/>
      <c r="U285" s="9"/>
      <c r="V285" s="9"/>
      <c r="W285" s="9"/>
      <c r="X285" s="9"/>
    </row>
    <row r="286" spans="3:24">
      <c r="C286" s="9"/>
      <c r="D286" s="9"/>
      <c r="E286" s="9"/>
      <c r="F286" s="9"/>
      <c r="G286" s="9"/>
      <c r="H286" s="9"/>
      <c r="I286" s="9"/>
      <c r="J286" s="10"/>
      <c r="K286" s="9"/>
      <c r="L286" s="9"/>
      <c r="M286" s="9"/>
      <c r="N286" s="9"/>
      <c r="O286" s="9"/>
      <c r="P286" s="9"/>
      <c r="S286" s="9"/>
      <c r="T286" s="9"/>
      <c r="U286" s="9"/>
      <c r="V286" s="9"/>
      <c r="W286" s="9"/>
      <c r="X286" s="9"/>
    </row>
    <row r="287" spans="3:24">
      <c r="C287" s="9"/>
      <c r="D287" s="9"/>
      <c r="E287" s="9"/>
      <c r="F287" s="9"/>
      <c r="G287" s="9"/>
      <c r="H287" s="9"/>
      <c r="I287" s="9"/>
      <c r="J287" s="10"/>
      <c r="K287" s="9"/>
      <c r="L287" s="9"/>
      <c r="M287" s="9"/>
      <c r="N287" s="9"/>
      <c r="O287" s="9"/>
      <c r="P287" s="9"/>
      <c r="S287" s="9"/>
      <c r="T287" s="9"/>
      <c r="U287" s="9"/>
      <c r="V287" s="9"/>
      <c r="W287" s="9"/>
      <c r="X287" s="9"/>
    </row>
    <row r="288" spans="3:24">
      <c r="C288" s="9"/>
      <c r="D288" s="9"/>
      <c r="E288" s="9"/>
      <c r="F288" s="9"/>
      <c r="G288" s="9"/>
      <c r="H288" s="9"/>
      <c r="I288" s="9"/>
      <c r="J288" s="10"/>
      <c r="K288" s="9"/>
      <c r="L288" s="9"/>
      <c r="M288" s="9"/>
      <c r="N288" s="9"/>
      <c r="O288" s="9"/>
      <c r="P288" s="9"/>
      <c r="S288" s="9"/>
      <c r="T288" s="9"/>
      <c r="U288" s="9"/>
      <c r="V288" s="9"/>
      <c r="W288" s="9"/>
      <c r="X288" s="9"/>
    </row>
    <row r="289" spans="3:24">
      <c r="C289" s="9"/>
      <c r="D289" s="9"/>
      <c r="E289" s="9"/>
      <c r="F289" s="9"/>
      <c r="G289" s="9"/>
      <c r="H289" s="9"/>
      <c r="I289" s="9"/>
      <c r="J289" s="10"/>
      <c r="K289" s="9"/>
      <c r="L289" s="9"/>
      <c r="M289" s="9"/>
      <c r="N289" s="9"/>
      <c r="O289" s="9"/>
      <c r="P289" s="9"/>
      <c r="S289" s="9"/>
      <c r="T289" s="9"/>
      <c r="U289" s="9"/>
      <c r="V289" s="9"/>
      <c r="W289" s="9"/>
      <c r="X289" s="9"/>
    </row>
    <row r="290" spans="3:24">
      <c r="C290" s="9"/>
      <c r="D290" s="9"/>
      <c r="E290" s="9"/>
      <c r="F290" s="9"/>
      <c r="G290" s="9"/>
      <c r="H290" s="9"/>
      <c r="I290" s="9"/>
      <c r="J290" s="10"/>
      <c r="K290" s="9"/>
      <c r="L290" s="9"/>
      <c r="M290" s="9"/>
      <c r="N290" s="9"/>
      <c r="O290" s="9"/>
      <c r="P290" s="9"/>
      <c r="S290" s="9"/>
      <c r="T290" s="9"/>
      <c r="U290" s="9"/>
      <c r="V290" s="9"/>
      <c r="W290" s="9"/>
      <c r="X290" s="9"/>
    </row>
    <row r="291" spans="3:24">
      <c r="C291" s="9"/>
      <c r="D291" s="9"/>
      <c r="E291" s="9"/>
      <c r="F291" s="9"/>
      <c r="G291" s="9"/>
      <c r="H291" s="9"/>
      <c r="I291" s="9"/>
      <c r="J291" s="10"/>
      <c r="K291" s="9"/>
      <c r="L291" s="9"/>
      <c r="M291" s="9"/>
      <c r="N291" s="9"/>
      <c r="O291" s="9"/>
      <c r="P291" s="9"/>
      <c r="S291" s="9"/>
      <c r="T291" s="9"/>
      <c r="U291" s="9"/>
      <c r="V291" s="9"/>
      <c r="W291" s="9"/>
      <c r="X291" s="9"/>
    </row>
    <row r="292" spans="3:24">
      <c r="C292" s="9"/>
      <c r="D292" s="9"/>
      <c r="E292" s="9"/>
      <c r="F292" s="9"/>
      <c r="G292" s="9"/>
      <c r="H292" s="9"/>
      <c r="I292" s="9"/>
      <c r="J292" s="10"/>
      <c r="K292" s="9"/>
      <c r="L292" s="9"/>
      <c r="M292" s="9"/>
      <c r="N292" s="9"/>
      <c r="O292" s="9"/>
      <c r="P292" s="9"/>
      <c r="S292" s="9"/>
      <c r="T292" s="9"/>
      <c r="U292" s="9"/>
      <c r="V292" s="9"/>
      <c r="W292" s="9"/>
      <c r="X292" s="9"/>
    </row>
    <row r="293" spans="3:24">
      <c r="C293" s="9"/>
      <c r="D293" s="9"/>
      <c r="E293" s="9"/>
      <c r="F293" s="9"/>
      <c r="G293" s="9"/>
      <c r="H293" s="9"/>
      <c r="I293" s="9"/>
      <c r="J293" s="10"/>
      <c r="K293" s="9"/>
      <c r="L293" s="9"/>
      <c r="M293" s="9"/>
      <c r="N293" s="9"/>
      <c r="O293" s="9"/>
      <c r="P293" s="9"/>
      <c r="S293" s="9"/>
      <c r="T293" s="9"/>
      <c r="U293" s="9"/>
      <c r="V293" s="9"/>
      <c r="W293" s="9"/>
      <c r="X293" s="9"/>
    </row>
    <row r="294" spans="3:24">
      <c r="C294" s="9"/>
      <c r="D294" s="9"/>
      <c r="E294" s="9"/>
      <c r="F294" s="9"/>
      <c r="G294" s="9"/>
      <c r="H294" s="9"/>
      <c r="I294" s="9"/>
      <c r="J294" s="10"/>
      <c r="K294" s="9"/>
      <c r="L294" s="9"/>
      <c r="M294" s="9"/>
      <c r="N294" s="9"/>
      <c r="O294" s="9"/>
      <c r="P294" s="9"/>
      <c r="S294" s="9"/>
      <c r="T294" s="9"/>
      <c r="U294" s="9"/>
      <c r="V294" s="9"/>
      <c r="W294" s="9"/>
      <c r="X294" s="9"/>
    </row>
    <row r="295" spans="3:24">
      <c r="C295" s="9"/>
      <c r="D295" s="9"/>
      <c r="E295" s="9"/>
      <c r="F295" s="9"/>
      <c r="G295" s="9"/>
      <c r="H295" s="9"/>
      <c r="I295" s="9"/>
      <c r="J295" s="10"/>
      <c r="K295" s="9"/>
      <c r="L295" s="9"/>
      <c r="M295" s="9"/>
      <c r="N295" s="9"/>
      <c r="O295" s="9"/>
      <c r="P295" s="9"/>
      <c r="S295" s="9"/>
      <c r="T295" s="9"/>
      <c r="U295" s="9"/>
      <c r="V295" s="9"/>
      <c r="W295" s="9"/>
      <c r="X295" s="9"/>
    </row>
    <row r="296" spans="3:24">
      <c r="C296" s="9"/>
      <c r="D296" s="9"/>
      <c r="E296" s="9"/>
      <c r="F296" s="9"/>
      <c r="G296" s="9"/>
      <c r="H296" s="9"/>
      <c r="I296" s="9"/>
      <c r="J296" s="10"/>
      <c r="K296" s="9"/>
      <c r="L296" s="9"/>
      <c r="M296" s="9"/>
      <c r="N296" s="9"/>
      <c r="O296" s="9"/>
      <c r="P296" s="9"/>
      <c r="S296" s="9"/>
      <c r="T296" s="9"/>
      <c r="U296" s="9"/>
      <c r="V296" s="9"/>
      <c r="W296" s="9"/>
      <c r="X296" s="9"/>
    </row>
    <row r="297" spans="3:24">
      <c r="C297" s="9"/>
      <c r="D297" s="9"/>
      <c r="E297" s="9"/>
      <c r="F297" s="9"/>
      <c r="G297" s="9"/>
      <c r="H297" s="9"/>
      <c r="I297" s="9"/>
      <c r="J297" s="10"/>
      <c r="K297" s="9"/>
      <c r="L297" s="9"/>
      <c r="M297" s="9"/>
      <c r="N297" s="9"/>
      <c r="O297" s="9"/>
      <c r="P297" s="9"/>
      <c r="S297" s="9"/>
      <c r="T297" s="9"/>
      <c r="U297" s="9"/>
      <c r="V297" s="9"/>
      <c r="W297" s="9"/>
      <c r="X297" s="9"/>
    </row>
    <row r="298" spans="3:24">
      <c r="C298" s="9"/>
      <c r="D298" s="9"/>
      <c r="E298" s="9"/>
      <c r="F298" s="9"/>
      <c r="G298" s="9"/>
      <c r="H298" s="9"/>
      <c r="I298" s="9"/>
      <c r="J298" s="10"/>
      <c r="K298" s="9"/>
      <c r="L298" s="9"/>
      <c r="M298" s="9"/>
      <c r="N298" s="9"/>
      <c r="O298" s="9"/>
      <c r="P298" s="9"/>
      <c r="S298" s="9"/>
      <c r="T298" s="9"/>
      <c r="U298" s="9"/>
      <c r="V298" s="9"/>
      <c r="W298" s="9"/>
      <c r="X298" s="9"/>
    </row>
    <row r="299" spans="3:24">
      <c r="C299" s="9"/>
      <c r="D299" s="9"/>
      <c r="E299" s="9"/>
      <c r="F299" s="9"/>
      <c r="G299" s="9"/>
      <c r="H299" s="9"/>
      <c r="I299" s="9"/>
      <c r="J299" s="10"/>
      <c r="K299" s="9"/>
      <c r="L299" s="9"/>
      <c r="M299" s="9"/>
      <c r="N299" s="9"/>
      <c r="O299" s="9"/>
      <c r="P299" s="9"/>
      <c r="S299" s="9"/>
      <c r="T299" s="9"/>
      <c r="U299" s="9"/>
      <c r="V299" s="9"/>
      <c r="W299" s="9"/>
      <c r="X299" s="9"/>
    </row>
    <row r="300" spans="3:24">
      <c r="C300" s="9"/>
      <c r="D300" s="9"/>
      <c r="E300" s="9"/>
      <c r="F300" s="9"/>
      <c r="G300" s="9"/>
      <c r="H300" s="9"/>
      <c r="I300" s="9"/>
      <c r="J300" s="10"/>
      <c r="K300" s="9"/>
      <c r="L300" s="9"/>
      <c r="M300" s="9"/>
      <c r="N300" s="9"/>
      <c r="O300" s="9"/>
      <c r="P300" s="9"/>
      <c r="S300" s="9"/>
      <c r="T300" s="9"/>
      <c r="U300" s="9"/>
      <c r="V300" s="9"/>
      <c r="W300" s="9"/>
      <c r="X300" s="9"/>
    </row>
    <row r="301" spans="3:24">
      <c r="C301" s="9"/>
      <c r="D301" s="9"/>
      <c r="E301" s="9"/>
      <c r="F301" s="9"/>
      <c r="G301" s="9"/>
      <c r="H301" s="9"/>
      <c r="I301" s="9"/>
      <c r="J301" s="10"/>
      <c r="K301" s="9"/>
      <c r="L301" s="9"/>
      <c r="M301" s="9"/>
      <c r="N301" s="9"/>
      <c r="O301" s="9"/>
      <c r="P301" s="9"/>
      <c r="S301" s="9"/>
      <c r="T301" s="9"/>
      <c r="U301" s="9"/>
      <c r="V301" s="9"/>
      <c r="W301" s="9"/>
      <c r="X301" s="9"/>
    </row>
    <row r="302" spans="3:24">
      <c r="C302" s="9"/>
      <c r="D302" s="9"/>
      <c r="E302" s="9"/>
      <c r="F302" s="9"/>
      <c r="G302" s="9"/>
      <c r="H302" s="9"/>
      <c r="I302" s="9"/>
      <c r="J302" s="10"/>
      <c r="K302" s="9"/>
      <c r="L302" s="9"/>
      <c r="M302" s="9"/>
      <c r="N302" s="9"/>
      <c r="O302" s="9"/>
      <c r="P302" s="9"/>
      <c r="S302" s="9"/>
      <c r="T302" s="9"/>
      <c r="U302" s="9"/>
      <c r="V302" s="9"/>
      <c r="W302" s="9"/>
      <c r="X302" s="9"/>
    </row>
    <row r="303" spans="3:24">
      <c r="C303" s="9"/>
      <c r="D303" s="9"/>
      <c r="E303" s="9"/>
      <c r="F303" s="9"/>
      <c r="G303" s="9"/>
      <c r="H303" s="9"/>
      <c r="I303" s="9"/>
      <c r="J303" s="10"/>
      <c r="K303" s="9"/>
      <c r="L303" s="9"/>
      <c r="M303" s="9"/>
      <c r="N303" s="9"/>
      <c r="O303" s="9"/>
      <c r="P303" s="9"/>
      <c r="S303" s="9"/>
      <c r="T303" s="9"/>
      <c r="U303" s="9"/>
      <c r="V303" s="9"/>
      <c r="W303" s="9"/>
      <c r="X303" s="9"/>
    </row>
    <row r="304" spans="3:24">
      <c r="C304" s="9"/>
      <c r="D304" s="9"/>
      <c r="E304" s="9"/>
      <c r="F304" s="9"/>
      <c r="G304" s="9"/>
      <c r="H304" s="9"/>
      <c r="I304" s="9"/>
      <c r="J304" s="10"/>
      <c r="K304" s="9"/>
      <c r="L304" s="9"/>
      <c r="M304" s="9"/>
      <c r="N304" s="9"/>
      <c r="O304" s="9"/>
      <c r="P304" s="9"/>
      <c r="S304" s="9"/>
      <c r="T304" s="9"/>
      <c r="U304" s="9"/>
      <c r="V304" s="9"/>
      <c r="W304" s="9"/>
      <c r="X304" s="9"/>
    </row>
    <row r="305" spans="3:24">
      <c r="C305" s="9"/>
      <c r="D305" s="9"/>
      <c r="E305" s="9"/>
      <c r="F305" s="9"/>
      <c r="G305" s="9"/>
      <c r="H305" s="9"/>
      <c r="I305" s="9"/>
      <c r="J305" s="10"/>
      <c r="K305" s="9"/>
      <c r="L305" s="9"/>
      <c r="M305" s="9"/>
      <c r="N305" s="9"/>
      <c r="O305" s="9"/>
      <c r="P305" s="9"/>
      <c r="S305" s="9"/>
      <c r="T305" s="9"/>
      <c r="U305" s="9"/>
      <c r="V305" s="9"/>
      <c r="W305" s="9"/>
      <c r="X305" s="9"/>
    </row>
    <row r="306" spans="3:24">
      <c r="C306" s="9"/>
      <c r="D306" s="9"/>
      <c r="E306" s="9"/>
      <c r="F306" s="9"/>
      <c r="G306" s="9"/>
      <c r="H306" s="9"/>
      <c r="I306" s="9"/>
      <c r="J306" s="10"/>
      <c r="K306" s="9"/>
      <c r="L306" s="9"/>
      <c r="M306" s="9"/>
      <c r="N306" s="9"/>
      <c r="O306" s="9"/>
      <c r="P306" s="9"/>
      <c r="S306" s="9"/>
      <c r="T306" s="9"/>
      <c r="U306" s="9"/>
      <c r="V306" s="9"/>
      <c r="W306" s="9"/>
      <c r="X306" s="9"/>
    </row>
    <row r="307" spans="3:24">
      <c r="C307" s="9"/>
      <c r="D307" s="9"/>
      <c r="E307" s="9"/>
      <c r="F307" s="9"/>
      <c r="G307" s="9"/>
      <c r="H307" s="9"/>
      <c r="I307" s="9"/>
      <c r="J307" s="10"/>
      <c r="K307" s="9"/>
      <c r="L307" s="9"/>
      <c r="M307" s="9"/>
      <c r="N307" s="9"/>
      <c r="O307" s="9"/>
      <c r="P307" s="9"/>
      <c r="S307" s="9"/>
      <c r="T307" s="9"/>
      <c r="U307" s="9"/>
      <c r="V307" s="9"/>
      <c r="W307" s="9"/>
      <c r="X307" s="9"/>
    </row>
    <row r="308" spans="3:24">
      <c r="C308" s="9"/>
      <c r="D308" s="9"/>
      <c r="E308" s="9"/>
      <c r="F308" s="9"/>
      <c r="G308" s="9"/>
      <c r="H308" s="9"/>
      <c r="I308" s="9"/>
      <c r="J308" s="10"/>
      <c r="K308" s="9"/>
      <c r="L308" s="9"/>
      <c r="M308" s="9"/>
      <c r="N308" s="9"/>
      <c r="O308" s="9"/>
      <c r="P308" s="9"/>
      <c r="S308" s="9"/>
      <c r="T308" s="9"/>
      <c r="U308" s="9"/>
      <c r="V308" s="9"/>
      <c r="W308" s="9"/>
      <c r="X308" s="9"/>
    </row>
    <row r="309" spans="3:24">
      <c r="C309" s="9"/>
      <c r="D309" s="9"/>
      <c r="E309" s="9"/>
      <c r="F309" s="9"/>
      <c r="G309" s="9"/>
      <c r="H309" s="9"/>
      <c r="I309" s="9"/>
      <c r="J309" s="10"/>
      <c r="K309" s="9"/>
      <c r="L309" s="9"/>
      <c r="M309" s="9"/>
      <c r="N309" s="9"/>
      <c r="O309" s="9"/>
      <c r="P309" s="9"/>
      <c r="S309" s="9"/>
      <c r="T309" s="9"/>
      <c r="U309" s="9"/>
      <c r="V309" s="9"/>
      <c r="W309" s="9"/>
      <c r="X309" s="9"/>
    </row>
    <row r="310" spans="3:24">
      <c r="C310" s="9"/>
      <c r="D310" s="9"/>
      <c r="E310" s="9"/>
      <c r="F310" s="9"/>
      <c r="G310" s="9"/>
      <c r="H310" s="9"/>
      <c r="I310" s="9"/>
      <c r="J310" s="10"/>
      <c r="K310" s="9"/>
      <c r="L310" s="9"/>
      <c r="M310" s="9"/>
      <c r="N310" s="9"/>
      <c r="O310" s="9"/>
      <c r="P310" s="9"/>
      <c r="S310" s="9"/>
      <c r="T310" s="9"/>
      <c r="U310" s="9"/>
      <c r="V310" s="9"/>
      <c r="W310" s="9"/>
      <c r="X310" s="9"/>
    </row>
    <row r="311" spans="3:24">
      <c r="C311" s="9"/>
      <c r="D311" s="9"/>
      <c r="E311" s="9"/>
      <c r="F311" s="9"/>
      <c r="G311" s="9"/>
      <c r="H311" s="9"/>
      <c r="I311" s="9"/>
      <c r="J311" s="10"/>
      <c r="K311" s="9"/>
      <c r="L311" s="9"/>
      <c r="M311" s="9"/>
      <c r="N311" s="9"/>
      <c r="O311" s="9"/>
      <c r="P311" s="9"/>
      <c r="S311" s="9"/>
      <c r="T311" s="9"/>
      <c r="U311" s="9"/>
      <c r="V311" s="9"/>
      <c r="W311" s="9"/>
      <c r="X311" s="9"/>
    </row>
    <row r="312" spans="3:24">
      <c r="C312" s="9"/>
      <c r="D312" s="9"/>
      <c r="E312" s="9"/>
      <c r="F312" s="9"/>
      <c r="G312" s="9"/>
      <c r="H312" s="9"/>
      <c r="I312" s="9"/>
      <c r="J312" s="10"/>
      <c r="K312" s="9"/>
      <c r="L312" s="9"/>
      <c r="M312" s="9"/>
      <c r="N312" s="9"/>
      <c r="O312" s="9"/>
      <c r="P312" s="9"/>
      <c r="S312" s="9"/>
      <c r="T312" s="9"/>
      <c r="U312" s="9"/>
      <c r="V312" s="9"/>
      <c r="W312" s="9"/>
      <c r="X312" s="9"/>
    </row>
    <row r="313" spans="3:24">
      <c r="C313" s="9"/>
      <c r="D313" s="9"/>
      <c r="E313" s="9"/>
      <c r="F313" s="9"/>
      <c r="G313" s="9"/>
      <c r="H313" s="9"/>
      <c r="I313" s="9"/>
      <c r="J313" s="10"/>
      <c r="K313" s="9"/>
      <c r="L313" s="9"/>
      <c r="M313" s="9"/>
      <c r="N313" s="9"/>
      <c r="O313" s="9"/>
      <c r="P313" s="9"/>
      <c r="S313" s="9"/>
      <c r="T313" s="9"/>
      <c r="U313" s="9"/>
      <c r="V313" s="9"/>
      <c r="W313" s="9"/>
      <c r="X313" s="9"/>
    </row>
    <row r="314" spans="3:24">
      <c r="C314" s="9"/>
      <c r="D314" s="9"/>
      <c r="E314" s="9"/>
      <c r="F314" s="9"/>
      <c r="G314" s="9"/>
      <c r="H314" s="9"/>
      <c r="I314" s="9"/>
      <c r="J314" s="10"/>
      <c r="K314" s="9"/>
      <c r="L314" s="9"/>
      <c r="M314" s="9"/>
      <c r="N314" s="9"/>
      <c r="O314" s="9"/>
      <c r="P314" s="9"/>
      <c r="S314" s="9"/>
      <c r="T314" s="9"/>
      <c r="U314" s="9"/>
      <c r="V314" s="9"/>
      <c r="W314" s="9"/>
      <c r="X314" s="9"/>
    </row>
    <row r="315" spans="3:24">
      <c r="C315" s="9"/>
      <c r="D315" s="9"/>
      <c r="E315" s="9"/>
      <c r="F315" s="9"/>
      <c r="G315" s="9"/>
      <c r="H315" s="9"/>
      <c r="I315" s="9"/>
      <c r="J315" s="10"/>
      <c r="K315" s="9"/>
      <c r="L315" s="9"/>
      <c r="M315" s="9"/>
      <c r="N315" s="9"/>
      <c r="O315" s="9"/>
      <c r="P315" s="9"/>
      <c r="S315" s="9"/>
      <c r="T315" s="9"/>
      <c r="U315" s="9"/>
      <c r="V315" s="9"/>
      <c r="W315" s="9"/>
      <c r="X315" s="9"/>
    </row>
    <row r="316" spans="3:24">
      <c r="C316" s="9"/>
      <c r="D316" s="9"/>
      <c r="E316" s="9"/>
      <c r="F316" s="9"/>
      <c r="G316" s="9"/>
      <c r="H316" s="9"/>
      <c r="I316" s="9"/>
      <c r="J316" s="10"/>
      <c r="K316" s="9"/>
      <c r="L316" s="9"/>
      <c r="M316" s="9"/>
      <c r="N316" s="9"/>
      <c r="O316" s="9"/>
      <c r="P316" s="9"/>
      <c r="S316" s="9"/>
      <c r="T316" s="9"/>
      <c r="U316" s="9"/>
      <c r="V316" s="9"/>
      <c r="W316" s="9"/>
      <c r="X316" s="9"/>
    </row>
    <row r="317" spans="3:24">
      <c r="C317" s="9"/>
      <c r="D317" s="9"/>
      <c r="E317" s="9"/>
      <c r="F317" s="9"/>
      <c r="G317" s="9"/>
      <c r="H317" s="9"/>
      <c r="I317" s="9"/>
      <c r="J317" s="10"/>
      <c r="K317" s="9"/>
      <c r="L317" s="9"/>
      <c r="M317" s="9"/>
      <c r="N317" s="9"/>
      <c r="O317" s="9"/>
      <c r="P317" s="9"/>
      <c r="S317" s="9"/>
      <c r="T317" s="9"/>
      <c r="U317" s="9"/>
      <c r="V317" s="9"/>
      <c r="W317" s="9"/>
      <c r="X317" s="9"/>
    </row>
    <row r="318" spans="3:24">
      <c r="C318" s="9"/>
      <c r="D318" s="9"/>
      <c r="E318" s="9"/>
      <c r="F318" s="9"/>
      <c r="G318" s="9"/>
      <c r="H318" s="9"/>
      <c r="I318" s="9"/>
      <c r="J318" s="10"/>
      <c r="K318" s="9"/>
      <c r="L318" s="9"/>
      <c r="M318" s="9"/>
      <c r="N318" s="9"/>
      <c r="O318" s="9"/>
      <c r="P318" s="9"/>
      <c r="S318" s="9"/>
      <c r="T318" s="9"/>
      <c r="U318" s="9"/>
      <c r="V318" s="9"/>
      <c r="W318" s="9"/>
      <c r="X318" s="9"/>
    </row>
    <row r="319" spans="3:24">
      <c r="C319" s="9"/>
      <c r="D319" s="9"/>
      <c r="E319" s="9"/>
      <c r="F319" s="9"/>
      <c r="G319" s="9"/>
      <c r="H319" s="9"/>
      <c r="I319" s="9"/>
      <c r="J319" s="10"/>
      <c r="K319" s="9"/>
      <c r="L319" s="9"/>
      <c r="M319" s="9"/>
      <c r="N319" s="9"/>
      <c r="O319" s="9"/>
      <c r="P319" s="9"/>
      <c r="S319" s="9"/>
      <c r="T319" s="9"/>
      <c r="U319" s="9"/>
      <c r="V319" s="9"/>
      <c r="W319" s="9"/>
      <c r="X319" s="9"/>
    </row>
    <row r="320" spans="3:24">
      <c r="C320" s="9"/>
      <c r="D320" s="9"/>
      <c r="E320" s="9"/>
      <c r="F320" s="9"/>
      <c r="G320" s="9"/>
      <c r="H320" s="9"/>
      <c r="I320" s="9"/>
      <c r="J320" s="10"/>
      <c r="K320" s="9"/>
      <c r="L320" s="9"/>
      <c r="M320" s="9"/>
      <c r="N320" s="9"/>
      <c r="O320" s="9"/>
      <c r="P320" s="9"/>
      <c r="S320" s="9"/>
      <c r="T320" s="9"/>
      <c r="U320" s="9"/>
      <c r="V320" s="9"/>
      <c r="W320" s="9"/>
      <c r="X320" s="9"/>
    </row>
    <row r="321" spans="3:24">
      <c r="C321" s="9"/>
      <c r="D321" s="9"/>
      <c r="E321" s="9"/>
      <c r="F321" s="9"/>
      <c r="G321" s="9"/>
      <c r="H321" s="9"/>
      <c r="I321" s="9"/>
      <c r="J321" s="10"/>
      <c r="K321" s="9"/>
      <c r="L321" s="9"/>
      <c r="M321" s="9"/>
      <c r="N321" s="9"/>
      <c r="O321" s="9"/>
      <c r="P321" s="9"/>
      <c r="S321" s="9"/>
      <c r="T321" s="9"/>
      <c r="U321" s="9"/>
      <c r="V321" s="9"/>
      <c r="W321" s="9"/>
      <c r="X321" s="9"/>
    </row>
    <row r="322" spans="3:24">
      <c r="C322" s="9"/>
      <c r="D322" s="9"/>
      <c r="E322" s="9"/>
      <c r="F322" s="9"/>
      <c r="G322" s="9"/>
      <c r="H322" s="9"/>
      <c r="I322" s="9"/>
      <c r="J322" s="10"/>
      <c r="K322" s="9"/>
      <c r="L322" s="9"/>
      <c r="M322" s="9"/>
      <c r="N322" s="9"/>
      <c r="O322" s="9"/>
      <c r="P322" s="9"/>
      <c r="S322" s="9"/>
      <c r="T322" s="9"/>
      <c r="U322" s="9"/>
      <c r="V322" s="9"/>
      <c r="W322" s="9"/>
      <c r="X322" s="9"/>
    </row>
    <row r="323" spans="3:24">
      <c r="C323" s="9"/>
      <c r="D323" s="9"/>
      <c r="E323" s="9"/>
      <c r="F323" s="9"/>
      <c r="G323" s="9"/>
      <c r="H323" s="9"/>
      <c r="I323" s="9"/>
      <c r="J323" s="10"/>
      <c r="K323" s="9"/>
      <c r="L323" s="9"/>
      <c r="M323" s="9"/>
      <c r="N323" s="9"/>
      <c r="O323" s="9"/>
      <c r="P323" s="9"/>
      <c r="S323" s="9"/>
      <c r="T323" s="9"/>
      <c r="U323" s="9"/>
      <c r="V323" s="9"/>
      <c r="W323" s="9"/>
      <c r="X323" s="9"/>
    </row>
    <row r="324" spans="3:24">
      <c r="C324" s="9"/>
      <c r="D324" s="9"/>
      <c r="E324" s="9"/>
      <c r="F324" s="9"/>
      <c r="G324" s="9"/>
      <c r="H324" s="9"/>
      <c r="I324" s="9"/>
      <c r="J324" s="10"/>
      <c r="K324" s="9"/>
      <c r="L324" s="9"/>
      <c r="M324" s="9"/>
      <c r="N324" s="9"/>
      <c r="O324" s="9"/>
      <c r="P324" s="9"/>
      <c r="S324" s="9"/>
      <c r="T324" s="9"/>
      <c r="U324" s="9"/>
      <c r="V324" s="9"/>
      <c r="W324" s="9"/>
      <c r="X324" s="9"/>
    </row>
    <row r="325" spans="3:24">
      <c r="C325" s="9"/>
      <c r="D325" s="9"/>
      <c r="E325" s="9"/>
      <c r="F325" s="9"/>
      <c r="G325" s="9"/>
      <c r="H325" s="9"/>
      <c r="I325" s="9"/>
      <c r="J325" s="10"/>
      <c r="K325" s="9"/>
      <c r="L325" s="9"/>
      <c r="M325" s="9"/>
      <c r="N325" s="9"/>
      <c r="O325" s="9"/>
      <c r="P325" s="9"/>
      <c r="S325" s="9"/>
      <c r="T325" s="9"/>
      <c r="U325" s="9"/>
      <c r="V325" s="9"/>
      <c r="W325" s="9"/>
      <c r="X325" s="9"/>
    </row>
    <row r="326" spans="3:24">
      <c r="C326" s="9"/>
      <c r="D326" s="9"/>
      <c r="E326" s="9"/>
      <c r="F326" s="9"/>
      <c r="G326" s="9"/>
      <c r="H326" s="9"/>
      <c r="I326" s="9"/>
      <c r="J326" s="10"/>
      <c r="K326" s="9"/>
      <c r="L326" s="9"/>
      <c r="M326" s="9"/>
      <c r="N326" s="9"/>
      <c r="O326" s="9"/>
      <c r="P326" s="9"/>
      <c r="S326" s="9"/>
      <c r="T326" s="9"/>
      <c r="U326" s="9"/>
      <c r="V326" s="9"/>
      <c r="W326" s="9"/>
      <c r="X326" s="9"/>
    </row>
    <row r="327" spans="3:24">
      <c r="C327" s="9"/>
      <c r="D327" s="9"/>
      <c r="E327" s="9"/>
      <c r="F327" s="9"/>
      <c r="G327" s="9"/>
      <c r="H327" s="9"/>
      <c r="I327" s="9"/>
      <c r="J327" s="10"/>
      <c r="K327" s="9"/>
      <c r="L327" s="9"/>
      <c r="M327" s="9"/>
      <c r="N327" s="9"/>
      <c r="O327" s="9"/>
      <c r="P327" s="9"/>
      <c r="S327" s="9"/>
      <c r="T327" s="9"/>
      <c r="U327" s="9"/>
      <c r="V327" s="9"/>
      <c r="W327" s="9"/>
      <c r="X327" s="9"/>
    </row>
    <row r="328" spans="3:24">
      <c r="C328" s="9"/>
      <c r="D328" s="9"/>
      <c r="E328" s="9"/>
      <c r="F328" s="9"/>
      <c r="G328" s="9"/>
      <c r="H328" s="9"/>
      <c r="I328" s="9"/>
      <c r="J328" s="10"/>
      <c r="K328" s="9"/>
      <c r="L328" s="9"/>
      <c r="M328" s="9"/>
      <c r="N328" s="9"/>
      <c r="O328" s="9"/>
      <c r="P328" s="9"/>
      <c r="S328" s="9"/>
      <c r="T328" s="9"/>
      <c r="U328" s="9"/>
      <c r="V328" s="9"/>
      <c r="W328" s="9"/>
      <c r="X328" s="9"/>
    </row>
    <row r="329" spans="3:24">
      <c r="C329" s="9"/>
      <c r="D329" s="9"/>
      <c r="E329" s="9"/>
      <c r="F329" s="9"/>
      <c r="G329" s="9"/>
      <c r="H329" s="9"/>
      <c r="I329" s="9"/>
      <c r="J329" s="10"/>
      <c r="K329" s="9"/>
      <c r="L329" s="9"/>
      <c r="M329" s="9"/>
      <c r="N329" s="9"/>
      <c r="O329" s="9"/>
      <c r="P329" s="9"/>
      <c r="S329" s="9"/>
      <c r="T329" s="9"/>
      <c r="U329" s="9"/>
      <c r="V329" s="9"/>
      <c r="W329" s="9"/>
      <c r="X329" s="9"/>
    </row>
    <row r="330" spans="3:24">
      <c r="C330" s="9"/>
      <c r="D330" s="9"/>
      <c r="E330" s="9"/>
      <c r="F330" s="9"/>
      <c r="G330" s="9"/>
      <c r="H330" s="9"/>
      <c r="I330" s="9"/>
      <c r="J330" s="10"/>
      <c r="K330" s="9"/>
      <c r="L330" s="9"/>
      <c r="M330" s="9"/>
      <c r="N330" s="9"/>
      <c r="O330" s="9"/>
      <c r="P330" s="9"/>
      <c r="S330" s="9"/>
      <c r="T330" s="9"/>
      <c r="U330" s="9"/>
      <c r="V330" s="9"/>
      <c r="W330" s="9"/>
      <c r="X330" s="9"/>
    </row>
    <row r="331" spans="3:24">
      <c r="C331" s="9"/>
      <c r="D331" s="9"/>
      <c r="E331" s="9"/>
      <c r="F331" s="9"/>
      <c r="G331" s="9"/>
      <c r="H331" s="9"/>
      <c r="I331" s="9"/>
      <c r="J331" s="10"/>
      <c r="K331" s="9"/>
      <c r="L331" s="9"/>
      <c r="M331" s="9"/>
      <c r="N331" s="9"/>
      <c r="O331" s="9"/>
      <c r="P331" s="9"/>
      <c r="S331" s="9"/>
      <c r="T331" s="9"/>
      <c r="U331" s="9"/>
      <c r="V331" s="9"/>
      <c r="W331" s="9"/>
      <c r="X331" s="9"/>
    </row>
    <row r="332" spans="3:24">
      <c r="C332" s="9"/>
      <c r="D332" s="9"/>
      <c r="E332" s="9"/>
      <c r="F332" s="9"/>
      <c r="G332" s="9"/>
      <c r="H332" s="9"/>
      <c r="I332" s="9"/>
      <c r="J332" s="10"/>
      <c r="K332" s="9"/>
      <c r="L332" s="9"/>
      <c r="M332" s="9"/>
      <c r="N332" s="9"/>
      <c r="O332" s="9"/>
      <c r="P332" s="9"/>
      <c r="S332" s="9"/>
      <c r="T332" s="9"/>
      <c r="U332" s="9"/>
      <c r="V332" s="9"/>
      <c r="W332" s="9"/>
      <c r="X332" s="9"/>
    </row>
    <row r="333" spans="3:24">
      <c r="C333" s="9"/>
      <c r="D333" s="9"/>
      <c r="E333" s="9"/>
      <c r="F333" s="9"/>
      <c r="G333" s="9"/>
      <c r="H333" s="9"/>
      <c r="I333" s="9"/>
      <c r="J333" s="10"/>
      <c r="K333" s="9"/>
      <c r="L333" s="9"/>
      <c r="M333" s="9"/>
      <c r="N333" s="9"/>
      <c r="O333" s="9"/>
      <c r="P333" s="9"/>
      <c r="S333" s="9"/>
      <c r="T333" s="9"/>
      <c r="U333" s="9"/>
      <c r="V333" s="9"/>
      <c r="W333" s="9"/>
      <c r="X333" s="9"/>
    </row>
    <row r="334" spans="3:24">
      <c r="C334" s="9"/>
      <c r="D334" s="9"/>
      <c r="E334" s="9"/>
      <c r="F334" s="9"/>
      <c r="G334" s="9"/>
      <c r="H334" s="9"/>
      <c r="I334" s="9"/>
      <c r="J334" s="10"/>
      <c r="K334" s="9"/>
      <c r="L334" s="9"/>
      <c r="M334" s="9"/>
      <c r="N334" s="9"/>
      <c r="O334" s="9"/>
      <c r="P334" s="9"/>
      <c r="S334" s="9"/>
      <c r="T334" s="9"/>
      <c r="U334" s="9"/>
      <c r="V334" s="9"/>
      <c r="W334" s="9"/>
      <c r="X334" s="9"/>
    </row>
    <row r="335" spans="3:24">
      <c r="C335" s="9"/>
      <c r="D335" s="9"/>
      <c r="E335" s="9"/>
      <c r="F335" s="9"/>
      <c r="G335" s="9"/>
      <c r="H335" s="9"/>
      <c r="I335" s="9"/>
      <c r="J335" s="10"/>
      <c r="K335" s="9"/>
      <c r="L335" s="9"/>
      <c r="M335" s="9"/>
      <c r="N335" s="9"/>
      <c r="O335" s="9"/>
      <c r="P335" s="9"/>
      <c r="S335" s="9"/>
      <c r="T335" s="9"/>
      <c r="U335" s="9"/>
      <c r="V335" s="9"/>
      <c r="W335" s="9"/>
      <c r="X335" s="9"/>
    </row>
    <row r="336" spans="3:24">
      <c r="C336" s="9"/>
      <c r="D336" s="9"/>
      <c r="E336" s="9"/>
      <c r="F336" s="9"/>
      <c r="G336" s="9"/>
      <c r="H336" s="9"/>
      <c r="I336" s="9"/>
      <c r="J336" s="10"/>
      <c r="K336" s="9"/>
      <c r="L336" s="9"/>
      <c r="M336" s="9"/>
      <c r="N336" s="9"/>
      <c r="O336" s="9"/>
      <c r="P336" s="9"/>
      <c r="S336" s="9"/>
      <c r="T336" s="9"/>
      <c r="U336" s="9"/>
      <c r="V336" s="9"/>
      <c r="W336" s="9"/>
      <c r="X336" s="9"/>
    </row>
    <row r="337" spans="3:24">
      <c r="C337" s="9"/>
      <c r="D337" s="9"/>
      <c r="E337" s="9"/>
      <c r="F337" s="9"/>
      <c r="G337" s="9"/>
      <c r="H337" s="9"/>
      <c r="I337" s="9"/>
      <c r="J337" s="10"/>
      <c r="K337" s="9"/>
      <c r="L337" s="9"/>
      <c r="M337" s="9"/>
      <c r="N337" s="9"/>
      <c r="O337" s="9"/>
      <c r="P337" s="9"/>
      <c r="S337" s="9"/>
      <c r="T337" s="9"/>
      <c r="U337" s="9"/>
      <c r="V337" s="9"/>
      <c r="W337" s="9"/>
      <c r="X337" s="9"/>
    </row>
    <row r="338" spans="3:24">
      <c r="C338" s="9"/>
      <c r="D338" s="9"/>
      <c r="E338" s="9"/>
      <c r="F338" s="9"/>
      <c r="G338" s="9"/>
      <c r="H338" s="9"/>
      <c r="I338" s="9"/>
      <c r="J338" s="10"/>
      <c r="K338" s="9"/>
      <c r="L338" s="9"/>
      <c r="M338" s="9"/>
      <c r="N338" s="9"/>
      <c r="O338" s="9"/>
      <c r="P338" s="9"/>
      <c r="S338" s="9"/>
      <c r="T338" s="9"/>
      <c r="U338" s="9"/>
      <c r="V338" s="9"/>
      <c r="W338" s="9"/>
      <c r="X338" s="9"/>
    </row>
    <row r="339" spans="3:24">
      <c r="C339" s="9"/>
      <c r="D339" s="9"/>
      <c r="E339" s="9"/>
      <c r="F339" s="9"/>
      <c r="G339" s="9"/>
      <c r="H339" s="9"/>
      <c r="I339" s="9"/>
      <c r="J339" s="10"/>
      <c r="K339" s="9"/>
      <c r="L339" s="9"/>
      <c r="M339" s="9"/>
      <c r="N339" s="9"/>
      <c r="O339" s="9"/>
      <c r="P339" s="9"/>
      <c r="S339" s="9"/>
      <c r="T339" s="9"/>
      <c r="U339" s="9"/>
      <c r="V339" s="9"/>
      <c r="W339" s="9"/>
      <c r="X339" s="9"/>
    </row>
    <row r="340" spans="3:24">
      <c r="C340" s="9"/>
      <c r="D340" s="9"/>
      <c r="E340" s="9"/>
      <c r="F340" s="9"/>
      <c r="G340" s="9"/>
      <c r="H340" s="9"/>
      <c r="I340" s="9"/>
      <c r="J340" s="10"/>
      <c r="K340" s="9"/>
      <c r="L340" s="9"/>
      <c r="M340" s="9"/>
      <c r="N340" s="9"/>
      <c r="O340" s="9"/>
      <c r="P340" s="9"/>
      <c r="S340" s="9"/>
      <c r="T340" s="9"/>
      <c r="U340" s="9"/>
      <c r="V340" s="9"/>
      <c r="W340" s="9"/>
      <c r="X340" s="9"/>
    </row>
    <row r="341" spans="3:24">
      <c r="C341" s="9"/>
      <c r="D341" s="9"/>
      <c r="E341" s="9"/>
      <c r="F341" s="9"/>
      <c r="G341" s="9"/>
      <c r="H341" s="9"/>
      <c r="I341" s="9"/>
      <c r="J341" s="10"/>
      <c r="K341" s="9"/>
      <c r="L341" s="9"/>
      <c r="M341" s="9"/>
      <c r="N341" s="9"/>
      <c r="O341" s="9"/>
      <c r="P341" s="9"/>
      <c r="S341" s="9"/>
      <c r="T341" s="9"/>
      <c r="U341" s="9"/>
      <c r="V341" s="9"/>
      <c r="W341" s="9"/>
      <c r="X341" s="9"/>
    </row>
    <row r="342" spans="3:24">
      <c r="C342" s="9"/>
      <c r="D342" s="9"/>
      <c r="E342" s="9"/>
      <c r="F342" s="9"/>
      <c r="G342" s="9"/>
      <c r="H342" s="9"/>
      <c r="I342" s="9"/>
      <c r="J342" s="10"/>
      <c r="K342" s="9"/>
      <c r="L342" s="9"/>
      <c r="M342" s="9"/>
      <c r="N342" s="9"/>
      <c r="O342" s="9"/>
      <c r="P342" s="9"/>
      <c r="S342" s="9"/>
      <c r="T342" s="9"/>
      <c r="U342" s="9"/>
      <c r="V342" s="9"/>
      <c r="W342" s="9"/>
      <c r="X342" s="9"/>
    </row>
    <row r="343" spans="3:24">
      <c r="C343" s="9"/>
      <c r="D343" s="9"/>
      <c r="E343" s="9"/>
      <c r="F343" s="9"/>
      <c r="G343" s="9"/>
      <c r="H343" s="9"/>
      <c r="I343" s="9"/>
      <c r="J343" s="10"/>
      <c r="K343" s="9"/>
      <c r="L343" s="9"/>
      <c r="M343" s="9"/>
      <c r="N343" s="9"/>
      <c r="O343" s="9"/>
      <c r="P343" s="9"/>
      <c r="S343" s="9"/>
      <c r="T343" s="9"/>
      <c r="U343" s="9"/>
      <c r="V343" s="9"/>
      <c r="W343" s="9"/>
      <c r="X343" s="9"/>
    </row>
    <row r="344" spans="3:24">
      <c r="C344" s="9"/>
      <c r="D344" s="9"/>
      <c r="E344" s="9"/>
      <c r="F344" s="9"/>
      <c r="G344" s="9"/>
      <c r="H344" s="9"/>
      <c r="I344" s="9"/>
      <c r="J344" s="10"/>
      <c r="K344" s="9"/>
      <c r="L344" s="9"/>
      <c r="M344" s="9"/>
      <c r="N344" s="9"/>
      <c r="O344" s="9"/>
      <c r="P344" s="9"/>
      <c r="S344" s="9"/>
      <c r="T344" s="9"/>
      <c r="U344" s="9"/>
      <c r="V344" s="9"/>
      <c r="W344" s="9"/>
      <c r="X344" s="9"/>
    </row>
    <row r="345" spans="3:24">
      <c r="C345" s="9"/>
      <c r="D345" s="9"/>
      <c r="E345" s="9"/>
      <c r="F345" s="9"/>
      <c r="G345" s="9"/>
      <c r="H345" s="9"/>
      <c r="I345" s="9"/>
      <c r="J345" s="10"/>
      <c r="K345" s="9"/>
      <c r="L345" s="9"/>
      <c r="M345" s="9"/>
      <c r="N345" s="9"/>
      <c r="O345" s="9"/>
      <c r="P345" s="9"/>
      <c r="S345" s="9"/>
      <c r="T345" s="9"/>
      <c r="U345" s="9"/>
      <c r="V345" s="9"/>
      <c r="W345" s="9"/>
      <c r="X345" s="9"/>
    </row>
    <row r="346" spans="3:24">
      <c r="C346" s="9"/>
      <c r="D346" s="9"/>
      <c r="E346" s="9"/>
      <c r="F346" s="9"/>
      <c r="G346" s="9"/>
      <c r="H346" s="9"/>
      <c r="I346" s="9"/>
      <c r="J346" s="10"/>
      <c r="K346" s="9"/>
      <c r="L346" s="9"/>
      <c r="M346" s="9"/>
      <c r="N346" s="9"/>
      <c r="O346" s="9"/>
      <c r="P346" s="9"/>
      <c r="S346" s="9"/>
      <c r="T346" s="9"/>
      <c r="U346" s="9"/>
      <c r="V346" s="9"/>
      <c r="W346" s="9"/>
      <c r="X346" s="9"/>
    </row>
    <row r="347" spans="3:24">
      <c r="C347" s="9"/>
      <c r="D347" s="9"/>
      <c r="E347" s="9"/>
      <c r="F347" s="9"/>
      <c r="G347" s="9"/>
      <c r="H347" s="9"/>
      <c r="I347" s="9"/>
      <c r="J347" s="10"/>
      <c r="K347" s="9"/>
      <c r="L347" s="9"/>
      <c r="M347" s="9"/>
      <c r="N347" s="9"/>
      <c r="O347" s="9"/>
      <c r="P347" s="9"/>
      <c r="S347" s="9"/>
      <c r="T347" s="9"/>
      <c r="U347" s="9"/>
      <c r="V347" s="9"/>
      <c r="W347" s="9"/>
      <c r="X347" s="9"/>
    </row>
    <row r="348" spans="3:24">
      <c r="C348" s="9"/>
      <c r="D348" s="9"/>
      <c r="E348" s="9"/>
      <c r="F348" s="9"/>
      <c r="G348" s="9"/>
      <c r="H348" s="9"/>
      <c r="I348" s="9"/>
      <c r="J348" s="10"/>
      <c r="K348" s="9"/>
      <c r="L348" s="9"/>
      <c r="M348" s="9"/>
      <c r="N348" s="9"/>
      <c r="O348" s="9"/>
      <c r="P348" s="9"/>
      <c r="S348" s="9"/>
      <c r="T348" s="9"/>
      <c r="U348" s="9"/>
      <c r="V348" s="9"/>
      <c r="W348" s="9"/>
      <c r="X348" s="9"/>
    </row>
    <row r="349" spans="3:24">
      <c r="C349" s="9"/>
      <c r="D349" s="9"/>
      <c r="E349" s="9"/>
      <c r="F349" s="9"/>
      <c r="G349" s="9"/>
      <c r="H349" s="9"/>
      <c r="I349" s="9"/>
      <c r="J349" s="10"/>
      <c r="K349" s="9"/>
      <c r="L349" s="9"/>
      <c r="M349" s="9"/>
      <c r="N349" s="9"/>
      <c r="O349" s="9"/>
      <c r="P349" s="9"/>
      <c r="S349" s="9"/>
      <c r="T349" s="9"/>
      <c r="U349" s="9"/>
      <c r="V349" s="9"/>
      <c r="W349" s="9"/>
      <c r="X349" s="9"/>
    </row>
    <row r="350" spans="3:24">
      <c r="C350" s="9"/>
      <c r="D350" s="9"/>
      <c r="E350" s="9"/>
      <c r="F350" s="9"/>
      <c r="G350" s="9"/>
      <c r="H350" s="9"/>
      <c r="I350" s="9"/>
      <c r="J350" s="10"/>
      <c r="K350" s="9"/>
      <c r="L350" s="9"/>
      <c r="M350" s="9"/>
      <c r="N350" s="9"/>
      <c r="O350" s="9"/>
      <c r="P350" s="9"/>
      <c r="S350" s="9"/>
      <c r="T350" s="9"/>
      <c r="U350" s="9"/>
      <c r="V350" s="9"/>
      <c r="W350" s="9"/>
      <c r="X350" s="9"/>
    </row>
    <row r="351" spans="3:24">
      <c r="C351" s="9"/>
      <c r="D351" s="9"/>
      <c r="E351" s="9"/>
      <c r="F351" s="9"/>
      <c r="G351" s="9"/>
      <c r="H351" s="9"/>
      <c r="I351" s="9"/>
      <c r="J351" s="10"/>
      <c r="K351" s="9"/>
      <c r="L351" s="9"/>
      <c r="M351" s="9"/>
      <c r="N351" s="9"/>
      <c r="O351" s="9"/>
      <c r="P351" s="9"/>
      <c r="S351" s="9"/>
      <c r="T351" s="9"/>
      <c r="U351" s="9"/>
      <c r="V351" s="9"/>
      <c r="W351" s="9"/>
      <c r="X351" s="9"/>
    </row>
    <row r="352" spans="3:24">
      <c r="C352" s="9"/>
      <c r="D352" s="9"/>
      <c r="E352" s="9"/>
      <c r="F352" s="9"/>
      <c r="G352" s="9"/>
      <c r="H352" s="9"/>
      <c r="I352" s="9"/>
      <c r="J352" s="10"/>
      <c r="K352" s="9"/>
      <c r="L352" s="9"/>
      <c r="M352" s="9"/>
      <c r="N352" s="9"/>
      <c r="O352" s="9"/>
      <c r="P352" s="9"/>
      <c r="S352" s="9"/>
      <c r="T352" s="9"/>
      <c r="U352" s="9"/>
      <c r="V352" s="9"/>
      <c r="W352" s="9"/>
      <c r="X352" s="9"/>
    </row>
    <row r="353" spans="3:24">
      <c r="C353" s="9"/>
      <c r="D353" s="9"/>
      <c r="E353" s="9"/>
      <c r="F353" s="9"/>
      <c r="G353" s="9"/>
      <c r="H353" s="9"/>
      <c r="I353" s="9"/>
      <c r="J353" s="10"/>
      <c r="K353" s="9"/>
      <c r="L353" s="9"/>
      <c r="M353" s="9"/>
      <c r="N353" s="9"/>
      <c r="O353" s="9"/>
      <c r="P353" s="9"/>
      <c r="S353" s="9"/>
      <c r="T353" s="9"/>
      <c r="U353" s="9"/>
      <c r="V353" s="9"/>
      <c r="W353" s="9"/>
      <c r="X353" s="9"/>
    </row>
    <row r="354" spans="3:24">
      <c r="C354" s="9"/>
      <c r="D354" s="9"/>
      <c r="E354" s="9"/>
      <c r="F354" s="9"/>
      <c r="G354" s="9"/>
      <c r="H354" s="9"/>
      <c r="I354" s="9"/>
      <c r="J354" s="10"/>
      <c r="K354" s="9"/>
      <c r="L354" s="9"/>
      <c r="M354" s="9"/>
      <c r="N354" s="9"/>
      <c r="O354" s="9"/>
      <c r="P354" s="9"/>
      <c r="S354" s="9"/>
      <c r="T354" s="9"/>
      <c r="U354" s="9"/>
      <c r="V354" s="9"/>
      <c r="W354" s="9"/>
      <c r="X354" s="9"/>
    </row>
    <row r="355" spans="3:24">
      <c r="C355" s="9"/>
      <c r="D355" s="9"/>
      <c r="E355" s="9"/>
      <c r="F355" s="9"/>
      <c r="G355" s="9"/>
      <c r="H355" s="9"/>
      <c r="I355" s="9"/>
      <c r="J355" s="10"/>
      <c r="K355" s="9"/>
      <c r="L355" s="9"/>
      <c r="M355" s="9"/>
      <c r="N355" s="9"/>
      <c r="O355" s="9"/>
      <c r="P355" s="9"/>
      <c r="S355" s="9"/>
      <c r="T355" s="9"/>
      <c r="U355" s="9"/>
      <c r="V355" s="9"/>
      <c r="W355" s="9"/>
      <c r="X355" s="9"/>
    </row>
    <row r="356" spans="3:24">
      <c r="C356" s="9"/>
      <c r="D356" s="9"/>
      <c r="E356" s="9"/>
      <c r="F356" s="9"/>
      <c r="G356" s="9"/>
      <c r="H356" s="9"/>
      <c r="I356" s="9"/>
      <c r="J356" s="10"/>
      <c r="K356" s="9"/>
      <c r="L356" s="9"/>
      <c r="M356" s="9"/>
      <c r="N356" s="9"/>
      <c r="O356" s="9"/>
      <c r="P356" s="9"/>
      <c r="S356" s="9"/>
      <c r="T356" s="9"/>
      <c r="U356" s="9"/>
      <c r="V356" s="9"/>
      <c r="W356" s="9"/>
      <c r="X356" s="9"/>
    </row>
    <row r="357" spans="3:24">
      <c r="C357" s="9"/>
      <c r="D357" s="9"/>
      <c r="E357" s="9"/>
      <c r="F357" s="9"/>
      <c r="G357" s="9"/>
      <c r="H357" s="9"/>
      <c r="I357" s="9"/>
      <c r="J357" s="10"/>
      <c r="K357" s="9"/>
      <c r="L357" s="9"/>
      <c r="M357" s="9"/>
      <c r="N357" s="9"/>
      <c r="O357" s="9"/>
      <c r="P357" s="9"/>
      <c r="S357" s="9"/>
      <c r="T357" s="9"/>
      <c r="U357" s="9"/>
      <c r="V357" s="9"/>
      <c r="W357" s="9"/>
      <c r="X357" s="9"/>
    </row>
    <row r="358" spans="3:24">
      <c r="C358" s="9"/>
      <c r="D358" s="9"/>
      <c r="E358" s="9"/>
      <c r="F358" s="9"/>
      <c r="G358" s="9"/>
      <c r="H358" s="9"/>
      <c r="I358" s="9"/>
      <c r="J358" s="10"/>
      <c r="K358" s="9"/>
      <c r="L358" s="9"/>
      <c r="M358" s="9"/>
      <c r="N358" s="9"/>
      <c r="O358" s="9"/>
      <c r="P358" s="9"/>
      <c r="S358" s="9"/>
      <c r="T358" s="9"/>
      <c r="U358" s="9"/>
      <c r="V358" s="9"/>
      <c r="W358" s="9"/>
      <c r="X358" s="9"/>
    </row>
    <row r="359" spans="3:24">
      <c r="C359" s="9"/>
      <c r="D359" s="9"/>
      <c r="E359" s="9"/>
      <c r="F359" s="9"/>
      <c r="G359" s="9"/>
      <c r="H359" s="9"/>
      <c r="I359" s="9"/>
      <c r="J359" s="10"/>
      <c r="K359" s="9"/>
      <c r="L359" s="9"/>
      <c r="M359" s="9"/>
      <c r="N359" s="9"/>
      <c r="O359" s="9"/>
      <c r="P359" s="9"/>
      <c r="S359" s="9"/>
      <c r="T359" s="9"/>
      <c r="U359" s="9"/>
      <c r="V359" s="9"/>
      <c r="W359" s="9"/>
      <c r="X359" s="9"/>
    </row>
    <row r="360" spans="3:24">
      <c r="C360" s="9"/>
      <c r="D360" s="9"/>
      <c r="E360" s="9"/>
      <c r="F360" s="9"/>
      <c r="G360" s="9"/>
      <c r="H360" s="9"/>
      <c r="I360" s="9"/>
      <c r="J360" s="10"/>
      <c r="K360" s="9"/>
      <c r="L360" s="9"/>
      <c r="M360" s="9"/>
      <c r="N360" s="9"/>
      <c r="O360" s="9"/>
      <c r="P360" s="9"/>
      <c r="S360" s="9"/>
      <c r="T360" s="9"/>
      <c r="U360" s="9"/>
      <c r="V360" s="9"/>
      <c r="W360" s="9"/>
      <c r="X360" s="9"/>
    </row>
    <row r="361" spans="3:24">
      <c r="C361" s="9"/>
      <c r="D361" s="9"/>
      <c r="E361" s="9"/>
      <c r="F361" s="9"/>
      <c r="G361" s="9"/>
      <c r="H361" s="9"/>
      <c r="I361" s="9"/>
      <c r="J361" s="10"/>
      <c r="K361" s="9"/>
      <c r="L361" s="9"/>
      <c r="M361" s="9"/>
      <c r="N361" s="9"/>
      <c r="O361" s="9"/>
      <c r="P361" s="9"/>
      <c r="S361" s="9"/>
      <c r="T361" s="9"/>
      <c r="U361" s="9"/>
      <c r="V361" s="9"/>
      <c r="W361" s="9"/>
      <c r="X361" s="9"/>
    </row>
    <row r="362" spans="3:24">
      <c r="C362" s="9"/>
      <c r="D362" s="9"/>
      <c r="E362" s="9"/>
      <c r="F362" s="9"/>
      <c r="G362" s="9"/>
      <c r="H362" s="9"/>
      <c r="I362" s="9"/>
      <c r="J362" s="10"/>
      <c r="K362" s="9"/>
      <c r="L362" s="9"/>
      <c r="M362" s="9"/>
      <c r="N362" s="9"/>
      <c r="O362" s="9"/>
      <c r="P362" s="9"/>
      <c r="S362" s="9"/>
      <c r="T362" s="9"/>
      <c r="U362" s="9"/>
      <c r="V362" s="9"/>
      <c r="W362" s="9"/>
      <c r="X362" s="9"/>
    </row>
    <row r="363" spans="3:24">
      <c r="C363" s="9"/>
      <c r="D363" s="9"/>
      <c r="E363" s="9"/>
      <c r="F363" s="9"/>
      <c r="G363" s="9"/>
      <c r="H363" s="9"/>
      <c r="I363" s="9"/>
      <c r="J363" s="10"/>
      <c r="K363" s="9"/>
      <c r="L363" s="9"/>
      <c r="M363" s="9"/>
      <c r="N363" s="9"/>
      <c r="O363" s="9"/>
      <c r="P363" s="9"/>
      <c r="S363" s="9"/>
      <c r="T363" s="9"/>
      <c r="U363" s="9"/>
      <c r="V363" s="9"/>
      <c r="W363" s="9"/>
      <c r="X363" s="9"/>
    </row>
    <row r="364" spans="3:24">
      <c r="C364" s="9"/>
      <c r="D364" s="9"/>
      <c r="E364" s="9"/>
      <c r="F364" s="9"/>
      <c r="G364" s="9"/>
      <c r="H364" s="9"/>
      <c r="I364" s="9"/>
      <c r="J364" s="10"/>
      <c r="K364" s="9"/>
      <c r="L364" s="9"/>
      <c r="M364" s="9"/>
      <c r="N364" s="9"/>
      <c r="O364" s="9"/>
      <c r="P364" s="9"/>
      <c r="S364" s="9"/>
      <c r="T364" s="9"/>
      <c r="U364" s="9"/>
      <c r="V364" s="9"/>
      <c r="W364" s="9"/>
      <c r="X364" s="9"/>
    </row>
    <row r="365" spans="3:24">
      <c r="C365" s="9"/>
      <c r="D365" s="9"/>
      <c r="E365" s="9"/>
      <c r="F365" s="9"/>
      <c r="G365" s="9"/>
      <c r="H365" s="9"/>
      <c r="I365" s="9"/>
      <c r="J365" s="10"/>
      <c r="K365" s="9"/>
      <c r="L365" s="9"/>
      <c r="M365" s="9"/>
      <c r="N365" s="9"/>
      <c r="O365" s="9"/>
      <c r="P365" s="9"/>
      <c r="S365" s="9"/>
      <c r="T365" s="9"/>
      <c r="U365" s="9"/>
      <c r="V365" s="9"/>
      <c r="W365" s="9"/>
      <c r="X365" s="9"/>
    </row>
    <row r="366" spans="3:24">
      <c r="C366" s="9"/>
      <c r="D366" s="9"/>
      <c r="E366" s="9"/>
      <c r="F366" s="9"/>
      <c r="G366" s="9"/>
      <c r="H366" s="9"/>
      <c r="I366" s="9"/>
      <c r="J366" s="10"/>
      <c r="K366" s="9"/>
      <c r="L366" s="9"/>
      <c r="M366" s="9"/>
      <c r="N366" s="9"/>
      <c r="O366" s="9"/>
      <c r="P366" s="9"/>
      <c r="S366" s="9"/>
      <c r="T366" s="9"/>
      <c r="U366" s="9"/>
      <c r="V366" s="9"/>
      <c r="W366" s="9"/>
      <c r="X366" s="9"/>
    </row>
    <row r="367" spans="3:24">
      <c r="C367" s="9"/>
      <c r="D367" s="9"/>
      <c r="E367" s="9"/>
      <c r="F367" s="9"/>
      <c r="G367" s="9"/>
      <c r="H367" s="9"/>
      <c r="I367" s="9"/>
      <c r="J367" s="10"/>
      <c r="K367" s="9"/>
      <c r="L367" s="9"/>
      <c r="M367" s="9"/>
      <c r="N367" s="9"/>
      <c r="O367" s="9"/>
      <c r="P367" s="9"/>
      <c r="S367" s="9"/>
      <c r="T367" s="9"/>
      <c r="U367" s="9"/>
      <c r="V367" s="9"/>
      <c r="W367" s="9"/>
      <c r="X367" s="9"/>
    </row>
    <row r="368" spans="3:24">
      <c r="C368" s="9"/>
      <c r="D368" s="9"/>
      <c r="E368" s="9"/>
      <c r="F368" s="9"/>
      <c r="G368" s="9"/>
      <c r="H368" s="9"/>
      <c r="I368" s="9"/>
      <c r="J368" s="10"/>
      <c r="K368" s="9"/>
      <c r="L368" s="9"/>
      <c r="M368" s="9"/>
      <c r="N368" s="9"/>
      <c r="O368" s="9"/>
      <c r="P368" s="9"/>
      <c r="S368" s="9"/>
      <c r="T368" s="9"/>
      <c r="U368" s="9"/>
      <c r="V368" s="9"/>
      <c r="W368" s="9"/>
      <c r="X368" s="9"/>
    </row>
    <row r="369" spans="3:24">
      <c r="C369" s="9"/>
      <c r="D369" s="9"/>
      <c r="E369" s="9"/>
      <c r="F369" s="9"/>
      <c r="G369" s="9"/>
      <c r="H369" s="9"/>
      <c r="I369" s="9"/>
      <c r="J369" s="10"/>
      <c r="K369" s="9"/>
      <c r="L369" s="9"/>
      <c r="M369" s="9"/>
      <c r="N369" s="9"/>
      <c r="O369" s="9"/>
      <c r="P369" s="9"/>
      <c r="S369" s="9"/>
      <c r="T369" s="9"/>
      <c r="U369" s="9"/>
      <c r="V369" s="9"/>
      <c r="W369" s="9"/>
      <c r="X369" s="9"/>
    </row>
    <row r="370" spans="3:24">
      <c r="C370" s="9"/>
      <c r="D370" s="9"/>
      <c r="E370" s="9"/>
      <c r="F370" s="9"/>
      <c r="G370" s="9"/>
      <c r="H370" s="9"/>
      <c r="I370" s="9"/>
      <c r="J370" s="10"/>
      <c r="K370" s="9"/>
      <c r="L370" s="9"/>
      <c r="M370" s="9"/>
      <c r="N370" s="9"/>
      <c r="O370" s="9"/>
      <c r="P370" s="9"/>
      <c r="S370" s="9"/>
      <c r="T370" s="9"/>
      <c r="U370" s="9"/>
      <c r="V370" s="9"/>
      <c r="W370" s="9"/>
      <c r="X370" s="9"/>
    </row>
    <row r="371" spans="3:24">
      <c r="C371" s="9"/>
      <c r="D371" s="9"/>
      <c r="E371" s="9"/>
      <c r="F371" s="9"/>
      <c r="G371" s="9"/>
      <c r="H371" s="9"/>
      <c r="I371" s="9"/>
      <c r="J371" s="10"/>
      <c r="K371" s="9"/>
      <c r="L371" s="9"/>
      <c r="M371" s="9"/>
      <c r="N371" s="9"/>
      <c r="O371" s="9"/>
      <c r="P371" s="9"/>
      <c r="S371" s="9"/>
      <c r="T371" s="9"/>
      <c r="U371" s="9"/>
      <c r="V371" s="9"/>
      <c r="W371" s="9"/>
      <c r="X371" s="9"/>
    </row>
    <row r="372" spans="3:24">
      <c r="C372" s="9"/>
      <c r="D372" s="9"/>
      <c r="E372" s="9"/>
      <c r="F372" s="9"/>
      <c r="G372" s="9"/>
      <c r="H372" s="9"/>
      <c r="I372" s="9"/>
      <c r="J372" s="10"/>
      <c r="K372" s="9"/>
      <c r="L372" s="9"/>
      <c r="M372" s="9"/>
      <c r="N372" s="9"/>
      <c r="O372" s="9"/>
      <c r="P372" s="9"/>
      <c r="S372" s="9"/>
      <c r="T372" s="9"/>
      <c r="U372" s="9"/>
      <c r="V372" s="9"/>
      <c r="W372" s="9"/>
      <c r="X372" s="9"/>
    </row>
    <row r="373" spans="3:24">
      <c r="C373" s="9"/>
      <c r="D373" s="9"/>
      <c r="E373" s="9"/>
      <c r="F373" s="9"/>
      <c r="G373" s="9"/>
      <c r="H373" s="9"/>
      <c r="I373" s="9"/>
      <c r="J373" s="10"/>
      <c r="K373" s="9"/>
      <c r="L373" s="9"/>
      <c r="M373" s="9"/>
      <c r="N373" s="9"/>
      <c r="O373" s="9"/>
      <c r="P373" s="9"/>
      <c r="S373" s="9"/>
      <c r="T373" s="9"/>
      <c r="U373" s="9"/>
      <c r="V373" s="9"/>
      <c r="W373" s="9"/>
      <c r="X373" s="9"/>
    </row>
    <row r="374" spans="3:24">
      <c r="C374" s="9"/>
      <c r="D374" s="9"/>
      <c r="E374" s="9"/>
      <c r="F374" s="9"/>
      <c r="G374" s="9"/>
      <c r="H374" s="9"/>
      <c r="I374" s="9"/>
      <c r="J374" s="10"/>
      <c r="K374" s="9"/>
      <c r="L374" s="9"/>
      <c r="M374" s="9"/>
      <c r="N374" s="9"/>
      <c r="O374" s="9"/>
      <c r="P374" s="9"/>
      <c r="S374" s="9"/>
      <c r="T374" s="9"/>
      <c r="U374" s="9"/>
      <c r="V374" s="9"/>
      <c r="W374" s="9"/>
      <c r="X374" s="9"/>
    </row>
    <row r="375" spans="3:24">
      <c r="C375" s="9"/>
      <c r="D375" s="9"/>
      <c r="E375" s="9"/>
      <c r="F375" s="9"/>
      <c r="G375" s="9"/>
      <c r="H375" s="9"/>
      <c r="I375" s="9"/>
      <c r="J375" s="10"/>
      <c r="K375" s="9"/>
      <c r="L375" s="9"/>
      <c r="M375" s="9"/>
      <c r="N375" s="9"/>
      <c r="O375" s="9"/>
      <c r="P375" s="9"/>
      <c r="S375" s="9"/>
      <c r="T375" s="9"/>
      <c r="U375" s="9"/>
      <c r="V375" s="9"/>
      <c r="W375" s="9"/>
      <c r="X375" s="9"/>
    </row>
    <row r="376" spans="3:24">
      <c r="C376" s="9"/>
      <c r="D376" s="9"/>
      <c r="E376" s="9"/>
      <c r="F376" s="9"/>
      <c r="G376" s="9"/>
      <c r="H376" s="9"/>
      <c r="I376" s="9"/>
      <c r="J376" s="10"/>
      <c r="K376" s="9"/>
      <c r="L376" s="9"/>
      <c r="M376" s="9"/>
      <c r="N376" s="9"/>
      <c r="O376" s="9"/>
      <c r="P376" s="9"/>
      <c r="S376" s="9"/>
      <c r="T376" s="9"/>
      <c r="U376" s="9"/>
      <c r="V376" s="9"/>
      <c r="W376" s="9"/>
      <c r="X376" s="9"/>
    </row>
    <row r="377" spans="3:24">
      <c r="C377" s="9"/>
      <c r="D377" s="9"/>
      <c r="E377" s="9"/>
      <c r="F377" s="9"/>
      <c r="G377" s="9"/>
      <c r="H377" s="9"/>
      <c r="I377" s="9"/>
      <c r="J377" s="10"/>
      <c r="K377" s="9"/>
      <c r="L377" s="9"/>
      <c r="M377" s="9"/>
      <c r="N377" s="9"/>
      <c r="O377" s="9"/>
      <c r="P377" s="9"/>
      <c r="S377" s="9"/>
      <c r="T377" s="9"/>
      <c r="U377" s="9"/>
      <c r="V377" s="9"/>
      <c r="W377" s="9"/>
      <c r="X377" s="9"/>
    </row>
    <row r="378" spans="3:24">
      <c r="C378" s="9"/>
      <c r="D378" s="9"/>
      <c r="E378" s="9"/>
      <c r="F378" s="9"/>
      <c r="G378" s="9"/>
      <c r="H378" s="9"/>
      <c r="I378" s="9"/>
      <c r="J378" s="10"/>
      <c r="K378" s="9"/>
      <c r="L378" s="9"/>
      <c r="M378" s="9"/>
      <c r="N378" s="9"/>
      <c r="O378" s="9"/>
      <c r="P378" s="9"/>
      <c r="S378" s="9"/>
      <c r="T378" s="9"/>
      <c r="U378" s="9"/>
      <c r="V378" s="9"/>
      <c r="W378" s="9"/>
      <c r="X378" s="9"/>
    </row>
    <row r="379" spans="3:24">
      <c r="C379" s="9"/>
      <c r="D379" s="9"/>
      <c r="E379" s="9"/>
      <c r="F379" s="9"/>
      <c r="G379" s="9"/>
      <c r="H379" s="9"/>
      <c r="I379" s="9"/>
      <c r="J379" s="10"/>
      <c r="K379" s="9"/>
      <c r="L379" s="9"/>
      <c r="M379" s="9"/>
      <c r="N379" s="9"/>
      <c r="O379" s="9"/>
      <c r="P379" s="9"/>
      <c r="S379" s="9"/>
      <c r="T379" s="9"/>
      <c r="U379" s="9"/>
      <c r="V379" s="9"/>
      <c r="W379" s="9"/>
      <c r="X379" s="9"/>
    </row>
    <row r="380" spans="3:24">
      <c r="C380" s="9"/>
      <c r="D380" s="9"/>
      <c r="E380" s="9"/>
      <c r="F380" s="9"/>
      <c r="G380" s="9"/>
      <c r="H380" s="9"/>
      <c r="I380" s="9"/>
      <c r="J380" s="10"/>
      <c r="K380" s="9"/>
      <c r="L380" s="9"/>
      <c r="M380" s="9"/>
      <c r="N380" s="9"/>
      <c r="O380" s="9"/>
      <c r="P380" s="9"/>
      <c r="S380" s="9"/>
      <c r="T380" s="9"/>
      <c r="U380" s="9"/>
      <c r="V380" s="9"/>
      <c r="W380" s="9"/>
      <c r="X380" s="9"/>
    </row>
    <row r="381" spans="3:24">
      <c r="C381" s="9"/>
      <c r="D381" s="9"/>
      <c r="E381" s="9"/>
      <c r="F381" s="9"/>
      <c r="G381" s="9"/>
      <c r="H381" s="9"/>
      <c r="I381" s="9"/>
      <c r="J381" s="10"/>
      <c r="K381" s="9"/>
      <c r="L381" s="9"/>
      <c r="M381" s="9"/>
      <c r="N381" s="9"/>
      <c r="O381" s="9"/>
      <c r="P381" s="9"/>
      <c r="S381" s="9"/>
      <c r="T381" s="9"/>
      <c r="U381" s="9"/>
      <c r="V381" s="9"/>
      <c r="W381" s="9"/>
      <c r="X381" s="9"/>
    </row>
    <row r="382" spans="3:24">
      <c r="C382" s="9"/>
      <c r="D382" s="9"/>
      <c r="E382" s="9"/>
      <c r="F382" s="9"/>
      <c r="G382" s="9"/>
      <c r="H382" s="9"/>
      <c r="I382" s="9"/>
      <c r="J382" s="10"/>
      <c r="K382" s="9"/>
      <c r="L382" s="9"/>
      <c r="M382" s="9"/>
      <c r="N382" s="9"/>
      <c r="O382" s="9"/>
      <c r="P382" s="9"/>
      <c r="S382" s="9"/>
      <c r="T382" s="9"/>
      <c r="U382" s="9"/>
      <c r="V382" s="9"/>
      <c r="W382" s="9"/>
      <c r="X382" s="9"/>
    </row>
    <row r="383" spans="3:24">
      <c r="C383" s="9"/>
      <c r="D383" s="9"/>
      <c r="E383" s="9"/>
      <c r="F383" s="9"/>
      <c r="G383" s="9"/>
      <c r="H383" s="9"/>
      <c r="I383" s="9"/>
      <c r="J383" s="10"/>
      <c r="K383" s="9"/>
      <c r="L383" s="9"/>
      <c r="M383" s="9"/>
      <c r="N383" s="9"/>
      <c r="O383" s="9"/>
      <c r="P383" s="9"/>
      <c r="S383" s="9"/>
      <c r="T383" s="9"/>
      <c r="U383" s="9"/>
      <c r="V383" s="9"/>
      <c r="W383" s="9"/>
      <c r="X383" s="9"/>
    </row>
    <row r="384" spans="3:24">
      <c r="C384" s="9"/>
      <c r="D384" s="9"/>
      <c r="E384" s="9"/>
      <c r="F384" s="9"/>
      <c r="G384" s="9"/>
      <c r="H384" s="9"/>
      <c r="I384" s="9"/>
      <c r="J384" s="10"/>
      <c r="K384" s="9"/>
      <c r="L384" s="9"/>
      <c r="M384" s="9"/>
      <c r="N384" s="9"/>
      <c r="O384" s="9"/>
      <c r="P384" s="9"/>
      <c r="S384" s="9"/>
      <c r="T384" s="9"/>
      <c r="U384" s="9"/>
      <c r="V384" s="9"/>
      <c r="W384" s="9"/>
      <c r="X384" s="9"/>
    </row>
    <row r="385" spans="3:24">
      <c r="C385" s="9"/>
      <c r="D385" s="9"/>
      <c r="E385" s="9"/>
      <c r="F385" s="9"/>
      <c r="G385" s="9"/>
      <c r="H385" s="9"/>
      <c r="I385" s="9"/>
      <c r="J385" s="10"/>
      <c r="K385" s="9"/>
      <c r="L385" s="9"/>
      <c r="M385" s="9"/>
      <c r="N385" s="9"/>
      <c r="O385" s="9"/>
      <c r="P385" s="9"/>
      <c r="S385" s="9"/>
      <c r="T385" s="9"/>
      <c r="U385" s="9"/>
      <c r="V385" s="9"/>
      <c r="W385" s="9"/>
      <c r="X385" s="9"/>
    </row>
    <row r="386" spans="3:24">
      <c r="C386" s="9"/>
      <c r="D386" s="9"/>
      <c r="E386" s="9"/>
      <c r="F386" s="9"/>
      <c r="G386" s="9"/>
      <c r="H386" s="9"/>
      <c r="I386" s="9"/>
      <c r="J386" s="10"/>
      <c r="K386" s="9"/>
      <c r="L386" s="9"/>
      <c r="M386" s="9"/>
      <c r="N386" s="9"/>
      <c r="O386" s="9"/>
      <c r="P386" s="9"/>
      <c r="S386" s="9"/>
      <c r="T386" s="9"/>
      <c r="U386" s="9"/>
      <c r="V386" s="9"/>
      <c r="W386" s="9"/>
      <c r="X386" s="9"/>
    </row>
    <row r="387" spans="3:24">
      <c r="C387" s="9"/>
      <c r="D387" s="9"/>
      <c r="E387" s="9"/>
      <c r="F387" s="9"/>
      <c r="G387" s="9"/>
      <c r="H387" s="9"/>
      <c r="I387" s="9"/>
      <c r="J387" s="10"/>
      <c r="K387" s="9"/>
      <c r="L387" s="9"/>
      <c r="M387" s="9"/>
      <c r="N387" s="9"/>
      <c r="O387" s="9"/>
      <c r="P387" s="9"/>
      <c r="S387" s="9"/>
      <c r="T387" s="9"/>
      <c r="U387" s="9"/>
      <c r="V387" s="9"/>
      <c r="W387" s="9"/>
      <c r="X387" s="9"/>
    </row>
    <row r="388" spans="3:24">
      <c r="C388" s="9"/>
      <c r="D388" s="9"/>
      <c r="E388" s="9"/>
      <c r="F388" s="9"/>
      <c r="G388" s="9"/>
      <c r="H388" s="9"/>
      <c r="I388" s="9"/>
      <c r="J388" s="10"/>
      <c r="K388" s="9"/>
      <c r="L388" s="9"/>
      <c r="M388" s="9"/>
      <c r="N388" s="9"/>
      <c r="O388" s="9"/>
      <c r="P388" s="9"/>
      <c r="S388" s="9"/>
      <c r="T388" s="9"/>
      <c r="U388" s="9"/>
      <c r="V388" s="9"/>
      <c r="W388" s="9"/>
      <c r="X388" s="9"/>
    </row>
    <row r="389" spans="3:24">
      <c r="C389" s="9"/>
      <c r="D389" s="9"/>
      <c r="E389" s="9"/>
      <c r="F389" s="9"/>
      <c r="G389" s="9"/>
      <c r="H389" s="9"/>
      <c r="I389" s="9"/>
      <c r="J389" s="10"/>
      <c r="K389" s="9"/>
      <c r="L389" s="9"/>
      <c r="M389" s="9"/>
      <c r="N389" s="9"/>
      <c r="O389" s="9"/>
      <c r="P389" s="9"/>
      <c r="S389" s="9"/>
      <c r="T389" s="9"/>
      <c r="U389" s="9"/>
      <c r="V389" s="9"/>
      <c r="W389" s="9"/>
      <c r="X389" s="9"/>
    </row>
    <row r="390" spans="3:24">
      <c r="C390" s="9"/>
      <c r="D390" s="9"/>
      <c r="E390" s="9"/>
      <c r="F390" s="9"/>
      <c r="G390" s="9"/>
      <c r="H390" s="9"/>
      <c r="I390" s="9"/>
      <c r="J390" s="10"/>
      <c r="K390" s="9"/>
      <c r="L390" s="9"/>
      <c r="M390" s="9"/>
      <c r="N390" s="9"/>
      <c r="O390" s="9"/>
      <c r="P390" s="9"/>
      <c r="S390" s="9"/>
      <c r="T390" s="9"/>
      <c r="U390" s="9"/>
      <c r="V390" s="9"/>
      <c r="W390" s="9"/>
      <c r="X390" s="9"/>
    </row>
    <row r="391" spans="3:24">
      <c r="C391" s="9"/>
      <c r="D391" s="9"/>
      <c r="E391" s="9"/>
      <c r="F391" s="9"/>
      <c r="G391" s="9"/>
      <c r="H391" s="9"/>
      <c r="I391" s="9"/>
      <c r="J391" s="10"/>
      <c r="K391" s="9"/>
      <c r="L391" s="9"/>
      <c r="M391" s="9"/>
      <c r="N391" s="9"/>
      <c r="O391" s="9"/>
      <c r="P391" s="9"/>
      <c r="S391" s="9"/>
      <c r="T391" s="9"/>
      <c r="U391" s="9"/>
      <c r="V391" s="9"/>
      <c r="W391" s="9"/>
      <c r="X391" s="9"/>
    </row>
    <row r="392" spans="3:24">
      <c r="C392" s="9"/>
      <c r="D392" s="9"/>
      <c r="E392" s="9"/>
      <c r="F392" s="9"/>
      <c r="G392" s="9"/>
      <c r="H392" s="9"/>
      <c r="I392" s="9"/>
      <c r="J392" s="10"/>
      <c r="K392" s="9"/>
      <c r="L392" s="9"/>
      <c r="M392" s="9"/>
      <c r="N392" s="9"/>
      <c r="O392" s="9"/>
      <c r="P392" s="9"/>
      <c r="S392" s="9"/>
      <c r="T392" s="9"/>
      <c r="U392" s="9"/>
      <c r="V392" s="9"/>
      <c r="W392" s="9"/>
      <c r="X392" s="9"/>
    </row>
    <row r="393" spans="3:24">
      <c r="C393" s="9"/>
      <c r="D393" s="9"/>
      <c r="E393" s="9"/>
      <c r="F393" s="9"/>
      <c r="G393" s="9"/>
      <c r="H393" s="9"/>
      <c r="I393" s="9"/>
      <c r="J393" s="10"/>
      <c r="K393" s="9"/>
      <c r="L393" s="9"/>
      <c r="M393" s="9"/>
      <c r="N393" s="9"/>
      <c r="O393" s="9"/>
      <c r="P393" s="9"/>
      <c r="S393" s="9"/>
      <c r="T393" s="9"/>
      <c r="U393" s="9"/>
      <c r="V393" s="9"/>
      <c r="W393" s="9"/>
      <c r="X393" s="9"/>
    </row>
    <row r="394" spans="3:24">
      <c r="C394" s="9"/>
      <c r="D394" s="9"/>
      <c r="E394" s="9"/>
      <c r="F394" s="9"/>
      <c r="G394" s="9"/>
      <c r="H394" s="9"/>
      <c r="I394" s="9"/>
      <c r="J394" s="10"/>
      <c r="K394" s="9"/>
      <c r="L394" s="9"/>
      <c r="M394" s="9"/>
      <c r="N394" s="9"/>
      <c r="O394" s="9"/>
      <c r="P394" s="9"/>
      <c r="S394" s="9"/>
      <c r="T394" s="9"/>
      <c r="U394" s="9"/>
      <c r="V394" s="9"/>
      <c r="W394" s="9"/>
      <c r="X394" s="9"/>
    </row>
    <row r="395" spans="3:24">
      <c r="C395" s="9"/>
      <c r="D395" s="9"/>
      <c r="E395" s="9"/>
      <c r="F395" s="9"/>
      <c r="G395" s="9"/>
      <c r="H395" s="9"/>
      <c r="I395" s="9"/>
      <c r="J395" s="10"/>
      <c r="K395" s="9"/>
      <c r="L395" s="9"/>
      <c r="M395" s="9"/>
      <c r="N395" s="9"/>
      <c r="O395" s="9"/>
      <c r="P395" s="9"/>
      <c r="S395" s="9"/>
      <c r="T395" s="9"/>
      <c r="U395" s="9"/>
      <c r="V395" s="9"/>
      <c r="W395" s="9"/>
      <c r="X395" s="9"/>
    </row>
    <row r="396" spans="3:24">
      <c r="C396" s="9"/>
      <c r="D396" s="9"/>
      <c r="E396" s="9"/>
      <c r="F396" s="9"/>
      <c r="G396" s="9"/>
      <c r="H396" s="9"/>
      <c r="I396" s="9"/>
      <c r="J396" s="10"/>
      <c r="K396" s="9"/>
      <c r="L396" s="9"/>
      <c r="M396" s="9"/>
      <c r="N396" s="9"/>
      <c r="O396" s="9"/>
      <c r="P396" s="9"/>
      <c r="S396" s="9"/>
      <c r="T396" s="9"/>
      <c r="U396" s="9"/>
      <c r="V396" s="9"/>
      <c r="W396" s="9"/>
      <c r="X396" s="9"/>
    </row>
    <row r="397" spans="3:24">
      <c r="C397" s="9"/>
      <c r="D397" s="9"/>
      <c r="E397" s="9"/>
      <c r="F397" s="9"/>
      <c r="G397" s="9"/>
      <c r="H397" s="9"/>
      <c r="I397" s="9"/>
      <c r="J397" s="10"/>
      <c r="K397" s="9"/>
      <c r="L397" s="9"/>
      <c r="M397" s="9"/>
      <c r="N397" s="9"/>
      <c r="O397" s="9"/>
      <c r="P397" s="9"/>
      <c r="S397" s="9"/>
      <c r="T397" s="9"/>
      <c r="U397" s="9"/>
      <c r="V397" s="9"/>
      <c r="W397" s="9"/>
      <c r="X397" s="9"/>
    </row>
    <row r="398" spans="3:24">
      <c r="C398" s="9"/>
      <c r="D398" s="9"/>
      <c r="E398" s="9"/>
      <c r="F398" s="9"/>
      <c r="G398" s="9"/>
      <c r="H398" s="9"/>
      <c r="I398" s="9"/>
      <c r="J398" s="10"/>
      <c r="K398" s="9"/>
      <c r="L398" s="9"/>
      <c r="M398" s="9"/>
      <c r="N398" s="9"/>
      <c r="O398" s="9"/>
      <c r="P398" s="9"/>
      <c r="S398" s="9"/>
      <c r="T398" s="9"/>
      <c r="U398" s="9"/>
      <c r="V398" s="9"/>
      <c r="W398" s="9"/>
      <c r="X398" s="9"/>
    </row>
    <row r="399" spans="3:24">
      <c r="C399" s="9"/>
      <c r="D399" s="9"/>
      <c r="E399" s="9"/>
      <c r="F399" s="9"/>
      <c r="G399" s="9"/>
      <c r="H399" s="9"/>
      <c r="I399" s="9"/>
      <c r="J399" s="10"/>
      <c r="K399" s="9"/>
      <c r="L399" s="9"/>
      <c r="M399" s="9"/>
      <c r="N399" s="9"/>
      <c r="O399" s="9"/>
      <c r="P399" s="9"/>
      <c r="S399" s="9"/>
      <c r="T399" s="9"/>
      <c r="U399" s="9"/>
      <c r="V399" s="9"/>
      <c r="W399" s="9"/>
      <c r="X399" s="9"/>
    </row>
    <row r="400" spans="3:24">
      <c r="C400" s="9"/>
      <c r="D400" s="9"/>
      <c r="E400" s="9"/>
      <c r="F400" s="9"/>
      <c r="G400" s="9"/>
      <c r="H400" s="9"/>
      <c r="I400" s="9"/>
      <c r="J400" s="10"/>
      <c r="K400" s="9"/>
      <c r="L400" s="9"/>
      <c r="M400" s="9"/>
      <c r="N400" s="9"/>
      <c r="O400" s="9"/>
      <c r="P400" s="9"/>
      <c r="S400" s="9"/>
      <c r="T400" s="9"/>
      <c r="U400" s="9"/>
      <c r="V400" s="9"/>
      <c r="W400" s="9"/>
      <c r="X400" s="9"/>
    </row>
    <row r="401" spans="3:24">
      <c r="C401" s="9"/>
      <c r="D401" s="9"/>
      <c r="E401" s="9"/>
      <c r="F401" s="9"/>
      <c r="G401" s="9"/>
      <c r="H401" s="9"/>
      <c r="I401" s="9"/>
      <c r="J401" s="10"/>
      <c r="K401" s="9"/>
      <c r="L401" s="9"/>
      <c r="M401" s="9"/>
      <c r="N401" s="9"/>
      <c r="O401" s="9"/>
      <c r="P401" s="9"/>
      <c r="S401" s="9"/>
      <c r="T401" s="9"/>
      <c r="U401" s="9"/>
      <c r="V401" s="9"/>
      <c r="W401" s="9"/>
      <c r="X401" s="9"/>
    </row>
    <row r="402" spans="3:24">
      <c r="C402" s="9"/>
      <c r="D402" s="9"/>
      <c r="E402" s="9"/>
      <c r="F402" s="9"/>
      <c r="G402" s="9"/>
      <c r="H402" s="9"/>
      <c r="I402" s="9"/>
      <c r="J402" s="10"/>
      <c r="K402" s="9"/>
      <c r="L402" s="9"/>
      <c r="M402" s="9"/>
      <c r="N402" s="9"/>
      <c r="O402" s="9"/>
      <c r="P402" s="9"/>
      <c r="S402" s="9"/>
      <c r="T402" s="9"/>
      <c r="U402" s="9"/>
      <c r="V402" s="9"/>
      <c r="W402" s="9"/>
      <c r="X402" s="9"/>
    </row>
    <row r="403" spans="3:24">
      <c r="C403" s="9"/>
      <c r="D403" s="9"/>
      <c r="E403" s="9"/>
      <c r="F403" s="9"/>
      <c r="G403" s="9"/>
      <c r="H403" s="9"/>
      <c r="I403" s="9"/>
      <c r="J403" s="10"/>
      <c r="K403" s="9"/>
      <c r="L403" s="9"/>
      <c r="M403" s="9"/>
      <c r="N403" s="9"/>
      <c r="O403" s="9"/>
      <c r="P403" s="9"/>
      <c r="S403" s="9"/>
      <c r="T403" s="9"/>
      <c r="U403" s="9"/>
      <c r="V403" s="9"/>
      <c r="W403" s="9"/>
      <c r="X403" s="9"/>
    </row>
    <row r="404" spans="3:24">
      <c r="C404" s="9"/>
      <c r="D404" s="9"/>
      <c r="E404" s="9"/>
      <c r="F404" s="9"/>
      <c r="G404" s="9"/>
      <c r="H404" s="9"/>
      <c r="I404" s="9"/>
      <c r="J404" s="10"/>
      <c r="K404" s="9"/>
      <c r="L404" s="9"/>
      <c r="M404" s="9"/>
      <c r="N404" s="9"/>
      <c r="O404" s="9"/>
      <c r="P404" s="9"/>
      <c r="S404" s="9"/>
      <c r="T404" s="9"/>
      <c r="U404" s="9"/>
      <c r="V404" s="9"/>
      <c r="W404" s="9"/>
      <c r="X404" s="9"/>
    </row>
    <row r="405" spans="3:24">
      <c r="C405" s="9"/>
      <c r="D405" s="9"/>
      <c r="E405" s="9"/>
      <c r="F405" s="9"/>
      <c r="G405" s="9"/>
      <c r="H405" s="9"/>
      <c r="I405" s="9"/>
      <c r="J405" s="10"/>
      <c r="K405" s="9"/>
      <c r="L405" s="9"/>
      <c r="M405" s="9"/>
      <c r="N405" s="9"/>
      <c r="O405" s="9"/>
      <c r="P405" s="9"/>
      <c r="S405" s="9"/>
      <c r="T405" s="9"/>
      <c r="U405" s="9"/>
      <c r="V405" s="9"/>
      <c r="W405" s="9"/>
      <c r="X405" s="9"/>
    </row>
    <row r="406" spans="3:24">
      <c r="C406" s="9"/>
      <c r="D406" s="9"/>
      <c r="E406" s="9"/>
      <c r="F406" s="9"/>
      <c r="G406" s="9"/>
      <c r="H406" s="9"/>
      <c r="I406" s="9"/>
      <c r="J406" s="10"/>
      <c r="K406" s="9"/>
      <c r="L406" s="9"/>
      <c r="M406" s="9"/>
      <c r="N406" s="9"/>
      <c r="O406" s="9"/>
      <c r="P406" s="9"/>
      <c r="S406" s="9"/>
      <c r="T406" s="9"/>
      <c r="U406" s="9"/>
      <c r="V406" s="9"/>
      <c r="W406" s="9"/>
      <c r="X406" s="9"/>
    </row>
    <row r="407" spans="3:24">
      <c r="C407" s="9"/>
      <c r="D407" s="9"/>
      <c r="E407" s="9"/>
      <c r="F407" s="9"/>
      <c r="G407" s="9"/>
      <c r="H407" s="9"/>
      <c r="I407" s="9"/>
      <c r="J407" s="10"/>
      <c r="K407" s="9"/>
      <c r="L407" s="9"/>
      <c r="M407" s="9"/>
      <c r="N407" s="9"/>
      <c r="O407" s="9"/>
      <c r="P407" s="9"/>
      <c r="S407" s="9"/>
      <c r="T407" s="9"/>
      <c r="U407" s="9"/>
      <c r="V407" s="9"/>
      <c r="W407" s="9"/>
      <c r="X407" s="9"/>
    </row>
    <row r="408" spans="3:24">
      <c r="C408" s="9"/>
      <c r="D408" s="9"/>
      <c r="E408" s="9"/>
      <c r="F408" s="9"/>
      <c r="G408" s="9"/>
      <c r="H408" s="9"/>
      <c r="I408" s="9"/>
      <c r="J408" s="10"/>
      <c r="K408" s="9"/>
      <c r="L408" s="9"/>
      <c r="M408" s="9"/>
      <c r="N408" s="9"/>
      <c r="O408" s="9"/>
      <c r="P408" s="9"/>
      <c r="S408" s="9"/>
      <c r="T408" s="9"/>
      <c r="U408" s="9"/>
      <c r="V408" s="9"/>
      <c r="W408" s="9"/>
      <c r="X408" s="9"/>
    </row>
    <row r="409" spans="3:24">
      <c r="C409" s="9"/>
      <c r="D409" s="9"/>
      <c r="E409" s="9"/>
      <c r="F409" s="9"/>
      <c r="G409" s="9"/>
      <c r="H409" s="9"/>
      <c r="I409" s="9"/>
      <c r="J409" s="10"/>
      <c r="K409" s="9"/>
      <c r="L409" s="9"/>
      <c r="M409" s="9"/>
      <c r="N409" s="9"/>
      <c r="O409" s="9"/>
      <c r="P409" s="9"/>
      <c r="S409" s="9"/>
      <c r="T409" s="9"/>
      <c r="U409" s="9"/>
      <c r="V409" s="9"/>
      <c r="W409" s="9"/>
      <c r="X409" s="9"/>
    </row>
    <row r="410" spans="3:24">
      <c r="C410" s="9"/>
      <c r="D410" s="9"/>
      <c r="E410" s="9"/>
      <c r="F410" s="9"/>
      <c r="G410" s="9"/>
      <c r="H410" s="9"/>
      <c r="I410" s="9"/>
      <c r="J410" s="10"/>
      <c r="K410" s="9"/>
      <c r="L410" s="9"/>
      <c r="M410" s="9"/>
      <c r="N410" s="9"/>
      <c r="O410" s="9"/>
      <c r="P410" s="9"/>
      <c r="S410" s="9"/>
      <c r="T410" s="9"/>
      <c r="U410" s="9"/>
      <c r="V410" s="9"/>
      <c r="W410" s="9"/>
      <c r="X410" s="9"/>
    </row>
    <row r="411" spans="3:24">
      <c r="C411" s="9"/>
      <c r="D411" s="9"/>
      <c r="E411" s="9"/>
      <c r="F411" s="9"/>
      <c r="G411" s="9"/>
      <c r="H411" s="9"/>
      <c r="I411" s="9"/>
      <c r="J411" s="10"/>
      <c r="K411" s="9"/>
      <c r="L411" s="9"/>
      <c r="M411" s="9"/>
      <c r="N411" s="9"/>
      <c r="O411" s="9"/>
      <c r="P411" s="9"/>
      <c r="S411" s="9"/>
      <c r="T411" s="9"/>
      <c r="U411" s="9"/>
      <c r="V411" s="9"/>
      <c r="W411" s="9"/>
      <c r="X411" s="9"/>
    </row>
    <row r="412" spans="3:24">
      <c r="C412" s="9"/>
      <c r="D412" s="9"/>
      <c r="E412" s="9"/>
      <c r="F412" s="9"/>
      <c r="G412" s="9"/>
      <c r="H412" s="9"/>
      <c r="I412" s="9"/>
      <c r="J412" s="10"/>
      <c r="K412" s="9"/>
      <c r="L412" s="9"/>
      <c r="M412" s="9"/>
      <c r="N412" s="9"/>
      <c r="O412" s="9"/>
      <c r="P412" s="9"/>
      <c r="S412" s="9"/>
      <c r="T412" s="9"/>
      <c r="U412" s="9"/>
      <c r="V412" s="9"/>
      <c r="W412" s="9"/>
      <c r="X412" s="9"/>
    </row>
    <row r="413" spans="3:24">
      <c r="C413" s="9"/>
      <c r="D413" s="9"/>
      <c r="E413" s="9"/>
      <c r="F413" s="9"/>
      <c r="G413" s="9"/>
      <c r="H413" s="9"/>
      <c r="I413" s="9"/>
      <c r="J413" s="10"/>
      <c r="K413" s="9"/>
      <c r="L413" s="9"/>
      <c r="M413" s="9"/>
      <c r="N413" s="9"/>
      <c r="O413" s="9"/>
      <c r="P413" s="9"/>
      <c r="S413" s="9"/>
      <c r="T413" s="9"/>
      <c r="U413" s="9"/>
      <c r="V413" s="9"/>
      <c r="W413" s="9"/>
      <c r="X413" s="9"/>
    </row>
    <row r="414" spans="3:24">
      <c r="C414" s="9"/>
      <c r="D414" s="9"/>
      <c r="E414" s="9"/>
      <c r="F414" s="9"/>
      <c r="G414" s="9"/>
      <c r="H414" s="9"/>
      <c r="I414" s="9"/>
      <c r="J414" s="10"/>
      <c r="K414" s="9"/>
      <c r="L414" s="9"/>
      <c r="M414" s="9"/>
      <c r="N414" s="9"/>
      <c r="O414" s="9"/>
      <c r="P414" s="9"/>
      <c r="S414" s="9"/>
      <c r="T414" s="9"/>
      <c r="U414" s="9"/>
      <c r="V414" s="9"/>
      <c r="W414" s="9"/>
      <c r="X414" s="9"/>
    </row>
    <row r="415" spans="3:24">
      <c r="C415" s="9"/>
      <c r="D415" s="9"/>
      <c r="E415" s="9"/>
      <c r="F415" s="9"/>
      <c r="G415" s="9"/>
      <c r="H415" s="9"/>
      <c r="I415" s="9"/>
      <c r="J415" s="10"/>
      <c r="K415" s="9"/>
      <c r="L415" s="9"/>
      <c r="M415" s="9"/>
      <c r="N415" s="9"/>
      <c r="O415" s="9"/>
      <c r="P415" s="9"/>
      <c r="S415" s="9"/>
      <c r="T415" s="9"/>
      <c r="U415" s="9"/>
      <c r="V415" s="9"/>
      <c r="W415" s="9"/>
      <c r="X415" s="9"/>
    </row>
    <row r="416" spans="3:24">
      <c r="C416" s="9"/>
      <c r="D416" s="9"/>
      <c r="E416" s="9"/>
      <c r="F416" s="9"/>
      <c r="G416" s="9"/>
      <c r="H416" s="9"/>
      <c r="I416" s="9"/>
      <c r="J416" s="10"/>
      <c r="K416" s="9"/>
      <c r="L416" s="9"/>
      <c r="M416" s="9"/>
      <c r="N416" s="9"/>
      <c r="O416" s="9"/>
      <c r="P416" s="9"/>
      <c r="S416" s="9"/>
      <c r="T416" s="9"/>
      <c r="U416" s="9"/>
      <c r="V416" s="9"/>
      <c r="W416" s="9"/>
      <c r="X416" s="9"/>
    </row>
    <row r="417" spans="3:24">
      <c r="C417" s="9"/>
      <c r="D417" s="9"/>
      <c r="E417" s="9"/>
      <c r="F417" s="9"/>
      <c r="G417" s="9"/>
      <c r="H417" s="9"/>
      <c r="I417" s="9"/>
      <c r="J417" s="10"/>
      <c r="K417" s="9"/>
      <c r="L417" s="9"/>
      <c r="M417" s="9"/>
      <c r="N417" s="9"/>
      <c r="O417" s="9"/>
      <c r="P417" s="9"/>
      <c r="S417" s="9"/>
      <c r="T417" s="9"/>
      <c r="U417" s="9"/>
      <c r="V417" s="9"/>
      <c r="W417" s="9"/>
      <c r="X417" s="9"/>
    </row>
    <row r="418" spans="3:24">
      <c r="C418" s="9"/>
      <c r="D418" s="9"/>
      <c r="E418" s="9"/>
      <c r="F418" s="9"/>
      <c r="G418" s="9"/>
      <c r="H418" s="9"/>
      <c r="I418" s="9"/>
      <c r="J418" s="10"/>
      <c r="K418" s="9"/>
      <c r="L418" s="9"/>
      <c r="M418" s="9"/>
      <c r="N418" s="9"/>
      <c r="O418" s="9"/>
      <c r="P418" s="9"/>
      <c r="S418" s="9"/>
      <c r="T418" s="9"/>
      <c r="U418" s="9"/>
      <c r="V418" s="9"/>
      <c r="W418" s="9"/>
      <c r="X418" s="9"/>
    </row>
    <row r="419" spans="3:24">
      <c r="C419" s="9"/>
      <c r="D419" s="9"/>
      <c r="E419" s="9"/>
      <c r="F419" s="9"/>
      <c r="G419" s="9"/>
      <c r="H419" s="9"/>
      <c r="I419" s="9"/>
      <c r="J419" s="10"/>
      <c r="K419" s="9"/>
      <c r="L419" s="9"/>
      <c r="M419" s="9"/>
      <c r="N419" s="9"/>
      <c r="O419" s="9"/>
      <c r="P419" s="9"/>
      <c r="S419" s="9"/>
      <c r="T419" s="9"/>
      <c r="U419" s="9"/>
      <c r="V419" s="9"/>
      <c r="W419" s="9"/>
      <c r="X419" s="9"/>
    </row>
    <row r="420" spans="3:24">
      <c r="C420" s="9"/>
      <c r="D420" s="9"/>
      <c r="E420" s="9"/>
      <c r="F420" s="9"/>
      <c r="G420" s="9"/>
      <c r="H420" s="9"/>
      <c r="I420" s="9"/>
      <c r="J420" s="10"/>
      <c r="K420" s="9"/>
      <c r="L420" s="9"/>
      <c r="M420" s="9"/>
      <c r="N420" s="9"/>
      <c r="O420" s="9"/>
      <c r="P420" s="9"/>
      <c r="S420" s="9"/>
      <c r="T420" s="9"/>
      <c r="U420" s="9"/>
      <c r="V420" s="9"/>
      <c r="W420" s="9"/>
      <c r="X420" s="9"/>
    </row>
    <row r="421" spans="3:24">
      <c r="C421" s="9"/>
      <c r="D421" s="9"/>
      <c r="E421" s="9"/>
      <c r="F421" s="9"/>
      <c r="G421" s="9"/>
      <c r="H421" s="9"/>
      <c r="I421" s="9"/>
      <c r="J421" s="10"/>
      <c r="K421" s="9"/>
      <c r="L421" s="9"/>
      <c r="M421" s="9"/>
      <c r="N421" s="9"/>
      <c r="O421" s="9"/>
      <c r="P421" s="9"/>
      <c r="S421" s="9"/>
      <c r="T421" s="9"/>
      <c r="U421" s="9"/>
      <c r="V421" s="9"/>
      <c r="W421" s="9"/>
      <c r="X421" s="9"/>
    </row>
    <row r="422" spans="3:24">
      <c r="C422" s="9"/>
      <c r="D422" s="9"/>
      <c r="E422" s="9"/>
      <c r="F422" s="9"/>
      <c r="G422" s="9"/>
      <c r="H422" s="9"/>
      <c r="I422" s="9"/>
      <c r="J422" s="10"/>
      <c r="K422" s="9"/>
      <c r="L422" s="9"/>
      <c r="M422" s="9"/>
      <c r="N422" s="9"/>
      <c r="O422" s="9"/>
      <c r="P422" s="9"/>
      <c r="S422" s="9"/>
      <c r="T422" s="9"/>
      <c r="U422" s="9"/>
      <c r="V422" s="9"/>
      <c r="W422" s="9"/>
      <c r="X422" s="9"/>
    </row>
    <row r="423" spans="3:24">
      <c r="C423" s="9"/>
      <c r="D423" s="9"/>
      <c r="E423" s="9"/>
      <c r="F423" s="9"/>
      <c r="G423" s="9"/>
      <c r="H423" s="9"/>
      <c r="I423" s="9"/>
      <c r="J423" s="10"/>
      <c r="K423" s="9"/>
      <c r="L423" s="9"/>
      <c r="M423" s="9"/>
      <c r="N423" s="9"/>
      <c r="O423" s="9"/>
      <c r="P423" s="9"/>
      <c r="S423" s="9"/>
      <c r="T423" s="9"/>
      <c r="U423" s="9"/>
      <c r="V423" s="9"/>
      <c r="W423" s="9"/>
      <c r="X423" s="9"/>
    </row>
    <row r="424" spans="3:24">
      <c r="C424" s="9"/>
      <c r="D424" s="9"/>
      <c r="E424" s="9"/>
      <c r="F424" s="9"/>
      <c r="G424" s="9"/>
      <c r="H424" s="9"/>
      <c r="I424" s="9"/>
      <c r="J424" s="10"/>
      <c r="K424" s="9"/>
      <c r="L424" s="9"/>
      <c r="M424" s="9"/>
      <c r="N424" s="9"/>
      <c r="O424" s="9"/>
      <c r="P424" s="9"/>
      <c r="S424" s="9"/>
      <c r="T424" s="9"/>
      <c r="U424" s="9"/>
      <c r="V424" s="9"/>
      <c r="W424" s="9"/>
      <c r="X424" s="9"/>
    </row>
    <row r="425" spans="3:24">
      <c r="C425" s="9"/>
      <c r="D425" s="9"/>
      <c r="E425" s="9"/>
      <c r="F425" s="9"/>
      <c r="G425" s="9"/>
      <c r="H425" s="9"/>
      <c r="I425" s="9"/>
      <c r="J425" s="10"/>
      <c r="K425" s="9"/>
      <c r="L425" s="9"/>
      <c r="M425" s="9"/>
      <c r="N425" s="9"/>
      <c r="O425" s="9"/>
      <c r="P425" s="9"/>
      <c r="S425" s="9"/>
      <c r="T425" s="9"/>
      <c r="U425" s="9"/>
      <c r="V425" s="9"/>
      <c r="W425" s="9"/>
      <c r="X425" s="9"/>
    </row>
    <row r="426" spans="3:24">
      <c r="C426" s="9"/>
      <c r="D426" s="9"/>
      <c r="E426" s="9"/>
      <c r="F426" s="9"/>
      <c r="G426" s="9"/>
      <c r="H426" s="9"/>
      <c r="I426" s="9"/>
      <c r="J426" s="10"/>
      <c r="K426" s="9"/>
      <c r="L426" s="9"/>
      <c r="M426" s="9"/>
      <c r="N426" s="9"/>
      <c r="O426" s="9"/>
      <c r="P426" s="9"/>
      <c r="S426" s="9"/>
      <c r="T426" s="9"/>
      <c r="U426" s="9"/>
      <c r="V426" s="9"/>
      <c r="W426" s="9"/>
      <c r="X426" s="9"/>
    </row>
    <row r="427" spans="3:24">
      <c r="C427" s="9"/>
      <c r="D427" s="9"/>
      <c r="E427" s="9"/>
      <c r="F427" s="9"/>
      <c r="G427" s="9"/>
      <c r="H427" s="9"/>
      <c r="I427" s="9"/>
      <c r="J427" s="10"/>
      <c r="K427" s="9"/>
      <c r="L427" s="9"/>
      <c r="M427" s="9"/>
      <c r="N427" s="9"/>
      <c r="O427" s="9"/>
      <c r="P427" s="9"/>
      <c r="S427" s="9"/>
      <c r="T427" s="9"/>
      <c r="U427" s="9"/>
      <c r="V427" s="9"/>
      <c r="W427" s="9"/>
      <c r="X427" s="9"/>
    </row>
    <row r="428" spans="3:24">
      <c r="C428" s="9"/>
      <c r="D428" s="9"/>
      <c r="E428" s="9"/>
      <c r="F428" s="9"/>
      <c r="G428" s="9"/>
      <c r="H428" s="9"/>
      <c r="I428" s="9"/>
      <c r="J428" s="10"/>
      <c r="K428" s="9"/>
      <c r="L428" s="9"/>
      <c r="M428" s="9"/>
      <c r="N428" s="9"/>
      <c r="O428" s="9"/>
      <c r="P428" s="9"/>
      <c r="S428" s="9"/>
      <c r="T428" s="9"/>
      <c r="U428" s="9"/>
      <c r="V428" s="9"/>
      <c r="W428" s="9"/>
      <c r="X428" s="9"/>
    </row>
    <row r="429" spans="3:24">
      <c r="C429" s="9"/>
      <c r="D429" s="9"/>
      <c r="E429" s="9"/>
      <c r="F429" s="9"/>
      <c r="G429" s="9"/>
      <c r="H429" s="9"/>
      <c r="I429" s="9"/>
      <c r="J429" s="10"/>
      <c r="K429" s="9"/>
      <c r="L429" s="9"/>
      <c r="M429" s="9"/>
      <c r="N429" s="9"/>
      <c r="O429" s="9"/>
      <c r="P429" s="9"/>
      <c r="S429" s="9"/>
      <c r="T429" s="9"/>
      <c r="U429" s="9"/>
      <c r="V429" s="9"/>
      <c r="W429" s="9"/>
      <c r="X429" s="9"/>
    </row>
    <row r="430" spans="3:24">
      <c r="C430" s="9"/>
      <c r="D430" s="9"/>
      <c r="E430" s="9"/>
      <c r="F430" s="9"/>
      <c r="G430" s="9"/>
      <c r="H430" s="9"/>
      <c r="I430" s="9"/>
      <c r="J430" s="10"/>
      <c r="K430" s="9"/>
      <c r="L430" s="9"/>
      <c r="M430" s="9"/>
      <c r="N430" s="9"/>
      <c r="O430" s="9"/>
      <c r="P430" s="9"/>
      <c r="S430" s="9"/>
      <c r="T430" s="9"/>
      <c r="U430" s="9"/>
      <c r="V430" s="9"/>
      <c r="W430" s="9"/>
      <c r="X430" s="9"/>
    </row>
    <row r="431" spans="3:24">
      <c r="C431" s="9"/>
      <c r="D431" s="9"/>
      <c r="E431" s="9"/>
      <c r="F431" s="9"/>
      <c r="G431" s="9"/>
      <c r="H431" s="9"/>
      <c r="I431" s="9"/>
      <c r="J431" s="10"/>
      <c r="K431" s="9"/>
      <c r="L431" s="9"/>
      <c r="M431" s="9"/>
      <c r="N431" s="9"/>
      <c r="O431" s="9"/>
      <c r="P431" s="9"/>
      <c r="S431" s="9"/>
      <c r="T431" s="9"/>
      <c r="U431" s="9"/>
      <c r="V431" s="9"/>
      <c r="W431" s="9"/>
      <c r="X431" s="9"/>
    </row>
    <row r="432" spans="3:24">
      <c r="C432" s="9"/>
      <c r="D432" s="9"/>
      <c r="E432" s="9"/>
      <c r="F432" s="9"/>
      <c r="G432" s="9"/>
      <c r="H432" s="9"/>
      <c r="I432" s="9"/>
      <c r="J432" s="10"/>
      <c r="K432" s="9"/>
      <c r="L432" s="9"/>
      <c r="M432" s="9"/>
      <c r="N432" s="9"/>
      <c r="O432" s="9"/>
      <c r="P432" s="9"/>
      <c r="S432" s="9"/>
      <c r="T432" s="9"/>
      <c r="U432" s="9"/>
      <c r="V432" s="9"/>
      <c r="W432" s="9"/>
      <c r="X432" s="9"/>
    </row>
    <row r="433" spans="3:24">
      <c r="C433" s="9"/>
      <c r="D433" s="9"/>
      <c r="E433" s="9"/>
      <c r="F433" s="9"/>
      <c r="G433" s="9"/>
      <c r="H433" s="9"/>
      <c r="I433" s="9"/>
      <c r="J433" s="10"/>
      <c r="K433" s="9"/>
      <c r="L433" s="9"/>
      <c r="M433" s="9"/>
      <c r="N433" s="9"/>
      <c r="O433" s="9"/>
      <c r="P433" s="9"/>
      <c r="S433" s="9"/>
      <c r="T433" s="9"/>
      <c r="U433" s="9"/>
      <c r="V433" s="9"/>
      <c r="W433" s="9"/>
      <c r="X433" s="9"/>
    </row>
    <row r="434" spans="3:24">
      <c r="C434" s="9"/>
      <c r="D434" s="9"/>
      <c r="E434" s="9"/>
      <c r="F434" s="9"/>
      <c r="G434" s="9"/>
      <c r="H434" s="9"/>
      <c r="I434" s="9"/>
      <c r="J434" s="10"/>
      <c r="K434" s="9"/>
      <c r="L434" s="9"/>
      <c r="M434" s="9"/>
      <c r="N434" s="9"/>
      <c r="O434" s="9"/>
      <c r="P434" s="9"/>
      <c r="S434" s="9"/>
      <c r="T434" s="9"/>
      <c r="U434" s="9"/>
      <c r="V434" s="9"/>
      <c r="W434" s="9"/>
      <c r="X434" s="9"/>
    </row>
    <row r="435" spans="3:24">
      <c r="C435" s="9"/>
      <c r="D435" s="9"/>
      <c r="E435" s="9"/>
      <c r="F435" s="9"/>
      <c r="G435" s="9"/>
      <c r="H435" s="9"/>
      <c r="I435" s="9"/>
      <c r="J435" s="10"/>
      <c r="K435" s="9"/>
      <c r="L435" s="9"/>
      <c r="M435" s="9"/>
      <c r="N435" s="9"/>
      <c r="O435" s="9"/>
      <c r="P435" s="9"/>
      <c r="S435" s="9"/>
      <c r="T435" s="9"/>
      <c r="U435" s="9"/>
      <c r="V435" s="9"/>
      <c r="W435" s="9"/>
      <c r="X435" s="9"/>
    </row>
    <row r="436" spans="3:24">
      <c r="C436" s="9"/>
      <c r="D436" s="9"/>
      <c r="E436" s="9"/>
      <c r="F436" s="9"/>
      <c r="G436" s="9"/>
      <c r="H436" s="9"/>
      <c r="I436" s="9"/>
      <c r="J436" s="10"/>
      <c r="K436" s="9"/>
      <c r="L436" s="9"/>
      <c r="M436" s="9"/>
      <c r="N436" s="9"/>
      <c r="O436" s="9"/>
      <c r="P436" s="9"/>
      <c r="S436" s="9"/>
      <c r="T436" s="9"/>
      <c r="U436" s="9"/>
      <c r="V436" s="9"/>
      <c r="W436" s="9"/>
      <c r="X436" s="9"/>
    </row>
    <row r="437" spans="3:24">
      <c r="C437" s="9"/>
      <c r="D437" s="9"/>
      <c r="E437" s="9"/>
      <c r="F437" s="9"/>
      <c r="G437" s="9"/>
      <c r="H437" s="9"/>
      <c r="I437" s="9"/>
      <c r="J437" s="10"/>
      <c r="K437" s="9"/>
      <c r="L437" s="9"/>
      <c r="M437" s="9"/>
      <c r="N437" s="9"/>
      <c r="O437" s="9"/>
      <c r="P437" s="9"/>
      <c r="S437" s="9"/>
      <c r="T437" s="9"/>
      <c r="U437" s="9"/>
      <c r="V437" s="9"/>
      <c r="W437" s="9"/>
      <c r="X437" s="9"/>
    </row>
    <row r="438" spans="3:24">
      <c r="C438" s="9"/>
      <c r="D438" s="9"/>
      <c r="E438" s="9"/>
      <c r="F438" s="9"/>
      <c r="G438" s="9"/>
      <c r="H438" s="9"/>
      <c r="I438" s="9"/>
      <c r="J438" s="10"/>
      <c r="K438" s="9"/>
      <c r="L438" s="9"/>
      <c r="M438" s="9"/>
      <c r="N438" s="9"/>
      <c r="O438" s="9"/>
      <c r="P438" s="9"/>
      <c r="S438" s="9"/>
      <c r="T438" s="9"/>
      <c r="U438" s="9"/>
      <c r="V438" s="9"/>
      <c r="W438" s="9"/>
      <c r="X438" s="9"/>
    </row>
    <row r="439" spans="3:24">
      <c r="C439" s="9"/>
      <c r="D439" s="9"/>
      <c r="E439" s="9"/>
      <c r="F439" s="9"/>
      <c r="G439" s="9"/>
      <c r="H439" s="9"/>
      <c r="I439" s="9"/>
      <c r="J439" s="10"/>
      <c r="K439" s="9"/>
      <c r="L439" s="9"/>
      <c r="M439" s="9"/>
      <c r="N439" s="9"/>
      <c r="O439" s="9"/>
      <c r="P439" s="9"/>
      <c r="S439" s="9"/>
      <c r="T439" s="9"/>
      <c r="U439" s="9"/>
      <c r="V439" s="9"/>
      <c r="W439" s="9"/>
      <c r="X439" s="9"/>
    </row>
    <row r="440" spans="3:24">
      <c r="C440" s="9"/>
      <c r="D440" s="9"/>
      <c r="E440" s="9"/>
      <c r="F440" s="9"/>
      <c r="G440" s="9"/>
      <c r="H440" s="9"/>
      <c r="I440" s="9"/>
      <c r="J440" s="10"/>
      <c r="K440" s="9"/>
      <c r="L440" s="9"/>
      <c r="M440" s="9"/>
      <c r="N440" s="9"/>
      <c r="O440" s="9"/>
      <c r="P440" s="9"/>
      <c r="S440" s="9"/>
      <c r="T440" s="9"/>
      <c r="U440" s="9"/>
      <c r="V440" s="9"/>
      <c r="W440" s="9"/>
      <c r="X440" s="9"/>
    </row>
    <row r="441" spans="3:24">
      <c r="C441" s="9"/>
      <c r="D441" s="9"/>
      <c r="E441" s="9"/>
      <c r="F441" s="9"/>
      <c r="G441" s="9"/>
      <c r="H441" s="9"/>
      <c r="I441" s="9"/>
      <c r="J441" s="10"/>
      <c r="K441" s="9"/>
      <c r="L441" s="9"/>
      <c r="M441" s="9"/>
      <c r="N441" s="9"/>
      <c r="O441" s="9"/>
      <c r="P441" s="9"/>
      <c r="S441" s="9"/>
      <c r="T441" s="9"/>
      <c r="U441" s="9"/>
      <c r="V441" s="9"/>
      <c r="W441" s="9"/>
      <c r="X441" s="9"/>
    </row>
    <row r="442" spans="3:24">
      <c r="C442" s="9"/>
      <c r="D442" s="9"/>
      <c r="E442" s="9"/>
      <c r="F442" s="9"/>
      <c r="G442" s="9"/>
      <c r="H442" s="9"/>
      <c r="I442" s="9"/>
      <c r="J442" s="10"/>
      <c r="K442" s="9"/>
      <c r="L442" s="9"/>
      <c r="M442" s="9"/>
      <c r="N442" s="9"/>
      <c r="O442" s="9"/>
      <c r="P442" s="9"/>
      <c r="S442" s="9"/>
      <c r="T442" s="9"/>
      <c r="U442" s="9"/>
      <c r="V442" s="9"/>
      <c r="W442" s="9"/>
      <c r="X442" s="9"/>
    </row>
    <row r="443" spans="3:24">
      <c r="C443" s="9"/>
      <c r="D443" s="9"/>
      <c r="E443" s="9"/>
      <c r="F443" s="9"/>
      <c r="G443" s="9"/>
      <c r="H443" s="9"/>
      <c r="I443" s="9"/>
      <c r="J443" s="10"/>
      <c r="K443" s="9"/>
      <c r="L443" s="9"/>
      <c r="M443" s="9"/>
      <c r="N443" s="9"/>
      <c r="O443" s="9"/>
      <c r="P443" s="9"/>
      <c r="S443" s="9"/>
      <c r="T443" s="9"/>
      <c r="U443" s="9"/>
      <c r="V443" s="9"/>
      <c r="W443" s="9"/>
      <c r="X443" s="9"/>
    </row>
    <row r="444" spans="3:24">
      <c r="C444" s="9"/>
      <c r="D444" s="9"/>
      <c r="E444" s="9"/>
      <c r="F444" s="9"/>
      <c r="G444" s="9"/>
      <c r="H444" s="9"/>
      <c r="I444" s="9"/>
      <c r="J444" s="10"/>
      <c r="K444" s="9"/>
      <c r="L444" s="9"/>
      <c r="M444" s="9"/>
      <c r="N444" s="9"/>
      <c r="O444" s="9"/>
      <c r="P444" s="9"/>
      <c r="S444" s="9"/>
      <c r="T444" s="9"/>
      <c r="U444" s="9"/>
      <c r="V444" s="9"/>
      <c r="W444" s="9"/>
      <c r="X444" s="9"/>
    </row>
    <row r="445" spans="3:24">
      <c r="C445" s="9"/>
      <c r="D445" s="9"/>
      <c r="E445" s="9"/>
      <c r="F445" s="9"/>
      <c r="G445" s="9"/>
      <c r="H445" s="9"/>
      <c r="I445" s="9"/>
      <c r="J445" s="10"/>
      <c r="K445" s="9"/>
      <c r="L445" s="9"/>
      <c r="M445" s="9"/>
      <c r="N445" s="9"/>
      <c r="O445" s="9"/>
      <c r="P445" s="9"/>
      <c r="S445" s="9"/>
      <c r="T445" s="9"/>
      <c r="U445" s="9"/>
      <c r="V445" s="9"/>
      <c r="W445" s="9"/>
      <c r="X445" s="9"/>
    </row>
    <row r="446" spans="3:24">
      <c r="C446" s="9"/>
      <c r="D446" s="9"/>
      <c r="E446" s="9"/>
      <c r="F446" s="9"/>
      <c r="G446" s="9"/>
      <c r="H446" s="9"/>
      <c r="I446" s="9"/>
      <c r="J446" s="10"/>
      <c r="K446" s="9"/>
      <c r="L446" s="9"/>
      <c r="M446" s="9"/>
      <c r="N446" s="9"/>
      <c r="O446" s="9"/>
      <c r="P446" s="9"/>
      <c r="S446" s="9"/>
      <c r="T446" s="9"/>
      <c r="U446" s="9"/>
      <c r="V446" s="9"/>
      <c r="W446" s="9"/>
      <c r="X446" s="9"/>
    </row>
    <row r="447" spans="3:24">
      <c r="C447" s="9"/>
      <c r="D447" s="9"/>
      <c r="E447" s="9"/>
      <c r="F447" s="9"/>
      <c r="G447" s="9"/>
      <c r="H447" s="9"/>
      <c r="I447" s="9"/>
      <c r="J447" s="10"/>
      <c r="K447" s="9"/>
      <c r="L447" s="9"/>
      <c r="M447" s="9"/>
      <c r="N447" s="9"/>
      <c r="O447" s="9"/>
      <c r="P447" s="9"/>
      <c r="S447" s="9"/>
      <c r="T447" s="9"/>
      <c r="U447" s="9"/>
      <c r="V447" s="9"/>
      <c r="W447" s="9"/>
      <c r="X447" s="9"/>
    </row>
    <row r="448" spans="3:24">
      <c r="C448" s="9"/>
      <c r="D448" s="9"/>
      <c r="E448" s="9"/>
      <c r="F448" s="9"/>
      <c r="G448" s="9"/>
      <c r="H448" s="9"/>
      <c r="I448" s="9"/>
      <c r="J448" s="10"/>
      <c r="K448" s="9"/>
      <c r="L448" s="9"/>
      <c r="M448" s="9"/>
      <c r="N448" s="9"/>
      <c r="O448" s="9"/>
      <c r="P448" s="9"/>
      <c r="S448" s="9"/>
      <c r="T448" s="9"/>
      <c r="U448" s="9"/>
      <c r="V448" s="9"/>
      <c r="W448" s="9"/>
      <c r="X448" s="9"/>
    </row>
    <row r="449" spans="3:24">
      <c r="C449" s="9"/>
      <c r="D449" s="9"/>
      <c r="E449" s="9"/>
      <c r="F449" s="9"/>
      <c r="G449" s="9"/>
      <c r="H449" s="9"/>
      <c r="I449" s="9"/>
      <c r="J449" s="10"/>
      <c r="K449" s="9"/>
      <c r="L449" s="9"/>
      <c r="M449" s="9"/>
      <c r="N449" s="9"/>
      <c r="O449" s="9"/>
      <c r="P449" s="9"/>
      <c r="S449" s="9"/>
      <c r="T449" s="9"/>
      <c r="U449" s="9"/>
      <c r="V449" s="9"/>
      <c r="W449" s="9"/>
      <c r="X449" s="9"/>
    </row>
    <row r="450" spans="3:24">
      <c r="C450" s="9"/>
      <c r="D450" s="9"/>
      <c r="E450" s="9"/>
      <c r="F450" s="9"/>
      <c r="G450" s="9"/>
      <c r="H450" s="9"/>
      <c r="I450" s="9"/>
      <c r="J450" s="10"/>
      <c r="K450" s="9"/>
      <c r="L450" s="9"/>
      <c r="M450" s="9"/>
      <c r="N450" s="9"/>
      <c r="O450" s="9"/>
      <c r="P450" s="9"/>
      <c r="S450" s="9"/>
      <c r="T450" s="9"/>
      <c r="U450" s="9"/>
      <c r="V450" s="9"/>
      <c r="W450" s="9"/>
      <c r="X450" s="9"/>
    </row>
    <row r="451" spans="3:24">
      <c r="C451" s="9"/>
      <c r="D451" s="9"/>
      <c r="E451" s="9"/>
      <c r="F451" s="9"/>
      <c r="G451" s="9"/>
      <c r="H451" s="9"/>
      <c r="I451" s="9"/>
      <c r="J451" s="10"/>
      <c r="K451" s="9"/>
      <c r="L451" s="9"/>
      <c r="M451" s="9"/>
      <c r="N451" s="9"/>
      <c r="O451" s="9"/>
      <c r="P451" s="9"/>
      <c r="S451" s="9"/>
      <c r="T451" s="9"/>
      <c r="U451" s="9"/>
      <c r="V451" s="9"/>
      <c r="W451" s="9"/>
      <c r="X451" s="9"/>
    </row>
    <row r="452" spans="3:24">
      <c r="C452" s="9"/>
      <c r="D452" s="9"/>
      <c r="E452" s="9"/>
      <c r="F452" s="9"/>
      <c r="G452" s="9"/>
      <c r="H452" s="9"/>
      <c r="I452" s="9"/>
      <c r="J452" s="10"/>
      <c r="K452" s="9"/>
      <c r="L452" s="9"/>
      <c r="M452" s="9"/>
      <c r="N452" s="9"/>
      <c r="O452" s="9"/>
      <c r="P452" s="9"/>
      <c r="S452" s="9"/>
      <c r="T452" s="9"/>
      <c r="U452" s="9"/>
      <c r="V452" s="9"/>
      <c r="W452" s="9"/>
      <c r="X452" s="9"/>
    </row>
    <row r="453" spans="3:24">
      <c r="C453" s="9"/>
      <c r="D453" s="9"/>
      <c r="E453" s="9"/>
      <c r="F453" s="9"/>
      <c r="G453" s="9"/>
      <c r="H453" s="9"/>
      <c r="I453" s="9"/>
      <c r="J453" s="10"/>
      <c r="K453" s="9"/>
      <c r="L453" s="9"/>
      <c r="M453" s="9"/>
      <c r="N453" s="9"/>
      <c r="O453" s="9"/>
      <c r="P453" s="9"/>
      <c r="S453" s="9"/>
      <c r="T453" s="9"/>
      <c r="U453" s="9"/>
      <c r="V453" s="9"/>
      <c r="W453" s="9"/>
      <c r="X453" s="9"/>
    </row>
    <row r="454" spans="3:24">
      <c r="C454" s="9"/>
      <c r="D454" s="9"/>
      <c r="E454" s="9"/>
      <c r="F454" s="9"/>
      <c r="G454" s="9"/>
      <c r="H454" s="9"/>
      <c r="I454" s="9"/>
      <c r="J454" s="10"/>
      <c r="K454" s="9"/>
      <c r="L454" s="9"/>
      <c r="M454" s="9"/>
      <c r="N454" s="9"/>
      <c r="O454" s="9"/>
      <c r="P454" s="9"/>
      <c r="S454" s="9"/>
      <c r="T454" s="9"/>
      <c r="U454" s="9"/>
      <c r="V454" s="9"/>
      <c r="W454" s="9"/>
      <c r="X454" s="9"/>
    </row>
    <row r="455" spans="3:24">
      <c r="C455" s="9"/>
      <c r="D455" s="9"/>
      <c r="E455" s="9"/>
      <c r="F455" s="9"/>
      <c r="G455" s="9"/>
      <c r="H455" s="9"/>
      <c r="I455" s="9"/>
      <c r="J455" s="10"/>
      <c r="K455" s="9"/>
      <c r="L455" s="9"/>
      <c r="M455" s="9"/>
      <c r="N455" s="9"/>
      <c r="O455" s="9"/>
      <c r="P455" s="9"/>
      <c r="S455" s="9"/>
      <c r="T455" s="9"/>
      <c r="U455" s="9"/>
      <c r="V455" s="9"/>
      <c r="W455" s="9"/>
      <c r="X455" s="9"/>
    </row>
    <row r="456" spans="3:24">
      <c r="C456" s="9"/>
      <c r="D456" s="9"/>
      <c r="E456" s="9"/>
      <c r="F456" s="9"/>
      <c r="G456" s="9"/>
      <c r="H456" s="9"/>
      <c r="I456" s="9"/>
      <c r="J456" s="10"/>
      <c r="K456" s="9"/>
      <c r="L456" s="9"/>
      <c r="M456" s="9"/>
      <c r="N456" s="9"/>
      <c r="O456" s="9"/>
      <c r="P456" s="9"/>
      <c r="S456" s="9"/>
      <c r="T456" s="9"/>
      <c r="U456" s="9"/>
      <c r="V456" s="9"/>
      <c r="W456" s="9"/>
      <c r="X456" s="9"/>
    </row>
    <row r="457" spans="3:24">
      <c r="C457" s="9"/>
      <c r="D457" s="9"/>
      <c r="E457" s="9"/>
      <c r="F457" s="9"/>
      <c r="G457" s="9"/>
      <c r="H457" s="9"/>
      <c r="I457" s="9"/>
      <c r="J457" s="10"/>
      <c r="K457" s="9"/>
      <c r="L457" s="9"/>
      <c r="M457" s="9"/>
      <c r="N457" s="9"/>
      <c r="O457" s="9"/>
      <c r="P457" s="9"/>
      <c r="S457" s="9"/>
      <c r="T457" s="9"/>
      <c r="U457" s="9"/>
      <c r="V457" s="9"/>
      <c r="W457" s="9"/>
      <c r="X457" s="9"/>
    </row>
    <row r="458" spans="3:24">
      <c r="C458" s="9"/>
      <c r="D458" s="9"/>
      <c r="E458" s="9"/>
      <c r="F458" s="9"/>
      <c r="G458" s="9"/>
      <c r="H458" s="9"/>
      <c r="I458" s="9"/>
      <c r="J458" s="10"/>
      <c r="K458" s="9"/>
      <c r="L458" s="9"/>
      <c r="M458" s="9"/>
      <c r="N458" s="9"/>
      <c r="O458" s="9"/>
      <c r="P458" s="9"/>
      <c r="S458" s="9"/>
      <c r="T458" s="9"/>
      <c r="U458" s="9"/>
      <c r="V458" s="9"/>
      <c r="W458" s="9"/>
      <c r="X458" s="9"/>
    </row>
    <row r="459" spans="3:24">
      <c r="C459" s="9"/>
      <c r="D459" s="9"/>
      <c r="E459" s="9"/>
      <c r="F459" s="9"/>
      <c r="G459" s="9"/>
      <c r="H459" s="9"/>
      <c r="I459" s="9"/>
      <c r="J459" s="10"/>
      <c r="K459" s="9"/>
      <c r="L459" s="9"/>
      <c r="M459" s="9"/>
      <c r="N459" s="9"/>
      <c r="O459" s="9"/>
      <c r="P459" s="9"/>
      <c r="S459" s="9"/>
      <c r="T459" s="9"/>
      <c r="U459" s="9"/>
      <c r="V459" s="9"/>
      <c r="W459" s="9"/>
      <c r="X459" s="9"/>
    </row>
    <row r="460" spans="3:24">
      <c r="C460" s="9"/>
      <c r="D460" s="9"/>
      <c r="E460" s="9"/>
      <c r="F460" s="9"/>
      <c r="G460" s="9"/>
      <c r="H460" s="9"/>
      <c r="I460" s="9"/>
      <c r="J460" s="10"/>
      <c r="K460" s="9"/>
      <c r="L460" s="9"/>
      <c r="M460" s="9"/>
      <c r="N460" s="9"/>
      <c r="O460" s="9"/>
      <c r="P460" s="9"/>
      <c r="S460" s="9"/>
      <c r="T460" s="9"/>
      <c r="U460" s="9"/>
      <c r="V460" s="9"/>
      <c r="W460" s="9"/>
      <c r="X460" s="9"/>
    </row>
    <row r="461" spans="3:24">
      <c r="C461" s="9"/>
      <c r="D461" s="9"/>
      <c r="E461" s="9"/>
      <c r="F461" s="9"/>
      <c r="G461" s="9"/>
      <c r="H461" s="9"/>
      <c r="I461" s="9"/>
      <c r="J461" s="10"/>
      <c r="K461" s="9"/>
      <c r="L461" s="9"/>
      <c r="M461" s="9"/>
      <c r="N461" s="9"/>
      <c r="O461" s="9"/>
      <c r="P461" s="9"/>
      <c r="S461" s="9"/>
      <c r="T461" s="9"/>
      <c r="U461" s="9"/>
      <c r="V461" s="9"/>
      <c r="W461" s="9"/>
      <c r="X461" s="9"/>
    </row>
    <row r="462" spans="3:24">
      <c r="C462" s="9"/>
      <c r="D462" s="9"/>
      <c r="E462" s="9"/>
      <c r="F462" s="9"/>
      <c r="G462" s="9"/>
      <c r="H462" s="9"/>
      <c r="I462" s="9"/>
      <c r="J462" s="10"/>
      <c r="K462" s="9"/>
      <c r="L462" s="9"/>
      <c r="M462" s="9"/>
      <c r="N462" s="9"/>
      <c r="O462" s="9"/>
      <c r="P462" s="9"/>
      <c r="S462" s="9"/>
      <c r="T462" s="9"/>
      <c r="U462" s="9"/>
      <c r="V462" s="9"/>
      <c r="W462" s="9"/>
      <c r="X462" s="9"/>
    </row>
    <row r="463" spans="3:24">
      <c r="C463" s="9"/>
      <c r="D463" s="9"/>
      <c r="E463" s="9"/>
      <c r="F463" s="9"/>
      <c r="G463" s="9"/>
      <c r="H463" s="9"/>
      <c r="I463" s="9"/>
      <c r="J463" s="10"/>
      <c r="K463" s="9"/>
      <c r="L463" s="9"/>
      <c r="M463" s="9"/>
      <c r="N463" s="9"/>
      <c r="O463" s="9"/>
      <c r="P463" s="9"/>
      <c r="S463" s="9"/>
      <c r="T463" s="9"/>
      <c r="U463" s="9"/>
      <c r="V463" s="9"/>
      <c r="W463" s="9"/>
      <c r="X463" s="9"/>
    </row>
    <row r="464" spans="3:24">
      <c r="C464" s="9"/>
      <c r="D464" s="9"/>
      <c r="E464" s="9"/>
      <c r="F464" s="9"/>
      <c r="G464" s="9"/>
      <c r="H464" s="9"/>
      <c r="I464" s="9"/>
      <c r="J464" s="10"/>
      <c r="K464" s="9"/>
      <c r="L464" s="9"/>
      <c r="M464" s="9"/>
      <c r="N464" s="9"/>
      <c r="O464" s="9"/>
      <c r="P464" s="9"/>
      <c r="S464" s="9"/>
      <c r="T464" s="9"/>
      <c r="U464" s="9"/>
      <c r="V464" s="9"/>
      <c r="W464" s="9"/>
      <c r="X464" s="9"/>
    </row>
    <row r="465" spans="3:24">
      <c r="C465" s="9"/>
      <c r="D465" s="9"/>
      <c r="E465" s="9"/>
      <c r="F465" s="9"/>
      <c r="G465" s="9"/>
      <c r="H465" s="9"/>
      <c r="I465" s="9"/>
      <c r="J465" s="10"/>
      <c r="K465" s="9"/>
      <c r="L465" s="9"/>
      <c r="M465" s="9"/>
      <c r="N465" s="9"/>
      <c r="O465" s="9"/>
      <c r="P465" s="9"/>
      <c r="S465" s="9"/>
      <c r="T465" s="9"/>
      <c r="U465" s="9"/>
      <c r="V465" s="9"/>
      <c r="W465" s="9"/>
      <c r="X465" s="9"/>
    </row>
    <row r="466" spans="3:24">
      <c r="C466" s="9"/>
      <c r="D466" s="9"/>
      <c r="E466" s="9"/>
      <c r="F466" s="9"/>
      <c r="G466" s="9"/>
      <c r="H466" s="9"/>
      <c r="I466" s="9"/>
      <c r="J466" s="10"/>
      <c r="K466" s="9"/>
      <c r="L466" s="9"/>
      <c r="M466" s="9"/>
      <c r="N466" s="9"/>
      <c r="O466" s="9"/>
      <c r="P466" s="9"/>
      <c r="S466" s="9"/>
      <c r="T466" s="9"/>
      <c r="U466" s="9"/>
      <c r="V466" s="9"/>
      <c r="W466" s="9"/>
      <c r="X466" s="9"/>
    </row>
    <row r="467" spans="3:24">
      <c r="C467" s="9"/>
      <c r="D467" s="9"/>
      <c r="E467" s="9"/>
      <c r="F467" s="9"/>
      <c r="G467" s="9"/>
      <c r="H467" s="9"/>
      <c r="I467" s="9"/>
      <c r="J467" s="10"/>
      <c r="K467" s="9"/>
      <c r="L467" s="9"/>
      <c r="M467" s="9"/>
      <c r="N467" s="9"/>
      <c r="O467" s="9"/>
      <c r="P467" s="9"/>
      <c r="S467" s="9"/>
      <c r="T467" s="9"/>
      <c r="U467" s="9"/>
      <c r="V467" s="9"/>
      <c r="W467" s="9"/>
      <c r="X467" s="9"/>
    </row>
    <row r="468" spans="3:24">
      <c r="C468" s="9"/>
      <c r="D468" s="9"/>
      <c r="E468" s="9"/>
      <c r="F468" s="9"/>
      <c r="G468" s="9"/>
      <c r="H468" s="9"/>
      <c r="I468" s="9"/>
      <c r="J468" s="10"/>
      <c r="K468" s="9"/>
      <c r="L468" s="9"/>
      <c r="M468" s="9"/>
      <c r="N468" s="9"/>
      <c r="O468" s="9"/>
      <c r="P468" s="9"/>
      <c r="S468" s="9"/>
      <c r="T468" s="9"/>
      <c r="U468" s="9"/>
      <c r="V468" s="9"/>
      <c r="W468" s="9"/>
      <c r="X468" s="9"/>
    </row>
    <row r="469" spans="3:24">
      <c r="C469" s="9"/>
      <c r="D469" s="9"/>
      <c r="E469" s="9"/>
      <c r="F469" s="9"/>
      <c r="G469" s="9"/>
      <c r="H469" s="9"/>
      <c r="I469" s="9"/>
      <c r="J469" s="10"/>
      <c r="K469" s="9"/>
      <c r="L469" s="9"/>
      <c r="M469" s="9"/>
      <c r="N469" s="9"/>
      <c r="O469" s="9"/>
      <c r="P469" s="9"/>
      <c r="S469" s="9"/>
      <c r="T469" s="9"/>
      <c r="U469" s="9"/>
      <c r="V469" s="9"/>
      <c r="W469" s="9"/>
      <c r="X469" s="9"/>
    </row>
    <row r="470" spans="3:24">
      <c r="C470" s="9"/>
      <c r="D470" s="9"/>
      <c r="E470" s="9"/>
      <c r="F470" s="9"/>
      <c r="G470" s="9"/>
      <c r="H470" s="9"/>
      <c r="I470" s="9"/>
      <c r="J470" s="10"/>
      <c r="K470" s="9"/>
      <c r="L470" s="9"/>
      <c r="M470" s="9"/>
      <c r="N470" s="9"/>
      <c r="O470" s="9"/>
      <c r="P470" s="9"/>
      <c r="S470" s="9"/>
      <c r="T470" s="9"/>
      <c r="U470" s="9"/>
      <c r="V470" s="9"/>
      <c r="W470" s="9"/>
      <c r="X470" s="9"/>
    </row>
    <row r="471" spans="3:24">
      <c r="C471" s="9"/>
      <c r="D471" s="9"/>
      <c r="E471" s="9"/>
      <c r="F471" s="9"/>
      <c r="G471" s="9"/>
      <c r="H471" s="9"/>
      <c r="I471" s="9"/>
      <c r="J471" s="10"/>
      <c r="K471" s="9"/>
      <c r="L471" s="9"/>
      <c r="M471" s="9"/>
      <c r="N471" s="9"/>
      <c r="O471" s="9"/>
      <c r="P471" s="9"/>
      <c r="S471" s="9"/>
      <c r="T471" s="9"/>
      <c r="U471" s="9"/>
      <c r="V471" s="9"/>
      <c r="W471" s="9"/>
      <c r="X471" s="9"/>
    </row>
    <row r="472" spans="3:24">
      <c r="C472" s="9"/>
      <c r="D472" s="9"/>
      <c r="E472" s="9"/>
      <c r="F472" s="9"/>
      <c r="G472" s="9"/>
      <c r="H472" s="9"/>
      <c r="I472" s="9"/>
      <c r="J472" s="10"/>
      <c r="K472" s="9"/>
      <c r="L472" s="9"/>
      <c r="M472" s="9"/>
      <c r="N472" s="9"/>
      <c r="O472" s="9"/>
      <c r="P472" s="9"/>
      <c r="S472" s="9"/>
      <c r="T472" s="9"/>
      <c r="U472" s="9"/>
      <c r="V472" s="9"/>
      <c r="W472" s="9"/>
      <c r="X472" s="9"/>
    </row>
    <row r="473" spans="3:24">
      <c r="C473" s="9"/>
      <c r="D473" s="9"/>
      <c r="E473" s="9"/>
      <c r="F473" s="9"/>
      <c r="G473" s="9"/>
      <c r="H473" s="9"/>
      <c r="I473" s="9"/>
      <c r="J473" s="10"/>
      <c r="K473" s="9"/>
      <c r="L473" s="9"/>
      <c r="M473" s="9"/>
      <c r="N473" s="9"/>
      <c r="O473" s="9"/>
      <c r="P473" s="9"/>
      <c r="S473" s="9"/>
      <c r="T473" s="9"/>
      <c r="U473" s="9"/>
      <c r="V473" s="9"/>
      <c r="W473" s="9"/>
      <c r="X473" s="9"/>
    </row>
    <row r="474" spans="3:24">
      <c r="C474" s="9"/>
      <c r="D474" s="9"/>
      <c r="E474" s="9"/>
      <c r="F474" s="9"/>
      <c r="G474" s="9"/>
      <c r="H474" s="9"/>
      <c r="I474" s="9"/>
      <c r="J474" s="10"/>
      <c r="K474" s="9"/>
      <c r="L474" s="9"/>
      <c r="M474" s="9"/>
      <c r="N474" s="9"/>
      <c r="O474" s="9"/>
      <c r="P474" s="9"/>
      <c r="S474" s="9"/>
      <c r="T474" s="9"/>
      <c r="U474" s="9"/>
      <c r="V474" s="9"/>
      <c r="W474" s="9"/>
      <c r="X474" s="9"/>
    </row>
    <row r="475" spans="3:24">
      <c r="C475" s="9"/>
      <c r="D475" s="9"/>
      <c r="E475" s="9"/>
      <c r="F475" s="9"/>
      <c r="G475" s="9"/>
      <c r="H475" s="9"/>
      <c r="I475" s="9"/>
      <c r="J475" s="10"/>
      <c r="K475" s="9"/>
      <c r="L475" s="9"/>
      <c r="M475" s="9"/>
      <c r="N475" s="9"/>
      <c r="O475" s="9"/>
      <c r="P475" s="9"/>
      <c r="S475" s="9"/>
      <c r="T475" s="9"/>
      <c r="U475" s="9"/>
      <c r="V475" s="9"/>
      <c r="W475" s="9"/>
      <c r="X475" s="9"/>
    </row>
    <row r="476" spans="3:24">
      <c r="C476" s="9"/>
      <c r="D476" s="9"/>
      <c r="E476" s="9"/>
      <c r="F476" s="9"/>
      <c r="G476" s="9"/>
      <c r="H476" s="9"/>
      <c r="I476" s="9"/>
      <c r="J476" s="10"/>
      <c r="K476" s="9"/>
      <c r="L476" s="9"/>
      <c r="M476" s="9"/>
      <c r="N476" s="9"/>
      <c r="O476" s="9"/>
      <c r="P476" s="9"/>
      <c r="S476" s="9"/>
      <c r="T476" s="9"/>
      <c r="U476" s="9"/>
      <c r="V476" s="9"/>
      <c r="W476" s="9"/>
      <c r="X476" s="9"/>
    </row>
    <row r="477" spans="3:24">
      <c r="C477" s="9"/>
      <c r="D477" s="9"/>
      <c r="E477" s="9"/>
      <c r="F477" s="9"/>
      <c r="G477" s="9"/>
      <c r="H477" s="9"/>
      <c r="I477" s="9"/>
      <c r="J477" s="10"/>
      <c r="K477" s="9"/>
      <c r="L477" s="9"/>
      <c r="M477" s="9"/>
      <c r="N477" s="9"/>
      <c r="O477" s="9"/>
      <c r="P477" s="9"/>
      <c r="S477" s="9"/>
      <c r="T477" s="9"/>
      <c r="U477" s="9"/>
      <c r="V477" s="9"/>
      <c r="W477" s="9"/>
      <c r="X477" s="9"/>
    </row>
    <row r="478" spans="3:24">
      <c r="C478" s="9"/>
      <c r="D478" s="9"/>
      <c r="E478" s="9"/>
      <c r="F478" s="9"/>
      <c r="G478" s="9"/>
      <c r="H478" s="9"/>
      <c r="I478" s="9"/>
      <c r="J478" s="10"/>
      <c r="K478" s="9"/>
      <c r="L478" s="9"/>
      <c r="M478" s="9"/>
      <c r="N478" s="9"/>
      <c r="O478" s="9"/>
      <c r="P478" s="9"/>
      <c r="S478" s="9"/>
      <c r="T478" s="9"/>
      <c r="U478" s="9"/>
      <c r="V478" s="9"/>
      <c r="W478" s="9"/>
      <c r="X478" s="9"/>
    </row>
    <row r="479" spans="3:24">
      <c r="C479" s="9"/>
      <c r="D479" s="9"/>
      <c r="E479" s="9"/>
      <c r="F479" s="9"/>
      <c r="G479" s="9"/>
      <c r="H479" s="9"/>
      <c r="I479" s="9"/>
      <c r="J479" s="10"/>
      <c r="K479" s="9"/>
      <c r="L479" s="9"/>
      <c r="M479" s="9"/>
      <c r="N479" s="9"/>
      <c r="O479" s="9"/>
      <c r="P479" s="9"/>
      <c r="S479" s="9"/>
      <c r="T479" s="9"/>
      <c r="U479" s="9"/>
      <c r="V479" s="9"/>
      <c r="W479" s="9"/>
      <c r="X479" s="9"/>
    </row>
    <row r="480" spans="3:24">
      <c r="C480" s="9"/>
      <c r="D480" s="9"/>
      <c r="E480" s="9"/>
      <c r="F480" s="9"/>
      <c r="G480" s="9"/>
      <c r="H480" s="9"/>
      <c r="I480" s="9"/>
      <c r="J480" s="10"/>
      <c r="K480" s="9"/>
      <c r="L480" s="9"/>
      <c r="M480" s="9"/>
      <c r="N480" s="9"/>
      <c r="O480" s="9"/>
      <c r="P480" s="9"/>
      <c r="S480" s="9"/>
      <c r="T480" s="9"/>
      <c r="U480" s="9"/>
      <c r="V480" s="9"/>
      <c r="W480" s="9"/>
      <c r="X480" s="9"/>
    </row>
    <row r="481" spans="3:24">
      <c r="C481" s="9"/>
      <c r="D481" s="9"/>
      <c r="E481" s="9"/>
      <c r="F481" s="9"/>
      <c r="G481" s="9"/>
      <c r="H481" s="9"/>
      <c r="I481" s="9"/>
      <c r="J481" s="10"/>
      <c r="K481" s="9"/>
      <c r="L481" s="9"/>
      <c r="M481" s="9"/>
      <c r="N481" s="9"/>
      <c r="O481" s="9"/>
      <c r="P481" s="9"/>
      <c r="S481" s="9"/>
      <c r="T481" s="9"/>
      <c r="U481" s="9"/>
      <c r="V481" s="9"/>
      <c r="W481" s="9"/>
      <c r="X481" s="9"/>
    </row>
    <row r="482" spans="3:24">
      <c r="C482" s="9"/>
      <c r="D482" s="9"/>
      <c r="E482" s="9"/>
      <c r="F482" s="9"/>
      <c r="G482" s="9"/>
      <c r="H482" s="9"/>
      <c r="I482" s="9"/>
      <c r="J482" s="10"/>
      <c r="K482" s="9"/>
      <c r="L482" s="9"/>
      <c r="M482" s="9"/>
      <c r="N482" s="9"/>
      <c r="O482" s="9"/>
      <c r="P482" s="9"/>
      <c r="S482" s="9"/>
      <c r="T482" s="9"/>
      <c r="U482" s="9"/>
      <c r="V482" s="9"/>
      <c r="W482" s="9"/>
      <c r="X482" s="9"/>
    </row>
    <row r="483" spans="3:24">
      <c r="C483" s="9"/>
      <c r="D483" s="9"/>
      <c r="E483" s="9"/>
      <c r="F483" s="9"/>
      <c r="G483" s="9"/>
      <c r="H483" s="9"/>
      <c r="I483" s="9"/>
      <c r="J483" s="10"/>
      <c r="K483" s="9"/>
      <c r="L483" s="9"/>
      <c r="M483" s="9"/>
      <c r="N483" s="9"/>
      <c r="O483" s="9"/>
      <c r="P483" s="9"/>
      <c r="S483" s="9"/>
      <c r="T483" s="9"/>
      <c r="U483" s="9"/>
      <c r="V483" s="9"/>
      <c r="W483" s="9"/>
      <c r="X483" s="9"/>
    </row>
    <row r="484" spans="3:24">
      <c r="C484" s="9"/>
      <c r="D484" s="9"/>
      <c r="E484" s="9"/>
      <c r="F484" s="9"/>
      <c r="G484" s="9"/>
      <c r="H484" s="9"/>
      <c r="I484" s="9"/>
      <c r="J484" s="10"/>
      <c r="K484" s="9"/>
      <c r="L484" s="9"/>
      <c r="M484" s="9"/>
      <c r="N484" s="9"/>
      <c r="O484" s="9"/>
      <c r="P484" s="9"/>
      <c r="S484" s="9"/>
      <c r="T484" s="9"/>
      <c r="U484" s="9"/>
      <c r="V484" s="9"/>
      <c r="W484" s="9"/>
      <c r="X484" s="9"/>
    </row>
    <row r="485" spans="3:24">
      <c r="C485" s="9"/>
      <c r="D485" s="9"/>
      <c r="E485" s="9"/>
      <c r="F485" s="9"/>
      <c r="G485" s="9"/>
      <c r="H485" s="9"/>
      <c r="I485" s="9"/>
      <c r="J485" s="10"/>
      <c r="K485" s="9"/>
      <c r="L485" s="9"/>
      <c r="M485" s="9"/>
      <c r="N485" s="9"/>
      <c r="O485" s="9"/>
      <c r="P485" s="9"/>
      <c r="S485" s="9"/>
      <c r="T485" s="9"/>
      <c r="U485" s="9"/>
      <c r="V485" s="9"/>
      <c r="W485" s="9"/>
      <c r="X485" s="9"/>
    </row>
    <row r="486" spans="3:24">
      <c r="C486" s="9"/>
      <c r="D486" s="9"/>
      <c r="E486" s="9"/>
      <c r="F486" s="9"/>
      <c r="G486" s="9"/>
      <c r="H486" s="9"/>
      <c r="I486" s="9"/>
      <c r="J486" s="10"/>
      <c r="K486" s="9"/>
      <c r="L486" s="9"/>
      <c r="M486" s="9"/>
      <c r="N486" s="9"/>
      <c r="O486" s="9"/>
      <c r="P486" s="9"/>
      <c r="S486" s="9"/>
      <c r="T486" s="9"/>
      <c r="U486" s="9"/>
      <c r="V486" s="9"/>
      <c r="W486" s="9"/>
      <c r="X486" s="9"/>
    </row>
    <row r="487" spans="3:24">
      <c r="C487" s="9"/>
      <c r="D487" s="9"/>
      <c r="E487" s="9"/>
      <c r="F487" s="9"/>
      <c r="G487" s="9"/>
      <c r="H487" s="9"/>
      <c r="I487" s="9"/>
      <c r="J487" s="10"/>
      <c r="K487" s="9"/>
      <c r="L487" s="9"/>
      <c r="M487" s="9"/>
      <c r="N487" s="9"/>
      <c r="O487" s="9"/>
      <c r="P487" s="9"/>
      <c r="S487" s="9"/>
      <c r="T487" s="9"/>
      <c r="U487" s="9"/>
      <c r="V487" s="9"/>
      <c r="W487" s="9"/>
      <c r="X487" s="9"/>
    </row>
    <row r="488" spans="3:24">
      <c r="C488" s="9"/>
      <c r="D488" s="9"/>
      <c r="E488" s="9"/>
      <c r="F488" s="9"/>
      <c r="G488" s="9"/>
      <c r="H488" s="9"/>
      <c r="I488" s="9"/>
      <c r="J488" s="10"/>
      <c r="K488" s="9"/>
      <c r="L488" s="9"/>
      <c r="M488" s="9"/>
      <c r="N488" s="9"/>
      <c r="O488" s="9"/>
      <c r="P488" s="9"/>
      <c r="S488" s="9"/>
      <c r="T488" s="9"/>
      <c r="U488" s="9"/>
      <c r="V488" s="9"/>
      <c r="W488" s="9"/>
      <c r="X488" s="9"/>
    </row>
    <row r="489" spans="3:24">
      <c r="C489" s="9"/>
      <c r="D489" s="9"/>
      <c r="E489" s="9"/>
      <c r="F489" s="9"/>
      <c r="G489" s="9"/>
      <c r="H489" s="9"/>
      <c r="I489" s="9"/>
      <c r="J489" s="10"/>
      <c r="K489" s="9"/>
      <c r="L489" s="9"/>
      <c r="M489" s="9"/>
      <c r="N489" s="9"/>
      <c r="O489" s="9"/>
      <c r="P489" s="9"/>
      <c r="S489" s="9"/>
      <c r="T489" s="9"/>
      <c r="U489" s="9"/>
      <c r="V489" s="9"/>
      <c r="W489" s="9"/>
      <c r="X489" s="9"/>
    </row>
    <row r="490" spans="3:24">
      <c r="C490" s="9"/>
      <c r="D490" s="9"/>
      <c r="E490" s="9"/>
      <c r="F490" s="9"/>
      <c r="G490" s="9"/>
      <c r="H490" s="9"/>
      <c r="I490" s="9"/>
      <c r="J490" s="10"/>
      <c r="K490" s="9"/>
      <c r="L490" s="9"/>
      <c r="M490" s="9"/>
      <c r="N490" s="9"/>
      <c r="O490" s="9"/>
      <c r="P490" s="9"/>
      <c r="S490" s="9"/>
      <c r="T490" s="9"/>
      <c r="U490" s="9"/>
      <c r="V490" s="9"/>
      <c r="W490" s="9"/>
      <c r="X490" s="9"/>
    </row>
    <row r="491" spans="3:24">
      <c r="C491" s="9"/>
      <c r="D491" s="9"/>
      <c r="E491" s="9"/>
      <c r="F491" s="9"/>
      <c r="G491" s="9"/>
      <c r="H491" s="9"/>
      <c r="I491" s="9"/>
      <c r="J491" s="10"/>
      <c r="K491" s="9"/>
      <c r="L491" s="9"/>
      <c r="M491" s="9"/>
      <c r="N491" s="9"/>
      <c r="O491" s="9"/>
      <c r="P491" s="9"/>
      <c r="S491" s="9"/>
      <c r="T491" s="9"/>
      <c r="U491" s="9"/>
      <c r="V491" s="9"/>
      <c r="W491" s="9"/>
      <c r="X491" s="9"/>
    </row>
    <row r="492" spans="3:24">
      <c r="C492" s="9"/>
      <c r="D492" s="9"/>
      <c r="E492" s="9"/>
      <c r="F492" s="9"/>
      <c r="G492" s="9"/>
      <c r="H492" s="9"/>
      <c r="I492" s="9"/>
      <c r="J492" s="10"/>
      <c r="K492" s="9"/>
      <c r="L492" s="9"/>
      <c r="M492" s="9"/>
      <c r="N492" s="9"/>
      <c r="O492" s="9"/>
      <c r="P492" s="9"/>
      <c r="S492" s="9"/>
      <c r="T492" s="9"/>
      <c r="U492" s="9"/>
      <c r="V492" s="9"/>
      <c r="W492" s="9"/>
      <c r="X492" s="9"/>
    </row>
    <row r="493" spans="3:24">
      <c r="C493" s="9"/>
      <c r="D493" s="9"/>
      <c r="E493" s="9"/>
      <c r="F493" s="9"/>
      <c r="G493" s="9"/>
      <c r="H493" s="9"/>
      <c r="I493" s="9"/>
      <c r="J493" s="10"/>
      <c r="K493" s="9"/>
      <c r="L493" s="9"/>
      <c r="M493" s="9"/>
      <c r="N493" s="9"/>
      <c r="O493" s="9"/>
      <c r="P493" s="9"/>
      <c r="S493" s="9"/>
      <c r="T493" s="9"/>
      <c r="U493" s="9"/>
      <c r="V493" s="9"/>
      <c r="W493" s="9"/>
      <c r="X493" s="9"/>
    </row>
    <row r="494" spans="3:24">
      <c r="C494" s="9"/>
      <c r="D494" s="9"/>
      <c r="E494" s="9"/>
      <c r="F494" s="9"/>
      <c r="G494" s="9"/>
      <c r="H494" s="9"/>
      <c r="I494" s="9"/>
      <c r="J494" s="10"/>
      <c r="K494" s="9"/>
      <c r="L494" s="9"/>
      <c r="M494" s="9"/>
      <c r="N494" s="9"/>
      <c r="O494" s="9"/>
      <c r="P494" s="9"/>
      <c r="S494" s="9"/>
      <c r="T494" s="9"/>
      <c r="U494" s="9"/>
      <c r="V494" s="9"/>
      <c r="W494" s="9"/>
      <c r="X494" s="9"/>
    </row>
    <row r="495" spans="3:24">
      <c r="C495" s="9"/>
      <c r="D495" s="9"/>
      <c r="E495" s="9"/>
      <c r="F495" s="9"/>
      <c r="G495" s="9"/>
      <c r="H495" s="9"/>
      <c r="I495" s="9"/>
      <c r="J495" s="10"/>
      <c r="K495" s="9"/>
      <c r="L495" s="9"/>
      <c r="M495" s="9"/>
      <c r="N495" s="9"/>
      <c r="O495" s="9"/>
      <c r="P495" s="9"/>
      <c r="S495" s="9"/>
      <c r="T495" s="9"/>
      <c r="U495" s="9"/>
      <c r="V495" s="9"/>
      <c r="W495" s="9"/>
      <c r="X495" s="9"/>
    </row>
    <row r="496" spans="3:24">
      <c r="C496" s="9"/>
      <c r="D496" s="9"/>
      <c r="E496" s="9"/>
      <c r="F496" s="9"/>
      <c r="G496" s="9"/>
      <c r="H496" s="9"/>
      <c r="I496" s="9"/>
      <c r="J496" s="10"/>
      <c r="K496" s="9"/>
      <c r="L496" s="9"/>
      <c r="M496" s="9"/>
      <c r="N496" s="9"/>
      <c r="O496" s="9"/>
      <c r="P496" s="9"/>
      <c r="S496" s="9"/>
      <c r="T496" s="9"/>
      <c r="U496" s="9"/>
      <c r="V496" s="9"/>
      <c r="W496" s="9"/>
      <c r="X496" s="9"/>
    </row>
    <row r="497" spans="3:24">
      <c r="C497" s="9"/>
      <c r="D497" s="9"/>
      <c r="E497" s="9"/>
      <c r="F497" s="9"/>
      <c r="G497" s="9"/>
      <c r="H497" s="9"/>
      <c r="I497" s="9"/>
      <c r="J497" s="10"/>
      <c r="K497" s="9"/>
      <c r="L497" s="9"/>
      <c r="M497" s="9"/>
      <c r="N497" s="9"/>
      <c r="O497" s="9"/>
      <c r="P497" s="9"/>
      <c r="S497" s="9"/>
      <c r="T497" s="9"/>
      <c r="U497" s="9"/>
      <c r="V497" s="9"/>
      <c r="W497" s="9"/>
      <c r="X497" s="9"/>
    </row>
    <row r="498" spans="3:24">
      <c r="C498" s="9"/>
      <c r="D498" s="9"/>
      <c r="E498" s="9"/>
      <c r="F498" s="9"/>
      <c r="G498" s="9"/>
      <c r="H498" s="9"/>
      <c r="I498" s="9"/>
      <c r="J498" s="10"/>
      <c r="K498" s="9"/>
      <c r="L498" s="9"/>
      <c r="M498" s="9"/>
      <c r="N498" s="9"/>
      <c r="O498" s="9"/>
      <c r="P498" s="9"/>
      <c r="S498" s="9"/>
      <c r="T498" s="9"/>
      <c r="U498" s="9"/>
      <c r="V498" s="9"/>
      <c r="W498" s="9"/>
      <c r="X498" s="9"/>
    </row>
    <row r="499" spans="3:24">
      <c r="C499" s="9"/>
      <c r="D499" s="9"/>
      <c r="E499" s="9"/>
      <c r="F499" s="9"/>
      <c r="G499" s="9"/>
      <c r="H499" s="9"/>
      <c r="I499" s="9"/>
      <c r="J499" s="10"/>
      <c r="K499" s="9"/>
      <c r="L499" s="9"/>
      <c r="M499" s="9"/>
      <c r="N499" s="9"/>
      <c r="O499" s="9"/>
      <c r="P499" s="9"/>
      <c r="S499" s="9"/>
      <c r="T499" s="9"/>
      <c r="U499" s="9"/>
      <c r="V499" s="9"/>
      <c r="W499" s="9"/>
      <c r="X499" s="9"/>
    </row>
    <row r="500" spans="3:24">
      <c r="C500" s="9"/>
      <c r="D500" s="9"/>
      <c r="E500" s="9"/>
      <c r="F500" s="9"/>
      <c r="G500" s="9"/>
      <c r="H500" s="9"/>
      <c r="I500" s="9"/>
      <c r="J500" s="10"/>
      <c r="K500" s="9"/>
      <c r="L500" s="9"/>
      <c r="M500" s="9"/>
      <c r="N500" s="9"/>
      <c r="O500" s="9"/>
      <c r="P500" s="9"/>
      <c r="S500" s="9"/>
      <c r="T500" s="9"/>
      <c r="U500" s="9"/>
      <c r="V500" s="9"/>
      <c r="W500" s="9"/>
      <c r="X500" s="9"/>
    </row>
    <row r="501" spans="3:24">
      <c r="C501" s="9"/>
      <c r="D501" s="9"/>
      <c r="E501" s="9"/>
      <c r="F501" s="9"/>
      <c r="G501" s="9"/>
      <c r="H501" s="9"/>
      <c r="I501" s="9"/>
      <c r="J501" s="10"/>
      <c r="K501" s="9"/>
      <c r="L501" s="9"/>
      <c r="M501" s="9"/>
      <c r="N501" s="9"/>
      <c r="O501" s="9"/>
      <c r="P501" s="9"/>
      <c r="S501" s="9"/>
      <c r="T501" s="9"/>
      <c r="U501" s="9"/>
      <c r="V501" s="9"/>
      <c r="W501" s="9"/>
      <c r="X501" s="9"/>
    </row>
    <row r="502" spans="3:24">
      <c r="C502" s="9"/>
      <c r="D502" s="9"/>
      <c r="E502" s="9"/>
      <c r="F502" s="9"/>
      <c r="G502" s="9"/>
      <c r="H502" s="9"/>
      <c r="I502" s="9"/>
      <c r="J502" s="10"/>
      <c r="K502" s="9"/>
      <c r="L502" s="9"/>
      <c r="M502" s="9"/>
      <c r="N502" s="9"/>
      <c r="O502" s="9"/>
      <c r="P502" s="9"/>
      <c r="S502" s="9"/>
      <c r="T502" s="9"/>
      <c r="U502" s="9"/>
      <c r="V502" s="9"/>
      <c r="W502" s="9"/>
      <c r="X502" s="9"/>
    </row>
    <row r="503" spans="3:24">
      <c r="C503" s="9"/>
      <c r="D503" s="9"/>
      <c r="E503" s="9"/>
      <c r="F503" s="9"/>
      <c r="G503" s="9"/>
      <c r="H503" s="9"/>
      <c r="I503" s="9"/>
      <c r="J503" s="10"/>
      <c r="K503" s="9"/>
      <c r="L503" s="9"/>
      <c r="M503" s="9"/>
      <c r="N503" s="9"/>
      <c r="O503" s="9"/>
      <c r="P503" s="9"/>
      <c r="S503" s="9"/>
      <c r="T503" s="9"/>
      <c r="U503" s="9"/>
      <c r="V503" s="9"/>
      <c r="W503" s="9"/>
      <c r="X503" s="9"/>
    </row>
    <row r="504" spans="3:24">
      <c r="C504" s="9"/>
      <c r="D504" s="9"/>
      <c r="E504" s="9"/>
      <c r="F504" s="9"/>
      <c r="G504" s="9"/>
      <c r="H504" s="9"/>
      <c r="I504" s="9"/>
      <c r="J504" s="10"/>
      <c r="K504" s="9"/>
      <c r="L504" s="9"/>
      <c r="M504" s="9"/>
      <c r="N504" s="9"/>
      <c r="O504" s="9"/>
      <c r="P504" s="9"/>
      <c r="S504" s="9"/>
      <c r="T504" s="9"/>
      <c r="U504" s="9"/>
      <c r="V504" s="9"/>
      <c r="W504" s="9"/>
      <c r="X504" s="9"/>
    </row>
    <row r="505" spans="3:24">
      <c r="C505" s="9"/>
      <c r="D505" s="9"/>
      <c r="E505" s="9"/>
      <c r="F505" s="9"/>
      <c r="G505" s="9"/>
      <c r="H505" s="9"/>
      <c r="I505" s="9"/>
      <c r="J505" s="10"/>
      <c r="K505" s="9"/>
      <c r="L505" s="9"/>
      <c r="M505" s="9"/>
      <c r="N505" s="9"/>
      <c r="O505" s="9"/>
      <c r="P505" s="9"/>
      <c r="S505" s="9"/>
      <c r="T505" s="9"/>
      <c r="U505" s="9"/>
      <c r="V505" s="9"/>
      <c r="W505" s="9"/>
      <c r="X505" s="9"/>
    </row>
    <row r="506" spans="3:24">
      <c r="C506" s="9"/>
      <c r="D506" s="9"/>
      <c r="E506" s="9"/>
      <c r="F506" s="9"/>
      <c r="G506" s="9"/>
      <c r="H506" s="9"/>
      <c r="I506" s="9"/>
      <c r="J506" s="10"/>
      <c r="K506" s="9"/>
      <c r="L506" s="9"/>
      <c r="M506" s="9"/>
      <c r="N506" s="9"/>
      <c r="O506" s="9"/>
      <c r="P506" s="9"/>
      <c r="S506" s="9"/>
      <c r="T506" s="9"/>
      <c r="U506" s="9"/>
      <c r="V506" s="9"/>
      <c r="W506" s="9"/>
      <c r="X506" s="9"/>
    </row>
    <row r="507" spans="3:24">
      <c r="C507" s="9"/>
      <c r="D507" s="9"/>
      <c r="E507" s="9"/>
      <c r="F507" s="9"/>
      <c r="G507" s="9"/>
      <c r="H507" s="9"/>
      <c r="I507" s="9"/>
      <c r="J507" s="10"/>
      <c r="K507" s="9"/>
      <c r="L507" s="9"/>
      <c r="M507" s="9"/>
      <c r="N507" s="9"/>
      <c r="O507" s="9"/>
      <c r="P507" s="9"/>
      <c r="S507" s="9"/>
      <c r="T507" s="9"/>
      <c r="U507" s="9"/>
      <c r="V507" s="9"/>
      <c r="W507" s="9"/>
      <c r="X507" s="9"/>
    </row>
    <row r="508" spans="3:24">
      <c r="C508" s="9"/>
      <c r="D508" s="9"/>
      <c r="E508" s="9"/>
      <c r="F508" s="9"/>
      <c r="G508" s="9"/>
      <c r="H508" s="9"/>
      <c r="I508" s="9"/>
      <c r="J508" s="10"/>
      <c r="K508" s="9"/>
      <c r="L508" s="9"/>
      <c r="M508" s="9"/>
      <c r="N508" s="9"/>
      <c r="O508" s="9"/>
      <c r="P508" s="9"/>
      <c r="S508" s="9"/>
      <c r="T508" s="9"/>
      <c r="U508" s="9"/>
      <c r="V508" s="9"/>
      <c r="W508" s="9"/>
      <c r="X508" s="9"/>
    </row>
    <row r="509" spans="3:24">
      <c r="C509" s="9"/>
      <c r="D509" s="9"/>
      <c r="E509" s="9"/>
      <c r="F509" s="9"/>
      <c r="G509" s="9"/>
      <c r="H509" s="9"/>
      <c r="I509" s="9"/>
      <c r="J509" s="10"/>
      <c r="K509" s="9"/>
      <c r="L509" s="9"/>
      <c r="M509" s="9"/>
      <c r="N509" s="9"/>
      <c r="O509" s="9"/>
      <c r="P509" s="9"/>
      <c r="S509" s="9"/>
      <c r="T509" s="9"/>
      <c r="U509" s="9"/>
      <c r="V509" s="9"/>
      <c r="W509" s="9"/>
      <c r="X509" s="9"/>
    </row>
    <row r="510" spans="3:24">
      <c r="C510" s="9"/>
      <c r="D510" s="9"/>
      <c r="E510" s="9"/>
      <c r="F510" s="9"/>
      <c r="G510" s="9"/>
      <c r="H510" s="9"/>
      <c r="I510" s="9"/>
      <c r="J510" s="10"/>
      <c r="K510" s="9"/>
      <c r="L510" s="9"/>
      <c r="M510" s="9"/>
      <c r="N510" s="9"/>
      <c r="O510" s="9"/>
      <c r="P510" s="9"/>
      <c r="S510" s="9"/>
      <c r="T510" s="9"/>
      <c r="U510" s="9"/>
      <c r="V510" s="9"/>
      <c r="W510" s="9"/>
      <c r="X510" s="9"/>
    </row>
    <row r="511" spans="3:24">
      <c r="C511" s="9"/>
      <c r="D511" s="9"/>
      <c r="E511" s="9"/>
      <c r="F511" s="9"/>
      <c r="G511" s="9"/>
      <c r="H511" s="9"/>
      <c r="I511" s="9"/>
      <c r="J511" s="10"/>
      <c r="K511" s="9"/>
      <c r="L511" s="9"/>
      <c r="M511" s="9"/>
      <c r="N511" s="9"/>
      <c r="O511" s="9"/>
      <c r="P511" s="9"/>
      <c r="S511" s="9"/>
      <c r="T511" s="9"/>
      <c r="U511" s="9"/>
      <c r="V511" s="9"/>
      <c r="W511" s="9"/>
      <c r="X511" s="9"/>
    </row>
    <row r="512" spans="3:24">
      <c r="C512" s="9"/>
      <c r="D512" s="9"/>
      <c r="E512" s="9"/>
      <c r="F512" s="9"/>
      <c r="G512" s="9"/>
      <c r="H512" s="9"/>
      <c r="I512" s="9"/>
      <c r="J512" s="10"/>
      <c r="K512" s="9"/>
      <c r="L512" s="9"/>
      <c r="M512" s="9"/>
      <c r="N512" s="9"/>
      <c r="O512" s="9"/>
      <c r="P512" s="9"/>
      <c r="S512" s="9"/>
      <c r="T512" s="9"/>
      <c r="U512" s="9"/>
      <c r="V512" s="9"/>
      <c r="W512" s="9"/>
      <c r="X512" s="9"/>
    </row>
    <row r="513" spans="3:24">
      <c r="C513" s="9"/>
      <c r="D513" s="9"/>
      <c r="E513" s="9"/>
      <c r="F513" s="9"/>
      <c r="G513" s="9"/>
      <c r="H513" s="9"/>
      <c r="I513" s="9"/>
      <c r="J513" s="10"/>
      <c r="K513" s="9"/>
      <c r="L513" s="9"/>
      <c r="M513" s="9"/>
      <c r="N513" s="9"/>
      <c r="O513" s="9"/>
      <c r="P513" s="9"/>
      <c r="S513" s="9"/>
      <c r="T513" s="9"/>
      <c r="U513" s="9"/>
      <c r="V513" s="9"/>
      <c r="W513" s="9"/>
      <c r="X513" s="9"/>
    </row>
    <row r="514" spans="3:24">
      <c r="C514" s="9"/>
      <c r="D514" s="9"/>
      <c r="E514" s="9"/>
      <c r="F514" s="9"/>
      <c r="G514" s="9"/>
      <c r="H514" s="9"/>
      <c r="I514" s="9"/>
      <c r="J514" s="10"/>
      <c r="K514" s="9"/>
      <c r="L514" s="9"/>
      <c r="M514" s="9"/>
      <c r="N514" s="9"/>
      <c r="O514" s="9"/>
      <c r="P514" s="9"/>
      <c r="S514" s="9"/>
      <c r="T514" s="9"/>
      <c r="U514" s="9"/>
      <c r="V514" s="9"/>
      <c r="W514" s="9"/>
      <c r="X514" s="9"/>
    </row>
    <row r="515" spans="3:24">
      <c r="C515" s="9"/>
      <c r="D515" s="9"/>
      <c r="E515" s="9"/>
      <c r="F515" s="9"/>
      <c r="G515" s="9"/>
      <c r="H515" s="9"/>
      <c r="I515" s="9"/>
      <c r="J515" s="10"/>
      <c r="K515" s="9"/>
      <c r="L515" s="9"/>
      <c r="M515" s="9"/>
      <c r="N515" s="9"/>
      <c r="O515" s="9"/>
      <c r="P515" s="9"/>
      <c r="S515" s="9"/>
      <c r="T515" s="9"/>
      <c r="U515" s="9"/>
      <c r="V515" s="9"/>
      <c r="W515" s="9"/>
      <c r="X515" s="9"/>
    </row>
    <row r="516" spans="3:24">
      <c r="C516" s="9"/>
      <c r="D516" s="9"/>
      <c r="E516" s="9"/>
      <c r="F516" s="9"/>
      <c r="G516" s="9"/>
      <c r="H516" s="9"/>
      <c r="I516" s="9"/>
      <c r="J516" s="10"/>
      <c r="K516" s="9"/>
      <c r="L516" s="9"/>
      <c r="M516" s="9"/>
      <c r="N516" s="9"/>
      <c r="O516" s="9"/>
      <c r="P516" s="9"/>
      <c r="S516" s="9"/>
      <c r="T516" s="9"/>
      <c r="U516" s="9"/>
      <c r="V516" s="9"/>
      <c r="W516" s="9"/>
      <c r="X516" s="9"/>
    </row>
    <row r="517" spans="3:24">
      <c r="C517" s="9"/>
      <c r="D517" s="9"/>
      <c r="E517" s="9"/>
      <c r="F517" s="9"/>
      <c r="G517" s="9"/>
      <c r="H517" s="9"/>
      <c r="I517" s="9"/>
      <c r="J517" s="10"/>
      <c r="K517" s="9"/>
      <c r="L517" s="9"/>
      <c r="M517" s="9"/>
      <c r="N517" s="9"/>
      <c r="O517" s="9"/>
      <c r="P517" s="9"/>
      <c r="S517" s="9"/>
      <c r="T517" s="9"/>
      <c r="U517" s="9"/>
      <c r="V517" s="9"/>
      <c r="W517" s="9"/>
      <c r="X517" s="9"/>
    </row>
    <row r="518" spans="3:24">
      <c r="C518" s="9"/>
      <c r="D518" s="9"/>
      <c r="E518" s="9"/>
      <c r="F518" s="9"/>
      <c r="G518" s="9"/>
      <c r="H518" s="9"/>
      <c r="I518" s="9"/>
      <c r="J518" s="10"/>
      <c r="K518" s="9"/>
      <c r="L518" s="9"/>
      <c r="M518" s="9"/>
      <c r="N518" s="9"/>
      <c r="O518" s="9"/>
      <c r="P518" s="9"/>
      <c r="S518" s="9"/>
      <c r="T518" s="9"/>
      <c r="U518" s="9"/>
      <c r="V518" s="9"/>
      <c r="W518" s="9"/>
      <c r="X518" s="9"/>
    </row>
    <row r="519" spans="3:24">
      <c r="C519" s="9"/>
      <c r="D519" s="9"/>
      <c r="E519" s="9"/>
      <c r="F519" s="9"/>
      <c r="G519" s="9"/>
      <c r="H519" s="9"/>
      <c r="I519" s="9"/>
      <c r="J519" s="10"/>
      <c r="K519" s="9"/>
      <c r="L519" s="9"/>
      <c r="M519" s="9"/>
      <c r="N519" s="9"/>
      <c r="O519" s="9"/>
      <c r="P519" s="9"/>
      <c r="S519" s="9"/>
      <c r="T519" s="9"/>
      <c r="U519" s="9"/>
      <c r="V519" s="9"/>
      <c r="W519" s="9"/>
      <c r="X519" s="9"/>
    </row>
    <row r="520" spans="3:24">
      <c r="C520" s="9"/>
      <c r="D520" s="9"/>
      <c r="E520" s="9"/>
      <c r="F520" s="9"/>
      <c r="G520" s="9"/>
      <c r="H520" s="9"/>
      <c r="I520" s="9"/>
      <c r="J520" s="10"/>
      <c r="K520" s="9"/>
      <c r="L520" s="9"/>
      <c r="M520" s="9"/>
      <c r="N520" s="9"/>
      <c r="O520" s="9"/>
      <c r="P520" s="9"/>
      <c r="S520" s="9"/>
      <c r="T520" s="9"/>
      <c r="U520" s="9"/>
      <c r="V520" s="9"/>
      <c r="W520" s="9"/>
      <c r="X520" s="9"/>
    </row>
    <row r="521" spans="3:24">
      <c r="C521" s="9"/>
      <c r="D521" s="9"/>
      <c r="E521" s="9"/>
      <c r="F521" s="9"/>
      <c r="G521" s="9"/>
      <c r="H521" s="9"/>
      <c r="I521" s="9"/>
      <c r="J521" s="10"/>
      <c r="K521" s="9"/>
      <c r="L521" s="9"/>
      <c r="M521" s="9"/>
      <c r="N521" s="9"/>
      <c r="O521" s="9"/>
      <c r="P521" s="9"/>
      <c r="S521" s="9"/>
      <c r="T521" s="9"/>
      <c r="U521" s="9"/>
      <c r="V521" s="9"/>
      <c r="W521" s="9"/>
      <c r="X521" s="9"/>
    </row>
    <row r="522" spans="3:24">
      <c r="C522" s="9"/>
      <c r="D522" s="9"/>
      <c r="E522" s="9"/>
      <c r="F522" s="9"/>
      <c r="G522" s="9"/>
      <c r="H522" s="9"/>
      <c r="I522" s="9"/>
      <c r="J522" s="10"/>
      <c r="K522" s="9"/>
      <c r="L522" s="9"/>
      <c r="M522" s="9"/>
      <c r="N522" s="9"/>
      <c r="O522" s="9"/>
      <c r="P522" s="9"/>
      <c r="S522" s="9"/>
      <c r="T522" s="9"/>
      <c r="U522" s="9"/>
      <c r="V522" s="9"/>
      <c r="W522" s="9"/>
      <c r="X522" s="9"/>
    </row>
    <row r="523" spans="3:24">
      <c r="C523" s="9"/>
      <c r="D523" s="9"/>
      <c r="E523" s="9"/>
      <c r="F523" s="9"/>
      <c r="G523" s="9"/>
      <c r="H523" s="9"/>
      <c r="I523" s="9"/>
      <c r="J523" s="10"/>
      <c r="K523" s="9"/>
      <c r="L523" s="9"/>
      <c r="M523" s="9"/>
      <c r="N523" s="9"/>
      <c r="O523" s="9"/>
      <c r="P523" s="9"/>
      <c r="S523" s="9"/>
      <c r="T523" s="9"/>
      <c r="U523" s="9"/>
      <c r="V523" s="9"/>
      <c r="W523" s="9"/>
      <c r="X523" s="9"/>
    </row>
    <row r="524" spans="3:24">
      <c r="C524" s="9"/>
      <c r="D524" s="9"/>
      <c r="E524" s="9"/>
      <c r="F524" s="9"/>
      <c r="G524" s="9"/>
      <c r="H524" s="9"/>
      <c r="I524" s="9"/>
      <c r="J524" s="10"/>
      <c r="K524" s="9"/>
      <c r="L524" s="9"/>
      <c r="M524" s="9"/>
      <c r="N524" s="9"/>
      <c r="O524" s="9"/>
      <c r="P524" s="9"/>
      <c r="S524" s="9"/>
      <c r="T524" s="9"/>
      <c r="U524" s="9"/>
      <c r="V524" s="9"/>
      <c r="W524" s="9"/>
      <c r="X524" s="9"/>
    </row>
    <row r="525" spans="3:24">
      <c r="C525" s="9"/>
      <c r="D525" s="9"/>
      <c r="E525" s="9"/>
      <c r="F525" s="9"/>
      <c r="G525" s="9"/>
      <c r="H525" s="9"/>
      <c r="I525" s="9"/>
      <c r="J525" s="10"/>
      <c r="K525" s="9"/>
      <c r="L525" s="9"/>
      <c r="M525" s="9"/>
      <c r="N525" s="9"/>
      <c r="O525" s="9"/>
      <c r="P525" s="9"/>
      <c r="S525" s="9"/>
      <c r="T525" s="9"/>
      <c r="U525" s="9"/>
      <c r="V525" s="9"/>
      <c r="W525" s="9"/>
      <c r="X525" s="9"/>
    </row>
    <row r="526" spans="3:24">
      <c r="C526" s="9"/>
      <c r="D526" s="9"/>
      <c r="E526" s="9"/>
      <c r="F526" s="9"/>
      <c r="G526" s="9"/>
      <c r="H526" s="9"/>
      <c r="I526" s="9"/>
      <c r="J526" s="10"/>
      <c r="K526" s="9"/>
      <c r="L526" s="9"/>
      <c r="M526" s="9"/>
      <c r="N526" s="9"/>
      <c r="O526" s="9"/>
      <c r="P526" s="9"/>
      <c r="S526" s="9"/>
      <c r="T526" s="9"/>
      <c r="U526" s="9"/>
      <c r="V526" s="9"/>
      <c r="W526" s="9"/>
      <c r="X526" s="9"/>
    </row>
    <row r="527" spans="3:24">
      <c r="C527" s="9"/>
      <c r="D527" s="9"/>
      <c r="E527" s="9"/>
      <c r="F527" s="9"/>
      <c r="G527" s="9"/>
      <c r="H527" s="9"/>
      <c r="I527" s="9"/>
      <c r="J527" s="10"/>
      <c r="K527" s="9"/>
      <c r="L527" s="9"/>
      <c r="M527" s="9"/>
      <c r="N527" s="9"/>
      <c r="O527" s="9"/>
      <c r="P527" s="9"/>
      <c r="S527" s="9"/>
      <c r="T527" s="9"/>
      <c r="U527" s="9"/>
      <c r="V527" s="9"/>
      <c r="W527" s="9"/>
      <c r="X527" s="9"/>
    </row>
    <row r="528" spans="3:24">
      <c r="C528" s="9"/>
      <c r="D528" s="9"/>
      <c r="E528" s="9"/>
      <c r="F528" s="9"/>
      <c r="G528" s="9"/>
      <c r="H528" s="9"/>
      <c r="I528" s="9"/>
      <c r="J528" s="10"/>
      <c r="K528" s="9"/>
      <c r="L528" s="9"/>
      <c r="M528" s="9"/>
      <c r="N528" s="9"/>
      <c r="O528" s="9"/>
      <c r="P528" s="9"/>
      <c r="S528" s="9"/>
      <c r="T528" s="9"/>
      <c r="U528" s="9"/>
      <c r="V528" s="9"/>
      <c r="W528" s="9"/>
      <c r="X528" s="9"/>
    </row>
    <row r="529" spans="3:24">
      <c r="C529" s="9"/>
      <c r="D529" s="9"/>
      <c r="E529" s="9"/>
      <c r="F529" s="9"/>
      <c r="G529" s="9"/>
      <c r="H529" s="9"/>
      <c r="I529" s="9"/>
      <c r="J529" s="10"/>
      <c r="K529" s="9"/>
      <c r="L529" s="9"/>
      <c r="M529" s="9"/>
      <c r="N529" s="9"/>
      <c r="O529" s="9"/>
      <c r="P529" s="9"/>
      <c r="S529" s="9"/>
      <c r="T529" s="9"/>
      <c r="U529" s="9"/>
      <c r="V529" s="9"/>
      <c r="W529" s="9"/>
      <c r="X529" s="9"/>
    </row>
    <row r="530" spans="3:24">
      <c r="C530" s="9"/>
      <c r="D530" s="9"/>
      <c r="E530" s="9"/>
      <c r="F530" s="9"/>
      <c r="G530" s="9"/>
      <c r="H530" s="9"/>
      <c r="I530" s="9"/>
      <c r="J530" s="10"/>
      <c r="K530" s="9"/>
      <c r="L530" s="9"/>
      <c r="M530" s="9"/>
      <c r="N530" s="9"/>
      <c r="O530" s="9"/>
      <c r="P530" s="9"/>
      <c r="S530" s="9"/>
      <c r="T530" s="9"/>
      <c r="U530" s="9"/>
      <c r="V530" s="9"/>
      <c r="W530" s="9"/>
      <c r="X530" s="9"/>
    </row>
    <row r="531" spans="3:24">
      <c r="C531" s="9"/>
      <c r="D531" s="9"/>
      <c r="E531" s="9"/>
      <c r="F531" s="9"/>
      <c r="G531" s="9"/>
      <c r="H531" s="9"/>
      <c r="I531" s="9"/>
      <c r="J531" s="10"/>
      <c r="K531" s="9"/>
      <c r="L531" s="9"/>
      <c r="M531" s="9"/>
      <c r="N531" s="9"/>
      <c r="O531" s="9"/>
      <c r="P531" s="9"/>
      <c r="S531" s="9"/>
      <c r="T531" s="9"/>
      <c r="U531" s="9"/>
      <c r="V531" s="9"/>
      <c r="W531" s="9"/>
      <c r="X531" s="9"/>
    </row>
    <row r="532" spans="3:24">
      <c r="C532" s="9"/>
      <c r="D532" s="9"/>
      <c r="E532" s="9"/>
      <c r="F532" s="9"/>
      <c r="G532" s="9"/>
      <c r="H532" s="9"/>
      <c r="I532" s="9"/>
      <c r="J532" s="10"/>
      <c r="K532" s="9"/>
      <c r="L532" s="9"/>
      <c r="M532" s="9"/>
      <c r="N532" s="9"/>
      <c r="O532" s="9"/>
      <c r="P532" s="9"/>
      <c r="S532" s="9"/>
      <c r="T532" s="9"/>
      <c r="U532" s="9"/>
      <c r="V532" s="9"/>
      <c r="W532" s="9"/>
      <c r="X532" s="9"/>
    </row>
    <row r="533" spans="3:24">
      <c r="C533" s="9"/>
      <c r="D533" s="9"/>
      <c r="E533" s="9"/>
      <c r="F533" s="9"/>
      <c r="G533" s="9"/>
      <c r="H533" s="9"/>
      <c r="I533" s="9"/>
      <c r="J533" s="10"/>
      <c r="K533" s="9"/>
      <c r="L533" s="9"/>
      <c r="M533" s="9"/>
      <c r="N533" s="9"/>
      <c r="O533" s="9"/>
      <c r="P533" s="9"/>
      <c r="S533" s="9"/>
      <c r="T533" s="9"/>
      <c r="U533" s="9"/>
      <c r="V533" s="9"/>
      <c r="W533" s="9"/>
      <c r="X533" s="9"/>
    </row>
    <row r="534" spans="3:24">
      <c r="C534" s="9"/>
      <c r="D534" s="9"/>
      <c r="E534" s="9"/>
      <c r="F534" s="9"/>
      <c r="G534" s="9"/>
      <c r="H534" s="9"/>
      <c r="I534" s="9"/>
      <c r="J534" s="10"/>
      <c r="K534" s="9"/>
      <c r="L534" s="9"/>
      <c r="M534" s="9"/>
      <c r="N534" s="9"/>
      <c r="O534" s="9"/>
      <c r="P534" s="9"/>
      <c r="S534" s="9"/>
      <c r="T534" s="9"/>
      <c r="U534" s="9"/>
      <c r="V534" s="9"/>
      <c r="W534" s="9"/>
      <c r="X534" s="9"/>
    </row>
    <row r="535" spans="3:24">
      <c r="C535" s="9"/>
      <c r="D535" s="9"/>
      <c r="E535" s="9"/>
      <c r="F535" s="9"/>
      <c r="G535" s="9"/>
      <c r="H535" s="9"/>
      <c r="I535" s="9"/>
      <c r="J535" s="10"/>
      <c r="K535" s="9"/>
      <c r="L535" s="9"/>
      <c r="M535" s="9"/>
      <c r="N535" s="9"/>
      <c r="O535" s="9"/>
      <c r="P535" s="9"/>
      <c r="S535" s="9"/>
      <c r="T535" s="9"/>
      <c r="U535" s="9"/>
      <c r="V535" s="9"/>
      <c r="W535" s="9"/>
      <c r="X535" s="9"/>
    </row>
    <row r="536" spans="3:24">
      <c r="C536" s="9"/>
      <c r="D536" s="9"/>
      <c r="E536" s="9"/>
      <c r="F536" s="9"/>
      <c r="G536" s="9"/>
      <c r="H536" s="9"/>
      <c r="I536" s="9"/>
      <c r="J536" s="10"/>
      <c r="K536" s="9"/>
      <c r="L536" s="9"/>
      <c r="M536" s="9"/>
      <c r="N536" s="9"/>
      <c r="O536" s="9"/>
      <c r="P536" s="9"/>
      <c r="S536" s="9"/>
      <c r="T536" s="9"/>
      <c r="U536" s="9"/>
      <c r="V536" s="9"/>
      <c r="W536" s="9"/>
      <c r="X536" s="9"/>
    </row>
    <row r="537" spans="3:24">
      <c r="C537" s="9"/>
      <c r="D537" s="9"/>
      <c r="E537" s="9"/>
      <c r="F537" s="9"/>
      <c r="G537" s="9"/>
      <c r="H537" s="9"/>
      <c r="I537" s="9"/>
      <c r="J537" s="10"/>
      <c r="K537" s="9"/>
      <c r="L537" s="9"/>
      <c r="M537" s="9"/>
      <c r="N537" s="9"/>
      <c r="O537" s="9"/>
      <c r="P537" s="9"/>
      <c r="S537" s="9"/>
      <c r="T537" s="9"/>
      <c r="U537" s="9"/>
      <c r="V537" s="9"/>
      <c r="W537" s="9"/>
      <c r="X537" s="9"/>
    </row>
    <row r="538" spans="3:24">
      <c r="C538" s="9"/>
      <c r="D538" s="9"/>
      <c r="E538" s="9"/>
      <c r="F538" s="9"/>
      <c r="G538" s="9"/>
      <c r="H538" s="9"/>
      <c r="I538" s="9"/>
      <c r="J538" s="10"/>
      <c r="K538" s="9"/>
      <c r="L538" s="9"/>
      <c r="M538" s="9"/>
      <c r="N538" s="9"/>
      <c r="O538" s="9"/>
      <c r="P538" s="9"/>
      <c r="S538" s="9"/>
      <c r="T538" s="9"/>
      <c r="U538" s="9"/>
      <c r="V538" s="9"/>
      <c r="W538" s="9"/>
      <c r="X538" s="9"/>
    </row>
    <row r="539" spans="3:24">
      <c r="C539" s="9"/>
      <c r="D539" s="9"/>
      <c r="E539" s="9"/>
      <c r="F539" s="9"/>
      <c r="G539" s="9"/>
      <c r="H539" s="9"/>
      <c r="I539" s="9"/>
      <c r="J539" s="10"/>
      <c r="K539" s="9"/>
      <c r="L539" s="9"/>
      <c r="M539" s="9"/>
      <c r="N539" s="9"/>
      <c r="O539" s="9"/>
      <c r="P539" s="9"/>
      <c r="S539" s="9"/>
      <c r="T539" s="9"/>
      <c r="U539" s="9"/>
      <c r="V539" s="9"/>
      <c r="W539" s="9"/>
      <c r="X539" s="9"/>
    </row>
    <row r="540" spans="3:24">
      <c r="C540" s="9"/>
      <c r="D540" s="9"/>
      <c r="E540" s="9"/>
      <c r="F540" s="9"/>
      <c r="G540" s="9"/>
      <c r="H540" s="9"/>
      <c r="I540" s="9"/>
      <c r="J540" s="10"/>
      <c r="K540" s="9"/>
      <c r="L540" s="9"/>
      <c r="M540" s="9"/>
      <c r="N540" s="9"/>
      <c r="O540" s="9"/>
      <c r="P540" s="9"/>
      <c r="S540" s="9"/>
      <c r="T540" s="9"/>
      <c r="U540" s="9"/>
      <c r="V540" s="9"/>
      <c r="W540" s="9"/>
      <c r="X540" s="9"/>
    </row>
    <row r="541" spans="3:24">
      <c r="C541" s="9"/>
      <c r="D541" s="9"/>
      <c r="E541" s="9"/>
      <c r="F541" s="9"/>
      <c r="G541" s="9"/>
      <c r="H541" s="9"/>
      <c r="I541" s="9"/>
      <c r="J541" s="10"/>
      <c r="K541" s="9"/>
      <c r="L541" s="9"/>
      <c r="M541" s="9"/>
      <c r="N541" s="9"/>
      <c r="O541" s="9"/>
      <c r="P541" s="9"/>
      <c r="S541" s="9"/>
      <c r="T541" s="9"/>
      <c r="U541" s="9"/>
      <c r="V541" s="9"/>
      <c r="W541" s="9"/>
      <c r="X541" s="9"/>
    </row>
    <row r="542" spans="3:24">
      <c r="C542" s="9"/>
      <c r="D542" s="9"/>
      <c r="E542" s="9"/>
      <c r="F542" s="9"/>
      <c r="G542" s="9"/>
      <c r="H542" s="9"/>
      <c r="I542" s="9"/>
      <c r="J542" s="10"/>
      <c r="K542" s="9"/>
      <c r="L542" s="9"/>
      <c r="M542" s="9"/>
      <c r="N542" s="9"/>
      <c r="O542" s="9"/>
      <c r="P542" s="9"/>
      <c r="S542" s="9"/>
      <c r="T542" s="9"/>
      <c r="U542" s="9"/>
      <c r="V542" s="9"/>
      <c r="W542" s="9"/>
      <c r="X542" s="9"/>
    </row>
    <row r="543" spans="3:24">
      <c r="C543" s="9"/>
      <c r="D543" s="9"/>
      <c r="E543" s="9"/>
      <c r="F543" s="9"/>
      <c r="G543" s="9"/>
      <c r="H543" s="9"/>
      <c r="I543" s="9"/>
      <c r="J543" s="10"/>
      <c r="K543" s="9"/>
      <c r="L543" s="9"/>
      <c r="M543" s="9"/>
      <c r="N543" s="9"/>
      <c r="O543" s="9"/>
      <c r="P543" s="9"/>
      <c r="S543" s="9"/>
      <c r="T543" s="9"/>
      <c r="U543" s="9"/>
      <c r="V543" s="9"/>
      <c r="W543" s="9"/>
      <c r="X543" s="9"/>
    </row>
    <row r="544" spans="3:24">
      <c r="C544" s="9"/>
      <c r="D544" s="9"/>
      <c r="E544" s="9"/>
      <c r="F544" s="9"/>
      <c r="G544" s="9"/>
      <c r="H544" s="9"/>
      <c r="I544" s="9"/>
      <c r="J544" s="10"/>
      <c r="K544" s="9"/>
      <c r="L544" s="9"/>
      <c r="M544" s="9"/>
      <c r="N544" s="9"/>
      <c r="O544" s="9"/>
      <c r="P544" s="9"/>
      <c r="S544" s="9"/>
      <c r="T544" s="9"/>
      <c r="U544" s="9"/>
      <c r="V544" s="9"/>
      <c r="W544" s="9"/>
      <c r="X544" s="9"/>
    </row>
    <row r="545" spans="3:24">
      <c r="C545" s="9"/>
      <c r="D545" s="9"/>
      <c r="E545" s="9"/>
      <c r="F545" s="9"/>
      <c r="G545" s="9"/>
      <c r="H545" s="9"/>
      <c r="I545" s="9"/>
      <c r="J545" s="10"/>
      <c r="K545" s="9"/>
      <c r="L545" s="9"/>
      <c r="M545" s="9"/>
      <c r="N545" s="9"/>
      <c r="O545" s="9"/>
      <c r="P545" s="9"/>
      <c r="S545" s="9"/>
      <c r="T545" s="9"/>
      <c r="U545" s="9"/>
      <c r="V545" s="9"/>
      <c r="W545" s="9"/>
      <c r="X545" s="9"/>
    </row>
    <row r="546" spans="3:24">
      <c r="C546" s="9"/>
      <c r="D546" s="9"/>
      <c r="E546" s="9"/>
      <c r="F546" s="9"/>
      <c r="G546" s="9"/>
      <c r="H546" s="9"/>
      <c r="I546" s="9"/>
      <c r="J546" s="10"/>
      <c r="K546" s="9"/>
      <c r="L546" s="9"/>
      <c r="M546" s="9"/>
      <c r="N546" s="9"/>
      <c r="O546" s="9"/>
      <c r="P546" s="9"/>
      <c r="S546" s="9"/>
      <c r="T546" s="9"/>
      <c r="U546" s="9"/>
      <c r="V546" s="9"/>
      <c r="W546" s="9"/>
      <c r="X546" s="9"/>
    </row>
    <row r="547" spans="3:24">
      <c r="C547" s="9"/>
      <c r="D547" s="9"/>
      <c r="E547" s="9"/>
      <c r="F547" s="9"/>
      <c r="G547" s="9"/>
      <c r="H547" s="9"/>
      <c r="I547" s="9"/>
      <c r="J547" s="10"/>
      <c r="K547" s="9"/>
      <c r="L547" s="9"/>
      <c r="M547" s="9"/>
      <c r="N547" s="9"/>
      <c r="O547" s="9"/>
      <c r="P547" s="9"/>
      <c r="S547" s="9"/>
      <c r="T547" s="9"/>
      <c r="U547" s="9"/>
      <c r="V547" s="9"/>
      <c r="W547" s="9"/>
      <c r="X547" s="9"/>
    </row>
    <row r="548" spans="3:24">
      <c r="C548" s="9"/>
      <c r="D548" s="9"/>
      <c r="E548" s="9"/>
      <c r="F548" s="9"/>
      <c r="G548" s="9"/>
      <c r="H548" s="9"/>
      <c r="I548" s="9"/>
      <c r="J548" s="10"/>
      <c r="K548" s="9"/>
      <c r="L548" s="9"/>
      <c r="M548" s="9"/>
      <c r="N548" s="9"/>
      <c r="O548" s="9"/>
      <c r="P548" s="9"/>
      <c r="S548" s="9"/>
      <c r="T548" s="9"/>
      <c r="U548" s="9"/>
      <c r="V548" s="9"/>
      <c r="W548" s="9"/>
      <c r="X548" s="9"/>
    </row>
    <row r="549" spans="3:24">
      <c r="C549" s="9"/>
      <c r="D549" s="9"/>
      <c r="E549" s="9"/>
      <c r="F549" s="9"/>
      <c r="G549" s="9"/>
      <c r="H549" s="9"/>
      <c r="I549" s="9"/>
      <c r="J549" s="10"/>
      <c r="K549" s="9"/>
      <c r="L549" s="9"/>
      <c r="M549" s="9"/>
      <c r="N549" s="9"/>
      <c r="O549" s="9"/>
      <c r="P549" s="9"/>
      <c r="S549" s="9"/>
      <c r="T549" s="9"/>
      <c r="U549" s="9"/>
      <c r="V549" s="9"/>
      <c r="W549" s="9"/>
      <c r="X549" s="9"/>
    </row>
    <row r="550" spans="3:24">
      <c r="C550" s="9"/>
      <c r="D550" s="9"/>
      <c r="E550" s="9"/>
      <c r="F550" s="9"/>
      <c r="G550" s="9"/>
      <c r="H550" s="9"/>
      <c r="I550" s="9"/>
      <c r="J550" s="10"/>
      <c r="K550" s="9"/>
      <c r="L550" s="9"/>
      <c r="M550" s="9"/>
      <c r="N550" s="9"/>
      <c r="O550" s="9"/>
      <c r="P550" s="9"/>
      <c r="S550" s="9"/>
      <c r="T550" s="9"/>
      <c r="U550" s="9"/>
      <c r="V550" s="9"/>
      <c r="W550" s="9"/>
      <c r="X550" s="9"/>
    </row>
    <row r="551" spans="3:24">
      <c r="C551" s="9"/>
      <c r="D551" s="9"/>
      <c r="E551" s="9"/>
      <c r="F551" s="9"/>
      <c r="G551" s="9"/>
      <c r="H551" s="9"/>
      <c r="I551" s="9"/>
      <c r="J551" s="10"/>
      <c r="K551" s="9"/>
      <c r="L551" s="9"/>
      <c r="M551" s="9"/>
      <c r="N551" s="9"/>
      <c r="O551" s="9"/>
      <c r="P551" s="9"/>
      <c r="S551" s="9"/>
      <c r="T551" s="9"/>
      <c r="U551" s="9"/>
      <c r="V551" s="9"/>
      <c r="W551" s="9"/>
      <c r="X551" s="9"/>
    </row>
    <row r="552" spans="3:24">
      <c r="C552" s="9"/>
      <c r="D552" s="9"/>
      <c r="E552" s="9"/>
      <c r="F552" s="9"/>
      <c r="G552" s="9"/>
      <c r="H552" s="9"/>
      <c r="I552" s="9"/>
      <c r="J552" s="10"/>
      <c r="K552" s="9"/>
      <c r="L552" s="9"/>
      <c r="M552" s="9"/>
      <c r="N552" s="9"/>
      <c r="O552" s="9"/>
      <c r="P552" s="9"/>
      <c r="S552" s="9"/>
      <c r="T552" s="9"/>
      <c r="U552" s="9"/>
      <c r="V552" s="9"/>
      <c r="W552" s="9"/>
      <c r="X552" s="9"/>
    </row>
    <row r="553" spans="3:24">
      <c r="C553" s="9"/>
      <c r="D553" s="9"/>
      <c r="E553" s="9"/>
      <c r="F553" s="9"/>
      <c r="G553" s="9"/>
      <c r="H553" s="9"/>
      <c r="I553" s="9"/>
      <c r="J553" s="10"/>
      <c r="K553" s="9"/>
      <c r="L553" s="9"/>
      <c r="M553" s="9"/>
      <c r="N553" s="9"/>
      <c r="O553" s="9"/>
      <c r="P553" s="9"/>
      <c r="S553" s="9"/>
      <c r="T553" s="9"/>
      <c r="U553" s="9"/>
      <c r="V553" s="9"/>
      <c r="W553" s="9"/>
      <c r="X553" s="9"/>
    </row>
    <row r="554" spans="3:24">
      <c r="C554" s="9"/>
      <c r="D554" s="9"/>
      <c r="E554" s="9"/>
      <c r="F554" s="9"/>
      <c r="G554" s="9"/>
      <c r="H554" s="9"/>
      <c r="I554" s="9"/>
      <c r="J554" s="10"/>
      <c r="K554" s="9"/>
      <c r="L554" s="9"/>
      <c r="M554" s="9"/>
      <c r="N554" s="9"/>
      <c r="O554" s="9"/>
      <c r="P554" s="9"/>
      <c r="S554" s="9"/>
      <c r="T554" s="9"/>
      <c r="U554" s="9"/>
      <c r="V554" s="9"/>
      <c r="W554" s="9"/>
      <c r="X554" s="9"/>
    </row>
    <row r="555" spans="3:24">
      <c r="C555" s="9"/>
      <c r="D555" s="9"/>
      <c r="E555" s="9"/>
      <c r="F555" s="9"/>
      <c r="G555" s="9"/>
      <c r="H555" s="9"/>
      <c r="I555" s="9"/>
      <c r="J555" s="10"/>
      <c r="K555" s="9"/>
      <c r="L555" s="9"/>
      <c r="M555" s="9"/>
      <c r="N555" s="9"/>
      <c r="O555" s="9"/>
      <c r="P555" s="9"/>
      <c r="S555" s="9"/>
      <c r="T555" s="9"/>
      <c r="U555" s="9"/>
      <c r="V555" s="9"/>
      <c r="W555" s="9"/>
      <c r="X555" s="9"/>
    </row>
    <row r="556" spans="3:24">
      <c r="C556" s="9"/>
      <c r="D556" s="9"/>
      <c r="E556" s="9"/>
      <c r="F556" s="9"/>
      <c r="G556" s="9"/>
      <c r="H556" s="9"/>
      <c r="I556" s="9"/>
      <c r="J556" s="10"/>
      <c r="K556" s="9"/>
      <c r="L556" s="9"/>
      <c r="M556" s="9"/>
      <c r="N556" s="9"/>
      <c r="O556" s="9"/>
      <c r="P556" s="9"/>
      <c r="S556" s="9"/>
      <c r="T556" s="9"/>
      <c r="U556" s="9"/>
      <c r="V556" s="9"/>
      <c r="W556" s="9"/>
      <c r="X556" s="9"/>
    </row>
    <row r="557" spans="3:24">
      <c r="C557" s="9"/>
      <c r="D557" s="9"/>
      <c r="E557" s="9"/>
      <c r="F557" s="9"/>
      <c r="G557" s="9"/>
      <c r="H557" s="9"/>
      <c r="I557" s="9"/>
      <c r="J557" s="10"/>
      <c r="K557" s="9"/>
      <c r="L557" s="9"/>
      <c r="M557" s="9"/>
      <c r="N557" s="9"/>
      <c r="O557" s="9"/>
      <c r="P557" s="9"/>
      <c r="S557" s="9"/>
      <c r="T557" s="9"/>
      <c r="U557" s="9"/>
      <c r="V557" s="9"/>
      <c r="W557" s="9"/>
      <c r="X557" s="9"/>
    </row>
    <row r="558" spans="3:24">
      <c r="C558" s="9"/>
      <c r="D558" s="9"/>
      <c r="E558" s="9"/>
      <c r="F558" s="9"/>
      <c r="G558" s="9"/>
      <c r="H558" s="9"/>
      <c r="I558" s="9"/>
      <c r="J558" s="10"/>
      <c r="K558" s="9"/>
      <c r="L558" s="9"/>
      <c r="M558" s="9"/>
      <c r="N558" s="9"/>
      <c r="O558" s="9"/>
      <c r="P558" s="9"/>
      <c r="S558" s="9"/>
      <c r="T558" s="9"/>
      <c r="U558" s="9"/>
      <c r="V558" s="9"/>
      <c r="W558" s="9"/>
      <c r="X558" s="9"/>
    </row>
    <row r="559" spans="3:24">
      <c r="C559" s="9"/>
      <c r="D559" s="9"/>
      <c r="E559" s="9"/>
      <c r="F559" s="9"/>
      <c r="G559" s="9"/>
      <c r="H559" s="9"/>
      <c r="I559" s="9"/>
      <c r="J559" s="10"/>
      <c r="K559" s="9"/>
      <c r="L559" s="9"/>
      <c r="M559" s="9"/>
      <c r="N559" s="9"/>
      <c r="O559" s="9"/>
      <c r="P559" s="9"/>
      <c r="S559" s="9"/>
      <c r="T559" s="9"/>
      <c r="U559" s="9"/>
      <c r="V559" s="9"/>
      <c r="W559" s="9"/>
      <c r="X559" s="9"/>
    </row>
    <row r="560" spans="3:24">
      <c r="C560" s="9"/>
      <c r="D560" s="9"/>
      <c r="E560" s="9"/>
      <c r="F560" s="9"/>
      <c r="G560" s="9"/>
      <c r="H560" s="9"/>
      <c r="I560" s="9"/>
      <c r="J560" s="10"/>
      <c r="K560" s="9"/>
      <c r="L560" s="9"/>
      <c r="M560" s="9"/>
      <c r="N560" s="9"/>
      <c r="O560" s="9"/>
      <c r="P560" s="9"/>
      <c r="S560" s="9"/>
      <c r="T560" s="9"/>
      <c r="U560" s="9"/>
      <c r="V560" s="9"/>
      <c r="W560" s="9"/>
      <c r="X560" s="9"/>
    </row>
    <row r="561" spans="3:24">
      <c r="C561" s="9"/>
      <c r="D561" s="9"/>
      <c r="E561" s="9"/>
      <c r="F561" s="9"/>
      <c r="G561" s="9"/>
      <c r="H561" s="9"/>
      <c r="I561" s="9"/>
      <c r="J561" s="10"/>
      <c r="K561" s="9"/>
      <c r="L561" s="9"/>
      <c r="M561" s="9"/>
      <c r="N561" s="9"/>
      <c r="O561" s="9"/>
      <c r="P561" s="9"/>
      <c r="S561" s="9"/>
      <c r="T561" s="9"/>
      <c r="U561" s="9"/>
      <c r="V561" s="9"/>
      <c r="W561" s="9"/>
      <c r="X561" s="9"/>
    </row>
    <row r="562" spans="3:24">
      <c r="C562" s="9"/>
      <c r="D562" s="9"/>
      <c r="E562" s="9"/>
      <c r="F562" s="9"/>
      <c r="G562" s="9"/>
      <c r="H562" s="9"/>
      <c r="I562" s="9"/>
      <c r="J562" s="10"/>
      <c r="K562" s="9"/>
      <c r="L562" s="9"/>
      <c r="M562" s="9"/>
      <c r="N562" s="9"/>
      <c r="O562" s="9"/>
      <c r="P562" s="9"/>
      <c r="S562" s="9"/>
      <c r="T562" s="9"/>
      <c r="U562" s="9"/>
      <c r="V562" s="9"/>
      <c r="W562" s="9"/>
      <c r="X562" s="9"/>
    </row>
    <row r="563" spans="3:24">
      <c r="C563" s="9"/>
      <c r="D563" s="9"/>
      <c r="E563" s="9"/>
      <c r="F563" s="9"/>
      <c r="G563" s="9"/>
      <c r="H563" s="9"/>
      <c r="I563" s="9"/>
      <c r="J563" s="10"/>
      <c r="K563" s="9"/>
      <c r="L563" s="9"/>
      <c r="M563" s="9"/>
      <c r="N563" s="9"/>
      <c r="O563" s="9"/>
      <c r="P563" s="9"/>
      <c r="S563" s="9"/>
      <c r="T563" s="9"/>
      <c r="U563" s="9"/>
      <c r="V563" s="9"/>
      <c r="W563" s="9"/>
      <c r="X563" s="9"/>
    </row>
    <row r="564" spans="3:24">
      <c r="C564" s="9"/>
      <c r="D564" s="9"/>
      <c r="E564" s="9"/>
      <c r="F564" s="9"/>
      <c r="G564" s="9"/>
      <c r="H564" s="9"/>
      <c r="I564" s="9"/>
      <c r="J564" s="10"/>
      <c r="K564" s="9"/>
      <c r="L564" s="9"/>
      <c r="M564" s="9"/>
      <c r="N564" s="9"/>
      <c r="O564" s="9"/>
      <c r="P564" s="9"/>
      <c r="S564" s="9"/>
      <c r="T564" s="9"/>
      <c r="U564" s="9"/>
      <c r="V564" s="9"/>
      <c r="W564" s="9"/>
      <c r="X564" s="9"/>
    </row>
    <row r="565" spans="3:24">
      <c r="C565" s="9"/>
      <c r="D565" s="9"/>
      <c r="E565" s="9"/>
      <c r="F565" s="9"/>
      <c r="G565" s="9"/>
      <c r="H565" s="9"/>
      <c r="I565" s="9"/>
      <c r="J565" s="10"/>
      <c r="K565" s="9"/>
      <c r="L565" s="9"/>
      <c r="M565" s="9"/>
      <c r="N565" s="9"/>
      <c r="O565" s="9"/>
      <c r="P565" s="9"/>
      <c r="S565" s="9"/>
      <c r="T565" s="9"/>
      <c r="U565" s="9"/>
      <c r="V565" s="9"/>
      <c r="W565" s="9"/>
      <c r="X565" s="9"/>
    </row>
    <row r="566" spans="3:24">
      <c r="C566" s="9"/>
      <c r="D566" s="9"/>
      <c r="E566" s="9"/>
      <c r="F566" s="9"/>
      <c r="G566" s="9"/>
      <c r="H566" s="9"/>
      <c r="I566" s="9"/>
      <c r="J566" s="10"/>
      <c r="K566" s="9"/>
      <c r="L566" s="9"/>
      <c r="M566" s="9"/>
      <c r="N566" s="9"/>
      <c r="O566" s="9"/>
      <c r="P566" s="9"/>
      <c r="S566" s="9"/>
      <c r="T566" s="9"/>
      <c r="U566" s="9"/>
      <c r="V566" s="9"/>
      <c r="W566" s="9"/>
      <c r="X566" s="9"/>
    </row>
    <row r="567" spans="3:24">
      <c r="C567" s="9"/>
      <c r="D567" s="9"/>
      <c r="E567" s="9"/>
      <c r="F567" s="9"/>
      <c r="G567" s="9"/>
      <c r="H567" s="9"/>
      <c r="I567" s="9"/>
      <c r="J567" s="10"/>
      <c r="K567" s="9"/>
      <c r="L567" s="9"/>
      <c r="M567" s="9"/>
      <c r="N567" s="9"/>
      <c r="O567" s="9"/>
      <c r="P567" s="9"/>
      <c r="S567" s="9"/>
      <c r="T567" s="9"/>
      <c r="U567" s="9"/>
      <c r="V567" s="9"/>
      <c r="W567" s="9"/>
      <c r="X567" s="9"/>
    </row>
    <row r="568" spans="3:24">
      <c r="C568" s="9"/>
      <c r="D568" s="9"/>
      <c r="E568" s="9"/>
      <c r="F568" s="9"/>
      <c r="G568" s="9"/>
      <c r="H568" s="9"/>
      <c r="I568" s="9"/>
      <c r="J568" s="10"/>
      <c r="K568" s="9"/>
      <c r="L568" s="9"/>
      <c r="M568" s="9"/>
      <c r="N568" s="9"/>
      <c r="O568" s="9"/>
      <c r="P568" s="9"/>
      <c r="S568" s="9"/>
      <c r="T568" s="9"/>
      <c r="U568" s="9"/>
      <c r="V568" s="9"/>
      <c r="W568" s="9"/>
      <c r="X568" s="9"/>
    </row>
    <row r="569" spans="3:24">
      <c r="C569" s="9"/>
      <c r="D569" s="9"/>
      <c r="E569" s="9"/>
      <c r="F569" s="9"/>
      <c r="G569" s="9"/>
      <c r="H569" s="9"/>
      <c r="I569" s="9"/>
      <c r="J569" s="10"/>
      <c r="K569" s="9"/>
      <c r="L569" s="9"/>
      <c r="M569" s="9"/>
      <c r="N569" s="9"/>
      <c r="O569" s="9"/>
      <c r="P569" s="9"/>
      <c r="S569" s="9"/>
      <c r="T569" s="9"/>
      <c r="U569" s="9"/>
      <c r="V569" s="9"/>
      <c r="W569" s="9"/>
      <c r="X569" s="9"/>
    </row>
    <row r="570" spans="3:24">
      <c r="C570" s="9"/>
      <c r="D570" s="9"/>
      <c r="E570" s="9"/>
      <c r="F570" s="9"/>
      <c r="G570" s="9"/>
      <c r="H570" s="9"/>
      <c r="I570" s="9"/>
      <c r="J570" s="10"/>
      <c r="K570" s="9"/>
      <c r="L570" s="9"/>
      <c r="M570" s="9"/>
      <c r="N570" s="9"/>
      <c r="O570" s="9"/>
      <c r="P570" s="9"/>
      <c r="S570" s="9"/>
      <c r="T570" s="9"/>
      <c r="U570" s="9"/>
      <c r="V570" s="9"/>
      <c r="W570" s="9"/>
      <c r="X570" s="9"/>
    </row>
    <row r="571" spans="3:24">
      <c r="C571" s="9"/>
      <c r="D571" s="9"/>
      <c r="E571" s="9"/>
      <c r="F571" s="9"/>
      <c r="G571" s="9"/>
      <c r="H571" s="9"/>
      <c r="I571" s="9"/>
      <c r="J571" s="10"/>
      <c r="K571" s="9"/>
      <c r="L571" s="9"/>
      <c r="M571" s="9"/>
      <c r="N571" s="9"/>
      <c r="O571" s="9"/>
      <c r="P571" s="9"/>
      <c r="S571" s="9"/>
      <c r="T571" s="9"/>
      <c r="U571" s="9"/>
      <c r="V571" s="9"/>
      <c r="W571" s="9"/>
      <c r="X571" s="9"/>
    </row>
    <row r="572" spans="3:24">
      <c r="C572" s="9"/>
      <c r="D572" s="9"/>
      <c r="E572" s="9"/>
      <c r="F572" s="9"/>
      <c r="G572" s="9"/>
      <c r="H572" s="9"/>
      <c r="I572" s="9"/>
      <c r="J572" s="10"/>
      <c r="K572" s="9"/>
      <c r="L572" s="9"/>
      <c r="M572" s="9"/>
      <c r="N572" s="9"/>
      <c r="O572" s="9"/>
      <c r="P572" s="9"/>
      <c r="S572" s="9"/>
      <c r="T572" s="9"/>
      <c r="U572" s="9"/>
      <c r="V572" s="9"/>
      <c r="W572" s="9"/>
      <c r="X572" s="9"/>
    </row>
    <row r="573" spans="3:24">
      <c r="C573" s="9"/>
      <c r="D573" s="9"/>
      <c r="E573" s="9"/>
      <c r="F573" s="9"/>
      <c r="G573" s="9"/>
      <c r="H573" s="9"/>
      <c r="I573" s="9"/>
      <c r="J573" s="10"/>
      <c r="K573" s="9"/>
      <c r="L573" s="9"/>
      <c r="M573" s="9"/>
      <c r="N573" s="9"/>
      <c r="O573" s="9"/>
      <c r="P573" s="9"/>
      <c r="S573" s="9"/>
      <c r="T573" s="9"/>
      <c r="U573" s="9"/>
      <c r="V573" s="9"/>
      <c r="W573" s="9"/>
      <c r="X573" s="9"/>
    </row>
    <row r="574" spans="3:24">
      <c r="C574" s="9"/>
      <c r="D574" s="9"/>
      <c r="E574" s="9"/>
      <c r="F574" s="9"/>
      <c r="G574" s="9"/>
      <c r="H574" s="9"/>
      <c r="I574" s="9"/>
      <c r="J574" s="10"/>
      <c r="K574" s="9"/>
      <c r="L574" s="9"/>
      <c r="M574" s="9"/>
      <c r="N574" s="9"/>
      <c r="O574" s="9"/>
      <c r="P574" s="9"/>
      <c r="S574" s="9"/>
      <c r="T574" s="9"/>
      <c r="U574" s="9"/>
      <c r="V574" s="9"/>
      <c r="W574" s="9"/>
      <c r="X574" s="9"/>
    </row>
    <row r="575" spans="3:24">
      <c r="C575" s="9"/>
      <c r="D575" s="9"/>
      <c r="E575" s="9"/>
      <c r="F575" s="9"/>
      <c r="G575" s="9"/>
      <c r="H575" s="9"/>
      <c r="I575" s="9"/>
      <c r="J575" s="10"/>
      <c r="K575" s="9"/>
      <c r="L575" s="9"/>
      <c r="M575" s="9"/>
      <c r="N575" s="9"/>
      <c r="O575" s="9"/>
      <c r="P575" s="9"/>
      <c r="S575" s="9"/>
      <c r="T575" s="9"/>
      <c r="U575" s="9"/>
      <c r="V575" s="9"/>
      <c r="W575" s="9"/>
      <c r="X575" s="9"/>
    </row>
    <row r="576" spans="3:24">
      <c r="C576" s="9"/>
      <c r="D576" s="9"/>
      <c r="E576" s="9"/>
      <c r="F576" s="9"/>
      <c r="G576" s="9"/>
      <c r="H576" s="9"/>
      <c r="I576" s="9"/>
      <c r="J576" s="10"/>
      <c r="K576" s="9"/>
      <c r="L576" s="9"/>
      <c r="M576" s="9"/>
      <c r="N576" s="9"/>
      <c r="O576" s="9"/>
      <c r="P576" s="9"/>
      <c r="S576" s="9"/>
      <c r="T576" s="9"/>
      <c r="U576" s="9"/>
      <c r="V576" s="9"/>
      <c r="W576" s="9"/>
      <c r="X576" s="9"/>
    </row>
    <row r="577" spans="3:24">
      <c r="C577" s="9"/>
      <c r="D577" s="9"/>
      <c r="E577" s="9"/>
      <c r="F577" s="9"/>
      <c r="G577" s="9"/>
      <c r="H577" s="9"/>
      <c r="I577" s="9"/>
      <c r="J577" s="10"/>
      <c r="K577" s="9"/>
      <c r="L577" s="9"/>
      <c r="M577" s="9"/>
      <c r="N577" s="9"/>
      <c r="O577" s="9"/>
      <c r="P577" s="9"/>
      <c r="S577" s="9"/>
      <c r="T577" s="9"/>
      <c r="U577" s="9"/>
      <c r="V577" s="9"/>
      <c r="W577" s="9"/>
      <c r="X577" s="9"/>
    </row>
    <row r="578" spans="3:24">
      <c r="C578" s="9"/>
      <c r="D578" s="9"/>
      <c r="E578" s="9"/>
      <c r="F578" s="9"/>
      <c r="G578" s="9"/>
      <c r="H578" s="9"/>
      <c r="I578" s="9"/>
      <c r="J578" s="10"/>
      <c r="K578" s="9"/>
      <c r="L578" s="9"/>
      <c r="M578" s="9"/>
      <c r="N578" s="9"/>
      <c r="O578" s="9"/>
      <c r="P578" s="9"/>
      <c r="S578" s="9"/>
      <c r="T578" s="9"/>
      <c r="U578" s="9"/>
      <c r="V578" s="9"/>
      <c r="W578" s="9"/>
      <c r="X578" s="9"/>
    </row>
    <row r="579" spans="3:24">
      <c r="C579" s="9"/>
      <c r="D579" s="9"/>
      <c r="E579" s="9"/>
      <c r="F579" s="9"/>
      <c r="G579" s="9"/>
      <c r="H579" s="9"/>
      <c r="I579" s="9"/>
      <c r="J579" s="10"/>
      <c r="K579" s="9"/>
      <c r="L579" s="9"/>
      <c r="M579" s="9"/>
      <c r="N579" s="9"/>
      <c r="O579" s="9"/>
      <c r="P579" s="9"/>
      <c r="S579" s="9"/>
      <c r="T579" s="9"/>
      <c r="U579" s="9"/>
      <c r="V579" s="9"/>
      <c r="W579" s="9"/>
      <c r="X579" s="9"/>
    </row>
    <row r="580" spans="3:24">
      <c r="C580" s="9"/>
      <c r="D580" s="9"/>
      <c r="E580" s="9"/>
      <c r="F580" s="9"/>
      <c r="G580" s="9"/>
      <c r="H580" s="9"/>
      <c r="I580" s="9"/>
      <c r="J580" s="10"/>
      <c r="K580" s="9"/>
      <c r="L580" s="9"/>
      <c r="M580" s="9"/>
      <c r="N580" s="9"/>
      <c r="O580" s="9"/>
      <c r="P580" s="9"/>
      <c r="S580" s="9"/>
      <c r="T580" s="9"/>
      <c r="U580" s="9"/>
      <c r="V580" s="9"/>
      <c r="W580" s="9"/>
      <c r="X580" s="9"/>
    </row>
    <row r="581" spans="3:24">
      <c r="C581" s="9"/>
      <c r="D581" s="9"/>
      <c r="E581" s="9"/>
      <c r="F581" s="9"/>
      <c r="G581" s="9"/>
      <c r="H581" s="9"/>
      <c r="I581" s="9"/>
      <c r="J581" s="10"/>
      <c r="K581" s="9"/>
      <c r="L581" s="9"/>
      <c r="M581" s="9"/>
      <c r="N581" s="9"/>
      <c r="O581" s="9"/>
      <c r="P581" s="9"/>
      <c r="S581" s="9"/>
      <c r="T581" s="9"/>
      <c r="U581" s="9"/>
      <c r="V581" s="9"/>
      <c r="W581" s="9"/>
      <c r="X581" s="9"/>
    </row>
    <row r="582" spans="3:24">
      <c r="C582" s="9"/>
      <c r="D582" s="9"/>
      <c r="E582" s="9"/>
      <c r="F582" s="9"/>
      <c r="G582" s="9"/>
      <c r="H582" s="9"/>
      <c r="I582" s="9"/>
      <c r="J582" s="10"/>
      <c r="K582" s="9"/>
      <c r="L582" s="9"/>
      <c r="M582" s="9"/>
      <c r="N582" s="9"/>
      <c r="O582" s="9"/>
      <c r="P582" s="9"/>
      <c r="S582" s="9"/>
      <c r="T582" s="9"/>
      <c r="U582" s="9"/>
      <c r="V582" s="9"/>
      <c r="W582" s="9"/>
      <c r="X582" s="9"/>
    </row>
    <row r="583" spans="3:24">
      <c r="C583" s="9"/>
      <c r="D583" s="9"/>
      <c r="E583" s="9"/>
      <c r="F583" s="9"/>
      <c r="G583" s="9"/>
      <c r="H583" s="9"/>
      <c r="I583" s="9"/>
      <c r="J583" s="10"/>
      <c r="K583" s="9"/>
      <c r="L583" s="9"/>
      <c r="M583" s="9"/>
      <c r="N583" s="9"/>
      <c r="O583" s="9"/>
      <c r="P583" s="9"/>
      <c r="S583" s="9"/>
      <c r="T583" s="9"/>
      <c r="U583" s="9"/>
      <c r="V583" s="9"/>
      <c r="W583" s="9"/>
      <c r="X583" s="9"/>
    </row>
    <row r="584" spans="3:24">
      <c r="C584" s="9"/>
      <c r="D584" s="9"/>
      <c r="E584" s="9"/>
      <c r="F584" s="9"/>
      <c r="G584" s="9"/>
      <c r="H584" s="9"/>
      <c r="I584" s="9"/>
      <c r="J584" s="10"/>
      <c r="K584" s="9"/>
      <c r="L584" s="9"/>
      <c r="M584" s="9"/>
      <c r="N584" s="9"/>
      <c r="O584" s="9"/>
      <c r="P584" s="9"/>
      <c r="S584" s="9"/>
      <c r="T584" s="9"/>
      <c r="U584" s="9"/>
      <c r="V584" s="9"/>
      <c r="W584" s="9"/>
      <c r="X584" s="9"/>
    </row>
    <row r="585" spans="3:24">
      <c r="C585" s="9"/>
      <c r="D585" s="9"/>
      <c r="E585" s="9"/>
      <c r="F585" s="9"/>
      <c r="G585" s="9"/>
      <c r="H585" s="9"/>
      <c r="I585" s="9"/>
      <c r="J585" s="10"/>
      <c r="K585" s="9"/>
      <c r="L585" s="9"/>
      <c r="M585" s="9"/>
      <c r="N585" s="9"/>
      <c r="O585" s="9"/>
      <c r="P585" s="9"/>
      <c r="S585" s="9"/>
      <c r="T585" s="9"/>
      <c r="U585" s="9"/>
      <c r="V585" s="9"/>
      <c r="W585" s="9"/>
      <c r="X585" s="9"/>
    </row>
    <row r="586" spans="3:24">
      <c r="C586" s="9"/>
      <c r="D586" s="9"/>
      <c r="E586" s="9"/>
      <c r="F586" s="9"/>
      <c r="G586" s="9"/>
      <c r="H586" s="9"/>
      <c r="I586" s="9"/>
      <c r="J586" s="10"/>
      <c r="K586" s="9"/>
      <c r="L586" s="9"/>
      <c r="M586" s="9"/>
      <c r="N586" s="9"/>
      <c r="O586" s="9"/>
      <c r="P586" s="9"/>
      <c r="S586" s="9"/>
      <c r="T586" s="9"/>
      <c r="U586" s="9"/>
      <c r="V586" s="9"/>
      <c r="W586" s="9"/>
      <c r="X586" s="9"/>
    </row>
    <row r="587" spans="3:24">
      <c r="C587" s="9"/>
      <c r="D587" s="9"/>
      <c r="E587" s="9"/>
      <c r="F587" s="9"/>
      <c r="G587" s="9"/>
      <c r="H587" s="9"/>
      <c r="I587" s="9"/>
      <c r="J587" s="10"/>
      <c r="K587" s="9"/>
      <c r="L587" s="9"/>
      <c r="M587" s="9"/>
      <c r="N587" s="9"/>
      <c r="O587" s="9"/>
      <c r="P587" s="9"/>
      <c r="S587" s="9"/>
      <c r="T587" s="9"/>
      <c r="U587" s="9"/>
      <c r="V587" s="9"/>
      <c r="W587" s="9"/>
      <c r="X587" s="9"/>
    </row>
    <row r="588" spans="3:24">
      <c r="C588" s="9"/>
      <c r="D588" s="9"/>
      <c r="E588" s="9"/>
      <c r="F588" s="9"/>
      <c r="G588" s="9"/>
      <c r="H588" s="9"/>
      <c r="I588" s="9"/>
      <c r="J588" s="10"/>
      <c r="K588" s="9"/>
      <c r="L588" s="9"/>
      <c r="M588" s="9"/>
      <c r="N588" s="9"/>
      <c r="O588" s="9"/>
      <c r="P588" s="9"/>
      <c r="S588" s="9"/>
      <c r="T588" s="9"/>
      <c r="U588" s="9"/>
      <c r="V588" s="9"/>
      <c r="W588" s="9"/>
      <c r="X588" s="9"/>
    </row>
    <row r="589" spans="3:24">
      <c r="C589" s="9"/>
      <c r="D589" s="9"/>
      <c r="E589" s="9"/>
      <c r="F589" s="9"/>
      <c r="G589" s="9"/>
      <c r="H589" s="9"/>
      <c r="I589" s="9"/>
      <c r="J589" s="10"/>
      <c r="K589" s="9"/>
      <c r="L589" s="9"/>
      <c r="M589" s="9"/>
      <c r="N589" s="9"/>
      <c r="O589" s="9"/>
      <c r="P589" s="9"/>
      <c r="S589" s="9"/>
      <c r="T589" s="9"/>
      <c r="U589" s="9"/>
      <c r="V589" s="9"/>
      <c r="W589" s="9"/>
      <c r="X589" s="9"/>
    </row>
    <row r="590" spans="3:24">
      <c r="C590" s="9"/>
      <c r="D590" s="9"/>
      <c r="E590" s="9"/>
      <c r="F590" s="9"/>
      <c r="G590" s="9"/>
      <c r="H590" s="9"/>
      <c r="I590" s="9"/>
      <c r="J590" s="10"/>
      <c r="K590" s="9"/>
      <c r="L590" s="9"/>
      <c r="M590" s="9"/>
      <c r="N590" s="9"/>
      <c r="O590" s="9"/>
      <c r="P590" s="9"/>
      <c r="S590" s="9"/>
      <c r="T590" s="9"/>
      <c r="U590" s="9"/>
      <c r="V590" s="9"/>
      <c r="W590" s="9"/>
      <c r="X590" s="9"/>
    </row>
    <row r="591" spans="3:24">
      <c r="C591" s="9"/>
      <c r="D591" s="9"/>
      <c r="E591" s="9"/>
      <c r="F591" s="9"/>
      <c r="G591" s="9"/>
      <c r="H591" s="9"/>
      <c r="I591" s="9"/>
      <c r="J591" s="10"/>
      <c r="K591" s="9"/>
      <c r="L591" s="9"/>
      <c r="M591" s="9"/>
      <c r="N591" s="9"/>
      <c r="O591" s="9"/>
      <c r="P591" s="9"/>
      <c r="S591" s="9"/>
      <c r="T591" s="9"/>
      <c r="U591" s="9"/>
      <c r="V591" s="9"/>
      <c r="W591" s="9"/>
      <c r="X591" s="9"/>
    </row>
    <row r="592" spans="3:24">
      <c r="C592" s="9"/>
      <c r="D592" s="9"/>
      <c r="E592" s="9"/>
      <c r="F592" s="9"/>
      <c r="G592" s="9"/>
      <c r="H592" s="9"/>
      <c r="I592" s="9"/>
      <c r="J592" s="10"/>
      <c r="K592" s="9"/>
      <c r="L592" s="9"/>
      <c r="M592" s="9"/>
      <c r="N592" s="9"/>
      <c r="O592" s="9"/>
      <c r="P592" s="9"/>
      <c r="S592" s="9"/>
      <c r="T592" s="9"/>
      <c r="U592" s="9"/>
      <c r="V592" s="9"/>
      <c r="W592" s="9"/>
      <c r="X592" s="9"/>
    </row>
    <row r="593" spans="3:24">
      <c r="C593" s="9"/>
      <c r="D593" s="9"/>
      <c r="E593" s="9"/>
      <c r="F593" s="9"/>
      <c r="G593" s="9"/>
      <c r="H593" s="9"/>
      <c r="I593" s="9"/>
      <c r="J593" s="10"/>
      <c r="K593" s="9"/>
      <c r="L593" s="9"/>
      <c r="M593" s="9"/>
      <c r="N593" s="9"/>
      <c r="O593" s="9"/>
      <c r="P593" s="9"/>
      <c r="S593" s="9"/>
      <c r="T593" s="9"/>
      <c r="U593" s="9"/>
      <c r="V593" s="9"/>
      <c r="W593" s="9"/>
      <c r="X593" s="9"/>
    </row>
    <row r="594" spans="3:24">
      <c r="C594" s="9"/>
      <c r="D594" s="9"/>
      <c r="E594" s="9"/>
      <c r="F594" s="9"/>
      <c r="G594" s="9"/>
      <c r="H594" s="9"/>
      <c r="I594" s="9"/>
      <c r="J594" s="10"/>
      <c r="K594" s="9"/>
      <c r="L594" s="9"/>
      <c r="M594" s="9"/>
      <c r="N594" s="9"/>
      <c r="O594" s="9"/>
      <c r="P594" s="9"/>
      <c r="S594" s="9"/>
      <c r="T594" s="9"/>
      <c r="U594" s="9"/>
      <c r="V594" s="9"/>
      <c r="W594" s="9"/>
      <c r="X594" s="9"/>
    </row>
    <row r="595" spans="3:24">
      <c r="C595" s="9"/>
      <c r="D595" s="9"/>
      <c r="E595" s="9"/>
      <c r="F595" s="9"/>
      <c r="G595" s="9"/>
      <c r="H595" s="9"/>
      <c r="I595" s="9"/>
      <c r="J595" s="10"/>
      <c r="K595" s="9"/>
      <c r="L595" s="9"/>
      <c r="M595" s="9"/>
      <c r="N595" s="9"/>
      <c r="O595" s="9"/>
      <c r="P595" s="9"/>
      <c r="S595" s="9"/>
      <c r="T595" s="9"/>
      <c r="U595" s="9"/>
      <c r="V595" s="9"/>
      <c r="W595" s="9"/>
      <c r="X595" s="9"/>
    </row>
    <row r="596" spans="3:24">
      <c r="C596" s="9"/>
      <c r="D596" s="9"/>
      <c r="E596" s="9"/>
      <c r="F596" s="9"/>
      <c r="G596" s="9"/>
      <c r="H596" s="9"/>
      <c r="I596" s="9"/>
      <c r="J596" s="10"/>
      <c r="K596" s="9"/>
      <c r="L596" s="9"/>
      <c r="M596" s="9"/>
      <c r="N596" s="9"/>
      <c r="O596" s="9"/>
      <c r="P596" s="9"/>
      <c r="S596" s="9"/>
      <c r="T596" s="9"/>
      <c r="U596" s="9"/>
      <c r="V596" s="9"/>
      <c r="W596" s="9"/>
      <c r="X596" s="9"/>
    </row>
    <row r="597" spans="3:24">
      <c r="C597" s="9"/>
      <c r="D597" s="9"/>
      <c r="E597" s="9"/>
      <c r="F597" s="9"/>
      <c r="G597" s="9"/>
      <c r="H597" s="9"/>
      <c r="I597" s="9"/>
      <c r="J597" s="10"/>
      <c r="K597" s="9"/>
      <c r="L597" s="9"/>
      <c r="M597" s="9"/>
      <c r="N597" s="9"/>
      <c r="O597" s="9"/>
      <c r="P597" s="9"/>
      <c r="S597" s="9"/>
      <c r="T597" s="9"/>
      <c r="U597" s="9"/>
      <c r="V597" s="9"/>
      <c r="W597" s="9"/>
      <c r="X597" s="9"/>
    </row>
    <row r="598" spans="3:24">
      <c r="C598" s="9"/>
      <c r="D598" s="9"/>
      <c r="E598" s="9"/>
      <c r="F598" s="9"/>
      <c r="G598" s="9"/>
      <c r="H598" s="9"/>
      <c r="I598" s="9"/>
      <c r="J598" s="10"/>
      <c r="K598" s="9"/>
      <c r="L598" s="9"/>
      <c r="M598" s="9"/>
      <c r="N598" s="9"/>
      <c r="O598" s="9"/>
      <c r="P598" s="9"/>
      <c r="S598" s="9"/>
      <c r="T598" s="9"/>
      <c r="U598" s="9"/>
      <c r="V598" s="9"/>
      <c r="W598" s="9"/>
      <c r="X598" s="9"/>
    </row>
    <row r="599" spans="3:24">
      <c r="C599" s="9"/>
      <c r="D599" s="9"/>
      <c r="E599" s="9"/>
      <c r="F599" s="9"/>
      <c r="G599" s="9"/>
      <c r="H599" s="9"/>
      <c r="I599" s="9"/>
      <c r="J599" s="10"/>
      <c r="K599" s="9"/>
      <c r="L599" s="9"/>
      <c r="M599" s="9"/>
      <c r="N599" s="9"/>
      <c r="O599" s="9"/>
      <c r="P599" s="9"/>
      <c r="S599" s="9"/>
      <c r="T599" s="9"/>
      <c r="U599" s="9"/>
      <c r="V599" s="9"/>
      <c r="W599" s="9"/>
      <c r="X599" s="9"/>
    </row>
    <row r="600" spans="3:24">
      <c r="C600" s="9"/>
      <c r="D600" s="9"/>
      <c r="E600" s="9"/>
      <c r="F600" s="9"/>
      <c r="G600" s="9"/>
      <c r="H600" s="9"/>
      <c r="I600" s="9"/>
      <c r="J600" s="10"/>
      <c r="K600" s="9"/>
      <c r="L600" s="9"/>
      <c r="M600" s="9"/>
      <c r="N600" s="9"/>
      <c r="O600" s="9"/>
      <c r="P600" s="9"/>
      <c r="S600" s="9"/>
      <c r="T600" s="9"/>
      <c r="U600" s="9"/>
      <c r="V600" s="9"/>
      <c r="W600" s="9"/>
      <c r="X600" s="9"/>
    </row>
    <row r="601" spans="3:24">
      <c r="C601" s="9"/>
      <c r="D601" s="9"/>
      <c r="E601" s="9"/>
      <c r="F601" s="9"/>
      <c r="G601" s="9"/>
      <c r="H601" s="9"/>
      <c r="I601" s="9"/>
      <c r="J601" s="10"/>
      <c r="K601" s="9"/>
      <c r="L601" s="9"/>
      <c r="M601" s="9"/>
      <c r="N601" s="9"/>
      <c r="O601" s="9"/>
      <c r="P601" s="9"/>
      <c r="S601" s="9"/>
      <c r="T601" s="9"/>
      <c r="U601" s="9"/>
      <c r="V601" s="9"/>
      <c r="W601" s="9"/>
      <c r="X601" s="9"/>
    </row>
    <row r="602" spans="3:24">
      <c r="C602" s="9"/>
      <c r="D602" s="9"/>
      <c r="E602" s="9"/>
      <c r="F602" s="9"/>
      <c r="G602" s="9"/>
      <c r="H602" s="9"/>
      <c r="I602" s="9"/>
      <c r="J602" s="10"/>
      <c r="K602" s="9"/>
      <c r="L602" s="9"/>
      <c r="M602" s="9"/>
      <c r="N602" s="9"/>
      <c r="O602" s="9"/>
      <c r="P602" s="9"/>
      <c r="S602" s="9"/>
      <c r="T602" s="9"/>
      <c r="U602" s="9"/>
      <c r="V602" s="9"/>
      <c r="W602" s="9"/>
      <c r="X602" s="9"/>
    </row>
    <row r="603" spans="3:24">
      <c r="C603" s="9"/>
      <c r="D603" s="9"/>
      <c r="E603" s="9"/>
      <c r="F603" s="9"/>
      <c r="G603" s="9"/>
      <c r="H603" s="9"/>
      <c r="I603" s="9"/>
      <c r="J603" s="10"/>
      <c r="K603" s="9"/>
      <c r="L603" s="9"/>
      <c r="M603" s="9"/>
      <c r="N603" s="9"/>
      <c r="O603" s="9"/>
      <c r="P603" s="9"/>
      <c r="S603" s="9"/>
      <c r="T603" s="9"/>
      <c r="U603" s="9"/>
      <c r="V603" s="9"/>
      <c r="W603" s="9"/>
      <c r="X603" s="9"/>
    </row>
    <row r="604" spans="3:24">
      <c r="C604" s="9"/>
      <c r="D604" s="9"/>
      <c r="E604" s="9"/>
      <c r="F604" s="9"/>
      <c r="G604" s="9"/>
      <c r="H604" s="9"/>
      <c r="I604" s="9"/>
      <c r="J604" s="10"/>
      <c r="K604" s="9"/>
      <c r="L604" s="9"/>
      <c r="M604" s="9"/>
      <c r="N604" s="9"/>
      <c r="O604" s="9"/>
      <c r="P604" s="9"/>
      <c r="S604" s="9"/>
      <c r="T604" s="9"/>
      <c r="U604" s="9"/>
      <c r="V604" s="9"/>
      <c r="W604" s="9"/>
      <c r="X604" s="9"/>
    </row>
    <row r="605" spans="3:24">
      <c r="C605" s="9"/>
      <c r="D605" s="9"/>
      <c r="E605" s="9"/>
      <c r="F605" s="9"/>
      <c r="G605" s="9"/>
      <c r="H605" s="9"/>
      <c r="I605" s="9"/>
      <c r="J605" s="10"/>
      <c r="K605" s="9"/>
      <c r="L605" s="9"/>
      <c r="M605" s="9"/>
      <c r="N605" s="9"/>
      <c r="O605" s="9"/>
      <c r="P605" s="9"/>
      <c r="S605" s="9"/>
      <c r="T605" s="9"/>
      <c r="U605" s="9"/>
      <c r="V605" s="9"/>
      <c r="W605" s="9"/>
      <c r="X605" s="9"/>
    </row>
    <row r="606" spans="3:24">
      <c r="C606" s="9"/>
      <c r="D606" s="9"/>
      <c r="E606" s="9"/>
      <c r="F606" s="9"/>
      <c r="G606" s="9"/>
      <c r="H606" s="9"/>
      <c r="I606" s="9"/>
      <c r="J606" s="10"/>
      <c r="K606" s="9"/>
      <c r="L606" s="9"/>
      <c r="M606" s="9"/>
      <c r="N606" s="9"/>
      <c r="O606" s="9"/>
      <c r="P606" s="9"/>
      <c r="S606" s="9"/>
      <c r="T606" s="9"/>
      <c r="U606" s="9"/>
      <c r="V606" s="9"/>
      <c r="W606" s="9"/>
      <c r="X606" s="9"/>
    </row>
    <row r="607" spans="3:24">
      <c r="C607" s="9"/>
      <c r="D607" s="9"/>
      <c r="E607" s="9"/>
      <c r="F607" s="9"/>
      <c r="G607" s="9"/>
      <c r="H607" s="9"/>
      <c r="I607" s="9"/>
      <c r="J607" s="10"/>
      <c r="K607" s="9"/>
      <c r="L607" s="9"/>
      <c r="M607" s="9"/>
      <c r="N607" s="9"/>
      <c r="O607" s="9"/>
      <c r="P607" s="9"/>
      <c r="S607" s="9"/>
      <c r="T607" s="9"/>
      <c r="U607" s="9"/>
      <c r="V607" s="9"/>
      <c r="W607" s="9"/>
      <c r="X607" s="9"/>
    </row>
    <row r="608" spans="3:24">
      <c r="C608" s="9"/>
      <c r="D608" s="9"/>
      <c r="E608" s="9"/>
      <c r="F608" s="9"/>
      <c r="G608" s="9"/>
      <c r="H608" s="9"/>
      <c r="I608" s="9"/>
      <c r="J608" s="10"/>
      <c r="K608" s="9"/>
      <c r="L608" s="9"/>
      <c r="M608" s="9"/>
      <c r="N608" s="9"/>
      <c r="O608" s="9"/>
      <c r="P608" s="9"/>
      <c r="S608" s="9"/>
      <c r="T608" s="9"/>
      <c r="U608" s="9"/>
      <c r="V608" s="9"/>
      <c r="W608" s="9"/>
      <c r="X608" s="9"/>
    </row>
    <row r="609" spans="3:24">
      <c r="C609" s="9"/>
      <c r="D609" s="9"/>
      <c r="E609" s="9"/>
      <c r="F609" s="9"/>
      <c r="G609" s="9"/>
      <c r="H609" s="9"/>
      <c r="I609" s="9"/>
      <c r="J609" s="10"/>
      <c r="K609" s="9"/>
      <c r="L609" s="9"/>
      <c r="M609" s="9"/>
      <c r="N609" s="9"/>
      <c r="O609" s="9"/>
      <c r="P609" s="9"/>
      <c r="S609" s="9"/>
      <c r="T609" s="9"/>
      <c r="U609" s="9"/>
      <c r="V609" s="9"/>
      <c r="W609" s="9"/>
      <c r="X609" s="9"/>
    </row>
    <row r="610" spans="3:24">
      <c r="C610" s="9"/>
      <c r="D610" s="9"/>
      <c r="E610" s="9"/>
      <c r="F610" s="9"/>
      <c r="G610" s="9"/>
      <c r="H610" s="9"/>
      <c r="I610" s="9"/>
      <c r="J610" s="10"/>
      <c r="K610" s="9"/>
      <c r="L610" s="9"/>
      <c r="M610" s="9"/>
      <c r="N610" s="9"/>
      <c r="O610" s="9"/>
      <c r="P610" s="9"/>
      <c r="S610" s="9"/>
      <c r="T610" s="9"/>
      <c r="U610" s="9"/>
      <c r="V610" s="9"/>
      <c r="W610" s="9"/>
      <c r="X610" s="9"/>
    </row>
    <row r="611" spans="3:24">
      <c r="C611" s="9"/>
      <c r="D611" s="9"/>
      <c r="E611" s="9"/>
      <c r="F611" s="9"/>
      <c r="G611" s="9"/>
      <c r="H611" s="9"/>
      <c r="I611" s="9"/>
      <c r="J611" s="10"/>
      <c r="K611" s="9"/>
      <c r="L611" s="9"/>
      <c r="M611" s="9"/>
      <c r="N611" s="9"/>
      <c r="O611" s="9"/>
      <c r="P611" s="9"/>
      <c r="S611" s="9"/>
      <c r="T611" s="9"/>
      <c r="U611" s="9"/>
      <c r="V611" s="9"/>
      <c r="W611" s="9"/>
      <c r="X611" s="9"/>
    </row>
    <row r="612" spans="3:24">
      <c r="C612" s="9"/>
      <c r="D612" s="9"/>
      <c r="E612" s="9"/>
      <c r="F612" s="9"/>
      <c r="G612" s="9"/>
      <c r="H612" s="9"/>
      <c r="I612" s="9"/>
      <c r="J612" s="10"/>
      <c r="K612" s="9"/>
      <c r="L612" s="9"/>
      <c r="M612" s="9"/>
      <c r="N612" s="9"/>
      <c r="O612" s="9"/>
      <c r="P612" s="9"/>
      <c r="S612" s="9"/>
      <c r="T612" s="9"/>
      <c r="U612" s="9"/>
      <c r="V612" s="9"/>
      <c r="W612" s="9"/>
      <c r="X612" s="9"/>
    </row>
    <row r="613" spans="3:24">
      <c r="C613" s="9"/>
      <c r="D613" s="9"/>
      <c r="E613" s="9"/>
      <c r="F613" s="9"/>
      <c r="G613" s="9"/>
      <c r="H613" s="9"/>
      <c r="I613" s="9"/>
      <c r="J613" s="10"/>
      <c r="K613" s="9"/>
      <c r="L613" s="9"/>
      <c r="M613" s="9"/>
      <c r="N613" s="9"/>
      <c r="O613" s="9"/>
      <c r="P613" s="9"/>
      <c r="S613" s="9"/>
      <c r="T613" s="9"/>
      <c r="U613" s="9"/>
      <c r="V613" s="9"/>
      <c r="W613" s="9"/>
      <c r="X613" s="9"/>
    </row>
    <row r="614" spans="3:24">
      <c r="C614" s="9"/>
      <c r="D614" s="9"/>
      <c r="E614" s="9"/>
      <c r="F614" s="9"/>
      <c r="G614" s="9"/>
      <c r="H614" s="9"/>
      <c r="I614" s="9"/>
      <c r="J614" s="10"/>
      <c r="K614" s="9"/>
      <c r="L614" s="9"/>
      <c r="M614" s="9"/>
      <c r="N614" s="9"/>
      <c r="O614" s="9"/>
      <c r="P614" s="9"/>
      <c r="S614" s="9"/>
      <c r="T614" s="9"/>
      <c r="U614" s="9"/>
      <c r="V614" s="9"/>
      <c r="W614" s="9"/>
      <c r="X614" s="9"/>
    </row>
    <row r="615" spans="3:24">
      <c r="C615" s="9"/>
      <c r="D615" s="9"/>
      <c r="E615" s="9"/>
      <c r="F615" s="9"/>
      <c r="G615" s="9"/>
      <c r="H615" s="9"/>
      <c r="I615" s="9"/>
      <c r="J615" s="10"/>
      <c r="K615" s="9"/>
      <c r="L615" s="9"/>
      <c r="M615" s="9"/>
      <c r="N615" s="9"/>
      <c r="O615" s="9"/>
      <c r="P615" s="9"/>
      <c r="S615" s="9"/>
      <c r="T615" s="9"/>
      <c r="U615" s="9"/>
      <c r="V615" s="9"/>
      <c r="W615" s="9"/>
      <c r="X615" s="9"/>
    </row>
    <row r="616" spans="3:24">
      <c r="C616" s="9"/>
      <c r="D616" s="9"/>
      <c r="E616" s="9"/>
      <c r="F616" s="9"/>
      <c r="G616" s="9"/>
      <c r="H616" s="9"/>
      <c r="I616" s="9"/>
      <c r="J616" s="10"/>
      <c r="K616" s="9"/>
      <c r="L616" s="9"/>
      <c r="M616" s="9"/>
      <c r="N616" s="9"/>
      <c r="O616" s="9"/>
      <c r="P616" s="9"/>
      <c r="S616" s="9"/>
      <c r="T616" s="9"/>
      <c r="U616" s="9"/>
      <c r="V616" s="9"/>
      <c r="W616" s="9"/>
      <c r="X616" s="9"/>
    </row>
    <row r="617" spans="3:24">
      <c r="C617" s="9"/>
      <c r="D617" s="9"/>
      <c r="E617" s="9"/>
      <c r="F617" s="9"/>
      <c r="G617" s="9"/>
      <c r="H617" s="9"/>
      <c r="I617" s="9"/>
      <c r="J617" s="10"/>
      <c r="K617" s="9"/>
      <c r="L617" s="9"/>
      <c r="M617" s="9"/>
      <c r="N617" s="9"/>
      <c r="O617" s="9"/>
      <c r="P617" s="9"/>
      <c r="S617" s="9"/>
      <c r="T617" s="9"/>
      <c r="U617" s="9"/>
      <c r="V617" s="9"/>
      <c r="W617" s="9"/>
      <c r="X617" s="9"/>
    </row>
    <row r="618" spans="3:24">
      <c r="C618" s="9"/>
      <c r="D618" s="9"/>
      <c r="E618" s="9"/>
      <c r="F618" s="9"/>
      <c r="G618" s="9"/>
      <c r="H618" s="9"/>
      <c r="I618" s="9"/>
      <c r="J618" s="10"/>
      <c r="K618" s="9"/>
      <c r="L618" s="9"/>
      <c r="M618" s="9"/>
      <c r="N618" s="9"/>
      <c r="O618" s="9"/>
      <c r="P618" s="9"/>
      <c r="S618" s="9"/>
      <c r="T618" s="9"/>
      <c r="U618" s="9"/>
      <c r="V618" s="9"/>
      <c r="W618" s="9"/>
      <c r="X618" s="9"/>
    </row>
    <row r="619" spans="3:24">
      <c r="C619" s="9"/>
      <c r="D619" s="9"/>
      <c r="E619" s="9"/>
      <c r="F619" s="9"/>
      <c r="G619" s="9"/>
      <c r="H619" s="9"/>
      <c r="I619" s="9"/>
      <c r="J619" s="10"/>
      <c r="K619" s="9"/>
      <c r="L619" s="9"/>
      <c r="M619" s="9"/>
      <c r="N619" s="9"/>
      <c r="O619" s="9"/>
      <c r="P619" s="9"/>
      <c r="S619" s="9"/>
      <c r="T619" s="9"/>
      <c r="U619" s="9"/>
      <c r="V619" s="9"/>
      <c r="W619" s="9"/>
      <c r="X619" s="9"/>
    </row>
    <row r="620" spans="3:24">
      <c r="C620" s="9"/>
      <c r="D620" s="9"/>
      <c r="E620" s="9"/>
      <c r="F620" s="9"/>
      <c r="G620" s="9"/>
      <c r="H620" s="9"/>
      <c r="I620" s="9"/>
      <c r="J620" s="10"/>
      <c r="K620" s="9"/>
      <c r="L620" s="9"/>
      <c r="M620" s="9"/>
      <c r="N620" s="9"/>
      <c r="O620" s="9"/>
      <c r="P620" s="9"/>
      <c r="S620" s="9"/>
      <c r="T620" s="9"/>
      <c r="U620" s="9"/>
      <c r="V620" s="9"/>
      <c r="W620" s="9"/>
      <c r="X620" s="9"/>
    </row>
    <row r="621" spans="3:24">
      <c r="C621" s="9"/>
      <c r="D621" s="9"/>
      <c r="E621" s="9"/>
      <c r="F621" s="9"/>
      <c r="G621" s="9"/>
      <c r="H621" s="9"/>
      <c r="I621" s="9"/>
      <c r="J621" s="10"/>
      <c r="K621" s="9"/>
      <c r="L621" s="9"/>
      <c r="M621" s="9"/>
      <c r="N621" s="9"/>
      <c r="O621" s="9"/>
      <c r="P621" s="9"/>
      <c r="S621" s="9"/>
      <c r="T621" s="9"/>
      <c r="U621" s="9"/>
      <c r="V621" s="9"/>
      <c r="W621" s="9"/>
      <c r="X621" s="9"/>
    </row>
    <row r="622" spans="3:24">
      <c r="C622" s="9"/>
      <c r="D622" s="9"/>
      <c r="E622" s="9"/>
      <c r="F622" s="9"/>
      <c r="G622" s="9"/>
      <c r="H622" s="9"/>
      <c r="I622" s="9"/>
      <c r="J622" s="10"/>
      <c r="K622" s="9"/>
      <c r="L622" s="9"/>
      <c r="M622" s="9"/>
      <c r="N622" s="9"/>
      <c r="O622" s="9"/>
      <c r="P622" s="9"/>
      <c r="S622" s="9"/>
      <c r="T622" s="9"/>
      <c r="U622" s="9"/>
      <c r="V622" s="9"/>
      <c r="W622" s="9"/>
      <c r="X622" s="9"/>
    </row>
    <row r="623" spans="3:24">
      <c r="C623" s="9"/>
      <c r="D623" s="9"/>
      <c r="E623" s="9"/>
      <c r="F623" s="9"/>
      <c r="G623" s="9"/>
      <c r="H623" s="9"/>
      <c r="I623" s="9"/>
      <c r="J623" s="10"/>
      <c r="K623" s="9"/>
      <c r="L623" s="9"/>
      <c r="M623" s="9"/>
      <c r="N623" s="9"/>
      <c r="O623" s="9"/>
      <c r="P623" s="9"/>
      <c r="S623" s="9"/>
      <c r="T623" s="9"/>
      <c r="U623" s="9"/>
      <c r="V623" s="9"/>
      <c r="W623" s="9"/>
      <c r="X623" s="9"/>
    </row>
    <row r="624" spans="3:24">
      <c r="C624" s="9"/>
      <c r="D624" s="9"/>
      <c r="E624" s="9"/>
      <c r="F624" s="9"/>
      <c r="G624" s="9"/>
      <c r="H624" s="9"/>
      <c r="I624" s="9"/>
      <c r="J624" s="10"/>
      <c r="K624" s="9"/>
      <c r="L624" s="9"/>
      <c r="M624" s="9"/>
      <c r="N624" s="9"/>
      <c r="O624" s="9"/>
      <c r="P624" s="9"/>
      <c r="S624" s="9"/>
      <c r="T624" s="9"/>
      <c r="U624" s="9"/>
      <c r="V624" s="9"/>
      <c r="W624" s="9"/>
      <c r="X624" s="9"/>
    </row>
    <row r="625" spans="3:24">
      <c r="C625" s="9"/>
      <c r="D625" s="9"/>
      <c r="E625" s="9"/>
      <c r="F625" s="9"/>
      <c r="G625" s="9"/>
      <c r="H625" s="9"/>
      <c r="I625" s="9"/>
      <c r="J625" s="10"/>
      <c r="K625" s="9"/>
      <c r="L625" s="9"/>
      <c r="M625" s="9"/>
      <c r="N625" s="9"/>
      <c r="O625" s="9"/>
      <c r="P625" s="9"/>
      <c r="S625" s="9"/>
      <c r="T625" s="9"/>
      <c r="U625" s="9"/>
      <c r="V625" s="9"/>
      <c r="W625" s="9"/>
      <c r="X625" s="9"/>
    </row>
    <row r="626" spans="3:24">
      <c r="C626" s="9"/>
      <c r="D626" s="9"/>
      <c r="E626" s="9"/>
      <c r="F626" s="9"/>
      <c r="G626" s="9"/>
      <c r="H626" s="9"/>
      <c r="I626" s="9"/>
      <c r="J626" s="10"/>
      <c r="K626" s="9"/>
      <c r="L626" s="9"/>
      <c r="M626" s="9"/>
      <c r="N626" s="9"/>
      <c r="O626" s="9"/>
      <c r="P626" s="9"/>
      <c r="S626" s="9"/>
      <c r="T626" s="9"/>
      <c r="U626" s="9"/>
      <c r="V626" s="9"/>
      <c r="W626" s="9"/>
      <c r="X626" s="9"/>
    </row>
    <row r="627" spans="3:24">
      <c r="C627" s="9"/>
      <c r="D627" s="9"/>
      <c r="E627" s="9"/>
      <c r="F627" s="9"/>
      <c r="G627" s="9"/>
      <c r="H627" s="9"/>
      <c r="I627" s="9"/>
      <c r="J627" s="10"/>
      <c r="K627" s="9"/>
      <c r="L627" s="9"/>
      <c r="M627" s="9"/>
      <c r="N627" s="9"/>
      <c r="O627" s="9"/>
      <c r="P627" s="9"/>
      <c r="S627" s="9"/>
      <c r="T627" s="9"/>
      <c r="U627" s="9"/>
      <c r="V627" s="9"/>
      <c r="W627" s="9"/>
      <c r="X627" s="9"/>
    </row>
    <row r="628" spans="3:24">
      <c r="C628" s="9"/>
      <c r="D628" s="9"/>
      <c r="E628" s="9"/>
      <c r="F628" s="9"/>
      <c r="G628" s="9"/>
      <c r="H628" s="9"/>
      <c r="I628" s="9"/>
      <c r="J628" s="10"/>
      <c r="K628" s="9"/>
      <c r="L628" s="9"/>
      <c r="M628" s="9"/>
      <c r="N628" s="9"/>
      <c r="O628" s="9"/>
      <c r="P628" s="9"/>
      <c r="S628" s="9"/>
      <c r="T628" s="9"/>
      <c r="U628" s="9"/>
      <c r="V628" s="9"/>
      <c r="W628" s="9"/>
      <c r="X628" s="9"/>
    </row>
    <row r="629" spans="3:24">
      <c r="C629" s="9"/>
      <c r="D629" s="9"/>
      <c r="E629" s="9"/>
      <c r="F629" s="9"/>
      <c r="G629" s="9"/>
      <c r="H629" s="9"/>
      <c r="I629" s="9"/>
      <c r="J629" s="10"/>
      <c r="K629" s="9"/>
      <c r="L629" s="9"/>
      <c r="M629" s="9"/>
      <c r="N629" s="9"/>
      <c r="O629" s="9"/>
      <c r="P629" s="9"/>
      <c r="S629" s="9"/>
      <c r="T629" s="9"/>
      <c r="U629" s="9"/>
      <c r="V629" s="9"/>
      <c r="W629" s="9"/>
      <c r="X629" s="9"/>
    </row>
    <row r="630" spans="3:24">
      <c r="C630" s="9"/>
      <c r="D630" s="9"/>
      <c r="E630" s="9"/>
      <c r="F630" s="9"/>
      <c r="G630" s="9"/>
      <c r="H630" s="9"/>
      <c r="I630" s="9"/>
      <c r="J630" s="10"/>
      <c r="K630" s="9"/>
      <c r="L630" s="9"/>
      <c r="M630" s="9"/>
      <c r="N630" s="9"/>
      <c r="O630" s="9"/>
      <c r="P630" s="9"/>
      <c r="S630" s="9"/>
      <c r="T630" s="9"/>
      <c r="U630" s="9"/>
      <c r="V630" s="9"/>
      <c r="W630" s="9"/>
      <c r="X630" s="9"/>
    </row>
    <row r="631" spans="3:24">
      <c r="C631" s="9"/>
      <c r="D631" s="9"/>
      <c r="E631" s="9"/>
      <c r="F631" s="9"/>
      <c r="G631" s="9"/>
      <c r="H631" s="9"/>
      <c r="I631" s="9"/>
      <c r="J631" s="10"/>
      <c r="K631" s="9"/>
      <c r="L631" s="9"/>
      <c r="M631" s="9"/>
      <c r="N631" s="9"/>
      <c r="O631" s="9"/>
      <c r="P631" s="9"/>
      <c r="S631" s="9"/>
      <c r="T631" s="9"/>
      <c r="U631" s="9"/>
      <c r="V631" s="9"/>
      <c r="W631" s="9"/>
      <c r="X631" s="9"/>
    </row>
    <row r="632" spans="3:24">
      <c r="C632" s="9"/>
      <c r="D632" s="9"/>
      <c r="E632" s="9"/>
      <c r="F632" s="9"/>
      <c r="G632" s="9"/>
      <c r="H632" s="9"/>
      <c r="I632" s="9"/>
      <c r="J632" s="10"/>
      <c r="K632" s="9"/>
      <c r="L632" s="9"/>
      <c r="M632" s="9"/>
      <c r="N632" s="9"/>
      <c r="O632" s="9"/>
      <c r="P632" s="9"/>
      <c r="S632" s="9"/>
      <c r="T632" s="9"/>
      <c r="U632" s="9"/>
      <c r="V632" s="9"/>
      <c r="W632" s="9"/>
      <c r="X632" s="9"/>
    </row>
    <row r="633" spans="3:24">
      <c r="C633" s="9"/>
      <c r="D633" s="9"/>
      <c r="E633" s="9"/>
      <c r="F633" s="9"/>
      <c r="G633" s="9"/>
      <c r="H633" s="9"/>
      <c r="I633" s="9"/>
      <c r="J633" s="10"/>
      <c r="K633" s="9"/>
      <c r="L633" s="9"/>
      <c r="M633" s="9"/>
      <c r="N633" s="9"/>
      <c r="O633" s="9"/>
      <c r="P633" s="9"/>
      <c r="S633" s="9"/>
      <c r="T633" s="9"/>
      <c r="U633" s="9"/>
      <c r="V633" s="9"/>
      <c r="W633" s="9"/>
      <c r="X633" s="9"/>
    </row>
    <row r="634" spans="3:24">
      <c r="C634" s="9"/>
      <c r="D634" s="9"/>
      <c r="E634" s="9"/>
      <c r="F634" s="9"/>
      <c r="G634" s="9"/>
      <c r="H634" s="9"/>
      <c r="I634" s="9"/>
      <c r="J634" s="10"/>
      <c r="K634" s="9"/>
      <c r="L634" s="9"/>
      <c r="M634" s="9"/>
      <c r="N634" s="9"/>
      <c r="O634" s="9"/>
      <c r="P634" s="9"/>
      <c r="S634" s="9"/>
      <c r="T634" s="9"/>
      <c r="U634" s="9"/>
      <c r="V634" s="9"/>
      <c r="W634" s="9"/>
      <c r="X634" s="9"/>
    </row>
    <row r="635" spans="3:24">
      <c r="C635" s="9"/>
      <c r="D635" s="9"/>
      <c r="E635" s="9"/>
      <c r="F635" s="9"/>
      <c r="G635" s="9"/>
      <c r="H635" s="9"/>
      <c r="I635" s="9"/>
      <c r="J635" s="10"/>
      <c r="K635" s="9"/>
      <c r="L635" s="9"/>
      <c r="M635" s="9"/>
      <c r="N635" s="9"/>
      <c r="O635" s="9"/>
      <c r="P635" s="9"/>
      <c r="S635" s="9"/>
      <c r="T635" s="9"/>
      <c r="U635" s="9"/>
      <c r="V635" s="9"/>
      <c r="W635" s="9"/>
      <c r="X635" s="9"/>
    </row>
    <row r="636" spans="3:24">
      <c r="C636" s="9"/>
      <c r="D636" s="9"/>
      <c r="E636" s="9"/>
      <c r="F636" s="9"/>
      <c r="G636" s="9"/>
      <c r="H636" s="9"/>
      <c r="I636" s="9"/>
      <c r="J636" s="10"/>
      <c r="K636" s="9"/>
      <c r="L636" s="9"/>
      <c r="M636" s="9"/>
      <c r="N636" s="9"/>
      <c r="O636" s="9"/>
      <c r="P636" s="9"/>
      <c r="S636" s="9"/>
      <c r="T636" s="9"/>
      <c r="U636" s="9"/>
      <c r="V636" s="9"/>
      <c r="W636" s="9"/>
      <c r="X636" s="9"/>
    </row>
    <row r="637" spans="3:24">
      <c r="C637" s="9"/>
      <c r="D637" s="9"/>
      <c r="E637" s="9"/>
      <c r="F637" s="9"/>
      <c r="G637" s="9"/>
      <c r="H637" s="9"/>
      <c r="I637" s="9"/>
      <c r="J637" s="10"/>
      <c r="K637" s="9"/>
      <c r="L637" s="9"/>
      <c r="M637" s="9"/>
      <c r="N637" s="9"/>
      <c r="O637" s="9"/>
      <c r="P637" s="9"/>
      <c r="S637" s="9"/>
      <c r="T637" s="9"/>
      <c r="U637" s="9"/>
      <c r="V637" s="9"/>
      <c r="W637" s="9"/>
      <c r="X637" s="9"/>
    </row>
    <row r="638" spans="3:24">
      <c r="C638" s="9"/>
      <c r="D638" s="9"/>
      <c r="E638" s="9"/>
      <c r="F638" s="9"/>
      <c r="G638" s="9"/>
      <c r="H638" s="9"/>
      <c r="I638" s="9"/>
      <c r="J638" s="10"/>
      <c r="K638" s="9"/>
      <c r="L638" s="9"/>
      <c r="M638" s="9"/>
      <c r="N638" s="9"/>
      <c r="O638" s="9"/>
      <c r="P638" s="9"/>
      <c r="S638" s="9"/>
      <c r="T638" s="9"/>
      <c r="U638" s="9"/>
      <c r="V638" s="9"/>
      <c r="W638" s="9"/>
      <c r="X638" s="9"/>
    </row>
    <row r="639" spans="3:24">
      <c r="C639" s="9"/>
      <c r="D639" s="9"/>
      <c r="E639" s="9"/>
      <c r="F639" s="9"/>
      <c r="G639" s="9"/>
      <c r="H639" s="9"/>
      <c r="I639" s="9"/>
      <c r="J639" s="10"/>
      <c r="K639" s="9"/>
      <c r="L639" s="9"/>
      <c r="M639" s="9"/>
      <c r="N639" s="9"/>
      <c r="O639" s="9"/>
      <c r="P639" s="9"/>
      <c r="S639" s="9"/>
      <c r="T639" s="9"/>
      <c r="U639" s="9"/>
      <c r="V639" s="9"/>
      <c r="W639" s="9"/>
      <c r="X639" s="9"/>
    </row>
    <row r="640" spans="3:24">
      <c r="C640" s="9"/>
      <c r="D640" s="9"/>
      <c r="E640" s="9"/>
      <c r="F640" s="9"/>
      <c r="G640" s="9"/>
      <c r="H640" s="9"/>
      <c r="I640" s="9"/>
      <c r="J640" s="10"/>
      <c r="K640" s="9"/>
      <c r="L640" s="9"/>
      <c r="M640" s="9"/>
      <c r="N640" s="9"/>
      <c r="O640" s="9"/>
      <c r="P640" s="9"/>
      <c r="S640" s="9"/>
      <c r="T640" s="9"/>
      <c r="U640" s="9"/>
      <c r="V640" s="9"/>
      <c r="W640" s="9"/>
      <c r="X640" s="9"/>
    </row>
    <row r="641" spans="3:24">
      <c r="C641" s="9"/>
      <c r="D641" s="9"/>
      <c r="E641" s="9"/>
      <c r="F641" s="9"/>
      <c r="G641" s="9"/>
      <c r="H641" s="9"/>
      <c r="I641" s="9"/>
      <c r="J641" s="10"/>
      <c r="K641" s="9"/>
      <c r="L641" s="9"/>
      <c r="M641" s="9"/>
      <c r="N641" s="9"/>
      <c r="O641" s="9"/>
      <c r="P641" s="9"/>
      <c r="S641" s="9"/>
      <c r="T641" s="9"/>
      <c r="U641" s="9"/>
      <c r="V641" s="9"/>
      <c r="W641" s="9"/>
      <c r="X641" s="9"/>
    </row>
    <row r="642" spans="3:24">
      <c r="C642" s="9"/>
      <c r="D642" s="9"/>
      <c r="E642" s="9"/>
      <c r="F642" s="9"/>
      <c r="G642" s="9"/>
      <c r="H642" s="9"/>
      <c r="I642" s="9"/>
      <c r="J642" s="10"/>
      <c r="K642" s="9"/>
      <c r="L642" s="9"/>
      <c r="M642" s="9"/>
      <c r="N642" s="9"/>
      <c r="O642" s="9"/>
      <c r="P642" s="9"/>
      <c r="S642" s="9"/>
      <c r="T642" s="9"/>
      <c r="U642" s="9"/>
      <c r="V642" s="9"/>
      <c r="W642" s="9"/>
      <c r="X642" s="9"/>
    </row>
    <row r="643" spans="3:24">
      <c r="C643" s="9"/>
      <c r="D643" s="9"/>
      <c r="E643" s="9"/>
      <c r="F643" s="9"/>
      <c r="G643" s="9"/>
      <c r="H643" s="9"/>
      <c r="I643" s="9"/>
      <c r="J643" s="10"/>
      <c r="K643" s="9"/>
      <c r="L643" s="9"/>
      <c r="M643" s="9"/>
      <c r="N643" s="9"/>
      <c r="O643" s="9"/>
      <c r="P643" s="9"/>
      <c r="S643" s="9"/>
      <c r="T643" s="9"/>
      <c r="U643" s="9"/>
      <c r="V643" s="9"/>
      <c r="W643" s="9"/>
      <c r="X643" s="9"/>
    </row>
    <row r="644" spans="3:24">
      <c r="C644" s="9"/>
      <c r="D644" s="9"/>
      <c r="E644" s="9"/>
      <c r="F644" s="9"/>
      <c r="G644" s="9"/>
      <c r="H644" s="9"/>
      <c r="I644" s="9"/>
      <c r="J644" s="10"/>
      <c r="K644" s="9"/>
      <c r="L644" s="9"/>
      <c r="M644" s="9"/>
      <c r="N644" s="9"/>
      <c r="O644" s="9"/>
      <c r="P644" s="9"/>
      <c r="S644" s="9"/>
      <c r="T644" s="9"/>
      <c r="U644" s="9"/>
      <c r="V644" s="9"/>
      <c r="W644" s="9"/>
      <c r="X644" s="9"/>
    </row>
    <row r="645" spans="3:24">
      <c r="C645" s="9"/>
      <c r="D645" s="9"/>
      <c r="E645" s="9"/>
      <c r="F645" s="9"/>
      <c r="G645" s="9"/>
      <c r="H645" s="9"/>
      <c r="I645" s="9"/>
      <c r="J645" s="10"/>
      <c r="K645" s="9"/>
      <c r="L645" s="9"/>
      <c r="M645" s="9"/>
      <c r="N645" s="9"/>
      <c r="O645" s="9"/>
      <c r="P645" s="9"/>
      <c r="S645" s="9"/>
      <c r="T645" s="9"/>
      <c r="U645" s="9"/>
      <c r="V645" s="9"/>
      <c r="W645" s="9"/>
      <c r="X645" s="9"/>
    </row>
    <row r="646" spans="3:24">
      <c r="C646" s="9"/>
      <c r="D646" s="9"/>
      <c r="E646" s="9"/>
      <c r="F646" s="9"/>
      <c r="G646" s="9"/>
      <c r="H646" s="9"/>
      <c r="I646" s="9"/>
      <c r="J646" s="10"/>
      <c r="K646" s="9"/>
      <c r="L646" s="9"/>
      <c r="M646" s="9"/>
      <c r="N646" s="9"/>
      <c r="O646" s="9"/>
      <c r="P646" s="9"/>
      <c r="S646" s="9"/>
      <c r="T646" s="9"/>
      <c r="U646" s="9"/>
      <c r="V646" s="9"/>
      <c r="W646" s="9"/>
      <c r="X646" s="9"/>
    </row>
    <row r="647" spans="3:24">
      <c r="C647" s="9"/>
      <c r="D647" s="9"/>
      <c r="E647" s="9"/>
      <c r="F647" s="9"/>
      <c r="G647" s="9"/>
      <c r="H647" s="9"/>
      <c r="I647" s="9"/>
      <c r="J647" s="10"/>
      <c r="K647" s="9"/>
      <c r="L647" s="9"/>
      <c r="M647" s="9"/>
      <c r="N647" s="9"/>
      <c r="O647" s="9"/>
      <c r="P647" s="9"/>
      <c r="S647" s="9"/>
      <c r="T647" s="9"/>
      <c r="U647" s="9"/>
      <c r="V647" s="9"/>
      <c r="W647" s="9"/>
      <c r="X647" s="9"/>
    </row>
    <row r="648" spans="3:24">
      <c r="C648" s="9"/>
      <c r="D648" s="9"/>
      <c r="E648" s="9"/>
      <c r="F648" s="9"/>
      <c r="G648" s="9"/>
      <c r="H648" s="9"/>
      <c r="I648" s="9"/>
      <c r="J648" s="10"/>
      <c r="K648" s="9"/>
      <c r="L648" s="9"/>
      <c r="M648" s="9"/>
      <c r="N648" s="9"/>
      <c r="O648" s="9"/>
      <c r="P648" s="9"/>
      <c r="S648" s="9"/>
      <c r="T648" s="9"/>
      <c r="U648" s="9"/>
      <c r="V648" s="9"/>
      <c r="W648" s="9"/>
      <c r="X648" s="9"/>
    </row>
    <row r="649" spans="3:24">
      <c r="C649" s="9"/>
      <c r="D649" s="9"/>
      <c r="E649" s="9"/>
      <c r="F649" s="9"/>
      <c r="G649" s="9"/>
      <c r="H649" s="9"/>
      <c r="I649" s="9"/>
      <c r="J649" s="10"/>
      <c r="K649" s="9"/>
      <c r="L649" s="9"/>
      <c r="M649" s="9"/>
      <c r="N649" s="9"/>
      <c r="O649" s="9"/>
      <c r="P649" s="9"/>
      <c r="S649" s="9"/>
      <c r="T649" s="9"/>
      <c r="U649" s="9"/>
      <c r="V649" s="9"/>
      <c r="W649" s="9"/>
      <c r="X649" s="9"/>
    </row>
    <row r="650" spans="3:24">
      <c r="C650" s="9"/>
      <c r="D650" s="9"/>
      <c r="E650" s="9"/>
      <c r="F650" s="9"/>
      <c r="G650" s="9"/>
      <c r="H650" s="9"/>
      <c r="I650" s="9"/>
      <c r="J650" s="10"/>
      <c r="K650" s="9"/>
      <c r="L650" s="9"/>
      <c r="M650" s="9"/>
      <c r="N650" s="9"/>
      <c r="O650" s="9"/>
      <c r="P650" s="9"/>
      <c r="S650" s="9"/>
      <c r="T650" s="9"/>
      <c r="U650" s="9"/>
      <c r="V650" s="9"/>
      <c r="W650" s="9"/>
      <c r="X650" s="9"/>
    </row>
    <row r="651" spans="3:24">
      <c r="C651" s="9"/>
      <c r="D651" s="9"/>
      <c r="E651" s="9"/>
      <c r="F651" s="9"/>
      <c r="G651" s="9"/>
      <c r="H651" s="9"/>
      <c r="I651" s="9"/>
      <c r="J651" s="10"/>
      <c r="K651" s="9"/>
      <c r="L651" s="9"/>
      <c r="M651" s="9"/>
      <c r="N651" s="9"/>
      <c r="O651" s="9"/>
      <c r="P651" s="9"/>
      <c r="S651" s="9"/>
      <c r="T651" s="9"/>
      <c r="U651" s="9"/>
      <c r="V651" s="9"/>
      <c r="W651" s="9"/>
      <c r="X651" s="9"/>
    </row>
    <row r="652" spans="3:24">
      <c r="C652" s="9"/>
      <c r="D652" s="9"/>
      <c r="E652" s="9"/>
      <c r="F652" s="9"/>
      <c r="G652" s="9"/>
      <c r="H652" s="9"/>
      <c r="I652" s="9"/>
      <c r="J652" s="10"/>
      <c r="K652" s="9"/>
      <c r="L652" s="9"/>
      <c r="M652" s="9"/>
      <c r="N652" s="9"/>
      <c r="O652" s="9"/>
      <c r="P652" s="9"/>
      <c r="S652" s="9"/>
      <c r="T652" s="9"/>
      <c r="U652" s="9"/>
      <c r="V652" s="9"/>
      <c r="W652" s="9"/>
      <c r="X652" s="9"/>
    </row>
    <row r="653" spans="3:24">
      <c r="C653" s="9"/>
      <c r="D653" s="9"/>
      <c r="E653" s="9"/>
      <c r="F653" s="9"/>
      <c r="G653" s="9"/>
      <c r="H653" s="9"/>
      <c r="I653" s="9"/>
      <c r="J653" s="10"/>
      <c r="K653" s="9"/>
      <c r="L653" s="9"/>
      <c r="M653" s="9"/>
      <c r="N653" s="9"/>
      <c r="O653" s="9"/>
      <c r="P653" s="9"/>
      <c r="S653" s="9"/>
      <c r="T653" s="9"/>
      <c r="U653" s="9"/>
      <c r="V653" s="9"/>
      <c r="W653" s="9"/>
      <c r="X653" s="9"/>
    </row>
    <row r="654" spans="3:24">
      <c r="C654" s="9"/>
      <c r="D654" s="9"/>
      <c r="E654" s="9"/>
      <c r="F654" s="9"/>
      <c r="G654" s="9"/>
      <c r="H654" s="9"/>
      <c r="I654" s="9"/>
      <c r="J654" s="10"/>
      <c r="K654" s="9"/>
      <c r="L654" s="9"/>
      <c r="M654" s="9"/>
      <c r="N654" s="9"/>
      <c r="O654" s="9"/>
      <c r="P654" s="9"/>
      <c r="S654" s="9"/>
      <c r="T654" s="9"/>
      <c r="U654" s="9"/>
      <c r="V654" s="9"/>
      <c r="W654" s="9"/>
      <c r="X654" s="9"/>
    </row>
    <row r="655" spans="3:24">
      <c r="C655" s="9"/>
      <c r="D655" s="9"/>
      <c r="E655" s="9"/>
      <c r="F655" s="9"/>
      <c r="G655" s="9"/>
      <c r="H655" s="9"/>
      <c r="I655" s="9"/>
      <c r="J655" s="10"/>
      <c r="K655" s="9"/>
      <c r="L655" s="9"/>
      <c r="M655" s="9"/>
      <c r="N655" s="9"/>
      <c r="O655" s="9"/>
      <c r="P655" s="9"/>
      <c r="S655" s="9"/>
      <c r="T655" s="9"/>
      <c r="U655" s="9"/>
      <c r="V655" s="9"/>
      <c r="W655" s="9"/>
      <c r="X655" s="9"/>
    </row>
    <row r="656" spans="3:24">
      <c r="C656" s="9"/>
      <c r="D656" s="9"/>
      <c r="E656" s="9"/>
      <c r="F656" s="9"/>
      <c r="G656" s="9"/>
      <c r="H656" s="9"/>
      <c r="I656" s="9"/>
      <c r="J656" s="10"/>
      <c r="K656" s="9"/>
      <c r="L656" s="9"/>
      <c r="M656" s="9"/>
      <c r="N656" s="9"/>
      <c r="O656" s="9"/>
      <c r="P656" s="9"/>
      <c r="S656" s="9"/>
      <c r="T656" s="9"/>
      <c r="U656" s="9"/>
      <c r="V656" s="9"/>
      <c r="W656" s="9"/>
      <c r="X656" s="9"/>
    </row>
    <row r="657" spans="3:24">
      <c r="C657" s="9"/>
      <c r="D657" s="9"/>
      <c r="E657" s="9"/>
      <c r="F657" s="9"/>
      <c r="G657" s="9"/>
      <c r="H657" s="9"/>
      <c r="I657" s="9"/>
      <c r="J657" s="10"/>
      <c r="K657" s="9"/>
      <c r="L657" s="9"/>
      <c r="M657" s="9"/>
      <c r="N657" s="9"/>
      <c r="O657" s="9"/>
      <c r="P657" s="9"/>
      <c r="S657" s="9"/>
      <c r="T657" s="9"/>
      <c r="U657" s="9"/>
      <c r="V657" s="9"/>
      <c r="W657" s="9"/>
      <c r="X657" s="9"/>
    </row>
    <row r="658" spans="3:24">
      <c r="C658" s="9"/>
      <c r="D658" s="9"/>
      <c r="E658" s="9"/>
      <c r="F658" s="9"/>
      <c r="G658" s="9"/>
      <c r="H658" s="9"/>
      <c r="I658" s="9"/>
      <c r="J658" s="10"/>
      <c r="K658" s="9"/>
      <c r="L658" s="9"/>
      <c r="M658" s="9"/>
      <c r="N658" s="9"/>
      <c r="O658" s="9"/>
      <c r="P658" s="9"/>
      <c r="S658" s="9"/>
      <c r="T658" s="9"/>
      <c r="U658" s="9"/>
      <c r="V658" s="9"/>
      <c r="W658" s="9"/>
      <c r="X658" s="9"/>
    </row>
    <row r="659" spans="3:24">
      <c r="C659" s="9"/>
      <c r="D659" s="9"/>
      <c r="E659" s="9"/>
      <c r="F659" s="9"/>
      <c r="G659" s="9"/>
      <c r="H659" s="9"/>
      <c r="I659" s="9"/>
      <c r="J659" s="10"/>
      <c r="K659" s="9"/>
      <c r="L659" s="9"/>
      <c r="M659" s="9"/>
      <c r="N659" s="9"/>
      <c r="O659" s="9"/>
      <c r="P659" s="9"/>
      <c r="S659" s="9"/>
      <c r="T659" s="9"/>
      <c r="U659" s="9"/>
      <c r="V659" s="9"/>
      <c r="W659" s="9"/>
      <c r="X659" s="9"/>
    </row>
    <row r="660" spans="3:24">
      <c r="C660" s="9"/>
      <c r="D660" s="9"/>
      <c r="E660" s="9"/>
      <c r="F660" s="9"/>
      <c r="G660" s="9"/>
      <c r="H660" s="9"/>
      <c r="I660" s="9"/>
      <c r="J660" s="10"/>
      <c r="K660" s="9"/>
      <c r="L660" s="9"/>
      <c r="M660" s="9"/>
      <c r="N660" s="9"/>
      <c r="O660" s="9"/>
      <c r="P660" s="9"/>
      <c r="S660" s="9"/>
      <c r="T660" s="9"/>
      <c r="U660" s="9"/>
      <c r="V660" s="9"/>
      <c r="W660" s="9"/>
      <c r="X660" s="9"/>
    </row>
    <row r="661" spans="3:24">
      <c r="C661" s="9"/>
      <c r="D661" s="9"/>
      <c r="E661" s="9"/>
      <c r="F661" s="9"/>
      <c r="G661" s="9"/>
      <c r="H661" s="9"/>
      <c r="I661" s="9"/>
      <c r="J661" s="10"/>
      <c r="K661" s="9"/>
      <c r="L661" s="9"/>
      <c r="M661" s="9"/>
      <c r="N661" s="9"/>
      <c r="O661" s="9"/>
      <c r="P661" s="9"/>
      <c r="S661" s="9"/>
      <c r="T661" s="9"/>
      <c r="U661" s="9"/>
      <c r="V661" s="9"/>
      <c r="W661" s="9"/>
      <c r="X661" s="9"/>
    </row>
    <row r="662" spans="3:24">
      <c r="C662" s="9"/>
      <c r="D662" s="9"/>
      <c r="E662" s="9"/>
      <c r="F662" s="9"/>
      <c r="G662" s="9"/>
      <c r="H662" s="9"/>
      <c r="I662" s="9"/>
      <c r="J662" s="10"/>
      <c r="K662" s="9"/>
      <c r="L662" s="9"/>
      <c r="M662" s="9"/>
      <c r="N662" s="9"/>
      <c r="O662" s="9"/>
      <c r="P662" s="9"/>
      <c r="S662" s="9"/>
      <c r="T662" s="9"/>
      <c r="U662" s="9"/>
      <c r="V662" s="9"/>
      <c r="W662" s="9"/>
      <c r="X662" s="9"/>
    </row>
    <row r="663" spans="3:24">
      <c r="C663" s="9"/>
      <c r="D663" s="9"/>
      <c r="E663" s="9"/>
      <c r="F663" s="9"/>
      <c r="G663" s="9"/>
      <c r="H663" s="9"/>
      <c r="I663" s="9"/>
      <c r="J663" s="10"/>
      <c r="K663" s="9"/>
      <c r="L663" s="9"/>
      <c r="M663" s="9"/>
      <c r="N663" s="9"/>
      <c r="O663" s="9"/>
      <c r="P663" s="9"/>
      <c r="S663" s="9"/>
      <c r="T663" s="9"/>
      <c r="U663" s="9"/>
      <c r="V663" s="9"/>
      <c r="W663" s="9"/>
      <c r="X663" s="9"/>
    </row>
    <row r="664" spans="3:24">
      <c r="C664" s="9"/>
      <c r="D664" s="9"/>
      <c r="E664" s="9"/>
      <c r="F664" s="9"/>
      <c r="G664" s="9"/>
      <c r="H664" s="9"/>
      <c r="I664" s="9"/>
      <c r="J664" s="10"/>
      <c r="K664" s="9"/>
      <c r="L664" s="9"/>
      <c r="M664" s="9"/>
      <c r="N664" s="9"/>
      <c r="O664" s="9"/>
      <c r="P664" s="9"/>
      <c r="S664" s="9"/>
      <c r="T664" s="9"/>
      <c r="U664" s="9"/>
      <c r="V664" s="9"/>
      <c r="W664" s="9"/>
      <c r="X664" s="9"/>
    </row>
    <row r="665" spans="3:24">
      <c r="C665" s="9"/>
      <c r="D665" s="9"/>
      <c r="E665" s="9"/>
      <c r="F665" s="9"/>
      <c r="G665" s="9"/>
      <c r="H665" s="9"/>
      <c r="I665" s="9"/>
      <c r="J665" s="10"/>
      <c r="K665" s="9"/>
      <c r="L665" s="9"/>
      <c r="M665" s="9"/>
      <c r="N665" s="9"/>
      <c r="O665" s="9"/>
      <c r="P665" s="9"/>
      <c r="S665" s="9"/>
      <c r="T665" s="9"/>
      <c r="U665" s="9"/>
      <c r="V665" s="9"/>
      <c r="W665" s="9"/>
      <c r="X665" s="9"/>
    </row>
    <row r="666" spans="3:24">
      <c r="C666" s="9"/>
      <c r="D666" s="9"/>
      <c r="E666" s="9"/>
      <c r="F666" s="9"/>
      <c r="G666" s="9"/>
      <c r="H666" s="9"/>
      <c r="I666" s="9"/>
      <c r="J666" s="10"/>
      <c r="K666" s="9"/>
      <c r="L666" s="9"/>
      <c r="M666" s="9"/>
      <c r="N666" s="9"/>
      <c r="O666" s="9"/>
      <c r="P666" s="9"/>
      <c r="S666" s="9"/>
      <c r="T666" s="9"/>
      <c r="U666" s="9"/>
      <c r="V666" s="9"/>
      <c r="W666" s="9"/>
      <c r="X666" s="9"/>
    </row>
    <row r="667" spans="3:24">
      <c r="C667" s="9"/>
      <c r="D667" s="9"/>
      <c r="E667" s="9"/>
      <c r="F667" s="9"/>
      <c r="G667" s="9"/>
      <c r="H667" s="9"/>
      <c r="I667" s="9"/>
      <c r="J667" s="10"/>
      <c r="K667" s="9"/>
      <c r="L667" s="9"/>
      <c r="M667" s="9"/>
      <c r="N667" s="9"/>
      <c r="O667" s="9"/>
      <c r="P667" s="9"/>
      <c r="S667" s="9"/>
      <c r="T667" s="9"/>
      <c r="U667" s="9"/>
      <c r="V667" s="9"/>
      <c r="W667" s="9"/>
      <c r="X667" s="9"/>
    </row>
    <row r="668" spans="3:24">
      <c r="C668" s="9"/>
      <c r="D668" s="9"/>
      <c r="E668" s="9"/>
      <c r="F668" s="9"/>
      <c r="G668" s="9"/>
      <c r="H668" s="9"/>
      <c r="I668" s="9"/>
      <c r="J668" s="10"/>
      <c r="K668" s="9"/>
      <c r="L668" s="9"/>
      <c r="M668" s="9"/>
      <c r="N668" s="9"/>
      <c r="O668" s="9"/>
      <c r="P668" s="9"/>
      <c r="S668" s="9"/>
      <c r="T668" s="9"/>
      <c r="U668" s="9"/>
      <c r="V668" s="9"/>
      <c r="W668" s="9"/>
      <c r="X668" s="9"/>
    </row>
    <row r="669" spans="3:24">
      <c r="C669" s="9"/>
      <c r="D669" s="9"/>
      <c r="E669" s="9"/>
      <c r="F669" s="9"/>
      <c r="G669" s="9"/>
      <c r="H669" s="9"/>
      <c r="I669" s="9"/>
      <c r="J669" s="10"/>
      <c r="K669" s="9"/>
      <c r="L669" s="9"/>
      <c r="M669" s="9"/>
      <c r="N669" s="9"/>
      <c r="O669" s="9"/>
      <c r="P669" s="9"/>
      <c r="S669" s="9"/>
      <c r="T669" s="9"/>
      <c r="U669" s="9"/>
      <c r="V669" s="9"/>
      <c r="W669" s="9"/>
      <c r="X669" s="9"/>
    </row>
    <row r="670" spans="3:24">
      <c r="C670" s="9"/>
      <c r="D670" s="9"/>
      <c r="E670" s="9"/>
      <c r="F670" s="9"/>
      <c r="G670" s="9"/>
      <c r="H670" s="9"/>
      <c r="I670" s="9"/>
      <c r="J670" s="10"/>
      <c r="K670" s="9"/>
      <c r="L670" s="9"/>
      <c r="M670" s="9"/>
      <c r="N670" s="9"/>
      <c r="O670" s="9"/>
      <c r="P670" s="9"/>
      <c r="S670" s="9"/>
      <c r="T670" s="9"/>
      <c r="U670" s="9"/>
      <c r="V670" s="9"/>
      <c r="W670" s="9"/>
      <c r="X670" s="9"/>
    </row>
    <row r="671" spans="3:24">
      <c r="C671" s="9"/>
      <c r="D671" s="9"/>
      <c r="E671" s="9"/>
      <c r="F671" s="9"/>
      <c r="G671" s="9"/>
      <c r="H671" s="9"/>
      <c r="I671" s="9"/>
      <c r="J671" s="10"/>
      <c r="K671" s="9"/>
      <c r="L671" s="9"/>
      <c r="M671" s="9"/>
      <c r="N671" s="9"/>
      <c r="O671" s="9"/>
      <c r="P671" s="9"/>
      <c r="S671" s="9"/>
      <c r="T671" s="9"/>
      <c r="U671" s="9"/>
      <c r="V671" s="9"/>
      <c r="W671" s="9"/>
      <c r="X671" s="9"/>
    </row>
    <row r="672" spans="3:24">
      <c r="C672" s="9"/>
      <c r="D672" s="9"/>
      <c r="E672" s="9"/>
      <c r="F672" s="9"/>
      <c r="G672" s="9"/>
      <c r="H672" s="9"/>
      <c r="I672" s="9"/>
      <c r="J672" s="10"/>
      <c r="K672" s="9"/>
      <c r="L672" s="9"/>
      <c r="M672" s="9"/>
      <c r="N672" s="9"/>
      <c r="O672" s="9"/>
      <c r="P672" s="9"/>
      <c r="S672" s="9"/>
      <c r="T672" s="9"/>
      <c r="U672" s="9"/>
      <c r="V672" s="9"/>
      <c r="W672" s="9"/>
      <c r="X672" s="9"/>
    </row>
    <row r="673" spans="3:24">
      <c r="C673" s="9"/>
      <c r="D673" s="9"/>
      <c r="E673" s="9"/>
      <c r="F673" s="9"/>
      <c r="G673" s="9"/>
      <c r="H673" s="9"/>
      <c r="I673" s="9"/>
      <c r="J673" s="10"/>
      <c r="K673" s="9"/>
      <c r="L673" s="9"/>
      <c r="M673" s="9"/>
      <c r="N673" s="9"/>
      <c r="O673" s="9"/>
      <c r="P673" s="9"/>
      <c r="S673" s="9"/>
      <c r="T673" s="9"/>
      <c r="U673" s="9"/>
      <c r="V673" s="9"/>
      <c r="W673" s="9"/>
      <c r="X673" s="9"/>
    </row>
    <row r="674" spans="3:24">
      <c r="C674" s="9"/>
      <c r="D674" s="9"/>
      <c r="E674" s="9"/>
      <c r="F674" s="9"/>
      <c r="G674" s="9"/>
      <c r="H674" s="9"/>
      <c r="I674" s="9"/>
      <c r="J674" s="10"/>
      <c r="K674" s="9"/>
      <c r="L674" s="9"/>
      <c r="M674" s="9"/>
      <c r="N674" s="9"/>
      <c r="O674" s="9"/>
      <c r="P674" s="9"/>
      <c r="S674" s="9"/>
      <c r="T674" s="9"/>
      <c r="U674" s="9"/>
      <c r="V674" s="9"/>
      <c r="W674" s="9"/>
      <c r="X674" s="9"/>
    </row>
    <row r="675" spans="3:24">
      <c r="C675" s="9"/>
      <c r="D675" s="9"/>
      <c r="E675" s="9"/>
      <c r="F675" s="9"/>
      <c r="G675" s="9"/>
      <c r="H675" s="9"/>
      <c r="I675" s="9"/>
      <c r="J675" s="10"/>
      <c r="K675" s="9"/>
      <c r="L675" s="9"/>
      <c r="M675" s="9"/>
      <c r="N675" s="9"/>
      <c r="O675" s="9"/>
      <c r="P675" s="9"/>
      <c r="S675" s="9"/>
      <c r="T675" s="9"/>
      <c r="U675" s="9"/>
      <c r="V675" s="9"/>
      <c r="W675" s="9"/>
      <c r="X675" s="9"/>
    </row>
    <row r="676" spans="3:24">
      <c r="C676" s="9"/>
      <c r="D676" s="9"/>
      <c r="E676" s="9"/>
      <c r="F676" s="9"/>
      <c r="G676" s="9"/>
      <c r="H676" s="9"/>
      <c r="I676" s="9"/>
      <c r="J676" s="10"/>
      <c r="K676" s="9"/>
      <c r="L676" s="9"/>
      <c r="M676" s="9"/>
      <c r="N676" s="9"/>
      <c r="O676" s="9"/>
      <c r="P676" s="9"/>
      <c r="S676" s="9"/>
      <c r="T676" s="9"/>
      <c r="U676" s="9"/>
      <c r="V676" s="9"/>
      <c r="W676" s="9"/>
      <c r="X676" s="9"/>
    </row>
    <row r="677" spans="3:24">
      <c r="C677" s="9"/>
      <c r="D677" s="9"/>
      <c r="E677" s="9"/>
      <c r="F677" s="9"/>
      <c r="G677" s="9"/>
      <c r="H677" s="9"/>
      <c r="I677" s="9"/>
      <c r="J677" s="10"/>
      <c r="K677" s="9"/>
      <c r="L677" s="9"/>
      <c r="M677" s="9"/>
      <c r="N677" s="9"/>
      <c r="O677" s="9"/>
      <c r="P677" s="9"/>
      <c r="S677" s="9"/>
      <c r="T677" s="9"/>
      <c r="U677" s="9"/>
      <c r="V677" s="9"/>
      <c r="W677" s="9"/>
      <c r="X677" s="9"/>
    </row>
    <row r="678" spans="3:24">
      <c r="C678" s="9"/>
      <c r="D678" s="9"/>
      <c r="E678" s="9"/>
      <c r="F678" s="9"/>
      <c r="G678" s="9"/>
      <c r="H678" s="9"/>
      <c r="I678" s="9"/>
      <c r="J678" s="10"/>
      <c r="K678" s="9"/>
      <c r="L678" s="9"/>
      <c r="M678" s="9"/>
      <c r="N678" s="9"/>
      <c r="O678" s="9"/>
      <c r="P678" s="9"/>
      <c r="S678" s="9"/>
      <c r="T678" s="9"/>
      <c r="U678" s="9"/>
      <c r="V678" s="9"/>
      <c r="W678" s="9"/>
      <c r="X678" s="9"/>
    </row>
    <row r="679" spans="3:24">
      <c r="C679" s="9"/>
      <c r="D679" s="9"/>
      <c r="E679" s="9"/>
      <c r="F679" s="9"/>
      <c r="G679" s="9"/>
      <c r="H679" s="9"/>
      <c r="I679" s="9"/>
      <c r="J679" s="10"/>
      <c r="K679" s="9"/>
      <c r="L679" s="9"/>
      <c r="M679" s="9"/>
      <c r="N679" s="9"/>
      <c r="O679" s="9"/>
      <c r="P679" s="9"/>
      <c r="S679" s="9"/>
      <c r="T679" s="9"/>
      <c r="U679" s="9"/>
      <c r="V679" s="9"/>
      <c r="W679" s="9"/>
      <c r="X679" s="9"/>
    </row>
    <row r="680" spans="3:24">
      <c r="C680" s="9"/>
      <c r="D680" s="9"/>
      <c r="E680" s="9"/>
      <c r="F680" s="9"/>
      <c r="G680" s="9"/>
      <c r="H680" s="9"/>
      <c r="I680" s="9"/>
      <c r="J680" s="10"/>
      <c r="K680" s="9"/>
      <c r="L680" s="9"/>
      <c r="M680" s="9"/>
      <c r="N680" s="9"/>
      <c r="O680" s="9"/>
      <c r="P680" s="9"/>
      <c r="S680" s="9"/>
      <c r="T680" s="9"/>
      <c r="U680" s="9"/>
      <c r="V680" s="9"/>
      <c r="W680" s="9"/>
      <c r="X680" s="9"/>
    </row>
    <row r="681" spans="3:24">
      <c r="C681" s="9"/>
      <c r="D681" s="9"/>
      <c r="E681" s="9"/>
      <c r="F681" s="9"/>
      <c r="G681" s="9"/>
      <c r="H681" s="9"/>
      <c r="I681" s="9"/>
      <c r="J681" s="10"/>
      <c r="K681" s="9"/>
      <c r="L681" s="9"/>
      <c r="M681" s="9"/>
      <c r="N681" s="9"/>
      <c r="O681" s="9"/>
      <c r="P681" s="9"/>
      <c r="S681" s="9"/>
      <c r="T681" s="9"/>
      <c r="U681" s="9"/>
      <c r="V681" s="9"/>
      <c r="W681" s="9"/>
      <c r="X681" s="9"/>
    </row>
    <row r="682" spans="3:24">
      <c r="C682" s="9"/>
      <c r="D682" s="9"/>
      <c r="E682" s="9"/>
      <c r="F682" s="9"/>
      <c r="G682" s="9"/>
      <c r="H682" s="9"/>
      <c r="I682" s="9"/>
      <c r="J682" s="10"/>
      <c r="K682" s="9"/>
      <c r="L682" s="9"/>
      <c r="M682" s="9"/>
      <c r="N682" s="9"/>
      <c r="O682" s="9"/>
      <c r="P682" s="9"/>
      <c r="S682" s="9"/>
      <c r="T682" s="9"/>
      <c r="U682" s="9"/>
      <c r="V682" s="9"/>
      <c r="W682" s="9"/>
      <c r="X682" s="9"/>
    </row>
    <row r="683" spans="3:24">
      <c r="C683" s="9"/>
      <c r="D683" s="9"/>
      <c r="E683" s="9"/>
      <c r="F683" s="9"/>
      <c r="G683" s="9"/>
      <c r="H683" s="9"/>
      <c r="I683" s="9"/>
      <c r="J683" s="10"/>
      <c r="K683" s="9"/>
      <c r="L683" s="9"/>
      <c r="M683" s="9"/>
      <c r="N683" s="9"/>
      <c r="O683" s="9"/>
      <c r="P683" s="9"/>
      <c r="S683" s="9"/>
      <c r="T683" s="9"/>
      <c r="U683" s="9"/>
      <c r="V683" s="9"/>
      <c r="W683" s="9"/>
      <c r="X683" s="9"/>
    </row>
    <row r="684" spans="3:24">
      <c r="C684" s="9"/>
      <c r="D684" s="9"/>
      <c r="E684" s="9"/>
      <c r="F684" s="9"/>
      <c r="G684" s="9"/>
      <c r="H684" s="9"/>
      <c r="I684" s="9"/>
      <c r="J684" s="10"/>
      <c r="K684" s="9"/>
      <c r="L684" s="9"/>
      <c r="M684" s="9"/>
      <c r="N684" s="9"/>
      <c r="O684" s="9"/>
      <c r="P684" s="9"/>
      <c r="S684" s="9"/>
      <c r="T684" s="9"/>
      <c r="U684" s="9"/>
      <c r="V684" s="9"/>
      <c r="W684" s="9"/>
      <c r="X684" s="9"/>
    </row>
    <row r="685" spans="3:24">
      <c r="C685" s="9"/>
      <c r="D685" s="9"/>
      <c r="E685" s="9"/>
      <c r="F685" s="9"/>
      <c r="G685" s="9"/>
      <c r="H685" s="9"/>
      <c r="I685" s="9"/>
      <c r="J685" s="10"/>
      <c r="K685" s="9"/>
      <c r="L685" s="9"/>
      <c r="M685" s="9"/>
      <c r="N685" s="9"/>
      <c r="O685" s="9"/>
      <c r="P685" s="9"/>
      <c r="S685" s="9"/>
      <c r="T685" s="9"/>
      <c r="U685" s="9"/>
      <c r="V685" s="9"/>
      <c r="W685" s="9"/>
      <c r="X685" s="9"/>
    </row>
    <row r="686" spans="3:24">
      <c r="C686" s="9"/>
      <c r="D686" s="9"/>
      <c r="E686" s="9"/>
      <c r="F686" s="9"/>
      <c r="G686" s="9"/>
      <c r="H686" s="9"/>
      <c r="I686" s="9"/>
      <c r="J686" s="10"/>
      <c r="K686" s="9"/>
      <c r="L686" s="9"/>
      <c r="M686" s="9"/>
      <c r="N686" s="9"/>
      <c r="O686" s="9"/>
      <c r="P686" s="9"/>
      <c r="S686" s="9"/>
      <c r="T686" s="9"/>
      <c r="U686" s="9"/>
      <c r="V686" s="9"/>
      <c r="W686" s="9"/>
      <c r="X686" s="9"/>
    </row>
    <row r="687" spans="3:24">
      <c r="C687" s="9"/>
      <c r="D687" s="9"/>
      <c r="E687" s="9"/>
      <c r="F687" s="9"/>
      <c r="G687" s="9"/>
      <c r="H687" s="9"/>
      <c r="I687" s="9"/>
      <c r="J687" s="10"/>
      <c r="K687" s="9"/>
      <c r="L687" s="9"/>
      <c r="M687" s="9"/>
      <c r="N687" s="9"/>
      <c r="O687" s="9"/>
      <c r="P687" s="9"/>
      <c r="S687" s="9"/>
      <c r="T687" s="9"/>
      <c r="U687" s="9"/>
      <c r="V687" s="9"/>
      <c r="W687" s="9"/>
      <c r="X687" s="9"/>
    </row>
    <row r="688" spans="3:24">
      <c r="C688" s="9"/>
      <c r="D688" s="9"/>
      <c r="E688" s="9"/>
      <c r="F688" s="9"/>
      <c r="G688" s="9"/>
      <c r="H688" s="9"/>
      <c r="I688" s="9"/>
      <c r="J688" s="10"/>
      <c r="K688" s="9"/>
      <c r="L688" s="9"/>
      <c r="M688" s="9"/>
      <c r="N688" s="9"/>
      <c r="O688" s="9"/>
      <c r="P688" s="9"/>
      <c r="S688" s="9"/>
      <c r="T688" s="9"/>
      <c r="U688" s="9"/>
      <c r="V688" s="9"/>
      <c r="W688" s="9"/>
      <c r="X688" s="9"/>
    </row>
    <row r="689" spans="3:24">
      <c r="C689" s="9"/>
      <c r="D689" s="9"/>
      <c r="E689" s="9"/>
      <c r="F689" s="9"/>
      <c r="G689" s="9"/>
      <c r="H689" s="9"/>
      <c r="I689" s="9"/>
      <c r="J689" s="10"/>
      <c r="K689" s="9"/>
      <c r="L689" s="9"/>
      <c r="M689" s="9"/>
      <c r="N689" s="9"/>
      <c r="O689" s="9"/>
      <c r="P689" s="9"/>
      <c r="S689" s="9"/>
      <c r="T689" s="9"/>
      <c r="U689" s="9"/>
      <c r="V689" s="9"/>
      <c r="W689" s="9"/>
      <c r="X689" s="9"/>
    </row>
    <row r="690" spans="3:24">
      <c r="C690" s="9"/>
      <c r="D690" s="9"/>
      <c r="E690" s="9"/>
      <c r="F690" s="9"/>
      <c r="G690" s="9"/>
      <c r="H690" s="9"/>
      <c r="I690" s="9"/>
      <c r="J690" s="10"/>
      <c r="K690" s="9"/>
      <c r="L690" s="9"/>
      <c r="M690" s="9"/>
      <c r="N690" s="9"/>
      <c r="O690" s="9"/>
      <c r="P690" s="9"/>
      <c r="S690" s="9"/>
      <c r="T690" s="9"/>
      <c r="U690" s="9"/>
      <c r="V690" s="9"/>
      <c r="W690" s="9"/>
      <c r="X690" s="9"/>
    </row>
    <row r="691" spans="3:24">
      <c r="C691" s="9"/>
      <c r="D691" s="9"/>
      <c r="E691" s="9"/>
      <c r="F691" s="9"/>
      <c r="G691" s="9"/>
      <c r="H691" s="9"/>
      <c r="I691" s="9"/>
      <c r="J691" s="10"/>
      <c r="K691" s="9"/>
      <c r="L691" s="9"/>
      <c r="M691" s="9"/>
      <c r="N691" s="9"/>
      <c r="O691" s="9"/>
      <c r="P691" s="9"/>
      <c r="S691" s="9"/>
      <c r="T691" s="9"/>
      <c r="U691" s="9"/>
      <c r="V691" s="9"/>
      <c r="W691" s="9"/>
      <c r="X691" s="9"/>
    </row>
    <row r="692" spans="3:24">
      <c r="C692" s="9"/>
      <c r="D692" s="9"/>
      <c r="E692" s="9"/>
      <c r="F692" s="9"/>
      <c r="G692" s="9"/>
      <c r="H692" s="9"/>
      <c r="I692" s="9"/>
      <c r="J692" s="10"/>
      <c r="K692" s="9"/>
      <c r="L692" s="9"/>
      <c r="M692" s="9"/>
      <c r="N692" s="9"/>
      <c r="O692" s="9"/>
      <c r="P692" s="9"/>
      <c r="S692" s="9"/>
      <c r="T692" s="9"/>
      <c r="U692" s="9"/>
      <c r="V692" s="9"/>
      <c r="W692" s="9"/>
      <c r="X692" s="9"/>
    </row>
    <row r="693" spans="3:24">
      <c r="C693" s="9"/>
      <c r="D693" s="9"/>
      <c r="E693" s="9"/>
      <c r="F693" s="9"/>
      <c r="G693" s="9"/>
      <c r="H693" s="9"/>
      <c r="I693" s="9"/>
      <c r="J693" s="10"/>
      <c r="K693" s="9"/>
      <c r="L693" s="9"/>
      <c r="M693" s="9"/>
      <c r="N693" s="9"/>
      <c r="O693" s="9"/>
      <c r="P693" s="9"/>
      <c r="S693" s="9"/>
      <c r="T693" s="9"/>
      <c r="U693" s="9"/>
      <c r="V693" s="9"/>
      <c r="W693" s="9"/>
      <c r="X693" s="9"/>
    </row>
    <row r="694" spans="3:24">
      <c r="C694" s="9"/>
      <c r="D694" s="9"/>
      <c r="E694" s="9"/>
      <c r="F694" s="9"/>
      <c r="G694" s="9"/>
      <c r="H694" s="9"/>
      <c r="I694" s="9"/>
      <c r="J694" s="10"/>
      <c r="K694" s="9"/>
      <c r="L694" s="9"/>
      <c r="M694" s="9"/>
      <c r="N694" s="9"/>
      <c r="O694" s="9"/>
      <c r="P694" s="9"/>
      <c r="S694" s="9"/>
      <c r="T694" s="9"/>
      <c r="U694" s="9"/>
      <c r="V694" s="9"/>
      <c r="W694" s="9"/>
      <c r="X694" s="9"/>
    </row>
    <row r="695" spans="3:24">
      <c r="C695" s="9"/>
      <c r="D695" s="9"/>
      <c r="E695" s="9"/>
      <c r="F695" s="9"/>
      <c r="G695" s="9"/>
      <c r="H695" s="9"/>
      <c r="I695" s="9"/>
      <c r="J695" s="10"/>
      <c r="K695" s="9"/>
      <c r="L695" s="9"/>
      <c r="M695" s="9"/>
      <c r="N695" s="9"/>
      <c r="O695" s="9"/>
      <c r="P695" s="9"/>
      <c r="S695" s="9"/>
      <c r="T695" s="9"/>
      <c r="U695" s="9"/>
      <c r="V695" s="9"/>
      <c r="W695" s="9"/>
      <c r="X695" s="9"/>
    </row>
    <row r="696" spans="3:24">
      <c r="C696" s="9"/>
      <c r="D696" s="9"/>
      <c r="E696" s="9"/>
      <c r="F696" s="9"/>
      <c r="G696" s="9"/>
      <c r="H696" s="9"/>
      <c r="I696" s="9"/>
      <c r="J696" s="10"/>
      <c r="K696" s="9"/>
      <c r="L696" s="9"/>
      <c r="M696" s="9"/>
      <c r="N696" s="9"/>
      <c r="O696" s="9"/>
      <c r="P696" s="9"/>
      <c r="S696" s="9"/>
      <c r="T696" s="9"/>
      <c r="U696" s="9"/>
      <c r="V696" s="9"/>
      <c r="W696" s="9"/>
      <c r="X696" s="9"/>
    </row>
    <row r="697" spans="3:24">
      <c r="C697" s="9"/>
      <c r="D697" s="9"/>
      <c r="E697" s="9"/>
      <c r="F697" s="9"/>
      <c r="G697" s="9"/>
      <c r="H697" s="9"/>
      <c r="I697" s="9"/>
      <c r="J697" s="10"/>
      <c r="K697" s="9"/>
      <c r="L697" s="9"/>
      <c r="M697" s="9"/>
      <c r="N697" s="9"/>
      <c r="O697" s="9"/>
      <c r="P697" s="9"/>
      <c r="S697" s="9"/>
      <c r="T697" s="9"/>
      <c r="U697" s="9"/>
      <c r="V697" s="9"/>
      <c r="W697" s="9"/>
      <c r="X697" s="9"/>
    </row>
    <row r="698" spans="3:24">
      <c r="C698" s="9"/>
      <c r="D698" s="9"/>
      <c r="E698" s="9"/>
      <c r="F698" s="9"/>
      <c r="G698" s="9"/>
      <c r="H698" s="9"/>
      <c r="I698" s="9"/>
      <c r="J698" s="10"/>
      <c r="K698" s="9"/>
      <c r="L698" s="9"/>
      <c r="M698" s="9"/>
      <c r="N698" s="9"/>
      <c r="O698" s="9"/>
      <c r="P698" s="9"/>
      <c r="S698" s="9"/>
      <c r="T698" s="9"/>
      <c r="U698" s="9"/>
      <c r="V698" s="9"/>
      <c r="W698" s="9"/>
      <c r="X698" s="9"/>
    </row>
    <row r="699" spans="3:24">
      <c r="C699" s="9"/>
      <c r="D699" s="9"/>
      <c r="E699" s="9"/>
      <c r="F699" s="9"/>
      <c r="G699" s="9"/>
      <c r="H699" s="9"/>
      <c r="I699" s="9"/>
      <c r="J699" s="10"/>
      <c r="K699" s="9"/>
      <c r="L699" s="9"/>
      <c r="M699" s="9"/>
      <c r="N699" s="9"/>
      <c r="O699" s="9"/>
      <c r="P699" s="9"/>
      <c r="S699" s="9"/>
      <c r="T699" s="9"/>
      <c r="U699" s="9"/>
      <c r="V699" s="9"/>
      <c r="W699" s="9"/>
      <c r="X699" s="9"/>
    </row>
    <row r="700" spans="3:24">
      <c r="C700" s="9"/>
      <c r="D700" s="9"/>
      <c r="E700" s="9"/>
      <c r="F700" s="9"/>
      <c r="G700" s="9"/>
      <c r="H700" s="9"/>
      <c r="I700" s="9"/>
      <c r="J700" s="10"/>
      <c r="K700" s="9"/>
      <c r="L700" s="9"/>
      <c r="M700" s="9"/>
      <c r="N700" s="9"/>
      <c r="O700" s="9"/>
      <c r="P700" s="9"/>
      <c r="S700" s="9"/>
      <c r="T700" s="9"/>
      <c r="U700" s="9"/>
      <c r="V700" s="9"/>
      <c r="W700" s="9"/>
      <c r="X700" s="9"/>
    </row>
    <row r="701" spans="3:24">
      <c r="C701" s="9"/>
      <c r="D701" s="9"/>
      <c r="E701" s="9"/>
      <c r="F701" s="9"/>
      <c r="G701" s="9"/>
      <c r="H701" s="9"/>
      <c r="I701" s="9"/>
      <c r="J701" s="10"/>
      <c r="K701" s="9"/>
      <c r="L701" s="9"/>
      <c r="M701" s="9"/>
      <c r="N701" s="9"/>
      <c r="O701" s="9"/>
      <c r="P701" s="9"/>
      <c r="S701" s="9"/>
      <c r="T701" s="9"/>
      <c r="U701" s="9"/>
      <c r="V701" s="9"/>
      <c r="W701" s="9"/>
      <c r="X701" s="9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702"/>
  <sheetViews>
    <sheetView showGridLines="0" zoomScale="85" zoomScaleNormal="85" workbookViewId="0">
      <pane xSplit="1" topLeftCell="B1" activePane="topRight" state="frozen"/>
      <selection activeCell="A96" sqref="A96"/>
      <selection pane="topRight"/>
    </sheetView>
  </sheetViews>
  <sheetFormatPr defaultRowHeight="12" outlineLevelCol="1"/>
  <cols>
    <col min="1" max="1" width="42.42578125" style="2" customWidth="1"/>
    <col min="2" max="2" width="3.7109375" style="2" customWidth="1"/>
    <col min="3" max="3" width="10.7109375" style="2" customWidth="1"/>
    <col min="4" max="4" width="9.28515625" style="2" customWidth="1"/>
    <col min="5" max="5" width="11" style="2" customWidth="1" outlineLevel="1"/>
    <col min="6" max="6" width="9.42578125" style="2" customWidth="1" outlineLevel="1"/>
    <col min="7" max="11" width="9.42578125" style="2" bestFit="1" customWidth="1"/>
    <col min="12" max="12" width="9.140625" style="2"/>
    <col min="13" max="13" width="9.28515625" style="2" bestFit="1" customWidth="1"/>
    <col min="14" max="243" width="9.140625" style="2"/>
    <col min="244" max="244" width="42.42578125" style="2" customWidth="1"/>
    <col min="245" max="245" width="3.7109375" style="2" customWidth="1"/>
    <col min="246" max="246" width="12.28515625" style="2" customWidth="1"/>
    <col min="247" max="247" width="10.7109375" style="2" customWidth="1"/>
    <col min="248" max="248" width="10.28515625" style="2" customWidth="1"/>
    <col min="249" max="250" width="10" style="2" customWidth="1"/>
    <col min="251" max="251" width="9" style="2" customWidth="1"/>
    <col min="252" max="252" width="9.28515625" style="2" customWidth="1"/>
    <col min="253" max="255" width="9" style="2" customWidth="1"/>
    <col min="256" max="256" width="10.7109375" style="2" customWidth="1"/>
    <col min="257" max="261" width="11" style="2" customWidth="1"/>
    <col min="262" max="262" width="9.42578125" style="2" customWidth="1"/>
    <col min="263" max="267" width="9.42578125" style="2" bestFit="1" customWidth="1"/>
    <col min="268" max="268" width="9.140625" style="2"/>
    <col min="269" max="269" width="9.28515625" style="2" bestFit="1" customWidth="1"/>
    <col min="270" max="499" width="9.140625" style="2"/>
    <col min="500" max="500" width="42.42578125" style="2" customWidth="1"/>
    <col min="501" max="501" width="3.7109375" style="2" customWidth="1"/>
    <col min="502" max="502" width="12.28515625" style="2" customWidth="1"/>
    <col min="503" max="503" width="10.7109375" style="2" customWidth="1"/>
    <col min="504" max="504" width="10.28515625" style="2" customWidth="1"/>
    <col min="505" max="506" width="10" style="2" customWidth="1"/>
    <col min="507" max="507" width="9" style="2" customWidth="1"/>
    <col min="508" max="508" width="9.28515625" style="2" customWidth="1"/>
    <col min="509" max="511" width="9" style="2" customWidth="1"/>
    <col min="512" max="512" width="10.7109375" style="2" customWidth="1"/>
    <col min="513" max="517" width="11" style="2" customWidth="1"/>
    <col min="518" max="518" width="9.42578125" style="2" customWidth="1"/>
    <col min="519" max="523" width="9.42578125" style="2" bestFit="1" customWidth="1"/>
    <col min="524" max="524" width="9.140625" style="2"/>
    <col min="525" max="525" width="9.28515625" style="2" bestFit="1" customWidth="1"/>
    <col min="526" max="755" width="9.140625" style="2"/>
    <col min="756" max="756" width="42.42578125" style="2" customWidth="1"/>
    <col min="757" max="757" width="3.7109375" style="2" customWidth="1"/>
    <col min="758" max="758" width="12.28515625" style="2" customWidth="1"/>
    <col min="759" max="759" width="10.7109375" style="2" customWidth="1"/>
    <col min="760" max="760" width="10.28515625" style="2" customWidth="1"/>
    <col min="761" max="762" width="10" style="2" customWidth="1"/>
    <col min="763" max="763" width="9" style="2" customWidth="1"/>
    <col min="764" max="764" width="9.28515625" style="2" customWidth="1"/>
    <col min="765" max="767" width="9" style="2" customWidth="1"/>
    <col min="768" max="768" width="10.7109375" style="2" customWidth="1"/>
    <col min="769" max="773" width="11" style="2" customWidth="1"/>
    <col min="774" max="774" width="9.42578125" style="2" customWidth="1"/>
    <col min="775" max="779" width="9.42578125" style="2" bestFit="1" customWidth="1"/>
    <col min="780" max="780" width="9.140625" style="2"/>
    <col min="781" max="781" width="9.28515625" style="2" bestFit="1" customWidth="1"/>
    <col min="782" max="1011" width="9.140625" style="2"/>
    <col min="1012" max="1012" width="42.42578125" style="2" customWidth="1"/>
    <col min="1013" max="1013" width="3.7109375" style="2" customWidth="1"/>
    <col min="1014" max="1014" width="12.28515625" style="2" customWidth="1"/>
    <col min="1015" max="1015" width="10.7109375" style="2" customWidth="1"/>
    <col min="1016" max="1016" width="10.28515625" style="2" customWidth="1"/>
    <col min="1017" max="1018" width="10" style="2" customWidth="1"/>
    <col min="1019" max="1019" width="9" style="2" customWidth="1"/>
    <col min="1020" max="1020" width="9.28515625" style="2" customWidth="1"/>
    <col min="1021" max="1023" width="9" style="2" customWidth="1"/>
    <col min="1024" max="1024" width="10.7109375" style="2" customWidth="1"/>
    <col min="1025" max="1029" width="11" style="2" customWidth="1"/>
    <col min="1030" max="1030" width="9.42578125" style="2" customWidth="1"/>
    <col min="1031" max="1035" width="9.42578125" style="2" bestFit="1" customWidth="1"/>
    <col min="1036" max="1036" width="9.140625" style="2"/>
    <col min="1037" max="1037" width="9.28515625" style="2" bestFit="1" customWidth="1"/>
    <col min="1038" max="1267" width="9.140625" style="2"/>
    <col min="1268" max="1268" width="42.42578125" style="2" customWidth="1"/>
    <col min="1269" max="1269" width="3.7109375" style="2" customWidth="1"/>
    <col min="1270" max="1270" width="12.28515625" style="2" customWidth="1"/>
    <col min="1271" max="1271" width="10.7109375" style="2" customWidth="1"/>
    <col min="1272" max="1272" width="10.28515625" style="2" customWidth="1"/>
    <col min="1273" max="1274" width="10" style="2" customWidth="1"/>
    <col min="1275" max="1275" width="9" style="2" customWidth="1"/>
    <col min="1276" max="1276" width="9.28515625" style="2" customWidth="1"/>
    <col min="1277" max="1279" width="9" style="2" customWidth="1"/>
    <col min="1280" max="1280" width="10.7109375" style="2" customWidth="1"/>
    <col min="1281" max="1285" width="11" style="2" customWidth="1"/>
    <col min="1286" max="1286" width="9.42578125" style="2" customWidth="1"/>
    <col min="1287" max="1291" width="9.42578125" style="2" bestFit="1" customWidth="1"/>
    <col min="1292" max="1292" width="9.140625" style="2"/>
    <col min="1293" max="1293" width="9.28515625" style="2" bestFit="1" customWidth="1"/>
    <col min="1294" max="1523" width="9.140625" style="2"/>
    <col min="1524" max="1524" width="42.42578125" style="2" customWidth="1"/>
    <col min="1525" max="1525" width="3.7109375" style="2" customWidth="1"/>
    <col min="1526" max="1526" width="12.28515625" style="2" customWidth="1"/>
    <col min="1527" max="1527" width="10.7109375" style="2" customWidth="1"/>
    <col min="1528" max="1528" width="10.28515625" style="2" customWidth="1"/>
    <col min="1529" max="1530" width="10" style="2" customWidth="1"/>
    <col min="1531" max="1531" width="9" style="2" customWidth="1"/>
    <col min="1532" max="1532" width="9.28515625" style="2" customWidth="1"/>
    <col min="1533" max="1535" width="9" style="2" customWidth="1"/>
    <col min="1536" max="1536" width="10.7109375" style="2" customWidth="1"/>
    <col min="1537" max="1541" width="11" style="2" customWidth="1"/>
    <col min="1542" max="1542" width="9.42578125" style="2" customWidth="1"/>
    <col min="1543" max="1547" width="9.42578125" style="2" bestFit="1" customWidth="1"/>
    <col min="1548" max="1548" width="9.140625" style="2"/>
    <col min="1549" max="1549" width="9.28515625" style="2" bestFit="1" customWidth="1"/>
    <col min="1550" max="1779" width="9.140625" style="2"/>
    <col min="1780" max="1780" width="42.42578125" style="2" customWidth="1"/>
    <col min="1781" max="1781" width="3.7109375" style="2" customWidth="1"/>
    <col min="1782" max="1782" width="12.28515625" style="2" customWidth="1"/>
    <col min="1783" max="1783" width="10.7109375" style="2" customWidth="1"/>
    <col min="1784" max="1784" width="10.28515625" style="2" customWidth="1"/>
    <col min="1785" max="1786" width="10" style="2" customWidth="1"/>
    <col min="1787" max="1787" width="9" style="2" customWidth="1"/>
    <col min="1788" max="1788" width="9.28515625" style="2" customWidth="1"/>
    <col min="1789" max="1791" width="9" style="2" customWidth="1"/>
    <col min="1792" max="1792" width="10.7109375" style="2" customWidth="1"/>
    <col min="1793" max="1797" width="11" style="2" customWidth="1"/>
    <col min="1798" max="1798" width="9.42578125" style="2" customWidth="1"/>
    <col min="1799" max="1803" width="9.42578125" style="2" bestFit="1" customWidth="1"/>
    <col min="1804" max="1804" width="9.140625" style="2"/>
    <col min="1805" max="1805" width="9.28515625" style="2" bestFit="1" customWidth="1"/>
    <col min="1806" max="2035" width="9.140625" style="2"/>
    <col min="2036" max="2036" width="42.42578125" style="2" customWidth="1"/>
    <col min="2037" max="2037" width="3.7109375" style="2" customWidth="1"/>
    <col min="2038" max="2038" width="12.28515625" style="2" customWidth="1"/>
    <col min="2039" max="2039" width="10.7109375" style="2" customWidth="1"/>
    <col min="2040" max="2040" width="10.28515625" style="2" customWidth="1"/>
    <col min="2041" max="2042" width="10" style="2" customWidth="1"/>
    <col min="2043" max="2043" width="9" style="2" customWidth="1"/>
    <col min="2044" max="2044" width="9.28515625" style="2" customWidth="1"/>
    <col min="2045" max="2047" width="9" style="2" customWidth="1"/>
    <col min="2048" max="2048" width="10.7109375" style="2" customWidth="1"/>
    <col min="2049" max="2053" width="11" style="2" customWidth="1"/>
    <col min="2054" max="2054" width="9.42578125" style="2" customWidth="1"/>
    <col min="2055" max="2059" width="9.42578125" style="2" bestFit="1" customWidth="1"/>
    <col min="2060" max="2060" width="9.140625" style="2"/>
    <col min="2061" max="2061" width="9.28515625" style="2" bestFit="1" customWidth="1"/>
    <col min="2062" max="2291" width="9.140625" style="2"/>
    <col min="2292" max="2292" width="42.42578125" style="2" customWidth="1"/>
    <col min="2293" max="2293" width="3.7109375" style="2" customWidth="1"/>
    <col min="2294" max="2294" width="12.28515625" style="2" customWidth="1"/>
    <col min="2295" max="2295" width="10.7109375" style="2" customWidth="1"/>
    <col min="2296" max="2296" width="10.28515625" style="2" customWidth="1"/>
    <col min="2297" max="2298" width="10" style="2" customWidth="1"/>
    <col min="2299" max="2299" width="9" style="2" customWidth="1"/>
    <col min="2300" max="2300" width="9.28515625" style="2" customWidth="1"/>
    <col min="2301" max="2303" width="9" style="2" customWidth="1"/>
    <col min="2304" max="2304" width="10.7109375" style="2" customWidth="1"/>
    <col min="2305" max="2309" width="11" style="2" customWidth="1"/>
    <col min="2310" max="2310" width="9.42578125" style="2" customWidth="1"/>
    <col min="2311" max="2315" width="9.42578125" style="2" bestFit="1" customWidth="1"/>
    <col min="2316" max="2316" width="9.140625" style="2"/>
    <col min="2317" max="2317" width="9.28515625" style="2" bestFit="1" customWidth="1"/>
    <col min="2318" max="2547" width="9.140625" style="2"/>
    <col min="2548" max="2548" width="42.42578125" style="2" customWidth="1"/>
    <col min="2549" max="2549" width="3.7109375" style="2" customWidth="1"/>
    <col min="2550" max="2550" width="12.28515625" style="2" customWidth="1"/>
    <col min="2551" max="2551" width="10.7109375" style="2" customWidth="1"/>
    <col min="2552" max="2552" width="10.28515625" style="2" customWidth="1"/>
    <col min="2553" max="2554" width="10" style="2" customWidth="1"/>
    <col min="2555" max="2555" width="9" style="2" customWidth="1"/>
    <col min="2556" max="2556" width="9.28515625" style="2" customWidth="1"/>
    <col min="2557" max="2559" width="9" style="2" customWidth="1"/>
    <col min="2560" max="2560" width="10.7109375" style="2" customWidth="1"/>
    <col min="2561" max="2565" width="11" style="2" customWidth="1"/>
    <col min="2566" max="2566" width="9.42578125" style="2" customWidth="1"/>
    <col min="2567" max="2571" width="9.42578125" style="2" bestFit="1" customWidth="1"/>
    <col min="2572" max="2572" width="9.140625" style="2"/>
    <col min="2573" max="2573" width="9.28515625" style="2" bestFit="1" customWidth="1"/>
    <col min="2574" max="2803" width="9.140625" style="2"/>
    <col min="2804" max="2804" width="42.42578125" style="2" customWidth="1"/>
    <col min="2805" max="2805" width="3.7109375" style="2" customWidth="1"/>
    <col min="2806" max="2806" width="12.28515625" style="2" customWidth="1"/>
    <col min="2807" max="2807" width="10.7109375" style="2" customWidth="1"/>
    <col min="2808" max="2808" width="10.28515625" style="2" customWidth="1"/>
    <col min="2809" max="2810" width="10" style="2" customWidth="1"/>
    <col min="2811" max="2811" width="9" style="2" customWidth="1"/>
    <col min="2812" max="2812" width="9.28515625" style="2" customWidth="1"/>
    <col min="2813" max="2815" width="9" style="2" customWidth="1"/>
    <col min="2816" max="2816" width="10.7109375" style="2" customWidth="1"/>
    <col min="2817" max="2821" width="11" style="2" customWidth="1"/>
    <col min="2822" max="2822" width="9.42578125" style="2" customWidth="1"/>
    <col min="2823" max="2827" width="9.42578125" style="2" bestFit="1" customWidth="1"/>
    <col min="2828" max="2828" width="9.140625" style="2"/>
    <col min="2829" max="2829" width="9.28515625" style="2" bestFit="1" customWidth="1"/>
    <col min="2830" max="3059" width="9.140625" style="2"/>
    <col min="3060" max="3060" width="42.42578125" style="2" customWidth="1"/>
    <col min="3061" max="3061" width="3.7109375" style="2" customWidth="1"/>
    <col min="3062" max="3062" width="12.28515625" style="2" customWidth="1"/>
    <col min="3063" max="3063" width="10.7109375" style="2" customWidth="1"/>
    <col min="3064" max="3064" width="10.28515625" style="2" customWidth="1"/>
    <col min="3065" max="3066" width="10" style="2" customWidth="1"/>
    <col min="3067" max="3067" width="9" style="2" customWidth="1"/>
    <col min="3068" max="3068" width="9.28515625" style="2" customWidth="1"/>
    <col min="3069" max="3071" width="9" style="2" customWidth="1"/>
    <col min="3072" max="3072" width="10.7109375" style="2" customWidth="1"/>
    <col min="3073" max="3077" width="11" style="2" customWidth="1"/>
    <col min="3078" max="3078" width="9.42578125" style="2" customWidth="1"/>
    <col min="3079" max="3083" width="9.42578125" style="2" bestFit="1" customWidth="1"/>
    <col min="3084" max="3084" width="9.140625" style="2"/>
    <col min="3085" max="3085" width="9.28515625" style="2" bestFit="1" customWidth="1"/>
    <col min="3086" max="3315" width="9.140625" style="2"/>
    <col min="3316" max="3316" width="42.42578125" style="2" customWidth="1"/>
    <col min="3317" max="3317" width="3.7109375" style="2" customWidth="1"/>
    <col min="3318" max="3318" width="12.28515625" style="2" customWidth="1"/>
    <col min="3319" max="3319" width="10.7109375" style="2" customWidth="1"/>
    <col min="3320" max="3320" width="10.28515625" style="2" customWidth="1"/>
    <col min="3321" max="3322" width="10" style="2" customWidth="1"/>
    <col min="3323" max="3323" width="9" style="2" customWidth="1"/>
    <col min="3324" max="3324" width="9.28515625" style="2" customWidth="1"/>
    <col min="3325" max="3327" width="9" style="2" customWidth="1"/>
    <col min="3328" max="3328" width="10.7109375" style="2" customWidth="1"/>
    <col min="3329" max="3333" width="11" style="2" customWidth="1"/>
    <col min="3334" max="3334" width="9.42578125" style="2" customWidth="1"/>
    <col min="3335" max="3339" width="9.42578125" style="2" bestFit="1" customWidth="1"/>
    <col min="3340" max="3340" width="9.140625" style="2"/>
    <col min="3341" max="3341" width="9.28515625" style="2" bestFit="1" customWidth="1"/>
    <col min="3342" max="3571" width="9.140625" style="2"/>
    <col min="3572" max="3572" width="42.42578125" style="2" customWidth="1"/>
    <col min="3573" max="3573" width="3.7109375" style="2" customWidth="1"/>
    <col min="3574" max="3574" width="12.28515625" style="2" customWidth="1"/>
    <col min="3575" max="3575" width="10.7109375" style="2" customWidth="1"/>
    <col min="3576" max="3576" width="10.28515625" style="2" customWidth="1"/>
    <col min="3577" max="3578" width="10" style="2" customWidth="1"/>
    <col min="3579" max="3579" width="9" style="2" customWidth="1"/>
    <col min="3580" max="3580" width="9.28515625" style="2" customWidth="1"/>
    <col min="3581" max="3583" width="9" style="2" customWidth="1"/>
    <col min="3584" max="3584" width="10.7109375" style="2" customWidth="1"/>
    <col min="3585" max="3589" width="11" style="2" customWidth="1"/>
    <col min="3590" max="3590" width="9.42578125" style="2" customWidth="1"/>
    <col min="3591" max="3595" width="9.42578125" style="2" bestFit="1" customWidth="1"/>
    <col min="3596" max="3596" width="9.140625" style="2"/>
    <col min="3597" max="3597" width="9.28515625" style="2" bestFit="1" customWidth="1"/>
    <col min="3598" max="3827" width="9.140625" style="2"/>
    <col min="3828" max="3828" width="42.42578125" style="2" customWidth="1"/>
    <col min="3829" max="3829" width="3.7109375" style="2" customWidth="1"/>
    <col min="3830" max="3830" width="12.28515625" style="2" customWidth="1"/>
    <col min="3831" max="3831" width="10.7109375" style="2" customWidth="1"/>
    <col min="3832" max="3832" width="10.28515625" style="2" customWidth="1"/>
    <col min="3833" max="3834" width="10" style="2" customWidth="1"/>
    <col min="3835" max="3835" width="9" style="2" customWidth="1"/>
    <col min="3836" max="3836" width="9.28515625" style="2" customWidth="1"/>
    <col min="3837" max="3839" width="9" style="2" customWidth="1"/>
    <col min="3840" max="3840" width="10.7109375" style="2" customWidth="1"/>
    <col min="3841" max="3845" width="11" style="2" customWidth="1"/>
    <col min="3846" max="3846" width="9.42578125" style="2" customWidth="1"/>
    <col min="3847" max="3851" width="9.42578125" style="2" bestFit="1" customWidth="1"/>
    <col min="3852" max="3852" width="9.140625" style="2"/>
    <col min="3853" max="3853" width="9.28515625" style="2" bestFit="1" customWidth="1"/>
    <col min="3854" max="4083" width="9.140625" style="2"/>
    <col min="4084" max="4084" width="42.42578125" style="2" customWidth="1"/>
    <col min="4085" max="4085" width="3.7109375" style="2" customWidth="1"/>
    <col min="4086" max="4086" width="12.28515625" style="2" customWidth="1"/>
    <col min="4087" max="4087" width="10.7109375" style="2" customWidth="1"/>
    <col min="4088" max="4088" width="10.28515625" style="2" customWidth="1"/>
    <col min="4089" max="4090" width="10" style="2" customWidth="1"/>
    <col min="4091" max="4091" width="9" style="2" customWidth="1"/>
    <col min="4092" max="4092" width="9.28515625" style="2" customWidth="1"/>
    <col min="4093" max="4095" width="9" style="2" customWidth="1"/>
    <col min="4096" max="4096" width="10.7109375" style="2" customWidth="1"/>
    <col min="4097" max="4101" width="11" style="2" customWidth="1"/>
    <col min="4102" max="4102" width="9.42578125" style="2" customWidth="1"/>
    <col min="4103" max="4107" width="9.42578125" style="2" bestFit="1" customWidth="1"/>
    <col min="4108" max="4108" width="9.140625" style="2"/>
    <col min="4109" max="4109" width="9.28515625" style="2" bestFit="1" customWidth="1"/>
    <col min="4110" max="4339" width="9.140625" style="2"/>
    <col min="4340" max="4340" width="42.42578125" style="2" customWidth="1"/>
    <col min="4341" max="4341" width="3.7109375" style="2" customWidth="1"/>
    <col min="4342" max="4342" width="12.28515625" style="2" customWidth="1"/>
    <col min="4343" max="4343" width="10.7109375" style="2" customWidth="1"/>
    <col min="4344" max="4344" width="10.28515625" style="2" customWidth="1"/>
    <col min="4345" max="4346" width="10" style="2" customWidth="1"/>
    <col min="4347" max="4347" width="9" style="2" customWidth="1"/>
    <col min="4348" max="4348" width="9.28515625" style="2" customWidth="1"/>
    <col min="4349" max="4351" width="9" style="2" customWidth="1"/>
    <col min="4352" max="4352" width="10.7109375" style="2" customWidth="1"/>
    <col min="4353" max="4357" width="11" style="2" customWidth="1"/>
    <col min="4358" max="4358" width="9.42578125" style="2" customWidth="1"/>
    <col min="4359" max="4363" width="9.42578125" style="2" bestFit="1" customWidth="1"/>
    <col min="4364" max="4364" width="9.140625" style="2"/>
    <col min="4365" max="4365" width="9.28515625" style="2" bestFit="1" customWidth="1"/>
    <col min="4366" max="4595" width="9.140625" style="2"/>
    <col min="4596" max="4596" width="42.42578125" style="2" customWidth="1"/>
    <col min="4597" max="4597" width="3.7109375" style="2" customWidth="1"/>
    <col min="4598" max="4598" width="12.28515625" style="2" customWidth="1"/>
    <col min="4599" max="4599" width="10.7109375" style="2" customWidth="1"/>
    <col min="4600" max="4600" width="10.28515625" style="2" customWidth="1"/>
    <col min="4601" max="4602" width="10" style="2" customWidth="1"/>
    <col min="4603" max="4603" width="9" style="2" customWidth="1"/>
    <col min="4604" max="4604" width="9.28515625" style="2" customWidth="1"/>
    <col min="4605" max="4607" width="9" style="2" customWidth="1"/>
    <col min="4608" max="4608" width="10.7109375" style="2" customWidth="1"/>
    <col min="4609" max="4613" width="11" style="2" customWidth="1"/>
    <col min="4614" max="4614" width="9.42578125" style="2" customWidth="1"/>
    <col min="4615" max="4619" width="9.42578125" style="2" bestFit="1" customWidth="1"/>
    <col min="4620" max="4620" width="9.140625" style="2"/>
    <col min="4621" max="4621" width="9.28515625" style="2" bestFit="1" customWidth="1"/>
    <col min="4622" max="4851" width="9.140625" style="2"/>
    <col min="4852" max="4852" width="42.42578125" style="2" customWidth="1"/>
    <col min="4853" max="4853" width="3.7109375" style="2" customWidth="1"/>
    <col min="4854" max="4854" width="12.28515625" style="2" customWidth="1"/>
    <col min="4855" max="4855" width="10.7109375" style="2" customWidth="1"/>
    <col min="4856" max="4856" width="10.28515625" style="2" customWidth="1"/>
    <col min="4857" max="4858" width="10" style="2" customWidth="1"/>
    <col min="4859" max="4859" width="9" style="2" customWidth="1"/>
    <col min="4860" max="4860" width="9.28515625" style="2" customWidth="1"/>
    <col min="4861" max="4863" width="9" style="2" customWidth="1"/>
    <col min="4864" max="4864" width="10.7109375" style="2" customWidth="1"/>
    <col min="4865" max="4869" width="11" style="2" customWidth="1"/>
    <col min="4870" max="4870" width="9.42578125" style="2" customWidth="1"/>
    <col min="4871" max="4875" width="9.42578125" style="2" bestFit="1" customWidth="1"/>
    <col min="4876" max="4876" width="9.140625" style="2"/>
    <col min="4877" max="4877" width="9.28515625" style="2" bestFit="1" customWidth="1"/>
    <col min="4878" max="5107" width="9.140625" style="2"/>
    <col min="5108" max="5108" width="42.42578125" style="2" customWidth="1"/>
    <col min="5109" max="5109" width="3.7109375" style="2" customWidth="1"/>
    <col min="5110" max="5110" width="12.28515625" style="2" customWidth="1"/>
    <col min="5111" max="5111" width="10.7109375" style="2" customWidth="1"/>
    <col min="5112" max="5112" width="10.28515625" style="2" customWidth="1"/>
    <col min="5113" max="5114" width="10" style="2" customWidth="1"/>
    <col min="5115" max="5115" width="9" style="2" customWidth="1"/>
    <col min="5116" max="5116" width="9.28515625" style="2" customWidth="1"/>
    <col min="5117" max="5119" width="9" style="2" customWidth="1"/>
    <col min="5120" max="5120" width="10.7109375" style="2" customWidth="1"/>
    <col min="5121" max="5125" width="11" style="2" customWidth="1"/>
    <col min="5126" max="5126" width="9.42578125" style="2" customWidth="1"/>
    <col min="5127" max="5131" width="9.42578125" style="2" bestFit="1" customWidth="1"/>
    <col min="5132" max="5132" width="9.140625" style="2"/>
    <col min="5133" max="5133" width="9.28515625" style="2" bestFit="1" customWidth="1"/>
    <col min="5134" max="5363" width="9.140625" style="2"/>
    <col min="5364" max="5364" width="42.42578125" style="2" customWidth="1"/>
    <col min="5365" max="5365" width="3.7109375" style="2" customWidth="1"/>
    <col min="5366" max="5366" width="12.28515625" style="2" customWidth="1"/>
    <col min="5367" max="5367" width="10.7109375" style="2" customWidth="1"/>
    <col min="5368" max="5368" width="10.28515625" style="2" customWidth="1"/>
    <col min="5369" max="5370" width="10" style="2" customWidth="1"/>
    <col min="5371" max="5371" width="9" style="2" customWidth="1"/>
    <col min="5372" max="5372" width="9.28515625" style="2" customWidth="1"/>
    <col min="5373" max="5375" width="9" style="2" customWidth="1"/>
    <col min="5376" max="5376" width="10.7109375" style="2" customWidth="1"/>
    <col min="5377" max="5381" width="11" style="2" customWidth="1"/>
    <col min="5382" max="5382" width="9.42578125" style="2" customWidth="1"/>
    <col min="5383" max="5387" width="9.42578125" style="2" bestFit="1" customWidth="1"/>
    <col min="5388" max="5388" width="9.140625" style="2"/>
    <col min="5389" max="5389" width="9.28515625" style="2" bestFit="1" customWidth="1"/>
    <col min="5390" max="5619" width="9.140625" style="2"/>
    <col min="5620" max="5620" width="42.42578125" style="2" customWidth="1"/>
    <col min="5621" max="5621" width="3.7109375" style="2" customWidth="1"/>
    <col min="5622" max="5622" width="12.28515625" style="2" customWidth="1"/>
    <col min="5623" max="5623" width="10.7109375" style="2" customWidth="1"/>
    <col min="5624" max="5624" width="10.28515625" style="2" customWidth="1"/>
    <col min="5625" max="5626" width="10" style="2" customWidth="1"/>
    <col min="5627" max="5627" width="9" style="2" customWidth="1"/>
    <col min="5628" max="5628" width="9.28515625" style="2" customWidth="1"/>
    <col min="5629" max="5631" width="9" style="2" customWidth="1"/>
    <col min="5632" max="5632" width="10.7109375" style="2" customWidth="1"/>
    <col min="5633" max="5637" width="11" style="2" customWidth="1"/>
    <col min="5638" max="5638" width="9.42578125" style="2" customWidth="1"/>
    <col min="5639" max="5643" width="9.42578125" style="2" bestFit="1" customWidth="1"/>
    <col min="5644" max="5644" width="9.140625" style="2"/>
    <col min="5645" max="5645" width="9.28515625" style="2" bestFit="1" customWidth="1"/>
    <col min="5646" max="5875" width="9.140625" style="2"/>
    <col min="5876" max="5876" width="42.42578125" style="2" customWidth="1"/>
    <col min="5877" max="5877" width="3.7109375" style="2" customWidth="1"/>
    <col min="5878" max="5878" width="12.28515625" style="2" customWidth="1"/>
    <col min="5879" max="5879" width="10.7109375" style="2" customWidth="1"/>
    <col min="5880" max="5880" width="10.28515625" style="2" customWidth="1"/>
    <col min="5881" max="5882" width="10" style="2" customWidth="1"/>
    <col min="5883" max="5883" width="9" style="2" customWidth="1"/>
    <col min="5884" max="5884" width="9.28515625" style="2" customWidth="1"/>
    <col min="5885" max="5887" width="9" style="2" customWidth="1"/>
    <col min="5888" max="5888" width="10.7109375" style="2" customWidth="1"/>
    <col min="5889" max="5893" width="11" style="2" customWidth="1"/>
    <col min="5894" max="5894" width="9.42578125" style="2" customWidth="1"/>
    <col min="5895" max="5899" width="9.42578125" style="2" bestFit="1" customWidth="1"/>
    <col min="5900" max="5900" width="9.140625" style="2"/>
    <col min="5901" max="5901" width="9.28515625" style="2" bestFit="1" customWidth="1"/>
    <col min="5902" max="6131" width="9.140625" style="2"/>
    <col min="6132" max="6132" width="42.42578125" style="2" customWidth="1"/>
    <col min="6133" max="6133" width="3.7109375" style="2" customWidth="1"/>
    <col min="6134" max="6134" width="12.28515625" style="2" customWidth="1"/>
    <col min="6135" max="6135" width="10.7109375" style="2" customWidth="1"/>
    <col min="6136" max="6136" width="10.28515625" style="2" customWidth="1"/>
    <col min="6137" max="6138" width="10" style="2" customWidth="1"/>
    <col min="6139" max="6139" width="9" style="2" customWidth="1"/>
    <col min="6140" max="6140" width="9.28515625" style="2" customWidth="1"/>
    <col min="6141" max="6143" width="9" style="2" customWidth="1"/>
    <col min="6144" max="6144" width="10.7109375" style="2" customWidth="1"/>
    <col min="6145" max="6149" width="11" style="2" customWidth="1"/>
    <col min="6150" max="6150" width="9.42578125" style="2" customWidth="1"/>
    <col min="6151" max="6155" width="9.42578125" style="2" bestFit="1" customWidth="1"/>
    <col min="6156" max="6156" width="9.140625" style="2"/>
    <col min="6157" max="6157" width="9.28515625" style="2" bestFit="1" customWidth="1"/>
    <col min="6158" max="6387" width="9.140625" style="2"/>
    <col min="6388" max="6388" width="42.42578125" style="2" customWidth="1"/>
    <col min="6389" max="6389" width="3.7109375" style="2" customWidth="1"/>
    <col min="6390" max="6390" width="12.28515625" style="2" customWidth="1"/>
    <col min="6391" max="6391" width="10.7109375" style="2" customWidth="1"/>
    <col min="6392" max="6392" width="10.28515625" style="2" customWidth="1"/>
    <col min="6393" max="6394" width="10" style="2" customWidth="1"/>
    <col min="6395" max="6395" width="9" style="2" customWidth="1"/>
    <col min="6396" max="6396" width="9.28515625" style="2" customWidth="1"/>
    <col min="6397" max="6399" width="9" style="2" customWidth="1"/>
    <col min="6400" max="6400" width="10.7109375" style="2" customWidth="1"/>
    <col min="6401" max="6405" width="11" style="2" customWidth="1"/>
    <col min="6406" max="6406" width="9.42578125" style="2" customWidth="1"/>
    <col min="6407" max="6411" width="9.42578125" style="2" bestFit="1" customWidth="1"/>
    <col min="6412" max="6412" width="9.140625" style="2"/>
    <col min="6413" max="6413" width="9.28515625" style="2" bestFit="1" customWidth="1"/>
    <col min="6414" max="6643" width="9.140625" style="2"/>
    <col min="6644" max="6644" width="42.42578125" style="2" customWidth="1"/>
    <col min="6645" max="6645" width="3.7109375" style="2" customWidth="1"/>
    <col min="6646" max="6646" width="12.28515625" style="2" customWidth="1"/>
    <col min="6647" max="6647" width="10.7109375" style="2" customWidth="1"/>
    <col min="6648" max="6648" width="10.28515625" style="2" customWidth="1"/>
    <col min="6649" max="6650" width="10" style="2" customWidth="1"/>
    <col min="6651" max="6651" width="9" style="2" customWidth="1"/>
    <col min="6652" max="6652" width="9.28515625" style="2" customWidth="1"/>
    <col min="6653" max="6655" width="9" style="2" customWidth="1"/>
    <col min="6656" max="6656" width="10.7109375" style="2" customWidth="1"/>
    <col min="6657" max="6661" width="11" style="2" customWidth="1"/>
    <col min="6662" max="6662" width="9.42578125" style="2" customWidth="1"/>
    <col min="6663" max="6667" width="9.42578125" style="2" bestFit="1" customWidth="1"/>
    <col min="6668" max="6668" width="9.140625" style="2"/>
    <col min="6669" max="6669" width="9.28515625" style="2" bestFit="1" customWidth="1"/>
    <col min="6670" max="6899" width="9.140625" style="2"/>
    <col min="6900" max="6900" width="42.42578125" style="2" customWidth="1"/>
    <col min="6901" max="6901" width="3.7109375" style="2" customWidth="1"/>
    <col min="6902" max="6902" width="12.28515625" style="2" customWidth="1"/>
    <col min="6903" max="6903" width="10.7109375" style="2" customWidth="1"/>
    <col min="6904" max="6904" width="10.28515625" style="2" customWidth="1"/>
    <col min="6905" max="6906" width="10" style="2" customWidth="1"/>
    <col min="6907" max="6907" width="9" style="2" customWidth="1"/>
    <col min="6908" max="6908" width="9.28515625" style="2" customWidth="1"/>
    <col min="6909" max="6911" width="9" style="2" customWidth="1"/>
    <col min="6912" max="6912" width="10.7109375" style="2" customWidth="1"/>
    <col min="6913" max="6917" width="11" style="2" customWidth="1"/>
    <col min="6918" max="6918" width="9.42578125" style="2" customWidth="1"/>
    <col min="6919" max="6923" width="9.42578125" style="2" bestFit="1" customWidth="1"/>
    <col min="6924" max="6924" width="9.140625" style="2"/>
    <col min="6925" max="6925" width="9.28515625" style="2" bestFit="1" customWidth="1"/>
    <col min="6926" max="7155" width="9.140625" style="2"/>
    <col min="7156" max="7156" width="42.42578125" style="2" customWidth="1"/>
    <col min="7157" max="7157" width="3.7109375" style="2" customWidth="1"/>
    <col min="7158" max="7158" width="12.28515625" style="2" customWidth="1"/>
    <col min="7159" max="7159" width="10.7109375" style="2" customWidth="1"/>
    <col min="7160" max="7160" width="10.28515625" style="2" customWidth="1"/>
    <col min="7161" max="7162" width="10" style="2" customWidth="1"/>
    <col min="7163" max="7163" width="9" style="2" customWidth="1"/>
    <col min="7164" max="7164" width="9.28515625" style="2" customWidth="1"/>
    <col min="7165" max="7167" width="9" style="2" customWidth="1"/>
    <col min="7168" max="7168" width="10.7109375" style="2" customWidth="1"/>
    <col min="7169" max="7173" width="11" style="2" customWidth="1"/>
    <col min="7174" max="7174" width="9.42578125" style="2" customWidth="1"/>
    <col min="7175" max="7179" width="9.42578125" style="2" bestFit="1" customWidth="1"/>
    <col min="7180" max="7180" width="9.140625" style="2"/>
    <col min="7181" max="7181" width="9.28515625" style="2" bestFit="1" customWidth="1"/>
    <col min="7182" max="7411" width="9.140625" style="2"/>
    <col min="7412" max="7412" width="42.42578125" style="2" customWidth="1"/>
    <col min="7413" max="7413" width="3.7109375" style="2" customWidth="1"/>
    <col min="7414" max="7414" width="12.28515625" style="2" customWidth="1"/>
    <col min="7415" max="7415" width="10.7109375" style="2" customWidth="1"/>
    <col min="7416" max="7416" width="10.28515625" style="2" customWidth="1"/>
    <col min="7417" max="7418" width="10" style="2" customWidth="1"/>
    <col min="7419" max="7419" width="9" style="2" customWidth="1"/>
    <col min="7420" max="7420" width="9.28515625" style="2" customWidth="1"/>
    <col min="7421" max="7423" width="9" style="2" customWidth="1"/>
    <col min="7424" max="7424" width="10.7109375" style="2" customWidth="1"/>
    <col min="7425" max="7429" width="11" style="2" customWidth="1"/>
    <col min="7430" max="7430" width="9.42578125" style="2" customWidth="1"/>
    <col min="7431" max="7435" width="9.42578125" style="2" bestFit="1" customWidth="1"/>
    <col min="7436" max="7436" width="9.140625" style="2"/>
    <col min="7437" max="7437" width="9.28515625" style="2" bestFit="1" customWidth="1"/>
    <col min="7438" max="7667" width="9.140625" style="2"/>
    <col min="7668" max="7668" width="42.42578125" style="2" customWidth="1"/>
    <col min="7669" max="7669" width="3.7109375" style="2" customWidth="1"/>
    <col min="7670" max="7670" width="12.28515625" style="2" customWidth="1"/>
    <col min="7671" max="7671" width="10.7109375" style="2" customWidth="1"/>
    <col min="7672" max="7672" width="10.28515625" style="2" customWidth="1"/>
    <col min="7673" max="7674" width="10" style="2" customWidth="1"/>
    <col min="7675" max="7675" width="9" style="2" customWidth="1"/>
    <col min="7676" max="7676" width="9.28515625" style="2" customWidth="1"/>
    <col min="7677" max="7679" width="9" style="2" customWidth="1"/>
    <col min="7680" max="7680" width="10.7109375" style="2" customWidth="1"/>
    <col min="7681" max="7685" width="11" style="2" customWidth="1"/>
    <col min="7686" max="7686" width="9.42578125" style="2" customWidth="1"/>
    <col min="7687" max="7691" width="9.42578125" style="2" bestFit="1" customWidth="1"/>
    <col min="7692" max="7692" width="9.140625" style="2"/>
    <col min="7693" max="7693" width="9.28515625" style="2" bestFit="1" customWidth="1"/>
    <col min="7694" max="7923" width="9.140625" style="2"/>
    <col min="7924" max="7924" width="42.42578125" style="2" customWidth="1"/>
    <col min="7925" max="7925" width="3.7109375" style="2" customWidth="1"/>
    <col min="7926" max="7926" width="12.28515625" style="2" customWidth="1"/>
    <col min="7927" max="7927" width="10.7109375" style="2" customWidth="1"/>
    <col min="7928" max="7928" width="10.28515625" style="2" customWidth="1"/>
    <col min="7929" max="7930" width="10" style="2" customWidth="1"/>
    <col min="7931" max="7931" width="9" style="2" customWidth="1"/>
    <col min="7932" max="7932" width="9.28515625" style="2" customWidth="1"/>
    <col min="7933" max="7935" width="9" style="2" customWidth="1"/>
    <col min="7936" max="7936" width="10.7109375" style="2" customWidth="1"/>
    <col min="7937" max="7941" width="11" style="2" customWidth="1"/>
    <col min="7942" max="7942" width="9.42578125" style="2" customWidth="1"/>
    <col min="7943" max="7947" width="9.42578125" style="2" bestFit="1" customWidth="1"/>
    <col min="7948" max="7948" width="9.140625" style="2"/>
    <col min="7949" max="7949" width="9.28515625" style="2" bestFit="1" customWidth="1"/>
    <col min="7950" max="8179" width="9.140625" style="2"/>
    <col min="8180" max="8180" width="42.42578125" style="2" customWidth="1"/>
    <col min="8181" max="8181" width="3.7109375" style="2" customWidth="1"/>
    <col min="8182" max="8182" width="12.28515625" style="2" customWidth="1"/>
    <col min="8183" max="8183" width="10.7109375" style="2" customWidth="1"/>
    <col min="8184" max="8184" width="10.28515625" style="2" customWidth="1"/>
    <col min="8185" max="8186" width="10" style="2" customWidth="1"/>
    <col min="8187" max="8187" width="9" style="2" customWidth="1"/>
    <col min="8188" max="8188" width="9.28515625" style="2" customWidth="1"/>
    <col min="8189" max="8191" width="9" style="2" customWidth="1"/>
    <col min="8192" max="8192" width="10.7109375" style="2" customWidth="1"/>
    <col min="8193" max="8197" width="11" style="2" customWidth="1"/>
    <col min="8198" max="8198" width="9.42578125" style="2" customWidth="1"/>
    <col min="8199" max="8203" width="9.42578125" style="2" bestFit="1" customWidth="1"/>
    <col min="8204" max="8204" width="9.140625" style="2"/>
    <col min="8205" max="8205" width="9.28515625" style="2" bestFit="1" customWidth="1"/>
    <col min="8206" max="8435" width="9.140625" style="2"/>
    <col min="8436" max="8436" width="42.42578125" style="2" customWidth="1"/>
    <col min="8437" max="8437" width="3.7109375" style="2" customWidth="1"/>
    <col min="8438" max="8438" width="12.28515625" style="2" customWidth="1"/>
    <col min="8439" max="8439" width="10.7109375" style="2" customWidth="1"/>
    <col min="8440" max="8440" width="10.28515625" style="2" customWidth="1"/>
    <col min="8441" max="8442" width="10" style="2" customWidth="1"/>
    <col min="8443" max="8443" width="9" style="2" customWidth="1"/>
    <col min="8444" max="8444" width="9.28515625" style="2" customWidth="1"/>
    <col min="8445" max="8447" width="9" style="2" customWidth="1"/>
    <col min="8448" max="8448" width="10.7109375" style="2" customWidth="1"/>
    <col min="8449" max="8453" width="11" style="2" customWidth="1"/>
    <col min="8454" max="8454" width="9.42578125" style="2" customWidth="1"/>
    <col min="8455" max="8459" width="9.42578125" style="2" bestFit="1" customWidth="1"/>
    <col min="8460" max="8460" width="9.140625" style="2"/>
    <col min="8461" max="8461" width="9.28515625" style="2" bestFit="1" customWidth="1"/>
    <col min="8462" max="8691" width="9.140625" style="2"/>
    <col min="8692" max="8692" width="42.42578125" style="2" customWidth="1"/>
    <col min="8693" max="8693" width="3.7109375" style="2" customWidth="1"/>
    <col min="8694" max="8694" width="12.28515625" style="2" customWidth="1"/>
    <col min="8695" max="8695" width="10.7109375" style="2" customWidth="1"/>
    <col min="8696" max="8696" width="10.28515625" style="2" customWidth="1"/>
    <col min="8697" max="8698" width="10" style="2" customWidth="1"/>
    <col min="8699" max="8699" width="9" style="2" customWidth="1"/>
    <col min="8700" max="8700" width="9.28515625" style="2" customWidth="1"/>
    <col min="8701" max="8703" width="9" style="2" customWidth="1"/>
    <col min="8704" max="8704" width="10.7109375" style="2" customWidth="1"/>
    <col min="8705" max="8709" width="11" style="2" customWidth="1"/>
    <col min="8710" max="8710" width="9.42578125" style="2" customWidth="1"/>
    <col min="8711" max="8715" width="9.42578125" style="2" bestFit="1" customWidth="1"/>
    <col min="8716" max="8716" width="9.140625" style="2"/>
    <col min="8717" max="8717" width="9.28515625" style="2" bestFit="1" customWidth="1"/>
    <col min="8718" max="8947" width="9.140625" style="2"/>
    <col min="8948" max="8948" width="42.42578125" style="2" customWidth="1"/>
    <col min="8949" max="8949" width="3.7109375" style="2" customWidth="1"/>
    <col min="8950" max="8950" width="12.28515625" style="2" customWidth="1"/>
    <col min="8951" max="8951" width="10.7109375" style="2" customWidth="1"/>
    <col min="8952" max="8952" width="10.28515625" style="2" customWidth="1"/>
    <col min="8953" max="8954" width="10" style="2" customWidth="1"/>
    <col min="8955" max="8955" width="9" style="2" customWidth="1"/>
    <col min="8956" max="8956" width="9.28515625" style="2" customWidth="1"/>
    <col min="8957" max="8959" width="9" style="2" customWidth="1"/>
    <col min="8960" max="8960" width="10.7109375" style="2" customWidth="1"/>
    <col min="8961" max="8965" width="11" style="2" customWidth="1"/>
    <col min="8966" max="8966" width="9.42578125" style="2" customWidth="1"/>
    <col min="8967" max="8971" width="9.42578125" style="2" bestFit="1" customWidth="1"/>
    <col min="8972" max="8972" width="9.140625" style="2"/>
    <col min="8973" max="8973" width="9.28515625" style="2" bestFit="1" customWidth="1"/>
    <col min="8974" max="9203" width="9.140625" style="2"/>
    <col min="9204" max="9204" width="42.42578125" style="2" customWidth="1"/>
    <col min="9205" max="9205" width="3.7109375" style="2" customWidth="1"/>
    <col min="9206" max="9206" width="12.28515625" style="2" customWidth="1"/>
    <col min="9207" max="9207" width="10.7109375" style="2" customWidth="1"/>
    <col min="9208" max="9208" width="10.28515625" style="2" customWidth="1"/>
    <col min="9209" max="9210" width="10" style="2" customWidth="1"/>
    <col min="9211" max="9211" width="9" style="2" customWidth="1"/>
    <col min="9212" max="9212" width="9.28515625" style="2" customWidth="1"/>
    <col min="9213" max="9215" width="9" style="2" customWidth="1"/>
    <col min="9216" max="9216" width="10.7109375" style="2" customWidth="1"/>
    <col min="9217" max="9221" width="11" style="2" customWidth="1"/>
    <col min="9222" max="9222" width="9.42578125" style="2" customWidth="1"/>
    <col min="9223" max="9227" width="9.42578125" style="2" bestFit="1" customWidth="1"/>
    <col min="9228" max="9228" width="9.140625" style="2"/>
    <col min="9229" max="9229" width="9.28515625" style="2" bestFit="1" customWidth="1"/>
    <col min="9230" max="9459" width="9.140625" style="2"/>
    <col min="9460" max="9460" width="42.42578125" style="2" customWidth="1"/>
    <col min="9461" max="9461" width="3.7109375" style="2" customWidth="1"/>
    <col min="9462" max="9462" width="12.28515625" style="2" customWidth="1"/>
    <col min="9463" max="9463" width="10.7109375" style="2" customWidth="1"/>
    <col min="9464" max="9464" width="10.28515625" style="2" customWidth="1"/>
    <col min="9465" max="9466" width="10" style="2" customWidth="1"/>
    <col min="9467" max="9467" width="9" style="2" customWidth="1"/>
    <col min="9468" max="9468" width="9.28515625" style="2" customWidth="1"/>
    <col min="9469" max="9471" width="9" style="2" customWidth="1"/>
    <col min="9472" max="9472" width="10.7109375" style="2" customWidth="1"/>
    <col min="9473" max="9477" width="11" style="2" customWidth="1"/>
    <col min="9478" max="9478" width="9.42578125" style="2" customWidth="1"/>
    <col min="9479" max="9483" width="9.42578125" style="2" bestFit="1" customWidth="1"/>
    <col min="9484" max="9484" width="9.140625" style="2"/>
    <col min="9485" max="9485" width="9.28515625" style="2" bestFit="1" customWidth="1"/>
    <col min="9486" max="9715" width="9.140625" style="2"/>
    <col min="9716" max="9716" width="42.42578125" style="2" customWidth="1"/>
    <col min="9717" max="9717" width="3.7109375" style="2" customWidth="1"/>
    <col min="9718" max="9718" width="12.28515625" style="2" customWidth="1"/>
    <col min="9719" max="9719" width="10.7109375" style="2" customWidth="1"/>
    <col min="9720" max="9720" width="10.28515625" style="2" customWidth="1"/>
    <col min="9721" max="9722" width="10" style="2" customWidth="1"/>
    <col min="9723" max="9723" width="9" style="2" customWidth="1"/>
    <col min="9724" max="9724" width="9.28515625" style="2" customWidth="1"/>
    <col min="9725" max="9727" width="9" style="2" customWidth="1"/>
    <col min="9728" max="9728" width="10.7109375" style="2" customWidth="1"/>
    <col min="9729" max="9733" width="11" style="2" customWidth="1"/>
    <col min="9734" max="9734" width="9.42578125" style="2" customWidth="1"/>
    <col min="9735" max="9739" width="9.42578125" style="2" bestFit="1" customWidth="1"/>
    <col min="9740" max="9740" width="9.140625" style="2"/>
    <col min="9741" max="9741" width="9.28515625" style="2" bestFit="1" customWidth="1"/>
    <col min="9742" max="9971" width="9.140625" style="2"/>
    <col min="9972" max="9972" width="42.42578125" style="2" customWidth="1"/>
    <col min="9973" max="9973" width="3.7109375" style="2" customWidth="1"/>
    <col min="9974" max="9974" width="12.28515625" style="2" customWidth="1"/>
    <col min="9975" max="9975" width="10.7109375" style="2" customWidth="1"/>
    <col min="9976" max="9976" width="10.28515625" style="2" customWidth="1"/>
    <col min="9977" max="9978" width="10" style="2" customWidth="1"/>
    <col min="9979" max="9979" width="9" style="2" customWidth="1"/>
    <col min="9980" max="9980" width="9.28515625" style="2" customWidth="1"/>
    <col min="9981" max="9983" width="9" style="2" customWidth="1"/>
    <col min="9984" max="9984" width="10.7109375" style="2" customWidth="1"/>
    <col min="9985" max="9989" width="11" style="2" customWidth="1"/>
    <col min="9990" max="9990" width="9.42578125" style="2" customWidth="1"/>
    <col min="9991" max="9995" width="9.42578125" style="2" bestFit="1" customWidth="1"/>
    <col min="9996" max="9996" width="9.140625" style="2"/>
    <col min="9997" max="9997" width="9.28515625" style="2" bestFit="1" customWidth="1"/>
    <col min="9998" max="10227" width="9.140625" style="2"/>
    <col min="10228" max="10228" width="42.42578125" style="2" customWidth="1"/>
    <col min="10229" max="10229" width="3.7109375" style="2" customWidth="1"/>
    <col min="10230" max="10230" width="12.28515625" style="2" customWidth="1"/>
    <col min="10231" max="10231" width="10.7109375" style="2" customWidth="1"/>
    <col min="10232" max="10232" width="10.28515625" style="2" customWidth="1"/>
    <col min="10233" max="10234" width="10" style="2" customWidth="1"/>
    <col min="10235" max="10235" width="9" style="2" customWidth="1"/>
    <col min="10236" max="10236" width="9.28515625" style="2" customWidth="1"/>
    <col min="10237" max="10239" width="9" style="2" customWidth="1"/>
    <col min="10240" max="10240" width="10.7109375" style="2" customWidth="1"/>
    <col min="10241" max="10245" width="11" style="2" customWidth="1"/>
    <col min="10246" max="10246" width="9.42578125" style="2" customWidth="1"/>
    <col min="10247" max="10251" width="9.42578125" style="2" bestFit="1" customWidth="1"/>
    <col min="10252" max="10252" width="9.140625" style="2"/>
    <col min="10253" max="10253" width="9.28515625" style="2" bestFit="1" customWidth="1"/>
    <col min="10254" max="10483" width="9.140625" style="2"/>
    <col min="10484" max="10484" width="42.42578125" style="2" customWidth="1"/>
    <col min="10485" max="10485" width="3.7109375" style="2" customWidth="1"/>
    <col min="10486" max="10486" width="12.28515625" style="2" customWidth="1"/>
    <col min="10487" max="10487" width="10.7109375" style="2" customWidth="1"/>
    <col min="10488" max="10488" width="10.28515625" style="2" customWidth="1"/>
    <col min="10489" max="10490" width="10" style="2" customWidth="1"/>
    <col min="10491" max="10491" width="9" style="2" customWidth="1"/>
    <col min="10492" max="10492" width="9.28515625" style="2" customWidth="1"/>
    <col min="10493" max="10495" width="9" style="2" customWidth="1"/>
    <col min="10496" max="10496" width="10.7109375" style="2" customWidth="1"/>
    <col min="10497" max="10501" width="11" style="2" customWidth="1"/>
    <col min="10502" max="10502" width="9.42578125" style="2" customWidth="1"/>
    <col min="10503" max="10507" width="9.42578125" style="2" bestFit="1" customWidth="1"/>
    <col min="10508" max="10508" width="9.140625" style="2"/>
    <col min="10509" max="10509" width="9.28515625" style="2" bestFit="1" customWidth="1"/>
    <col min="10510" max="10739" width="9.140625" style="2"/>
    <col min="10740" max="10740" width="42.42578125" style="2" customWidth="1"/>
    <col min="10741" max="10741" width="3.7109375" style="2" customWidth="1"/>
    <col min="10742" max="10742" width="12.28515625" style="2" customWidth="1"/>
    <col min="10743" max="10743" width="10.7109375" style="2" customWidth="1"/>
    <col min="10744" max="10744" width="10.28515625" style="2" customWidth="1"/>
    <col min="10745" max="10746" width="10" style="2" customWidth="1"/>
    <col min="10747" max="10747" width="9" style="2" customWidth="1"/>
    <col min="10748" max="10748" width="9.28515625" style="2" customWidth="1"/>
    <col min="10749" max="10751" width="9" style="2" customWidth="1"/>
    <col min="10752" max="10752" width="10.7109375" style="2" customWidth="1"/>
    <col min="10753" max="10757" width="11" style="2" customWidth="1"/>
    <col min="10758" max="10758" width="9.42578125" style="2" customWidth="1"/>
    <col min="10759" max="10763" width="9.42578125" style="2" bestFit="1" customWidth="1"/>
    <col min="10764" max="10764" width="9.140625" style="2"/>
    <col min="10765" max="10765" width="9.28515625" style="2" bestFit="1" customWidth="1"/>
    <col min="10766" max="10995" width="9.140625" style="2"/>
    <col min="10996" max="10996" width="42.42578125" style="2" customWidth="1"/>
    <col min="10997" max="10997" width="3.7109375" style="2" customWidth="1"/>
    <col min="10998" max="10998" width="12.28515625" style="2" customWidth="1"/>
    <col min="10999" max="10999" width="10.7109375" style="2" customWidth="1"/>
    <col min="11000" max="11000" width="10.28515625" style="2" customWidth="1"/>
    <col min="11001" max="11002" width="10" style="2" customWidth="1"/>
    <col min="11003" max="11003" width="9" style="2" customWidth="1"/>
    <col min="11004" max="11004" width="9.28515625" style="2" customWidth="1"/>
    <col min="11005" max="11007" width="9" style="2" customWidth="1"/>
    <col min="11008" max="11008" width="10.7109375" style="2" customWidth="1"/>
    <col min="11009" max="11013" width="11" style="2" customWidth="1"/>
    <col min="11014" max="11014" width="9.42578125" style="2" customWidth="1"/>
    <col min="11015" max="11019" width="9.42578125" style="2" bestFit="1" customWidth="1"/>
    <col min="11020" max="11020" width="9.140625" style="2"/>
    <col min="11021" max="11021" width="9.28515625" style="2" bestFit="1" customWidth="1"/>
    <col min="11022" max="11251" width="9.140625" style="2"/>
    <col min="11252" max="11252" width="42.42578125" style="2" customWidth="1"/>
    <col min="11253" max="11253" width="3.7109375" style="2" customWidth="1"/>
    <col min="11254" max="11254" width="12.28515625" style="2" customWidth="1"/>
    <col min="11255" max="11255" width="10.7109375" style="2" customWidth="1"/>
    <col min="11256" max="11256" width="10.28515625" style="2" customWidth="1"/>
    <col min="11257" max="11258" width="10" style="2" customWidth="1"/>
    <col min="11259" max="11259" width="9" style="2" customWidth="1"/>
    <col min="11260" max="11260" width="9.28515625" style="2" customWidth="1"/>
    <col min="11261" max="11263" width="9" style="2" customWidth="1"/>
    <col min="11264" max="11264" width="10.7109375" style="2" customWidth="1"/>
    <col min="11265" max="11269" width="11" style="2" customWidth="1"/>
    <col min="11270" max="11270" width="9.42578125" style="2" customWidth="1"/>
    <col min="11271" max="11275" width="9.42578125" style="2" bestFit="1" customWidth="1"/>
    <col min="11276" max="11276" width="9.140625" style="2"/>
    <col min="11277" max="11277" width="9.28515625" style="2" bestFit="1" customWidth="1"/>
    <col min="11278" max="11507" width="9.140625" style="2"/>
    <col min="11508" max="11508" width="42.42578125" style="2" customWidth="1"/>
    <col min="11509" max="11509" width="3.7109375" style="2" customWidth="1"/>
    <col min="11510" max="11510" width="12.28515625" style="2" customWidth="1"/>
    <col min="11511" max="11511" width="10.7109375" style="2" customWidth="1"/>
    <col min="11512" max="11512" width="10.28515625" style="2" customWidth="1"/>
    <col min="11513" max="11514" width="10" style="2" customWidth="1"/>
    <col min="11515" max="11515" width="9" style="2" customWidth="1"/>
    <col min="11516" max="11516" width="9.28515625" style="2" customWidth="1"/>
    <col min="11517" max="11519" width="9" style="2" customWidth="1"/>
    <col min="11520" max="11520" width="10.7109375" style="2" customWidth="1"/>
    <col min="11521" max="11525" width="11" style="2" customWidth="1"/>
    <col min="11526" max="11526" width="9.42578125" style="2" customWidth="1"/>
    <col min="11527" max="11531" width="9.42578125" style="2" bestFit="1" customWidth="1"/>
    <col min="11532" max="11532" width="9.140625" style="2"/>
    <col min="11533" max="11533" width="9.28515625" style="2" bestFit="1" customWidth="1"/>
    <col min="11534" max="11763" width="9.140625" style="2"/>
    <col min="11764" max="11764" width="42.42578125" style="2" customWidth="1"/>
    <col min="11765" max="11765" width="3.7109375" style="2" customWidth="1"/>
    <col min="11766" max="11766" width="12.28515625" style="2" customWidth="1"/>
    <col min="11767" max="11767" width="10.7109375" style="2" customWidth="1"/>
    <col min="11768" max="11768" width="10.28515625" style="2" customWidth="1"/>
    <col min="11769" max="11770" width="10" style="2" customWidth="1"/>
    <col min="11771" max="11771" width="9" style="2" customWidth="1"/>
    <col min="11772" max="11772" width="9.28515625" style="2" customWidth="1"/>
    <col min="11773" max="11775" width="9" style="2" customWidth="1"/>
    <col min="11776" max="11776" width="10.7109375" style="2" customWidth="1"/>
    <col min="11777" max="11781" width="11" style="2" customWidth="1"/>
    <col min="11782" max="11782" width="9.42578125" style="2" customWidth="1"/>
    <col min="11783" max="11787" width="9.42578125" style="2" bestFit="1" customWidth="1"/>
    <col min="11788" max="11788" width="9.140625" style="2"/>
    <col min="11789" max="11789" width="9.28515625" style="2" bestFit="1" customWidth="1"/>
    <col min="11790" max="12019" width="9.140625" style="2"/>
    <col min="12020" max="12020" width="42.42578125" style="2" customWidth="1"/>
    <col min="12021" max="12021" width="3.7109375" style="2" customWidth="1"/>
    <col min="12022" max="12022" width="12.28515625" style="2" customWidth="1"/>
    <col min="12023" max="12023" width="10.7109375" style="2" customWidth="1"/>
    <col min="12024" max="12024" width="10.28515625" style="2" customWidth="1"/>
    <col min="12025" max="12026" width="10" style="2" customWidth="1"/>
    <col min="12027" max="12027" width="9" style="2" customWidth="1"/>
    <col min="12028" max="12028" width="9.28515625" style="2" customWidth="1"/>
    <col min="12029" max="12031" width="9" style="2" customWidth="1"/>
    <col min="12032" max="12032" width="10.7109375" style="2" customWidth="1"/>
    <col min="12033" max="12037" width="11" style="2" customWidth="1"/>
    <col min="12038" max="12038" width="9.42578125" style="2" customWidth="1"/>
    <col min="12039" max="12043" width="9.42578125" style="2" bestFit="1" customWidth="1"/>
    <col min="12044" max="12044" width="9.140625" style="2"/>
    <col min="12045" max="12045" width="9.28515625" style="2" bestFit="1" customWidth="1"/>
    <col min="12046" max="12275" width="9.140625" style="2"/>
    <col min="12276" max="12276" width="42.42578125" style="2" customWidth="1"/>
    <col min="12277" max="12277" width="3.7109375" style="2" customWidth="1"/>
    <col min="12278" max="12278" width="12.28515625" style="2" customWidth="1"/>
    <col min="12279" max="12279" width="10.7109375" style="2" customWidth="1"/>
    <col min="12280" max="12280" width="10.28515625" style="2" customWidth="1"/>
    <col min="12281" max="12282" width="10" style="2" customWidth="1"/>
    <col min="12283" max="12283" width="9" style="2" customWidth="1"/>
    <col min="12284" max="12284" width="9.28515625" style="2" customWidth="1"/>
    <col min="12285" max="12287" width="9" style="2" customWidth="1"/>
    <col min="12288" max="12288" width="10.7109375" style="2" customWidth="1"/>
    <col min="12289" max="12293" width="11" style="2" customWidth="1"/>
    <col min="12294" max="12294" width="9.42578125" style="2" customWidth="1"/>
    <col min="12295" max="12299" width="9.42578125" style="2" bestFit="1" customWidth="1"/>
    <col min="12300" max="12300" width="9.140625" style="2"/>
    <col min="12301" max="12301" width="9.28515625" style="2" bestFit="1" customWidth="1"/>
    <col min="12302" max="12531" width="9.140625" style="2"/>
    <col min="12532" max="12532" width="42.42578125" style="2" customWidth="1"/>
    <col min="12533" max="12533" width="3.7109375" style="2" customWidth="1"/>
    <col min="12534" max="12534" width="12.28515625" style="2" customWidth="1"/>
    <col min="12535" max="12535" width="10.7109375" style="2" customWidth="1"/>
    <col min="12536" max="12536" width="10.28515625" style="2" customWidth="1"/>
    <col min="12537" max="12538" width="10" style="2" customWidth="1"/>
    <col min="12539" max="12539" width="9" style="2" customWidth="1"/>
    <col min="12540" max="12540" width="9.28515625" style="2" customWidth="1"/>
    <col min="12541" max="12543" width="9" style="2" customWidth="1"/>
    <col min="12544" max="12544" width="10.7109375" style="2" customWidth="1"/>
    <col min="12545" max="12549" width="11" style="2" customWidth="1"/>
    <col min="12550" max="12550" width="9.42578125" style="2" customWidth="1"/>
    <col min="12551" max="12555" width="9.42578125" style="2" bestFit="1" customWidth="1"/>
    <col min="12556" max="12556" width="9.140625" style="2"/>
    <col min="12557" max="12557" width="9.28515625" style="2" bestFit="1" customWidth="1"/>
    <col min="12558" max="12787" width="9.140625" style="2"/>
    <col min="12788" max="12788" width="42.42578125" style="2" customWidth="1"/>
    <col min="12789" max="12789" width="3.7109375" style="2" customWidth="1"/>
    <col min="12790" max="12790" width="12.28515625" style="2" customWidth="1"/>
    <col min="12791" max="12791" width="10.7109375" style="2" customWidth="1"/>
    <col min="12792" max="12792" width="10.28515625" style="2" customWidth="1"/>
    <col min="12793" max="12794" width="10" style="2" customWidth="1"/>
    <col min="12795" max="12795" width="9" style="2" customWidth="1"/>
    <col min="12796" max="12796" width="9.28515625" style="2" customWidth="1"/>
    <col min="12797" max="12799" width="9" style="2" customWidth="1"/>
    <col min="12800" max="12800" width="10.7109375" style="2" customWidth="1"/>
    <col min="12801" max="12805" width="11" style="2" customWidth="1"/>
    <col min="12806" max="12806" width="9.42578125" style="2" customWidth="1"/>
    <col min="12807" max="12811" width="9.42578125" style="2" bestFit="1" customWidth="1"/>
    <col min="12812" max="12812" width="9.140625" style="2"/>
    <col min="12813" max="12813" width="9.28515625" style="2" bestFit="1" customWidth="1"/>
    <col min="12814" max="13043" width="9.140625" style="2"/>
    <col min="13044" max="13044" width="42.42578125" style="2" customWidth="1"/>
    <col min="13045" max="13045" width="3.7109375" style="2" customWidth="1"/>
    <col min="13046" max="13046" width="12.28515625" style="2" customWidth="1"/>
    <col min="13047" max="13047" width="10.7109375" style="2" customWidth="1"/>
    <col min="13048" max="13048" width="10.28515625" style="2" customWidth="1"/>
    <col min="13049" max="13050" width="10" style="2" customWidth="1"/>
    <col min="13051" max="13051" width="9" style="2" customWidth="1"/>
    <col min="13052" max="13052" width="9.28515625" style="2" customWidth="1"/>
    <col min="13053" max="13055" width="9" style="2" customWidth="1"/>
    <col min="13056" max="13056" width="10.7109375" style="2" customWidth="1"/>
    <col min="13057" max="13061" width="11" style="2" customWidth="1"/>
    <col min="13062" max="13062" width="9.42578125" style="2" customWidth="1"/>
    <col min="13063" max="13067" width="9.42578125" style="2" bestFit="1" customWidth="1"/>
    <col min="13068" max="13068" width="9.140625" style="2"/>
    <col min="13069" max="13069" width="9.28515625" style="2" bestFit="1" customWidth="1"/>
    <col min="13070" max="13299" width="9.140625" style="2"/>
    <col min="13300" max="13300" width="42.42578125" style="2" customWidth="1"/>
    <col min="13301" max="13301" width="3.7109375" style="2" customWidth="1"/>
    <col min="13302" max="13302" width="12.28515625" style="2" customWidth="1"/>
    <col min="13303" max="13303" width="10.7109375" style="2" customWidth="1"/>
    <col min="13304" max="13304" width="10.28515625" style="2" customWidth="1"/>
    <col min="13305" max="13306" width="10" style="2" customWidth="1"/>
    <col min="13307" max="13307" width="9" style="2" customWidth="1"/>
    <col min="13308" max="13308" width="9.28515625" style="2" customWidth="1"/>
    <col min="13309" max="13311" width="9" style="2" customWidth="1"/>
    <col min="13312" max="13312" width="10.7109375" style="2" customWidth="1"/>
    <col min="13313" max="13317" width="11" style="2" customWidth="1"/>
    <col min="13318" max="13318" width="9.42578125" style="2" customWidth="1"/>
    <col min="13319" max="13323" width="9.42578125" style="2" bestFit="1" customWidth="1"/>
    <col min="13324" max="13324" width="9.140625" style="2"/>
    <col min="13325" max="13325" width="9.28515625" style="2" bestFit="1" customWidth="1"/>
    <col min="13326" max="13555" width="9.140625" style="2"/>
    <col min="13556" max="13556" width="42.42578125" style="2" customWidth="1"/>
    <col min="13557" max="13557" width="3.7109375" style="2" customWidth="1"/>
    <col min="13558" max="13558" width="12.28515625" style="2" customWidth="1"/>
    <col min="13559" max="13559" width="10.7109375" style="2" customWidth="1"/>
    <col min="13560" max="13560" width="10.28515625" style="2" customWidth="1"/>
    <col min="13561" max="13562" width="10" style="2" customWidth="1"/>
    <col min="13563" max="13563" width="9" style="2" customWidth="1"/>
    <col min="13564" max="13564" width="9.28515625" style="2" customWidth="1"/>
    <col min="13565" max="13567" width="9" style="2" customWidth="1"/>
    <col min="13568" max="13568" width="10.7109375" style="2" customWidth="1"/>
    <col min="13569" max="13573" width="11" style="2" customWidth="1"/>
    <col min="13574" max="13574" width="9.42578125" style="2" customWidth="1"/>
    <col min="13575" max="13579" width="9.42578125" style="2" bestFit="1" customWidth="1"/>
    <col min="13580" max="13580" width="9.140625" style="2"/>
    <col min="13581" max="13581" width="9.28515625" style="2" bestFit="1" customWidth="1"/>
    <col min="13582" max="13811" width="9.140625" style="2"/>
    <col min="13812" max="13812" width="42.42578125" style="2" customWidth="1"/>
    <col min="13813" max="13813" width="3.7109375" style="2" customWidth="1"/>
    <col min="13814" max="13814" width="12.28515625" style="2" customWidth="1"/>
    <col min="13815" max="13815" width="10.7109375" style="2" customWidth="1"/>
    <col min="13816" max="13816" width="10.28515625" style="2" customWidth="1"/>
    <col min="13817" max="13818" width="10" style="2" customWidth="1"/>
    <col min="13819" max="13819" width="9" style="2" customWidth="1"/>
    <col min="13820" max="13820" width="9.28515625" style="2" customWidth="1"/>
    <col min="13821" max="13823" width="9" style="2" customWidth="1"/>
    <col min="13824" max="13824" width="10.7109375" style="2" customWidth="1"/>
    <col min="13825" max="13829" width="11" style="2" customWidth="1"/>
    <col min="13830" max="13830" width="9.42578125" style="2" customWidth="1"/>
    <col min="13831" max="13835" width="9.42578125" style="2" bestFit="1" customWidth="1"/>
    <col min="13836" max="13836" width="9.140625" style="2"/>
    <col min="13837" max="13837" width="9.28515625" style="2" bestFit="1" customWidth="1"/>
    <col min="13838" max="14067" width="9.140625" style="2"/>
    <col min="14068" max="14068" width="42.42578125" style="2" customWidth="1"/>
    <col min="14069" max="14069" width="3.7109375" style="2" customWidth="1"/>
    <col min="14070" max="14070" width="12.28515625" style="2" customWidth="1"/>
    <col min="14071" max="14071" width="10.7109375" style="2" customWidth="1"/>
    <col min="14072" max="14072" width="10.28515625" style="2" customWidth="1"/>
    <col min="14073" max="14074" width="10" style="2" customWidth="1"/>
    <col min="14075" max="14075" width="9" style="2" customWidth="1"/>
    <col min="14076" max="14076" width="9.28515625" style="2" customWidth="1"/>
    <col min="14077" max="14079" width="9" style="2" customWidth="1"/>
    <col min="14080" max="14080" width="10.7109375" style="2" customWidth="1"/>
    <col min="14081" max="14085" width="11" style="2" customWidth="1"/>
    <col min="14086" max="14086" width="9.42578125" style="2" customWidth="1"/>
    <col min="14087" max="14091" width="9.42578125" style="2" bestFit="1" customWidth="1"/>
    <col min="14092" max="14092" width="9.140625" style="2"/>
    <col min="14093" max="14093" width="9.28515625" style="2" bestFit="1" customWidth="1"/>
    <col min="14094" max="14323" width="9.140625" style="2"/>
    <col min="14324" max="14324" width="42.42578125" style="2" customWidth="1"/>
    <col min="14325" max="14325" width="3.7109375" style="2" customWidth="1"/>
    <col min="14326" max="14326" width="12.28515625" style="2" customWidth="1"/>
    <col min="14327" max="14327" width="10.7109375" style="2" customWidth="1"/>
    <col min="14328" max="14328" width="10.28515625" style="2" customWidth="1"/>
    <col min="14329" max="14330" width="10" style="2" customWidth="1"/>
    <col min="14331" max="14331" width="9" style="2" customWidth="1"/>
    <col min="14332" max="14332" width="9.28515625" style="2" customWidth="1"/>
    <col min="14333" max="14335" width="9" style="2" customWidth="1"/>
    <col min="14336" max="14336" width="10.7109375" style="2" customWidth="1"/>
    <col min="14337" max="14341" width="11" style="2" customWidth="1"/>
    <col min="14342" max="14342" width="9.42578125" style="2" customWidth="1"/>
    <col min="14343" max="14347" width="9.42578125" style="2" bestFit="1" customWidth="1"/>
    <col min="14348" max="14348" width="9.140625" style="2"/>
    <col min="14349" max="14349" width="9.28515625" style="2" bestFit="1" customWidth="1"/>
    <col min="14350" max="14579" width="9.140625" style="2"/>
    <col min="14580" max="14580" width="42.42578125" style="2" customWidth="1"/>
    <col min="14581" max="14581" width="3.7109375" style="2" customWidth="1"/>
    <col min="14582" max="14582" width="12.28515625" style="2" customWidth="1"/>
    <col min="14583" max="14583" width="10.7109375" style="2" customWidth="1"/>
    <col min="14584" max="14584" width="10.28515625" style="2" customWidth="1"/>
    <col min="14585" max="14586" width="10" style="2" customWidth="1"/>
    <col min="14587" max="14587" width="9" style="2" customWidth="1"/>
    <col min="14588" max="14588" width="9.28515625" style="2" customWidth="1"/>
    <col min="14589" max="14591" width="9" style="2" customWidth="1"/>
    <col min="14592" max="14592" width="10.7109375" style="2" customWidth="1"/>
    <col min="14593" max="14597" width="11" style="2" customWidth="1"/>
    <col min="14598" max="14598" width="9.42578125" style="2" customWidth="1"/>
    <col min="14599" max="14603" width="9.42578125" style="2" bestFit="1" customWidth="1"/>
    <col min="14604" max="14604" width="9.140625" style="2"/>
    <col min="14605" max="14605" width="9.28515625" style="2" bestFit="1" customWidth="1"/>
    <col min="14606" max="14835" width="9.140625" style="2"/>
    <col min="14836" max="14836" width="42.42578125" style="2" customWidth="1"/>
    <col min="14837" max="14837" width="3.7109375" style="2" customWidth="1"/>
    <col min="14838" max="14838" width="12.28515625" style="2" customWidth="1"/>
    <col min="14839" max="14839" width="10.7109375" style="2" customWidth="1"/>
    <col min="14840" max="14840" width="10.28515625" style="2" customWidth="1"/>
    <col min="14841" max="14842" width="10" style="2" customWidth="1"/>
    <col min="14843" max="14843" width="9" style="2" customWidth="1"/>
    <col min="14844" max="14844" width="9.28515625" style="2" customWidth="1"/>
    <col min="14845" max="14847" width="9" style="2" customWidth="1"/>
    <col min="14848" max="14848" width="10.7109375" style="2" customWidth="1"/>
    <col min="14849" max="14853" width="11" style="2" customWidth="1"/>
    <col min="14854" max="14854" width="9.42578125" style="2" customWidth="1"/>
    <col min="14855" max="14859" width="9.42578125" style="2" bestFit="1" customWidth="1"/>
    <col min="14860" max="14860" width="9.140625" style="2"/>
    <col min="14861" max="14861" width="9.28515625" style="2" bestFit="1" customWidth="1"/>
    <col min="14862" max="15091" width="9.140625" style="2"/>
    <col min="15092" max="15092" width="42.42578125" style="2" customWidth="1"/>
    <col min="15093" max="15093" width="3.7109375" style="2" customWidth="1"/>
    <col min="15094" max="15094" width="12.28515625" style="2" customWidth="1"/>
    <col min="15095" max="15095" width="10.7109375" style="2" customWidth="1"/>
    <col min="15096" max="15096" width="10.28515625" style="2" customWidth="1"/>
    <col min="15097" max="15098" width="10" style="2" customWidth="1"/>
    <col min="15099" max="15099" width="9" style="2" customWidth="1"/>
    <col min="15100" max="15100" width="9.28515625" style="2" customWidth="1"/>
    <col min="15101" max="15103" width="9" style="2" customWidth="1"/>
    <col min="15104" max="15104" width="10.7109375" style="2" customWidth="1"/>
    <col min="15105" max="15109" width="11" style="2" customWidth="1"/>
    <col min="15110" max="15110" width="9.42578125" style="2" customWidth="1"/>
    <col min="15111" max="15115" width="9.42578125" style="2" bestFit="1" customWidth="1"/>
    <col min="15116" max="15116" width="9.140625" style="2"/>
    <col min="15117" max="15117" width="9.28515625" style="2" bestFit="1" customWidth="1"/>
    <col min="15118" max="15347" width="9.140625" style="2"/>
    <col min="15348" max="15348" width="42.42578125" style="2" customWidth="1"/>
    <col min="15349" max="15349" width="3.7109375" style="2" customWidth="1"/>
    <col min="15350" max="15350" width="12.28515625" style="2" customWidth="1"/>
    <col min="15351" max="15351" width="10.7109375" style="2" customWidth="1"/>
    <col min="15352" max="15352" width="10.28515625" style="2" customWidth="1"/>
    <col min="15353" max="15354" width="10" style="2" customWidth="1"/>
    <col min="15355" max="15355" width="9" style="2" customWidth="1"/>
    <col min="15356" max="15356" width="9.28515625" style="2" customWidth="1"/>
    <col min="15357" max="15359" width="9" style="2" customWidth="1"/>
    <col min="15360" max="15360" width="10.7109375" style="2" customWidth="1"/>
    <col min="15361" max="15365" width="11" style="2" customWidth="1"/>
    <col min="15366" max="15366" width="9.42578125" style="2" customWidth="1"/>
    <col min="15367" max="15371" width="9.42578125" style="2" bestFit="1" customWidth="1"/>
    <col min="15372" max="15372" width="9.140625" style="2"/>
    <col min="15373" max="15373" width="9.28515625" style="2" bestFit="1" customWidth="1"/>
    <col min="15374" max="15603" width="9.140625" style="2"/>
    <col min="15604" max="15604" width="42.42578125" style="2" customWidth="1"/>
    <col min="15605" max="15605" width="3.7109375" style="2" customWidth="1"/>
    <col min="15606" max="15606" width="12.28515625" style="2" customWidth="1"/>
    <col min="15607" max="15607" width="10.7109375" style="2" customWidth="1"/>
    <col min="15608" max="15608" width="10.28515625" style="2" customWidth="1"/>
    <col min="15609" max="15610" width="10" style="2" customWidth="1"/>
    <col min="15611" max="15611" width="9" style="2" customWidth="1"/>
    <col min="15612" max="15612" width="9.28515625" style="2" customWidth="1"/>
    <col min="15613" max="15615" width="9" style="2" customWidth="1"/>
    <col min="15616" max="15616" width="10.7109375" style="2" customWidth="1"/>
    <col min="15617" max="15621" width="11" style="2" customWidth="1"/>
    <col min="15622" max="15622" width="9.42578125" style="2" customWidth="1"/>
    <col min="15623" max="15627" width="9.42578125" style="2" bestFit="1" customWidth="1"/>
    <col min="15628" max="15628" width="9.140625" style="2"/>
    <col min="15629" max="15629" width="9.28515625" style="2" bestFit="1" customWidth="1"/>
    <col min="15630" max="15859" width="9.140625" style="2"/>
    <col min="15860" max="15860" width="42.42578125" style="2" customWidth="1"/>
    <col min="15861" max="15861" width="3.7109375" style="2" customWidth="1"/>
    <col min="15862" max="15862" width="12.28515625" style="2" customWidth="1"/>
    <col min="15863" max="15863" width="10.7109375" style="2" customWidth="1"/>
    <col min="15864" max="15864" width="10.28515625" style="2" customWidth="1"/>
    <col min="15865" max="15866" width="10" style="2" customWidth="1"/>
    <col min="15867" max="15867" width="9" style="2" customWidth="1"/>
    <col min="15868" max="15868" width="9.28515625" style="2" customWidth="1"/>
    <col min="15869" max="15871" width="9" style="2" customWidth="1"/>
    <col min="15872" max="15872" width="10.7109375" style="2" customWidth="1"/>
    <col min="15873" max="15877" width="11" style="2" customWidth="1"/>
    <col min="15878" max="15878" width="9.42578125" style="2" customWidth="1"/>
    <col min="15879" max="15883" width="9.42578125" style="2" bestFit="1" customWidth="1"/>
    <col min="15884" max="15884" width="9.140625" style="2"/>
    <col min="15885" max="15885" width="9.28515625" style="2" bestFit="1" customWidth="1"/>
    <col min="15886" max="16115" width="9.140625" style="2"/>
    <col min="16116" max="16116" width="42.42578125" style="2" customWidth="1"/>
    <col min="16117" max="16117" width="3.7109375" style="2" customWidth="1"/>
    <col min="16118" max="16118" width="12.28515625" style="2" customWidth="1"/>
    <col min="16119" max="16119" width="10.7109375" style="2" customWidth="1"/>
    <col min="16120" max="16120" width="10.28515625" style="2" customWidth="1"/>
    <col min="16121" max="16122" width="10" style="2" customWidth="1"/>
    <col min="16123" max="16123" width="9" style="2" customWidth="1"/>
    <col min="16124" max="16124" width="9.28515625" style="2" customWidth="1"/>
    <col min="16125" max="16127" width="9" style="2" customWidth="1"/>
    <col min="16128" max="16128" width="10.7109375" style="2" customWidth="1"/>
    <col min="16129" max="16133" width="11" style="2" customWidth="1"/>
    <col min="16134" max="16134" width="9.42578125" style="2" customWidth="1"/>
    <col min="16135" max="16139" width="9.42578125" style="2" bestFit="1" customWidth="1"/>
    <col min="16140" max="16140" width="9.140625" style="2"/>
    <col min="16141" max="16141" width="9.28515625" style="2" bestFit="1" customWidth="1"/>
    <col min="16142" max="16384" width="9.140625" style="2"/>
  </cols>
  <sheetData>
    <row r="1" spans="1:20" ht="26.25" customHeight="1" thickBot="1">
      <c r="A1" s="1" t="s">
        <v>57</v>
      </c>
    </row>
    <row r="2" spans="1:20" ht="12.75" customHeight="1">
      <c r="C2" s="3" t="s">
        <v>1</v>
      </c>
      <c r="D2" s="3" t="s">
        <v>1</v>
      </c>
      <c r="E2" s="3" t="s">
        <v>1</v>
      </c>
      <c r="F2" s="3" t="s">
        <v>1</v>
      </c>
    </row>
    <row r="3" spans="1:20">
      <c r="A3" s="23" t="s">
        <v>2</v>
      </c>
      <c r="B3" s="23"/>
      <c r="C3" s="24">
        <v>2008</v>
      </c>
      <c r="D3" s="24">
        <v>2009</v>
      </c>
      <c r="E3" s="24">
        <v>2010</v>
      </c>
      <c r="F3" s="24">
        <v>2011</v>
      </c>
      <c r="G3" s="24" t="s">
        <v>7</v>
      </c>
      <c r="H3" s="24" t="s">
        <v>8</v>
      </c>
      <c r="I3" s="24" t="s">
        <v>9</v>
      </c>
      <c r="J3" s="24" t="s">
        <v>10</v>
      </c>
      <c r="K3" s="24" t="s">
        <v>11</v>
      </c>
      <c r="L3" s="24" t="s">
        <v>12</v>
      </c>
      <c r="M3" s="24" t="s">
        <v>156</v>
      </c>
      <c r="N3" s="24" t="s">
        <v>157</v>
      </c>
      <c r="O3" s="24" t="s">
        <v>158</v>
      </c>
      <c r="P3" s="24" t="s">
        <v>159</v>
      </c>
      <c r="Q3" s="24" t="s">
        <v>160</v>
      </c>
    </row>
    <row r="4" spans="1:20" ht="3.75" customHeight="1"/>
    <row r="5" spans="1:20">
      <c r="A5" s="5" t="s">
        <v>13</v>
      </c>
      <c r="B5" s="5"/>
      <c r="C5" s="6">
        <f>+C7+C13+C15</f>
        <v>1221.3140000000003</v>
      </c>
      <c r="D5" s="6">
        <f>+D7+D13+D15</f>
        <v>1390.26</v>
      </c>
      <c r="E5" s="6">
        <f>+E7+E13+E15</f>
        <v>2204.3820000000001</v>
      </c>
      <c r="F5" s="6">
        <f>+F7+F13+F15</f>
        <v>2453.4949999999999</v>
      </c>
      <c r="G5" s="6">
        <f t="shared" ref="G5:Q5" si="0">+G7+G13+G15</f>
        <v>2961.6046471300492</v>
      </c>
      <c r="H5" s="6">
        <f t="shared" si="0"/>
        <v>3331.5912063304277</v>
      </c>
      <c r="I5" s="6">
        <f t="shared" si="0"/>
        <v>3886.4527945626787</v>
      </c>
      <c r="J5" s="6">
        <f t="shared" si="0"/>
        <v>4496.3921835669516</v>
      </c>
      <c r="K5" s="6">
        <f t="shared" si="0"/>
        <v>5060.5858168812456</v>
      </c>
      <c r="L5" s="6">
        <f t="shared" si="0"/>
        <v>5637.7912787178966</v>
      </c>
      <c r="M5" s="6">
        <f t="shared" si="0"/>
        <v>6262.4550698489256</v>
      </c>
      <c r="N5" s="6">
        <f t="shared" si="0"/>
        <v>7014.944011873773</v>
      </c>
      <c r="O5" s="6">
        <f t="shared" si="0"/>
        <v>7781.7618052309554</v>
      </c>
      <c r="P5" s="6">
        <f t="shared" si="0"/>
        <v>8406.812359649899</v>
      </c>
      <c r="Q5" s="6">
        <f t="shared" si="0"/>
        <v>8940.4336186325345</v>
      </c>
    </row>
    <row r="6" spans="1:20" ht="5.25" customHeight="1">
      <c r="C6" s="7"/>
      <c r="D6" s="7"/>
      <c r="E6" s="7"/>
      <c r="F6" s="7"/>
      <c r="G6" s="7"/>
      <c r="H6" s="7"/>
      <c r="I6" s="7"/>
      <c r="J6" s="7"/>
      <c r="K6" s="8"/>
      <c r="L6" s="8"/>
      <c r="M6" s="8"/>
      <c r="N6" s="8"/>
      <c r="O6" s="8"/>
      <c r="P6" s="8"/>
      <c r="Q6" s="8"/>
    </row>
    <row r="7" spans="1:20">
      <c r="A7" s="5" t="s">
        <v>14</v>
      </c>
      <c r="B7" s="5"/>
      <c r="C7" s="6">
        <f>+SUM(C8:C11)</f>
        <v>107.84099999999999</v>
      </c>
      <c r="D7" s="6">
        <f>+SUM(D8:D11)</f>
        <v>55.418999999999997</v>
      </c>
      <c r="E7" s="6">
        <f>+SUM(E8:E11)</f>
        <v>61.699999999999996</v>
      </c>
      <c r="F7" s="6">
        <f>+SUM(F8:F11)</f>
        <v>41.372999999999998</v>
      </c>
      <c r="G7" s="6">
        <f t="shared" ref="G7:Q7" si="1">+SUM(G8:G11)</f>
        <v>123.04768057251155</v>
      </c>
      <c r="H7" s="6">
        <f t="shared" si="1"/>
        <v>47.733811859814331</v>
      </c>
      <c r="I7" s="6">
        <f t="shared" si="1"/>
        <v>77.932313599085262</v>
      </c>
      <c r="J7" s="6">
        <f t="shared" si="1"/>
        <v>127.67316580220492</v>
      </c>
      <c r="K7" s="6">
        <f t="shared" si="1"/>
        <v>106.10184935534627</v>
      </c>
      <c r="L7" s="6">
        <f t="shared" si="1"/>
        <v>67.079131142244449</v>
      </c>
      <c r="M7" s="6">
        <f t="shared" si="1"/>
        <v>41.004712658514485</v>
      </c>
      <c r="N7" s="6">
        <f t="shared" si="1"/>
        <v>70.03505962868249</v>
      </c>
      <c r="O7" s="6">
        <f t="shared" si="1"/>
        <v>109.72413449326066</v>
      </c>
      <c r="P7" s="6">
        <f t="shared" si="1"/>
        <v>129.42329133007505</v>
      </c>
      <c r="Q7" s="6">
        <f t="shared" si="1"/>
        <v>66.957870004510852</v>
      </c>
    </row>
    <row r="8" spans="1:20">
      <c r="A8" s="2" t="s">
        <v>15</v>
      </c>
      <c r="C8" s="10">
        <v>54.917000000000002</v>
      </c>
      <c r="D8" s="10">
        <v>13.047000000000001</v>
      </c>
      <c r="E8" s="10">
        <v>1.6879999999999999</v>
      </c>
      <c r="F8" s="10">
        <v>13.125</v>
      </c>
      <c r="G8" s="10">
        <f t="shared" ref="G8:Q8" si="2">F8+G112</f>
        <v>94.799680572511562</v>
      </c>
      <c r="H8" s="10">
        <f t="shared" si="2"/>
        <v>19.485811859814334</v>
      </c>
      <c r="I8" s="10">
        <f t="shared" si="2"/>
        <v>49.684313599085272</v>
      </c>
      <c r="J8" s="10">
        <f t="shared" si="2"/>
        <v>99.42516580220493</v>
      </c>
      <c r="K8" s="10">
        <f t="shared" si="2"/>
        <v>77.853849355346284</v>
      </c>
      <c r="L8" s="10">
        <f t="shared" si="2"/>
        <v>38.831131142244459</v>
      </c>
      <c r="M8" s="10">
        <f t="shared" si="2"/>
        <v>12.756712658514488</v>
      </c>
      <c r="N8" s="10">
        <f t="shared" si="2"/>
        <v>41.787059628682499</v>
      </c>
      <c r="O8" s="10">
        <f t="shared" si="2"/>
        <v>81.476134493260673</v>
      </c>
      <c r="P8" s="10">
        <f t="shared" si="2"/>
        <v>101.17529133007505</v>
      </c>
      <c r="Q8" s="10">
        <f t="shared" si="2"/>
        <v>38.709870004510861</v>
      </c>
    </row>
    <row r="9" spans="1:20">
      <c r="A9" s="2" t="s">
        <v>35</v>
      </c>
      <c r="C9" s="10">
        <v>1.7090000000000001</v>
      </c>
      <c r="D9" s="10">
        <v>1.738</v>
      </c>
      <c r="E9" s="7">
        <v>12.154</v>
      </c>
      <c r="F9" s="7">
        <v>9.3919999999999995</v>
      </c>
      <c r="G9" s="7">
        <f>F9</f>
        <v>9.3919999999999995</v>
      </c>
      <c r="H9" s="7">
        <f t="shared" ref="H9:Q9" si="3">G9</f>
        <v>9.3919999999999995</v>
      </c>
      <c r="I9" s="7">
        <f t="shared" si="3"/>
        <v>9.3919999999999995</v>
      </c>
      <c r="J9" s="7">
        <f t="shared" si="3"/>
        <v>9.3919999999999995</v>
      </c>
      <c r="K9" s="7">
        <f t="shared" si="3"/>
        <v>9.3919999999999995</v>
      </c>
      <c r="L9" s="7">
        <f t="shared" si="3"/>
        <v>9.3919999999999995</v>
      </c>
      <c r="M9" s="7">
        <f t="shared" si="3"/>
        <v>9.3919999999999995</v>
      </c>
      <c r="N9" s="7">
        <f t="shared" si="3"/>
        <v>9.3919999999999995</v>
      </c>
      <c r="O9" s="7">
        <f t="shared" si="3"/>
        <v>9.3919999999999995</v>
      </c>
      <c r="P9" s="7">
        <f t="shared" si="3"/>
        <v>9.3919999999999995</v>
      </c>
      <c r="Q9" s="7">
        <f t="shared" si="3"/>
        <v>9.3919999999999995</v>
      </c>
    </row>
    <row r="10" spans="1:20">
      <c r="A10" s="2" t="s">
        <v>37</v>
      </c>
      <c r="C10" s="9">
        <v>51.112000000000002</v>
      </c>
      <c r="D10" s="9">
        <v>40.548000000000002</v>
      </c>
      <c r="E10" s="9">
        <v>47.857999999999997</v>
      </c>
      <c r="F10" s="9">
        <v>8.6790000000000003</v>
      </c>
      <c r="G10" s="9">
        <f>F10</f>
        <v>8.6790000000000003</v>
      </c>
      <c r="H10" s="9">
        <f t="shared" ref="H10:Q10" si="4">G10</f>
        <v>8.6790000000000003</v>
      </c>
      <c r="I10" s="9">
        <f t="shared" si="4"/>
        <v>8.6790000000000003</v>
      </c>
      <c r="J10" s="9">
        <f t="shared" si="4"/>
        <v>8.6790000000000003</v>
      </c>
      <c r="K10" s="9">
        <f t="shared" si="4"/>
        <v>8.6790000000000003</v>
      </c>
      <c r="L10" s="9">
        <f t="shared" si="4"/>
        <v>8.6790000000000003</v>
      </c>
      <c r="M10" s="9">
        <f t="shared" si="4"/>
        <v>8.6790000000000003</v>
      </c>
      <c r="N10" s="9">
        <f t="shared" si="4"/>
        <v>8.6790000000000003</v>
      </c>
      <c r="O10" s="9">
        <f t="shared" si="4"/>
        <v>8.6790000000000003</v>
      </c>
      <c r="P10" s="9">
        <f t="shared" si="4"/>
        <v>8.6790000000000003</v>
      </c>
      <c r="Q10" s="9">
        <f t="shared" si="4"/>
        <v>8.6790000000000003</v>
      </c>
    </row>
    <row r="11" spans="1:20">
      <c r="A11" s="2" t="s">
        <v>22</v>
      </c>
      <c r="C11" s="9">
        <f>107.841-SUM(C8:C10)</f>
        <v>0.10299999999999443</v>
      </c>
      <c r="D11" s="9">
        <f>55.419-SUM(D8:D10)</f>
        <v>8.5999999999998522E-2</v>
      </c>
      <c r="E11" s="9">
        <f>61.7-SUM(E8:E10)</f>
        <v>0</v>
      </c>
      <c r="F11" s="9">
        <f>41.373-SUM(F8:F10)</f>
        <v>10.177</v>
      </c>
      <c r="G11" s="9">
        <f>F11</f>
        <v>10.177</v>
      </c>
      <c r="H11" s="9">
        <f t="shared" ref="H11:Q11" si="5">G11</f>
        <v>10.177</v>
      </c>
      <c r="I11" s="9">
        <f t="shared" si="5"/>
        <v>10.177</v>
      </c>
      <c r="J11" s="9">
        <f t="shared" si="5"/>
        <v>10.177</v>
      </c>
      <c r="K11" s="9">
        <f t="shared" si="5"/>
        <v>10.177</v>
      </c>
      <c r="L11" s="9">
        <f t="shared" si="5"/>
        <v>10.177</v>
      </c>
      <c r="M11" s="9">
        <f t="shared" si="5"/>
        <v>10.177</v>
      </c>
      <c r="N11" s="9">
        <f t="shared" si="5"/>
        <v>10.177</v>
      </c>
      <c r="O11" s="9">
        <f t="shared" si="5"/>
        <v>10.177</v>
      </c>
      <c r="P11" s="9">
        <f t="shared" si="5"/>
        <v>10.177</v>
      </c>
      <c r="Q11" s="9">
        <f t="shared" si="5"/>
        <v>10.177</v>
      </c>
    </row>
    <row r="12" spans="1:20" ht="5.25" customHeight="1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>
      <c r="A13" s="5" t="s">
        <v>16</v>
      </c>
      <c r="C13" s="11">
        <v>7.7510000000000003</v>
      </c>
      <c r="D13" s="11">
        <v>6.1470000000000002</v>
      </c>
      <c r="E13" s="11">
        <v>3.05</v>
      </c>
      <c r="F13" s="11">
        <v>3.0760000000000001</v>
      </c>
      <c r="G13" s="11">
        <f>F13</f>
        <v>3.0760000000000001</v>
      </c>
      <c r="H13" s="11">
        <f t="shared" ref="H13:Q13" si="6">G13</f>
        <v>3.0760000000000001</v>
      </c>
      <c r="I13" s="11">
        <f t="shared" si="6"/>
        <v>3.0760000000000001</v>
      </c>
      <c r="J13" s="11">
        <f t="shared" si="6"/>
        <v>3.0760000000000001</v>
      </c>
      <c r="K13" s="11">
        <f t="shared" si="6"/>
        <v>3.0760000000000001</v>
      </c>
      <c r="L13" s="11">
        <f t="shared" si="6"/>
        <v>3.0760000000000001</v>
      </c>
      <c r="M13" s="11">
        <f t="shared" si="6"/>
        <v>3.0760000000000001</v>
      </c>
      <c r="N13" s="11">
        <f t="shared" si="6"/>
        <v>3.0760000000000001</v>
      </c>
      <c r="O13" s="11">
        <f t="shared" si="6"/>
        <v>3.0760000000000001</v>
      </c>
      <c r="P13" s="11">
        <f t="shared" si="6"/>
        <v>3.0760000000000001</v>
      </c>
      <c r="Q13" s="11">
        <f t="shared" si="6"/>
        <v>3.0760000000000001</v>
      </c>
      <c r="R13" s="9"/>
      <c r="S13" s="9"/>
      <c r="T13" s="9"/>
    </row>
    <row r="14" spans="1:20" ht="5.25" customHeight="1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>
      <c r="A15" s="12" t="s">
        <v>17</v>
      </c>
      <c r="B15" s="12"/>
      <c r="C15" s="20">
        <f>SUM(C16:C18)</f>
        <v>1105.7220000000002</v>
      </c>
      <c r="D15" s="20">
        <f>SUM(D16:D18)</f>
        <v>1328.694</v>
      </c>
      <c r="E15" s="20">
        <f>SUM(E16:E18)</f>
        <v>2139.6320000000001</v>
      </c>
      <c r="F15" s="20">
        <f>SUM(F16:F18)</f>
        <v>2409.0459999999998</v>
      </c>
      <c r="G15" s="20">
        <f t="shared" ref="G15:Q15" si="7">SUM(G16:G18)</f>
        <v>2835.4809665575376</v>
      </c>
      <c r="H15" s="20">
        <f t="shared" si="7"/>
        <v>3280.7813944706131</v>
      </c>
      <c r="I15" s="20">
        <f t="shared" si="7"/>
        <v>3805.4444809635934</v>
      </c>
      <c r="J15" s="20">
        <f t="shared" si="7"/>
        <v>4365.6430177647471</v>
      </c>
      <c r="K15" s="20">
        <f t="shared" si="7"/>
        <v>4951.407967525899</v>
      </c>
      <c r="L15" s="20">
        <f t="shared" si="7"/>
        <v>5567.6361475756521</v>
      </c>
      <c r="M15" s="20">
        <f t="shared" si="7"/>
        <v>6218.3743571904115</v>
      </c>
      <c r="N15" s="20">
        <f t="shared" si="7"/>
        <v>6941.8329522450904</v>
      </c>
      <c r="O15" s="20">
        <f t="shared" si="7"/>
        <v>7668.9616707376945</v>
      </c>
      <c r="P15" s="20">
        <f t="shared" si="7"/>
        <v>8274.3130683198233</v>
      </c>
      <c r="Q15" s="20">
        <f t="shared" si="7"/>
        <v>8870.3997486280241</v>
      </c>
      <c r="R15" s="9"/>
      <c r="S15" s="9"/>
      <c r="T15" s="9"/>
    </row>
    <row r="16" spans="1:20">
      <c r="A16" s="2" t="s">
        <v>18</v>
      </c>
      <c r="C16" s="9">
        <v>1062.9280000000001</v>
      </c>
      <c r="D16" s="9">
        <v>1284.3589999999999</v>
      </c>
      <c r="E16" s="9">
        <v>1925.2090000000001</v>
      </c>
      <c r="F16" s="9">
        <v>2177.4079999999999</v>
      </c>
      <c r="G16" s="9">
        <f>F16+G50+G73-G89</f>
        <v>2604.1979665575377</v>
      </c>
      <c r="H16" s="9">
        <f>G16+H50+H73-H89</f>
        <v>3049.4983944706132</v>
      </c>
      <c r="I16" s="9">
        <f>H16+I50+I73-I89</f>
        <v>3574.1614809635935</v>
      </c>
      <c r="J16" s="9">
        <f>I16+J50+J73-J89</f>
        <v>4134.3600177647468</v>
      </c>
      <c r="K16" s="9">
        <f t="shared" ref="K16:Q16" si="8">J16+K50+K73-K89</f>
        <v>4720.1249675258987</v>
      </c>
      <c r="L16" s="9">
        <f t="shared" si="8"/>
        <v>5336.3531475756517</v>
      </c>
      <c r="M16" s="9">
        <f t="shared" si="8"/>
        <v>5987.0913571904111</v>
      </c>
      <c r="N16" s="9">
        <f t="shared" si="8"/>
        <v>6710.54995224509</v>
      </c>
      <c r="O16" s="9">
        <f t="shared" si="8"/>
        <v>7437.6786707376941</v>
      </c>
      <c r="P16" s="9">
        <f t="shared" si="8"/>
        <v>8043.0300683198238</v>
      </c>
      <c r="Q16" s="9">
        <f t="shared" si="8"/>
        <v>8639.1167486280247</v>
      </c>
      <c r="R16" s="9"/>
      <c r="S16" s="9"/>
      <c r="T16" s="9"/>
    </row>
    <row r="17" spans="1:20">
      <c r="A17" s="2" t="s">
        <v>19</v>
      </c>
      <c r="C17" s="9">
        <v>0.122</v>
      </c>
      <c r="D17" s="9">
        <v>0.311</v>
      </c>
      <c r="E17" s="9">
        <v>0.33300000000000002</v>
      </c>
      <c r="F17" s="9">
        <v>0.35499999999999998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>
      <c r="A18" s="13" t="s">
        <v>20</v>
      </c>
      <c r="B18" s="13"/>
      <c r="C18" s="14">
        <v>42.671999999999997</v>
      </c>
      <c r="D18" s="14">
        <v>44.024000000000001</v>
      </c>
      <c r="E18" s="14">
        <v>214.09</v>
      </c>
      <c r="F18" s="14">
        <v>231.28299999999999</v>
      </c>
      <c r="G18" s="14">
        <f>F18</f>
        <v>231.28299999999999</v>
      </c>
      <c r="H18" s="14">
        <f t="shared" ref="H18:Q18" si="9">G18</f>
        <v>231.28299999999999</v>
      </c>
      <c r="I18" s="14">
        <f t="shared" si="9"/>
        <v>231.28299999999999</v>
      </c>
      <c r="J18" s="14">
        <f t="shared" si="9"/>
        <v>231.28299999999999</v>
      </c>
      <c r="K18" s="14">
        <f t="shared" si="9"/>
        <v>231.28299999999999</v>
      </c>
      <c r="L18" s="14">
        <f t="shared" si="9"/>
        <v>231.28299999999999</v>
      </c>
      <c r="M18" s="14">
        <f t="shared" si="9"/>
        <v>231.28299999999999</v>
      </c>
      <c r="N18" s="14">
        <f t="shared" si="9"/>
        <v>231.28299999999999</v>
      </c>
      <c r="O18" s="14">
        <f t="shared" si="9"/>
        <v>231.28299999999999</v>
      </c>
      <c r="P18" s="14">
        <f t="shared" si="9"/>
        <v>231.28299999999999</v>
      </c>
      <c r="Q18" s="14">
        <f t="shared" si="9"/>
        <v>231.28299999999999</v>
      </c>
      <c r="R18" s="9"/>
      <c r="S18" s="9"/>
      <c r="T18" s="9"/>
    </row>
    <row r="19" spans="1:20" ht="4.5" customHeight="1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 s="5" t="s">
        <v>21</v>
      </c>
      <c r="C20" s="6">
        <f>+SUM(C21:C24)</f>
        <v>102.462</v>
      </c>
      <c r="D20" s="6">
        <f>+SUM(D21:D24)</f>
        <v>50.534999999999997</v>
      </c>
      <c r="E20" s="6">
        <f>+SUM(E21:E24)</f>
        <v>207.017</v>
      </c>
      <c r="F20" s="6">
        <f>+SUM(F21:F24)</f>
        <v>94.632999999999996</v>
      </c>
      <c r="G20" s="6">
        <f t="shared" ref="G20:Q20" si="10">+SUM(G21:G24)</f>
        <v>226.54500000000002</v>
      </c>
      <c r="H20" s="6">
        <f t="shared" si="10"/>
        <v>92.543999999999997</v>
      </c>
      <c r="I20" s="6">
        <f t="shared" si="10"/>
        <v>89.669000000000011</v>
      </c>
      <c r="J20" s="6">
        <f t="shared" si="10"/>
        <v>171.26249539917052</v>
      </c>
      <c r="K20" s="6">
        <f t="shared" si="10"/>
        <v>236.42623646203916</v>
      </c>
      <c r="L20" s="6">
        <f t="shared" si="10"/>
        <v>241.45684551587317</v>
      </c>
      <c r="M20" s="6">
        <f t="shared" si="10"/>
        <v>233.53718684798173</v>
      </c>
      <c r="N20" s="6">
        <f t="shared" si="10"/>
        <v>226.21435468333422</v>
      </c>
      <c r="O20" s="6">
        <f t="shared" si="10"/>
        <v>256.04079862434423</v>
      </c>
      <c r="P20" s="6">
        <f t="shared" si="10"/>
        <v>255.47473685516607</v>
      </c>
      <c r="Q20" s="6">
        <f t="shared" si="10"/>
        <v>42.169000000000004</v>
      </c>
      <c r="R20" s="9"/>
      <c r="S20" s="9"/>
      <c r="T20" s="9"/>
    </row>
    <row r="21" spans="1:20">
      <c r="A21" s="2" t="s">
        <v>36</v>
      </c>
      <c r="C21" s="9">
        <v>43.28</v>
      </c>
      <c r="D21" s="9"/>
      <c r="E21" s="9">
        <v>153.24799999999999</v>
      </c>
      <c r="F21" s="9">
        <v>52.463999999999999</v>
      </c>
      <c r="G21" s="9">
        <f>H122</f>
        <v>184.376</v>
      </c>
      <c r="H21" s="9">
        <f t="shared" ref="H21:Q21" si="11">I122</f>
        <v>50.375</v>
      </c>
      <c r="I21" s="9">
        <f t="shared" si="11"/>
        <v>47.5</v>
      </c>
      <c r="J21" s="9">
        <f t="shared" si="11"/>
        <v>129.09349539917051</v>
      </c>
      <c r="K21" s="9">
        <f t="shared" si="11"/>
        <v>194.25723646203915</v>
      </c>
      <c r="L21" s="9">
        <f t="shared" si="11"/>
        <v>199.28784551587316</v>
      </c>
      <c r="M21" s="9">
        <f t="shared" si="11"/>
        <v>191.36818684798172</v>
      </c>
      <c r="N21" s="9">
        <f t="shared" si="11"/>
        <v>184.04535468333421</v>
      </c>
      <c r="O21" s="9">
        <f t="shared" si="11"/>
        <v>213.87179862434425</v>
      </c>
      <c r="P21" s="9">
        <f t="shared" si="11"/>
        <v>213.30573685516606</v>
      </c>
      <c r="Q21" s="9">
        <f t="shared" si="11"/>
        <v>0</v>
      </c>
      <c r="R21" s="9"/>
      <c r="S21" s="9"/>
      <c r="T21" s="9"/>
    </row>
    <row r="22" spans="1:20">
      <c r="A22" s="2" t="s">
        <v>39</v>
      </c>
      <c r="C22" s="9">
        <v>0.122</v>
      </c>
      <c r="D22" s="9">
        <v>7.6999999999999999E-2</v>
      </c>
      <c r="E22" s="9">
        <v>7.3999999999999996E-2</v>
      </c>
      <c r="F22" s="9">
        <v>0.46700000000000003</v>
      </c>
      <c r="G22" s="9">
        <f>F22</f>
        <v>0.46700000000000003</v>
      </c>
      <c r="H22" s="9">
        <f t="shared" ref="H22:Q22" si="12">G22</f>
        <v>0.46700000000000003</v>
      </c>
      <c r="I22" s="9">
        <f t="shared" si="12"/>
        <v>0.46700000000000003</v>
      </c>
      <c r="J22" s="9">
        <f t="shared" si="12"/>
        <v>0.46700000000000003</v>
      </c>
      <c r="K22" s="9">
        <f t="shared" si="12"/>
        <v>0.46700000000000003</v>
      </c>
      <c r="L22" s="9">
        <f t="shared" si="12"/>
        <v>0.46700000000000003</v>
      </c>
      <c r="M22" s="9">
        <f t="shared" si="12"/>
        <v>0.46700000000000003</v>
      </c>
      <c r="N22" s="9">
        <f t="shared" si="12"/>
        <v>0.46700000000000003</v>
      </c>
      <c r="O22" s="9">
        <f t="shared" si="12"/>
        <v>0.46700000000000003</v>
      </c>
      <c r="P22" s="9">
        <f t="shared" si="12"/>
        <v>0.46700000000000003</v>
      </c>
      <c r="Q22" s="9">
        <f t="shared" si="12"/>
        <v>0.46700000000000003</v>
      </c>
      <c r="R22" s="9"/>
      <c r="S22" s="9"/>
      <c r="T22" s="9"/>
    </row>
    <row r="23" spans="1:20" s="15" customFormat="1">
      <c r="A23" s="2" t="s">
        <v>38</v>
      </c>
      <c r="B23" s="2"/>
      <c r="C23" s="9">
        <v>45</v>
      </c>
      <c r="D23" s="9">
        <v>25.6</v>
      </c>
      <c r="E23" s="9">
        <v>23.815999999999999</v>
      </c>
      <c r="F23" s="9">
        <v>15.837999999999999</v>
      </c>
      <c r="G23" s="9">
        <f>F23</f>
        <v>15.837999999999999</v>
      </c>
      <c r="H23" s="9">
        <f t="shared" ref="H23:Q23" si="13">G23</f>
        <v>15.837999999999999</v>
      </c>
      <c r="I23" s="9">
        <f t="shared" si="13"/>
        <v>15.837999999999999</v>
      </c>
      <c r="J23" s="9">
        <f t="shared" si="13"/>
        <v>15.837999999999999</v>
      </c>
      <c r="K23" s="9">
        <f t="shared" si="13"/>
        <v>15.837999999999999</v>
      </c>
      <c r="L23" s="9">
        <f t="shared" si="13"/>
        <v>15.837999999999999</v>
      </c>
      <c r="M23" s="9">
        <f t="shared" si="13"/>
        <v>15.837999999999999</v>
      </c>
      <c r="N23" s="9">
        <f t="shared" si="13"/>
        <v>15.837999999999999</v>
      </c>
      <c r="O23" s="9">
        <f t="shared" si="13"/>
        <v>15.837999999999999</v>
      </c>
      <c r="P23" s="9">
        <f t="shared" si="13"/>
        <v>15.837999999999999</v>
      </c>
      <c r="Q23" s="9">
        <f t="shared" si="13"/>
        <v>15.837999999999999</v>
      </c>
      <c r="R23" s="9"/>
      <c r="S23" s="9"/>
      <c r="T23" s="9"/>
    </row>
    <row r="24" spans="1:20" s="15" customFormat="1">
      <c r="A24" s="2" t="s">
        <v>22</v>
      </c>
      <c r="B24" s="2"/>
      <c r="C24" s="9">
        <f>102.462-SUM(C21:C23)</f>
        <v>14.060000000000002</v>
      </c>
      <c r="D24" s="9">
        <f>50.535-SUM(D21:D23)</f>
        <v>24.857999999999993</v>
      </c>
      <c r="E24" s="9">
        <f>207.017-SUM(E21:E23)</f>
        <v>29.878999999999991</v>
      </c>
      <c r="F24" s="9">
        <f>94.633-SUM(F21:F23)</f>
        <v>25.864000000000004</v>
      </c>
      <c r="G24" s="9">
        <f>F24</f>
        <v>25.864000000000004</v>
      </c>
      <c r="H24" s="9">
        <f t="shared" ref="H24:Q24" si="14">G24</f>
        <v>25.864000000000004</v>
      </c>
      <c r="I24" s="9">
        <f t="shared" si="14"/>
        <v>25.864000000000004</v>
      </c>
      <c r="J24" s="9">
        <f t="shared" si="14"/>
        <v>25.864000000000004</v>
      </c>
      <c r="K24" s="9">
        <f t="shared" si="14"/>
        <v>25.864000000000004</v>
      </c>
      <c r="L24" s="9">
        <f t="shared" si="14"/>
        <v>25.864000000000004</v>
      </c>
      <c r="M24" s="9">
        <f t="shared" si="14"/>
        <v>25.864000000000004</v>
      </c>
      <c r="N24" s="9">
        <f t="shared" si="14"/>
        <v>25.864000000000004</v>
      </c>
      <c r="O24" s="9">
        <f t="shared" si="14"/>
        <v>25.864000000000004</v>
      </c>
      <c r="P24" s="9">
        <f t="shared" si="14"/>
        <v>25.864000000000004</v>
      </c>
      <c r="Q24" s="9">
        <f t="shared" si="14"/>
        <v>25.864000000000004</v>
      </c>
      <c r="R24" s="9"/>
      <c r="S24" s="9"/>
      <c r="T24" s="9"/>
    </row>
    <row r="25" spans="1:20" s="15" customFormat="1" ht="6.75" customHeight="1">
      <c r="A25" s="2"/>
      <c r="B25" s="2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s="15" customFormat="1">
      <c r="A26" s="5" t="s">
        <v>40</v>
      </c>
      <c r="B26" s="2"/>
      <c r="C26" s="6">
        <f>+SUM(C27:C29)</f>
        <v>190.37900000000002</v>
      </c>
      <c r="D26" s="6">
        <f>+SUM(D27:D29)</f>
        <v>163.31599999999997</v>
      </c>
      <c r="E26" s="6">
        <f>+SUM(E27:E29)</f>
        <v>217.81699999999998</v>
      </c>
      <c r="F26" s="6">
        <f>+SUM(F27:F29)</f>
        <v>286.67599999999999</v>
      </c>
      <c r="G26" s="6">
        <f>+SUM(G27:G29)</f>
        <v>231.39349539917052</v>
      </c>
      <c r="H26" s="6">
        <f t="shared" ref="H26:Q26" si="15">+SUM(H27:H29)</f>
        <v>375.27573186120964</v>
      </c>
      <c r="I26" s="6">
        <f t="shared" si="15"/>
        <v>527.06357737708288</v>
      </c>
      <c r="J26" s="6">
        <f t="shared" si="15"/>
        <v>589.33826882589415</v>
      </c>
      <c r="K26" s="6">
        <f t="shared" si="15"/>
        <v>579.12638704718927</v>
      </c>
      <c r="L26" s="6">
        <f t="shared" si="15"/>
        <v>593.71034015566033</v>
      </c>
      <c r="M26" s="6">
        <f t="shared" si="15"/>
        <v>615.64789016284465</v>
      </c>
      <c r="N26" s="6">
        <f t="shared" si="15"/>
        <v>672.03399064061966</v>
      </c>
      <c r="O26" s="6">
        <f t="shared" si="15"/>
        <v>705.27256814101565</v>
      </c>
      <c r="P26" s="6">
        <f t="shared" si="15"/>
        <v>775.99307280899552</v>
      </c>
      <c r="Q26" s="6">
        <f t="shared" si="15"/>
        <v>1058.4131612502197</v>
      </c>
      <c r="R26" s="9"/>
      <c r="S26" s="9"/>
      <c r="T26" s="9"/>
    </row>
    <row r="27" spans="1:20">
      <c r="A27" s="2" t="s">
        <v>41</v>
      </c>
      <c r="C27" s="9">
        <v>148.09100000000001</v>
      </c>
      <c r="D27" s="9">
        <v>130.14699999999999</v>
      </c>
      <c r="E27" s="9">
        <v>209.83099999999999</v>
      </c>
      <c r="F27" s="9">
        <v>282.75</v>
      </c>
      <c r="G27" s="9">
        <f>G81-G21</f>
        <v>227.46749539917053</v>
      </c>
      <c r="H27" s="9">
        <f t="shared" ref="H27:Q27" si="16">H81-H21</f>
        <v>371.34973186120965</v>
      </c>
      <c r="I27" s="9">
        <f t="shared" si="16"/>
        <v>523.13757737708283</v>
      </c>
      <c r="J27" s="9">
        <f t="shared" si="16"/>
        <v>585.4122688258941</v>
      </c>
      <c r="K27" s="9">
        <f t="shared" si="16"/>
        <v>575.20038704718922</v>
      </c>
      <c r="L27" s="9">
        <f t="shared" si="16"/>
        <v>589.78434015566029</v>
      </c>
      <c r="M27" s="9">
        <f t="shared" si="16"/>
        <v>611.7218901628446</v>
      </c>
      <c r="N27" s="9">
        <f t="shared" si="16"/>
        <v>668.10799064061962</v>
      </c>
      <c r="O27" s="9">
        <f t="shared" si="16"/>
        <v>701.34656814101561</v>
      </c>
      <c r="P27" s="9">
        <f t="shared" si="16"/>
        <v>772.06707280899548</v>
      </c>
      <c r="Q27" s="9">
        <f t="shared" si="16"/>
        <v>1054.4871612502197</v>
      </c>
      <c r="R27" s="9"/>
      <c r="S27" s="9"/>
      <c r="T27" s="9"/>
    </row>
    <row r="28" spans="1:20">
      <c r="A28" s="2" t="s">
        <v>42</v>
      </c>
      <c r="C28" s="9">
        <v>42.287999999999997</v>
      </c>
      <c r="D28" s="9">
        <v>33.168999999999997</v>
      </c>
      <c r="E28" s="9">
        <v>7.9859999999999998</v>
      </c>
      <c r="F28" s="9">
        <v>3.9260000000000002</v>
      </c>
      <c r="G28" s="9">
        <f>F28</f>
        <v>3.9260000000000002</v>
      </c>
      <c r="H28" s="9">
        <f t="shared" ref="H28:Q28" si="17">G28</f>
        <v>3.9260000000000002</v>
      </c>
      <c r="I28" s="9">
        <f t="shared" si="17"/>
        <v>3.9260000000000002</v>
      </c>
      <c r="J28" s="9">
        <f t="shared" si="17"/>
        <v>3.9260000000000002</v>
      </c>
      <c r="K28" s="9">
        <f t="shared" si="17"/>
        <v>3.9260000000000002</v>
      </c>
      <c r="L28" s="9">
        <f t="shared" si="17"/>
        <v>3.9260000000000002</v>
      </c>
      <c r="M28" s="9">
        <f t="shared" si="17"/>
        <v>3.9260000000000002</v>
      </c>
      <c r="N28" s="9">
        <f t="shared" si="17"/>
        <v>3.9260000000000002</v>
      </c>
      <c r="O28" s="9">
        <f t="shared" si="17"/>
        <v>3.9260000000000002</v>
      </c>
      <c r="P28" s="9">
        <f t="shared" si="17"/>
        <v>3.9260000000000002</v>
      </c>
      <c r="Q28" s="9">
        <f t="shared" si="17"/>
        <v>3.9260000000000002</v>
      </c>
      <c r="R28" s="9"/>
      <c r="S28" s="9"/>
      <c r="T28" s="9"/>
    </row>
    <row r="29" spans="1:20">
      <c r="A29" s="2" t="s">
        <v>22</v>
      </c>
      <c r="C29" s="9">
        <v>0</v>
      </c>
      <c r="D29" s="9">
        <v>0</v>
      </c>
      <c r="E29" s="9">
        <v>0</v>
      </c>
      <c r="F29" s="9">
        <v>0</v>
      </c>
      <c r="G29" s="9">
        <f>F29</f>
        <v>0</v>
      </c>
      <c r="H29" s="9">
        <f t="shared" ref="H29:Q29" si="18">G29</f>
        <v>0</v>
      </c>
      <c r="I29" s="9">
        <f t="shared" si="18"/>
        <v>0</v>
      </c>
      <c r="J29" s="9">
        <f t="shared" si="18"/>
        <v>0</v>
      </c>
      <c r="K29" s="9">
        <f t="shared" si="18"/>
        <v>0</v>
      </c>
      <c r="L29" s="9">
        <f t="shared" si="18"/>
        <v>0</v>
      </c>
      <c r="M29" s="9">
        <f t="shared" si="18"/>
        <v>0</v>
      </c>
      <c r="N29" s="9">
        <f t="shared" si="18"/>
        <v>0</v>
      </c>
      <c r="O29" s="9">
        <f t="shared" si="18"/>
        <v>0</v>
      </c>
      <c r="P29" s="9">
        <f t="shared" si="18"/>
        <v>0</v>
      </c>
      <c r="Q29" s="9">
        <f t="shared" si="18"/>
        <v>0</v>
      </c>
      <c r="R29" s="9"/>
      <c r="S29" s="9"/>
      <c r="T29" s="9"/>
    </row>
    <row r="30" spans="1:20" ht="4.5" customHeight="1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>
      <c r="A31" s="5" t="s">
        <v>24</v>
      </c>
      <c r="C31" s="11">
        <v>928.47299999999996</v>
      </c>
      <c r="D31" s="11">
        <v>1176.4090000000001</v>
      </c>
      <c r="E31" s="11">
        <v>1779.548</v>
      </c>
      <c r="F31" s="11">
        <v>2072.1860000000001</v>
      </c>
      <c r="G31" s="11">
        <f t="shared" ref="G31:Q31" si="19">F31+G65+G104+G108</f>
        <v>2504.021151730879</v>
      </c>
      <c r="H31" s="11">
        <f t="shared" si="19"/>
        <v>2864.126474469218</v>
      </c>
      <c r="I31" s="11">
        <f t="shared" si="19"/>
        <v>3270.0752171855961</v>
      </c>
      <c r="J31" s="11">
        <f t="shared" si="19"/>
        <v>3736.1464193418878</v>
      </c>
      <c r="K31" s="11">
        <f t="shared" si="19"/>
        <v>4245.3881933720168</v>
      </c>
      <c r="L31" s="11">
        <f t="shared" si="19"/>
        <v>4802.9790930463632</v>
      </c>
      <c r="M31" s="11">
        <f t="shared" si="19"/>
        <v>5413.6249928381003</v>
      </c>
      <c r="N31" s="11">
        <f t="shared" si="19"/>
        <v>6117.0506665498197</v>
      </c>
      <c r="O31" s="11">
        <f t="shared" si="19"/>
        <v>6820.8034384655948</v>
      </c>
      <c r="P31" s="11">
        <f t="shared" si="19"/>
        <v>7375.6995499857367</v>
      </c>
      <c r="Q31" s="11">
        <f t="shared" si="19"/>
        <v>7840.2064573823154</v>
      </c>
      <c r="R31" s="9"/>
      <c r="S31" s="9"/>
      <c r="T31" s="9"/>
    </row>
    <row r="32" spans="1:20" ht="3.75" customHeight="1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ht="12.75" thickBot="1">
      <c r="A33" s="18" t="s">
        <v>44</v>
      </c>
      <c r="B33" s="22"/>
      <c r="C33" s="25">
        <f t="shared" ref="C33:I33" si="20">C31+C26+C20</f>
        <v>1221.3139999999999</v>
      </c>
      <c r="D33" s="25">
        <f t="shared" si="20"/>
        <v>1390.2600000000002</v>
      </c>
      <c r="E33" s="25">
        <f t="shared" si="20"/>
        <v>2204.3820000000001</v>
      </c>
      <c r="F33" s="25">
        <f t="shared" si="20"/>
        <v>2453.4949999999999</v>
      </c>
      <c r="G33" s="25">
        <f t="shared" si="20"/>
        <v>2961.9596471300497</v>
      </c>
      <c r="H33" s="25">
        <f t="shared" si="20"/>
        <v>3331.9462063304277</v>
      </c>
      <c r="I33" s="25">
        <f t="shared" si="20"/>
        <v>3886.8077945626787</v>
      </c>
      <c r="J33" s="25">
        <f t="shared" ref="J33:Q33" si="21">J31+J26+J20</f>
        <v>4496.747183566953</v>
      </c>
      <c r="K33" s="25">
        <f t="shared" si="21"/>
        <v>5060.9408168812452</v>
      </c>
      <c r="L33" s="25">
        <f t="shared" si="21"/>
        <v>5638.1462787178971</v>
      </c>
      <c r="M33" s="25">
        <f t="shared" si="21"/>
        <v>6262.8100698489261</v>
      </c>
      <c r="N33" s="25">
        <f t="shared" si="21"/>
        <v>7015.2990118737735</v>
      </c>
      <c r="O33" s="25">
        <f t="shared" si="21"/>
        <v>7782.1168052309549</v>
      </c>
      <c r="P33" s="25">
        <f t="shared" si="21"/>
        <v>8407.1673596498986</v>
      </c>
      <c r="Q33" s="25">
        <f t="shared" si="21"/>
        <v>8940.7886186325359</v>
      </c>
      <c r="R33" s="9"/>
      <c r="S33" s="9"/>
      <c r="T33" s="9"/>
    </row>
    <row r="34" spans="1:20" ht="5.25" customHeight="1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>
      <c r="A35" s="2" t="s">
        <v>25</v>
      </c>
      <c r="C35" s="9">
        <f>C5-C33</f>
        <v>0</v>
      </c>
      <c r="D35" s="9">
        <f>D5-D33</f>
        <v>0</v>
      </c>
      <c r="E35" s="9">
        <f>E5-E33</f>
        <v>0</v>
      </c>
      <c r="F35" s="9">
        <f>F5-F33</f>
        <v>0</v>
      </c>
      <c r="G35" s="9">
        <f t="shared" ref="G35:Q35" si="22">G5-G33</f>
        <v>-0.35500000000047294</v>
      </c>
      <c r="H35" s="9">
        <f t="shared" si="22"/>
        <v>-0.35500000000001819</v>
      </c>
      <c r="I35" s="9">
        <f t="shared" si="22"/>
        <v>-0.35500000000001819</v>
      </c>
      <c r="J35" s="9">
        <f t="shared" si="22"/>
        <v>-0.35500000000138243</v>
      </c>
      <c r="K35" s="9">
        <f t="shared" si="22"/>
        <v>-0.35499999999956344</v>
      </c>
      <c r="L35" s="9">
        <f t="shared" si="22"/>
        <v>-0.35500000000047294</v>
      </c>
      <c r="M35" s="9">
        <f t="shared" si="22"/>
        <v>-0.35500000000047294</v>
      </c>
      <c r="N35" s="9">
        <f t="shared" si="22"/>
        <v>-0.35500000000047294</v>
      </c>
      <c r="O35" s="9">
        <f t="shared" si="22"/>
        <v>-0.35499999999956344</v>
      </c>
      <c r="P35" s="9">
        <f t="shared" si="22"/>
        <v>-0.35499999999956344</v>
      </c>
      <c r="Q35" s="9">
        <f t="shared" si="22"/>
        <v>-0.35500000000138243</v>
      </c>
      <c r="R35" s="9"/>
      <c r="S35" s="9"/>
      <c r="T35" s="9"/>
    </row>
    <row r="36" spans="1:20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>
      <c r="C37" s="9" t="s">
        <v>0</v>
      </c>
      <c r="D37" s="3" t="s">
        <v>1</v>
      </c>
      <c r="E37" s="3" t="s">
        <v>1</v>
      </c>
      <c r="F37" s="3" t="s">
        <v>1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>
      <c r="A38" s="23" t="s">
        <v>2</v>
      </c>
      <c r="B38" s="23"/>
      <c r="C38" s="24">
        <f t="shared" ref="C38:L38" si="23">C3</f>
        <v>2008</v>
      </c>
      <c r="D38" s="24">
        <f t="shared" si="23"/>
        <v>2009</v>
      </c>
      <c r="E38" s="24">
        <f t="shared" si="23"/>
        <v>2010</v>
      </c>
      <c r="F38" s="24">
        <f>F3</f>
        <v>2011</v>
      </c>
      <c r="G38" s="24" t="str">
        <f t="shared" si="23"/>
        <v>2012E</v>
      </c>
      <c r="H38" s="24" t="str">
        <f t="shared" si="23"/>
        <v>2013E</v>
      </c>
      <c r="I38" s="24" t="str">
        <f t="shared" si="23"/>
        <v>2014E</v>
      </c>
      <c r="J38" s="24" t="str">
        <f t="shared" si="23"/>
        <v>2015E</v>
      </c>
      <c r="K38" s="24" t="str">
        <f t="shared" si="23"/>
        <v>2016E</v>
      </c>
      <c r="L38" s="24" t="str">
        <f t="shared" si="23"/>
        <v>2017E</v>
      </c>
      <c r="M38" s="24" t="str">
        <f t="shared" ref="M38:Q38" si="24">M3</f>
        <v>2018E</v>
      </c>
      <c r="N38" s="24" t="str">
        <f t="shared" si="24"/>
        <v>2019E</v>
      </c>
      <c r="O38" s="24" t="str">
        <f t="shared" si="24"/>
        <v>2020E</v>
      </c>
      <c r="P38" s="24" t="str">
        <f t="shared" si="24"/>
        <v>2021E</v>
      </c>
      <c r="Q38" s="24" t="str">
        <f t="shared" si="24"/>
        <v>2022E</v>
      </c>
      <c r="R38" s="9"/>
      <c r="S38" s="9"/>
      <c r="T38" s="9"/>
    </row>
    <row r="39" spans="1:20">
      <c r="A39" s="5" t="s">
        <v>26</v>
      </c>
      <c r="B39" s="5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9"/>
      <c r="S39" s="9"/>
      <c r="T39" s="9"/>
    </row>
    <row r="40" spans="1:20" ht="3.75" customHeight="1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>
      <c r="A41" s="2" t="s">
        <v>27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ht="3.75" customHeight="1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>
      <c r="A43" s="5" t="s">
        <v>28</v>
      </c>
      <c r="B43" s="5"/>
      <c r="C43" s="11"/>
      <c r="D43" s="11">
        <v>10.127000000000001</v>
      </c>
      <c r="E43" s="11">
        <v>16.373999999999999</v>
      </c>
      <c r="F43" s="11">
        <v>19.155999999999999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9"/>
      <c r="S43" s="9"/>
      <c r="T43" s="9"/>
    </row>
    <row r="44" spans="1:20" ht="5.25" customHeight="1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>
      <c r="A45" s="2" t="s">
        <v>45</v>
      </c>
      <c r="C45" s="9"/>
      <c r="D45" s="9">
        <v>-5.0179999999999998</v>
      </c>
      <c r="E45" s="9">
        <v>-5.8250000000000002</v>
      </c>
      <c r="F45" s="9">
        <v>-9.16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ht="5.25" customHeight="1">
      <c r="C46" s="9"/>
      <c r="D46" s="9"/>
      <c r="E46" s="9"/>
      <c r="F46" s="9"/>
      <c r="G46" s="9"/>
      <c r="H46" s="9"/>
      <c r="I46" s="9"/>
      <c r="J46" s="9"/>
      <c r="K46" s="9"/>
      <c r="L46" s="9"/>
      <c r="O46" s="9"/>
      <c r="P46" s="9"/>
      <c r="Q46" s="9"/>
      <c r="R46" s="9"/>
      <c r="S46" s="9"/>
      <c r="T46" s="9"/>
    </row>
    <row r="47" spans="1:20">
      <c r="A47" s="5" t="s">
        <v>29</v>
      </c>
      <c r="C47" s="9"/>
      <c r="D47" s="9">
        <f>D43+D45</f>
        <v>5.1090000000000009</v>
      </c>
      <c r="E47" s="9">
        <f>E43+E45</f>
        <v>10.548999999999999</v>
      </c>
      <c r="F47" s="9">
        <f>F43+F45</f>
        <v>9.9959999999999987</v>
      </c>
      <c r="G47" s="9">
        <f t="shared" ref="G47:L47" si="25">+F47</f>
        <v>9.9959999999999987</v>
      </c>
      <c r="H47" s="9">
        <f t="shared" si="25"/>
        <v>9.9959999999999987</v>
      </c>
      <c r="I47" s="9">
        <f t="shared" si="25"/>
        <v>9.9959999999999987</v>
      </c>
      <c r="J47" s="9">
        <f t="shared" si="25"/>
        <v>9.9959999999999987</v>
      </c>
      <c r="K47" s="9">
        <f t="shared" si="25"/>
        <v>9.9959999999999987</v>
      </c>
      <c r="L47" s="9">
        <f t="shared" si="25"/>
        <v>9.9959999999999987</v>
      </c>
      <c r="M47" s="9">
        <f t="shared" ref="M47:Q47" si="26">+L47</f>
        <v>9.9959999999999987</v>
      </c>
      <c r="N47" s="9">
        <f t="shared" si="26"/>
        <v>9.9959999999999987</v>
      </c>
      <c r="O47" s="9">
        <f t="shared" si="26"/>
        <v>9.9959999999999987</v>
      </c>
      <c r="P47" s="9">
        <f t="shared" si="26"/>
        <v>9.9959999999999987</v>
      </c>
      <c r="Q47" s="9">
        <f t="shared" si="26"/>
        <v>9.9959999999999987</v>
      </c>
      <c r="R47" s="9"/>
      <c r="S47" s="9"/>
      <c r="T47" s="9"/>
    </row>
    <row r="48" spans="1:20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>
      <c r="A49" s="2" t="s">
        <v>30</v>
      </c>
      <c r="C49" s="9"/>
      <c r="D49" s="9">
        <v>-42.222999999999999</v>
      </c>
      <c r="E49" s="9">
        <v>-107.014</v>
      </c>
      <c r="F49" s="9">
        <v>-52.322000000000003</v>
      </c>
      <c r="G49" s="74">
        <f>F49*(1+(Cenário!W9/100))</f>
        <v>-55.042744000000006</v>
      </c>
      <c r="H49" s="74">
        <f>G49*(1+(Cenário!X9/100))</f>
        <v>-57.960009432</v>
      </c>
      <c r="I49" s="74">
        <f>H49*(1+(Cenário!Y9/100))</f>
        <v>-60.858009903599999</v>
      </c>
      <c r="J49" s="74">
        <f>I49*(1+(Cenário!Z9/100))</f>
        <v>-63.900910398779999</v>
      </c>
      <c r="K49" s="74">
        <f>J49*(1+(Cenário!AA9/100))</f>
        <v>-66.776451366725098</v>
      </c>
      <c r="L49" s="74">
        <f>K49*(1+(Cenário!AB9/100))</f>
        <v>-69.78139167822772</v>
      </c>
      <c r="M49" s="74">
        <f>L49*(1+(Cenário!AC9/100))</f>
        <v>-72.921554303747968</v>
      </c>
      <c r="N49" s="74">
        <f>M49*(1+(Cenário!AD9/100))</f>
        <v>-76.203024247416622</v>
      </c>
      <c r="O49" s="74">
        <f>N49*(1+(Cenário!AE9/100))</f>
        <v>-79.632160338550364</v>
      </c>
      <c r="P49" s="74">
        <f>O49*(1+(Cenário!AF9/100))</f>
        <v>-83.215607553785119</v>
      </c>
      <c r="Q49" s="74">
        <f>P49*(1+(Cenário!AG9/100))</f>
        <v>-86.960309893705443</v>
      </c>
      <c r="R49" s="9"/>
      <c r="S49" s="9"/>
      <c r="T49" s="9"/>
    </row>
    <row r="50" spans="1:20">
      <c r="A50" s="2" t="s">
        <v>46</v>
      </c>
      <c r="C50" s="9"/>
      <c r="D50" s="9">
        <v>263.86399999999998</v>
      </c>
      <c r="E50" s="9">
        <v>398.98700000000002</v>
      </c>
      <c r="F50" s="9">
        <v>435.33699999999999</v>
      </c>
      <c r="G50" s="9">
        <f>('Cash Flow CCR'!G31*0.17)+('Cash Flow Cemig'!G4*0.144)+('AG Concessões'!G93+'AG Concessões'!G133*0.096)</f>
        <v>684.97695735587877</v>
      </c>
      <c r="H50" s="9">
        <f>('Cash Flow CCR'!H31*0.17)+('Cash Flow Cemig'!H4*0.144)+('AG Concessões'!H93+'AG Concessões'!H133*0.096)</f>
        <v>744.15771477775104</v>
      </c>
      <c r="I50" s="9">
        <f>('Cash Flow CCR'!I31*0.17)+('Cash Flow Cemig'!I4*0.144)+('AG Concessões'!I93+'AG Concessões'!I133*0.096)</f>
        <v>831.25977190201604</v>
      </c>
      <c r="J50" s="9">
        <f>('Cash Flow CCR'!J31*0.17)+('Cash Flow Cemig'!J4*0.144)+('AG Concessões'!J93+'AG Concessões'!J133*0.096)</f>
        <v>942.93491049711679</v>
      </c>
      <c r="K50" s="9">
        <f>('Cash Flow CCR'!K31*0.17)+('Cash Flow Cemig'!K4*0.144)+('AG Concessões'!K93+'AG Concessões'!K133*0.096)</f>
        <v>1045.8783364694871</v>
      </c>
      <c r="L50" s="9">
        <f>('Cash Flow CCR'!L31*0.17)+('Cash Flow Cemig'!L4*0.144)+('AG Concessões'!L93+'AG Concessões'!L133*0.096)</f>
        <v>1150.9076766106141</v>
      </c>
      <c r="M50" s="9">
        <f>('Cash Flow CCR'!M31*0.17)+('Cash Flow Cemig'!M4*0.144)+('AG Concessões'!M93+'AG Concessões'!M133*0.096)</f>
        <v>1260.1831720580915</v>
      </c>
      <c r="N50" s="9">
        <f>('Cash Flow CCR'!N31*0.17)+('Cash Flow Cemig'!N4*0.144)+('AG Concessões'!N93+'AG Concessões'!N133*0.096)</f>
        <v>1410.4056098007059</v>
      </c>
      <c r="O50" s="9">
        <f>('Cash Flow CCR'!O31*0.17)+('Cash Flow Cemig'!O4*0.144)+('AG Concessões'!O93+'AG Concessões'!O133*0.096)</f>
        <v>1550.8299722417376</v>
      </c>
      <c r="P50" s="9">
        <f>('Cash Flow CCR'!P31*0.17)+('Cash Flow Cemig'!P4*0.144)+('AG Concessões'!P93+'AG Concessões'!P133*0.096)</f>
        <v>1552.1055359926154</v>
      </c>
      <c r="Q50" s="9">
        <f>('Cash Flow CCR'!Q31*0.17)+('Cash Flow Cemig'!Q4*0.144)+('AG Concessões'!Q93+'AG Concessões'!Q133*0.096)</f>
        <v>1537.4869751122831</v>
      </c>
      <c r="R50" s="9"/>
      <c r="S50" s="9"/>
      <c r="T50" s="9"/>
    </row>
    <row r="51" spans="1:20">
      <c r="A51" s="2" t="s">
        <v>47</v>
      </c>
      <c r="C51" s="9"/>
      <c r="D51" s="9"/>
      <c r="E51" s="9"/>
      <c r="F51" s="9"/>
      <c r="G51" s="9"/>
      <c r="H51" s="9"/>
      <c r="I51" s="9"/>
      <c r="J51" s="9"/>
      <c r="K51" s="9"/>
      <c r="L51" s="9"/>
      <c r="O51" s="9"/>
      <c r="P51" s="9"/>
      <c r="Q51" s="9"/>
      <c r="R51" s="9"/>
      <c r="S51" s="9"/>
      <c r="T51" s="9"/>
    </row>
    <row r="52" spans="1:20">
      <c r="A52" s="2" t="s">
        <v>48</v>
      </c>
      <c r="C52" s="9"/>
      <c r="D52" s="9">
        <v>161.815</v>
      </c>
      <c r="E52" s="9">
        <v>438.97500000000002</v>
      </c>
      <c r="F52" s="9">
        <v>0</v>
      </c>
      <c r="G52" s="9"/>
      <c r="H52" s="9"/>
      <c r="I52" s="9"/>
      <c r="J52" s="9"/>
      <c r="K52" s="9"/>
      <c r="L52" s="9"/>
      <c r="O52" s="9"/>
      <c r="P52" s="9"/>
      <c r="Q52" s="9"/>
      <c r="R52" s="9"/>
      <c r="S52" s="9"/>
      <c r="T52" s="9"/>
    </row>
    <row r="53" spans="1:20" ht="3" customHeight="1">
      <c r="C53" s="9"/>
      <c r="D53" s="9"/>
      <c r="E53" s="9"/>
      <c r="F53" s="9"/>
      <c r="G53" s="9"/>
      <c r="H53" s="9"/>
      <c r="I53" s="9"/>
      <c r="J53" s="9"/>
      <c r="K53" s="9"/>
      <c r="L53" s="9"/>
      <c r="O53" s="9"/>
      <c r="P53" s="9"/>
      <c r="Q53" s="9"/>
      <c r="R53" s="9"/>
      <c r="S53" s="9"/>
      <c r="T53" s="9"/>
    </row>
    <row r="54" spans="1:20">
      <c r="A54" s="5" t="s">
        <v>49</v>
      </c>
      <c r="C54" s="11">
        <f>SUM(C49:C52)</f>
        <v>0</v>
      </c>
      <c r="D54" s="11">
        <f>SUM(D49:D52)+D47</f>
        <v>388.56499999999994</v>
      </c>
      <c r="E54" s="11">
        <f>SUM(E49:E52)+E47</f>
        <v>741.49700000000007</v>
      </c>
      <c r="F54" s="11">
        <f>SUM(F49:F52)+F47</f>
        <v>393.01099999999997</v>
      </c>
      <c r="G54" s="11">
        <f>SUM(G49:G52)+G47</f>
        <v>639.93021335587878</v>
      </c>
      <c r="H54" s="11">
        <f t="shared" ref="H54:Q54" si="27">SUM(H49:H52)+H47</f>
        <v>696.19370534575103</v>
      </c>
      <c r="I54" s="11">
        <f t="shared" si="27"/>
        <v>780.39776199841606</v>
      </c>
      <c r="J54" s="11">
        <f t="shared" si="27"/>
        <v>889.03000009833681</v>
      </c>
      <c r="K54" s="11">
        <f t="shared" si="27"/>
        <v>989.09788510276201</v>
      </c>
      <c r="L54" s="11">
        <f t="shared" si="27"/>
        <v>1091.1222849323865</v>
      </c>
      <c r="M54" s="11">
        <f t="shared" si="27"/>
        <v>1197.2576177543435</v>
      </c>
      <c r="N54" s="11">
        <f t="shared" si="27"/>
        <v>1344.1985855532894</v>
      </c>
      <c r="O54" s="11">
        <f t="shared" si="27"/>
        <v>1481.1938119031872</v>
      </c>
      <c r="P54" s="11">
        <f t="shared" si="27"/>
        <v>1478.8859284388304</v>
      </c>
      <c r="Q54" s="11">
        <f t="shared" si="27"/>
        <v>1460.5226652185777</v>
      </c>
      <c r="R54" s="9"/>
      <c r="S54" s="9"/>
      <c r="T54" s="9"/>
    </row>
    <row r="55" spans="1:20" ht="3.75" customHeight="1">
      <c r="C55" s="9"/>
      <c r="D55" s="9"/>
      <c r="E55" s="9"/>
      <c r="F55" s="9"/>
      <c r="G55" s="9"/>
      <c r="H55" s="9"/>
      <c r="I55" s="9"/>
      <c r="J55" s="9"/>
      <c r="K55" s="9"/>
      <c r="L55" s="9"/>
      <c r="O55" s="9"/>
      <c r="P55" s="9"/>
      <c r="Q55" s="9"/>
      <c r="R55" s="9"/>
      <c r="S55" s="9"/>
      <c r="T55" s="9"/>
    </row>
    <row r="56" spans="1:20">
      <c r="A56" s="2" t="s">
        <v>50</v>
      </c>
      <c r="C56" s="9"/>
      <c r="D56" s="9">
        <v>0.22600000000000001</v>
      </c>
      <c r="E56" s="9">
        <v>0.47099999999999997</v>
      </c>
      <c r="F56" s="9">
        <v>0.57899999999999996</v>
      </c>
      <c r="G56" s="9">
        <f>F56</f>
        <v>0.57899999999999996</v>
      </c>
      <c r="H56" s="9">
        <f t="shared" ref="H56:Q56" si="28">G56</f>
        <v>0.57899999999999996</v>
      </c>
      <c r="I56" s="9">
        <f t="shared" si="28"/>
        <v>0.57899999999999996</v>
      </c>
      <c r="J56" s="9">
        <f t="shared" si="28"/>
        <v>0.57899999999999996</v>
      </c>
      <c r="K56" s="9">
        <f t="shared" si="28"/>
        <v>0.57899999999999996</v>
      </c>
      <c r="L56" s="9">
        <f t="shared" si="28"/>
        <v>0.57899999999999996</v>
      </c>
      <c r="M56" s="9">
        <f t="shared" si="28"/>
        <v>0.57899999999999996</v>
      </c>
      <c r="N56" s="9">
        <f t="shared" si="28"/>
        <v>0.57899999999999996</v>
      </c>
      <c r="O56" s="9">
        <f t="shared" si="28"/>
        <v>0.57899999999999996</v>
      </c>
      <c r="P56" s="9">
        <f t="shared" si="28"/>
        <v>0.57899999999999996</v>
      </c>
      <c r="Q56" s="9">
        <f t="shared" si="28"/>
        <v>0.57899999999999996</v>
      </c>
      <c r="R56" s="9"/>
      <c r="S56" s="9"/>
      <c r="T56" s="9"/>
    </row>
    <row r="57" spans="1:20" ht="3" customHeight="1">
      <c r="C57" s="9"/>
      <c r="D57" s="9"/>
      <c r="E57" s="9"/>
      <c r="F57" s="9"/>
      <c r="G57" s="9"/>
      <c r="H57" s="9"/>
      <c r="I57" s="9"/>
      <c r="J57" s="9"/>
      <c r="K57" s="9"/>
      <c r="L57" s="9"/>
      <c r="O57" s="9"/>
      <c r="P57" s="9"/>
      <c r="Q57" s="9"/>
      <c r="R57" s="9"/>
      <c r="S57" s="9"/>
      <c r="T57" s="9"/>
    </row>
    <row r="58" spans="1:20">
      <c r="A58" s="5" t="s">
        <v>31</v>
      </c>
      <c r="C58" s="9"/>
      <c r="D58" s="11">
        <f>D56+D54</f>
        <v>388.79099999999994</v>
      </c>
      <c r="E58" s="11">
        <f>E56+E54</f>
        <v>741.96800000000007</v>
      </c>
      <c r="F58" s="11">
        <f>F56+F54</f>
        <v>393.59</v>
      </c>
      <c r="G58" s="11">
        <f t="shared" ref="G58:Q58" si="29">G56+G54</f>
        <v>640.50921335587873</v>
      </c>
      <c r="H58" s="11">
        <f t="shared" si="29"/>
        <v>696.77270534575098</v>
      </c>
      <c r="I58" s="11">
        <f t="shared" si="29"/>
        <v>780.97676199841601</v>
      </c>
      <c r="J58" s="11">
        <f t="shared" si="29"/>
        <v>889.60900009833676</v>
      </c>
      <c r="K58" s="11">
        <f t="shared" si="29"/>
        <v>989.67688510276196</v>
      </c>
      <c r="L58" s="11">
        <f t="shared" si="29"/>
        <v>1091.7012849323864</v>
      </c>
      <c r="M58" s="11">
        <f t="shared" si="29"/>
        <v>1197.8366177543435</v>
      </c>
      <c r="N58" s="11">
        <f t="shared" si="29"/>
        <v>1344.7775855532893</v>
      </c>
      <c r="O58" s="11">
        <f t="shared" si="29"/>
        <v>1481.7728119031872</v>
      </c>
      <c r="P58" s="11">
        <f t="shared" si="29"/>
        <v>1479.4649284388304</v>
      </c>
      <c r="Q58" s="11">
        <f t="shared" si="29"/>
        <v>1461.1016652185776</v>
      </c>
      <c r="R58" s="9"/>
      <c r="S58" s="9"/>
      <c r="T58" s="9"/>
    </row>
    <row r="59" spans="1:20" ht="3.75" customHeight="1">
      <c r="C59" s="9"/>
      <c r="D59" s="9"/>
      <c r="E59" s="9"/>
      <c r="F59" s="9"/>
      <c r="G59" s="9"/>
      <c r="H59" s="9"/>
      <c r="I59" s="9"/>
      <c r="J59" s="9"/>
      <c r="K59" s="9"/>
      <c r="L59" s="9"/>
      <c r="O59" s="9"/>
      <c r="P59" s="9"/>
      <c r="Q59" s="9"/>
      <c r="R59" s="9"/>
      <c r="S59" s="9"/>
      <c r="T59" s="9"/>
    </row>
    <row r="60" spans="1:20">
      <c r="A60" s="2" t="s">
        <v>51</v>
      </c>
      <c r="C60" s="9"/>
      <c r="D60" s="9">
        <f>4.148-23.81</f>
        <v>-19.661999999999999</v>
      </c>
      <c r="E60" s="9">
        <v>-13.502000000000001</v>
      </c>
      <c r="F60" s="9">
        <v>-44.218000000000004</v>
      </c>
      <c r="G60" s="9">
        <f>+G117</f>
        <v>-33.698561624999996</v>
      </c>
      <c r="H60" s="9">
        <f t="shared" ref="H60:Q60" si="30">+H117</f>
        <v>-32.972556741972532</v>
      </c>
      <c r="I60" s="9">
        <f t="shared" si="30"/>
        <v>-42.838444980148594</v>
      </c>
      <c r="J60" s="9">
        <f t="shared" si="30"/>
        <v>-54.179139432911747</v>
      </c>
      <c r="K60" s="9">
        <f t="shared" si="30"/>
        <v>-62.430680739920255</v>
      </c>
      <c r="L60" s="9">
        <f t="shared" si="30"/>
        <v>-70.197783076619032</v>
      </c>
      <c r="M60" s="9">
        <f t="shared" si="30"/>
        <v>-76.149467034722832</v>
      </c>
      <c r="N60" s="9">
        <f t="shared" si="30"/>
        <v>-80.218836481759652</v>
      </c>
      <c r="O60" s="9">
        <f t="shared" si="30"/>
        <v>-82.252177998070039</v>
      </c>
      <c r="P60" s="9">
        <f t="shared" si="30"/>
        <v>-84.624836575618062</v>
      </c>
      <c r="Q60" s="9">
        <f t="shared" si="30"/>
        <v>-89.746048110909769</v>
      </c>
      <c r="R60" s="9"/>
      <c r="S60" s="9"/>
      <c r="T60" s="9"/>
    </row>
    <row r="61" spans="1:20" ht="8.25" customHeight="1">
      <c r="C61" s="9"/>
      <c r="D61" s="9"/>
      <c r="E61" s="9"/>
      <c r="F61" s="9"/>
      <c r="G61" s="9"/>
      <c r="H61" s="9"/>
      <c r="I61" s="9"/>
      <c r="J61" s="9"/>
      <c r="K61" s="9"/>
      <c r="L61" s="9"/>
      <c r="O61" s="9"/>
      <c r="P61" s="9"/>
      <c r="Q61" s="9"/>
      <c r="R61" s="9"/>
      <c r="S61" s="9"/>
      <c r="T61" s="9"/>
    </row>
    <row r="62" spans="1:20">
      <c r="A62" s="5" t="s">
        <v>32</v>
      </c>
      <c r="C62" s="11">
        <f>+C54+C60</f>
        <v>0</v>
      </c>
      <c r="D62" s="11">
        <f>+D54+D60</f>
        <v>368.90299999999996</v>
      </c>
      <c r="E62" s="11">
        <f>+E54+E60</f>
        <v>727.99500000000012</v>
      </c>
      <c r="F62" s="11">
        <f>+F54+F60</f>
        <v>348.79299999999995</v>
      </c>
      <c r="G62" s="11">
        <f t="shared" ref="G62:Q62" si="31">+G54+G60</f>
        <v>606.23165173087875</v>
      </c>
      <c r="H62" s="11">
        <f t="shared" si="31"/>
        <v>663.22114860377849</v>
      </c>
      <c r="I62" s="11">
        <f t="shared" si="31"/>
        <v>737.55931701826751</v>
      </c>
      <c r="J62" s="11">
        <f t="shared" si="31"/>
        <v>834.8508606654251</v>
      </c>
      <c r="K62" s="11">
        <f t="shared" si="31"/>
        <v>926.66720436284174</v>
      </c>
      <c r="L62" s="11">
        <f t="shared" si="31"/>
        <v>1020.9245018557674</v>
      </c>
      <c r="M62" s="11">
        <f t="shared" si="31"/>
        <v>1121.1081507196207</v>
      </c>
      <c r="N62" s="11">
        <f t="shared" si="31"/>
        <v>1263.9797490715298</v>
      </c>
      <c r="O62" s="11">
        <f t="shared" si="31"/>
        <v>1398.9416339051172</v>
      </c>
      <c r="P62" s="11">
        <f t="shared" si="31"/>
        <v>1394.2610918632124</v>
      </c>
      <c r="Q62" s="11">
        <f t="shared" si="31"/>
        <v>1370.776617107668</v>
      </c>
      <c r="R62" s="9"/>
      <c r="S62" s="9"/>
      <c r="T62" s="9"/>
    </row>
    <row r="63" spans="1:20">
      <c r="A63" s="2" t="s">
        <v>23</v>
      </c>
      <c r="C63" s="9"/>
      <c r="D63" s="9"/>
      <c r="E63" s="9"/>
      <c r="F63" s="9"/>
      <c r="G63" s="9"/>
      <c r="H63" s="9"/>
      <c r="I63" s="9"/>
      <c r="J63" s="9"/>
      <c r="K63" s="9"/>
      <c r="L63" s="9"/>
      <c r="O63" s="9"/>
      <c r="P63" s="9"/>
      <c r="Q63" s="9"/>
      <c r="R63" s="9"/>
      <c r="S63" s="9"/>
      <c r="T63" s="9"/>
    </row>
    <row r="64" spans="1:20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spans="1:20" ht="12.75" thickBot="1">
      <c r="A65" s="18" t="s">
        <v>33</v>
      </c>
      <c r="B65" s="22"/>
      <c r="C65" s="25">
        <f>C62+C63</f>
        <v>0</v>
      </c>
      <c r="D65" s="25">
        <f>D62+D63</f>
        <v>368.90299999999996</v>
      </c>
      <c r="E65" s="25">
        <f>E62+E63</f>
        <v>727.99500000000012</v>
      </c>
      <c r="F65" s="25">
        <f>F62+F63</f>
        <v>348.79299999999995</v>
      </c>
      <c r="G65" s="25">
        <f t="shared" ref="G65:Q65" si="32">G62+G63</f>
        <v>606.23165173087875</v>
      </c>
      <c r="H65" s="25">
        <f t="shared" si="32"/>
        <v>663.22114860377849</v>
      </c>
      <c r="I65" s="25">
        <f t="shared" si="32"/>
        <v>737.55931701826751</v>
      </c>
      <c r="J65" s="25">
        <f t="shared" si="32"/>
        <v>834.8508606654251</v>
      </c>
      <c r="K65" s="25">
        <f t="shared" si="32"/>
        <v>926.66720436284174</v>
      </c>
      <c r="L65" s="25">
        <f t="shared" si="32"/>
        <v>1020.9245018557674</v>
      </c>
      <c r="M65" s="25">
        <f t="shared" si="32"/>
        <v>1121.1081507196207</v>
      </c>
      <c r="N65" s="25">
        <f t="shared" si="32"/>
        <v>1263.9797490715298</v>
      </c>
      <c r="O65" s="25">
        <f t="shared" si="32"/>
        <v>1398.9416339051172</v>
      </c>
      <c r="P65" s="25">
        <f t="shared" si="32"/>
        <v>1394.2610918632124</v>
      </c>
      <c r="Q65" s="25">
        <f t="shared" si="32"/>
        <v>1370.776617107668</v>
      </c>
      <c r="R65" s="9"/>
      <c r="S65" s="9"/>
      <c r="T65" s="9"/>
    </row>
    <row r="66" spans="1:20">
      <c r="A66" s="21"/>
      <c r="B66" s="19"/>
      <c r="C66" s="30"/>
      <c r="D66" s="30"/>
      <c r="E66" s="30"/>
      <c r="F66" s="30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9"/>
      <c r="S66" s="9"/>
      <c r="T66" s="9"/>
    </row>
    <row r="67" spans="1:20">
      <c r="A67" s="128" t="s">
        <v>183</v>
      </c>
      <c r="B67" s="19"/>
      <c r="C67" s="30"/>
      <c r="D67" s="127">
        <f>D108/D65</f>
        <v>-0.51705190795412348</v>
      </c>
      <c r="E67" s="127">
        <f>E108/E65</f>
        <v>-0.21840809346218035</v>
      </c>
      <c r="F67" s="127">
        <f>F108/F65</f>
        <v>-0.2603721978365392</v>
      </c>
      <c r="G67" s="127">
        <v>0.5</v>
      </c>
      <c r="H67" s="127">
        <v>0.5</v>
      </c>
      <c r="I67" s="127">
        <v>0.5</v>
      </c>
      <c r="J67" s="127">
        <v>0.5</v>
      </c>
      <c r="K67" s="127">
        <v>0.5</v>
      </c>
      <c r="L67" s="127">
        <v>0.5</v>
      </c>
      <c r="M67" s="127">
        <v>0.5</v>
      </c>
      <c r="N67" s="127">
        <v>0.5</v>
      </c>
      <c r="O67" s="127">
        <v>0.55000000000000004</v>
      </c>
      <c r="P67" s="127">
        <v>0.6</v>
      </c>
      <c r="Q67" s="127">
        <v>0.65</v>
      </c>
      <c r="R67" s="9"/>
      <c r="S67" s="9"/>
      <c r="T67" s="9"/>
    </row>
    <row r="68" spans="1:20">
      <c r="A68" s="128" t="s">
        <v>164</v>
      </c>
      <c r="B68" s="19"/>
      <c r="C68" s="30"/>
      <c r="D68" s="30"/>
      <c r="E68" s="30"/>
      <c r="F68" s="30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9"/>
      <c r="S68" s="9"/>
      <c r="T68" s="9"/>
    </row>
    <row r="69" spans="1:20" ht="6" customHeight="1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spans="1:20">
      <c r="A70" s="23" t="s">
        <v>19</v>
      </c>
      <c r="B70" s="23"/>
      <c r="C70" s="24">
        <f>C38</f>
        <v>2008</v>
      </c>
      <c r="D70" s="24">
        <f t="shared" ref="D70:L70" si="33">D38</f>
        <v>2009</v>
      </c>
      <c r="E70" s="24">
        <f t="shared" si="33"/>
        <v>2010</v>
      </c>
      <c r="F70" s="24">
        <f>F38</f>
        <v>2011</v>
      </c>
      <c r="G70" s="24" t="str">
        <f t="shared" si="33"/>
        <v>2012E</v>
      </c>
      <c r="H70" s="24" t="str">
        <f t="shared" si="33"/>
        <v>2013E</v>
      </c>
      <c r="I70" s="24" t="str">
        <f t="shared" si="33"/>
        <v>2014E</v>
      </c>
      <c r="J70" s="24" t="str">
        <f t="shared" si="33"/>
        <v>2015E</v>
      </c>
      <c r="K70" s="24" t="str">
        <f t="shared" si="33"/>
        <v>2016E</v>
      </c>
      <c r="L70" s="24" t="str">
        <f t="shared" si="33"/>
        <v>2017E</v>
      </c>
      <c r="M70" s="24" t="str">
        <f t="shared" ref="M70:Q70" si="34">M38</f>
        <v>2018E</v>
      </c>
      <c r="N70" s="24" t="str">
        <f t="shared" si="34"/>
        <v>2019E</v>
      </c>
      <c r="O70" s="24" t="str">
        <f t="shared" si="34"/>
        <v>2020E</v>
      </c>
      <c r="P70" s="24" t="str">
        <f t="shared" si="34"/>
        <v>2021E</v>
      </c>
      <c r="Q70" s="24" t="str">
        <f t="shared" si="34"/>
        <v>2022E</v>
      </c>
      <c r="R70" s="9"/>
      <c r="S70" s="9"/>
      <c r="T70" s="9"/>
    </row>
    <row r="71" spans="1:20">
      <c r="A71" s="2" t="s">
        <v>18</v>
      </c>
      <c r="C71" s="9">
        <f>+C16</f>
        <v>1062.9280000000001</v>
      </c>
      <c r="D71" s="9">
        <f>+D16</f>
        <v>1284.3589999999999</v>
      </c>
      <c r="E71" s="9">
        <f>+E16</f>
        <v>1925.2090000000001</v>
      </c>
      <c r="F71" s="9">
        <f>+F16</f>
        <v>2177.4079999999999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spans="1:20">
      <c r="C72" s="9"/>
      <c r="D72" s="9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>
      <c r="A73" s="27" t="s">
        <v>52</v>
      </c>
      <c r="B73" s="27"/>
      <c r="C73" s="28"/>
      <c r="D73" s="28"/>
      <c r="E73" s="28"/>
      <c r="F73" s="29"/>
      <c r="G73" s="28">
        <f t="shared" ref="G73:L73" si="35">SUM(G74:G80)</f>
        <v>0</v>
      </c>
      <c r="H73" s="28">
        <f t="shared" si="35"/>
        <v>0</v>
      </c>
      <c r="I73" s="28">
        <f t="shared" si="35"/>
        <v>0</v>
      </c>
      <c r="J73" s="28">
        <f t="shared" si="35"/>
        <v>0</v>
      </c>
      <c r="K73" s="28">
        <f t="shared" si="35"/>
        <v>0</v>
      </c>
      <c r="L73" s="28">
        <f t="shared" si="35"/>
        <v>0</v>
      </c>
      <c r="M73" s="28">
        <f t="shared" ref="M73" si="36">SUM(M74:M80)</f>
        <v>0</v>
      </c>
      <c r="N73" s="28">
        <f t="shared" ref="N73" si="37">SUM(N74:N80)</f>
        <v>0</v>
      </c>
      <c r="O73" s="28">
        <f t="shared" ref="O73" si="38">SUM(O74:O80)</f>
        <v>0</v>
      </c>
      <c r="P73" s="28">
        <f t="shared" ref="P73" si="39">SUM(P74:P80)</f>
        <v>0</v>
      </c>
      <c r="Q73" s="28">
        <f t="shared" ref="Q73" si="40">SUM(Q74:Q80)</f>
        <v>0</v>
      </c>
      <c r="R73" s="9"/>
      <c r="S73" s="9"/>
      <c r="T73" s="9"/>
    </row>
    <row r="74" spans="1:20">
      <c r="A74" s="19" t="s">
        <v>54</v>
      </c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spans="1:20">
      <c r="A75" s="19" t="s">
        <v>55</v>
      </c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spans="1:20">
      <c r="A76" s="19" t="s">
        <v>56</v>
      </c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spans="1:20">
      <c r="A77" s="19" t="s">
        <v>58</v>
      </c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spans="1:20">
      <c r="A78" s="19" t="s">
        <v>59</v>
      </c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spans="1:20">
      <c r="C79" s="9"/>
      <c r="D79" s="9"/>
      <c r="E79" s="9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0">
      <c r="A80" s="23" t="s">
        <v>62</v>
      </c>
      <c r="B80" s="23"/>
      <c r="C80" s="24">
        <f>C70</f>
        <v>2008</v>
      </c>
      <c r="D80" s="24">
        <f t="shared" ref="D80:L80" si="41">D70</f>
        <v>2009</v>
      </c>
      <c r="E80" s="24">
        <f t="shared" si="41"/>
        <v>2010</v>
      </c>
      <c r="F80" s="24">
        <f t="shared" si="41"/>
        <v>2011</v>
      </c>
      <c r="G80" s="24" t="str">
        <f t="shared" si="41"/>
        <v>2012E</v>
      </c>
      <c r="H80" s="24" t="str">
        <f t="shared" si="41"/>
        <v>2013E</v>
      </c>
      <c r="I80" s="24" t="str">
        <f t="shared" si="41"/>
        <v>2014E</v>
      </c>
      <c r="J80" s="24" t="str">
        <f t="shared" si="41"/>
        <v>2015E</v>
      </c>
      <c r="K80" s="24" t="str">
        <f t="shared" si="41"/>
        <v>2016E</v>
      </c>
      <c r="L80" s="24" t="str">
        <f t="shared" si="41"/>
        <v>2017E</v>
      </c>
      <c r="M80" s="24" t="str">
        <f t="shared" ref="M80:Q80" si="42">M70</f>
        <v>2018E</v>
      </c>
      <c r="N80" s="24" t="str">
        <f t="shared" si="42"/>
        <v>2019E</v>
      </c>
      <c r="O80" s="24" t="str">
        <f t="shared" si="42"/>
        <v>2020E</v>
      </c>
      <c r="P80" s="24" t="str">
        <f t="shared" si="42"/>
        <v>2021E</v>
      </c>
      <c r="Q80" s="24" t="str">
        <f t="shared" si="42"/>
        <v>2022E</v>
      </c>
      <c r="R80" s="9"/>
      <c r="S80" s="9"/>
      <c r="T80" s="9"/>
    </row>
    <row r="81" spans="1:20">
      <c r="A81" s="19" t="s">
        <v>63</v>
      </c>
      <c r="C81" s="9">
        <f>C21+C27</f>
        <v>191.37100000000001</v>
      </c>
      <c r="D81" s="9">
        <f>D21+D27</f>
        <v>130.14699999999999</v>
      </c>
      <c r="E81" s="9">
        <f>E21+E27</f>
        <v>363.07899999999995</v>
      </c>
      <c r="F81" s="9">
        <f>F21+F27</f>
        <v>335.214</v>
      </c>
      <c r="G81" s="9">
        <f t="shared" ref="G81:Q81" si="43">F81+G126-G122</f>
        <v>411.84349539917054</v>
      </c>
      <c r="H81" s="9">
        <f t="shared" si="43"/>
        <v>421.72473186120965</v>
      </c>
      <c r="I81" s="9">
        <f t="shared" si="43"/>
        <v>570.63757737708283</v>
      </c>
      <c r="J81" s="9">
        <f t="shared" si="43"/>
        <v>714.50576422506458</v>
      </c>
      <c r="K81" s="9">
        <f t="shared" si="43"/>
        <v>769.45762350922837</v>
      </c>
      <c r="L81" s="9">
        <f t="shared" si="43"/>
        <v>789.07218567153348</v>
      </c>
      <c r="M81" s="9">
        <f t="shared" si="43"/>
        <v>803.09007701082635</v>
      </c>
      <c r="N81" s="9">
        <f t="shared" si="43"/>
        <v>852.15334532395389</v>
      </c>
      <c r="O81" s="9">
        <f t="shared" si="43"/>
        <v>915.21836676535986</v>
      </c>
      <c r="P81" s="9">
        <f t="shared" si="43"/>
        <v>985.37280966416154</v>
      </c>
      <c r="Q81" s="9">
        <f t="shared" si="43"/>
        <v>1054.4871612502197</v>
      </c>
      <c r="R81" s="9"/>
      <c r="S81" s="9"/>
      <c r="T81" s="9"/>
    </row>
    <row r="82" spans="1:20">
      <c r="A82" s="19" t="s">
        <v>64</v>
      </c>
      <c r="C82" s="9">
        <f>C81-C8</f>
        <v>136.45400000000001</v>
      </c>
      <c r="D82" s="9">
        <f>D81-D8</f>
        <v>117.1</v>
      </c>
      <c r="E82" s="9">
        <f>E81-E8</f>
        <v>361.39099999999996</v>
      </c>
      <c r="F82" s="9">
        <f>F81-F8</f>
        <v>322.089</v>
      </c>
      <c r="G82" s="9">
        <f>G81-G8</f>
        <v>317.04381482665895</v>
      </c>
      <c r="H82" s="9">
        <f t="shared" ref="H82:Q82" si="44">H81-H8</f>
        <v>402.23892000139529</v>
      </c>
      <c r="I82" s="9">
        <f t="shared" si="44"/>
        <v>520.95326377799756</v>
      </c>
      <c r="J82" s="9">
        <f t="shared" si="44"/>
        <v>615.08059842285968</v>
      </c>
      <c r="K82" s="9">
        <f t="shared" si="44"/>
        <v>691.60377415388211</v>
      </c>
      <c r="L82" s="9">
        <f t="shared" si="44"/>
        <v>750.24105452928904</v>
      </c>
      <c r="M82" s="9">
        <f t="shared" si="44"/>
        <v>790.33336435231183</v>
      </c>
      <c r="N82" s="9">
        <f t="shared" si="44"/>
        <v>810.36628569527136</v>
      </c>
      <c r="O82" s="9">
        <f t="shared" si="44"/>
        <v>833.74223227209916</v>
      </c>
      <c r="P82" s="9">
        <f t="shared" si="44"/>
        <v>884.19751833408645</v>
      </c>
      <c r="Q82" s="9">
        <f t="shared" si="44"/>
        <v>1015.7772912457089</v>
      </c>
      <c r="R82" s="9"/>
      <c r="S82" s="9"/>
      <c r="T82" s="9"/>
    </row>
    <row r="83" spans="1:20">
      <c r="A83" s="19" t="s">
        <v>65</v>
      </c>
      <c r="C83" s="140">
        <f>C81/C31</f>
        <v>0.20611369420543196</v>
      </c>
      <c r="D83" s="140">
        <f>D81/D31</f>
        <v>0.11063074151931852</v>
      </c>
      <c r="E83" s="140">
        <f>E81/E31</f>
        <v>0.20402877584645088</v>
      </c>
      <c r="F83" s="140">
        <f>F81/F31</f>
        <v>0.16176829686138211</v>
      </c>
      <c r="G83" s="140">
        <f t="shared" ref="G83:Q83" si="45">G81/G31</f>
        <v>0.16447285004541112</v>
      </c>
      <c r="H83" s="140">
        <f t="shared" si="45"/>
        <v>0.14724375324220415</v>
      </c>
      <c r="I83" s="140">
        <f t="shared" si="45"/>
        <v>0.17450289044672326</v>
      </c>
      <c r="J83" s="140">
        <f t="shared" si="45"/>
        <v>0.19124137119629345</v>
      </c>
      <c r="K83" s="140">
        <f t="shared" si="45"/>
        <v>0.18124552772594993</v>
      </c>
      <c r="L83" s="140">
        <f t="shared" si="45"/>
        <v>0.16428807421084407</v>
      </c>
      <c r="M83" s="140">
        <f t="shared" si="45"/>
        <v>0.14834608567702162</v>
      </c>
      <c r="N83" s="140">
        <f t="shared" si="45"/>
        <v>0.13930787756652524</v>
      </c>
      <c r="O83" s="140">
        <f t="shared" si="45"/>
        <v>0.13418043417055969</v>
      </c>
      <c r="P83" s="140">
        <f t="shared" si="45"/>
        <v>0.13359720023656158</v>
      </c>
      <c r="Q83" s="140">
        <f t="shared" si="45"/>
        <v>0.13449737159119296</v>
      </c>
      <c r="R83" s="9"/>
      <c r="S83" s="9"/>
      <c r="T83" s="9"/>
    </row>
    <row r="84" spans="1:20">
      <c r="A84" s="19" t="s">
        <v>66</v>
      </c>
      <c r="C84" s="9"/>
      <c r="D84" s="32">
        <f>D81/D89</f>
        <v>0.68139790575916226</v>
      </c>
      <c r="E84" s="32">
        <f t="shared" ref="E84:Q84" si="46">E81/E89</f>
        <v>1.6654999999999998</v>
      </c>
      <c r="F84" s="32">
        <f t="shared" si="46"/>
        <v>1.2369520295202951</v>
      </c>
      <c r="G84" s="32">
        <f t="shared" si="46"/>
        <v>1.5951365098826538</v>
      </c>
      <c r="H84" s="32">
        <f t="shared" si="46"/>
        <v>1.4111241398379193</v>
      </c>
      <c r="I84" s="32">
        <f t="shared" si="46"/>
        <v>1.861199434089726</v>
      </c>
      <c r="J84" s="32">
        <f t="shared" si="46"/>
        <v>1.8668352770480361</v>
      </c>
      <c r="K84" s="32">
        <f t="shared" si="46"/>
        <v>1.672321748806203</v>
      </c>
      <c r="L84" s="32">
        <f t="shared" si="46"/>
        <v>1.4757853831070111</v>
      </c>
      <c r="M84" s="32">
        <f t="shared" si="46"/>
        <v>1.3177401184696813</v>
      </c>
      <c r="N84" s="32">
        <f t="shared" si="46"/>
        <v>1.2404935563174488</v>
      </c>
      <c r="O84" s="32">
        <f t="shared" si="46"/>
        <v>1.1111047392482156</v>
      </c>
      <c r="P84" s="32">
        <f t="shared" si="46"/>
        <v>1.0407906020020283</v>
      </c>
      <c r="Q84" s="32">
        <f t="shared" si="46"/>
        <v>1.1201262279928157</v>
      </c>
      <c r="R84" s="9"/>
      <c r="S84" s="9"/>
      <c r="T84" s="9"/>
    </row>
    <row r="85" spans="1:20">
      <c r="A85" s="19" t="s">
        <v>67</v>
      </c>
      <c r="C85" s="9"/>
      <c r="D85" s="32">
        <f>D82/D89</f>
        <v>0.61308900523560206</v>
      </c>
      <c r="E85" s="32">
        <f t="shared" ref="E85:Q85" si="47">E82/E89</f>
        <v>1.6577568807339449</v>
      </c>
      <c r="F85" s="32">
        <f t="shared" si="47"/>
        <v>1.1885202952029521</v>
      </c>
      <c r="G85" s="32">
        <f t="shared" si="47"/>
        <v>1.2279620047715283</v>
      </c>
      <c r="H85" s="32">
        <f t="shared" si="47"/>
        <v>1.345923079946622</v>
      </c>
      <c r="I85" s="32">
        <f t="shared" si="47"/>
        <v>1.699148387997037</v>
      </c>
      <c r="J85" s="32">
        <f t="shared" si="47"/>
        <v>1.6070607360445572</v>
      </c>
      <c r="K85" s="32">
        <f t="shared" si="47"/>
        <v>1.5031159582242011</v>
      </c>
      <c r="L85" s="32">
        <f t="shared" si="47"/>
        <v>1.4031603219404392</v>
      </c>
      <c r="M85" s="32">
        <f t="shared" si="47"/>
        <v>1.296808429072543</v>
      </c>
      <c r="N85" s="32">
        <f t="shared" si="47"/>
        <v>1.1796634504553078</v>
      </c>
      <c r="O85" s="32">
        <f t="shared" si="47"/>
        <v>1.0121900731330236</v>
      </c>
      <c r="P85" s="32">
        <f t="shared" si="47"/>
        <v>0.93392516859611885</v>
      </c>
      <c r="Q85" s="32">
        <f t="shared" si="47"/>
        <v>1.079006769864149</v>
      </c>
      <c r="R85" s="9"/>
      <c r="S85" s="9"/>
      <c r="T85" s="9"/>
    </row>
    <row r="86" spans="1:20">
      <c r="A86" s="13" t="s">
        <v>68</v>
      </c>
      <c r="B86" s="13"/>
      <c r="C86" s="34"/>
      <c r="D86" s="34">
        <f>D89/ABS(D60)</f>
        <v>9.7141694639405962</v>
      </c>
      <c r="E86" s="34">
        <f t="shared" ref="E86:Q86" si="48">E89/ABS(E60)</f>
        <v>16.145756184268997</v>
      </c>
      <c r="F86" s="34">
        <f t="shared" si="48"/>
        <v>6.1287258582477717</v>
      </c>
      <c r="G86" s="34">
        <f t="shared" si="48"/>
        <v>7.661662051676398</v>
      </c>
      <c r="H86" s="34">
        <f t="shared" si="48"/>
        <v>9.0638190178392861</v>
      </c>
      <c r="I86" s="34">
        <f t="shared" si="48"/>
        <v>7.1570451623795641</v>
      </c>
      <c r="J86" s="34">
        <f t="shared" si="48"/>
        <v>7.0642756179228972</v>
      </c>
      <c r="K86" s="34">
        <f t="shared" si="48"/>
        <v>7.3699883015070773</v>
      </c>
      <c r="L86" s="34">
        <f t="shared" si="48"/>
        <v>7.6167575830318173</v>
      </c>
      <c r="M86" s="34">
        <f t="shared" si="48"/>
        <v>8.0032728550212351</v>
      </c>
      <c r="N86" s="34">
        <f t="shared" si="48"/>
        <v>8.5634128450894007</v>
      </c>
      <c r="O86" s="34">
        <f t="shared" si="48"/>
        <v>10.014339726887977</v>
      </c>
      <c r="P86" s="34">
        <f t="shared" si="48"/>
        <v>11.187662827147639</v>
      </c>
      <c r="Q86" s="34">
        <f t="shared" si="48"/>
        <v>10.489601655113344</v>
      </c>
      <c r="R86" s="9"/>
      <c r="S86" s="9"/>
      <c r="T86" s="9"/>
    </row>
    <row r="87" spans="1:20">
      <c r="A87" s="19"/>
      <c r="C87" s="9"/>
      <c r="D87" s="9"/>
      <c r="E87" s="9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spans="1:20">
      <c r="A88" s="23" t="s">
        <v>69</v>
      </c>
      <c r="B88" s="23"/>
      <c r="C88" s="24">
        <f>C80</f>
        <v>2008</v>
      </c>
      <c r="D88" s="24">
        <f t="shared" ref="D88:L88" si="49">D80</f>
        <v>2009</v>
      </c>
      <c r="E88" s="24">
        <f t="shared" si="49"/>
        <v>2010</v>
      </c>
      <c r="F88" s="24">
        <f t="shared" si="49"/>
        <v>2011</v>
      </c>
      <c r="G88" s="24" t="str">
        <f t="shared" si="49"/>
        <v>2012E</v>
      </c>
      <c r="H88" s="24" t="str">
        <f t="shared" si="49"/>
        <v>2013E</v>
      </c>
      <c r="I88" s="24" t="str">
        <f t="shared" si="49"/>
        <v>2014E</v>
      </c>
      <c r="J88" s="24" t="str">
        <f t="shared" si="49"/>
        <v>2015E</v>
      </c>
      <c r="K88" s="24" t="str">
        <f t="shared" si="49"/>
        <v>2016E</v>
      </c>
      <c r="L88" s="24" t="str">
        <f t="shared" si="49"/>
        <v>2017E</v>
      </c>
      <c r="M88" s="24" t="str">
        <f t="shared" ref="M88:Q88" si="50">M80</f>
        <v>2018E</v>
      </c>
      <c r="N88" s="24" t="str">
        <f t="shared" si="50"/>
        <v>2019E</v>
      </c>
      <c r="O88" s="24" t="str">
        <f t="shared" si="50"/>
        <v>2020E</v>
      </c>
      <c r="P88" s="24" t="str">
        <f t="shared" si="50"/>
        <v>2021E</v>
      </c>
      <c r="Q88" s="24" t="str">
        <f t="shared" si="50"/>
        <v>2022E</v>
      </c>
      <c r="R88" s="9"/>
      <c r="S88" s="9"/>
      <c r="T88" s="9"/>
    </row>
    <row r="89" spans="1:20">
      <c r="A89" s="21" t="s">
        <v>70</v>
      </c>
      <c r="C89" s="11"/>
      <c r="D89" s="11">
        <f>SUM(D90:D94)</f>
        <v>191</v>
      </c>
      <c r="E89" s="11">
        <f>SUM(E90:E94)</f>
        <v>218</v>
      </c>
      <c r="F89" s="11">
        <f>SUM(F90:F94)</f>
        <v>271</v>
      </c>
      <c r="G89" s="11">
        <f t="shared" ref="G89:L89" si="51">SUM(G90:G94)</f>
        <v>258.18699079834101</v>
      </c>
      <c r="H89" s="11">
        <f t="shared" si="51"/>
        <v>298.85728686467559</v>
      </c>
      <c r="I89" s="11">
        <f t="shared" si="51"/>
        <v>306.59668540903562</v>
      </c>
      <c r="J89" s="11">
        <f t="shared" si="51"/>
        <v>382.73637369596344</v>
      </c>
      <c r="K89" s="11">
        <f t="shared" si="51"/>
        <v>460.1133867083355</v>
      </c>
      <c r="L89" s="11">
        <f t="shared" si="51"/>
        <v>534.67949656086057</v>
      </c>
      <c r="M89" s="11">
        <f t="shared" ref="M89" si="52">SUM(M90:M94)</f>
        <v>609.44496244333163</v>
      </c>
      <c r="N89" s="11">
        <f t="shared" ref="N89" si="53">SUM(N90:N94)</f>
        <v>686.94701474602687</v>
      </c>
      <c r="O89" s="11">
        <f t="shared" ref="O89" si="54">SUM(O90:O94)</f>
        <v>823.70125374913403</v>
      </c>
      <c r="P89" s="11">
        <f t="shared" ref="P89" si="55">SUM(P90:P94)</f>
        <v>946.75413841048612</v>
      </c>
      <c r="Q89" s="11">
        <f t="shared" ref="Q89" si="56">SUM(Q90:Q94)</f>
        <v>941.40029480408089</v>
      </c>
      <c r="R89" s="9"/>
      <c r="S89" s="9"/>
      <c r="T89" s="9"/>
    </row>
    <row r="90" spans="1:20">
      <c r="A90" s="19" t="s">
        <v>165</v>
      </c>
      <c r="C90" s="9"/>
      <c r="D90" s="9">
        <v>101</v>
      </c>
      <c r="E90" s="9">
        <v>141</v>
      </c>
      <c r="F90" s="10">
        <v>148</v>
      </c>
      <c r="G90" s="9">
        <f>ABS('Cash Flow CCR'!G16)*0.17</f>
        <v>122.31459200000002</v>
      </c>
      <c r="H90" s="9">
        <f>ABS('Cash Flow CCR'!H16)*0.17</f>
        <v>175.12720000000002</v>
      </c>
      <c r="I90" s="9">
        <f>ABS('Cash Flow CCR'!I16)*0.17</f>
        <v>197.8494</v>
      </c>
      <c r="J90" s="9">
        <f>ABS('Cash Flow CCR'!J16)*0.17</f>
        <v>250.53070000000002</v>
      </c>
      <c r="K90" s="9">
        <f>ABS('Cash Flow CCR'!K16)*0.17</f>
        <v>303.0335</v>
      </c>
      <c r="L90" s="9">
        <f>ABS('Cash Flow CCR'!L16)*0.17</f>
        <v>357.3451</v>
      </c>
      <c r="M90" s="9">
        <f>ABS('Cash Flow CCR'!M16)*0.17</f>
        <v>414.00099999999998</v>
      </c>
      <c r="N90" s="9">
        <f>ABS('Cash Flow CCR'!N16)*0.17</f>
        <v>472.87029999999999</v>
      </c>
      <c r="O90" s="9">
        <f>ABS('Cash Flow CCR'!O16)*0.17</f>
        <v>559.60940000000005</v>
      </c>
      <c r="P90" s="9">
        <f>ABS('Cash Flow CCR'!P16)*0.17</f>
        <v>638.66109999999992</v>
      </c>
      <c r="Q90" s="9">
        <f>ABS('Cash Flow CCR'!Q16)*0.17</f>
        <v>619.44259999999997</v>
      </c>
      <c r="R90" s="9"/>
      <c r="S90" s="9"/>
      <c r="T90" s="9"/>
    </row>
    <row r="91" spans="1:20">
      <c r="A91" s="19" t="s">
        <v>166</v>
      </c>
      <c r="C91" s="9"/>
      <c r="D91" s="9"/>
      <c r="E91" s="9"/>
      <c r="F91" s="10">
        <v>93</v>
      </c>
      <c r="G91" s="9">
        <f>'Cash Flow Cemig'!G22</f>
        <v>111.17357392246221</v>
      </c>
      <c r="H91" s="9">
        <f>'Cash Flow Cemig'!H22</f>
        <v>93.293992788172517</v>
      </c>
      <c r="I91" s="9">
        <f>'Cash Flow Cemig'!I22</f>
        <v>99.009315243330022</v>
      </c>
      <c r="J91" s="9">
        <f>'Cash Flow Cemig'!J22</f>
        <v>121.98080502197251</v>
      </c>
      <c r="K91" s="9">
        <f>'Cash Flow Cemig'!K22</f>
        <v>146.39489894401501</v>
      </c>
      <c r="L91" s="9">
        <f>'Cash Flow Cemig'!L22</f>
        <v>164.57346831661499</v>
      </c>
      <c r="M91" s="9">
        <f>'Cash Flow Cemig'!M22</f>
        <v>182.108792428095</v>
      </c>
      <c r="N91" s="9">
        <f>'Cash Flow Cemig'!N22</f>
        <v>200.14146208010462</v>
      </c>
      <c r="O91" s="9">
        <f>'Cash Flow Cemig'!O22</f>
        <v>249.52951471324508</v>
      </c>
      <c r="P91" s="9">
        <f>'Cash Flow Cemig'!P22</f>
        <v>292.87539411798241</v>
      </c>
      <c r="Q91" s="9">
        <f>'Cash Flow Cemig'!Q22</f>
        <v>306.05525651841447</v>
      </c>
      <c r="R91" s="9"/>
      <c r="S91" s="9"/>
      <c r="T91" s="9"/>
    </row>
    <row r="92" spans="1:20">
      <c r="A92" s="19" t="s">
        <v>71</v>
      </c>
      <c r="C92" s="9"/>
      <c r="D92" s="9">
        <v>75</v>
      </c>
      <c r="E92" s="9">
        <v>59</v>
      </c>
      <c r="F92" s="10"/>
      <c r="G92" s="9"/>
      <c r="H92" s="9"/>
      <c r="I92" s="9"/>
      <c r="J92" s="9"/>
      <c r="K92" s="9"/>
      <c r="L92" s="9"/>
      <c r="O92" s="9"/>
      <c r="P92" s="9"/>
      <c r="Q92" s="9"/>
      <c r="R92" s="9"/>
      <c r="S92" s="9"/>
      <c r="T92" s="9"/>
    </row>
    <row r="93" spans="1:20">
      <c r="A93" s="19" t="s">
        <v>168</v>
      </c>
      <c r="C93" s="9"/>
      <c r="D93" s="9">
        <v>13</v>
      </c>
      <c r="E93" s="9">
        <v>13</v>
      </c>
      <c r="F93" s="10">
        <v>19</v>
      </c>
      <c r="G93" s="9">
        <f t="shared" ref="G93:Q93" si="57">(G90+G91)*G129</f>
        <v>18.407780715878765</v>
      </c>
      <c r="H93" s="9">
        <f t="shared" si="57"/>
        <v>21.161836775831031</v>
      </c>
      <c r="I93" s="9">
        <f t="shared" si="57"/>
        <v>0</v>
      </c>
      <c r="J93" s="9">
        <f t="shared" si="57"/>
        <v>0</v>
      </c>
      <c r="K93" s="9">
        <f t="shared" si="57"/>
        <v>0</v>
      </c>
      <c r="L93" s="9">
        <f t="shared" si="57"/>
        <v>0</v>
      </c>
      <c r="M93" s="9">
        <f t="shared" si="57"/>
        <v>0</v>
      </c>
      <c r="N93" s="9">
        <f t="shared" si="57"/>
        <v>0</v>
      </c>
      <c r="O93" s="9">
        <f t="shared" si="57"/>
        <v>0</v>
      </c>
      <c r="P93" s="9">
        <f t="shared" si="57"/>
        <v>0</v>
      </c>
      <c r="Q93" s="9">
        <f t="shared" si="57"/>
        <v>0</v>
      </c>
      <c r="R93" s="9"/>
      <c r="S93" s="9"/>
      <c r="T93" s="9"/>
    </row>
    <row r="94" spans="1:20">
      <c r="A94" s="19" t="s">
        <v>167</v>
      </c>
      <c r="C94" s="9"/>
      <c r="D94" s="9">
        <v>2</v>
      </c>
      <c r="E94" s="9">
        <v>5</v>
      </c>
      <c r="F94" s="10">
        <v>11</v>
      </c>
      <c r="G94" s="9">
        <f>G133*0.25*0.096</f>
        <v>6.2910441600000002</v>
      </c>
      <c r="H94" s="9">
        <f>H133*0.35*0.096</f>
        <v>9.2742573006719997</v>
      </c>
      <c r="I94" s="9">
        <f>I133*0.35*0.096</f>
        <v>9.737970165705601</v>
      </c>
      <c r="J94" s="9">
        <f t="shared" ref="I94:Q94" si="58">J133*0.35*0.096</f>
        <v>10.224868673990882</v>
      </c>
      <c r="K94" s="9">
        <f t="shared" si="58"/>
        <v>10.68498776432047</v>
      </c>
      <c r="L94" s="9">
        <f>L133*0.4*0.096</f>
        <v>12.760928244245589</v>
      </c>
      <c r="M94" s="9">
        <f t="shared" ref="M94:Q94" si="59">M133*0.4*0.096</f>
        <v>13.33517001523664</v>
      </c>
      <c r="N94" s="9">
        <f t="shared" si="59"/>
        <v>13.935252665922288</v>
      </c>
      <c r="O94" s="9">
        <f t="shared" si="59"/>
        <v>14.562339035888789</v>
      </c>
      <c r="P94" s="9">
        <f t="shared" si="59"/>
        <v>15.217644292503785</v>
      </c>
      <c r="Q94" s="9">
        <f t="shared" si="59"/>
        <v>15.902438285666456</v>
      </c>
      <c r="R94" s="9"/>
      <c r="S94" s="9"/>
      <c r="T94" s="9"/>
    </row>
    <row r="95" spans="1:20">
      <c r="A95" s="19"/>
      <c r="C95" s="9"/>
      <c r="D95" s="9"/>
      <c r="E95" s="9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0">
      <c r="A96" s="19" t="s">
        <v>46</v>
      </c>
      <c r="C96" s="9"/>
      <c r="D96" s="9"/>
      <c r="E96" s="9"/>
      <c r="F96" s="10"/>
      <c r="G96" s="106">
        <f>-G50</f>
        <v>-684.97695735587877</v>
      </c>
      <c r="H96" s="106">
        <f t="shared" ref="H96:Q96" si="60">-H50</f>
        <v>-744.15771477775104</v>
      </c>
      <c r="I96" s="106">
        <f t="shared" si="60"/>
        <v>-831.25977190201604</v>
      </c>
      <c r="J96" s="106">
        <f t="shared" si="60"/>
        <v>-942.93491049711679</v>
      </c>
      <c r="K96" s="106">
        <f t="shared" si="60"/>
        <v>-1045.8783364694871</v>
      </c>
      <c r="L96" s="106">
        <f t="shared" si="60"/>
        <v>-1150.9076766106141</v>
      </c>
      <c r="M96" s="106">
        <f t="shared" si="60"/>
        <v>-1260.1831720580915</v>
      </c>
      <c r="N96" s="106">
        <f t="shared" si="60"/>
        <v>-1410.4056098007059</v>
      </c>
      <c r="O96" s="106">
        <f t="shared" si="60"/>
        <v>-1550.8299722417376</v>
      </c>
      <c r="P96" s="106">
        <f t="shared" si="60"/>
        <v>-1552.1055359926154</v>
      </c>
      <c r="Q96" s="106">
        <f t="shared" si="60"/>
        <v>-1537.4869751122831</v>
      </c>
      <c r="R96" s="9"/>
      <c r="S96" s="9"/>
      <c r="T96" s="9"/>
    </row>
    <row r="97" spans="1:20">
      <c r="A97" s="19" t="s">
        <v>49</v>
      </c>
      <c r="C97" s="9"/>
      <c r="D97" s="9"/>
      <c r="E97" s="9"/>
      <c r="F97" s="130"/>
      <c r="G97" s="9">
        <f>G54</f>
        <v>639.93021335587878</v>
      </c>
      <c r="H97" s="9">
        <f t="shared" ref="H97:Q97" si="61">H54</f>
        <v>696.19370534575103</v>
      </c>
      <c r="I97" s="9">
        <f t="shared" si="61"/>
        <v>780.39776199841606</v>
      </c>
      <c r="J97" s="9">
        <f t="shared" si="61"/>
        <v>889.03000009833681</v>
      </c>
      <c r="K97" s="9">
        <f t="shared" si="61"/>
        <v>989.09788510276201</v>
      </c>
      <c r="L97" s="9">
        <f t="shared" si="61"/>
        <v>1091.1222849323865</v>
      </c>
      <c r="M97" s="9">
        <f t="shared" si="61"/>
        <v>1197.2576177543435</v>
      </c>
      <c r="N97" s="9">
        <f t="shared" si="61"/>
        <v>1344.1985855532894</v>
      </c>
      <c r="O97" s="9">
        <f t="shared" si="61"/>
        <v>1481.1938119031872</v>
      </c>
      <c r="P97" s="9">
        <f t="shared" si="61"/>
        <v>1478.8859284388304</v>
      </c>
      <c r="Q97" s="9">
        <f t="shared" si="61"/>
        <v>1460.5226652185777</v>
      </c>
      <c r="R97" s="9"/>
      <c r="S97" s="9"/>
      <c r="T97" s="9"/>
    </row>
    <row r="98" spans="1:20">
      <c r="A98" s="19" t="s">
        <v>51</v>
      </c>
      <c r="C98" s="9"/>
      <c r="D98" s="9"/>
      <c r="E98" s="9"/>
      <c r="F98" s="10"/>
      <c r="G98" s="9">
        <f t="shared" ref="G98:L98" si="62">G60</f>
        <v>-33.698561624999996</v>
      </c>
      <c r="H98" s="9">
        <f t="shared" si="62"/>
        <v>-32.972556741972532</v>
      </c>
      <c r="I98" s="9">
        <f t="shared" si="62"/>
        <v>-42.838444980148594</v>
      </c>
      <c r="J98" s="9">
        <f t="shared" si="62"/>
        <v>-54.179139432911747</v>
      </c>
      <c r="K98" s="9">
        <f t="shared" si="62"/>
        <v>-62.430680739920255</v>
      </c>
      <c r="L98" s="9">
        <f t="shared" si="62"/>
        <v>-70.197783076619032</v>
      </c>
      <c r="M98" s="9">
        <f t="shared" ref="M98:Q98" si="63">M60</f>
        <v>-76.149467034722832</v>
      </c>
      <c r="N98" s="9">
        <f t="shared" si="63"/>
        <v>-80.218836481759652</v>
      </c>
      <c r="O98" s="9">
        <f t="shared" si="63"/>
        <v>-82.252177998070039</v>
      </c>
      <c r="P98" s="9">
        <f t="shared" si="63"/>
        <v>-84.624836575618062</v>
      </c>
      <c r="Q98" s="9">
        <f t="shared" si="63"/>
        <v>-89.746048110909769</v>
      </c>
      <c r="R98" s="9"/>
      <c r="S98" s="9"/>
      <c r="T98" s="9"/>
    </row>
    <row r="99" spans="1:20">
      <c r="A99" s="21" t="s">
        <v>139</v>
      </c>
      <c r="C99" s="9"/>
      <c r="D99" s="9"/>
      <c r="E99" s="9"/>
      <c r="F99" s="10"/>
      <c r="G99" s="11">
        <f t="shared" ref="G99:Q99" si="64">SUM(G96:G98)+G89</f>
        <v>179.44168517334103</v>
      </c>
      <c r="H99" s="11">
        <f t="shared" si="64"/>
        <v>217.92072069070304</v>
      </c>
      <c r="I99" s="11">
        <f t="shared" si="64"/>
        <v>212.89623052528702</v>
      </c>
      <c r="J99" s="11">
        <f t="shared" si="64"/>
        <v>274.65232386427169</v>
      </c>
      <c r="K99" s="11">
        <f t="shared" si="64"/>
        <v>340.90225460169017</v>
      </c>
      <c r="L99" s="11">
        <f t="shared" si="64"/>
        <v>404.69632180601394</v>
      </c>
      <c r="M99" s="11">
        <f t="shared" si="64"/>
        <v>470.36994110486086</v>
      </c>
      <c r="N99" s="11">
        <f t="shared" si="64"/>
        <v>540.52115401685069</v>
      </c>
      <c r="O99" s="11">
        <f t="shared" si="64"/>
        <v>671.81291541251369</v>
      </c>
      <c r="P99" s="11">
        <f t="shared" si="64"/>
        <v>788.90969428108315</v>
      </c>
      <c r="Q99" s="11">
        <f t="shared" si="64"/>
        <v>774.68993679946573</v>
      </c>
      <c r="R99" s="9"/>
      <c r="S99" s="9"/>
      <c r="T99" s="9"/>
    </row>
    <row r="100" spans="1:20">
      <c r="A100" s="19"/>
      <c r="C100" s="9"/>
      <c r="D100" s="9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spans="1:20">
      <c r="A101" s="19" t="s">
        <v>140</v>
      </c>
      <c r="C101" s="9"/>
      <c r="D101" s="9"/>
      <c r="E101" s="9"/>
      <c r="F101" s="10"/>
      <c r="G101" s="9">
        <f t="shared" ref="G101:L101" si="65">-G73</f>
        <v>0</v>
      </c>
      <c r="H101" s="9">
        <f t="shared" si="65"/>
        <v>0</v>
      </c>
      <c r="I101" s="9">
        <f t="shared" si="65"/>
        <v>0</v>
      </c>
      <c r="J101" s="9">
        <f t="shared" si="65"/>
        <v>0</v>
      </c>
      <c r="K101" s="9">
        <f t="shared" si="65"/>
        <v>0</v>
      </c>
      <c r="L101" s="9">
        <f t="shared" si="65"/>
        <v>0</v>
      </c>
      <c r="M101" s="9">
        <f t="shared" ref="M101:Q101" si="66">-M73</f>
        <v>0</v>
      </c>
      <c r="N101" s="9">
        <f t="shared" si="66"/>
        <v>0</v>
      </c>
      <c r="O101" s="9">
        <f t="shared" si="66"/>
        <v>0</v>
      </c>
      <c r="P101" s="9">
        <f t="shared" si="66"/>
        <v>0</v>
      </c>
      <c r="Q101" s="9">
        <f t="shared" si="66"/>
        <v>0</v>
      </c>
      <c r="R101" s="9"/>
      <c r="S101" s="9"/>
      <c r="T101" s="9"/>
    </row>
    <row r="102" spans="1:20">
      <c r="A102" s="102" t="s">
        <v>141</v>
      </c>
      <c r="C102" s="9"/>
      <c r="D102" s="9"/>
      <c r="E102" s="9"/>
      <c r="F102" s="10"/>
      <c r="G102" s="11">
        <f t="shared" ref="G102:L102" si="67">G101</f>
        <v>0</v>
      </c>
      <c r="H102" s="11">
        <f t="shared" si="67"/>
        <v>0</v>
      </c>
      <c r="I102" s="11">
        <f t="shared" si="67"/>
        <v>0</v>
      </c>
      <c r="J102" s="11">
        <f t="shared" si="67"/>
        <v>0</v>
      </c>
      <c r="K102" s="11">
        <f t="shared" si="67"/>
        <v>0</v>
      </c>
      <c r="L102" s="11">
        <f t="shared" si="67"/>
        <v>0</v>
      </c>
      <c r="M102" s="11">
        <f t="shared" ref="M102" si="68">M101</f>
        <v>0</v>
      </c>
      <c r="N102" s="11">
        <f t="shared" ref="N102" si="69">N101</f>
        <v>0</v>
      </c>
      <c r="O102" s="11">
        <f t="shared" ref="O102" si="70">O101</f>
        <v>0</v>
      </c>
      <c r="P102" s="11">
        <f t="shared" ref="P102" si="71">P101</f>
        <v>0</v>
      </c>
      <c r="Q102" s="11">
        <f t="shared" ref="Q102" si="72">Q101</f>
        <v>0</v>
      </c>
      <c r="R102" s="9"/>
      <c r="S102" s="9"/>
      <c r="T102" s="9"/>
    </row>
    <row r="103" spans="1:20">
      <c r="A103" s="19"/>
      <c r="C103" s="9"/>
      <c r="D103" s="9"/>
      <c r="E103" s="9"/>
      <c r="F103" s="10"/>
      <c r="G103" s="9"/>
      <c r="H103" s="9"/>
      <c r="I103" s="9"/>
      <c r="J103" s="9"/>
      <c r="K103" s="9"/>
      <c r="L103" s="9"/>
      <c r="O103" s="9"/>
      <c r="P103" s="9"/>
      <c r="Q103" s="9"/>
      <c r="R103" s="9"/>
      <c r="S103" s="9"/>
      <c r="T103" s="9"/>
    </row>
    <row r="104" spans="1:20">
      <c r="A104" s="103" t="s">
        <v>142</v>
      </c>
      <c r="C104" s="9"/>
      <c r="D104" s="9"/>
      <c r="E104" s="9"/>
      <c r="F104" s="10"/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/>
      <c r="S104" s="9"/>
      <c r="T104" s="9"/>
    </row>
    <row r="105" spans="1:20">
      <c r="A105" s="103" t="s">
        <v>143</v>
      </c>
      <c r="C105" s="9"/>
      <c r="D105" s="9"/>
      <c r="E105" s="9"/>
      <c r="F105" s="10"/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/>
      <c r="S105" s="9"/>
      <c r="T105" s="9"/>
    </row>
    <row r="106" spans="1:20">
      <c r="A106" s="103" t="s">
        <v>148</v>
      </c>
      <c r="C106" s="9"/>
      <c r="D106" s="9"/>
      <c r="E106" s="9"/>
      <c r="F106" s="10"/>
      <c r="G106" s="9">
        <f>G126</f>
        <v>129.09349539917051</v>
      </c>
      <c r="H106" s="9">
        <f t="shared" ref="H106:Q106" si="73">H126</f>
        <v>194.25723646203915</v>
      </c>
      <c r="I106" s="9">
        <f t="shared" si="73"/>
        <v>199.28784551587316</v>
      </c>
      <c r="J106" s="9">
        <f t="shared" si="73"/>
        <v>191.36818684798172</v>
      </c>
      <c r="K106" s="9">
        <f t="shared" si="73"/>
        <v>184.04535468333421</v>
      </c>
      <c r="L106" s="9">
        <f t="shared" si="73"/>
        <v>213.87179862434425</v>
      </c>
      <c r="M106" s="9">
        <f t="shared" si="73"/>
        <v>213.30573685516606</v>
      </c>
      <c r="N106" s="9">
        <f t="shared" si="73"/>
        <v>240.4314551611094</v>
      </c>
      <c r="O106" s="9">
        <f t="shared" si="73"/>
        <v>247.11037612474018</v>
      </c>
      <c r="P106" s="9">
        <f t="shared" si="73"/>
        <v>284.02624152314581</v>
      </c>
      <c r="Q106" s="9">
        <f t="shared" si="73"/>
        <v>282.42008844122427</v>
      </c>
      <c r="R106" s="9"/>
      <c r="S106" s="9"/>
      <c r="T106" s="9"/>
    </row>
    <row r="107" spans="1:20">
      <c r="A107" s="103" t="s">
        <v>144</v>
      </c>
      <c r="C107" s="9"/>
      <c r="D107" s="9"/>
      <c r="E107" s="9"/>
      <c r="F107" s="10"/>
      <c r="G107" s="9">
        <f>-G122</f>
        <v>-52.463999999999999</v>
      </c>
      <c r="H107" s="9">
        <f t="shared" ref="H107:Q107" si="74">-H122</f>
        <v>-184.376</v>
      </c>
      <c r="I107" s="9">
        <f t="shared" si="74"/>
        <v>-50.375</v>
      </c>
      <c r="J107" s="9">
        <f t="shared" si="74"/>
        <v>-47.5</v>
      </c>
      <c r="K107" s="9">
        <f t="shared" si="74"/>
        <v>-129.09349539917051</v>
      </c>
      <c r="L107" s="9">
        <f t="shared" si="74"/>
        <v>-194.25723646203915</v>
      </c>
      <c r="M107" s="9">
        <f t="shared" si="74"/>
        <v>-199.28784551587316</v>
      </c>
      <c r="N107" s="9">
        <f t="shared" si="74"/>
        <v>-191.36818684798172</v>
      </c>
      <c r="O107" s="9">
        <f t="shared" si="74"/>
        <v>-184.04535468333421</v>
      </c>
      <c r="P107" s="9">
        <f t="shared" si="74"/>
        <v>-213.87179862434425</v>
      </c>
      <c r="Q107" s="9">
        <f t="shared" si="74"/>
        <v>-213.30573685516606</v>
      </c>
      <c r="R107" s="9"/>
      <c r="S107" s="9"/>
      <c r="T107" s="9"/>
    </row>
    <row r="108" spans="1:20">
      <c r="A108" s="103" t="s">
        <v>145</v>
      </c>
      <c r="C108" s="9"/>
      <c r="D108" s="9">
        <v>-190.74199999999999</v>
      </c>
      <c r="E108" s="9">
        <v>-159</v>
      </c>
      <c r="F108" s="10">
        <v>-90.816000000000003</v>
      </c>
      <c r="G108" s="9">
        <f>-F65*G67</f>
        <v>-174.39649999999997</v>
      </c>
      <c r="H108" s="9">
        <f t="shared" ref="H108:Q108" si="75">-G65*H67</f>
        <v>-303.11582586543938</v>
      </c>
      <c r="I108" s="9">
        <f t="shared" si="75"/>
        <v>-331.61057430188924</v>
      </c>
      <c r="J108" s="9">
        <f t="shared" si="75"/>
        <v>-368.77965850913375</v>
      </c>
      <c r="K108" s="9">
        <f t="shared" si="75"/>
        <v>-417.42543033271255</v>
      </c>
      <c r="L108" s="9">
        <f t="shared" si="75"/>
        <v>-463.33360218142087</v>
      </c>
      <c r="M108" s="9">
        <f t="shared" si="75"/>
        <v>-510.4622509278837</v>
      </c>
      <c r="N108" s="9">
        <f t="shared" si="75"/>
        <v>-560.55407535981033</v>
      </c>
      <c r="O108" s="9">
        <f t="shared" si="75"/>
        <v>-695.18886198934149</v>
      </c>
      <c r="P108" s="9">
        <f t="shared" si="75"/>
        <v>-839.36498034307033</v>
      </c>
      <c r="Q108" s="9">
        <f t="shared" si="75"/>
        <v>-906.26970971108813</v>
      </c>
      <c r="R108" s="9"/>
      <c r="S108" s="9"/>
      <c r="T108" s="9"/>
    </row>
    <row r="109" spans="1:20">
      <c r="A109" s="103" t="s">
        <v>146</v>
      </c>
      <c r="C109" s="9"/>
      <c r="D109" s="9"/>
      <c r="E109" s="9"/>
      <c r="F109" s="10"/>
      <c r="G109" s="9"/>
      <c r="H109" s="9"/>
      <c r="I109" s="9"/>
      <c r="J109" s="9"/>
      <c r="K109" s="9"/>
      <c r="L109" s="9"/>
      <c r="O109" s="9"/>
      <c r="P109" s="9"/>
      <c r="Q109" s="9"/>
      <c r="R109" s="9"/>
      <c r="S109" s="9"/>
      <c r="T109" s="9"/>
    </row>
    <row r="110" spans="1:20">
      <c r="A110" s="105" t="s">
        <v>147</v>
      </c>
      <c r="B110" s="19"/>
      <c r="C110" s="31"/>
      <c r="D110" s="31"/>
      <c r="E110" s="31"/>
      <c r="F110" s="16"/>
      <c r="G110" s="30">
        <f t="shared" ref="G110:L110" si="76">SUM(G104:G109)</f>
        <v>-97.767004600829466</v>
      </c>
      <c r="H110" s="30">
        <f t="shared" si="76"/>
        <v>-293.23458940340026</v>
      </c>
      <c r="I110" s="30">
        <f t="shared" si="76"/>
        <v>-182.69772878601609</v>
      </c>
      <c r="J110" s="30">
        <f t="shared" si="76"/>
        <v>-224.91147166115204</v>
      </c>
      <c r="K110" s="30">
        <f t="shared" si="76"/>
        <v>-362.47357104854882</v>
      </c>
      <c r="L110" s="30">
        <f t="shared" si="76"/>
        <v>-443.71904001911577</v>
      </c>
      <c r="M110" s="30">
        <f t="shared" ref="M110" si="77">SUM(M104:M109)</f>
        <v>-496.44435958859083</v>
      </c>
      <c r="N110" s="30">
        <f t="shared" ref="N110" si="78">SUM(N104:N109)</f>
        <v>-511.49080704668268</v>
      </c>
      <c r="O110" s="30">
        <f t="shared" ref="O110" si="79">SUM(O104:O109)</f>
        <v>-632.12384054793552</v>
      </c>
      <c r="P110" s="30">
        <f t="shared" ref="P110" si="80">SUM(P104:P109)</f>
        <v>-769.21053744426877</v>
      </c>
      <c r="Q110" s="30">
        <f t="shared" ref="Q110" si="81">SUM(Q104:Q109)</f>
        <v>-837.15535812502992</v>
      </c>
      <c r="R110" s="9"/>
      <c r="S110" s="9"/>
      <c r="T110" s="9"/>
    </row>
    <row r="111" spans="1:20">
      <c r="A111" s="105"/>
      <c r="B111" s="19"/>
      <c r="C111" s="31"/>
      <c r="D111" s="31"/>
      <c r="E111" s="31"/>
      <c r="F111" s="16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9"/>
      <c r="S111" s="9"/>
      <c r="T111" s="9"/>
    </row>
    <row r="112" spans="1:20">
      <c r="A112" s="125" t="s">
        <v>163</v>
      </c>
      <c r="B112" s="13"/>
      <c r="C112" s="34"/>
      <c r="D112" s="34"/>
      <c r="E112" s="34"/>
      <c r="F112" s="33"/>
      <c r="G112" s="124">
        <f>G99+G102+G110</f>
        <v>81.674680572511562</v>
      </c>
      <c r="H112" s="124">
        <f t="shared" ref="H112:Q112" si="82">H99+H102+H110</f>
        <v>-75.313868712697229</v>
      </c>
      <c r="I112" s="124">
        <f t="shared" si="82"/>
        <v>30.198501739270938</v>
      </c>
      <c r="J112" s="124">
        <f t="shared" si="82"/>
        <v>49.740852203119658</v>
      </c>
      <c r="K112" s="124">
        <f t="shared" si="82"/>
        <v>-21.571316446858646</v>
      </c>
      <c r="L112" s="124">
        <f t="shared" si="82"/>
        <v>-39.022718213101825</v>
      </c>
      <c r="M112" s="124">
        <f t="shared" si="82"/>
        <v>-26.074418483729971</v>
      </c>
      <c r="N112" s="124">
        <f t="shared" si="82"/>
        <v>29.030346970168011</v>
      </c>
      <c r="O112" s="124">
        <f t="shared" si="82"/>
        <v>39.689074864578174</v>
      </c>
      <c r="P112" s="124">
        <f t="shared" si="82"/>
        <v>19.699156836814382</v>
      </c>
      <c r="Q112" s="124">
        <f t="shared" si="82"/>
        <v>-62.465421325564193</v>
      </c>
      <c r="R112" s="9"/>
      <c r="S112" s="9"/>
      <c r="T112" s="9"/>
    </row>
    <row r="113" spans="1:22">
      <c r="A113" s="105" t="s">
        <v>169</v>
      </c>
      <c r="B113" s="19"/>
      <c r="C113" s="31"/>
      <c r="D113" s="31"/>
      <c r="E113" s="31"/>
      <c r="F113" s="16"/>
      <c r="G113" s="30">
        <f>F8</f>
        <v>13.125</v>
      </c>
      <c r="H113" s="30">
        <f>G114</f>
        <v>94.799680572511562</v>
      </c>
      <c r="I113" s="30">
        <f t="shared" ref="I113:Q113" si="83">H114</f>
        <v>19.485811859814334</v>
      </c>
      <c r="J113" s="30">
        <f t="shared" si="83"/>
        <v>49.684313599085272</v>
      </c>
      <c r="K113" s="30">
        <f t="shared" si="83"/>
        <v>99.42516580220493</v>
      </c>
      <c r="L113" s="30">
        <f t="shared" si="83"/>
        <v>77.853849355346284</v>
      </c>
      <c r="M113" s="30">
        <f t="shared" si="83"/>
        <v>38.831131142244459</v>
      </c>
      <c r="N113" s="30">
        <f t="shared" si="83"/>
        <v>12.756712658514488</v>
      </c>
      <c r="O113" s="30">
        <f t="shared" si="83"/>
        <v>41.787059628682499</v>
      </c>
      <c r="P113" s="30">
        <f t="shared" si="83"/>
        <v>81.476134493260673</v>
      </c>
      <c r="Q113" s="30">
        <f t="shared" si="83"/>
        <v>101.17529133007505</v>
      </c>
      <c r="R113" s="9"/>
      <c r="S113" s="9"/>
      <c r="T113" s="9"/>
    </row>
    <row r="114" spans="1:22">
      <c r="A114" s="12" t="s">
        <v>170</v>
      </c>
      <c r="B114" s="13"/>
      <c r="C114" s="34"/>
      <c r="D114" s="34"/>
      <c r="E114" s="34"/>
      <c r="F114" s="34"/>
      <c r="G114" s="124">
        <f>G112+G113</f>
        <v>94.799680572511562</v>
      </c>
      <c r="H114" s="124">
        <f>H112+H113</f>
        <v>19.485811859814334</v>
      </c>
      <c r="I114" s="124">
        <f t="shared" ref="I114:Q114" si="84">I112+I113</f>
        <v>49.684313599085272</v>
      </c>
      <c r="J114" s="124">
        <f t="shared" si="84"/>
        <v>99.42516580220493</v>
      </c>
      <c r="K114" s="124">
        <f t="shared" si="84"/>
        <v>77.853849355346284</v>
      </c>
      <c r="L114" s="124">
        <f t="shared" si="84"/>
        <v>38.831131142244459</v>
      </c>
      <c r="M114" s="124">
        <f t="shared" si="84"/>
        <v>12.756712658514488</v>
      </c>
      <c r="N114" s="124">
        <f t="shared" si="84"/>
        <v>41.787059628682499</v>
      </c>
      <c r="O114" s="124">
        <f t="shared" si="84"/>
        <v>81.476134493260673</v>
      </c>
      <c r="P114" s="124">
        <f t="shared" si="84"/>
        <v>101.17529133007505</v>
      </c>
      <c r="Q114" s="124">
        <f t="shared" si="84"/>
        <v>38.709870004510861</v>
      </c>
      <c r="R114" s="30"/>
      <c r="S114" s="30"/>
      <c r="T114" s="30"/>
      <c r="U114" s="30"/>
      <c r="V114" s="19"/>
    </row>
    <row r="115" spans="1:22">
      <c r="C115" s="9"/>
      <c r="D115" s="9"/>
      <c r="E115" s="9"/>
      <c r="F115" s="10"/>
      <c r="G115" s="9"/>
      <c r="H115" s="9"/>
      <c r="I115" s="9"/>
      <c r="J115" s="9"/>
      <c r="K115" s="9"/>
      <c r="L115" s="9"/>
      <c r="O115" s="9"/>
      <c r="P115" s="9"/>
      <c r="Q115" s="9"/>
      <c r="R115" s="31"/>
      <c r="S115" s="31"/>
      <c r="T115" s="31"/>
      <c r="U115" s="19"/>
      <c r="V115" s="19"/>
    </row>
    <row r="116" spans="1:22">
      <c r="A116" s="23" t="s">
        <v>149</v>
      </c>
      <c r="B116" s="23"/>
      <c r="C116" s="24">
        <f>C88</f>
        <v>2008</v>
      </c>
      <c r="D116" s="24">
        <f t="shared" ref="D116:Q116" si="85">D88</f>
        <v>2009</v>
      </c>
      <c r="E116" s="24">
        <f t="shared" si="85"/>
        <v>2010</v>
      </c>
      <c r="F116" s="24">
        <f t="shared" si="85"/>
        <v>2011</v>
      </c>
      <c r="G116" s="24" t="str">
        <f t="shared" si="85"/>
        <v>2012E</v>
      </c>
      <c r="H116" s="24" t="str">
        <f t="shared" si="85"/>
        <v>2013E</v>
      </c>
      <c r="I116" s="24" t="str">
        <f t="shared" si="85"/>
        <v>2014E</v>
      </c>
      <c r="J116" s="24" t="str">
        <f t="shared" si="85"/>
        <v>2015E</v>
      </c>
      <c r="K116" s="24" t="str">
        <f t="shared" si="85"/>
        <v>2016E</v>
      </c>
      <c r="L116" s="24" t="str">
        <f t="shared" si="85"/>
        <v>2017E</v>
      </c>
      <c r="M116" s="24" t="str">
        <f t="shared" si="85"/>
        <v>2018E</v>
      </c>
      <c r="N116" s="24" t="str">
        <f t="shared" si="85"/>
        <v>2019E</v>
      </c>
      <c r="O116" s="24" t="str">
        <f t="shared" si="85"/>
        <v>2020E</v>
      </c>
      <c r="P116" s="24" t="str">
        <f t="shared" si="85"/>
        <v>2021E</v>
      </c>
      <c r="Q116" s="24" t="str">
        <f t="shared" si="85"/>
        <v>2022E</v>
      </c>
      <c r="R116" s="9"/>
      <c r="S116" s="9"/>
      <c r="T116" s="9"/>
    </row>
    <row r="117" spans="1:22">
      <c r="A117" s="103" t="s">
        <v>51</v>
      </c>
      <c r="C117" s="9"/>
      <c r="D117" s="9">
        <f>D60</f>
        <v>-19.661999999999999</v>
      </c>
      <c r="E117" s="9">
        <f>E60</f>
        <v>-13.502000000000001</v>
      </c>
      <c r="F117" s="9">
        <f>F60</f>
        <v>-44.218000000000004</v>
      </c>
      <c r="G117" s="9">
        <f t="shared" ref="G117:Q117" si="86">-F82*G118</f>
        <v>-33.698561624999996</v>
      </c>
      <c r="H117" s="9">
        <f t="shared" si="86"/>
        <v>-32.972556741972532</v>
      </c>
      <c r="I117" s="9">
        <f t="shared" si="86"/>
        <v>-42.838444980148594</v>
      </c>
      <c r="J117" s="9">
        <f t="shared" si="86"/>
        <v>-54.179139432911747</v>
      </c>
      <c r="K117" s="9">
        <f t="shared" si="86"/>
        <v>-62.430680739920255</v>
      </c>
      <c r="L117" s="9">
        <f t="shared" si="86"/>
        <v>-70.197783076619032</v>
      </c>
      <c r="M117" s="9">
        <f t="shared" si="86"/>
        <v>-76.149467034722832</v>
      </c>
      <c r="N117" s="9">
        <f t="shared" si="86"/>
        <v>-80.218836481759652</v>
      </c>
      <c r="O117" s="9">
        <f t="shared" si="86"/>
        <v>-82.252177998070039</v>
      </c>
      <c r="P117" s="9">
        <f t="shared" si="86"/>
        <v>-84.624836575618062</v>
      </c>
      <c r="Q117" s="9">
        <f t="shared" si="86"/>
        <v>-89.746048110909769</v>
      </c>
      <c r="R117" s="9"/>
      <c r="S117" s="9"/>
      <c r="T117" s="9"/>
    </row>
    <row r="118" spans="1:22">
      <c r="A118" s="103" t="s">
        <v>150</v>
      </c>
      <c r="C118" s="9"/>
      <c r="D118" s="32">
        <f>-D117/AVERAGE(C82:D82)</f>
        <v>0.15509122317139543</v>
      </c>
      <c r="E118" s="32">
        <f>-E117/AVERAGE(D82:E82)</f>
        <v>5.6435753232558193E-2</v>
      </c>
      <c r="F118" s="32">
        <f>-F117/AVERAGE(E82:F82)</f>
        <v>0.12939076490899515</v>
      </c>
      <c r="G118" s="32">
        <f>G119+G120</f>
        <v>0.104625</v>
      </c>
      <c r="H118" s="32">
        <f t="shared" ref="H118:Q118" si="87">H119+H120</f>
        <v>0.104</v>
      </c>
      <c r="I118" s="32">
        <f t="shared" si="87"/>
        <v>0.1065</v>
      </c>
      <c r="J118" s="32">
        <f t="shared" si="87"/>
        <v>0.104</v>
      </c>
      <c r="K118" s="32">
        <f t="shared" si="87"/>
        <v>0.10149999999999999</v>
      </c>
      <c r="L118" s="32">
        <f t="shared" si="87"/>
        <v>0.10149999999999999</v>
      </c>
      <c r="M118" s="32">
        <f t="shared" si="87"/>
        <v>0.10149999999999999</v>
      </c>
      <c r="N118" s="32">
        <f t="shared" si="87"/>
        <v>0.10149999999999999</v>
      </c>
      <c r="O118" s="32">
        <f t="shared" si="87"/>
        <v>0.10149999999999999</v>
      </c>
      <c r="P118" s="32">
        <f t="shared" si="87"/>
        <v>0.10149999999999999</v>
      </c>
      <c r="Q118" s="32">
        <f t="shared" si="87"/>
        <v>0.10149999999999999</v>
      </c>
      <c r="R118" s="9"/>
      <c r="S118" s="9"/>
      <c r="T118" s="9"/>
    </row>
    <row r="119" spans="1:22">
      <c r="A119" s="103" t="s">
        <v>151</v>
      </c>
      <c r="C119" s="9"/>
      <c r="D119" s="36">
        <f>Cenário!L19/100</f>
        <v>9.9166666666666667E-2</v>
      </c>
      <c r="E119" s="36">
        <f>Cenário!M19/100</f>
        <v>0.1</v>
      </c>
      <c r="F119" s="36">
        <f>Cenário!R19/100</f>
        <v>0.11708333333333334</v>
      </c>
      <c r="G119" s="36">
        <f>Cenário!W19/100</f>
        <v>9.3124999999999999E-2</v>
      </c>
      <c r="H119" s="36">
        <f>Cenário!X19/100</f>
        <v>9.2499999999999999E-2</v>
      </c>
      <c r="I119" s="36">
        <f>Cenário!Y19/100</f>
        <v>9.5000000000000001E-2</v>
      </c>
      <c r="J119" s="36">
        <f>Cenário!Z19/100</f>
        <v>9.2499999999999999E-2</v>
      </c>
      <c r="K119" s="36">
        <f>Cenário!AA19/100</f>
        <v>0.09</v>
      </c>
      <c r="L119" s="36">
        <f>Cenário!AB19/100</f>
        <v>0.09</v>
      </c>
      <c r="M119" s="36">
        <f>Cenário!AC19/100</f>
        <v>0.09</v>
      </c>
      <c r="N119" s="36">
        <f>M119</f>
        <v>0.09</v>
      </c>
      <c r="O119" s="36">
        <f t="shared" ref="O119:Q119" si="88">N119</f>
        <v>0.09</v>
      </c>
      <c r="P119" s="36">
        <f t="shared" si="88"/>
        <v>0.09</v>
      </c>
      <c r="Q119" s="36">
        <f t="shared" si="88"/>
        <v>0.09</v>
      </c>
      <c r="R119" s="9"/>
      <c r="S119" s="9"/>
      <c r="T119" s="9"/>
    </row>
    <row r="120" spans="1:22">
      <c r="A120" s="103" t="s">
        <v>152</v>
      </c>
      <c r="C120" s="9"/>
      <c r="D120" s="36">
        <f>+D118-D119</f>
        <v>5.5924556504728759E-2</v>
      </c>
      <c r="E120" s="36">
        <f>+E118-E119</f>
        <v>-4.3564246767441812E-2</v>
      </c>
      <c r="F120" s="36">
        <f>+F118-F119</f>
        <v>1.2307431575661804E-2</v>
      </c>
      <c r="G120" s="132">
        <v>1.15E-2</v>
      </c>
      <c r="H120" s="132">
        <v>1.15E-2</v>
      </c>
      <c r="I120" s="132">
        <v>1.15E-2</v>
      </c>
      <c r="J120" s="132">
        <v>1.15E-2</v>
      </c>
      <c r="K120" s="132">
        <v>1.15E-2</v>
      </c>
      <c r="L120" s="132">
        <v>1.15E-2</v>
      </c>
      <c r="M120" s="132">
        <v>1.15E-2</v>
      </c>
      <c r="N120" s="132">
        <v>1.15E-2</v>
      </c>
      <c r="O120" s="132">
        <v>1.15E-2</v>
      </c>
      <c r="P120" s="132">
        <v>1.15E-2</v>
      </c>
      <c r="Q120" s="132">
        <v>1.15E-2</v>
      </c>
      <c r="R120" s="9"/>
      <c r="S120" s="9"/>
      <c r="T120" s="9"/>
    </row>
    <row r="121" spans="1:22">
      <c r="A121" s="103"/>
      <c r="C121" s="9"/>
      <c r="D121" s="9"/>
      <c r="E121" s="9"/>
      <c r="F121" s="10"/>
      <c r="G121" s="9"/>
      <c r="H121" s="9"/>
      <c r="I121" s="9"/>
      <c r="J121" s="9"/>
      <c r="K121" s="9"/>
      <c r="L121" s="9"/>
      <c r="O121" s="9"/>
      <c r="P121" s="9"/>
      <c r="Q121" s="9"/>
      <c r="R121" s="9"/>
      <c r="S121" s="9"/>
      <c r="T121" s="9"/>
    </row>
    <row r="122" spans="1:22">
      <c r="A122" s="103" t="s">
        <v>153</v>
      </c>
      <c r="C122" s="9"/>
      <c r="D122" s="9"/>
      <c r="E122" s="9"/>
      <c r="F122" s="10"/>
      <c r="G122" s="9">
        <f t="shared" ref="G122:L122" si="89">+G123+G124</f>
        <v>52.463999999999999</v>
      </c>
      <c r="H122" s="9">
        <f t="shared" si="89"/>
        <v>184.376</v>
      </c>
      <c r="I122" s="9">
        <f t="shared" si="89"/>
        <v>50.375</v>
      </c>
      <c r="J122" s="9">
        <f t="shared" si="89"/>
        <v>47.5</v>
      </c>
      <c r="K122" s="9">
        <f t="shared" si="89"/>
        <v>129.09349539917051</v>
      </c>
      <c r="L122" s="9">
        <f t="shared" si="89"/>
        <v>194.25723646203915</v>
      </c>
      <c r="M122" s="9">
        <f t="shared" ref="M122" si="90">+M123+M124</f>
        <v>199.28784551587316</v>
      </c>
      <c r="N122" s="9">
        <f t="shared" ref="N122" si="91">+N123+N124</f>
        <v>191.36818684798172</v>
      </c>
      <c r="O122" s="9">
        <f t="shared" ref="O122" si="92">+O123+O124</f>
        <v>184.04535468333421</v>
      </c>
      <c r="P122" s="9">
        <f t="shared" ref="P122" si="93">+P123+P124</f>
        <v>213.87179862434425</v>
      </c>
      <c r="Q122" s="9">
        <f t="shared" ref="Q122" si="94">+Q123+Q124</f>
        <v>213.30573685516606</v>
      </c>
      <c r="R122" s="9"/>
      <c r="S122" s="9"/>
      <c r="T122" s="9"/>
    </row>
    <row r="123" spans="1:22">
      <c r="A123" s="103" t="s">
        <v>154</v>
      </c>
      <c r="C123" s="9"/>
      <c r="D123" s="9"/>
      <c r="E123" s="9"/>
      <c r="F123" s="10"/>
      <c r="G123" s="9">
        <f>+F21</f>
        <v>52.463999999999999</v>
      </c>
      <c r="H123" s="9">
        <f>(2.875*2)+37.5+10+127.126+4</f>
        <v>184.376</v>
      </c>
      <c r="I123" s="9">
        <f>2.875+37.5+10</f>
        <v>50.375</v>
      </c>
      <c r="J123" s="9">
        <f>37.5+10</f>
        <v>47.5</v>
      </c>
      <c r="K123" s="9">
        <f>G126</f>
        <v>129.09349539917051</v>
      </c>
      <c r="L123" s="9">
        <f t="shared" ref="L123:Q123" si="95">H126</f>
        <v>194.25723646203915</v>
      </c>
      <c r="M123" s="9">
        <f t="shared" si="95"/>
        <v>199.28784551587316</v>
      </c>
      <c r="N123" s="9">
        <f t="shared" si="95"/>
        <v>191.36818684798172</v>
      </c>
      <c r="O123" s="9">
        <f t="shared" si="95"/>
        <v>184.04535468333421</v>
      </c>
      <c r="P123" s="9">
        <f t="shared" si="95"/>
        <v>213.87179862434425</v>
      </c>
      <c r="Q123" s="9">
        <f t="shared" si="95"/>
        <v>213.30573685516606</v>
      </c>
      <c r="R123" s="9"/>
      <c r="S123" s="9"/>
      <c r="T123" s="9"/>
    </row>
    <row r="124" spans="1:22">
      <c r="A124" s="103" t="s">
        <v>155</v>
      </c>
      <c r="C124" s="9"/>
      <c r="D124" s="9"/>
      <c r="E124" s="9"/>
      <c r="F124" s="10"/>
      <c r="G124" s="9"/>
      <c r="H124" s="9"/>
      <c r="I124" s="9"/>
      <c r="J124" s="9"/>
      <c r="K124" s="9"/>
      <c r="L124" s="9"/>
      <c r="O124" s="9"/>
      <c r="P124" s="9"/>
      <c r="Q124" s="9"/>
      <c r="R124" s="9"/>
      <c r="S124" s="9"/>
      <c r="T124" s="9"/>
    </row>
    <row r="125" spans="1:22">
      <c r="A125" s="103"/>
      <c r="C125" s="9"/>
      <c r="D125" s="9"/>
      <c r="E125" s="9"/>
      <c r="F125" s="10"/>
      <c r="G125" s="9"/>
      <c r="H125" s="9"/>
      <c r="I125" s="9"/>
      <c r="J125" s="9"/>
      <c r="K125" s="9"/>
      <c r="L125" s="9"/>
      <c r="P125" s="9"/>
      <c r="Q125" s="9"/>
      <c r="R125" s="9"/>
      <c r="T125" s="9"/>
    </row>
    <row r="126" spans="1:22">
      <c r="A126" s="104" t="s">
        <v>148</v>
      </c>
      <c r="B126" s="13"/>
      <c r="C126" s="34"/>
      <c r="D126" s="34"/>
      <c r="E126" s="34"/>
      <c r="F126" s="33"/>
      <c r="G126" s="34">
        <f>G127*G89</f>
        <v>129.09349539917051</v>
      </c>
      <c r="H126" s="34">
        <f t="shared" ref="H126:Q126" si="96">H127*H89</f>
        <v>194.25723646203915</v>
      </c>
      <c r="I126" s="34">
        <f t="shared" si="96"/>
        <v>199.28784551587316</v>
      </c>
      <c r="J126" s="34">
        <f t="shared" si="96"/>
        <v>191.36818684798172</v>
      </c>
      <c r="K126" s="34">
        <f t="shared" si="96"/>
        <v>184.04535468333421</v>
      </c>
      <c r="L126" s="34">
        <f t="shared" si="96"/>
        <v>213.87179862434425</v>
      </c>
      <c r="M126" s="34">
        <f t="shared" si="96"/>
        <v>213.30573685516606</v>
      </c>
      <c r="N126" s="34">
        <f t="shared" si="96"/>
        <v>240.4314551611094</v>
      </c>
      <c r="O126" s="34">
        <f t="shared" si="96"/>
        <v>247.11037612474018</v>
      </c>
      <c r="P126" s="34">
        <f t="shared" si="96"/>
        <v>284.02624152314581</v>
      </c>
      <c r="Q126" s="34">
        <f t="shared" si="96"/>
        <v>282.42008844122427</v>
      </c>
      <c r="R126" s="9"/>
      <c r="S126" s="72"/>
      <c r="T126" s="9"/>
    </row>
    <row r="127" spans="1:22">
      <c r="C127" s="9"/>
      <c r="D127" s="9"/>
      <c r="E127" s="9"/>
      <c r="F127" s="10"/>
      <c r="G127" s="32">
        <v>0.5</v>
      </c>
      <c r="H127" s="32">
        <v>0.65</v>
      </c>
      <c r="I127" s="32">
        <v>0.65</v>
      </c>
      <c r="J127" s="32">
        <v>0.5</v>
      </c>
      <c r="K127" s="32">
        <v>0.4</v>
      </c>
      <c r="L127" s="32">
        <v>0.4</v>
      </c>
      <c r="M127" s="32">
        <v>0.35</v>
      </c>
      <c r="N127" s="32">
        <v>0.35</v>
      </c>
      <c r="O127" s="32">
        <v>0.3</v>
      </c>
      <c r="P127" s="32">
        <v>0.3</v>
      </c>
      <c r="Q127" s="32">
        <v>0.3</v>
      </c>
      <c r="R127" s="9"/>
      <c r="S127" s="9"/>
      <c r="T127" s="9"/>
    </row>
    <row r="128" spans="1:22">
      <c r="A128" s="23" t="s">
        <v>187</v>
      </c>
      <c r="B128" s="23"/>
      <c r="C128" s="24">
        <f>C116</f>
        <v>2008</v>
      </c>
      <c r="D128" s="24">
        <f t="shared" ref="D128:Q128" si="97">D116</f>
        <v>2009</v>
      </c>
      <c r="E128" s="24">
        <f t="shared" si="97"/>
        <v>2010</v>
      </c>
      <c r="F128" s="24">
        <f t="shared" si="97"/>
        <v>2011</v>
      </c>
      <c r="G128" s="24" t="str">
        <f t="shared" si="97"/>
        <v>2012E</v>
      </c>
      <c r="H128" s="24" t="str">
        <f t="shared" si="97"/>
        <v>2013E</v>
      </c>
      <c r="I128" s="24" t="str">
        <f t="shared" si="97"/>
        <v>2014E</v>
      </c>
      <c r="J128" s="24" t="str">
        <f t="shared" si="97"/>
        <v>2015E</v>
      </c>
      <c r="K128" s="24" t="str">
        <f t="shared" si="97"/>
        <v>2016E</v>
      </c>
      <c r="L128" s="24" t="str">
        <f t="shared" si="97"/>
        <v>2017E</v>
      </c>
      <c r="M128" s="24" t="str">
        <f t="shared" si="97"/>
        <v>2018E</v>
      </c>
      <c r="N128" s="24" t="str">
        <f t="shared" si="97"/>
        <v>2019E</v>
      </c>
      <c r="O128" s="24" t="str">
        <f t="shared" si="97"/>
        <v>2020E</v>
      </c>
      <c r="P128" s="24" t="str">
        <f t="shared" si="97"/>
        <v>2021E</v>
      </c>
      <c r="Q128" s="24" t="str">
        <f t="shared" si="97"/>
        <v>2022E</v>
      </c>
      <c r="R128" s="9"/>
      <c r="S128" s="9"/>
      <c r="T128" s="9"/>
    </row>
    <row r="129" spans="1:20">
      <c r="A129" s="2" t="s">
        <v>184</v>
      </c>
      <c r="C129" s="9"/>
      <c r="D129" s="109"/>
      <c r="E129" s="109"/>
      <c r="F129" s="109">
        <f>F93/(F90+F91)</f>
        <v>7.8838174273858919E-2</v>
      </c>
      <c r="G129" s="126">
        <v>7.8838174273858919E-2</v>
      </c>
      <c r="H129" s="126">
        <v>7.8838174273858919E-2</v>
      </c>
      <c r="I129" s="126">
        <v>0</v>
      </c>
      <c r="J129" s="126">
        <v>0</v>
      </c>
      <c r="K129" s="126">
        <v>0</v>
      </c>
      <c r="L129" s="126">
        <v>0</v>
      </c>
      <c r="M129" s="126">
        <v>0</v>
      </c>
      <c r="N129" s="126">
        <v>0</v>
      </c>
      <c r="O129" s="126">
        <v>0</v>
      </c>
      <c r="P129" s="126">
        <v>0</v>
      </c>
      <c r="Q129" s="126">
        <v>0</v>
      </c>
      <c r="R129" s="9"/>
      <c r="S129" s="9"/>
      <c r="T129" s="9"/>
    </row>
    <row r="130" spans="1:20">
      <c r="A130" s="2" t="s">
        <v>185</v>
      </c>
      <c r="C130" s="9"/>
      <c r="D130" s="109"/>
      <c r="E130" s="109"/>
      <c r="F130" s="109">
        <f>F94/(F90+F91)</f>
        <v>4.5643153526970952E-2</v>
      </c>
      <c r="G130" s="109">
        <f>G94/(G90+G91)</f>
        <v>2.6943738819247727E-2</v>
      </c>
      <c r="H130" s="109">
        <f t="shared" ref="H130:Q130" si="98">H94/(H90+H91)</f>
        <v>3.4551136608616737E-2</v>
      </c>
      <c r="I130" s="109">
        <f t="shared" si="98"/>
        <v>3.2803383110122111E-2</v>
      </c>
      <c r="J130" s="109">
        <f t="shared" si="98"/>
        <v>2.7448464104183223E-2</v>
      </c>
      <c r="K130" s="109">
        <f t="shared" si="98"/>
        <v>2.3774616355855809E-2</v>
      </c>
      <c r="L130" s="109">
        <f t="shared" si="98"/>
        <v>2.4450036881049117E-2</v>
      </c>
      <c r="M130" s="109">
        <f t="shared" si="98"/>
        <v>2.2370325373987508E-2</v>
      </c>
      <c r="N130" s="109">
        <f t="shared" si="98"/>
        <v>2.0705808503037212E-2</v>
      </c>
      <c r="O130" s="109">
        <f t="shared" si="98"/>
        <v>1.7997328729455076E-2</v>
      </c>
      <c r="P130" s="109">
        <f t="shared" si="98"/>
        <v>1.6336068837445265E-2</v>
      </c>
      <c r="Q130" s="109">
        <f t="shared" si="98"/>
        <v>1.7182577110971459E-2</v>
      </c>
      <c r="R130" s="9"/>
      <c r="S130" s="9"/>
      <c r="T130" s="9"/>
    </row>
    <row r="131" spans="1:20">
      <c r="C131" s="9"/>
      <c r="D131" s="9"/>
      <c r="E131" s="109"/>
      <c r="F131" s="10"/>
      <c r="G131" s="9"/>
      <c r="H131" s="9"/>
      <c r="I131" s="9"/>
      <c r="J131" s="9"/>
      <c r="K131" s="9"/>
      <c r="L131" s="9"/>
      <c r="O131" s="9"/>
      <c r="P131" s="9"/>
      <c r="Q131" s="9"/>
      <c r="R131" s="9"/>
      <c r="S131" s="9"/>
      <c r="T131" s="9"/>
    </row>
    <row r="132" spans="1:20">
      <c r="C132" s="9"/>
      <c r="D132" s="9"/>
      <c r="E132" s="9"/>
      <c r="F132" s="10"/>
      <c r="G132" s="9"/>
      <c r="H132" s="9"/>
      <c r="I132" s="9"/>
      <c r="J132" s="9"/>
      <c r="K132" s="9"/>
      <c r="L132" s="9"/>
      <c r="O132" s="9"/>
      <c r="P132" s="9"/>
      <c r="Q132" s="9"/>
      <c r="R132" s="9"/>
      <c r="S132" s="9"/>
      <c r="T132" s="9"/>
    </row>
    <row r="133" spans="1:20">
      <c r="A133" s="2" t="s">
        <v>194</v>
      </c>
      <c r="C133" s="9"/>
      <c r="D133" s="9"/>
      <c r="E133" s="9"/>
      <c r="F133" s="10">
        <v>249.17</v>
      </c>
      <c r="G133" s="9">
        <f>F133*(1+(Cenário!W9/100))</f>
        <v>262.12684000000002</v>
      </c>
      <c r="H133" s="9">
        <f>G133*(1+(Cenário!X9/100))</f>
        <v>276.01956252000002</v>
      </c>
      <c r="I133" s="9">
        <f>H133*(1+(Cenário!Y9/100))</f>
        <v>289.82054064600004</v>
      </c>
      <c r="J133" s="9">
        <f>I133*(1+(Cenário!Z9/100))</f>
        <v>304.31156767830004</v>
      </c>
      <c r="K133" s="9">
        <f>J133*(1+(Cenário!AA9/100))</f>
        <v>318.00558822382351</v>
      </c>
      <c r="L133" s="9">
        <f>K133*(1+(Cenário!AB9/100))</f>
        <v>332.31583969389555</v>
      </c>
      <c r="M133" s="9">
        <f>L133*(1+(Cenário!AC9/100))</f>
        <v>347.27005248012085</v>
      </c>
      <c r="N133" s="9">
        <f>M133*(1+(Cenário!AD9/100))</f>
        <v>362.89720484172625</v>
      </c>
      <c r="O133" s="9">
        <f>N133*(1+(Cenário!AE9/100))</f>
        <v>379.2275790596039</v>
      </c>
      <c r="P133" s="9">
        <f>O133*(1+(Cenário!AF9/100))</f>
        <v>396.29282011728606</v>
      </c>
      <c r="Q133" s="9">
        <f>P133*(1+(Cenário!AG9/100))</f>
        <v>414.12599702256392</v>
      </c>
      <c r="R133" s="9"/>
      <c r="S133" s="9"/>
      <c r="T133" s="9"/>
    </row>
    <row r="134" spans="1:20">
      <c r="C134" s="9"/>
      <c r="D134" s="9"/>
      <c r="E134" s="9"/>
      <c r="F134" s="10"/>
      <c r="G134" s="9"/>
      <c r="H134" s="9"/>
      <c r="I134" s="9"/>
      <c r="J134" s="9"/>
      <c r="K134" s="9"/>
      <c r="L134" s="9"/>
      <c r="O134" s="9"/>
      <c r="P134" s="9"/>
      <c r="Q134" s="9"/>
      <c r="R134" s="9"/>
      <c r="S134" s="9"/>
      <c r="T134" s="9"/>
    </row>
    <row r="135" spans="1:20">
      <c r="C135" s="9"/>
      <c r="D135" s="9"/>
      <c r="E135" s="9"/>
      <c r="F135" s="10"/>
      <c r="G135" s="9"/>
      <c r="H135" s="9"/>
      <c r="I135" s="9"/>
      <c r="J135" s="9"/>
      <c r="K135" s="9"/>
      <c r="L135" s="9"/>
      <c r="O135" s="9"/>
      <c r="P135" s="9"/>
      <c r="Q135" s="9"/>
      <c r="R135" s="9"/>
      <c r="S135" s="9"/>
      <c r="T135" s="9"/>
    </row>
    <row r="136" spans="1:20">
      <c r="C136" s="9"/>
      <c r="D136" s="9"/>
      <c r="E136" s="9"/>
      <c r="F136" s="10"/>
      <c r="G136" s="9"/>
      <c r="H136" s="9"/>
      <c r="I136" s="9"/>
      <c r="J136" s="9"/>
      <c r="K136" s="9"/>
      <c r="L136" s="9"/>
      <c r="O136" s="9"/>
      <c r="P136" s="9"/>
      <c r="Q136" s="9"/>
      <c r="R136" s="9"/>
      <c r="S136" s="9"/>
      <c r="T136" s="9"/>
    </row>
    <row r="137" spans="1:20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ht="21.95" customHeight="1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spans="1:20" ht="21.95" customHeight="1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spans="1:20" ht="21.95" customHeight="1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spans="1:20" ht="21.95" customHeight="1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spans="1:20" ht="21.95" customHeight="1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spans="1:20" ht="21.95" customHeight="1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spans="1:20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spans="3:20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spans="3:20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spans="3:20">
      <c r="C147" s="9"/>
      <c r="D147" s="9"/>
      <c r="E147" s="9"/>
      <c r="F147" s="10"/>
      <c r="G147" s="9"/>
      <c r="H147" s="9"/>
      <c r="I147" s="9"/>
      <c r="J147" s="9"/>
      <c r="K147" s="9"/>
      <c r="L147" s="9"/>
      <c r="O147" s="9"/>
      <c r="P147" s="9"/>
      <c r="Q147" s="9"/>
      <c r="R147" s="9"/>
      <c r="S147" s="9"/>
      <c r="T147" s="9"/>
    </row>
    <row r="148" spans="3:20">
      <c r="C148" s="9"/>
      <c r="D148" s="9"/>
      <c r="E148" s="9"/>
      <c r="F148" s="10"/>
      <c r="G148" s="9"/>
      <c r="H148" s="9"/>
      <c r="I148" s="9"/>
      <c r="J148" s="9"/>
      <c r="K148" s="9"/>
      <c r="L148" s="9"/>
      <c r="O148" s="9"/>
      <c r="P148" s="9"/>
      <c r="Q148" s="9"/>
      <c r="R148" s="9"/>
      <c r="S148" s="9"/>
      <c r="T148" s="9"/>
    </row>
    <row r="149" spans="3:20">
      <c r="C149" s="9"/>
      <c r="D149" s="9"/>
      <c r="E149" s="9"/>
      <c r="F149" s="10"/>
      <c r="G149" s="9"/>
      <c r="H149" s="9"/>
      <c r="I149" s="9"/>
      <c r="J149" s="9"/>
      <c r="K149" s="9"/>
      <c r="L149" s="9"/>
      <c r="O149" s="9"/>
      <c r="P149" s="9"/>
      <c r="Q149" s="9"/>
      <c r="R149" s="9"/>
      <c r="S149" s="9"/>
      <c r="T149" s="9"/>
    </row>
    <row r="150" spans="3:20" hidden="1">
      <c r="C150" s="9"/>
      <c r="D150" s="9"/>
      <c r="E150" s="9"/>
      <c r="F150" s="10"/>
      <c r="G150" s="9"/>
      <c r="H150" s="9"/>
      <c r="I150" s="9"/>
      <c r="J150" s="9"/>
      <c r="K150" s="9"/>
      <c r="L150" s="9"/>
      <c r="O150" s="9"/>
      <c r="P150" s="9"/>
      <c r="Q150" s="9"/>
      <c r="R150" s="9"/>
      <c r="S150" s="9"/>
      <c r="T150" s="9"/>
    </row>
    <row r="151" spans="3:20">
      <c r="C151" s="9"/>
      <c r="D151" s="9"/>
      <c r="E151" s="9"/>
      <c r="F151" s="10"/>
      <c r="G151" s="9"/>
      <c r="H151" s="9"/>
      <c r="I151" s="9"/>
      <c r="J151" s="9"/>
      <c r="K151" s="9"/>
      <c r="L151" s="9"/>
      <c r="O151" s="9"/>
      <c r="P151" s="9"/>
      <c r="Q151" s="9"/>
      <c r="R151" s="9"/>
      <c r="S151" s="9"/>
      <c r="T151" s="9"/>
    </row>
    <row r="152" spans="3:20">
      <c r="C152" s="9"/>
      <c r="D152" s="9"/>
      <c r="E152" s="9"/>
      <c r="F152" s="10"/>
      <c r="G152" s="9"/>
      <c r="H152" s="9"/>
      <c r="I152" s="9"/>
      <c r="J152" s="9"/>
      <c r="K152" s="9"/>
      <c r="L152" s="9"/>
      <c r="O152" s="9"/>
      <c r="P152" s="9"/>
      <c r="Q152" s="9"/>
      <c r="R152" s="9"/>
      <c r="S152" s="9"/>
      <c r="T152" s="9"/>
    </row>
    <row r="153" spans="3:20">
      <c r="C153" s="9"/>
      <c r="D153" s="9"/>
      <c r="E153" s="9"/>
      <c r="F153" s="10"/>
      <c r="G153" s="9"/>
      <c r="H153" s="9"/>
      <c r="I153" s="9"/>
      <c r="J153" s="9"/>
      <c r="K153" s="9"/>
      <c r="L153" s="9"/>
      <c r="O153" s="9"/>
      <c r="P153" s="9"/>
      <c r="Q153" s="9"/>
      <c r="R153" s="9"/>
      <c r="S153" s="9"/>
      <c r="T153" s="9"/>
    </row>
    <row r="154" spans="3:20">
      <c r="C154" s="9"/>
      <c r="D154" s="9"/>
      <c r="E154" s="9"/>
      <c r="F154" s="10"/>
      <c r="G154" s="9"/>
      <c r="H154" s="9"/>
      <c r="I154" s="9"/>
      <c r="J154" s="9"/>
      <c r="K154" s="9"/>
      <c r="L154" s="9"/>
      <c r="O154" s="9"/>
      <c r="P154" s="9"/>
      <c r="Q154" s="9"/>
      <c r="R154" s="9"/>
      <c r="S154" s="9"/>
      <c r="T154" s="9"/>
    </row>
    <row r="155" spans="3:20">
      <c r="C155" s="9"/>
      <c r="D155" s="9"/>
      <c r="E155" s="9"/>
      <c r="F155" s="10"/>
      <c r="G155" s="9"/>
      <c r="H155" s="9"/>
      <c r="I155" s="9"/>
      <c r="J155" s="9"/>
      <c r="K155" s="9"/>
      <c r="L155" s="9"/>
      <c r="O155" s="9"/>
      <c r="P155" s="9"/>
      <c r="Q155" s="9"/>
      <c r="R155" s="9"/>
      <c r="S155" s="9"/>
      <c r="T155" s="9"/>
    </row>
    <row r="156" spans="3:20">
      <c r="C156" s="9"/>
      <c r="D156" s="9"/>
      <c r="E156" s="9"/>
      <c r="F156" s="10"/>
      <c r="G156" s="9"/>
      <c r="H156" s="9"/>
      <c r="I156" s="9"/>
      <c r="J156" s="9"/>
      <c r="K156" s="9"/>
      <c r="L156" s="9"/>
      <c r="O156" s="9"/>
      <c r="P156" s="9"/>
      <c r="Q156" s="9"/>
      <c r="R156" s="9"/>
      <c r="S156" s="9"/>
      <c r="T156" s="9"/>
    </row>
    <row r="157" spans="3:20">
      <c r="C157" s="9"/>
      <c r="D157" s="9"/>
      <c r="E157" s="9"/>
      <c r="F157" s="10"/>
      <c r="G157" s="9"/>
      <c r="H157" s="9"/>
      <c r="I157" s="9"/>
      <c r="J157" s="9"/>
      <c r="K157" s="9"/>
      <c r="L157" s="9"/>
      <c r="O157" s="9"/>
      <c r="P157" s="9"/>
      <c r="Q157" s="9"/>
      <c r="R157" s="9"/>
      <c r="S157" s="9"/>
      <c r="T157" s="9"/>
    </row>
    <row r="158" spans="3:20">
      <c r="C158" s="9"/>
      <c r="D158" s="9"/>
      <c r="E158" s="9"/>
      <c r="F158" s="10"/>
      <c r="G158" s="9"/>
      <c r="H158" s="9"/>
      <c r="I158" s="9"/>
      <c r="J158" s="9"/>
      <c r="K158" s="9"/>
      <c r="L158" s="9"/>
      <c r="O158" s="9"/>
      <c r="P158" s="9"/>
      <c r="Q158" s="9"/>
      <c r="R158" s="9"/>
      <c r="S158" s="9"/>
      <c r="T158" s="9"/>
    </row>
    <row r="159" spans="3:20" ht="12" customHeight="1">
      <c r="C159" s="9"/>
      <c r="D159" s="9"/>
      <c r="E159" s="9"/>
      <c r="F159" s="10"/>
      <c r="G159" s="9"/>
      <c r="H159" s="9"/>
      <c r="I159" s="9"/>
      <c r="J159" s="9"/>
      <c r="K159" s="9"/>
      <c r="L159" s="9"/>
      <c r="O159" s="9"/>
      <c r="P159" s="9"/>
      <c r="Q159" s="9"/>
      <c r="R159" s="9"/>
      <c r="S159" s="9"/>
      <c r="T159" s="9"/>
    </row>
    <row r="160" spans="3:20">
      <c r="C160" s="9"/>
      <c r="D160" s="9"/>
      <c r="E160" s="9"/>
      <c r="F160" s="10"/>
      <c r="G160" s="9"/>
      <c r="H160" s="9"/>
      <c r="I160" s="9"/>
      <c r="J160" s="9"/>
      <c r="K160" s="9"/>
      <c r="L160" s="9"/>
      <c r="O160" s="9"/>
      <c r="P160" s="9"/>
      <c r="Q160" s="9"/>
      <c r="R160" s="9"/>
      <c r="S160" s="9"/>
      <c r="T160" s="9"/>
    </row>
    <row r="161" spans="3:20">
      <c r="C161" s="9"/>
      <c r="D161" s="9"/>
      <c r="E161" s="9"/>
      <c r="F161" s="10"/>
      <c r="G161" s="9"/>
      <c r="H161" s="9"/>
      <c r="I161" s="9"/>
      <c r="J161" s="9"/>
      <c r="K161" s="9"/>
      <c r="L161" s="9"/>
      <c r="O161" s="9"/>
      <c r="P161" s="9"/>
      <c r="Q161" s="9"/>
      <c r="R161" s="9"/>
      <c r="S161" s="9"/>
      <c r="T161" s="9"/>
    </row>
    <row r="162" spans="3:20">
      <c r="C162" s="9"/>
      <c r="D162" s="9"/>
      <c r="E162" s="9"/>
      <c r="F162" s="10"/>
      <c r="G162" s="9"/>
      <c r="H162" s="9"/>
      <c r="I162" s="9"/>
      <c r="J162" s="9"/>
      <c r="K162" s="9"/>
      <c r="L162" s="9"/>
      <c r="O162" s="9"/>
      <c r="P162" s="9"/>
      <c r="Q162" s="9"/>
      <c r="R162" s="9"/>
      <c r="S162" s="9"/>
      <c r="T162" s="9"/>
    </row>
    <row r="163" spans="3:20">
      <c r="C163" s="9"/>
      <c r="D163" s="9"/>
      <c r="E163" s="9"/>
      <c r="F163" s="10"/>
      <c r="G163" s="9"/>
      <c r="H163" s="9"/>
      <c r="I163" s="9"/>
      <c r="J163" s="9"/>
      <c r="K163" s="9"/>
      <c r="L163" s="9"/>
      <c r="O163" s="9"/>
      <c r="P163" s="9"/>
      <c r="Q163" s="9"/>
      <c r="R163" s="9"/>
      <c r="S163" s="9"/>
      <c r="T163" s="9"/>
    </row>
    <row r="164" spans="3:20">
      <c r="C164" s="9"/>
      <c r="D164" s="9"/>
      <c r="E164" s="9"/>
      <c r="F164" s="10"/>
      <c r="G164" s="9"/>
      <c r="H164" s="9"/>
      <c r="I164" s="9"/>
      <c r="J164" s="9"/>
      <c r="K164" s="9"/>
      <c r="L164" s="9"/>
      <c r="O164" s="9"/>
      <c r="P164" s="9"/>
      <c r="Q164" s="9"/>
      <c r="R164" s="9"/>
      <c r="S164" s="9"/>
      <c r="T164" s="9"/>
    </row>
    <row r="165" spans="3:20">
      <c r="C165" s="9"/>
      <c r="D165" s="9"/>
      <c r="E165" s="9"/>
      <c r="F165" s="10"/>
      <c r="G165" s="9"/>
      <c r="H165" s="9"/>
      <c r="I165" s="9"/>
      <c r="J165" s="9"/>
      <c r="K165" s="9"/>
      <c r="L165" s="9"/>
      <c r="O165" s="9"/>
      <c r="P165" s="9"/>
      <c r="Q165" s="9"/>
      <c r="R165" s="9"/>
      <c r="S165" s="9"/>
      <c r="T165" s="9"/>
    </row>
    <row r="166" spans="3:20">
      <c r="C166" s="9"/>
      <c r="D166" s="9"/>
      <c r="E166" s="9"/>
      <c r="F166" s="10"/>
      <c r="G166" s="9"/>
      <c r="H166" s="9"/>
      <c r="I166" s="9"/>
      <c r="J166" s="9"/>
      <c r="K166" s="9"/>
      <c r="L166" s="9"/>
      <c r="O166" s="9"/>
      <c r="P166" s="9"/>
      <c r="Q166" s="9"/>
      <c r="R166" s="9"/>
      <c r="S166" s="9"/>
      <c r="T166" s="9"/>
    </row>
    <row r="167" spans="3:20">
      <c r="C167" s="9"/>
      <c r="D167" s="9"/>
      <c r="E167" s="9"/>
      <c r="F167" s="10"/>
      <c r="G167" s="9"/>
      <c r="H167" s="9"/>
      <c r="I167" s="9"/>
      <c r="J167" s="9"/>
      <c r="K167" s="9"/>
      <c r="L167" s="9"/>
      <c r="O167" s="9"/>
      <c r="P167" s="9"/>
      <c r="Q167" s="9"/>
      <c r="R167" s="9"/>
      <c r="S167" s="9"/>
      <c r="T167" s="9"/>
    </row>
    <row r="168" spans="3:20">
      <c r="C168" s="9"/>
      <c r="D168" s="9"/>
      <c r="E168" s="137"/>
      <c r="F168" s="137"/>
      <c r="G168" s="9"/>
      <c r="H168" s="9"/>
      <c r="I168" s="9"/>
      <c r="J168" s="9"/>
      <c r="K168" s="9"/>
      <c r="L168" s="9"/>
      <c r="M168" s="9"/>
      <c r="O168" s="9"/>
      <c r="P168" s="9"/>
      <c r="Q168" s="9"/>
      <c r="R168" s="9"/>
      <c r="S168" s="9"/>
      <c r="T168" s="9"/>
    </row>
    <row r="169" spans="3:20">
      <c r="C169" s="9"/>
      <c r="D169" s="9"/>
      <c r="E169" s="10"/>
      <c r="F169" s="10"/>
      <c r="G169" s="10"/>
      <c r="H169" s="10"/>
      <c r="I169" s="10"/>
      <c r="J169" s="10"/>
      <c r="K169" s="10"/>
      <c r="L169" s="10"/>
      <c r="M169" s="10"/>
      <c r="O169" s="9"/>
      <c r="P169" s="9"/>
      <c r="Q169" s="9"/>
      <c r="R169" s="9"/>
      <c r="S169" s="9"/>
      <c r="T169" s="9"/>
    </row>
    <row r="170" spans="3:20">
      <c r="C170" s="9"/>
      <c r="D170" s="9"/>
      <c r="E170" s="9"/>
      <c r="F170" s="10"/>
      <c r="G170" s="9"/>
      <c r="H170" s="9"/>
      <c r="I170" s="9"/>
      <c r="J170" s="9"/>
      <c r="K170" s="9"/>
      <c r="L170" s="9"/>
      <c r="O170" s="9"/>
      <c r="P170" s="9"/>
      <c r="Q170" s="9"/>
      <c r="R170" s="9"/>
      <c r="S170" s="9"/>
      <c r="T170" s="9"/>
    </row>
    <row r="171" spans="3:20">
      <c r="C171" s="9"/>
      <c r="D171" s="9"/>
      <c r="E171" s="9"/>
      <c r="F171" s="10"/>
      <c r="G171" s="9"/>
      <c r="H171" s="9"/>
      <c r="I171" s="9"/>
      <c r="J171" s="9"/>
      <c r="K171" s="9"/>
      <c r="L171" s="9"/>
      <c r="O171" s="9"/>
      <c r="P171" s="9"/>
      <c r="Q171" s="9"/>
      <c r="R171" s="9"/>
      <c r="S171" s="9"/>
      <c r="T171" s="9"/>
    </row>
    <row r="172" spans="3:20">
      <c r="C172" s="9"/>
      <c r="D172" s="9"/>
      <c r="E172" s="9"/>
      <c r="F172" s="10"/>
      <c r="G172" s="9"/>
      <c r="H172" s="9"/>
      <c r="I172" s="9"/>
      <c r="J172" s="9"/>
      <c r="K172" s="9"/>
      <c r="L172" s="9"/>
      <c r="O172" s="9"/>
      <c r="P172" s="9"/>
      <c r="Q172" s="9"/>
      <c r="R172" s="9"/>
      <c r="S172" s="9"/>
      <c r="T172" s="9"/>
    </row>
    <row r="173" spans="3:20">
      <c r="C173" s="9"/>
      <c r="D173" s="9"/>
      <c r="E173" s="9"/>
      <c r="F173" s="10"/>
      <c r="G173" s="9"/>
      <c r="H173" s="9"/>
      <c r="I173" s="9"/>
      <c r="J173" s="9"/>
      <c r="K173" s="9"/>
      <c r="L173" s="9"/>
      <c r="O173" s="9"/>
      <c r="P173" s="9"/>
      <c r="Q173" s="9"/>
      <c r="R173" s="9"/>
      <c r="S173" s="9"/>
      <c r="T173" s="9"/>
    </row>
    <row r="174" spans="3:20">
      <c r="C174" s="9"/>
      <c r="D174" s="9"/>
      <c r="E174" s="9"/>
      <c r="F174" s="10"/>
      <c r="G174" s="9"/>
      <c r="H174" s="9"/>
      <c r="I174" s="9"/>
      <c r="J174" s="9"/>
      <c r="K174" s="9"/>
      <c r="L174" s="9"/>
      <c r="O174" s="9"/>
      <c r="P174" s="9"/>
      <c r="Q174" s="9"/>
      <c r="R174" s="9"/>
      <c r="S174" s="9"/>
      <c r="T174" s="9"/>
    </row>
    <row r="175" spans="3:20">
      <c r="C175" s="9"/>
      <c r="D175" s="9"/>
      <c r="E175" s="9"/>
      <c r="F175" s="10"/>
      <c r="G175" s="9"/>
      <c r="H175" s="9"/>
      <c r="I175" s="9"/>
      <c r="J175" s="9"/>
      <c r="K175" s="9"/>
      <c r="L175" s="9"/>
      <c r="O175" s="9"/>
      <c r="P175" s="9"/>
      <c r="Q175" s="9"/>
      <c r="R175" s="9"/>
      <c r="S175" s="9"/>
      <c r="T175" s="9"/>
    </row>
    <row r="176" spans="3:20">
      <c r="C176" s="9"/>
      <c r="D176" s="9"/>
      <c r="E176" s="9"/>
      <c r="F176" s="10"/>
      <c r="G176" s="9"/>
      <c r="H176" s="9"/>
      <c r="I176" s="9"/>
      <c r="J176" s="9"/>
      <c r="K176" s="9"/>
      <c r="L176" s="9"/>
      <c r="O176" s="9"/>
      <c r="P176" s="9"/>
      <c r="Q176" s="9"/>
      <c r="R176" s="9"/>
      <c r="S176" s="9"/>
      <c r="T176" s="9"/>
    </row>
    <row r="177" spans="3:20">
      <c r="C177" s="9"/>
      <c r="D177" s="9"/>
      <c r="E177" s="9"/>
      <c r="F177" s="10"/>
      <c r="G177" s="9"/>
      <c r="H177" s="9"/>
      <c r="I177" s="9"/>
      <c r="J177" s="9"/>
      <c r="K177" s="9"/>
      <c r="L177" s="9"/>
      <c r="O177" s="9"/>
      <c r="P177" s="9"/>
      <c r="Q177" s="9"/>
      <c r="R177" s="9"/>
      <c r="S177" s="9"/>
      <c r="T177" s="9"/>
    </row>
    <row r="178" spans="3:20">
      <c r="C178" s="9"/>
      <c r="D178" s="9"/>
      <c r="E178" s="9"/>
      <c r="F178" s="10"/>
      <c r="G178" s="9"/>
      <c r="H178" s="9"/>
      <c r="I178" s="9"/>
      <c r="J178" s="9"/>
      <c r="K178" s="9"/>
      <c r="L178" s="9"/>
      <c r="O178" s="9"/>
      <c r="P178" s="9"/>
      <c r="Q178" s="9"/>
      <c r="R178" s="9"/>
      <c r="S178" s="9"/>
      <c r="T178" s="9"/>
    </row>
    <row r="179" spans="3:20">
      <c r="C179" s="9"/>
      <c r="D179" s="9"/>
      <c r="E179" s="9"/>
      <c r="F179" s="10"/>
      <c r="G179" s="9"/>
      <c r="H179" s="9"/>
      <c r="I179" s="9"/>
      <c r="J179" s="9"/>
      <c r="K179" s="9"/>
      <c r="L179" s="9"/>
      <c r="O179" s="9"/>
      <c r="P179" s="9"/>
      <c r="Q179" s="9"/>
      <c r="R179" s="9"/>
      <c r="S179" s="9"/>
      <c r="T179" s="9"/>
    </row>
    <row r="180" spans="3:20">
      <c r="C180" s="9"/>
      <c r="D180" s="9"/>
      <c r="E180" s="9"/>
      <c r="F180" s="10"/>
      <c r="G180" s="9"/>
      <c r="H180" s="9"/>
      <c r="I180" s="9"/>
      <c r="J180" s="9"/>
      <c r="K180" s="9"/>
      <c r="L180" s="9"/>
      <c r="O180" s="9"/>
      <c r="P180" s="9"/>
      <c r="Q180" s="9"/>
      <c r="R180" s="9"/>
      <c r="S180" s="9"/>
      <c r="T180" s="9"/>
    </row>
    <row r="181" spans="3:20">
      <c r="C181" s="9"/>
      <c r="D181" s="9"/>
      <c r="E181" s="9"/>
      <c r="F181" s="10"/>
      <c r="G181" s="9"/>
      <c r="H181" s="9"/>
      <c r="I181" s="9"/>
      <c r="J181" s="9"/>
      <c r="K181" s="9"/>
      <c r="L181" s="9"/>
      <c r="O181" s="9"/>
      <c r="P181" s="9"/>
      <c r="Q181" s="9"/>
      <c r="R181" s="9"/>
      <c r="S181" s="9"/>
      <c r="T181" s="9"/>
    </row>
    <row r="182" spans="3:20">
      <c r="C182" s="9"/>
      <c r="D182" s="9"/>
      <c r="E182" s="9"/>
      <c r="F182" s="10"/>
      <c r="G182" s="9"/>
      <c r="H182" s="9"/>
      <c r="I182" s="9"/>
      <c r="J182" s="9"/>
      <c r="K182" s="9"/>
      <c r="L182" s="9"/>
      <c r="O182" s="9"/>
      <c r="P182" s="9"/>
      <c r="Q182" s="9"/>
      <c r="R182" s="9"/>
      <c r="S182" s="9"/>
      <c r="T182" s="9"/>
    </row>
    <row r="183" spans="3:20">
      <c r="C183" s="9"/>
      <c r="D183" s="9"/>
      <c r="E183" s="9"/>
      <c r="F183" s="10"/>
      <c r="G183" s="9"/>
      <c r="H183" s="9"/>
      <c r="I183" s="9"/>
      <c r="J183" s="9"/>
      <c r="K183" s="9"/>
      <c r="L183" s="9"/>
      <c r="O183" s="9"/>
      <c r="P183" s="9"/>
      <c r="Q183" s="9"/>
      <c r="R183" s="9"/>
      <c r="S183" s="9"/>
      <c r="T183" s="9"/>
    </row>
    <row r="184" spans="3:20">
      <c r="C184" s="9"/>
      <c r="D184" s="9"/>
      <c r="E184" s="9"/>
      <c r="F184" s="10"/>
      <c r="G184" s="9"/>
      <c r="H184" s="9"/>
      <c r="I184" s="9"/>
      <c r="J184" s="9"/>
      <c r="K184" s="9"/>
      <c r="L184" s="9"/>
      <c r="O184" s="9"/>
      <c r="P184" s="9"/>
      <c r="Q184" s="9"/>
      <c r="R184" s="9"/>
      <c r="S184" s="9"/>
      <c r="T184" s="9"/>
    </row>
    <row r="185" spans="3:20">
      <c r="C185" s="9"/>
      <c r="D185" s="9"/>
      <c r="E185" s="9"/>
      <c r="F185" s="10"/>
      <c r="G185" s="9"/>
      <c r="H185" s="9"/>
      <c r="I185" s="9"/>
      <c r="J185" s="9"/>
      <c r="K185" s="9"/>
      <c r="L185" s="9"/>
      <c r="O185" s="9"/>
      <c r="P185" s="9"/>
      <c r="Q185" s="9"/>
      <c r="R185" s="9"/>
      <c r="S185" s="9"/>
      <c r="T185" s="9"/>
    </row>
    <row r="186" spans="3:20">
      <c r="C186" s="9"/>
      <c r="D186" s="9"/>
      <c r="E186" s="9"/>
      <c r="F186" s="10"/>
      <c r="G186" s="9"/>
      <c r="H186" s="9"/>
      <c r="I186" s="9"/>
      <c r="J186" s="9"/>
      <c r="K186" s="9"/>
      <c r="L186" s="9"/>
      <c r="O186" s="9"/>
      <c r="P186" s="9"/>
      <c r="Q186" s="9"/>
      <c r="R186" s="9"/>
      <c r="S186" s="9"/>
      <c r="T186" s="9"/>
    </row>
    <row r="187" spans="3:20">
      <c r="C187" s="9"/>
      <c r="D187" s="9"/>
      <c r="E187" s="9"/>
      <c r="F187" s="10"/>
      <c r="G187" s="9"/>
      <c r="H187" s="9"/>
      <c r="I187" s="9"/>
      <c r="J187" s="9"/>
      <c r="K187" s="9"/>
      <c r="L187" s="9"/>
      <c r="O187" s="9"/>
      <c r="P187" s="9"/>
      <c r="Q187" s="9"/>
      <c r="R187" s="9"/>
      <c r="S187" s="9"/>
      <c r="T187" s="9"/>
    </row>
    <row r="188" spans="3:20">
      <c r="C188" s="9"/>
      <c r="D188" s="9"/>
      <c r="E188" s="9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spans="3:20">
      <c r="C189" s="9"/>
      <c r="D189" s="9"/>
      <c r="E189" s="9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spans="3:20">
      <c r="C190" s="9"/>
      <c r="D190" s="9"/>
      <c r="E190" s="9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spans="3:20">
      <c r="C191" s="9"/>
      <c r="D191" s="9"/>
      <c r="E191" s="9"/>
      <c r="F191" s="139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9"/>
      <c r="S191" s="9"/>
      <c r="T191" s="9"/>
    </row>
    <row r="192" spans="3:20" ht="54" customHeight="1">
      <c r="C192" s="9"/>
      <c r="D192" s="9"/>
      <c r="E192" s="9"/>
      <c r="F192" s="139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9"/>
      <c r="S192" s="9"/>
      <c r="T192" s="9"/>
    </row>
    <row r="193" spans="3:20">
      <c r="C193" s="9"/>
      <c r="D193" s="9"/>
      <c r="E193" s="9"/>
      <c r="F193" s="10"/>
      <c r="G193" s="9"/>
      <c r="H193" s="9"/>
      <c r="I193" s="9"/>
      <c r="J193" s="9"/>
      <c r="K193" s="9"/>
      <c r="L193" s="9"/>
      <c r="O193" s="9"/>
      <c r="P193" s="9"/>
      <c r="Q193" s="9"/>
      <c r="R193" s="9"/>
      <c r="S193" s="9"/>
      <c r="T193" s="9"/>
    </row>
    <row r="194" spans="3:20">
      <c r="C194" s="9"/>
      <c r="D194" s="9"/>
      <c r="E194" s="9"/>
      <c r="F194" s="10"/>
      <c r="G194" s="9"/>
      <c r="H194" s="9"/>
      <c r="I194" s="9"/>
      <c r="J194" s="9"/>
      <c r="K194" s="9"/>
      <c r="L194" s="9"/>
      <c r="O194" s="9"/>
      <c r="P194" s="9"/>
      <c r="Q194" s="9"/>
      <c r="R194" s="9"/>
      <c r="S194" s="9"/>
      <c r="T194" s="9"/>
    </row>
    <row r="195" spans="3:20">
      <c r="C195" s="9"/>
      <c r="D195" s="9"/>
      <c r="E195" s="9"/>
      <c r="F195" s="10"/>
      <c r="G195" s="9"/>
      <c r="H195" s="9"/>
      <c r="I195" s="9"/>
      <c r="J195" s="9"/>
      <c r="K195" s="9"/>
      <c r="L195" s="9"/>
      <c r="O195" s="9"/>
      <c r="P195" s="9"/>
      <c r="Q195" s="9"/>
      <c r="R195" s="9"/>
      <c r="S195" s="9"/>
      <c r="T195" s="9"/>
    </row>
    <row r="196" spans="3:20">
      <c r="C196" s="9"/>
      <c r="D196" s="9"/>
      <c r="E196" s="9"/>
      <c r="F196" s="10"/>
      <c r="G196" s="9"/>
      <c r="H196" s="9"/>
      <c r="I196" s="9"/>
      <c r="J196" s="9"/>
      <c r="K196" s="9"/>
      <c r="L196" s="9"/>
      <c r="O196" s="9"/>
      <c r="P196" s="9"/>
      <c r="Q196" s="9"/>
      <c r="R196" s="9"/>
      <c r="S196" s="9"/>
      <c r="T196" s="9"/>
    </row>
    <row r="197" spans="3:20">
      <c r="C197" s="9"/>
      <c r="D197" s="9"/>
      <c r="E197" s="9"/>
      <c r="F197" s="10"/>
      <c r="G197" s="9"/>
      <c r="H197" s="9"/>
      <c r="I197" s="9"/>
      <c r="J197" s="9"/>
      <c r="K197" s="9"/>
      <c r="L197" s="9"/>
      <c r="O197" s="9"/>
      <c r="P197" s="9"/>
      <c r="Q197" s="9"/>
      <c r="R197" s="9"/>
      <c r="S197" s="9"/>
      <c r="T197" s="9"/>
    </row>
    <row r="198" spans="3:20">
      <c r="C198" s="9"/>
      <c r="D198" s="9"/>
      <c r="E198" s="9"/>
      <c r="F198" s="10"/>
      <c r="G198" s="9"/>
      <c r="H198" s="9"/>
      <c r="I198" s="9"/>
      <c r="J198" s="9"/>
      <c r="K198" s="9"/>
      <c r="L198" s="9"/>
      <c r="O198" s="9"/>
      <c r="P198" s="9"/>
      <c r="Q198" s="9"/>
      <c r="R198" s="9"/>
      <c r="S198" s="9"/>
      <c r="T198" s="9"/>
    </row>
    <row r="199" spans="3:20">
      <c r="C199" s="9"/>
      <c r="D199" s="9"/>
      <c r="E199" s="9"/>
      <c r="F199" s="10"/>
      <c r="G199" s="9"/>
      <c r="H199" s="9"/>
      <c r="I199" s="9"/>
      <c r="J199" s="9"/>
      <c r="K199" s="9"/>
      <c r="L199" s="9"/>
      <c r="O199" s="9"/>
      <c r="P199" s="9"/>
      <c r="Q199" s="9"/>
      <c r="R199" s="9"/>
      <c r="S199" s="9"/>
      <c r="T199" s="9"/>
    </row>
    <row r="200" spans="3:20">
      <c r="C200" s="9"/>
      <c r="D200" s="9"/>
      <c r="E200" s="9"/>
      <c r="F200" s="10"/>
      <c r="G200" s="9"/>
      <c r="H200" s="9"/>
      <c r="I200" s="9"/>
      <c r="J200" s="9"/>
      <c r="K200" s="9"/>
      <c r="L200" s="9"/>
      <c r="O200" s="9"/>
      <c r="P200" s="9"/>
      <c r="Q200" s="9"/>
      <c r="R200" s="9"/>
      <c r="S200" s="9"/>
      <c r="T200" s="9"/>
    </row>
    <row r="201" spans="3:20">
      <c r="C201" s="9"/>
      <c r="D201" s="9"/>
      <c r="E201" s="9"/>
      <c r="F201" s="10"/>
      <c r="G201" s="9"/>
      <c r="H201" s="9"/>
      <c r="I201" s="9"/>
      <c r="J201" s="9"/>
      <c r="K201" s="9"/>
      <c r="L201" s="9"/>
      <c r="O201" s="9"/>
      <c r="P201" s="9"/>
      <c r="Q201" s="9"/>
      <c r="R201" s="9"/>
      <c r="S201" s="9"/>
      <c r="T201" s="9"/>
    </row>
    <row r="202" spans="3:20">
      <c r="C202" s="9"/>
      <c r="D202" s="9"/>
      <c r="E202" s="9"/>
      <c r="F202" s="10"/>
      <c r="G202" s="9"/>
      <c r="H202" s="9"/>
      <c r="I202" s="9"/>
      <c r="J202" s="9"/>
      <c r="K202" s="9"/>
      <c r="L202" s="9"/>
      <c r="O202" s="9"/>
      <c r="P202" s="9"/>
      <c r="Q202" s="9"/>
      <c r="R202" s="9"/>
      <c r="S202" s="9"/>
      <c r="T202" s="9"/>
    </row>
    <row r="203" spans="3:20">
      <c r="C203" s="9"/>
      <c r="D203" s="9"/>
      <c r="E203" s="9"/>
      <c r="F203" s="10"/>
      <c r="G203" s="9"/>
      <c r="H203" s="9"/>
      <c r="I203" s="9"/>
      <c r="J203" s="9"/>
      <c r="K203" s="9"/>
      <c r="L203" s="9"/>
      <c r="O203" s="9"/>
      <c r="P203" s="9"/>
      <c r="Q203" s="9"/>
      <c r="R203" s="9"/>
      <c r="S203" s="9"/>
      <c r="T203" s="9"/>
    </row>
    <row r="204" spans="3:20">
      <c r="C204" s="9"/>
      <c r="D204" s="9"/>
      <c r="E204" s="9"/>
      <c r="F204" s="10"/>
      <c r="G204" s="9"/>
      <c r="H204" s="9"/>
      <c r="I204" s="9"/>
      <c r="J204" s="9"/>
      <c r="K204" s="9"/>
      <c r="L204" s="9"/>
      <c r="O204" s="9"/>
      <c r="P204" s="9"/>
      <c r="Q204" s="9"/>
      <c r="R204" s="9"/>
      <c r="S204" s="9"/>
      <c r="T204" s="9"/>
    </row>
    <row r="205" spans="3:20">
      <c r="C205" s="9"/>
      <c r="D205" s="9"/>
      <c r="E205" s="9"/>
      <c r="F205" s="10"/>
      <c r="G205" s="9"/>
      <c r="H205" s="9"/>
      <c r="I205" s="9"/>
      <c r="J205" s="9"/>
      <c r="K205" s="9"/>
      <c r="L205" s="9"/>
      <c r="O205" s="9"/>
      <c r="P205" s="9"/>
      <c r="Q205" s="9"/>
      <c r="R205" s="9"/>
      <c r="S205" s="9"/>
      <c r="T205" s="9"/>
    </row>
    <row r="206" spans="3:20">
      <c r="C206" s="9"/>
      <c r="D206" s="9"/>
      <c r="E206" s="9"/>
      <c r="F206" s="10"/>
      <c r="G206" s="9"/>
      <c r="H206" s="9"/>
      <c r="I206" s="9"/>
      <c r="J206" s="9"/>
      <c r="K206" s="9"/>
      <c r="L206" s="9"/>
      <c r="O206" s="9"/>
      <c r="P206" s="9"/>
      <c r="Q206" s="9"/>
      <c r="R206" s="9"/>
      <c r="S206" s="9"/>
      <c r="T206" s="9"/>
    </row>
    <row r="207" spans="3:20">
      <c r="C207" s="9"/>
      <c r="D207" s="9"/>
      <c r="E207" s="9"/>
      <c r="F207" s="10"/>
      <c r="G207" s="9"/>
      <c r="H207" s="9"/>
      <c r="I207" s="9"/>
      <c r="J207" s="9"/>
      <c r="K207" s="9"/>
      <c r="L207" s="9"/>
      <c r="O207" s="9"/>
      <c r="P207" s="9"/>
      <c r="Q207" s="9"/>
      <c r="R207" s="9"/>
      <c r="S207" s="9"/>
      <c r="T207" s="9"/>
    </row>
    <row r="208" spans="3:20">
      <c r="C208" s="9"/>
      <c r="D208" s="9"/>
      <c r="E208" s="9"/>
      <c r="F208" s="10"/>
      <c r="G208" s="9"/>
      <c r="H208" s="9"/>
      <c r="I208" s="9"/>
      <c r="J208" s="9"/>
      <c r="K208" s="9"/>
      <c r="L208" s="9"/>
      <c r="O208" s="9"/>
      <c r="P208" s="9"/>
      <c r="Q208" s="9"/>
      <c r="R208" s="9"/>
      <c r="S208" s="9"/>
      <c r="T208" s="9"/>
    </row>
    <row r="209" spans="3:20">
      <c r="C209" s="9"/>
      <c r="D209" s="9"/>
      <c r="E209" s="9"/>
      <c r="F209" s="10"/>
      <c r="G209" s="9"/>
      <c r="H209" s="9"/>
      <c r="I209" s="9"/>
      <c r="J209" s="9"/>
      <c r="K209" s="9"/>
      <c r="L209" s="9"/>
      <c r="O209" s="9"/>
      <c r="P209" s="9"/>
      <c r="Q209" s="9"/>
      <c r="R209" s="9"/>
      <c r="S209" s="9"/>
      <c r="T209" s="9"/>
    </row>
    <row r="210" spans="3:20">
      <c r="C210" s="9"/>
      <c r="D210" s="9"/>
      <c r="E210" s="9"/>
      <c r="F210" s="10"/>
      <c r="G210" s="9"/>
      <c r="H210" s="9"/>
      <c r="I210" s="9"/>
      <c r="J210" s="9"/>
      <c r="K210" s="9"/>
      <c r="L210" s="9"/>
      <c r="O210" s="9"/>
      <c r="P210" s="9"/>
      <c r="Q210" s="9"/>
      <c r="R210" s="9"/>
      <c r="S210" s="9"/>
      <c r="T210" s="9"/>
    </row>
    <row r="211" spans="3:20">
      <c r="C211" s="9"/>
      <c r="D211" s="9"/>
      <c r="E211" s="9"/>
      <c r="F211" s="10"/>
      <c r="G211" s="9"/>
      <c r="H211" s="9"/>
      <c r="I211" s="9"/>
      <c r="J211" s="9"/>
      <c r="K211" s="9"/>
      <c r="L211" s="9"/>
      <c r="O211" s="9"/>
      <c r="P211" s="9"/>
      <c r="Q211" s="9"/>
      <c r="R211" s="9"/>
      <c r="S211" s="9"/>
      <c r="T211" s="9"/>
    </row>
    <row r="212" spans="3:20">
      <c r="C212" s="9"/>
      <c r="D212" s="9"/>
      <c r="E212" s="9"/>
      <c r="F212" s="10"/>
      <c r="G212" s="9"/>
      <c r="H212" s="9"/>
      <c r="I212" s="9"/>
      <c r="J212" s="9"/>
      <c r="K212" s="9"/>
      <c r="L212" s="9"/>
      <c r="O212" s="9"/>
      <c r="P212" s="9"/>
      <c r="Q212" s="9"/>
      <c r="R212" s="9"/>
      <c r="S212" s="9"/>
      <c r="T212" s="9"/>
    </row>
    <row r="213" spans="3:20">
      <c r="C213" s="9"/>
      <c r="D213" s="9"/>
      <c r="E213" s="9"/>
      <c r="F213" s="10"/>
      <c r="G213" s="9"/>
      <c r="H213" s="9"/>
      <c r="I213" s="9"/>
      <c r="J213" s="9"/>
      <c r="K213" s="9"/>
      <c r="L213" s="9"/>
      <c r="O213" s="9"/>
      <c r="P213" s="9"/>
      <c r="Q213" s="9"/>
      <c r="R213" s="9"/>
      <c r="S213" s="9"/>
      <c r="T213" s="9"/>
    </row>
    <row r="214" spans="3:20">
      <c r="C214" s="9"/>
      <c r="D214" s="9"/>
      <c r="E214" s="9"/>
      <c r="F214" s="10"/>
      <c r="G214" s="9"/>
      <c r="H214" s="9"/>
      <c r="I214" s="9"/>
      <c r="J214" s="9"/>
      <c r="K214" s="9"/>
      <c r="L214" s="9"/>
      <c r="O214" s="9"/>
      <c r="P214" s="9"/>
      <c r="Q214" s="9"/>
      <c r="R214" s="9"/>
      <c r="S214" s="9"/>
      <c r="T214" s="9"/>
    </row>
    <row r="215" spans="3:20">
      <c r="C215" s="9"/>
      <c r="D215" s="9"/>
      <c r="E215" s="9"/>
      <c r="F215" s="10"/>
      <c r="G215" s="9"/>
      <c r="H215" s="9"/>
      <c r="I215" s="9"/>
      <c r="J215" s="9"/>
      <c r="K215" s="9"/>
      <c r="L215" s="9"/>
      <c r="O215" s="9"/>
      <c r="P215" s="9"/>
      <c r="Q215" s="9"/>
      <c r="R215" s="9"/>
      <c r="S215" s="9"/>
      <c r="T215" s="9"/>
    </row>
    <row r="216" spans="3:20">
      <c r="C216" s="9"/>
      <c r="D216" s="9"/>
      <c r="E216" s="9"/>
      <c r="F216" s="10"/>
      <c r="G216" s="9"/>
      <c r="H216" s="9"/>
      <c r="I216" s="9"/>
      <c r="J216" s="9"/>
      <c r="K216" s="9"/>
      <c r="L216" s="9"/>
      <c r="O216" s="9"/>
      <c r="P216" s="9"/>
      <c r="Q216" s="9"/>
      <c r="R216" s="9"/>
      <c r="S216" s="9"/>
      <c r="T216" s="9"/>
    </row>
    <row r="217" spans="3:20">
      <c r="C217" s="9"/>
      <c r="D217" s="9"/>
      <c r="E217" s="9"/>
      <c r="F217" s="10"/>
      <c r="G217" s="9"/>
      <c r="H217" s="9"/>
      <c r="I217" s="9"/>
      <c r="J217" s="9"/>
      <c r="K217" s="9"/>
      <c r="L217" s="9"/>
      <c r="O217" s="9"/>
      <c r="P217" s="9"/>
      <c r="Q217" s="9"/>
      <c r="R217" s="9"/>
      <c r="S217" s="9"/>
      <c r="T217" s="9"/>
    </row>
    <row r="218" spans="3:20">
      <c r="C218" s="9"/>
      <c r="D218" s="9"/>
      <c r="E218" s="9"/>
      <c r="F218" s="10"/>
      <c r="G218" s="9"/>
      <c r="H218" s="9"/>
      <c r="I218" s="9"/>
      <c r="J218" s="9"/>
      <c r="K218" s="9"/>
      <c r="L218" s="9"/>
      <c r="O218" s="9"/>
      <c r="P218" s="9"/>
      <c r="Q218" s="9"/>
      <c r="R218" s="9"/>
      <c r="S218" s="9"/>
      <c r="T218" s="9"/>
    </row>
    <row r="219" spans="3:20">
      <c r="C219" s="9"/>
      <c r="D219" s="9"/>
      <c r="E219" s="9"/>
      <c r="F219" s="10"/>
      <c r="G219" s="9"/>
      <c r="H219" s="9"/>
      <c r="I219" s="9"/>
      <c r="J219" s="9"/>
      <c r="K219" s="9"/>
      <c r="L219" s="9"/>
      <c r="O219" s="9"/>
      <c r="P219" s="9"/>
      <c r="Q219" s="9"/>
      <c r="R219" s="9"/>
      <c r="S219" s="9"/>
      <c r="T219" s="9"/>
    </row>
    <row r="220" spans="3:20">
      <c r="C220" s="9"/>
      <c r="D220" s="9"/>
      <c r="E220" s="9"/>
      <c r="F220" s="10"/>
      <c r="G220" s="9"/>
      <c r="H220" s="9"/>
      <c r="I220" s="9"/>
      <c r="J220" s="9"/>
      <c r="K220" s="9"/>
      <c r="L220" s="9"/>
      <c r="O220" s="9"/>
      <c r="P220" s="9"/>
      <c r="Q220" s="9"/>
      <c r="R220" s="9"/>
      <c r="S220" s="9"/>
      <c r="T220" s="9"/>
    </row>
    <row r="221" spans="3:20">
      <c r="C221" s="9"/>
      <c r="D221" s="9"/>
      <c r="E221" s="9"/>
      <c r="F221" s="10"/>
      <c r="G221" s="9"/>
      <c r="H221" s="9"/>
      <c r="I221" s="9"/>
      <c r="J221" s="9"/>
      <c r="K221" s="9"/>
      <c r="L221" s="9"/>
      <c r="O221" s="9"/>
      <c r="P221" s="9"/>
      <c r="Q221" s="9"/>
      <c r="R221" s="9"/>
      <c r="S221" s="9"/>
      <c r="T221" s="9"/>
    </row>
    <row r="222" spans="3:20">
      <c r="C222" s="9"/>
      <c r="D222" s="9"/>
      <c r="E222" s="9"/>
      <c r="F222" s="10"/>
      <c r="G222" s="9"/>
      <c r="H222" s="9"/>
      <c r="I222" s="9"/>
      <c r="J222" s="9"/>
      <c r="K222" s="9"/>
      <c r="L222" s="9"/>
      <c r="O222" s="9"/>
      <c r="P222" s="9"/>
      <c r="Q222" s="9"/>
      <c r="R222" s="9"/>
      <c r="S222" s="9"/>
      <c r="T222" s="9"/>
    </row>
    <row r="223" spans="3:20">
      <c r="C223" s="9"/>
      <c r="D223" s="9"/>
      <c r="E223" s="9"/>
      <c r="F223" s="10"/>
      <c r="G223" s="9"/>
      <c r="H223" s="9"/>
      <c r="I223" s="9"/>
      <c r="J223" s="9"/>
      <c r="K223" s="9"/>
      <c r="L223" s="9"/>
      <c r="O223" s="9"/>
      <c r="P223" s="9"/>
      <c r="Q223" s="9"/>
      <c r="R223" s="9"/>
      <c r="S223" s="9"/>
      <c r="T223" s="9"/>
    </row>
    <row r="224" spans="3:20">
      <c r="C224" s="9"/>
      <c r="D224" s="9"/>
      <c r="E224" s="9"/>
      <c r="F224" s="10"/>
      <c r="G224" s="9"/>
      <c r="H224" s="9"/>
      <c r="I224" s="9"/>
      <c r="J224" s="9"/>
      <c r="K224" s="9"/>
      <c r="L224" s="9"/>
      <c r="O224" s="9"/>
      <c r="P224" s="9"/>
      <c r="Q224" s="9"/>
      <c r="R224" s="9"/>
      <c r="S224" s="9"/>
      <c r="T224" s="9"/>
    </row>
    <row r="225" spans="3:20">
      <c r="C225" s="9"/>
      <c r="D225" s="9"/>
      <c r="E225" s="9"/>
      <c r="F225" s="10"/>
      <c r="G225" s="9"/>
      <c r="H225" s="9"/>
      <c r="I225" s="9"/>
      <c r="J225" s="9"/>
      <c r="K225" s="9"/>
      <c r="L225" s="9"/>
      <c r="O225" s="9"/>
      <c r="P225" s="9"/>
      <c r="Q225" s="9"/>
      <c r="R225" s="9"/>
      <c r="S225" s="9"/>
      <c r="T225" s="9"/>
    </row>
    <row r="226" spans="3:20">
      <c r="C226" s="9"/>
      <c r="D226" s="9"/>
      <c r="E226" s="9"/>
      <c r="F226" s="10"/>
      <c r="G226" s="9"/>
      <c r="H226" s="9"/>
      <c r="I226" s="9"/>
      <c r="J226" s="9"/>
      <c r="K226" s="9"/>
      <c r="L226" s="9"/>
      <c r="O226" s="9"/>
      <c r="P226" s="9"/>
      <c r="Q226" s="9"/>
      <c r="R226" s="9"/>
      <c r="S226" s="9"/>
      <c r="T226" s="9"/>
    </row>
    <row r="227" spans="3:20">
      <c r="C227" s="9"/>
      <c r="D227" s="9"/>
      <c r="E227" s="9"/>
      <c r="F227" s="10"/>
      <c r="G227" s="9"/>
      <c r="H227" s="9"/>
      <c r="I227" s="9"/>
      <c r="J227" s="9"/>
      <c r="K227" s="9"/>
      <c r="L227" s="9"/>
      <c r="O227" s="9"/>
      <c r="P227" s="9"/>
      <c r="Q227" s="9"/>
      <c r="R227" s="9"/>
      <c r="S227" s="9"/>
      <c r="T227" s="9"/>
    </row>
    <row r="228" spans="3:20">
      <c r="C228" s="9"/>
      <c r="D228" s="9"/>
      <c r="E228" s="9"/>
      <c r="F228" s="10"/>
      <c r="G228" s="9"/>
      <c r="H228" s="9"/>
      <c r="I228" s="9"/>
      <c r="J228" s="9"/>
      <c r="K228" s="9"/>
      <c r="L228" s="9"/>
      <c r="O228" s="9"/>
      <c r="P228" s="9"/>
      <c r="Q228" s="9"/>
      <c r="R228" s="9"/>
      <c r="S228" s="9"/>
      <c r="T228" s="9"/>
    </row>
    <row r="229" spans="3:20">
      <c r="C229" s="9"/>
      <c r="D229" s="9"/>
      <c r="E229" s="9"/>
      <c r="F229" s="10"/>
      <c r="G229" s="9"/>
      <c r="H229" s="9"/>
      <c r="I229" s="9"/>
      <c r="J229" s="9"/>
      <c r="K229" s="9"/>
      <c r="L229" s="9"/>
      <c r="O229" s="9"/>
      <c r="P229" s="9"/>
      <c r="Q229" s="9"/>
      <c r="R229" s="9"/>
      <c r="S229" s="9"/>
      <c r="T229" s="9"/>
    </row>
    <row r="230" spans="3:20">
      <c r="C230" s="9"/>
      <c r="D230" s="9"/>
      <c r="E230" s="9"/>
      <c r="F230" s="10"/>
      <c r="G230" s="9"/>
      <c r="H230" s="9"/>
      <c r="I230" s="9"/>
      <c r="J230" s="9"/>
      <c r="K230" s="9"/>
      <c r="L230" s="9"/>
      <c r="O230" s="9"/>
      <c r="P230" s="9"/>
      <c r="Q230" s="9"/>
      <c r="R230" s="9"/>
      <c r="S230" s="9"/>
      <c r="T230" s="9"/>
    </row>
    <row r="231" spans="3:20">
      <c r="C231" s="9"/>
      <c r="D231" s="9"/>
      <c r="E231" s="9"/>
      <c r="F231" s="10"/>
      <c r="G231" s="9"/>
      <c r="H231" s="9"/>
      <c r="I231" s="9"/>
      <c r="J231" s="9"/>
      <c r="K231" s="9"/>
      <c r="L231" s="9"/>
      <c r="O231" s="9"/>
      <c r="P231" s="9"/>
      <c r="Q231" s="9"/>
      <c r="R231" s="9"/>
      <c r="S231" s="9"/>
      <c r="T231" s="9"/>
    </row>
    <row r="232" spans="3:20">
      <c r="C232" s="9"/>
      <c r="D232" s="9"/>
      <c r="E232" s="9"/>
      <c r="F232" s="10"/>
      <c r="G232" s="9"/>
      <c r="H232" s="9"/>
      <c r="I232" s="9"/>
      <c r="J232" s="9"/>
      <c r="K232" s="9"/>
      <c r="L232" s="9"/>
      <c r="O232" s="9"/>
      <c r="P232" s="9"/>
      <c r="Q232" s="9"/>
      <c r="R232" s="9"/>
      <c r="S232" s="9"/>
      <c r="T232" s="9"/>
    </row>
    <row r="233" spans="3:20">
      <c r="C233" s="9"/>
      <c r="D233" s="9"/>
      <c r="E233" s="9"/>
      <c r="F233" s="10"/>
      <c r="G233" s="9"/>
      <c r="H233" s="9"/>
      <c r="I233" s="9"/>
      <c r="J233" s="9"/>
      <c r="K233" s="9"/>
      <c r="L233" s="9"/>
      <c r="O233" s="9"/>
      <c r="P233" s="9"/>
      <c r="Q233" s="9"/>
      <c r="R233" s="9"/>
      <c r="S233" s="9"/>
      <c r="T233" s="9"/>
    </row>
    <row r="234" spans="3:20">
      <c r="C234" s="9"/>
      <c r="D234" s="9"/>
      <c r="E234" s="9"/>
      <c r="F234" s="10"/>
      <c r="G234" s="9"/>
      <c r="H234" s="9"/>
      <c r="I234" s="9"/>
      <c r="J234" s="9"/>
      <c r="K234" s="9"/>
      <c r="L234" s="9"/>
      <c r="O234" s="9"/>
      <c r="P234" s="9"/>
      <c r="Q234" s="9"/>
      <c r="R234" s="9"/>
      <c r="S234" s="9"/>
      <c r="T234" s="9"/>
    </row>
    <row r="235" spans="3:20">
      <c r="C235" s="9"/>
      <c r="D235" s="9"/>
      <c r="E235" s="9"/>
      <c r="F235" s="10"/>
      <c r="G235" s="9"/>
      <c r="H235" s="9"/>
      <c r="I235" s="9"/>
      <c r="J235" s="9"/>
      <c r="K235" s="9"/>
      <c r="L235" s="9"/>
      <c r="O235" s="9"/>
      <c r="P235" s="9"/>
      <c r="Q235" s="9"/>
      <c r="R235" s="9"/>
      <c r="S235" s="9"/>
      <c r="T235" s="9"/>
    </row>
    <row r="236" spans="3:20">
      <c r="C236" s="9"/>
      <c r="D236" s="9"/>
      <c r="E236" s="9"/>
      <c r="F236" s="10"/>
      <c r="G236" s="9"/>
      <c r="H236" s="9"/>
      <c r="I236" s="9"/>
      <c r="J236" s="9"/>
      <c r="K236" s="9"/>
      <c r="L236" s="9"/>
      <c r="O236" s="9"/>
      <c r="P236" s="9"/>
      <c r="Q236" s="9"/>
      <c r="R236" s="9"/>
      <c r="S236" s="9"/>
      <c r="T236" s="9"/>
    </row>
    <row r="237" spans="3:20">
      <c r="C237" s="9"/>
      <c r="D237" s="9"/>
      <c r="E237" s="9"/>
      <c r="F237" s="10"/>
      <c r="G237" s="9"/>
      <c r="H237" s="9"/>
      <c r="I237" s="9"/>
      <c r="J237" s="9"/>
      <c r="K237" s="9"/>
      <c r="L237" s="9"/>
      <c r="O237" s="9"/>
      <c r="P237" s="9"/>
      <c r="Q237" s="9"/>
      <c r="R237" s="9"/>
      <c r="S237" s="9"/>
      <c r="T237" s="9"/>
    </row>
    <row r="238" spans="3:20">
      <c r="C238" s="9"/>
      <c r="D238" s="9"/>
      <c r="E238" s="9"/>
      <c r="F238" s="10"/>
      <c r="G238" s="9"/>
      <c r="H238" s="9"/>
      <c r="I238" s="9"/>
      <c r="J238" s="9"/>
      <c r="K238" s="9"/>
      <c r="L238" s="9"/>
      <c r="O238" s="9"/>
      <c r="P238" s="9"/>
      <c r="Q238" s="9"/>
      <c r="R238" s="9"/>
      <c r="S238" s="9"/>
      <c r="T238" s="9"/>
    </row>
    <row r="239" spans="3:20">
      <c r="C239" s="9"/>
      <c r="D239" s="9"/>
      <c r="E239" s="9"/>
      <c r="F239" s="10"/>
      <c r="G239" s="9"/>
      <c r="H239" s="9"/>
      <c r="I239" s="9"/>
      <c r="J239" s="9"/>
      <c r="K239" s="9"/>
      <c r="L239" s="9"/>
      <c r="O239" s="9"/>
      <c r="P239" s="9"/>
      <c r="Q239" s="9"/>
      <c r="R239" s="9"/>
      <c r="S239" s="9"/>
      <c r="T239" s="9"/>
    </row>
    <row r="240" spans="3:20">
      <c r="C240" s="9"/>
      <c r="D240" s="9"/>
      <c r="E240" s="9"/>
      <c r="F240" s="10"/>
      <c r="G240" s="9"/>
      <c r="H240" s="9"/>
      <c r="I240" s="9"/>
      <c r="J240" s="9"/>
      <c r="K240" s="9"/>
      <c r="L240" s="9"/>
      <c r="O240" s="9"/>
      <c r="P240" s="9"/>
      <c r="Q240" s="9"/>
      <c r="R240" s="9"/>
      <c r="S240" s="9"/>
      <c r="T240" s="9"/>
    </row>
    <row r="241" spans="3:20">
      <c r="C241" s="9"/>
      <c r="D241" s="9"/>
      <c r="E241" s="9"/>
      <c r="F241" s="10"/>
      <c r="G241" s="9"/>
      <c r="H241" s="9"/>
      <c r="I241" s="9"/>
      <c r="J241" s="9"/>
      <c r="K241" s="9"/>
      <c r="L241" s="9"/>
      <c r="O241" s="9"/>
      <c r="P241" s="9"/>
      <c r="Q241" s="9"/>
      <c r="R241" s="9"/>
      <c r="S241" s="9"/>
      <c r="T241" s="9"/>
    </row>
    <row r="242" spans="3:20">
      <c r="C242" s="9"/>
      <c r="D242" s="9"/>
      <c r="E242" s="9"/>
      <c r="F242" s="10"/>
      <c r="G242" s="9"/>
      <c r="H242" s="9"/>
      <c r="I242" s="9"/>
      <c r="J242" s="9"/>
      <c r="K242" s="9"/>
      <c r="L242" s="9"/>
      <c r="O242" s="9"/>
      <c r="P242" s="9"/>
      <c r="Q242" s="9"/>
      <c r="R242" s="9"/>
      <c r="S242" s="9"/>
      <c r="T242" s="9"/>
    </row>
    <row r="243" spans="3:20">
      <c r="C243" s="9"/>
      <c r="D243" s="9"/>
      <c r="E243" s="9"/>
      <c r="F243" s="10"/>
      <c r="G243" s="9"/>
      <c r="H243" s="9"/>
      <c r="I243" s="9"/>
      <c r="J243" s="9"/>
      <c r="K243" s="9"/>
      <c r="L243" s="9"/>
      <c r="O243" s="9"/>
      <c r="P243" s="9"/>
      <c r="Q243" s="9"/>
      <c r="R243" s="9"/>
      <c r="S243" s="9"/>
      <c r="T243" s="9"/>
    </row>
    <row r="244" spans="3:20">
      <c r="C244" s="9"/>
      <c r="D244" s="9"/>
      <c r="E244" s="9"/>
      <c r="F244" s="10"/>
      <c r="G244" s="9"/>
      <c r="H244" s="9"/>
      <c r="I244" s="9"/>
      <c r="J244" s="9"/>
      <c r="K244" s="9"/>
      <c r="L244" s="9"/>
      <c r="O244" s="9"/>
      <c r="P244" s="9"/>
      <c r="Q244" s="9"/>
      <c r="R244" s="9"/>
      <c r="S244" s="9"/>
      <c r="T244" s="9"/>
    </row>
    <row r="245" spans="3:20">
      <c r="C245" s="9"/>
      <c r="D245" s="9"/>
      <c r="E245" s="9"/>
      <c r="F245" s="10"/>
      <c r="G245" s="9"/>
      <c r="H245" s="9"/>
      <c r="I245" s="9"/>
      <c r="J245" s="9"/>
      <c r="K245" s="9"/>
      <c r="L245" s="9"/>
      <c r="O245" s="9"/>
      <c r="P245" s="9"/>
      <c r="Q245" s="9"/>
      <c r="R245" s="9"/>
      <c r="S245" s="9"/>
      <c r="T245" s="9"/>
    </row>
    <row r="246" spans="3:20">
      <c r="C246" s="9"/>
      <c r="D246" s="9"/>
      <c r="E246" s="9"/>
      <c r="F246" s="10"/>
      <c r="G246" s="9"/>
      <c r="H246" s="9"/>
      <c r="I246" s="9"/>
      <c r="J246" s="9"/>
      <c r="K246" s="9"/>
      <c r="L246" s="9"/>
      <c r="O246" s="9"/>
      <c r="P246" s="9"/>
      <c r="Q246" s="9"/>
      <c r="R246" s="9"/>
      <c r="S246" s="9"/>
      <c r="T246" s="9"/>
    </row>
    <row r="247" spans="3:20">
      <c r="C247" s="9"/>
      <c r="D247" s="9"/>
      <c r="E247" s="9"/>
      <c r="F247" s="10"/>
      <c r="G247" s="9"/>
      <c r="H247" s="9"/>
      <c r="I247" s="9"/>
      <c r="J247" s="9"/>
      <c r="K247" s="9"/>
      <c r="L247" s="9"/>
      <c r="O247" s="9"/>
      <c r="P247" s="9"/>
      <c r="Q247" s="9"/>
      <c r="R247" s="9"/>
      <c r="S247" s="9"/>
      <c r="T247" s="9"/>
    </row>
    <row r="248" spans="3:20">
      <c r="C248" s="9"/>
      <c r="D248" s="9"/>
      <c r="E248" s="9"/>
      <c r="F248" s="10"/>
      <c r="G248" s="9"/>
      <c r="H248" s="9"/>
      <c r="I248" s="9"/>
      <c r="J248" s="9"/>
      <c r="K248" s="9"/>
      <c r="L248" s="9"/>
      <c r="O248" s="9"/>
      <c r="P248" s="9"/>
      <c r="Q248" s="9"/>
      <c r="R248" s="9"/>
      <c r="S248" s="9"/>
      <c r="T248" s="9"/>
    </row>
    <row r="249" spans="3:20">
      <c r="C249" s="9"/>
      <c r="D249" s="9"/>
      <c r="E249" s="9"/>
      <c r="F249" s="10"/>
      <c r="G249" s="9"/>
      <c r="H249" s="9"/>
      <c r="I249" s="9"/>
      <c r="J249" s="9"/>
      <c r="K249" s="9"/>
      <c r="L249" s="9"/>
      <c r="O249" s="9"/>
      <c r="P249" s="9"/>
      <c r="Q249" s="9"/>
      <c r="R249" s="9"/>
      <c r="S249" s="9"/>
      <c r="T249" s="9"/>
    </row>
    <row r="250" spans="3:20">
      <c r="C250" s="9"/>
      <c r="D250" s="9"/>
      <c r="E250" s="9"/>
      <c r="F250" s="10"/>
      <c r="G250" s="9"/>
      <c r="H250" s="9"/>
      <c r="I250" s="9"/>
      <c r="J250" s="9"/>
      <c r="K250" s="9"/>
      <c r="L250" s="9"/>
      <c r="O250" s="9"/>
      <c r="P250" s="9"/>
      <c r="Q250" s="9"/>
      <c r="R250" s="9"/>
      <c r="S250" s="9"/>
      <c r="T250" s="9"/>
    </row>
    <row r="251" spans="3:20">
      <c r="C251" s="9"/>
      <c r="D251" s="9"/>
      <c r="E251" s="9"/>
      <c r="F251" s="10"/>
      <c r="G251" s="9"/>
      <c r="H251" s="9"/>
      <c r="I251" s="9"/>
      <c r="J251" s="9"/>
      <c r="K251" s="9"/>
      <c r="L251" s="9"/>
      <c r="O251" s="9"/>
      <c r="P251" s="9"/>
      <c r="Q251" s="9"/>
      <c r="R251" s="9"/>
      <c r="S251" s="9"/>
      <c r="T251" s="9"/>
    </row>
    <row r="252" spans="3:20">
      <c r="C252" s="9"/>
      <c r="D252" s="9"/>
      <c r="E252" s="9"/>
      <c r="F252" s="10"/>
      <c r="G252" s="9"/>
      <c r="H252" s="9"/>
      <c r="I252" s="9"/>
      <c r="J252" s="9"/>
      <c r="K252" s="9"/>
      <c r="L252" s="9"/>
      <c r="O252" s="9"/>
      <c r="P252" s="9"/>
      <c r="Q252" s="9"/>
      <c r="R252" s="9"/>
      <c r="S252" s="9"/>
      <c r="T252" s="9"/>
    </row>
    <row r="253" spans="3:20">
      <c r="C253" s="9"/>
      <c r="D253" s="9"/>
      <c r="E253" s="9"/>
      <c r="F253" s="10"/>
      <c r="G253" s="9"/>
      <c r="H253" s="9"/>
      <c r="I253" s="9"/>
      <c r="J253" s="9"/>
      <c r="K253" s="9"/>
      <c r="L253" s="9"/>
      <c r="O253" s="9"/>
      <c r="P253" s="9"/>
      <c r="Q253" s="9"/>
      <c r="R253" s="9"/>
      <c r="S253" s="9"/>
      <c r="T253" s="9"/>
    </row>
    <row r="254" spans="3:20">
      <c r="C254" s="9"/>
      <c r="D254" s="9"/>
      <c r="E254" s="9"/>
      <c r="F254" s="10"/>
      <c r="G254" s="9"/>
      <c r="H254" s="9"/>
      <c r="I254" s="9"/>
      <c r="J254" s="9"/>
      <c r="K254" s="9"/>
      <c r="L254" s="9"/>
      <c r="O254" s="9"/>
      <c r="P254" s="9"/>
      <c r="Q254" s="9"/>
      <c r="R254" s="9"/>
      <c r="S254" s="9"/>
      <c r="T254" s="9"/>
    </row>
    <row r="255" spans="3:20">
      <c r="C255" s="9"/>
      <c r="D255" s="9"/>
      <c r="E255" s="9"/>
      <c r="F255" s="10"/>
      <c r="G255" s="9"/>
      <c r="H255" s="9"/>
      <c r="I255" s="9"/>
      <c r="J255" s="9"/>
      <c r="K255" s="9"/>
      <c r="L255" s="9"/>
      <c r="O255" s="9"/>
      <c r="P255" s="9"/>
      <c r="Q255" s="9"/>
      <c r="R255" s="9"/>
      <c r="S255" s="9"/>
      <c r="T255" s="9"/>
    </row>
    <row r="256" spans="3:20">
      <c r="C256" s="9"/>
      <c r="D256" s="9"/>
      <c r="E256" s="9"/>
      <c r="F256" s="10"/>
      <c r="G256" s="9"/>
      <c r="H256" s="9"/>
      <c r="I256" s="9"/>
      <c r="J256" s="9"/>
      <c r="K256" s="9"/>
      <c r="L256" s="9"/>
      <c r="O256" s="9"/>
      <c r="P256" s="9"/>
      <c r="Q256" s="9"/>
      <c r="R256" s="9"/>
      <c r="S256" s="9"/>
      <c r="T256" s="9"/>
    </row>
    <row r="257" spans="3:20">
      <c r="C257" s="9"/>
      <c r="D257" s="9"/>
      <c r="E257" s="9"/>
      <c r="F257" s="10"/>
      <c r="G257" s="9"/>
      <c r="H257" s="9"/>
      <c r="I257" s="9"/>
      <c r="J257" s="9"/>
      <c r="K257" s="9"/>
      <c r="L257" s="9"/>
      <c r="O257" s="9"/>
      <c r="P257" s="9"/>
      <c r="Q257" s="9"/>
      <c r="R257" s="9"/>
      <c r="S257" s="9"/>
      <c r="T257" s="9"/>
    </row>
    <row r="258" spans="3:20">
      <c r="C258" s="9"/>
      <c r="D258" s="9"/>
      <c r="E258" s="9"/>
      <c r="F258" s="10"/>
      <c r="G258" s="9"/>
      <c r="H258" s="9"/>
      <c r="I258" s="9"/>
      <c r="J258" s="9"/>
      <c r="K258" s="9"/>
      <c r="L258" s="9"/>
      <c r="O258" s="9"/>
      <c r="P258" s="9"/>
      <c r="Q258" s="9"/>
      <c r="R258" s="9"/>
      <c r="S258" s="9"/>
      <c r="T258" s="9"/>
    </row>
    <row r="259" spans="3:20">
      <c r="C259" s="9"/>
      <c r="D259" s="9"/>
      <c r="E259" s="9"/>
      <c r="F259" s="10"/>
      <c r="G259" s="9"/>
      <c r="H259" s="9"/>
      <c r="I259" s="9"/>
      <c r="J259" s="9"/>
      <c r="K259" s="9"/>
      <c r="L259" s="9"/>
      <c r="O259" s="9"/>
      <c r="P259" s="9"/>
      <c r="Q259" s="9"/>
      <c r="R259" s="9"/>
      <c r="S259" s="9"/>
      <c r="T259" s="9"/>
    </row>
    <row r="260" spans="3:20">
      <c r="C260" s="9"/>
      <c r="D260" s="9"/>
      <c r="E260" s="9"/>
      <c r="F260" s="10"/>
      <c r="G260" s="9"/>
      <c r="H260" s="9"/>
      <c r="I260" s="9"/>
      <c r="J260" s="9"/>
      <c r="K260" s="9"/>
      <c r="L260" s="9"/>
      <c r="O260" s="9"/>
      <c r="P260" s="9"/>
      <c r="Q260" s="9"/>
      <c r="R260" s="9"/>
      <c r="S260" s="9"/>
      <c r="T260" s="9"/>
    </row>
    <row r="261" spans="3:20">
      <c r="C261" s="9"/>
      <c r="D261" s="9"/>
      <c r="E261" s="9"/>
      <c r="F261" s="10"/>
      <c r="G261" s="9"/>
      <c r="H261" s="9"/>
      <c r="I261" s="9"/>
      <c r="J261" s="9"/>
      <c r="K261" s="9"/>
      <c r="L261" s="9"/>
      <c r="O261" s="9"/>
      <c r="P261" s="9"/>
      <c r="Q261" s="9"/>
      <c r="R261" s="9"/>
      <c r="S261" s="9"/>
      <c r="T261" s="9"/>
    </row>
    <row r="262" spans="3:20">
      <c r="C262" s="9"/>
      <c r="D262" s="9"/>
      <c r="E262" s="9"/>
      <c r="F262" s="10"/>
      <c r="G262" s="9"/>
      <c r="H262" s="9"/>
      <c r="I262" s="9"/>
      <c r="J262" s="9"/>
      <c r="K262" s="9"/>
      <c r="L262" s="9"/>
      <c r="O262" s="9"/>
      <c r="P262" s="9"/>
      <c r="Q262" s="9"/>
      <c r="R262" s="9"/>
      <c r="S262" s="9"/>
      <c r="T262" s="9"/>
    </row>
    <row r="263" spans="3:20">
      <c r="C263" s="9"/>
      <c r="D263" s="9"/>
      <c r="E263" s="9"/>
      <c r="F263" s="10"/>
      <c r="G263" s="9"/>
      <c r="H263" s="9"/>
      <c r="I263" s="9"/>
      <c r="J263" s="9"/>
      <c r="K263" s="9"/>
      <c r="L263" s="9"/>
      <c r="O263" s="9"/>
      <c r="P263" s="9"/>
      <c r="Q263" s="9"/>
      <c r="R263" s="9"/>
      <c r="S263" s="9"/>
      <c r="T263" s="9"/>
    </row>
    <row r="264" spans="3:20">
      <c r="C264" s="9"/>
      <c r="D264" s="9"/>
      <c r="E264" s="9"/>
      <c r="F264" s="10"/>
      <c r="G264" s="9"/>
      <c r="H264" s="9"/>
      <c r="I264" s="9"/>
      <c r="J264" s="9"/>
      <c r="K264" s="9"/>
      <c r="L264" s="9"/>
      <c r="O264" s="9"/>
      <c r="P264" s="9"/>
      <c r="Q264" s="9"/>
      <c r="R264" s="9"/>
      <c r="S264" s="9"/>
      <c r="T264" s="9"/>
    </row>
    <row r="265" spans="3:20">
      <c r="C265" s="9"/>
      <c r="D265" s="9"/>
      <c r="E265" s="9"/>
      <c r="F265" s="10"/>
      <c r="G265" s="9"/>
      <c r="H265" s="9"/>
      <c r="I265" s="9"/>
      <c r="J265" s="9"/>
      <c r="K265" s="9"/>
      <c r="L265" s="9"/>
      <c r="O265" s="9"/>
      <c r="P265" s="9"/>
      <c r="Q265" s="9"/>
      <c r="R265" s="9"/>
      <c r="S265" s="9"/>
      <c r="T265" s="9"/>
    </row>
    <row r="266" spans="3:20">
      <c r="C266" s="9"/>
      <c r="D266" s="9"/>
      <c r="E266" s="9"/>
      <c r="F266" s="10"/>
      <c r="G266" s="9"/>
      <c r="H266" s="9"/>
      <c r="I266" s="9"/>
      <c r="J266" s="9"/>
      <c r="K266" s="9"/>
      <c r="L266" s="9"/>
      <c r="O266" s="9"/>
      <c r="P266" s="9"/>
      <c r="Q266" s="9"/>
      <c r="R266" s="9"/>
      <c r="S266" s="9"/>
      <c r="T266" s="9"/>
    </row>
    <row r="267" spans="3:20">
      <c r="C267" s="9"/>
      <c r="D267" s="9"/>
      <c r="E267" s="9"/>
      <c r="F267" s="10"/>
      <c r="G267" s="9"/>
      <c r="H267" s="9"/>
      <c r="I267" s="9"/>
      <c r="J267" s="9"/>
      <c r="K267" s="9"/>
      <c r="L267" s="9"/>
      <c r="O267" s="9"/>
      <c r="P267" s="9"/>
      <c r="Q267" s="9"/>
      <c r="R267" s="9"/>
      <c r="S267" s="9"/>
      <c r="T267" s="9"/>
    </row>
    <row r="268" spans="3:20">
      <c r="C268" s="9"/>
      <c r="D268" s="9"/>
      <c r="E268" s="9"/>
      <c r="F268" s="10"/>
      <c r="G268" s="9"/>
      <c r="H268" s="9"/>
      <c r="I268" s="9"/>
      <c r="J268" s="9"/>
      <c r="K268" s="9"/>
      <c r="L268" s="9"/>
      <c r="O268" s="9"/>
      <c r="P268" s="9"/>
      <c r="Q268" s="9"/>
      <c r="R268" s="9"/>
      <c r="S268" s="9"/>
      <c r="T268" s="9"/>
    </row>
    <row r="269" spans="3:20">
      <c r="C269" s="9"/>
      <c r="D269" s="9"/>
      <c r="E269" s="9"/>
      <c r="F269" s="10"/>
      <c r="G269" s="9"/>
      <c r="H269" s="9"/>
      <c r="I269" s="9"/>
      <c r="J269" s="9"/>
      <c r="K269" s="9"/>
      <c r="L269" s="9"/>
      <c r="O269" s="9"/>
      <c r="P269" s="9"/>
      <c r="Q269" s="9"/>
      <c r="R269" s="9"/>
      <c r="S269" s="9"/>
      <c r="T269" s="9"/>
    </row>
    <row r="270" spans="3:20">
      <c r="C270" s="9"/>
      <c r="D270" s="9"/>
      <c r="E270" s="9"/>
      <c r="F270" s="10"/>
      <c r="G270" s="9"/>
      <c r="H270" s="9"/>
      <c r="I270" s="9"/>
      <c r="J270" s="9"/>
      <c r="K270" s="9"/>
      <c r="L270" s="9"/>
      <c r="O270" s="9"/>
      <c r="P270" s="9"/>
      <c r="Q270" s="9"/>
      <c r="R270" s="9"/>
      <c r="S270" s="9"/>
      <c r="T270" s="9"/>
    </row>
    <row r="271" spans="3:20">
      <c r="C271" s="9"/>
      <c r="D271" s="9"/>
      <c r="E271" s="9"/>
      <c r="F271" s="10"/>
      <c r="G271" s="9"/>
      <c r="H271" s="9"/>
      <c r="I271" s="9"/>
      <c r="J271" s="9"/>
      <c r="K271" s="9"/>
      <c r="L271" s="9"/>
      <c r="O271" s="9"/>
      <c r="P271" s="9"/>
      <c r="Q271" s="9"/>
      <c r="R271" s="9"/>
      <c r="S271" s="9"/>
      <c r="T271" s="9"/>
    </row>
    <row r="272" spans="3:20">
      <c r="C272" s="9"/>
      <c r="D272" s="9"/>
      <c r="E272" s="9"/>
      <c r="F272" s="10"/>
      <c r="G272" s="9"/>
      <c r="H272" s="9"/>
      <c r="I272" s="9"/>
      <c r="J272" s="9"/>
      <c r="K272" s="9"/>
      <c r="L272" s="9"/>
      <c r="O272" s="9"/>
      <c r="P272" s="9"/>
      <c r="Q272" s="9"/>
      <c r="R272" s="9"/>
      <c r="S272" s="9"/>
      <c r="T272" s="9"/>
    </row>
    <row r="273" spans="3:20">
      <c r="C273" s="9"/>
      <c r="D273" s="9"/>
      <c r="E273" s="9"/>
      <c r="F273" s="10"/>
      <c r="G273" s="9"/>
      <c r="H273" s="9"/>
      <c r="I273" s="9"/>
      <c r="J273" s="9"/>
      <c r="K273" s="9"/>
      <c r="L273" s="9"/>
      <c r="O273" s="9"/>
      <c r="P273" s="9"/>
      <c r="Q273" s="9"/>
      <c r="R273" s="9"/>
      <c r="S273" s="9"/>
      <c r="T273" s="9"/>
    </row>
    <row r="274" spans="3:20">
      <c r="C274" s="9"/>
      <c r="D274" s="9"/>
      <c r="E274" s="9"/>
      <c r="F274" s="10"/>
      <c r="G274" s="9"/>
      <c r="H274" s="9"/>
      <c r="I274" s="9"/>
      <c r="J274" s="9"/>
      <c r="K274" s="9"/>
      <c r="L274" s="9"/>
      <c r="O274" s="9"/>
      <c r="P274" s="9"/>
      <c r="Q274" s="9"/>
      <c r="R274" s="9"/>
      <c r="S274" s="9"/>
      <c r="T274" s="9"/>
    </row>
    <row r="275" spans="3:20">
      <c r="C275" s="9"/>
      <c r="D275" s="9"/>
      <c r="E275" s="9"/>
      <c r="F275" s="10"/>
      <c r="G275" s="9"/>
      <c r="H275" s="9"/>
      <c r="I275" s="9"/>
      <c r="J275" s="9"/>
      <c r="K275" s="9"/>
      <c r="L275" s="9"/>
      <c r="O275" s="9"/>
      <c r="P275" s="9"/>
      <c r="Q275" s="9"/>
      <c r="R275" s="9"/>
      <c r="S275" s="9"/>
      <c r="T275" s="9"/>
    </row>
    <row r="276" spans="3:20">
      <c r="C276" s="9"/>
      <c r="D276" s="9"/>
      <c r="E276" s="9"/>
      <c r="F276" s="10"/>
      <c r="G276" s="9"/>
      <c r="H276" s="9"/>
      <c r="I276" s="9"/>
      <c r="J276" s="9"/>
      <c r="K276" s="9"/>
      <c r="L276" s="9"/>
      <c r="O276" s="9"/>
      <c r="P276" s="9"/>
      <c r="Q276" s="9"/>
      <c r="R276" s="9"/>
      <c r="S276" s="9"/>
      <c r="T276" s="9"/>
    </row>
    <row r="277" spans="3:20">
      <c r="C277" s="9"/>
      <c r="D277" s="9"/>
      <c r="E277" s="9"/>
      <c r="F277" s="10"/>
      <c r="G277" s="9"/>
      <c r="H277" s="9"/>
      <c r="I277" s="9"/>
      <c r="J277" s="9"/>
      <c r="K277" s="9"/>
      <c r="L277" s="9"/>
      <c r="O277" s="9"/>
      <c r="P277" s="9"/>
      <c r="Q277" s="9"/>
      <c r="R277" s="9"/>
      <c r="S277" s="9"/>
      <c r="T277" s="9"/>
    </row>
    <row r="278" spans="3:20">
      <c r="C278" s="9"/>
      <c r="D278" s="9"/>
      <c r="E278" s="9"/>
      <c r="F278" s="10"/>
      <c r="G278" s="9"/>
      <c r="H278" s="9"/>
      <c r="I278" s="9"/>
      <c r="J278" s="9"/>
      <c r="K278" s="9"/>
      <c r="L278" s="9"/>
      <c r="O278" s="9"/>
      <c r="P278" s="9"/>
      <c r="Q278" s="9"/>
      <c r="R278" s="9"/>
      <c r="S278" s="9"/>
      <c r="T278" s="9"/>
    </row>
    <row r="279" spans="3:20">
      <c r="C279" s="9"/>
      <c r="D279" s="9"/>
      <c r="E279" s="9"/>
      <c r="F279" s="10"/>
      <c r="G279" s="9"/>
      <c r="H279" s="9"/>
      <c r="I279" s="9"/>
      <c r="J279" s="9"/>
      <c r="K279" s="9"/>
      <c r="L279" s="9"/>
      <c r="O279" s="9"/>
      <c r="P279" s="9"/>
      <c r="Q279" s="9"/>
      <c r="R279" s="9"/>
      <c r="S279" s="9"/>
      <c r="T279" s="9"/>
    </row>
    <row r="280" spans="3:20">
      <c r="C280" s="9"/>
      <c r="D280" s="9"/>
      <c r="E280" s="9"/>
      <c r="F280" s="10"/>
      <c r="G280" s="9"/>
      <c r="H280" s="9"/>
      <c r="I280" s="9"/>
      <c r="J280" s="9"/>
      <c r="K280" s="9"/>
      <c r="L280" s="9"/>
      <c r="O280" s="9"/>
      <c r="P280" s="9"/>
      <c r="Q280" s="9"/>
      <c r="R280" s="9"/>
      <c r="S280" s="9"/>
      <c r="T280" s="9"/>
    </row>
    <row r="281" spans="3:20">
      <c r="C281" s="9"/>
      <c r="D281" s="9"/>
      <c r="E281" s="9"/>
      <c r="F281" s="10"/>
      <c r="G281" s="9"/>
      <c r="H281" s="9"/>
      <c r="I281" s="9"/>
      <c r="J281" s="9"/>
      <c r="K281" s="9"/>
      <c r="L281" s="9"/>
      <c r="O281" s="9"/>
      <c r="P281" s="9"/>
      <c r="Q281" s="9"/>
      <c r="R281" s="9"/>
      <c r="S281" s="9"/>
      <c r="T281" s="9"/>
    </row>
    <row r="282" spans="3:20">
      <c r="C282" s="9"/>
      <c r="D282" s="9"/>
      <c r="E282" s="9"/>
      <c r="F282" s="10"/>
      <c r="G282" s="9"/>
      <c r="H282" s="9"/>
      <c r="I282" s="9"/>
      <c r="J282" s="9"/>
      <c r="K282" s="9"/>
      <c r="L282" s="9"/>
      <c r="O282" s="9"/>
      <c r="P282" s="9"/>
      <c r="Q282" s="9"/>
      <c r="R282" s="9"/>
      <c r="S282" s="9"/>
      <c r="T282" s="9"/>
    </row>
    <row r="283" spans="3:20">
      <c r="C283" s="9"/>
      <c r="D283" s="9"/>
      <c r="E283" s="9"/>
      <c r="F283" s="10"/>
      <c r="G283" s="9"/>
      <c r="H283" s="9"/>
      <c r="I283" s="9"/>
      <c r="J283" s="9"/>
      <c r="K283" s="9"/>
      <c r="L283" s="9"/>
      <c r="O283" s="9"/>
      <c r="P283" s="9"/>
      <c r="Q283" s="9"/>
      <c r="R283" s="9"/>
      <c r="S283" s="9"/>
      <c r="T283" s="9"/>
    </row>
    <row r="284" spans="3:20">
      <c r="C284" s="9"/>
      <c r="D284" s="9"/>
      <c r="E284" s="9"/>
      <c r="F284" s="10"/>
      <c r="G284" s="9"/>
      <c r="H284" s="9"/>
      <c r="I284" s="9"/>
      <c r="J284" s="9"/>
      <c r="K284" s="9"/>
      <c r="L284" s="9"/>
      <c r="O284" s="9"/>
      <c r="P284" s="9"/>
      <c r="Q284" s="9"/>
      <c r="R284" s="9"/>
      <c r="S284" s="9"/>
      <c r="T284" s="9"/>
    </row>
    <row r="285" spans="3:20">
      <c r="C285" s="9"/>
      <c r="D285" s="9"/>
      <c r="E285" s="9"/>
      <c r="F285" s="10"/>
      <c r="G285" s="9"/>
      <c r="H285" s="9"/>
      <c r="I285" s="9"/>
      <c r="J285" s="9"/>
      <c r="K285" s="9"/>
      <c r="L285" s="9"/>
      <c r="O285" s="9"/>
      <c r="P285" s="9"/>
      <c r="Q285" s="9"/>
      <c r="R285" s="9"/>
      <c r="S285" s="9"/>
      <c r="T285" s="9"/>
    </row>
    <row r="286" spans="3:20">
      <c r="C286" s="9"/>
      <c r="D286" s="9"/>
      <c r="E286" s="9"/>
      <c r="F286" s="10"/>
      <c r="G286" s="9"/>
      <c r="H286" s="9"/>
      <c r="I286" s="9"/>
      <c r="J286" s="9"/>
      <c r="K286" s="9"/>
      <c r="L286" s="9"/>
      <c r="O286" s="9"/>
      <c r="P286" s="9"/>
      <c r="Q286" s="9"/>
      <c r="R286" s="9"/>
      <c r="S286" s="9"/>
      <c r="T286" s="9"/>
    </row>
    <row r="287" spans="3:20">
      <c r="C287" s="9"/>
      <c r="D287" s="9"/>
      <c r="E287" s="9"/>
      <c r="F287" s="10"/>
      <c r="G287" s="9"/>
      <c r="H287" s="9"/>
      <c r="I287" s="9"/>
      <c r="J287" s="9"/>
      <c r="K287" s="9"/>
      <c r="L287" s="9"/>
      <c r="O287" s="9"/>
      <c r="P287" s="9"/>
      <c r="Q287" s="9"/>
      <c r="R287" s="9"/>
      <c r="S287" s="9"/>
      <c r="T287" s="9"/>
    </row>
    <row r="288" spans="3:20">
      <c r="C288" s="9"/>
      <c r="D288" s="9"/>
      <c r="E288" s="9"/>
      <c r="F288" s="10"/>
      <c r="G288" s="9"/>
      <c r="H288" s="9"/>
      <c r="I288" s="9"/>
      <c r="J288" s="9"/>
      <c r="K288" s="9"/>
      <c r="L288" s="9"/>
      <c r="O288" s="9"/>
      <c r="P288" s="9"/>
      <c r="Q288" s="9"/>
      <c r="R288" s="9"/>
      <c r="S288" s="9"/>
      <c r="T288" s="9"/>
    </row>
    <row r="289" spans="3:20">
      <c r="C289" s="9"/>
      <c r="D289" s="9"/>
      <c r="E289" s="9"/>
      <c r="F289" s="10"/>
      <c r="G289" s="9"/>
      <c r="H289" s="9"/>
      <c r="I289" s="9"/>
      <c r="J289" s="9"/>
      <c r="K289" s="9"/>
      <c r="L289" s="9"/>
      <c r="O289" s="9"/>
      <c r="P289" s="9"/>
      <c r="Q289" s="9"/>
      <c r="R289" s="9"/>
      <c r="S289" s="9"/>
      <c r="T289" s="9"/>
    </row>
    <row r="290" spans="3:20">
      <c r="C290" s="9"/>
      <c r="D290" s="9"/>
      <c r="E290" s="9"/>
      <c r="F290" s="10"/>
      <c r="G290" s="9"/>
      <c r="H290" s="9"/>
      <c r="I290" s="9"/>
      <c r="J290" s="9"/>
      <c r="K290" s="9"/>
      <c r="L290" s="9"/>
      <c r="O290" s="9"/>
      <c r="P290" s="9"/>
      <c r="Q290" s="9"/>
      <c r="R290" s="9"/>
      <c r="S290" s="9"/>
      <c r="T290" s="9"/>
    </row>
    <row r="291" spans="3:20">
      <c r="C291" s="9"/>
      <c r="D291" s="9"/>
      <c r="E291" s="9"/>
      <c r="F291" s="10"/>
      <c r="G291" s="9"/>
      <c r="H291" s="9"/>
      <c r="I291" s="9"/>
      <c r="J291" s="9"/>
      <c r="K291" s="9"/>
      <c r="L291" s="9"/>
      <c r="O291" s="9"/>
      <c r="P291" s="9"/>
      <c r="Q291" s="9"/>
      <c r="R291" s="9"/>
      <c r="S291" s="9"/>
      <c r="T291" s="9"/>
    </row>
    <row r="292" spans="3:20">
      <c r="C292" s="9"/>
      <c r="D292" s="9"/>
      <c r="E292" s="9"/>
      <c r="F292" s="10"/>
      <c r="G292" s="9"/>
      <c r="H292" s="9"/>
      <c r="I292" s="9"/>
      <c r="J292" s="9"/>
      <c r="K292" s="9"/>
      <c r="L292" s="9"/>
      <c r="O292" s="9"/>
      <c r="P292" s="9"/>
      <c r="Q292" s="9"/>
      <c r="R292" s="9"/>
      <c r="S292" s="9"/>
      <c r="T292" s="9"/>
    </row>
    <row r="293" spans="3:20">
      <c r="C293" s="9"/>
      <c r="D293" s="9"/>
      <c r="E293" s="9"/>
      <c r="F293" s="10"/>
      <c r="G293" s="9"/>
      <c r="H293" s="9"/>
      <c r="I293" s="9"/>
      <c r="J293" s="9"/>
      <c r="K293" s="9"/>
      <c r="L293" s="9"/>
      <c r="O293" s="9"/>
      <c r="P293" s="9"/>
      <c r="Q293" s="9"/>
      <c r="R293" s="9"/>
      <c r="S293" s="9"/>
      <c r="T293" s="9"/>
    </row>
    <row r="294" spans="3:20">
      <c r="C294" s="9"/>
      <c r="D294" s="9"/>
      <c r="E294" s="9"/>
      <c r="F294" s="10"/>
      <c r="G294" s="9"/>
      <c r="H294" s="9"/>
      <c r="I294" s="9"/>
      <c r="J294" s="9"/>
      <c r="K294" s="9"/>
      <c r="L294" s="9"/>
      <c r="O294" s="9"/>
      <c r="P294" s="9"/>
      <c r="Q294" s="9"/>
      <c r="R294" s="9"/>
      <c r="S294" s="9"/>
      <c r="T294" s="9"/>
    </row>
    <row r="295" spans="3:20">
      <c r="C295" s="9"/>
      <c r="D295" s="9"/>
      <c r="E295" s="9"/>
      <c r="F295" s="10"/>
      <c r="G295" s="9"/>
      <c r="H295" s="9"/>
      <c r="I295" s="9"/>
      <c r="J295" s="9"/>
      <c r="K295" s="9"/>
      <c r="L295" s="9"/>
      <c r="O295" s="9"/>
      <c r="P295" s="9"/>
      <c r="Q295" s="9"/>
      <c r="R295" s="9"/>
      <c r="S295" s="9"/>
      <c r="T295" s="9"/>
    </row>
    <row r="296" spans="3:20">
      <c r="C296" s="9"/>
      <c r="D296" s="9"/>
      <c r="E296" s="9"/>
      <c r="F296" s="10"/>
      <c r="G296" s="9"/>
      <c r="H296" s="9"/>
      <c r="I296" s="9"/>
      <c r="J296" s="9"/>
      <c r="K296" s="9"/>
      <c r="L296" s="9"/>
      <c r="O296" s="9"/>
      <c r="P296" s="9"/>
      <c r="Q296" s="9"/>
      <c r="R296" s="9"/>
      <c r="S296" s="9"/>
      <c r="T296" s="9"/>
    </row>
    <row r="297" spans="3:20">
      <c r="C297" s="9"/>
      <c r="D297" s="9"/>
      <c r="E297" s="9"/>
      <c r="F297" s="10"/>
      <c r="G297" s="9"/>
      <c r="H297" s="9"/>
      <c r="I297" s="9"/>
      <c r="J297" s="9"/>
      <c r="K297" s="9"/>
      <c r="L297" s="9"/>
      <c r="O297" s="9"/>
      <c r="P297" s="9"/>
      <c r="Q297" s="9"/>
      <c r="R297" s="9"/>
      <c r="S297" s="9"/>
      <c r="T297" s="9"/>
    </row>
    <row r="298" spans="3:20">
      <c r="C298" s="9"/>
      <c r="D298" s="9"/>
      <c r="E298" s="9"/>
      <c r="F298" s="10"/>
      <c r="G298" s="9"/>
      <c r="H298" s="9"/>
      <c r="I298" s="9"/>
      <c r="J298" s="9"/>
      <c r="K298" s="9"/>
      <c r="L298" s="9"/>
      <c r="O298" s="9"/>
      <c r="P298" s="9"/>
      <c r="Q298" s="9"/>
      <c r="R298" s="9"/>
      <c r="S298" s="9"/>
      <c r="T298" s="9"/>
    </row>
    <row r="299" spans="3:20">
      <c r="C299" s="9"/>
      <c r="D299" s="9"/>
      <c r="E299" s="9"/>
      <c r="F299" s="10"/>
      <c r="G299" s="9"/>
      <c r="H299" s="9"/>
      <c r="I299" s="9"/>
      <c r="J299" s="9"/>
      <c r="K299" s="9"/>
      <c r="L299" s="9"/>
      <c r="O299" s="9"/>
      <c r="P299" s="9"/>
      <c r="Q299" s="9"/>
      <c r="R299" s="9"/>
      <c r="S299" s="9"/>
      <c r="T299" s="9"/>
    </row>
    <row r="300" spans="3:20">
      <c r="C300" s="9"/>
      <c r="D300" s="9"/>
      <c r="E300" s="9"/>
      <c r="F300" s="10"/>
      <c r="G300" s="9"/>
      <c r="H300" s="9"/>
      <c r="I300" s="9"/>
      <c r="J300" s="9"/>
      <c r="K300" s="9"/>
      <c r="L300" s="9"/>
      <c r="O300" s="9"/>
      <c r="P300" s="9"/>
      <c r="Q300" s="9"/>
      <c r="R300" s="9"/>
      <c r="S300" s="9"/>
      <c r="T300" s="9"/>
    </row>
    <row r="301" spans="3:20">
      <c r="C301" s="9"/>
      <c r="D301" s="9"/>
      <c r="E301" s="9"/>
      <c r="F301" s="10"/>
      <c r="G301" s="9"/>
      <c r="H301" s="9"/>
      <c r="I301" s="9"/>
      <c r="J301" s="9"/>
      <c r="K301" s="9"/>
      <c r="L301" s="9"/>
      <c r="O301" s="9"/>
      <c r="P301" s="9"/>
      <c r="Q301" s="9"/>
      <c r="R301" s="9"/>
      <c r="S301" s="9"/>
      <c r="T301" s="9"/>
    </row>
    <row r="302" spans="3:20">
      <c r="C302" s="9"/>
      <c r="D302" s="9"/>
      <c r="E302" s="9"/>
      <c r="F302" s="10"/>
      <c r="G302" s="9"/>
      <c r="H302" s="9"/>
      <c r="I302" s="9"/>
      <c r="J302" s="9"/>
      <c r="K302" s="9"/>
      <c r="L302" s="9"/>
      <c r="O302" s="9"/>
      <c r="P302" s="9"/>
      <c r="Q302" s="9"/>
      <c r="R302" s="9"/>
      <c r="S302" s="9"/>
      <c r="T302" s="9"/>
    </row>
    <row r="303" spans="3:20">
      <c r="C303" s="9"/>
      <c r="D303" s="9"/>
      <c r="E303" s="9"/>
      <c r="F303" s="10"/>
      <c r="G303" s="9"/>
      <c r="H303" s="9"/>
      <c r="I303" s="9"/>
      <c r="J303" s="9"/>
      <c r="K303" s="9"/>
      <c r="L303" s="9"/>
      <c r="O303" s="9"/>
      <c r="P303" s="9"/>
      <c r="Q303" s="9"/>
      <c r="R303" s="9"/>
      <c r="S303" s="9"/>
      <c r="T303" s="9"/>
    </row>
    <row r="304" spans="3:20">
      <c r="C304" s="9"/>
      <c r="D304" s="9"/>
      <c r="E304" s="9"/>
      <c r="F304" s="10"/>
      <c r="G304" s="9"/>
      <c r="H304" s="9"/>
      <c r="I304" s="9"/>
      <c r="J304" s="9"/>
      <c r="K304" s="9"/>
      <c r="L304" s="9"/>
      <c r="O304" s="9"/>
      <c r="P304" s="9"/>
      <c r="Q304" s="9"/>
      <c r="R304" s="9"/>
      <c r="S304" s="9"/>
      <c r="T304" s="9"/>
    </row>
    <row r="305" spans="3:20">
      <c r="C305" s="9"/>
      <c r="D305" s="9"/>
      <c r="E305" s="9"/>
      <c r="F305" s="10"/>
      <c r="G305" s="9"/>
      <c r="H305" s="9"/>
      <c r="I305" s="9"/>
      <c r="J305" s="9"/>
      <c r="K305" s="9"/>
      <c r="L305" s="9"/>
      <c r="O305" s="9"/>
      <c r="P305" s="9"/>
      <c r="Q305" s="9"/>
      <c r="R305" s="9"/>
      <c r="S305" s="9"/>
      <c r="T305" s="9"/>
    </row>
    <row r="306" spans="3:20">
      <c r="C306" s="9"/>
      <c r="D306" s="9"/>
      <c r="E306" s="9"/>
      <c r="F306" s="10"/>
      <c r="G306" s="9"/>
      <c r="H306" s="9"/>
      <c r="I306" s="9"/>
      <c r="J306" s="9"/>
      <c r="K306" s="9"/>
      <c r="L306" s="9"/>
      <c r="O306" s="9"/>
      <c r="P306" s="9"/>
      <c r="Q306" s="9"/>
      <c r="R306" s="9"/>
      <c r="S306" s="9"/>
      <c r="T306" s="9"/>
    </row>
    <row r="307" spans="3:20">
      <c r="C307" s="9"/>
      <c r="D307" s="9"/>
      <c r="E307" s="9"/>
      <c r="F307" s="10"/>
      <c r="G307" s="9"/>
      <c r="H307" s="9"/>
      <c r="I307" s="9"/>
      <c r="J307" s="9"/>
      <c r="K307" s="9"/>
      <c r="L307" s="9"/>
      <c r="O307" s="9"/>
      <c r="P307" s="9"/>
      <c r="Q307" s="9"/>
      <c r="R307" s="9"/>
      <c r="S307" s="9"/>
      <c r="T307" s="9"/>
    </row>
    <row r="308" spans="3:20">
      <c r="C308" s="9"/>
      <c r="D308" s="9"/>
      <c r="E308" s="9"/>
      <c r="F308" s="10"/>
      <c r="G308" s="9"/>
      <c r="H308" s="9"/>
      <c r="I308" s="9"/>
      <c r="J308" s="9"/>
      <c r="K308" s="9"/>
      <c r="L308" s="9"/>
      <c r="O308" s="9"/>
      <c r="P308" s="9"/>
      <c r="Q308" s="9"/>
      <c r="R308" s="9"/>
      <c r="S308" s="9"/>
      <c r="T308" s="9"/>
    </row>
    <row r="309" spans="3:20">
      <c r="C309" s="9"/>
      <c r="D309" s="9"/>
      <c r="E309" s="9"/>
      <c r="F309" s="10"/>
      <c r="G309" s="9"/>
      <c r="H309" s="9"/>
      <c r="I309" s="9"/>
      <c r="J309" s="9"/>
      <c r="K309" s="9"/>
      <c r="L309" s="9"/>
      <c r="O309" s="9"/>
      <c r="P309" s="9"/>
      <c r="Q309" s="9"/>
      <c r="R309" s="9"/>
      <c r="S309" s="9"/>
      <c r="T309" s="9"/>
    </row>
    <row r="310" spans="3:20">
      <c r="C310" s="9"/>
      <c r="D310" s="9"/>
      <c r="E310" s="9"/>
      <c r="F310" s="10"/>
      <c r="G310" s="9"/>
      <c r="H310" s="9"/>
      <c r="I310" s="9"/>
      <c r="J310" s="9"/>
      <c r="K310" s="9"/>
      <c r="L310" s="9"/>
      <c r="O310" s="9"/>
      <c r="P310" s="9"/>
      <c r="Q310" s="9"/>
      <c r="R310" s="9"/>
      <c r="S310" s="9"/>
      <c r="T310" s="9"/>
    </row>
    <row r="311" spans="3:20">
      <c r="C311" s="9"/>
      <c r="D311" s="9"/>
      <c r="E311" s="9"/>
      <c r="F311" s="10"/>
      <c r="G311" s="9"/>
      <c r="H311" s="9"/>
      <c r="I311" s="9"/>
      <c r="J311" s="9"/>
      <c r="K311" s="9"/>
      <c r="L311" s="9"/>
      <c r="O311" s="9"/>
      <c r="P311" s="9"/>
      <c r="Q311" s="9"/>
      <c r="R311" s="9"/>
      <c r="S311" s="9"/>
      <c r="T311" s="9"/>
    </row>
    <row r="312" spans="3:20">
      <c r="C312" s="9"/>
      <c r="D312" s="9"/>
      <c r="E312" s="9"/>
      <c r="F312" s="10"/>
      <c r="G312" s="9"/>
      <c r="H312" s="9"/>
      <c r="I312" s="9"/>
      <c r="J312" s="9"/>
      <c r="K312" s="9"/>
      <c r="L312" s="9"/>
      <c r="O312" s="9"/>
      <c r="P312" s="9"/>
      <c r="Q312" s="9"/>
      <c r="R312" s="9"/>
      <c r="S312" s="9"/>
      <c r="T312" s="9"/>
    </row>
    <row r="313" spans="3:20">
      <c r="C313" s="9"/>
      <c r="D313" s="9"/>
      <c r="E313" s="9"/>
      <c r="F313" s="10"/>
      <c r="G313" s="9"/>
      <c r="H313" s="9"/>
      <c r="I313" s="9"/>
      <c r="J313" s="9"/>
      <c r="K313" s="9"/>
      <c r="L313" s="9"/>
      <c r="O313" s="9"/>
      <c r="P313" s="9"/>
      <c r="Q313" s="9"/>
      <c r="R313" s="9"/>
      <c r="S313" s="9"/>
      <c r="T313" s="9"/>
    </row>
    <row r="314" spans="3:20">
      <c r="C314" s="9"/>
      <c r="D314" s="9"/>
      <c r="E314" s="9"/>
      <c r="F314" s="10"/>
      <c r="G314" s="9"/>
      <c r="H314" s="9"/>
      <c r="I314" s="9"/>
      <c r="J314" s="9"/>
      <c r="K314" s="9"/>
      <c r="L314" s="9"/>
      <c r="O314" s="9"/>
      <c r="P314" s="9"/>
      <c r="Q314" s="9"/>
      <c r="R314" s="9"/>
      <c r="S314" s="9"/>
      <c r="T314" s="9"/>
    </row>
    <row r="315" spans="3:20">
      <c r="C315" s="9"/>
      <c r="D315" s="9"/>
      <c r="E315" s="9"/>
      <c r="F315" s="10"/>
      <c r="G315" s="9"/>
      <c r="H315" s="9"/>
      <c r="I315" s="9"/>
      <c r="J315" s="9"/>
      <c r="K315" s="9"/>
      <c r="L315" s="9"/>
      <c r="O315" s="9"/>
      <c r="P315" s="9"/>
      <c r="Q315" s="9"/>
      <c r="R315" s="9"/>
      <c r="S315" s="9"/>
      <c r="T315" s="9"/>
    </row>
    <row r="316" spans="3:20">
      <c r="C316" s="9"/>
      <c r="D316" s="9"/>
      <c r="E316" s="9"/>
      <c r="F316" s="10"/>
      <c r="G316" s="9"/>
      <c r="H316" s="9"/>
      <c r="I316" s="9"/>
      <c r="J316" s="9"/>
      <c r="K316" s="9"/>
      <c r="L316" s="9"/>
      <c r="O316" s="9"/>
      <c r="P316" s="9"/>
      <c r="Q316" s="9"/>
      <c r="R316" s="9"/>
      <c r="S316" s="9"/>
      <c r="T316" s="9"/>
    </row>
    <row r="317" spans="3:20">
      <c r="C317" s="9"/>
      <c r="D317" s="9"/>
      <c r="E317" s="9"/>
      <c r="F317" s="10"/>
      <c r="G317" s="9"/>
      <c r="H317" s="9"/>
      <c r="I317" s="9"/>
      <c r="J317" s="9"/>
      <c r="K317" s="9"/>
      <c r="L317" s="9"/>
      <c r="O317" s="9"/>
      <c r="P317" s="9"/>
      <c r="Q317" s="9"/>
      <c r="R317" s="9"/>
      <c r="S317" s="9"/>
      <c r="T317" s="9"/>
    </row>
    <row r="318" spans="3:20">
      <c r="C318" s="9"/>
      <c r="D318" s="9"/>
      <c r="E318" s="9"/>
      <c r="F318" s="10"/>
      <c r="G318" s="9"/>
      <c r="H318" s="9"/>
      <c r="I318" s="9"/>
      <c r="J318" s="9"/>
      <c r="K318" s="9"/>
      <c r="L318" s="9"/>
      <c r="O318" s="9"/>
      <c r="P318" s="9"/>
      <c r="Q318" s="9"/>
      <c r="R318" s="9"/>
      <c r="S318" s="9"/>
      <c r="T318" s="9"/>
    </row>
    <row r="319" spans="3:20">
      <c r="C319" s="9"/>
      <c r="D319" s="9"/>
      <c r="E319" s="9"/>
      <c r="F319" s="10"/>
      <c r="G319" s="9"/>
      <c r="H319" s="9"/>
      <c r="I319" s="9"/>
      <c r="J319" s="9"/>
      <c r="K319" s="9"/>
      <c r="L319" s="9"/>
      <c r="O319" s="9"/>
      <c r="P319" s="9"/>
      <c r="Q319" s="9"/>
      <c r="R319" s="9"/>
      <c r="S319" s="9"/>
      <c r="T319" s="9"/>
    </row>
    <row r="320" spans="3:20">
      <c r="C320" s="9"/>
      <c r="D320" s="9"/>
      <c r="E320" s="9"/>
      <c r="F320" s="10"/>
      <c r="G320" s="9"/>
      <c r="H320" s="9"/>
      <c r="I320" s="9"/>
      <c r="J320" s="9"/>
      <c r="K320" s="9"/>
      <c r="L320" s="9"/>
      <c r="O320" s="9"/>
      <c r="P320" s="9"/>
      <c r="Q320" s="9"/>
      <c r="R320" s="9"/>
      <c r="S320" s="9"/>
      <c r="T320" s="9"/>
    </row>
    <row r="321" spans="3:20">
      <c r="C321" s="9"/>
      <c r="D321" s="9"/>
      <c r="E321" s="9"/>
      <c r="F321" s="10"/>
      <c r="G321" s="9"/>
      <c r="H321" s="9"/>
      <c r="I321" s="9"/>
      <c r="J321" s="9"/>
      <c r="K321" s="9"/>
      <c r="L321" s="9"/>
      <c r="O321" s="9"/>
      <c r="P321" s="9"/>
      <c r="Q321" s="9"/>
      <c r="R321" s="9"/>
      <c r="S321" s="9"/>
      <c r="T321" s="9"/>
    </row>
    <row r="322" spans="3:20">
      <c r="C322" s="9"/>
      <c r="D322" s="9"/>
      <c r="E322" s="9"/>
      <c r="F322" s="10"/>
      <c r="G322" s="9"/>
      <c r="H322" s="9"/>
      <c r="I322" s="9"/>
      <c r="J322" s="9"/>
      <c r="K322" s="9"/>
      <c r="L322" s="9"/>
      <c r="O322" s="9"/>
      <c r="P322" s="9"/>
      <c r="Q322" s="9"/>
      <c r="R322" s="9"/>
      <c r="S322" s="9"/>
      <c r="T322" s="9"/>
    </row>
    <row r="323" spans="3:20">
      <c r="C323" s="9"/>
      <c r="D323" s="9"/>
      <c r="E323" s="9"/>
      <c r="F323" s="10"/>
      <c r="G323" s="9"/>
      <c r="H323" s="9"/>
      <c r="I323" s="9"/>
      <c r="J323" s="9"/>
      <c r="K323" s="9"/>
      <c r="L323" s="9"/>
      <c r="O323" s="9"/>
      <c r="P323" s="9"/>
      <c r="Q323" s="9"/>
      <c r="R323" s="9"/>
      <c r="S323" s="9"/>
      <c r="T323" s="9"/>
    </row>
    <row r="324" spans="3:20">
      <c r="C324" s="9"/>
      <c r="D324" s="9"/>
      <c r="E324" s="9"/>
      <c r="F324" s="10"/>
      <c r="G324" s="9"/>
      <c r="H324" s="9"/>
      <c r="I324" s="9"/>
      <c r="J324" s="9"/>
      <c r="K324" s="9"/>
      <c r="L324" s="9"/>
      <c r="O324" s="9"/>
      <c r="P324" s="9"/>
      <c r="Q324" s="9"/>
      <c r="R324" s="9"/>
      <c r="S324" s="9"/>
      <c r="T324" s="9"/>
    </row>
    <row r="325" spans="3:20">
      <c r="C325" s="9"/>
      <c r="D325" s="9"/>
      <c r="E325" s="9"/>
      <c r="F325" s="10"/>
      <c r="G325" s="9"/>
      <c r="H325" s="9"/>
      <c r="I325" s="9"/>
      <c r="J325" s="9"/>
      <c r="K325" s="9"/>
      <c r="L325" s="9"/>
      <c r="O325" s="9"/>
      <c r="P325" s="9"/>
      <c r="Q325" s="9"/>
      <c r="R325" s="9"/>
      <c r="S325" s="9"/>
      <c r="T325" s="9"/>
    </row>
    <row r="326" spans="3:20">
      <c r="C326" s="9"/>
      <c r="D326" s="9"/>
      <c r="E326" s="9"/>
      <c r="F326" s="10"/>
      <c r="G326" s="9"/>
      <c r="H326" s="9"/>
      <c r="I326" s="9"/>
      <c r="J326" s="9"/>
      <c r="K326" s="9"/>
      <c r="L326" s="9"/>
      <c r="O326" s="9"/>
      <c r="P326" s="9"/>
      <c r="Q326" s="9"/>
      <c r="R326" s="9"/>
      <c r="S326" s="9"/>
      <c r="T326" s="9"/>
    </row>
    <row r="327" spans="3:20">
      <c r="C327" s="9"/>
      <c r="D327" s="9"/>
      <c r="E327" s="9"/>
      <c r="F327" s="10"/>
      <c r="G327" s="9"/>
      <c r="H327" s="9"/>
      <c r="I327" s="9"/>
      <c r="J327" s="9"/>
      <c r="K327" s="9"/>
      <c r="L327" s="9"/>
      <c r="O327" s="9"/>
      <c r="P327" s="9"/>
      <c r="Q327" s="9"/>
      <c r="R327" s="9"/>
      <c r="S327" s="9"/>
      <c r="T327" s="9"/>
    </row>
    <row r="328" spans="3:20">
      <c r="C328" s="9"/>
      <c r="D328" s="9"/>
      <c r="E328" s="9"/>
      <c r="F328" s="10"/>
      <c r="G328" s="9"/>
      <c r="H328" s="9"/>
      <c r="I328" s="9"/>
      <c r="J328" s="9"/>
      <c r="K328" s="9"/>
      <c r="L328" s="9"/>
      <c r="O328" s="9"/>
      <c r="P328" s="9"/>
      <c r="Q328" s="9"/>
      <c r="R328" s="9"/>
      <c r="S328" s="9"/>
      <c r="T328" s="9"/>
    </row>
    <row r="329" spans="3:20">
      <c r="C329" s="9"/>
      <c r="D329" s="9"/>
      <c r="E329" s="9"/>
      <c r="F329" s="10"/>
      <c r="G329" s="9"/>
      <c r="H329" s="9"/>
      <c r="I329" s="9"/>
      <c r="J329" s="9"/>
      <c r="K329" s="9"/>
      <c r="L329" s="9"/>
      <c r="O329" s="9"/>
      <c r="P329" s="9"/>
      <c r="Q329" s="9"/>
      <c r="R329" s="9"/>
      <c r="S329" s="9"/>
      <c r="T329" s="9"/>
    </row>
    <row r="330" spans="3:20">
      <c r="C330" s="9"/>
      <c r="D330" s="9"/>
      <c r="E330" s="9"/>
      <c r="F330" s="10"/>
      <c r="G330" s="9"/>
      <c r="H330" s="9"/>
      <c r="I330" s="9"/>
      <c r="J330" s="9"/>
      <c r="K330" s="9"/>
      <c r="L330" s="9"/>
      <c r="O330" s="9"/>
      <c r="P330" s="9"/>
      <c r="Q330" s="9"/>
      <c r="R330" s="9"/>
      <c r="S330" s="9"/>
      <c r="T330" s="9"/>
    </row>
    <row r="331" spans="3:20">
      <c r="C331" s="9"/>
      <c r="D331" s="9"/>
      <c r="E331" s="9"/>
      <c r="F331" s="10"/>
      <c r="G331" s="9"/>
      <c r="H331" s="9"/>
      <c r="I331" s="9"/>
      <c r="J331" s="9"/>
      <c r="K331" s="9"/>
      <c r="L331" s="9"/>
      <c r="O331" s="9"/>
      <c r="P331" s="9"/>
      <c r="Q331" s="9"/>
      <c r="R331" s="9"/>
      <c r="S331" s="9"/>
      <c r="T331" s="9"/>
    </row>
    <row r="332" spans="3:20">
      <c r="C332" s="9"/>
      <c r="D332" s="9"/>
      <c r="E332" s="9"/>
      <c r="F332" s="10"/>
      <c r="G332" s="9"/>
      <c r="H332" s="9"/>
      <c r="I332" s="9"/>
      <c r="J332" s="9"/>
      <c r="K332" s="9"/>
      <c r="L332" s="9"/>
      <c r="O332" s="9"/>
      <c r="P332" s="9"/>
      <c r="Q332" s="9"/>
      <c r="R332" s="9"/>
      <c r="S332" s="9"/>
      <c r="T332" s="9"/>
    </row>
    <row r="333" spans="3:20">
      <c r="C333" s="9"/>
      <c r="D333" s="9"/>
      <c r="E333" s="9"/>
      <c r="F333" s="10"/>
      <c r="G333" s="9"/>
      <c r="H333" s="9"/>
      <c r="I333" s="9"/>
      <c r="J333" s="9"/>
      <c r="K333" s="9"/>
      <c r="L333" s="9"/>
      <c r="O333" s="9"/>
      <c r="P333" s="9"/>
      <c r="Q333" s="9"/>
      <c r="R333" s="9"/>
      <c r="S333" s="9"/>
      <c r="T333" s="9"/>
    </row>
    <row r="334" spans="3:20">
      <c r="C334" s="9"/>
      <c r="D334" s="9"/>
      <c r="E334" s="9"/>
      <c r="F334" s="10"/>
      <c r="G334" s="9"/>
      <c r="H334" s="9"/>
      <c r="I334" s="9"/>
      <c r="J334" s="9"/>
      <c r="K334" s="9"/>
      <c r="L334" s="9"/>
      <c r="O334" s="9"/>
      <c r="P334" s="9"/>
      <c r="Q334" s="9"/>
      <c r="R334" s="9"/>
      <c r="S334" s="9"/>
      <c r="T334" s="9"/>
    </row>
    <row r="335" spans="3:20">
      <c r="C335" s="9"/>
      <c r="D335" s="9"/>
      <c r="E335" s="9"/>
      <c r="F335" s="10"/>
      <c r="G335" s="9"/>
      <c r="H335" s="9"/>
      <c r="I335" s="9"/>
      <c r="J335" s="9"/>
      <c r="K335" s="9"/>
      <c r="L335" s="9"/>
      <c r="O335" s="9"/>
      <c r="P335" s="9"/>
      <c r="Q335" s="9"/>
      <c r="R335" s="9"/>
      <c r="S335" s="9"/>
      <c r="T335" s="9"/>
    </row>
    <row r="336" spans="3:20">
      <c r="C336" s="9"/>
      <c r="D336" s="9"/>
      <c r="E336" s="9"/>
      <c r="F336" s="10"/>
      <c r="G336" s="9"/>
      <c r="H336" s="9"/>
      <c r="I336" s="9"/>
      <c r="J336" s="9"/>
      <c r="K336" s="9"/>
      <c r="L336" s="9"/>
      <c r="O336" s="9"/>
      <c r="P336" s="9"/>
      <c r="Q336" s="9"/>
      <c r="R336" s="9"/>
      <c r="S336" s="9"/>
      <c r="T336" s="9"/>
    </row>
    <row r="337" spans="3:20">
      <c r="C337" s="9"/>
      <c r="D337" s="9"/>
      <c r="E337" s="9"/>
      <c r="F337" s="10"/>
      <c r="G337" s="9"/>
      <c r="H337" s="9"/>
      <c r="I337" s="9"/>
      <c r="J337" s="9"/>
      <c r="K337" s="9"/>
      <c r="L337" s="9"/>
      <c r="O337" s="9"/>
      <c r="P337" s="9"/>
      <c r="Q337" s="9"/>
      <c r="R337" s="9"/>
      <c r="S337" s="9"/>
      <c r="T337" s="9"/>
    </row>
    <row r="338" spans="3:20">
      <c r="C338" s="9"/>
      <c r="D338" s="9"/>
      <c r="E338" s="9"/>
      <c r="F338" s="10"/>
      <c r="G338" s="9"/>
      <c r="H338" s="9"/>
      <c r="I338" s="9"/>
      <c r="J338" s="9"/>
      <c r="K338" s="9"/>
      <c r="L338" s="9"/>
      <c r="O338" s="9"/>
      <c r="P338" s="9"/>
      <c r="Q338" s="9"/>
      <c r="R338" s="9"/>
      <c r="S338" s="9"/>
      <c r="T338" s="9"/>
    </row>
    <row r="339" spans="3:20">
      <c r="C339" s="9"/>
      <c r="D339" s="9"/>
      <c r="E339" s="9"/>
      <c r="F339" s="10"/>
      <c r="G339" s="9"/>
      <c r="H339" s="9"/>
      <c r="I339" s="9"/>
      <c r="J339" s="9"/>
      <c r="K339" s="9"/>
      <c r="L339" s="9"/>
      <c r="O339" s="9"/>
      <c r="P339" s="9"/>
      <c r="Q339" s="9"/>
      <c r="R339" s="9"/>
      <c r="S339" s="9"/>
      <c r="T339" s="9"/>
    </row>
    <row r="340" spans="3:20">
      <c r="C340" s="9"/>
      <c r="D340" s="9"/>
      <c r="E340" s="9"/>
      <c r="F340" s="10"/>
      <c r="G340" s="9"/>
      <c r="H340" s="9"/>
      <c r="I340" s="9"/>
      <c r="J340" s="9"/>
      <c r="K340" s="9"/>
      <c r="L340" s="9"/>
      <c r="O340" s="9"/>
      <c r="P340" s="9"/>
      <c r="Q340" s="9"/>
      <c r="R340" s="9"/>
      <c r="S340" s="9"/>
      <c r="T340" s="9"/>
    </row>
    <row r="341" spans="3:20">
      <c r="C341" s="9"/>
      <c r="D341" s="9"/>
      <c r="E341" s="9"/>
      <c r="F341" s="10"/>
      <c r="G341" s="9"/>
      <c r="H341" s="9"/>
      <c r="I341" s="9"/>
      <c r="J341" s="9"/>
      <c r="K341" s="9"/>
      <c r="L341" s="9"/>
      <c r="O341" s="9"/>
      <c r="P341" s="9"/>
      <c r="Q341" s="9"/>
      <c r="R341" s="9"/>
      <c r="S341" s="9"/>
      <c r="T341" s="9"/>
    </row>
    <row r="342" spans="3:20">
      <c r="C342" s="9"/>
      <c r="D342" s="9"/>
      <c r="E342" s="9"/>
      <c r="F342" s="10"/>
      <c r="G342" s="9"/>
      <c r="H342" s="9"/>
      <c r="I342" s="9"/>
      <c r="J342" s="9"/>
      <c r="K342" s="9"/>
      <c r="L342" s="9"/>
      <c r="O342" s="9"/>
      <c r="P342" s="9"/>
      <c r="Q342" s="9"/>
      <c r="R342" s="9"/>
      <c r="S342" s="9"/>
      <c r="T342" s="9"/>
    </row>
    <row r="343" spans="3:20">
      <c r="C343" s="9"/>
      <c r="D343" s="9"/>
      <c r="E343" s="9"/>
      <c r="F343" s="10"/>
      <c r="G343" s="9"/>
      <c r="H343" s="9"/>
      <c r="I343" s="9"/>
      <c r="J343" s="9"/>
      <c r="K343" s="9"/>
      <c r="L343" s="9"/>
      <c r="O343" s="9"/>
      <c r="P343" s="9"/>
      <c r="Q343" s="9"/>
      <c r="R343" s="9"/>
      <c r="S343" s="9"/>
      <c r="T343" s="9"/>
    </row>
    <row r="344" spans="3:20">
      <c r="C344" s="9"/>
      <c r="D344" s="9"/>
      <c r="E344" s="9"/>
      <c r="F344" s="10"/>
      <c r="G344" s="9"/>
      <c r="H344" s="9"/>
      <c r="I344" s="9"/>
      <c r="J344" s="9"/>
      <c r="K344" s="9"/>
      <c r="L344" s="9"/>
      <c r="O344" s="9"/>
      <c r="P344" s="9"/>
      <c r="Q344" s="9"/>
      <c r="R344" s="9"/>
      <c r="S344" s="9"/>
      <c r="T344" s="9"/>
    </row>
    <row r="345" spans="3:20">
      <c r="C345" s="9"/>
      <c r="D345" s="9"/>
      <c r="E345" s="9"/>
      <c r="F345" s="10"/>
      <c r="G345" s="9"/>
      <c r="H345" s="9"/>
      <c r="I345" s="9"/>
      <c r="J345" s="9"/>
      <c r="K345" s="9"/>
      <c r="L345" s="9"/>
      <c r="O345" s="9"/>
      <c r="P345" s="9"/>
      <c r="Q345" s="9"/>
      <c r="R345" s="9"/>
      <c r="S345" s="9"/>
      <c r="T345" s="9"/>
    </row>
    <row r="346" spans="3:20">
      <c r="C346" s="9"/>
      <c r="D346" s="9"/>
      <c r="E346" s="9"/>
      <c r="F346" s="10"/>
      <c r="G346" s="9"/>
      <c r="H346" s="9"/>
      <c r="I346" s="9"/>
      <c r="J346" s="9"/>
      <c r="K346" s="9"/>
      <c r="L346" s="9"/>
      <c r="O346" s="9"/>
      <c r="P346" s="9"/>
      <c r="Q346" s="9"/>
      <c r="R346" s="9"/>
      <c r="S346" s="9"/>
      <c r="T346" s="9"/>
    </row>
    <row r="347" spans="3:20">
      <c r="C347" s="9"/>
      <c r="D347" s="9"/>
      <c r="E347" s="9"/>
      <c r="F347" s="10"/>
      <c r="G347" s="9"/>
      <c r="H347" s="9"/>
      <c r="I347" s="9"/>
      <c r="J347" s="9"/>
      <c r="K347" s="9"/>
      <c r="L347" s="9"/>
      <c r="O347" s="9"/>
      <c r="P347" s="9"/>
      <c r="Q347" s="9"/>
      <c r="R347" s="9"/>
      <c r="S347" s="9"/>
      <c r="T347" s="9"/>
    </row>
    <row r="348" spans="3:20">
      <c r="C348" s="9"/>
      <c r="D348" s="9"/>
      <c r="E348" s="9"/>
      <c r="F348" s="10"/>
      <c r="G348" s="9"/>
      <c r="H348" s="9"/>
      <c r="I348" s="9"/>
      <c r="J348" s="9"/>
      <c r="K348" s="9"/>
      <c r="L348" s="9"/>
      <c r="O348" s="9"/>
      <c r="P348" s="9"/>
      <c r="Q348" s="9"/>
      <c r="R348" s="9"/>
      <c r="S348" s="9"/>
      <c r="T348" s="9"/>
    </row>
    <row r="349" spans="3:20">
      <c r="C349" s="9"/>
      <c r="D349" s="9"/>
      <c r="E349" s="9"/>
      <c r="F349" s="10"/>
      <c r="G349" s="9"/>
      <c r="H349" s="9"/>
      <c r="I349" s="9"/>
      <c r="J349" s="9"/>
      <c r="K349" s="9"/>
      <c r="L349" s="9"/>
      <c r="O349" s="9"/>
      <c r="P349" s="9"/>
      <c r="Q349" s="9"/>
      <c r="R349" s="9"/>
      <c r="S349" s="9"/>
      <c r="T349" s="9"/>
    </row>
    <row r="350" spans="3:20">
      <c r="C350" s="9"/>
      <c r="D350" s="9"/>
      <c r="E350" s="9"/>
      <c r="F350" s="10"/>
      <c r="G350" s="9"/>
      <c r="H350" s="9"/>
      <c r="I350" s="9"/>
      <c r="J350" s="9"/>
      <c r="K350" s="9"/>
      <c r="L350" s="9"/>
      <c r="O350" s="9"/>
      <c r="P350" s="9"/>
      <c r="Q350" s="9"/>
      <c r="R350" s="9"/>
      <c r="S350" s="9"/>
      <c r="T350" s="9"/>
    </row>
    <row r="351" spans="3:20">
      <c r="C351" s="9"/>
      <c r="D351" s="9"/>
      <c r="E351" s="9"/>
      <c r="F351" s="10"/>
      <c r="G351" s="9"/>
      <c r="H351" s="9"/>
      <c r="I351" s="9"/>
      <c r="J351" s="9"/>
      <c r="K351" s="9"/>
      <c r="L351" s="9"/>
      <c r="O351" s="9"/>
      <c r="P351" s="9"/>
      <c r="Q351" s="9"/>
      <c r="R351" s="9"/>
      <c r="S351" s="9"/>
      <c r="T351" s="9"/>
    </row>
    <row r="352" spans="3:20">
      <c r="C352" s="9"/>
      <c r="D352" s="9"/>
      <c r="E352" s="9"/>
      <c r="F352" s="10"/>
      <c r="G352" s="9"/>
      <c r="H352" s="9"/>
      <c r="I352" s="9"/>
      <c r="J352" s="9"/>
      <c r="K352" s="9"/>
      <c r="L352" s="9"/>
      <c r="O352" s="9"/>
      <c r="P352" s="9"/>
      <c r="Q352" s="9"/>
      <c r="R352" s="9"/>
      <c r="S352" s="9"/>
      <c r="T352" s="9"/>
    </row>
    <row r="353" spans="3:20">
      <c r="C353" s="9"/>
      <c r="D353" s="9"/>
      <c r="E353" s="9"/>
      <c r="F353" s="10"/>
      <c r="G353" s="9"/>
      <c r="H353" s="9"/>
      <c r="I353" s="9"/>
      <c r="J353" s="9"/>
      <c r="K353" s="9"/>
      <c r="L353" s="9"/>
      <c r="O353" s="9"/>
      <c r="P353" s="9"/>
      <c r="Q353" s="9"/>
      <c r="R353" s="9"/>
      <c r="S353" s="9"/>
      <c r="T353" s="9"/>
    </row>
    <row r="354" spans="3:20">
      <c r="C354" s="9"/>
      <c r="D354" s="9"/>
      <c r="E354" s="9"/>
      <c r="F354" s="10"/>
      <c r="G354" s="9"/>
      <c r="H354" s="9"/>
      <c r="I354" s="9"/>
      <c r="J354" s="9"/>
      <c r="K354" s="9"/>
      <c r="L354" s="9"/>
      <c r="O354" s="9"/>
      <c r="P354" s="9"/>
      <c r="Q354" s="9"/>
      <c r="R354" s="9"/>
      <c r="S354" s="9"/>
      <c r="T354" s="9"/>
    </row>
    <row r="355" spans="3:20">
      <c r="C355" s="9"/>
      <c r="D355" s="9"/>
      <c r="E355" s="9"/>
      <c r="F355" s="10"/>
      <c r="G355" s="9"/>
      <c r="H355" s="9"/>
      <c r="I355" s="9"/>
      <c r="J355" s="9"/>
      <c r="K355" s="9"/>
      <c r="L355" s="9"/>
      <c r="O355" s="9"/>
      <c r="P355" s="9"/>
      <c r="Q355" s="9"/>
      <c r="R355" s="9"/>
      <c r="S355" s="9"/>
      <c r="T355" s="9"/>
    </row>
    <row r="356" spans="3:20">
      <c r="C356" s="9"/>
      <c r="D356" s="9"/>
      <c r="E356" s="9"/>
      <c r="F356" s="10"/>
      <c r="G356" s="9"/>
      <c r="H356" s="9"/>
      <c r="I356" s="9"/>
      <c r="J356" s="9"/>
      <c r="K356" s="9"/>
      <c r="L356" s="9"/>
      <c r="O356" s="9"/>
      <c r="P356" s="9"/>
      <c r="Q356" s="9"/>
      <c r="R356" s="9"/>
      <c r="S356" s="9"/>
      <c r="T356" s="9"/>
    </row>
    <row r="357" spans="3:20">
      <c r="C357" s="9"/>
      <c r="D357" s="9"/>
      <c r="E357" s="9"/>
      <c r="F357" s="10"/>
      <c r="G357" s="9"/>
      <c r="H357" s="9"/>
      <c r="I357" s="9"/>
      <c r="J357" s="9"/>
      <c r="K357" s="9"/>
      <c r="L357" s="9"/>
      <c r="O357" s="9"/>
      <c r="P357" s="9"/>
      <c r="Q357" s="9"/>
      <c r="R357" s="9"/>
      <c r="S357" s="9"/>
      <c r="T357" s="9"/>
    </row>
    <row r="358" spans="3:20">
      <c r="C358" s="9"/>
      <c r="D358" s="9"/>
      <c r="E358" s="9"/>
      <c r="F358" s="10"/>
      <c r="G358" s="9"/>
      <c r="H358" s="9"/>
      <c r="I358" s="9"/>
      <c r="J358" s="9"/>
      <c r="K358" s="9"/>
      <c r="L358" s="9"/>
      <c r="O358" s="9"/>
      <c r="P358" s="9"/>
      <c r="Q358" s="9"/>
      <c r="R358" s="9"/>
      <c r="S358" s="9"/>
      <c r="T358" s="9"/>
    </row>
    <row r="359" spans="3:20">
      <c r="C359" s="9"/>
      <c r="D359" s="9"/>
      <c r="E359" s="9"/>
      <c r="F359" s="10"/>
      <c r="G359" s="9"/>
      <c r="H359" s="9"/>
      <c r="I359" s="9"/>
      <c r="J359" s="9"/>
      <c r="K359" s="9"/>
      <c r="L359" s="9"/>
      <c r="O359" s="9"/>
      <c r="P359" s="9"/>
      <c r="Q359" s="9"/>
      <c r="R359" s="9"/>
      <c r="S359" s="9"/>
      <c r="T359" s="9"/>
    </row>
    <row r="360" spans="3:20">
      <c r="C360" s="9"/>
      <c r="D360" s="9"/>
      <c r="E360" s="9"/>
      <c r="F360" s="10"/>
      <c r="G360" s="9"/>
      <c r="H360" s="9"/>
      <c r="I360" s="9"/>
      <c r="J360" s="9"/>
      <c r="K360" s="9"/>
      <c r="L360" s="9"/>
      <c r="O360" s="9"/>
      <c r="P360" s="9"/>
      <c r="Q360" s="9"/>
      <c r="R360" s="9"/>
      <c r="S360" s="9"/>
      <c r="T360" s="9"/>
    </row>
    <row r="361" spans="3:20">
      <c r="C361" s="9"/>
      <c r="D361" s="9"/>
      <c r="E361" s="9"/>
      <c r="F361" s="10"/>
      <c r="G361" s="9"/>
      <c r="H361" s="9"/>
      <c r="I361" s="9"/>
      <c r="J361" s="9"/>
      <c r="K361" s="9"/>
      <c r="L361" s="9"/>
      <c r="O361" s="9"/>
      <c r="P361" s="9"/>
      <c r="Q361" s="9"/>
      <c r="R361" s="9"/>
      <c r="S361" s="9"/>
      <c r="T361" s="9"/>
    </row>
    <row r="362" spans="3:20">
      <c r="C362" s="9"/>
      <c r="D362" s="9"/>
      <c r="E362" s="9"/>
      <c r="F362" s="10"/>
      <c r="G362" s="9"/>
      <c r="H362" s="9"/>
      <c r="I362" s="9"/>
      <c r="J362" s="9"/>
      <c r="K362" s="9"/>
      <c r="L362" s="9"/>
      <c r="O362" s="9"/>
      <c r="P362" s="9"/>
      <c r="Q362" s="9"/>
      <c r="R362" s="9"/>
      <c r="S362" s="9"/>
      <c r="T362" s="9"/>
    </row>
    <row r="363" spans="3:20">
      <c r="C363" s="9"/>
      <c r="D363" s="9"/>
      <c r="E363" s="9"/>
      <c r="F363" s="10"/>
      <c r="G363" s="9"/>
      <c r="H363" s="9"/>
      <c r="I363" s="9"/>
      <c r="J363" s="9"/>
      <c r="K363" s="9"/>
      <c r="L363" s="9"/>
      <c r="O363" s="9"/>
      <c r="P363" s="9"/>
      <c r="Q363" s="9"/>
      <c r="R363" s="9"/>
      <c r="S363" s="9"/>
      <c r="T363" s="9"/>
    </row>
    <row r="364" spans="3:20">
      <c r="C364" s="9"/>
      <c r="D364" s="9"/>
      <c r="E364" s="9"/>
      <c r="F364" s="10"/>
      <c r="G364" s="9"/>
      <c r="H364" s="9"/>
      <c r="I364" s="9"/>
      <c r="J364" s="9"/>
      <c r="K364" s="9"/>
      <c r="L364" s="9"/>
      <c r="O364" s="9"/>
      <c r="P364" s="9"/>
      <c r="Q364" s="9"/>
      <c r="R364" s="9"/>
      <c r="S364" s="9"/>
      <c r="T364" s="9"/>
    </row>
    <row r="365" spans="3:20">
      <c r="C365" s="9"/>
      <c r="D365" s="9"/>
      <c r="E365" s="9"/>
      <c r="F365" s="10"/>
      <c r="G365" s="9"/>
      <c r="H365" s="9"/>
      <c r="I365" s="9"/>
      <c r="J365" s="9"/>
      <c r="K365" s="9"/>
      <c r="L365" s="9"/>
      <c r="O365" s="9"/>
      <c r="P365" s="9"/>
      <c r="Q365" s="9"/>
      <c r="R365" s="9"/>
      <c r="S365" s="9"/>
      <c r="T365" s="9"/>
    </row>
    <row r="366" spans="3:20">
      <c r="C366" s="9"/>
      <c r="D366" s="9"/>
      <c r="E366" s="9"/>
      <c r="F366" s="10"/>
      <c r="G366" s="9"/>
      <c r="H366" s="9"/>
      <c r="I366" s="9"/>
      <c r="J366" s="9"/>
      <c r="K366" s="9"/>
      <c r="L366" s="9"/>
      <c r="O366" s="9"/>
      <c r="P366" s="9"/>
      <c r="Q366" s="9"/>
      <c r="R366" s="9"/>
      <c r="S366" s="9"/>
      <c r="T366" s="9"/>
    </row>
    <row r="367" spans="3:20">
      <c r="C367" s="9"/>
      <c r="D367" s="9"/>
      <c r="E367" s="9"/>
      <c r="F367" s="10"/>
      <c r="G367" s="9"/>
      <c r="H367" s="9"/>
      <c r="I367" s="9"/>
      <c r="J367" s="9"/>
      <c r="K367" s="9"/>
      <c r="L367" s="9"/>
      <c r="O367" s="9"/>
      <c r="P367" s="9"/>
      <c r="Q367" s="9"/>
      <c r="R367" s="9"/>
      <c r="S367" s="9"/>
      <c r="T367" s="9"/>
    </row>
    <row r="368" spans="3:20">
      <c r="C368" s="9"/>
      <c r="D368" s="9"/>
      <c r="E368" s="9"/>
      <c r="F368" s="10"/>
      <c r="G368" s="9"/>
      <c r="H368" s="9"/>
      <c r="I368" s="9"/>
      <c r="J368" s="9"/>
      <c r="K368" s="9"/>
      <c r="L368" s="9"/>
      <c r="O368" s="9"/>
      <c r="P368" s="9"/>
      <c r="Q368" s="9"/>
      <c r="R368" s="9"/>
      <c r="S368" s="9"/>
      <c r="T368" s="9"/>
    </row>
    <row r="369" spans="3:20">
      <c r="C369" s="9"/>
      <c r="D369" s="9"/>
      <c r="E369" s="9"/>
      <c r="F369" s="10"/>
      <c r="G369" s="9"/>
      <c r="H369" s="9"/>
      <c r="I369" s="9"/>
      <c r="J369" s="9"/>
      <c r="K369" s="9"/>
      <c r="L369" s="9"/>
      <c r="O369" s="9"/>
      <c r="P369" s="9"/>
      <c r="Q369" s="9"/>
      <c r="R369" s="9"/>
      <c r="S369" s="9"/>
      <c r="T369" s="9"/>
    </row>
    <row r="370" spans="3:20">
      <c r="C370" s="9"/>
      <c r="D370" s="9"/>
      <c r="E370" s="9"/>
      <c r="F370" s="10"/>
      <c r="G370" s="9"/>
      <c r="H370" s="9"/>
      <c r="I370" s="9"/>
      <c r="J370" s="9"/>
      <c r="K370" s="9"/>
      <c r="L370" s="9"/>
      <c r="O370" s="9"/>
      <c r="P370" s="9"/>
      <c r="Q370" s="9"/>
      <c r="R370" s="9"/>
      <c r="S370" s="9"/>
      <c r="T370" s="9"/>
    </row>
    <row r="371" spans="3:20">
      <c r="C371" s="9"/>
      <c r="D371" s="9"/>
      <c r="E371" s="9"/>
      <c r="F371" s="10"/>
      <c r="G371" s="9"/>
      <c r="H371" s="9"/>
      <c r="I371" s="9"/>
      <c r="J371" s="9"/>
      <c r="K371" s="9"/>
      <c r="L371" s="9"/>
      <c r="O371" s="9"/>
      <c r="P371" s="9"/>
      <c r="Q371" s="9"/>
      <c r="R371" s="9"/>
      <c r="S371" s="9"/>
      <c r="T371" s="9"/>
    </row>
    <row r="372" spans="3:20">
      <c r="C372" s="9"/>
      <c r="D372" s="9"/>
      <c r="E372" s="9"/>
      <c r="F372" s="10"/>
      <c r="G372" s="9"/>
      <c r="H372" s="9"/>
      <c r="I372" s="9"/>
      <c r="J372" s="9"/>
      <c r="K372" s="9"/>
      <c r="L372" s="9"/>
      <c r="O372" s="9"/>
      <c r="P372" s="9"/>
      <c r="Q372" s="9"/>
      <c r="R372" s="9"/>
      <c r="S372" s="9"/>
      <c r="T372" s="9"/>
    </row>
    <row r="373" spans="3:20">
      <c r="C373" s="9"/>
      <c r="D373" s="9"/>
      <c r="E373" s="9"/>
      <c r="F373" s="10"/>
      <c r="G373" s="9"/>
      <c r="H373" s="9"/>
      <c r="I373" s="9"/>
      <c r="J373" s="9"/>
      <c r="K373" s="9"/>
      <c r="L373" s="9"/>
      <c r="O373" s="9"/>
      <c r="P373" s="9"/>
      <c r="Q373" s="9"/>
      <c r="R373" s="9"/>
      <c r="S373" s="9"/>
      <c r="T373" s="9"/>
    </row>
    <row r="374" spans="3:20">
      <c r="C374" s="9"/>
      <c r="D374" s="9"/>
      <c r="E374" s="9"/>
      <c r="F374" s="10"/>
      <c r="G374" s="9"/>
      <c r="H374" s="9"/>
      <c r="I374" s="9"/>
      <c r="J374" s="9"/>
      <c r="K374" s="9"/>
      <c r="L374" s="9"/>
      <c r="O374" s="9"/>
      <c r="P374" s="9"/>
      <c r="Q374" s="9"/>
      <c r="R374" s="9"/>
      <c r="S374" s="9"/>
      <c r="T374" s="9"/>
    </row>
    <row r="375" spans="3:20">
      <c r="C375" s="9"/>
      <c r="D375" s="9"/>
      <c r="E375" s="9"/>
      <c r="F375" s="10"/>
      <c r="G375" s="9"/>
      <c r="H375" s="9"/>
      <c r="I375" s="9"/>
      <c r="J375" s="9"/>
      <c r="K375" s="9"/>
      <c r="L375" s="9"/>
      <c r="O375" s="9"/>
      <c r="P375" s="9"/>
      <c r="Q375" s="9"/>
      <c r="R375" s="9"/>
      <c r="S375" s="9"/>
      <c r="T375" s="9"/>
    </row>
    <row r="376" spans="3:20">
      <c r="C376" s="9"/>
      <c r="D376" s="9"/>
      <c r="E376" s="9"/>
      <c r="F376" s="10"/>
      <c r="G376" s="9"/>
      <c r="H376" s="9"/>
      <c r="I376" s="9"/>
      <c r="J376" s="9"/>
      <c r="K376" s="9"/>
      <c r="L376" s="9"/>
      <c r="O376" s="9"/>
      <c r="P376" s="9"/>
      <c r="Q376" s="9"/>
      <c r="R376" s="9"/>
      <c r="S376" s="9"/>
      <c r="T376" s="9"/>
    </row>
    <row r="377" spans="3:20">
      <c r="C377" s="9"/>
      <c r="D377" s="9"/>
      <c r="E377" s="9"/>
      <c r="F377" s="10"/>
      <c r="G377" s="9"/>
      <c r="H377" s="9"/>
      <c r="I377" s="9"/>
      <c r="J377" s="9"/>
      <c r="K377" s="9"/>
      <c r="L377" s="9"/>
      <c r="O377" s="9"/>
      <c r="P377" s="9"/>
      <c r="Q377" s="9"/>
      <c r="R377" s="9"/>
      <c r="S377" s="9"/>
      <c r="T377" s="9"/>
    </row>
    <row r="378" spans="3:20">
      <c r="C378" s="9"/>
      <c r="D378" s="9"/>
      <c r="E378" s="9"/>
      <c r="F378" s="10"/>
      <c r="G378" s="9"/>
      <c r="H378" s="9"/>
      <c r="I378" s="9"/>
      <c r="J378" s="9"/>
      <c r="K378" s="9"/>
      <c r="L378" s="9"/>
      <c r="O378" s="9"/>
      <c r="P378" s="9"/>
      <c r="Q378" s="9"/>
      <c r="R378" s="9"/>
      <c r="S378" s="9"/>
      <c r="T378" s="9"/>
    </row>
    <row r="379" spans="3:20">
      <c r="C379" s="9"/>
      <c r="D379" s="9"/>
      <c r="E379" s="9"/>
      <c r="F379" s="10"/>
      <c r="G379" s="9"/>
      <c r="H379" s="9"/>
      <c r="I379" s="9"/>
      <c r="J379" s="9"/>
      <c r="K379" s="9"/>
      <c r="L379" s="9"/>
      <c r="O379" s="9"/>
      <c r="P379" s="9"/>
      <c r="Q379" s="9"/>
      <c r="R379" s="9"/>
      <c r="S379" s="9"/>
      <c r="T379" s="9"/>
    </row>
    <row r="380" spans="3:20">
      <c r="C380" s="9"/>
      <c r="D380" s="9"/>
      <c r="E380" s="9"/>
      <c r="F380" s="10"/>
      <c r="G380" s="9"/>
      <c r="H380" s="9"/>
      <c r="I380" s="9"/>
      <c r="J380" s="9"/>
      <c r="K380" s="9"/>
      <c r="L380" s="9"/>
      <c r="O380" s="9"/>
      <c r="P380" s="9"/>
      <c r="Q380" s="9"/>
      <c r="R380" s="9"/>
      <c r="S380" s="9"/>
      <c r="T380" s="9"/>
    </row>
    <row r="381" spans="3:20">
      <c r="C381" s="9"/>
      <c r="D381" s="9"/>
      <c r="E381" s="9"/>
      <c r="F381" s="10"/>
      <c r="G381" s="9"/>
      <c r="H381" s="9"/>
      <c r="I381" s="9"/>
      <c r="J381" s="9"/>
      <c r="K381" s="9"/>
      <c r="L381" s="9"/>
      <c r="O381" s="9"/>
      <c r="P381" s="9"/>
      <c r="Q381" s="9"/>
      <c r="R381" s="9"/>
      <c r="S381" s="9"/>
      <c r="T381" s="9"/>
    </row>
    <row r="382" spans="3:20">
      <c r="C382" s="9"/>
      <c r="D382" s="9"/>
      <c r="E382" s="9"/>
      <c r="F382" s="10"/>
      <c r="G382" s="9"/>
      <c r="H382" s="9"/>
      <c r="I382" s="9"/>
      <c r="J382" s="9"/>
      <c r="K382" s="9"/>
      <c r="L382" s="9"/>
      <c r="O382" s="9"/>
      <c r="P382" s="9"/>
      <c r="Q382" s="9"/>
      <c r="R382" s="9"/>
      <c r="S382" s="9"/>
      <c r="T382" s="9"/>
    </row>
    <row r="383" spans="3:20">
      <c r="C383" s="9"/>
      <c r="D383" s="9"/>
      <c r="E383" s="9"/>
      <c r="F383" s="10"/>
      <c r="G383" s="9"/>
      <c r="H383" s="9"/>
      <c r="I383" s="9"/>
      <c r="J383" s="9"/>
      <c r="K383" s="9"/>
      <c r="L383" s="9"/>
      <c r="O383" s="9"/>
      <c r="P383" s="9"/>
      <c r="Q383" s="9"/>
      <c r="R383" s="9"/>
      <c r="S383" s="9"/>
      <c r="T383" s="9"/>
    </row>
    <row r="384" spans="3:20">
      <c r="C384" s="9"/>
      <c r="D384" s="9"/>
      <c r="E384" s="9"/>
      <c r="F384" s="10"/>
      <c r="G384" s="9"/>
      <c r="H384" s="9"/>
      <c r="I384" s="9"/>
      <c r="J384" s="9"/>
      <c r="K384" s="9"/>
      <c r="L384" s="9"/>
      <c r="O384" s="9"/>
      <c r="P384" s="9"/>
      <c r="Q384" s="9"/>
      <c r="R384" s="9"/>
      <c r="S384" s="9"/>
      <c r="T384" s="9"/>
    </row>
    <row r="385" spans="3:20">
      <c r="C385" s="9"/>
      <c r="D385" s="9"/>
      <c r="E385" s="9"/>
      <c r="F385" s="10"/>
      <c r="G385" s="9"/>
      <c r="H385" s="9"/>
      <c r="I385" s="9"/>
      <c r="J385" s="9"/>
      <c r="K385" s="9"/>
      <c r="L385" s="9"/>
      <c r="O385" s="9"/>
      <c r="P385" s="9"/>
      <c r="Q385" s="9"/>
      <c r="R385" s="9"/>
      <c r="S385" s="9"/>
      <c r="T385" s="9"/>
    </row>
    <row r="386" spans="3:20">
      <c r="C386" s="9"/>
      <c r="D386" s="9"/>
      <c r="E386" s="9"/>
      <c r="F386" s="10"/>
      <c r="G386" s="9"/>
      <c r="H386" s="9"/>
      <c r="I386" s="9"/>
      <c r="J386" s="9"/>
      <c r="K386" s="9"/>
      <c r="L386" s="9"/>
      <c r="O386" s="9"/>
      <c r="P386" s="9"/>
      <c r="Q386" s="9"/>
      <c r="R386" s="9"/>
      <c r="S386" s="9"/>
      <c r="T386" s="9"/>
    </row>
    <row r="387" spans="3:20">
      <c r="C387" s="9"/>
      <c r="D387" s="9"/>
      <c r="E387" s="9"/>
      <c r="F387" s="10"/>
      <c r="G387" s="9"/>
      <c r="H387" s="9"/>
      <c r="I387" s="9"/>
      <c r="J387" s="9"/>
      <c r="K387" s="9"/>
      <c r="L387" s="9"/>
      <c r="O387" s="9"/>
      <c r="P387" s="9"/>
      <c r="Q387" s="9"/>
      <c r="R387" s="9"/>
      <c r="S387" s="9"/>
      <c r="T387" s="9"/>
    </row>
    <row r="388" spans="3:20">
      <c r="C388" s="9"/>
      <c r="D388" s="9"/>
      <c r="E388" s="9"/>
      <c r="F388" s="10"/>
      <c r="G388" s="9"/>
      <c r="H388" s="9"/>
      <c r="I388" s="9"/>
      <c r="J388" s="9"/>
      <c r="K388" s="9"/>
      <c r="L388" s="9"/>
      <c r="O388" s="9"/>
      <c r="P388" s="9"/>
      <c r="Q388" s="9"/>
      <c r="R388" s="9"/>
      <c r="S388" s="9"/>
      <c r="T388" s="9"/>
    </row>
    <row r="389" spans="3:20">
      <c r="C389" s="9"/>
      <c r="D389" s="9"/>
      <c r="E389" s="9"/>
      <c r="F389" s="10"/>
      <c r="G389" s="9"/>
      <c r="H389" s="9"/>
      <c r="I389" s="9"/>
      <c r="J389" s="9"/>
      <c r="K389" s="9"/>
      <c r="L389" s="9"/>
      <c r="O389" s="9"/>
      <c r="P389" s="9"/>
      <c r="Q389" s="9"/>
      <c r="R389" s="9"/>
      <c r="S389" s="9"/>
      <c r="T389" s="9"/>
    </row>
    <row r="390" spans="3:20">
      <c r="C390" s="9"/>
      <c r="D390" s="9"/>
      <c r="E390" s="9"/>
      <c r="F390" s="10"/>
      <c r="G390" s="9"/>
      <c r="H390" s="9"/>
      <c r="I390" s="9"/>
      <c r="J390" s="9"/>
      <c r="K390" s="9"/>
      <c r="L390" s="9"/>
      <c r="O390" s="9"/>
      <c r="P390" s="9"/>
      <c r="Q390" s="9"/>
      <c r="R390" s="9"/>
      <c r="S390" s="9"/>
      <c r="T390" s="9"/>
    </row>
    <row r="391" spans="3:20">
      <c r="C391" s="9"/>
      <c r="D391" s="9"/>
      <c r="E391" s="9"/>
      <c r="F391" s="10"/>
      <c r="G391" s="9"/>
      <c r="H391" s="9"/>
      <c r="I391" s="9"/>
      <c r="J391" s="9"/>
      <c r="K391" s="9"/>
      <c r="L391" s="9"/>
      <c r="O391" s="9"/>
      <c r="P391" s="9"/>
      <c r="Q391" s="9"/>
      <c r="R391" s="9"/>
      <c r="S391" s="9"/>
      <c r="T391" s="9"/>
    </row>
    <row r="392" spans="3:20">
      <c r="C392" s="9"/>
      <c r="D392" s="9"/>
      <c r="E392" s="9"/>
      <c r="F392" s="10"/>
      <c r="G392" s="9"/>
      <c r="H392" s="9"/>
      <c r="I392" s="9"/>
      <c r="J392" s="9"/>
      <c r="K392" s="9"/>
      <c r="L392" s="9"/>
      <c r="O392" s="9"/>
      <c r="P392" s="9"/>
      <c r="Q392" s="9"/>
      <c r="R392" s="9"/>
      <c r="S392" s="9"/>
      <c r="T392" s="9"/>
    </row>
    <row r="393" spans="3:20">
      <c r="C393" s="9"/>
      <c r="D393" s="9"/>
      <c r="E393" s="9"/>
      <c r="F393" s="10"/>
      <c r="G393" s="9"/>
      <c r="H393" s="9"/>
      <c r="I393" s="9"/>
      <c r="J393" s="9"/>
      <c r="K393" s="9"/>
      <c r="L393" s="9"/>
      <c r="O393" s="9"/>
      <c r="P393" s="9"/>
      <c r="Q393" s="9"/>
      <c r="R393" s="9"/>
      <c r="S393" s="9"/>
      <c r="T393" s="9"/>
    </row>
    <row r="394" spans="3:20">
      <c r="C394" s="9"/>
      <c r="D394" s="9"/>
      <c r="E394" s="9"/>
      <c r="F394" s="10"/>
      <c r="G394" s="9"/>
      <c r="H394" s="9"/>
      <c r="I394" s="9"/>
      <c r="J394" s="9"/>
      <c r="K394" s="9"/>
      <c r="L394" s="9"/>
      <c r="O394" s="9"/>
      <c r="P394" s="9"/>
      <c r="Q394" s="9"/>
      <c r="R394" s="9"/>
      <c r="S394" s="9"/>
      <c r="T394" s="9"/>
    </row>
    <row r="395" spans="3:20">
      <c r="C395" s="9"/>
      <c r="D395" s="9"/>
      <c r="E395" s="9"/>
      <c r="F395" s="10"/>
      <c r="G395" s="9"/>
      <c r="H395" s="9"/>
      <c r="I395" s="9"/>
      <c r="J395" s="9"/>
      <c r="K395" s="9"/>
      <c r="L395" s="9"/>
      <c r="O395" s="9"/>
      <c r="P395" s="9"/>
      <c r="Q395" s="9"/>
      <c r="R395" s="9"/>
      <c r="S395" s="9"/>
      <c r="T395" s="9"/>
    </row>
    <row r="396" spans="3:20">
      <c r="C396" s="9"/>
      <c r="D396" s="9"/>
      <c r="E396" s="9"/>
      <c r="F396" s="10"/>
      <c r="G396" s="9"/>
      <c r="H396" s="9"/>
      <c r="I396" s="9"/>
      <c r="J396" s="9"/>
      <c r="K396" s="9"/>
      <c r="L396" s="9"/>
      <c r="O396" s="9"/>
      <c r="P396" s="9"/>
      <c r="Q396" s="9"/>
      <c r="R396" s="9"/>
      <c r="S396" s="9"/>
      <c r="T396" s="9"/>
    </row>
    <row r="397" spans="3:20">
      <c r="C397" s="9"/>
      <c r="D397" s="9"/>
      <c r="E397" s="9"/>
      <c r="F397" s="10"/>
      <c r="G397" s="9"/>
      <c r="H397" s="9"/>
      <c r="I397" s="9"/>
      <c r="J397" s="9"/>
      <c r="K397" s="9"/>
      <c r="L397" s="9"/>
      <c r="O397" s="9"/>
      <c r="P397" s="9"/>
      <c r="Q397" s="9"/>
      <c r="R397" s="9"/>
      <c r="S397" s="9"/>
      <c r="T397" s="9"/>
    </row>
    <row r="398" spans="3:20">
      <c r="C398" s="9"/>
      <c r="D398" s="9"/>
      <c r="E398" s="9"/>
      <c r="F398" s="10"/>
      <c r="G398" s="9"/>
      <c r="H398" s="9"/>
      <c r="I398" s="9"/>
      <c r="J398" s="9"/>
      <c r="K398" s="9"/>
      <c r="L398" s="9"/>
      <c r="O398" s="9"/>
      <c r="P398" s="9"/>
      <c r="Q398" s="9"/>
      <c r="R398" s="9"/>
      <c r="S398" s="9"/>
      <c r="T398" s="9"/>
    </row>
    <row r="399" spans="3:20">
      <c r="C399" s="9"/>
      <c r="D399" s="9"/>
      <c r="E399" s="9"/>
      <c r="F399" s="10"/>
      <c r="G399" s="9"/>
      <c r="H399" s="9"/>
      <c r="I399" s="9"/>
      <c r="J399" s="9"/>
      <c r="K399" s="9"/>
      <c r="L399" s="9"/>
      <c r="O399" s="9"/>
      <c r="P399" s="9"/>
      <c r="Q399" s="9"/>
      <c r="R399" s="9"/>
      <c r="S399" s="9"/>
      <c r="T399" s="9"/>
    </row>
    <row r="400" spans="3:20">
      <c r="C400" s="9"/>
      <c r="D400" s="9"/>
      <c r="E400" s="9"/>
      <c r="F400" s="10"/>
      <c r="G400" s="9"/>
      <c r="H400" s="9"/>
      <c r="I400" s="9"/>
      <c r="J400" s="9"/>
      <c r="K400" s="9"/>
      <c r="L400" s="9"/>
      <c r="O400" s="9"/>
      <c r="P400" s="9"/>
      <c r="Q400" s="9"/>
      <c r="R400" s="9"/>
      <c r="S400" s="9"/>
      <c r="T400" s="9"/>
    </row>
    <row r="401" spans="3:20">
      <c r="C401" s="9"/>
      <c r="D401" s="9"/>
      <c r="E401" s="9"/>
      <c r="F401" s="10"/>
      <c r="G401" s="9"/>
      <c r="H401" s="9"/>
      <c r="I401" s="9"/>
      <c r="J401" s="9"/>
      <c r="K401" s="9"/>
      <c r="L401" s="9"/>
      <c r="O401" s="9"/>
      <c r="P401" s="9"/>
      <c r="Q401" s="9"/>
      <c r="R401" s="9"/>
      <c r="S401" s="9"/>
      <c r="T401" s="9"/>
    </row>
    <row r="402" spans="3:20">
      <c r="C402" s="9"/>
      <c r="D402" s="9"/>
      <c r="E402" s="9"/>
      <c r="F402" s="10"/>
      <c r="G402" s="9"/>
      <c r="H402" s="9"/>
      <c r="I402" s="9"/>
      <c r="J402" s="9"/>
      <c r="K402" s="9"/>
      <c r="L402" s="9"/>
      <c r="O402" s="9"/>
      <c r="P402" s="9"/>
      <c r="Q402" s="9"/>
      <c r="R402" s="9"/>
      <c r="S402" s="9"/>
      <c r="T402" s="9"/>
    </row>
    <row r="403" spans="3:20">
      <c r="C403" s="9"/>
      <c r="D403" s="9"/>
      <c r="E403" s="9"/>
      <c r="F403" s="10"/>
      <c r="G403" s="9"/>
      <c r="H403" s="9"/>
      <c r="I403" s="9"/>
      <c r="J403" s="9"/>
      <c r="K403" s="9"/>
      <c r="L403" s="9"/>
      <c r="O403" s="9"/>
      <c r="P403" s="9"/>
      <c r="Q403" s="9"/>
      <c r="R403" s="9"/>
      <c r="S403" s="9"/>
      <c r="T403" s="9"/>
    </row>
    <row r="404" spans="3:20">
      <c r="C404" s="9"/>
      <c r="D404" s="9"/>
      <c r="E404" s="9"/>
      <c r="F404" s="10"/>
      <c r="G404" s="9"/>
      <c r="H404" s="9"/>
      <c r="I404" s="9"/>
      <c r="J404" s="9"/>
      <c r="K404" s="9"/>
      <c r="L404" s="9"/>
      <c r="O404" s="9"/>
      <c r="P404" s="9"/>
      <c r="Q404" s="9"/>
      <c r="R404" s="9"/>
      <c r="S404" s="9"/>
      <c r="T404" s="9"/>
    </row>
    <row r="405" spans="3:20">
      <c r="C405" s="9"/>
      <c r="D405" s="9"/>
      <c r="E405" s="9"/>
      <c r="F405" s="10"/>
      <c r="G405" s="9"/>
      <c r="H405" s="9"/>
      <c r="I405" s="9"/>
      <c r="J405" s="9"/>
      <c r="K405" s="9"/>
      <c r="L405" s="9"/>
      <c r="O405" s="9"/>
      <c r="P405" s="9"/>
      <c r="Q405" s="9"/>
      <c r="R405" s="9"/>
      <c r="S405" s="9"/>
      <c r="T405" s="9"/>
    </row>
    <row r="406" spans="3:20">
      <c r="C406" s="9"/>
      <c r="D406" s="9"/>
      <c r="E406" s="9"/>
      <c r="F406" s="10"/>
      <c r="G406" s="9"/>
      <c r="H406" s="9"/>
      <c r="I406" s="9"/>
      <c r="J406" s="9"/>
      <c r="K406" s="9"/>
      <c r="L406" s="9"/>
      <c r="O406" s="9"/>
      <c r="P406" s="9"/>
      <c r="Q406" s="9"/>
      <c r="R406" s="9"/>
      <c r="S406" s="9"/>
      <c r="T406" s="9"/>
    </row>
    <row r="407" spans="3:20">
      <c r="C407" s="9"/>
      <c r="D407" s="9"/>
      <c r="E407" s="9"/>
      <c r="F407" s="10"/>
      <c r="G407" s="9"/>
      <c r="H407" s="9"/>
      <c r="I407" s="9"/>
      <c r="J407" s="9"/>
      <c r="K407" s="9"/>
      <c r="L407" s="9"/>
      <c r="O407" s="9"/>
      <c r="P407" s="9"/>
      <c r="Q407" s="9"/>
      <c r="R407" s="9"/>
      <c r="S407" s="9"/>
      <c r="T407" s="9"/>
    </row>
    <row r="408" spans="3:20">
      <c r="C408" s="9"/>
      <c r="D408" s="9"/>
      <c r="E408" s="9"/>
      <c r="F408" s="10"/>
      <c r="G408" s="9"/>
      <c r="H408" s="9"/>
      <c r="I408" s="9"/>
      <c r="J408" s="9"/>
      <c r="K408" s="9"/>
      <c r="L408" s="9"/>
      <c r="O408" s="9"/>
      <c r="P408" s="9"/>
      <c r="Q408" s="9"/>
      <c r="R408" s="9"/>
      <c r="S408" s="9"/>
      <c r="T408" s="9"/>
    </row>
    <row r="409" spans="3:20">
      <c r="C409" s="9"/>
      <c r="D409" s="9"/>
      <c r="E409" s="9"/>
      <c r="F409" s="10"/>
      <c r="G409" s="9"/>
      <c r="H409" s="9"/>
      <c r="I409" s="9"/>
      <c r="J409" s="9"/>
      <c r="K409" s="9"/>
      <c r="L409" s="9"/>
      <c r="O409" s="9"/>
      <c r="P409" s="9"/>
      <c r="Q409" s="9"/>
      <c r="R409" s="9"/>
      <c r="S409" s="9"/>
      <c r="T409" s="9"/>
    </row>
    <row r="410" spans="3:20">
      <c r="C410" s="9"/>
      <c r="D410" s="9"/>
      <c r="E410" s="9"/>
      <c r="F410" s="10"/>
      <c r="G410" s="9"/>
      <c r="H410" s="9"/>
      <c r="I410" s="9"/>
      <c r="J410" s="9"/>
      <c r="K410" s="9"/>
      <c r="L410" s="9"/>
      <c r="O410" s="9"/>
      <c r="P410" s="9"/>
      <c r="Q410" s="9"/>
      <c r="R410" s="9"/>
      <c r="S410" s="9"/>
      <c r="T410" s="9"/>
    </row>
    <row r="411" spans="3:20">
      <c r="C411" s="9"/>
      <c r="D411" s="9"/>
      <c r="E411" s="9"/>
      <c r="F411" s="10"/>
      <c r="G411" s="9"/>
      <c r="H411" s="9"/>
      <c r="I411" s="9"/>
      <c r="J411" s="9"/>
      <c r="K411" s="9"/>
      <c r="L411" s="9"/>
      <c r="O411" s="9"/>
      <c r="P411" s="9"/>
      <c r="Q411" s="9"/>
      <c r="R411" s="9"/>
      <c r="S411" s="9"/>
      <c r="T411" s="9"/>
    </row>
    <row r="412" spans="3:20">
      <c r="C412" s="9"/>
      <c r="D412" s="9"/>
      <c r="E412" s="9"/>
      <c r="F412" s="10"/>
      <c r="G412" s="9"/>
      <c r="H412" s="9"/>
      <c r="I412" s="9"/>
      <c r="J412" s="9"/>
      <c r="K412" s="9"/>
      <c r="L412" s="9"/>
      <c r="O412" s="9"/>
      <c r="P412" s="9"/>
      <c r="Q412" s="9"/>
      <c r="R412" s="9"/>
      <c r="S412" s="9"/>
      <c r="T412" s="9"/>
    </row>
    <row r="413" spans="3:20">
      <c r="C413" s="9"/>
      <c r="D413" s="9"/>
      <c r="E413" s="9"/>
      <c r="F413" s="10"/>
      <c r="G413" s="9"/>
      <c r="H413" s="9"/>
      <c r="I413" s="9"/>
      <c r="J413" s="9"/>
      <c r="K413" s="9"/>
      <c r="L413" s="9"/>
      <c r="O413" s="9"/>
      <c r="P413" s="9"/>
      <c r="Q413" s="9"/>
      <c r="R413" s="9"/>
      <c r="S413" s="9"/>
      <c r="T413" s="9"/>
    </row>
    <row r="414" spans="3:20">
      <c r="C414" s="9"/>
      <c r="D414" s="9"/>
      <c r="E414" s="9"/>
      <c r="F414" s="10"/>
      <c r="G414" s="9"/>
      <c r="H414" s="9"/>
      <c r="I414" s="9"/>
      <c r="J414" s="9"/>
      <c r="K414" s="9"/>
      <c r="L414" s="9"/>
      <c r="O414" s="9"/>
      <c r="P414" s="9"/>
      <c r="Q414" s="9"/>
      <c r="R414" s="9"/>
      <c r="S414" s="9"/>
      <c r="T414" s="9"/>
    </row>
    <row r="415" spans="3:20">
      <c r="C415" s="9"/>
      <c r="D415" s="9"/>
      <c r="E415" s="9"/>
      <c r="F415" s="10"/>
      <c r="G415" s="9"/>
      <c r="H415" s="9"/>
      <c r="I415" s="9"/>
      <c r="J415" s="9"/>
      <c r="K415" s="9"/>
      <c r="L415" s="9"/>
      <c r="O415" s="9"/>
      <c r="P415" s="9"/>
      <c r="Q415" s="9"/>
      <c r="R415" s="9"/>
      <c r="S415" s="9"/>
      <c r="T415" s="9"/>
    </row>
    <row r="416" spans="3:20">
      <c r="C416" s="9"/>
      <c r="D416" s="9"/>
      <c r="E416" s="9"/>
      <c r="F416" s="10"/>
      <c r="G416" s="9"/>
      <c r="H416" s="9"/>
      <c r="I416" s="9"/>
      <c r="J416" s="9"/>
      <c r="K416" s="9"/>
      <c r="L416" s="9"/>
      <c r="O416" s="9"/>
      <c r="P416" s="9"/>
      <c r="Q416" s="9"/>
      <c r="R416" s="9"/>
      <c r="S416" s="9"/>
      <c r="T416" s="9"/>
    </row>
    <row r="417" spans="3:20">
      <c r="C417" s="9"/>
      <c r="D417" s="9"/>
      <c r="E417" s="9"/>
      <c r="F417" s="10"/>
      <c r="G417" s="9"/>
      <c r="H417" s="9"/>
      <c r="I417" s="9"/>
      <c r="J417" s="9"/>
      <c r="K417" s="9"/>
      <c r="L417" s="9"/>
      <c r="O417" s="9"/>
      <c r="P417" s="9"/>
      <c r="Q417" s="9"/>
      <c r="R417" s="9"/>
      <c r="S417" s="9"/>
      <c r="T417" s="9"/>
    </row>
    <row r="418" spans="3:20">
      <c r="C418" s="9"/>
      <c r="D418" s="9"/>
      <c r="E418" s="9"/>
      <c r="F418" s="10"/>
      <c r="G418" s="9"/>
      <c r="H418" s="9"/>
      <c r="I418" s="9"/>
      <c r="J418" s="9"/>
      <c r="K418" s="9"/>
      <c r="L418" s="9"/>
      <c r="O418" s="9"/>
      <c r="P418" s="9"/>
      <c r="Q418" s="9"/>
      <c r="R418" s="9"/>
      <c r="S418" s="9"/>
      <c r="T418" s="9"/>
    </row>
    <row r="419" spans="3:20">
      <c r="C419" s="9"/>
      <c r="D419" s="9"/>
      <c r="E419" s="9"/>
      <c r="F419" s="10"/>
      <c r="G419" s="9"/>
      <c r="H419" s="9"/>
      <c r="I419" s="9"/>
      <c r="J419" s="9"/>
      <c r="K419" s="9"/>
      <c r="L419" s="9"/>
      <c r="O419" s="9"/>
      <c r="P419" s="9"/>
      <c r="Q419" s="9"/>
      <c r="R419" s="9"/>
      <c r="S419" s="9"/>
      <c r="T419" s="9"/>
    </row>
    <row r="420" spans="3:20">
      <c r="C420" s="9"/>
      <c r="D420" s="9"/>
      <c r="E420" s="9"/>
      <c r="F420" s="10"/>
      <c r="G420" s="9"/>
      <c r="H420" s="9"/>
      <c r="I420" s="9"/>
      <c r="J420" s="9"/>
      <c r="K420" s="9"/>
      <c r="L420" s="9"/>
      <c r="O420" s="9"/>
      <c r="P420" s="9"/>
      <c r="Q420" s="9"/>
      <c r="R420" s="9"/>
      <c r="S420" s="9"/>
      <c r="T420" s="9"/>
    </row>
    <row r="421" spans="3:20">
      <c r="C421" s="9"/>
      <c r="D421" s="9"/>
      <c r="E421" s="9"/>
      <c r="F421" s="10"/>
      <c r="G421" s="9"/>
      <c r="H421" s="9"/>
      <c r="I421" s="9"/>
      <c r="J421" s="9"/>
      <c r="K421" s="9"/>
      <c r="L421" s="9"/>
      <c r="O421" s="9"/>
      <c r="P421" s="9"/>
      <c r="Q421" s="9"/>
      <c r="R421" s="9"/>
      <c r="S421" s="9"/>
      <c r="T421" s="9"/>
    </row>
    <row r="422" spans="3:20">
      <c r="C422" s="9"/>
      <c r="D422" s="9"/>
      <c r="E422" s="9"/>
      <c r="F422" s="10"/>
      <c r="G422" s="9"/>
      <c r="H422" s="9"/>
      <c r="I422" s="9"/>
      <c r="J422" s="9"/>
      <c r="K422" s="9"/>
      <c r="L422" s="9"/>
      <c r="O422" s="9"/>
      <c r="P422" s="9"/>
      <c r="Q422" s="9"/>
      <c r="R422" s="9"/>
      <c r="S422" s="9"/>
      <c r="T422" s="9"/>
    </row>
    <row r="423" spans="3:20">
      <c r="C423" s="9"/>
      <c r="D423" s="9"/>
      <c r="E423" s="9"/>
      <c r="F423" s="10"/>
      <c r="G423" s="9"/>
      <c r="H423" s="9"/>
      <c r="I423" s="9"/>
      <c r="J423" s="9"/>
      <c r="K423" s="9"/>
      <c r="L423" s="9"/>
      <c r="O423" s="9"/>
      <c r="P423" s="9"/>
      <c r="Q423" s="9"/>
      <c r="R423" s="9"/>
      <c r="S423" s="9"/>
      <c r="T423" s="9"/>
    </row>
    <row r="424" spans="3:20">
      <c r="C424" s="9"/>
      <c r="D424" s="9"/>
      <c r="E424" s="9"/>
      <c r="F424" s="10"/>
      <c r="G424" s="9"/>
      <c r="H424" s="9"/>
      <c r="I424" s="9"/>
      <c r="J424" s="9"/>
      <c r="K424" s="9"/>
      <c r="L424" s="9"/>
      <c r="O424" s="9"/>
      <c r="P424" s="9"/>
      <c r="Q424" s="9"/>
      <c r="R424" s="9"/>
      <c r="S424" s="9"/>
      <c r="T424" s="9"/>
    </row>
    <row r="425" spans="3:20">
      <c r="C425" s="9"/>
      <c r="D425" s="9"/>
      <c r="E425" s="9"/>
      <c r="F425" s="10"/>
      <c r="G425" s="9"/>
      <c r="H425" s="9"/>
      <c r="I425" s="9"/>
      <c r="J425" s="9"/>
      <c r="K425" s="9"/>
      <c r="L425" s="9"/>
      <c r="O425" s="9"/>
      <c r="P425" s="9"/>
      <c r="Q425" s="9"/>
      <c r="R425" s="9"/>
      <c r="S425" s="9"/>
      <c r="T425" s="9"/>
    </row>
    <row r="426" spans="3:20">
      <c r="C426" s="9"/>
      <c r="D426" s="9"/>
      <c r="E426" s="9"/>
      <c r="F426" s="10"/>
      <c r="G426" s="9"/>
      <c r="H426" s="9"/>
      <c r="I426" s="9"/>
      <c r="J426" s="9"/>
      <c r="K426" s="9"/>
      <c r="L426" s="9"/>
      <c r="O426" s="9"/>
      <c r="P426" s="9"/>
      <c r="Q426" s="9"/>
      <c r="R426" s="9"/>
      <c r="S426" s="9"/>
      <c r="T426" s="9"/>
    </row>
    <row r="427" spans="3:20">
      <c r="C427" s="9"/>
      <c r="D427" s="9"/>
      <c r="E427" s="9"/>
      <c r="F427" s="10"/>
      <c r="G427" s="9"/>
      <c r="H427" s="9"/>
      <c r="I427" s="9"/>
      <c r="J427" s="9"/>
      <c r="K427" s="9"/>
      <c r="L427" s="9"/>
      <c r="O427" s="9"/>
      <c r="P427" s="9"/>
      <c r="Q427" s="9"/>
      <c r="R427" s="9"/>
      <c r="S427" s="9"/>
      <c r="T427" s="9"/>
    </row>
    <row r="428" spans="3:20">
      <c r="C428" s="9"/>
      <c r="D428" s="9"/>
      <c r="E428" s="9"/>
      <c r="F428" s="10"/>
      <c r="G428" s="9"/>
      <c r="H428" s="9"/>
      <c r="I428" s="9"/>
      <c r="J428" s="9"/>
      <c r="K428" s="9"/>
      <c r="L428" s="9"/>
      <c r="O428" s="9"/>
      <c r="P428" s="9"/>
      <c r="Q428" s="9"/>
      <c r="R428" s="9"/>
      <c r="S428" s="9"/>
      <c r="T428" s="9"/>
    </row>
    <row r="429" spans="3:20">
      <c r="C429" s="9"/>
      <c r="D429" s="9"/>
      <c r="E429" s="9"/>
      <c r="F429" s="10"/>
      <c r="G429" s="9"/>
      <c r="H429" s="9"/>
      <c r="I429" s="9"/>
      <c r="J429" s="9"/>
      <c r="K429" s="9"/>
      <c r="L429" s="9"/>
      <c r="O429" s="9"/>
      <c r="P429" s="9"/>
      <c r="Q429" s="9"/>
      <c r="R429" s="9"/>
      <c r="S429" s="9"/>
      <c r="T429" s="9"/>
    </row>
    <row r="430" spans="3:20">
      <c r="C430" s="9"/>
      <c r="D430" s="9"/>
      <c r="E430" s="9"/>
      <c r="F430" s="10"/>
      <c r="G430" s="9"/>
      <c r="H430" s="9"/>
      <c r="I430" s="9"/>
      <c r="J430" s="9"/>
      <c r="K430" s="9"/>
      <c r="L430" s="9"/>
      <c r="O430" s="9"/>
      <c r="P430" s="9"/>
      <c r="Q430" s="9"/>
      <c r="R430" s="9"/>
      <c r="S430" s="9"/>
      <c r="T430" s="9"/>
    </row>
    <row r="431" spans="3:20">
      <c r="C431" s="9"/>
      <c r="D431" s="9"/>
      <c r="E431" s="9"/>
      <c r="F431" s="10"/>
      <c r="G431" s="9"/>
      <c r="H431" s="9"/>
      <c r="I431" s="9"/>
      <c r="J431" s="9"/>
      <c r="K431" s="9"/>
      <c r="L431" s="9"/>
      <c r="O431" s="9"/>
      <c r="P431" s="9"/>
      <c r="Q431" s="9"/>
      <c r="R431" s="9"/>
      <c r="S431" s="9"/>
      <c r="T431" s="9"/>
    </row>
    <row r="432" spans="3:20">
      <c r="C432" s="9"/>
      <c r="D432" s="9"/>
      <c r="E432" s="9"/>
      <c r="F432" s="10"/>
      <c r="G432" s="9"/>
      <c r="H432" s="9"/>
      <c r="I432" s="9"/>
      <c r="J432" s="9"/>
      <c r="K432" s="9"/>
      <c r="L432" s="9"/>
      <c r="O432" s="9"/>
      <c r="P432" s="9"/>
      <c r="Q432" s="9"/>
      <c r="R432" s="9"/>
      <c r="S432" s="9"/>
      <c r="T432" s="9"/>
    </row>
    <row r="433" spans="3:20">
      <c r="C433" s="9"/>
      <c r="D433" s="9"/>
      <c r="E433" s="9"/>
      <c r="F433" s="10"/>
      <c r="G433" s="9"/>
      <c r="H433" s="9"/>
      <c r="I433" s="9"/>
      <c r="J433" s="9"/>
      <c r="K433" s="9"/>
      <c r="L433" s="9"/>
      <c r="O433" s="9"/>
      <c r="P433" s="9"/>
      <c r="Q433" s="9"/>
      <c r="R433" s="9"/>
      <c r="S433" s="9"/>
      <c r="T433" s="9"/>
    </row>
    <row r="434" spans="3:20">
      <c r="C434" s="9"/>
      <c r="D434" s="9"/>
      <c r="E434" s="9"/>
      <c r="F434" s="10"/>
      <c r="G434" s="9"/>
      <c r="H434" s="9"/>
      <c r="I434" s="9"/>
      <c r="J434" s="9"/>
      <c r="K434" s="9"/>
      <c r="L434" s="9"/>
      <c r="O434" s="9"/>
      <c r="P434" s="9"/>
      <c r="Q434" s="9"/>
      <c r="R434" s="9"/>
      <c r="S434" s="9"/>
      <c r="T434" s="9"/>
    </row>
    <row r="435" spans="3:20">
      <c r="C435" s="9"/>
      <c r="D435" s="9"/>
      <c r="E435" s="9"/>
      <c r="F435" s="10"/>
      <c r="G435" s="9"/>
      <c r="H435" s="9"/>
      <c r="I435" s="9"/>
      <c r="J435" s="9"/>
      <c r="K435" s="9"/>
      <c r="L435" s="9"/>
      <c r="O435" s="9"/>
      <c r="P435" s="9"/>
      <c r="Q435" s="9"/>
      <c r="R435" s="9"/>
      <c r="S435" s="9"/>
      <c r="T435" s="9"/>
    </row>
    <row r="436" spans="3:20">
      <c r="C436" s="9"/>
      <c r="D436" s="9"/>
      <c r="E436" s="9"/>
      <c r="F436" s="10"/>
      <c r="G436" s="9"/>
      <c r="H436" s="9"/>
      <c r="I436" s="9"/>
      <c r="J436" s="9"/>
      <c r="K436" s="9"/>
      <c r="L436" s="9"/>
      <c r="O436" s="9"/>
      <c r="P436" s="9"/>
      <c r="Q436" s="9"/>
      <c r="R436" s="9"/>
      <c r="S436" s="9"/>
      <c r="T436" s="9"/>
    </row>
    <row r="437" spans="3:20">
      <c r="C437" s="9"/>
      <c r="D437" s="9"/>
      <c r="E437" s="9"/>
      <c r="F437" s="10"/>
      <c r="G437" s="9"/>
      <c r="H437" s="9"/>
      <c r="I437" s="9"/>
      <c r="J437" s="9"/>
      <c r="K437" s="9"/>
      <c r="L437" s="9"/>
      <c r="O437" s="9"/>
      <c r="P437" s="9"/>
      <c r="Q437" s="9"/>
      <c r="R437" s="9"/>
      <c r="S437" s="9"/>
      <c r="T437" s="9"/>
    </row>
    <row r="438" spans="3:20">
      <c r="C438" s="9"/>
      <c r="D438" s="9"/>
      <c r="E438" s="9"/>
      <c r="F438" s="10"/>
      <c r="G438" s="9"/>
      <c r="H438" s="9"/>
      <c r="I438" s="9"/>
      <c r="J438" s="9"/>
      <c r="K438" s="9"/>
      <c r="L438" s="9"/>
      <c r="O438" s="9"/>
      <c r="P438" s="9"/>
      <c r="Q438" s="9"/>
      <c r="R438" s="9"/>
      <c r="S438" s="9"/>
      <c r="T438" s="9"/>
    </row>
    <row r="439" spans="3:20">
      <c r="C439" s="9"/>
      <c r="D439" s="9"/>
      <c r="E439" s="9"/>
      <c r="F439" s="10"/>
      <c r="G439" s="9"/>
      <c r="H439" s="9"/>
      <c r="I439" s="9"/>
      <c r="J439" s="9"/>
      <c r="K439" s="9"/>
      <c r="L439" s="9"/>
      <c r="O439" s="9"/>
      <c r="P439" s="9"/>
      <c r="Q439" s="9"/>
      <c r="R439" s="9"/>
      <c r="S439" s="9"/>
      <c r="T439" s="9"/>
    </row>
    <row r="440" spans="3:20">
      <c r="C440" s="9"/>
      <c r="D440" s="9"/>
      <c r="E440" s="9"/>
      <c r="F440" s="10"/>
      <c r="G440" s="9"/>
      <c r="H440" s="9"/>
      <c r="I440" s="9"/>
      <c r="J440" s="9"/>
      <c r="K440" s="9"/>
      <c r="L440" s="9"/>
      <c r="O440" s="9"/>
      <c r="P440" s="9"/>
      <c r="Q440" s="9"/>
      <c r="R440" s="9"/>
      <c r="S440" s="9"/>
      <c r="T440" s="9"/>
    </row>
    <row r="441" spans="3:20">
      <c r="C441" s="9"/>
      <c r="D441" s="9"/>
      <c r="E441" s="9"/>
      <c r="F441" s="10"/>
      <c r="G441" s="9"/>
      <c r="H441" s="9"/>
      <c r="I441" s="9"/>
      <c r="J441" s="9"/>
      <c r="K441" s="9"/>
      <c r="L441" s="9"/>
      <c r="O441" s="9"/>
      <c r="P441" s="9"/>
      <c r="Q441" s="9"/>
      <c r="R441" s="9"/>
      <c r="S441" s="9"/>
      <c r="T441" s="9"/>
    </row>
    <row r="442" spans="3:20">
      <c r="C442" s="9"/>
      <c r="D442" s="9"/>
      <c r="E442" s="9"/>
      <c r="F442" s="10"/>
      <c r="G442" s="9"/>
      <c r="H442" s="9"/>
      <c r="I442" s="9"/>
      <c r="J442" s="9"/>
      <c r="K442" s="9"/>
      <c r="L442" s="9"/>
      <c r="O442" s="9"/>
      <c r="P442" s="9"/>
      <c r="Q442" s="9"/>
      <c r="R442" s="9"/>
      <c r="S442" s="9"/>
      <c r="T442" s="9"/>
    </row>
    <row r="443" spans="3:20">
      <c r="C443" s="9"/>
      <c r="D443" s="9"/>
      <c r="E443" s="9"/>
      <c r="F443" s="10"/>
      <c r="G443" s="9"/>
      <c r="H443" s="9"/>
      <c r="I443" s="9"/>
      <c r="J443" s="9"/>
      <c r="K443" s="9"/>
      <c r="L443" s="9"/>
      <c r="O443" s="9"/>
      <c r="P443" s="9"/>
      <c r="Q443" s="9"/>
      <c r="R443" s="9"/>
      <c r="S443" s="9"/>
      <c r="T443" s="9"/>
    </row>
    <row r="444" spans="3:20">
      <c r="C444" s="9"/>
      <c r="D444" s="9"/>
      <c r="E444" s="9"/>
      <c r="F444" s="10"/>
      <c r="G444" s="9"/>
      <c r="H444" s="9"/>
      <c r="I444" s="9"/>
      <c r="J444" s="9"/>
      <c r="K444" s="9"/>
      <c r="L444" s="9"/>
      <c r="O444" s="9"/>
      <c r="P444" s="9"/>
      <c r="Q444" s="9"/>
      <c r="R444" s="9"/>
      <c r="S444" s="9"/>
      <c r="T444" s="9"/>
    </row>
    <row r="445" spans="3:20">
      <c r="C445" s="9"/>
      <c r="D445" s="9"/>
      <c r="E445" s="9"/>
      <c r="F445" s="10"/>
      <c r="G445" s="9"/>
      <c r="H445" s="9"/>
      <c r="I445" s="9"/>
      <c r="J445" s="9"/>
      <c r="K445" s="9"/>
      <c r="L445" s="9"/>
      <c r="O445" s="9"/>
      <c r="P445" s="9"/>
      <c r="Q445" s="9"/>
      <c r="R445" s="9"/>
      <c r="S445" s="9"/>
      <c r="T445" s="9"/>
    </row>
    <row r="446" spans="3:20">
      <c r="C446" s="9"/>
      <c r="D446" s="9"/>
      <c r="E446" s="9"/>
      <c r="F446" s="10"/>
      <c r="G446" s="9"/>
      <c r="H446" s="9"/>
      <c r="I446" s="9"/>
      <c r="J446" s="9"/>
      <c r="K446" s="9"/>
      <c r="L446" s="9"/>
      <c r="O446" s="9"/>
      <c r="P446" s="9"/>
      <c r="Q446" s="9"/>
      <c r="R446" s="9"/>
      <c r="S446" s="9"/>
      <c r="T446" s="9"/>
    </row>
    <row r="447" spans="3:20">
      <c r="C447" s="9"/>
      <c r="D447" s="9"/>
      <c r="E447" s="9"/>
      <c r="F447" s="10"/>
      <c r="G447" s="9"/>
      <c r="H447" s="9"/>
      <c r="I447" s="9"/>
      <c r="J447" s="9"/>
      <c r="K447" s="9"/>
      <c r="L447" s="9"/>
      <c r="O447" s="9"/>
      <c r="P447" s="9"/>
      <c r="Q447" s="9"/>
      <c r="R447" s="9"/>
      <c r="S447" s="9"/>
      <c r="T447" s="9"/>
    </row>
    <row r="448" spans="3:20">
      <c r="C448" s="9"/>
      <c r="D448" s="9"/>
      <c r="E448" s="9"/>
      <c r="F448" s="10"/>
      <c r="G448" s="9"/>
      <c r="H448" s="9"/>
      <c r="I448" s="9"/>
      <c r="J448" s="9"/>
      <c r="K448" s="9"/>
      <c r="L448" s="9"/>
      <c r="O448" s="9"/>
      <c r="P448" s="9"/>
      <c r="Q448" s="9"/>
      <c r="R448" s="9"/>
      <c r="S448" s="9"/>
      <c r="T448" s="9"/>
    </row>
    <row r="449" spans="3:20">
      <c r="C449" s="9"/>
      <c r="D449" s="9"/>
      <c r="E449" s="9"/>
      <c r="F449" s="10"/>
      <c r="G449" s="9"/>
      <c r="H449" s="9"/>
      <c r="I449" s="9"/>
      <c r="J449" s="9"/>
      <c r="K449" s="9"/>
      <c r="L449" s="9"/>
      <c r="O449" s="9"/>
      <c r="P449" s="9"/>
      <c r="Q449" s="9"/>
      <c r="R449" s="9"/>
      <c r="S449" s="9"/>
      <c r="T449" s="9"/>
    </row>
    <row r="450" spans="3:20">
      <c r="C450" s="9"/>
      <c r="D450" s="9"/>
      <c r="E450" s="9"/>
      <c r="F450" s="10"/>
      <c r="G450" s="9"/>
      <c r="H450" s="9"/>
      <c r="I450" s="9"/>
      <c r="J450" s="9"/>
      <c r="K450" s="9"/>
      <c r="L450" s="9"/>
      <c r="O450" s="9"/>
      <c r="P450" s="9"/>
      <c r="Q450" s="9"/>
      <c r="R450" s="9"/>
      <c r="S450" s="9"/>
      <c r="T450" s="9"/>
    </row>
    <row r="451" spans="3:20">
      <c r="C451" s="9"/>
      <c r="D451" s="9"/>
      <c r="E451" s="9"/>
      <c r="F451" s="10"/>
      <c r="G451" s="9"/>
      <c r="H451" s="9"/>
      <c r="I451" s="9"/>
      <c r="J451" s="9"/>
      <c r="K451" s="9"/>
      <c r="L451" s="9"/>
      <c r="O451" s="9"/>
      <c r="P451" s="9"/>
      <c r="Q451" s="9"/>
      <c r="R451" s="9"/>
      <c r="S451" s="9"/>
      <c r="T451" s="9"/>
    </row>
    <row r="452" spans="3:20">
      <c r="C452" s="9"/>
      <c r="D452" s="9"/>
      <c r="E452" s="9"/>
      <c r="F452" s="10"/>
      <c r="G452" s="9"/>
      <c r="H452" s="9"/>
      <c r="I452" s="9"/>
      <c r="J452" s="9"/>
      <c r="K452" s="9"/>
      <c r="L452" s="9"/>
      <c r="O452" s="9"/>
      <c r="P452" s="9"/>
      <c r="Q452" s="9"/>
      <c r="R452" s="9"/>
      <c r="S452" s="9"/>
      <c r="T452" s="9"/>
    </row>
    <row r="453" spans="3:20">
      <c r="C453" s="9"/>
      <c r="D453" s="9"/>
      <c r="E453" s="9"/>
      <c r="F453" s="10"/>
      <c r="G453" s="9"/>
      <c r="H453" s="9"/>
      <c r="I453" s="9"/>
      <c r="J453" s="9"/>
      <c r="K453" s="9"/>
      <c r="L453" s="9"/>
      <c r="O453" s="9"/>
      <c r="P453" s="9"/>
      <c r="Q453" s="9"/>
      <c r="R453" s="9"/>
      <c r="S453" s="9"/>
      <c r="T453" s="9"/>
    </row>
    <row r="454" spans="3:20">
      <c r="C454" s="9"/>
      <c r="D454" s="9"/>
      <c r="E454" s="9"/>
      <c r="F454" s="10"/>
      <c r="G454" s="9"/>
      <c r="H454" s="9"/>
      <c r="I454" s="9"/>
      <c r="J454" s="9"/>
      <c r="K454" s="9"/>
      <c r="L454" s="9"/>
      <c r="O454" s="9"/>
      <c r="P454" s="9"/>
      <c r="Q454" s="9"/>
      <c r="R454" s="9"/>
      <c r="S454" s="9"/>
      <c r="T454" s="9"/>
    </row>
    <row r="455" spans="3:20">
      <c r="C455" s="9"/>
      <c r="D455" s="9"/>
      <c r="E455" s="9"/>
      <c r="F455" s="10"/>
      <c r="G455" s="9"/>
      <c r="H455" s="9"/>
      <c r="I455" s="9"/>
      <c r="J455" s="9"/>
      <c r="K455" s="9"/>
      <c r="L455" s="9"/>
      <c r="O455" s="9"/>
      <c r="P455" s="9"/>
      <c r="Q455" s="9"/>
      <c r="R455" s="9"/>
      <c r="S455" s="9"/>
      <c r="T455" s="9"/>
    </row>
    <row r="456" spans="3:20">
      <c r="C456" s="9"/>
      <c r="D456" s="9"/>
      <c r="E456" s="9"/>
      <c r="F456" s="10"/>
      <c r="G456" s="9"/>
      <c r="H456" s="9"/>
      <c r="I456" s="9"/>
      <c r="J456" s="9"/>
      <c r="K456" s="9"/>
      <c r="L456" s="9"/>
      <c r="O456" s="9"/>
      <c r="P456" s="9"/>
      <c r="Q456" s="9"/>
      <c r="R456" s="9"/>
      <c r="S456" s="9"/>
      <c r="T456" s="9"/>
    </row>
    <row r="457" spans="3:20">
      <c r="C457" s="9"/>
      <c r="D457" s="9"/>
      <c r="E457" s="9"/>
      <c r="F457" s="10"/>
      <c r="G457" s="9"/>
      <c r="H457" s="9"/>
      <c r="I457" s="9"/>
      <c r="J457" s="9"/>
      <c r="K457" s="9"/>
      <c r="L457" s="9"/>
      <c r="O457" s="9"/>
      <c r="P457" s="9"/>
      <c r="Q457" s="9"/>
      <c r="R457" s="9"/>
      <c r="S457" s="9"/>
      <c r="T457" s="9"/>
    </row>
    <row r="458" spans="3:20">
      <c r="C458" s="9"/>
      <c r="D458" s="9"/>
      <c r="E458" s="9"/>
      <c r="F458" s="10"/>
      <c r="G458" s="9"/>
      <c r="H458" s="9"/>
      <c r="I458" s="9"/>
      <c r="J458" s="9"/>
      <c r="K458" s="9"/>
      <c r="L458" s="9"/>
      <c r="O458" s="9"/>
      <c r="P458" s="9"/>
      <c r="Q458" s="9"/>
      <c r="R458" s="9"/>
      <c r="S458" s="9"/>
      <c r="T458" s="9"/>
    </row>
    <row r="459" spans="3:20">
      <c r="C459" s="9"/>
      <c r="D459" s="9"/>
      <c r="E459" s="9"/>
      <c r="F459" s="10"/>
      <c r="G459" s="9"/>
      <c r="H459" s="9"/>
      <c r="I459" s="9"/>
      <c r="J459" s="9"/>
      <c r="K459" s="9"/>
      <c r="L459" s="9"/>
      <c r="O459" s="9"/>
      <c r="P459" s="9"/>
      <c r="Q459" s="9"/>
      <c r="R459" s="9"/>
      <c r="S459" s="9"/>
      <c r="T459" s="9"/>
    </row>
    <row r="460" spans="3:20">
      <c r="C460" s="9"/>
      <c r="D460" s="9"/>
      <c r="E460" s="9"/>
      <c r="F460" s="10"/>
      <c r="G460" s="9"/>
      <c r="H460" s="9"/>
      <c r="I460" s="9"/>
      <c r="J460" s="9"/>
      <c r="K460" s="9"/>
      <c r="L460" s="9"/>
      <c r="O460" s="9"/>
      <c r="P460" s="9"/>
      <c r="Q460" s="9"/>
      <c r="R460" s="9"/>
      <c r="S460" s="9"/>
      <c r="T460" s="9"/>
    </row>
    <row r="461" spans="3:20">
      <c r="C461" s="9"/>
      <c r="D461" s="9"/>
      <c r="E461" s="9"/>
      <c r="F461" s="10"/>
      <c r="G461" s="9"/>
      <c r="H461" s="9"/>
      <c r="I461" s="9"/>
      <c r="J461" s="9"/>
      <c r="K461" s="9"/>
      <c r="L461" s="9"/>
      <c r="O461" s="9"/>
      <c r="P461" s="9"/>
      <c r="Q461" s="9"/>
      <c r="R461" s="9"/>
      <c r="S461" s="9"/>
      <c r="T461" s="9"/>
    </row>
    <row r="462" spans="3:20">
      <c r="C462" s="9"/>
      <c r="D462" s="9"/>
      <c r="E462" s="9"/>
      <c r="F462" s="10"/>
      <c r="G462" s="9"/>
      <c r="H462" s="9"/>
      <c r="I462" s="9"/>
      <c r="J462" s="9"/>
      <c r="K462" s="9"/>
      <c r="L462" s="9"/>
      <c r="O462" s="9"/>
      <c r="P462" s="9"/>
      <c r="Q462" s="9"/>
      <c r="R462" s="9"/>
      <c r="S462" s="9"/>
      <c r="T462" s="9"/>
    </row>
    <row r="463" spans="3:20">
      <c r="C463" s="9"/>
      <c r="D463" s="9"/>
      <c r="E463" s="9"/>
      <c r="F463" s="10"/>
      <c r="G463" s="9"/>
      <c r="H463" s="9"/>
      <c r="I463" s="9"/>
      <c r="J463" s="9"/>
      <c r="K463" s="9"/>
      <c r="L463" s="9"/>
      <c r="O463" s="9"/>
      <c r="P463" s="9"/>
      <c r="Q463" s="9"/>
      <c r="R463" s="9"/>
      <c r="S463" s="9"/>
      <c r="T463" s="9"/>
    </row>
    <row r="464" spans="3:20">
      <c r="C464" s="9"/>
      <c r="D464" s="9"/>
      <c r="E464" s="9"/>
      <c r="F464" s="10"/>
      <c r="G464" s="9"/>
      <c r="H464" s="9"/>
      <c r="I464" s="9"/>
      <c r="J464" s="9"/>
      <c r="K464" s="9"/>
      <c r="L464" s="9"/>
      <c r="O464" s="9"/>
      <c r="P464" s="9"/>
      <c r="Q464" s="9"/>
      <c r="R464" s="9"/>
      <c r="S464" s="9"/>
      <c r="T464" s="9"/>
    </row>
    <row r="465" spans="3:20">
      <c r="C465" s="9"/>
      <c r="D465" s="9"/>
      <c r="E465" s="9"/>
      <c r="F465" s="10"/>
      <c r="G465" s="9"/>
      <c r="H465" s="9"/>
      <c r="I465" s="9"/>
      <c r="J465" s="9"/>
      <c r="K465" s="9"/>
      <c r="L465" s="9"/>
      <c r="O465" s="9"/>
      <c r="P465" s="9"/>
      <c r="Q465" s="9"/>
      <c r="R465" s="9"/>
      <c r="S465" s="9"/>
      <c r="T465" s="9"/>
    </row>
    <row r="466" spans="3:20">
      <c r="C466" s="9"/>
      <c r="D466" s="9"/>
      <c r="E466" s="9"/>
      <c r="F466" s="10"/>
      <c r="G466" s="9"/>
      <c r="H466" s="9"/>
      <c r="I466" s="9"/>
      <c r="J466" s="9"/>
      <c r="K466" s="9"/>
      <c r="L466" s="9"/>
      <c r="O466" s="9"/>
      <c r="P466" s="9"/>
      <c r="Q466" s="9"/>
      <c r="R466" s="9"/>
      <c r="S466" s="9"/>
      <c r="T466" s="9"/>
    </row>
    <row r="467" spans="3:20">
      <c r="C467" s="9"/>
      <c r="D467" s="9"/>
      <c r="E467" s="9"/>
      <c r="F467" s="10"/>
      <c r="G467" s="9"/>
      <c r="H467" s="9"/>
      <c r="I467" s="9"/>
      <c r="J467" s="9"/>
      <c r="K467" s="9"/>
      <c r="L467" s="9"/>
      <c r="O467" s="9"/>
      <c r="P467" s="9"/>
      <c r="Q467" s="9"/>
      <c r="R467" s="9"/>
      <c r="S467" s="9"/>
      <c r="T467" s="9"/>
    </row>
    <row r="468" spans="3:20">
      <c r="C468" s="9"/>
      <c r="D468" s="9"/>
      <c r="E468" s="9"/>
      <c r="F468" s="10"/>
      <c r="G468" s="9"/>
      <c r="H468" s="9"/>
      <c r="I468" s="9"/>
      <c r="J468" s="9"/>
      <c r="K468" s="9"/>
      <c r="L468" s="9"/>
      <c r="O468" s="9"/>
      <c r="P468" s="9"/>
      <c r="Q468" s="9"/>
      <c r="R468" s="9"/>
      <c r="S468" s="9"/>
      <c r="T468" s="9"/>
    </row>
    <row r="469" spans="3:20">
      <c r="C469" s="9"/>
      <c r="D469" s="9"/>
      <c r="E469" s="9"/>
      <c r="F469" s="10"/>
      <c r="G469" s="9"/>
      <c r="H469" s="9"/>
      <c r="I469" s="9"/>
      <c r="J469" s="9"/>
      <c r="K469" s="9"/>
      <c r="L469" s="9"/>
      <c r="O469" s="9"/>
      <c r="P469" s="9"/>
      <c r="Q469" s="9"/>
      <c r="R469" s="9"/>
      <c r="S469" s="9"/>
      <c r="T469" s="9"/>
    </row>
    <row r="470" spans="3:20">
      <c r="C470" s="9"/>
      <c r="D470" s="9"/>
      <c r="E470" s="9"/>
      <c r="F470" s="10"/>
      <c r="G470" s="9"/>
      <c r="H470" s="9"/>
      <c r="I470" s="9"/>
      <c r="J470" s="9"/>
      <c r="K470" s="9"/>
      <c r="L470" s="9"/>
      <c r="O470" s="9"/>
      <c r="P470" s="9"/>
      <c r="Q470" s="9"/>
      <c r="R470" s="9"/>
      <c r="S470" s="9"/>
      <c r="T470" s="9"/>
    </row>
    <row r="471" spans="3:20">
      <c r="C471" s="9"/>
      <c r="D471" s="9"/>
      <c r="E471" s="9"/>
      <c r="F471" s="10"/>
      <c r="G471" s="9"/>
      <c r="H471" s="9"/>
      <c r="I471" s="9"/>
      <c r="J471" s="9"/>
      <c r="K471" s="9"/>
      <c r="L471" s="9"/>
      <c r="O471" s="9"/>
      <c r="P471" s="9"/>
      <c r="Q471" s="9"/>
      <c r="R471" s="9"/>
      <c r="S471" s="9"/>
      <c r="T471" s="9"/>
    </row>
    <row r="472" spans="3:20">
      <c r="C472" s="9"/>
      <c r="D472" s="9"/>
      <c r="E472" s="9"/>
      <c r="F472" s="10"/>
      <c r="G472" s="9"/>
      <c r="H472" s="9"/>
      <c r="I472" s="9"/>
      <c r="J472" s="9"/>
      <c r="K472" s="9"/>
      <c r="L472" s="9"/>
      <c r="O472" s="9"/>
      <c r="P472" s="9"/>
      <c r="Q472" s="9"/>
      <c r="R472" s="9"/>
      <c r="S472" s="9"/>
      <c r="T472" s="9"/>
    </row>
    <row r="473" spans="3:20">
      <c r="C473" s="9"/>
      <c r="D473" s="9"/>
      <c r="E473" s="9"/>
      <c r="F473" s="10"/>
      <c r="G473" s="9"/>
      <c r="H473" s="9"/>
      <c r="I473" s="9"/>
      <c r="J473" s="9"/>
      <c r="K473" s="9"/>
      <c r="L473" s="9"/>
      <c r="O473" s="9"/>
      <c r="P473" s="9"/>
      <c r="Q473" s="9"/>
      <c r="R473" s="9"/>
      <c r="S473" s="9"/>
      <c r="T473" s="9"/>
    </row>
    <row r="474" spans="3:20">
      <c r="C474" s="9"/>
      <c r="D474" s="9"/>
      <c r="E474" s="9"/>
      <c r="F474" s="10"/>
      <c r="G474" s="9"/>
      <c r="H474" s="9"/>
      <c r="I474" s="9"/>
      <c r="J474" s="9"/>
      <c r="K474" s="9"/>
      <c r="L474" s="9"/>
      <c r="O474" s="9"/>
      <c r="P474" s="9"/>
      <c r="Q474" s="9"/>
      <c r="R474" s="9"/>
      <c r="S474" s="9"/>
      <c r="T474" s="9"/>
    </row>
    <row r="475" spans="3:20">
      <c r="C475" s="9"/>
      <c r="D475" s="9"/>
      <c r="E475" s="9"/>
      <c r="F475" s="10"/>
      <c r="G475" s="9"/>
      <c r="H475" s="9"/>
      <c r="I475" s="9"/>
      <c r="J475" s="9"/>
      <c r="K475" s="9"/>
      <c r="L475" s="9"/>
      <c r="O475" s="9"/>
      <c r="P475" s="9"/>
      <c r="Q475" s="9"/>
      <c r="R475" s="9"/>
      <c r="S475" s="9"/>
      <c r="T475" s="9"/>
    </row>
    <row r="476" spans="3:20">
      <c r="C476" s="9"/>
      <c r="D476" s="9"/>
      <c r="E476" s="9"/>
      <c r="F476" s="10"/>
      <c r="G476" s="9"/>
      <c r="H476" s="9"/>
      <c r="I476" s="9"/>
      <c r="J476" s="9"/>
      <c r="K476" s="9"/>
      <c r="L476" s="9"/>
      <c r="O476" s="9"/>
      <c r="P476" s="9"/>
      <c r="Q476" s="9"/>
      <c r="R476" s="9"/>
      <c r="S476" s="9"/>
      <c r="T476" s="9"/>
    </row>
    <row r="477" spans="3:20">
      <c r="C477" s="9"/>
      <c r="D477" s="9"/>
      <c r="E477" s="9"/>
      <c r="F477" s="10"/>
      <c r="G477" s="9"/>
      <c r="H477" s="9"/>
      <c r="I477" s="9"/>
      <c r="J477" s="9"/>
      <c r="K477" s="9"/>
      <c r="L477" s="9"/>
      <c r="O477" s="9"/>
      <c r="P477" s="9"/>
      <c r="Q477" s="9"/>
      <c r="R477" s="9"/>
      <c r="S477" s="9"/>
      <c r="T477" s="9"/>
    </row>
    <row r="478" spans="3:20">
      <c r="C478" s="9"/>
      <c r="D478" s="9"/>
      <c r="E478" s="9"/>
      <c r="F478" s="10"/>
      <c r="G478" s="9"/>
      <c r="H478" s="9"/>
      <c r="I478" s="9"/>
      <c r="J478" s="9"/>
      <c r="K478" s="9"/>
      <c r="L478" s="9"/>
      <c r="O478" s="9"/>
      <c r="P478" s="9"/>
      <c r="Q478" s="9"/>
      <c r="R478" s="9"/>
      <c r="S478" s="9"/>
      <c r="T478" s="9"/>
    </row>
    <row r="479" spans="3:20">
      <c r="C479" s="9"/>
      <c r="D479" s="9"/>
      <c r="E479" s="9"/>
      <c r="F479" s="10"/>
      <c r="G479" s="9"/>
      <c r="H479" s="9"/>
      <c r="I479" s="9"/>
      <c r="J479" s="9"/>
      <c r="K479" s="9"/>
      <c r="L479" s="9"/>
      <c r="O479" s="9"/>
      <c r="P479" s="9"/>
      <c r="Q479" s="9"/>
      <c r="R479" s="9"/>
      <c r="S479" s="9"/>
      <c r="T479" s="9"/>
    </row>
    <row r="480" spans="3:20">
      <c r="C480" s="9"/>
      <c r="D480" s="9"/>
      <c r="E480" s="9"/>
      <c r="F480" s="10"/>
      <c r="G480" s="9"/>
      <c r="H480" s="9"/>
      <c r="I480" s="9"/>
      <c r="J480" s="9"/>
      <c r="K480" s="9"/>
      <c r="L480" s="9"/>
      <c r="O480" s="9"/>
      <c r="P480" s="9"/>
      <c r="Q480" s="9"/>
      <c r="R480" s="9"/>
      <c r="S480" s="9"/>
      <c r="T480" s="9"/>
    </row>
    <row r="481" spans="3:20">
      <c r="C481" s="9"/>
      <c r="D481" s="9"/>
      <c r="E481" s="9"/>
      <c r="F481" s="10"/>
      <c r="G481" s="9"/>
      <c r="H481" s="9"/>
      <c r="I481" s="9"/>
      <c r="J481" s="9"/>
      <c r="K481" s="9"/>
      <c r="L481" s="9"/>
      <c r="O481" s="9"/>
      <c r="P481" s="9"/>
      <c r="Q481" s="9"/>
      <c r="R481" s="9"/>
      <c r="S481" s="9"/>
      <c r="T481" s="9"/>
    </row>
    <row r="482" spans="3:20">
      <c r="C482" s="9"/>
      <c r="D482" s="9"/>
      <c r="E482" s="9"/>
      <c r="F482" s="10"/>
      <c r="G482" s="9"/>
      <c r="H482" s="9"/>
      <c r="I482" s="9"/>
      <c r="J482" s="9"/>
      <c r="K482" s="9"/>
      <c r="L482" s="9"/>
      <c r="O482" s="9"/>
      <c r="P482" s="9"/>
      <c r="Q482" s="9"/>
      <c r="R482" s="9"/>
      <c r="S482" s="9"/>
      <c r="T482" s="9"/>
    </row>
    <row r="483" spans="3:20">
      <c r="C483" s="9"/>
      <c r="D483" s="9"/>
      <c r="E483" s="9"/>
      <c r="F483" s="10"/>
      <c r="G483" s="9"/>
      <c r="H483" s="9"/>
      <c r="I483" s="9"/>
      <c r="J483" s="9"/>
      <c r="K483" s="9"/>
      <c r="L483" s="9"/>
      <c r="O483" s="9"/>
      <c r="P483" s="9"/>
      <c r="Q483" s="9"/>
      <c r="R483" s="9"/>
      <c r="S483" s="9"/>
      <c r="T483" s="9"/>
    </row>
    <row r="484" spans="3:20">
      <c r="C484" s="9"/>
      <c r="D484" s="9"/>
      <c r="E484" s="9"/>
      <c r="F484" s="10"/>
      <c r="G484" s="9"/>
      <c r="H484" s="9"/>
      <c r="I484" s="9"/>
      <c r="J484" s="9"/>
      <c r="K484" s="9"/>
      <c r="L484" s="9"/>
      <c r="O484" s="9"/>
      <c r="P484" s="9"/>
      <c r="Q484" s="9"/>
      <c r="R484" s="9"/>
      <c r="S484" s="9"/>
      <c r="T484" s="9"/>
    </row>
    <row r="485" spans="3:20">
      <c r="C485" s="9"/>
      <c r="D485" s="9"/>
      <c r="E485" s="9"/>
      <c r="F485" s="10"/>
      <c r="G485" s="9"/>
      <c r="H485" s="9"/>
      <c r="I485" s="9"/>
      <c r="J485" s="9"/>
      <c r="K485" s="9"/>
      <c r="L485" s="9"/>
      <c r="O485" s="9"/>
      <c r="P485" s="9"/>
      <c r="Q485" s="9"/>
      <c r="R485" s="9"/>
      <c r="S485" s="9"/>
      <c r="T485" s="9"/>
    </row>
    <row r="486" spans="3:20">
      <c r="C486" s="9"/>
      <c r="D486" s="9"/>
      <c r="E486" s="9"/>
      <c r="F486" s="10"/>
      <c r="G486" s="9"/>
      <c r="H486" s="9"/>
      <c r="I486" s="9"/>
      <c r="J486" s="9"/>
      <c r="K486" s="9"/>
      <c r="L486" s="9"/>
      <c r="O486" s="9"/>
      <c r="P486" s="9"/>
      <c r="Q486" s="9"/>
      <c r="R486" s="9"/>
      <c r="S486" s="9"/>
      <c r="T486" s="9"/>
    </row>
    <row r="487" spans="3:20">
      <c r="C487" s="9"/>
      <c r="D487" s="9"/>
      <c r="E487" s="9"/>
      <c r="F487" s="10"/>
      <c r="G487" s="9"/>
      <c r="H487" s="9"/>
      <c r="I487" s="9"/>
      <c r="J487" s="9"/>
      <c r="K487" s="9"/>
      <c r="L487" s="9"/>
      <c r="O487" s="9"/>
      <c r="P487" s="9"/>
      <c r="Q487" s="9"/>
      <c r="R487" s="9"/>
      <c r="S487" s="9"/>
      <c r="T487" s="9"/>
    </row>
    <row r="488" spans="3:20">
      <c r="C488" s="9"/>
      <c r="D488" s="9"/>
      <c r="E488" s="9"/>
      <c r="F488" s="10"/>
      <c r="G488" s="9"/>
      <c r="H488" s="9"/>
      <c r="I488" s="9"/>
      <c r="J488" s="9"/>
      <c r="K488" s="9"/>
      <c r="L488" s="9"/>
      <c r="O488" s="9"/>
      <c r="P488" s="9"/>
      <c r="Q488" s="9"/>
      <c r="R488" s="9"/>
      <c r="S488" s="9"/>
      <c r="T488" s="9"/>
    </row>
    <row r="489" spans="3:20">
      <c r="C489" s="9"/>
      <c r="D489" s="9"/>
      <c r="E489" s="9"/>
      <c r="F489" s="10"/>
      <c r="G489" s="9"/>
      <c r="H489" s="9"/>
      <c r="I489" s="9"/>
      <c r="J489" s="9"/>
      <c r="K489" s="9"/>
      <c r="L489" s="9"/>
      <c r="O489" s="9"/>
      <c r="P489" s="9"/>
      <c r="Q489" s="9"/>
      <c r="R489" s="9"/>
      <c r="S489" s="9"/>
      <c r="T489" s="9"/>
    </row>
    <row r="490" spans="3:20">
      <c r="C490" s="9"/>
      <c r="D490" s="9"/>
      <c r="E490" s="9"/>
      <c r="F490" s="10"/>
      <c r="G490" s="9"/>
      <c r="H490" s="9"/>
      <c r="I490" s="9"/>
      <c r="J490" s="9"/>
      <c r="K490" s="9"/>
      <c r="L490" s="9"/>
      <c r="O490" s="9"/>
      <c r="P490" s="9"/>
      <c r="Q490" s="9"/>
      <c r="R490" s="9"/>
      <c r="S490" s="9"/>
      <c r="T490" s="9"/>
    </row>
    <row r="491" spans="3:20">
      <c r="C491" s="9"/>
      <c r="D491" s="9"/>
      <c r="E491" s="9"/>
      <c r="F491" s="10"/>
      <c r="G491" s="9"/>
      <c r="H491" s="9"/>
      <c r="I491" s="9"/>
      <c r="J491" s="9"/>
      <c r="K491" s="9"/>
      <c r="L491" s="9"/>
      <c r="O491" s="9"/>
      <c r="P491" s="9"/>
      <c r="Q491" s="9"/>
      <c r="R491" s="9"/>
      <c r="S491" s="9"/>
      <c r="T491" s="9"/>
    </row>
    <row r="492" spans="3:20">
      <c r="C492" s="9"/>
      <c r="D492" s="9"/>
      <c r="E492" s="9"/>
      <c r="F492" s="10"/>
      <c r="G492" s="9"/>
      <c r="H492" s="9"/>
      <c r="I492" s="9"/>
      <c r="J492" s="9"/>
      <c r="K492" s="9"/>
      <c r="L492" s="9"/>
      <c r="O492" s="9"/>
      <c r="P492" s="9"/>
      <c r="Q492" s="9"/>
      <c r="R492" s="9"/>
      <c r="S492" s="9"/>
      <c r="T492" s="9"/>
    </row>
    <row r="493" spans="3:20">
      <c r="C493" s="9"/>
      <c r="D493" s="9"/>
      <c r="E493" s="9"/>
      <c r="F493" s="10"/>
      <c r="G493" s="9"/>
      <c r="H493" s="9"/>
      <c r="I493" s="9"/>
      <c r="J493" s="9"/>
      <c r="K493" s="9"/>
      <c r="L493" s="9"/>
      <c r="O493" s="9"/>
      <c r="P493" s="9"/>
      <c r="Q493" s="9"/>
      <c r="R493" s="9"/>
      <c r="S493" s="9"/>
      <c r="T493" s="9"/>
    </row>
    <row r="494" spans="3:20">
      <c r="C494" s="9"/>
      <c r="D494" s="9"/>
      <c r="E494" s="9"/>
      <c r="F494" s="10"/>
      <c r="G494" s="9"/>
      <c r="H494" s="9"/>
      <c r="I494" s="9"/>
      <c r="J494" s="9"/>
      <c r="K494" s="9"/>
      <c r="L494" s="9"/>
      <c r="O494" s="9"/>
      <c r="P494" s="9"/>
      <c r="Q494" s="9"/>
      <c r="R494" s="9"/>
      <c r="S494" s="9"/>
      <c r="T494" s="9"/>
    </row>
    <row r="495" spans="3:20">
      <c r="C495" s="9"/>
      <c r="D495" s="9"/>
      <c r="E495" s="9"/>
      <c r="F495" s="10"/>
      <c r="G495" s="9"/>
      <c r="H495" s="9"/>
      <c r="I495" s="9"/>
      <c r="J495" s="9"/>
      <c r="K495" s="9"/>
      <c r="L495" s="9"/>
      <c r="O495" s="9"/>
      <c r="P495" s="9"/>
      <c r="Q495" s="9"/>
      <c r="R495" s="9"/>
      <c r="S495" s="9"/>
      <c r="T495" s="9"/>
    </row>
    <row r="496" spans="3:20">
      <c r="C496" s="9"/>
      <c r="D496" s="9"/>
      <c r="E496" s="9"/>
      <c r="F496" s="10"/>
      <c r="G496" s="9"/>
      <c r="H496" s="9"/>
      <c r="I496" s="9"/>
      <c r="J496" s="9"/>
      <c r="K496" s="9"/>
      <c r="L496" s="9"/>
      <c r="O496" s="9"/>
      <c r="P496" s="9"/>
      <c r="Q496" s="9"/>
      <c r="R496" s="9"/>
      <c r="S496" s="9"/>
      <c r="T496" s="9"/>
    </row>
    <row r="497" spans="3:20">
      <c r="C497" s="9"/>
      <c r="D497" s="9"/>
      <c r="E497" s="9"/>
      <c r="F497" s="10"/>
      <c r="G497" s="9"/>
      <c r="H497" s="9"/>
      <c r="I497" s="9"/>
      <c r="J497" s="9"/>
      <c r="K497" s="9"/>
      <c r="L497" s="9"/>
      <c r="O497" s="9"/>
      <c r="P497" s="9"/>
      <c r="Q497" s="9"/>
      <c r="R497" s="9"/>
      <c r="S497" s="9"/>
      <c r="T497" s="9"/>
    </row>
    <row r="498" spans="3:20">
      <c r="C498" s="9"/>
      <c r="D498" s="9"/>
      <c r="E498" s="9"/>
      <c r="F498" s="10"/>
      <c r="G498" s="9"/>
      <c r="H498" s="9"/>
      <c r="I498" s="9"/>
      <c r="J498" s="9"/>
      <c r="K498" s="9"/>
      <c r="L498" s="9"/>
      <c r="O498" s="9"/>
      <c r="P498" s="9"/>
      <c r="Q498" s="9"/>
      <c r="R498" s="9"/>
      <c r="S498" s="9"/>
      <c r="T498" s="9"/>
    </row>
    <row r="499" spans="3:20">
      <c r="C499" s="9"/>
      <c r="D499" s="9"/>
      <c r="E499" s="9"/>
      <c r="F499" s="10"/>
      <c r="G499" s="9"/>
      <c r="H499" s="9"/>
      <c r="I499" s="9"/>
      <c r="J499" s="9"/>
      <c r="K499" s="9"/>
      <c r="L499" s="9"/>
      <c r="O499" s="9"/>
      <c r="P499" s="9"/>
      <c r="Q499" s="9"/>
      <c r="R499" s="9"/>
      <c r="S499" s="9"/>
      <c r="T499" s="9"/>
    </row>
    <row r="500" spans="3:20">
      <c r="C500" s="9"/>
      <c r="D500" s="9"/>
      <c r="E500" s="9"/>
      <c r="F500" s="10"/>
      <c r="G500" s="9"/>
      <c r="H500" s="9"/>
      <c r="I500" s="9"/>
      <c r="J500" s="9"/>
      <c r="K500" s="9"/>
      <c r="L500" s="9"/>
      <c r="O500" s="9"/>
      <c r="P500" s="9"/>
      <c r="Q500" s="9"/>
      <c r="R500" s="9"/>
      <c r="S500" s="9"/>
      <c r="T500" s="9"/>
    </row>
    <row r="501" spans="3:20">
      <c r="C501" s="9"/>
      <c r="D501" s="9"/>
      <c r="E501" s="9"/>
      <c r="F501" s="10"/>
      <c r="G501" s="9"/>
      <c r="H501" s="9"/>
      <c r="I501" s="9"/>
      <c r="J501" s="9"/>
      <c r="K501" s="9"/>
      <c r="L501" s="9"/>
      <c r="O501" s="9"/>
      <c r="P501" s="9"/>
      <c r="Q501" s="9"/>
      <c r="R501" s="9"/>
      <c r="S501" s="9"/>
      <c r="T501" s="9"/>
    </row>
    <row r="502" spans="3:20">
      <c r="C502" s="9"/>
      <c r="D502" s="9"/>
      <c r="E502" s="9"/>
      <c r="F502" s="10"/>
      <c r="G502" s="9"/>
      <c r="H502" s="9"/>
      <c r="I502" s="9"/>
      <c r="J502" s="9"/>
      <c r="K502" s="9"/>
      <c r="L502" s="9"/>
      <c r="O502" s="9"/>
      <c r="P502" s="9"/>
      <c r="Q502" s="9"/>
      <c r="R502" s="9"/>
      <c r="S502" s="9"/>
      <c r="T502" s="9"/>
    </row>
    <row r="503" spans="3:20">
      <c r="C503" s="9"/>
      <c r="D503" s="9"/>
      <c r="E503" s="9"/>
      <c r="F503" s="10"/>
      <c r="G503" s="9"/>
      <c r="H503" s="9"/>
      <c r="I503" s="9"/>
      <c r="J503" s="9"/>
      <c r="K503" s="9"/>
      <c r="L503" s="9"/>
      <c r="O503" s="9"/>
      <c r="P503" s="9"/>
      <c r="Q503" s="9"/>
      <c r="R503" s="9"/>
      <c r="S503" s="9"/>
      <c r="T503" s="9"/>
    </row>
    <row r="504" spans="3:20">
      <c r="C504" s="9"/>
      <c r="D504" s="9"/>
      <c r="E504" s="9"/>
      <c r="F504" s="10"/>
      <c r="G504" s="9"/>
      <c r="H504" s="9"/>
      <c r="I504" s="9"/>
      <c r="J504" s="9"/>
      <c r="K504" s="9"/>
      <c r="L504" s="9"/>
      <c r="O504" s="9"/>
      <c r="P504" s="9"/>
      <c r="Q504" s="9"/>
      <c r="R504" s="9"/>
      <c r="S504" s="9"/>
      <c r="T504" s="9"/>
    </row>
    <row r="505" spans="3:20">
      <c r="C505" s="9"/>
      <c r="D505" s="9"/>
      <c r="E505" s="9"/>
      <c r="F505" s="10"/>
      <c r="G505" s="9"/>
      <c r="H505" s="9"/>
      <c r="I505" s="9"/>
      <c r="J505" s="9"/>
      <c r="K505" s="9"/>
      <c r="L505" s="9"/>
      <c r="O505" s="9"/>
      <c r="P505" s="9"/>
      <c r="Q505" s="9"/>
      <c r="R505" s="9"/>
      <c r="S505" s="9"/>
      <c r="T505" s="9"/>
    </row>
    <row r="506" spans="3:20">
      <c r="C506" s="9"/>
      <c r="D506" s="9"/>
      <c r="E506" s="9"/>
      <c r="F506" s="10"/>
      <c r="G506" s="9"/>
      <c r="H506" s="9"/>
      <c r="I506" s="9"/>
      <c r="J506" s="9"/>
      <c r="K506" s="9"/>
      <c r="L506" s="9"/>
      <c r="O506" s="9"/>
      <c r="P506" s="9"/>
      <c r="Q506" s="9"/>
      <c r="R506" s="9"/>
      <c r="S506" s="9"/>
      <c r="T506" s="9"/>
    </row>
    <row r="507" spans="3:20">
      <c r="C507" s="9"/>
      <c r="D507" s="9"/>
      <c r="E507" s="9"/>
      <c r="F507" s="10"/>
      <c r="G507" s="9"/>
      <c r="H507" s="9"/>
      <c r="I507" s="9"/>
      <c r="J507" s="9"/>
      <c r="K507" s="9"/>
      <c r="L507" s="9"/>
      <c r="O507" s="9"/>
      <c r="P507" s="9"/>
      <c r="Q507" s="9"/>
      <c r="R507" s="9"/>
      <c r="S507" s="9"/>
      <c r="T507" s="9"/>
    </row>
    <row r="508" spans="3:20">
      <c r="C508" s="9"/>
      <c r="D508" s="9"/>
      <c r="E508" s="9"/>
      <c r="F508" s="10"/>
      <c r="G508" s="9"/>
      <c r="H508" s="9"/>
      <c r="I508" s="9"/>
      <c r="J508" s="9"/>
      <c r="K508" s="9"/>
      <c r="L508" s="9"/>
      <c r="O508" s="9"/>
      <c r="P508" s="9"/>
      <c r="Q508" s="9"/>
      <c r="R508" s="9"/>
      <c r="S508" s="9"/>
      <c r="T508" s="9"/>
    </row>
    <row r="509" spans="3:20">
      <c r="C509" s="9"/>
      <c r="D509" s="9"/>
      <c r="E509" s="9"/>
      <c r="F509" s="10"/>
      <c r="G509" s="9"/>
      <c r="H509" s="9"/>
      <c r="I509" s="9"/>
      <c r="J509" s="9"/>
      <c r="K509" s="9"/>
      <c r="L509" s="9"/>
      <c r="O509" s="9"/>
      <c r="P509" s="9"/>
      <c r="Q509" s="9"/>
      <c r="R509" s="9"/>
      <c r="S509" s="9"/>
      <c r="T509" s="9"/>
    </row>
    <row r="510" spans="3:20">
      <c r="C510" s="9"/>
      <c r="D510" s="9"/>
      <c r="E510" s="9"/>
      <c r="F510" s="10"/>
      <c r="G510" s="9"/>
      <c r="H510" s="9"/>
      <c r="I510" s="9"/>
      <c r="J510" s="9"/>
      <c r="K510" s="9"/>
      <c r="L510" s="9"/>
      <c r="O510" s="9"/>
      <c r="P510" s="9"/>
      <c r="Q510" s="9"/>
      <c r="R510" s="9"/>
      <c r="S510" s="9"/>
      <c r="T510" s="9"/>
    </row>
    <row r="511" spans="3:20">
      <c r="C511" s="9"/>
      <c r="D511" s="9"/>
      <c r="E511" s="9"/>
      <c r="F511" s="10"/>
      <c r="G511" s="9"/>
      <c r="H511" s="9"/>
      <c r="I511" s="9"/>
      <c r="J511" s="9"/>
      <c r="K511" s="9"/>
      <c r="L511" s="9"/>
      <c r="O511" s="9"/>
      <c r="P511" s="9"/>
      <c r="Q511" s="9"/>
      <c r="R511" s="9"/>
      <c r="S511" s="9"/>
      <c r="T511" s="9"/>
    </row>
    <row r="512" spans="3:20">
      <c r="C512" s="9"/>
      <c r="D512" s="9"/>
      <c r="E512" s="9"/>
      <c r="F512" s="10"/>
      <c r="G512" s="9"/>
      <c r="H512" s="9"/>
      <c r="I512" s="9"/>
      <c r="J512" s="9"/>
      <c r="K512" s="9"/>
      <c r="L512" s="9"/>
      <c r="O512" s="9"/>
      <c r="P512" s="9"/>
      <c r="Q512" s="9"/>
      <c r="R512" s="9"/>
      <c r="S512" s="9"/>
      <c r="T512" s="9"/>
    </row>
    <row r="513" spans="3:20">
      <c r="C513" s="9"/>
      <c r="D513" s="9"/>
      <c r="E513" s="9"/>
      <c r="F513" s="10"/>
      <c r="G513" s="9"/>
      <c r="H513" s="9"/>
      <c r="I513" s="9"/>
      <c r="J513" s="9"/>
      <c r="K513" s="9"/>
      <c r="L513" s="9"/>
      <c r="O513" s="9"/>
      <c r="P513" s="9"/>
      <c r="Q513" s="9"/>
      <c r="R513" s="9"/>
      <c r="S513" s="9"/>
      <c r="T513" s="9"/>
    </row>
    <row r="514" spans="3:20">
      <c r="C514" s="9"/>
      <c r="D514" s="9"/>
      <c r="E514" s="9"/>
      <c r="F514" s="10"/>
      <c r="G514" s="9"/>
      <c r="H514" s="9"/>
      <c r="I514" s="9"/>
      <c r="J514" s="9"/>
      <c r="K514" s="9"/>
      <c r="L514" s="9"/>
      <c r="O514" s="9"/>
      <c r="P514" s="9"/>
      <c r="Q514" s="9"/>
      <c r="R514" s="9"/>
      <c r="S514" s="9"/>
      <c r="T514" s="9"/>
    </row>
    <row r="515" spans="3:20">
      <c r="C515" s="9"/>
      <c r="D515" s="9"/>
      <c r="E515" s="9"/>
      <c r="F515" s="10"/>
      <c r="G515" s="9"/>
      <c r="H515" s="9"/>
      <c r="I515" s="9"/>
      <c r="J515" s="9"/>
      <c r="K515" s="9"/>
      <c r="L515" s="9"/>
      <c r="O515" s="9"/>
      <c r="P515" s="9"/>
      <c r="Q515" s="9"/>
      <c r="R515" s="9"/>
      <c r="S515" s="9"/>
      <c r="T515" s="9"/>
    </row>
    <row r="516" spans="3:20">
      <c r="C516" s="9"/>
      <c r="D516" s="9"/>
      <c r="E516" s="9"/>
      <c r="F516" s="10"/>
      <c r="G516" s="9"/>
      <c r="H516" s="9"/>
      <c r="I516" s="9"/>
      <c r="J516" s="9"/>
      <c r="K516" s="9"/>
      <c r="L516" s="9"/>
      <c r="O516" s="9"/>
      <c r="P516" s="9"/>
      <c r="Q516" s="9"/>
      <c r="R516" s="9"/>
      <c r="S516" s="9"/>
      <c r="T516" s="9"/>
    </row>
    <row r="517" spans="3:20">
      <c r="C517" s="9"/>
      <c r="D517" s="9"/>
      <c r="E517" s="9"/>
      <c r="F517" s="10"/>
      <c r="G517" s="9"/>
      <c r="H517" s="9"/>
      <c r="I517" s="9"/>
      <c r="J517" s="9"/>
      <c r="K517" s="9"/>
      <c r="L517" s="9"/>
      <c r="O517" s="9"/>
      <c r="P517" s="9"/>
      <c r="Q517" s="9"/>
      <c r="R517" s="9"/>
      <c r="S517" s="9"/>
      <c r="T517" s="9"/>
    </row>
    <row r="518" spans="3:20">
      <c r="C518" s="9"/>
      <c r="D518" s="9"/>
      <c r="E518" s="9"/>
      <c r="F518" s="10"/>
      <c r="G518" s="9"/>
      <c r="H518" s="9"/>
      <c r="I518" s="9"/>
      <c r="J518" s="9"/>
      <c r="K518" s="9"/>
      <c r="L518" s="9"/>
      <c r="O518" s="9"/>
      <c r="P518" s="9"/>
      <c r="Q518" s="9"/>
      <c r="R518" s="9"/>
      <c r="S518" s="9"/>
      <c r="T518" s="9"/>
    </row>
    <row r="519" spans="3:20">
      <c r="C519" s="9"/>
      <c r="D519" s="9"/>
      <c r="E519" s="9"/>
      <c r="F519" s="10"/>
      <c r="G519" s="9"/>
      <c r="H519" s="9"/>
      <c r="I519" s="9"/>
      <c r="J519" s="9"/>
      <c r="K519" s="9"/>
      <c r="L519" s="9"/>
      <c r="O519" s="9"/>
      <c r="P519" s="9"/>
      <c r="Q519" s="9"/>
      <c r="R519" s="9"/>
      <c r="S519" s="9"/>
      <c r="T519" s="9"/>
    </row>
    <row r="520" spans="3:20">
      <c r="C520" s="9"/>
      <c r="D520" s="9"/>
      <c r="E520" s="9"/>
      <c r="F520" s="10"/>
      <c r="G520" s="9"/>
      <c r="H520" s="9"/>
      <c r="I520" s="9"/>
      <c r="J520" s="9"/>
      <c r="K520" s="9"/>
      <c r="L520" s="9"/>
      <c r="O520" s="9"/>
      <c r="P520" s="9"/>
      <c r="Q520" s="9"/>
      <c r="R520" s="9"/>
      <c r="S520" s="9"/>
      <c r="T520" s="9"/>
    </row>
    <row r="521" spans="3:20">
      <c r="C521" s="9"/>
      <c r="D521" s="9"/>
      <c r="E521" s="9"/>
      <c r="F521" s="10"/>
      <c r="G521" s="9"/>
      <c r="H521" s="9"/>
      <c r="I521" s="9"/>
      <c r="J521" s="9"/>
      <c r="K521" s="9"/>
      <c r="L521" s="9"/>
      <c r="O521" s="9"/>
      <c r="P521" s="9"/>
      <c r="Q521" s="9"/>
      <c r="R521" s="9"/>
      <c r="S521" s="9"/>
      <c r="T521" s="9"/>
    </row>
    <row r="522" spans="3:20">
      <c r="C522" s="9"/>
      <c r="D522" s="9"/>
      <c r="E522" s="9"/>
      <c r="F522" s="10"/>
      <c r="G522" s="9"/>
      <c r="H522" s="9"/>
      <c r="I522" s="9"/>
      <c r="J522" s="9"/>
      <c r="K522" s="9"/>
      <c r="L522" s="9"/>
      <c r="O522" s="9"/>
      <c r="P522" s="9"/>
      <c r="Q522" s="9"/>
      <c r="R522" s="9"/>
      <c r="S522" s="9"/>
      <c r="T522" s="9"/>
    </row>
    <row r="523" spans="3:20">
      <c r="C523" s="9"/>
      <c r="D523" s="9"/>
      <c r="E523" s="9"/>
      <c r="F523" s="10"/>
      <c r="G523" s="9"/>
      <c r="H523" s="9"/>
      <c r="I523" s="9"/>
      <c r="J523" s="9"/>
      <c r="K523" s="9"/>
      <c r="L523" s="9"/>
      <c r="O523" s="9"/>
      <c r="P523" s="9"/>
      <c r="Q523" s="9"/>
      <c r="R523" s="9"/>
      <c r="S523" s="9"/>
      <c r="T523" s="9"/>
    </row>
    <row r="524" spans="3:20">
      <c r="C524" s="9"/>
      <c r="D524" s="9"/>
      <c r="E524" s="9"/>
      <c r="F524" s="10"/>
      <c r="G524" s="9"/>
      <c r="H524" s="9"/>
      <c r="I524" s="9"/>
      <c r="J524" s="9"/>
      <c r="K524" s="9"/>
      <c r="L524" s="9"/>
      <c r="O524" s="9"/>
      <c r="P524" s="9"/>
      <c r="Q524" s="9"/>
      <c r="R524" s="9"/>
      <c r="S524" s="9"/>
      <c r="T524" s="9"/>
    </row>
    <row r="525" spans="3:20">
      <c r="C525" s="9"/>
      <c r="D525" s="9"/>
      <c r="E525" s="9"/>
      <c r="F525" s="10"/>
      <c r="G525" s="9"/>
      <c r="H525" s="9"/>
      <c r="I525" s="9"/>
      <c r="J525" s="9"/>
      <c r="K525" s="9"/>
      <c r="L525" s="9"/>
      <c r="O525" s="9"/>
      <c r="P525" s="9"/>
      <c r="Q525" s="9"/>
      <c r="R525" s="9"/>
      <c r="S525" s="9"/>
      <c r="T525" s="9"/>
    </row>
    <row r="526" spans="3:20">
      <c r="C526" s="9"/>
      <c r="D526" s="9"/>
      <c r="E526" s="9"/>
      <c r="F526" s="10"/>
      <c r="G526" s="9"/>
      <c r="H526" s="9"/>
      <c r="I526" s="9"/>
      <c r="J526" s="9"/>
      <c r="K526" s="9"/>
      <c r="L526" s="9"/>
      <c r="O526" s="9"/>
      <c r="P526" s="9"/>
      <c r="Q526" s="9"/>
      <c r="R526" s="9"/>
      <c r="S526" s="9"/>
      <c r="T526" s="9"/>
    </row>
    <row r="527" spans="3:20">
      <c r="C527" s="9"/>
      <c r="D527" s="9"/>
      <c r="E527" s="9"/>
      <c r="F527" s="10"/>
      <c r="G527" s="9"/>
      <c r="H527" s="9"/>
      <c r="I527" s="9"/>
      <c r="J527" s="9"/>
      <c r="K527" s="9"/>
      <c r="L527" s="9"/>
      <c r="O527" s="9"/>
      <c r="P527" s="9"/>
      <c r="Q527" s="9"/>
      <c r="R527" s="9"/>
      <c r="S527" s="9"/>
      <c r="T527" s="9"/>
    </row>
    <row r="528" spans="3:20">
      <c r="C528" s="9"/>
      <c r="D528" s="9"/>
      <c r="E528" s="9"/>
      <c r="F528" s="10"/>
      <c r="G528" s="9"/>
      <c r="H528" s="9"/>
      <c r="I528" s="9"/>
      <c r="J528" s="9"/>
      <c r="K528" s="9"/>
      <c r="L528" s="9"/>
      <c r="O528" s="9"/>
      <c r="P528" s="9"/>
      <c r="Q528" s="9"/>
      <c r="R528" s="9"/>
      <c r="S528" s="9"/>
      <c r="T528" s="9"/>
    </row>
    <row r="529" spans="3:20">
      <c r="C529" s="9"/>
      <c r="D529" s="9"/>
      <c r="E529" s="9"/>
      <c r="F529" s="10"/>
      <c r="G529" s="9"/>
      <c r="H529" s="9"/>
      <c r="I529" s="9"/>
      <c r="J529" s="9"/>
      <c r="K529" s="9"/>
      <c r="L529" s="9"/>
      <c r="O529" s="9"/>
      <c r="P529" s="9"/>
      <c r="Q529" s="9"/>
      <c r="R529" s="9"/>
      <c r="S529" s="9"/>
      <c r="T529" s="9"/>
    </row>
    <row r="530" spans="3:20">
      <c r="C530" s="9"/>
      <c r="D530" s="9"/>
      <c r="E530" s="9"/>
      <c r="F530" s="10"/>
      <c r="G530" s="9"/>
      <c r="H530" s="9"/>
      <c r="I530" s="9"/>
      <c r="J530" s="9"/>
      <c r="K530" s="9"/>
      <c r="L530" s="9"/>
      <c r="O530" s="9"/>
      <c r="P530" s="9"/>
      <c r="Q530" s="9"/>
      <c r="R530" s="9"/>
      <c r="S530" s="9"/>
      <c r="T530" s="9"/>
    </row>
    <row r="531" spans="3:20">
      <c r="C531" s="9"/>
      <c r="D531" s="9"/>
      <c r="E531" s="9"/>
      <c r="F531" s="10"/>
      <c r="G531" s="9"/>
      <c r="H531" s="9"/>
      <c r="I531" s="9"/>
      <c r="J531" s="9"/>
      <c r="K531" s="9"/>
      <c r="L531" s="9"/>
      <c r="O531" s="9"/>
      <c r="P531" s="9"/>
      <c r="Q531" s="9"/>
      <c r="R531" s="9"/>
      <c r="S531" s="9"/>
      <c r="T531" s="9"/>
    </row>
    <row r="532" spans="3:20">
      <c r="C532" s="9"/>
      <c r="D532" s="9"/>
      <c r="E532" s="9"/>
      <c r="F532" s="10"/>
      <c r="G532" s="9"/>
      <c r="H532" s="9"/>
      <c r="I532" s="9"/>
      <c r="J532" s="9"/>
      <c r="K532" s="9"/>
      <c r="L532" s="9"/>
      <c r="O532" s="9"/>
      <c r="P532" s="9"/>
      <c r="Q532" s="9"/>
      <c r="R532" s="9"/>
      <c r="S532" s="9"/>
      <c r="T532" s="9"/>
    </row>
    <row r="533" spans="3:20">
      <c r="C533" s="9"/>
      <c r="D533" s="9"/>
      <c r="E533" s="9"/>
      <c r="F533" s="10"/>
      <c r="G533" s="9"/>
      <c r="H533" s="9"/>
      <c r="I533" s="9"/>
      <c r="J533" s="9"/>
      <c r="K533" s="9"/>
      <c r="L533" s="9"/>
      <c r="O533" s="9"/>
      <c r="P533" s="9"/>
      <c r="Q533" s="9"/>
      <c r="R533" s="9"/>
      <c r="S533" s="9"/>
      <c r="T533" s="9"/>
    </row>
    <row r="534" spans="3:20">
      <c r="C534" s="9"/>
      <c r="D534" s="9"/>
      <c r="E534" s="9"/>
      <c r="F534" s="10"/>
      <c r="G534" s="9"/>
      <c r="H534" s="9"/>
      <c r="I534" s="9"/>
      <c r="J534" s="9"/>
      <c r="K534" s="9"/>
      <c r="L534" s="9"/>
      <c r="O534" s="9"/>
      <c r="P534" s="9"/>
      <c r="Q534" s="9"/>
      <c r="R534" s="9"/>
      <c r="S534" s="9"/>
      <c r="T534" s="9"/>
    </row>
    <row r="535" spans="3:20">
      <c r="C535" s="9"/>
      <c r="D535" s="9"/>
      <c r="E535" s="9"/>
      <c r="F535" s="10"/>
      <c r="G535" s="9"/>
      <c r="H535" s="9"/>
      <c r="I535" s="9"/>
      <c r="J535" s="9"/>
      <c r="K535" s="9"/>
      <c r="L535" s="9"/>
      <c r="O535" s="9"/>
      <c r="P535" s="9"/>
      <c r="Q535" s="9"/>
      <c r="R535" s="9"/>
      <c r="S535" s="9"/>
      <c r="T535" s="9"/>
    </row>
    <row r="536" spans="3:20">
      <c r="C536" s="9"/>
      <c r="D536" s="9"/>
      <c r="E536" s="9"/>
      <c r="F536" s="10"/>
      <c r="G536" s="9"/>
      <c r="H536" s="9"/>
      <c r="I536" s="9"/>
      <c r="J536" s="9"/>
      <c r="K536" s="9"/>
      <c r="L536" s="9"/>
      <c r="O536" s="9"/>
      <c r="P536" s="9"/>
      <c r="Q536" s="9"/>
      <c r="R536" s="9"/>
      <c r="S536" s="9"/>
      <c r="T536" s="9"/>
    </row>
    <row r="537" spans="3:20">
      <c r="C537" s="9"/>
      <c r="D537" s="9"/>
      <c r="E537" s="9"/>
      <c r="F537" s="10"/>
      <c r="G537" s="9"/>
      <c r="H537" s="9"/>
      <c r="I537" s="9"/>
      <c r="J537" s="9"/>
      <c r="K537" s="9"/>
      <c r="L537" s="9"/>
      <c r="O537" s="9"/>
      <c r="P537" s="9"/>
      <c r="Q537" s="9"/>
      <c r="R537" s="9"/>
      <c r="S537" s="9"/>
      <c r="T537" s="9"/>
    </row>
    <row r="538" spans="3:20">
      <c r="C538" s="9"/>
      <c r="D538" s="9"/>
      <c r="E538" s="9"/>
      <c r="F538" s="10"/>
      <c r="G538" s="9"/>
      <c r="H538" s="9"/>
      <c r="I538" s="9"/>
      <c r="J538" s="9"/>
      <c r="K538" s="9"/>
      <c r="L538" s="9"/>
      <c r="O538" s="9"/>
      <c r="P538" s="9"/>
      <c r="Q538" s="9"/>
      <c r="R538" s="9"/>
      <c r="S538" s="9"/>
      <c r="T538" s="9"/>
    </row>
    <row r="539" spans="3:20">
      <c r="C539" s="9"/>
      <c r="D539" s="9"/>
      <c r="E539" s="9"/>
      <c r="F539" s="10"/>
      <c r="G539" s="9"/>
      <c r="H539" s="9"/>
      <c r="I539" s="9"/>
      <c r="J539" s="9"/>
      <c r="K539" s="9"/>
      <c r="L539" s="9"/>
      <c r="O539" s="9"/>
      <c r="P539" s="9"/>
      <c r="Q539" s="9"/>
      <c r="R539" s="9"/>
      <c r="S539" s="9"/>
      <c r="T539" s="9"/>
    </row>
    <row r="540" spans="3:20">
      <c r="C540" s="9"/>
      <c r="D540" s="9"/>
      <c r="E540" s="9"/>
      <c r="F540" s="10"/>
      <c r="G540" s="9"/>
      <c r="H540" s="9"/>
      <c r="I540" s="9"/>
      <c r="J540" s="9"/>
      <c r="K540" s="9"/>
      <c r="L540" s="9"/>
      <c r="O540" s="9"/>
      <c r="P540" s="9"/>
      <c r="Q540" s="9"/>
      <c r="R540" s="9"/>
      <c r="S540" s="9"/>
      <c r="T540" s="9"/>
    </row>
    <row r="541" spans="3:20">
      <c r="C541" s="9"/>
      <c r="D541" s="9"/>
      <c r="E541" s="9"/>
      <c r="F541" s="10"/>
      <c r="G541" s="9"/>
      <c r="H541" s="9"/>
      <c r="I541" s="9"/>
      <c r="J541" s="9"/>
      <c r="K541" s="9"/>
      <c r="L541" s="9"/>
      <c r="O541" s="9"/>
      <c r="P541" s="9"/>
      <c r="Q541" s="9"/>
      <c r="R541" s="9"/>
      <c r="S541" s="9"/>
      <c r="T541" s="9"/>
    </row>
    <row r="542" spans="3:20">
      <c r="C542" s="9"/>
      <c r="D542" s="9"/>
      <c r="E542" s="9"/>
      <c r="F542" s="10"/>
      <c r="G542" s="9"/>
      <c r="H542" s="9"/>
      <c r="I542" s="9"/>
      <c r="J542" s="9"/>
      <c r="K542" s="9"/>
      <c r="L542" s="9"/>
      <c r="O542" s="9"/>
      <c r="P542" s="9"/>
      <c r="Q542" s="9"/>
      <c r="R542" s="9"/>
      <c r="S542" s="9"/>
      <c r="T542" s="9"/>
    </row>
    <row r="543" spans="3:20">
      <c r="C543" s="9"/>
      <c r="D543" s="9"/>
      <c r="E543" s="9"/>
      <c r="F543" s="10"/>
      <c r="G543" s="9"/>
      <c r="H543" s="9"/>
      <c r="I543" s="9"/>
      <c r="J543" s="9"/>
      <c r="K543" s="9"/>
      <c r="L543" s="9"/>
      <c r="O543" s="9"/>
      <c r="P543" s="9"/>
      <c r="Q543" s="9"/>
      <c r="R543" s="9"/>
      <c r="S543" s="9"/>
      <c r="T543" s="9"/>
    </row>
    <row r="544" spans="3:20">
      <c r="C544" s="9"/>
      <c r="D544" s="9"/>
      <c r="E544" s="9"/>
      <c r="F544" s="10"/>
      <c r="G544" s="9"/>
      <c r="H544" s="9"/>
      <c r="I544" s="9"/>
      <c r="J544" s="9"/>
      <c r="K544" s="9"/>
      <c r="L544" s="9"/>
      <c r="O544" s="9"/>
      <c r="P544" s="9"/>
      <c r="Q544" s="9"/>
      <c r="R544" s="9"/>
      <c r="S544" s="9"/>
      <c r="T544" s="9"/>
    </row>
    <row r="545" spans="3:20">
      <c r="C545" s="9"/>
      <c r="D545" s="9"/>
      <c r="E545" s="9"/>
      <c r="F545" s="10"/>
      <c r="G545" s="9"/>
      <c r="H545" s="9"/>
      <c r="I545" s="9"/>
      <c r="J545" s="9"/>
      <c r="K545" s="9"/>
      <c r="L545" s="9"/>
      <c r="O545" s="9"/>
      <c r="P545" s="9"/>
      <c r="Q545" s="9"/>
      <c r="R545" s="9"/>
      <c r="S545" s="9"/>
      <c r="T545" s="9"/>
    </row>
    <row r="546" spans="3:20">
      <c r="C546" s="9"/>
      <c r="D546" s="9"/>
      <c r="E546" s="9"/>
      <c r="F546" s="10"/>
      <c r="G546" s="9"/>
      <c r="H546" s="9"/>
      <c r="I546" s="9"/>
      <c r="J546" s="9"/>
      <c r="K546" s="9"/>
      <c r="L546" s="9"/>
      <c r="O546" s="9"/>
      <c r="P546" s="9"/>
      <c r="Q546" s="9"/>
      <c r="R546" s="9"/>
      <c r="S546" s="9"/>
      <c r="T546" s="9"/>
    </row>
    <row r="547" spans="3:20">
      <c r="C547" s="9"/>
      <c r="D547" s="9"/>
      <c r="E547" s="9"/>
      <c r="F547" s="10"/>
      <c r="G547" s="9"/>
      <c r="H547" s="9"/>
      <c r="I547" s="9"/>
      <c r="J547" s="9"/>
      <c r="K547" s="9"/>
      <c r="L547" s="9"/>
      <c r="O547" s="9"/>
      <c r="P547" s="9"/>
      <c r="Q547" s="9"/>
      <c r="R547" s="9"/>
      <c r="S547" s="9"/>
      <c r="T547" s="9"/>
    </row>
    <row r="548" spans="3:20">
      <c r="C548" s="9"/>
      <c r="D548" s="9"/>
      <c r="E548" s="9"/>
      <c r="F548" s="10"/>
      <c r="G548" s="9"/>
      <c r="H548" s="9"/>
      <c r="I548" s="9"/>
      <c r="J548" s="9"/>
      <c r="K548" s="9"/>
      <c r="L548" s="9"/>
      <c r="O548" s="9"/>
      <c r="P548" s="9"/>
      <c r="Q548" s="9"/>
      <c r="R548" s="9"/>
      <c r="S548" s="9"/>
      <c r="T548" s="9"/>
    </row>
    <row r="549" spans="3:20">
      <c r="C549" s="9"/>
      <c r="D549" s="9"/>
      <c r="E549" s="9"/>
      <c r="F549" s="10"/>
      <c r="G549" s="9"/>
      <c r="H549" s="9"/>
      <c r="I549" s="9"/>
      <c r="J549" s="9"/>
      <c r="K549" s="9"/>
      <c r="L549" s="9"/>
      <c r="O549" s="9"/>
      <c r="P549" s="9"/>
      <c r="Q549" s="9"/>
      <c r="R549" s="9"/>
      <c r="S549" s="9"/>
      <c r="T549" s="9"/>
    </row>
    <row r="550" spans="3:20">
      <c r="C550" s="9"/>
      <c r="D550" s="9"/>
      <c r="E550" s="9"/>
      <c r="F550" s="10"/>
      <c r="G550" s="9"/>
      <c r="H550" s="9"/>
      <c r="I550" s="9"/>
      <c r="J550" s="9"/>
      <c r="K550" s="9"/>
      <c r="L550" s="9"/>
      <c r="O550" s="9"/>
      <c r="P550" s="9"/>
      <c r="Q550" s="9"/>
      <c r="R550" s="9"/>
      <c r="S550" s="9"/>
      <c r="T550" s="9"/>
    </row>
    <row r="551" spans="3:20">
      <c r="C551" s="9"/>
      <c r="D551" s="9"/>
      <c r="E551" s="9"/>
      <c r="F551" s="10"/>
      <c r="G551" s="9"/>
      <c r="H551" s="9"/>
      <c r="I551" s="9"/>
      <c r="J551" s="9"/>
      <c r="K551" s="9"/>
      <c r="L551" s="9"/>
      <c r="O551" s="9"/>
      <c r="P551" s="9"/>
      <c r="Q551" s="9"/>
      <c r="R551" s="9"/>
      <c r="S551" s="9"/>
      <c r="T551" s="9"/>
    </row>
    <row r="552" spans="3:20">
      <c r="C552" s="9"/>
      <c r="D552" s="9"/>
      <c r="E552" s="9"/>
      <c r="F552" s="10"/>
      <c r="G552" s="9"/>
      <c r="H552" s="9"/>
      <c r="I552" s="9"/>
      <c r="J552" s="9"/>
      <c r="K552" s="9"/>
      <c r="L552" s="9"/>
      <c r="O552" s="9"/>
      <c r="P552" s="9"/>
      <c r="Q552" s="9"/>
      <c r="R552" s="9"/>
      <c r="S552" s="9"/>
      <c r="T552" s="9"/>
    </row>
    <row r="553" spans="3:20">
      <c r="C553" s="9"/>
      <c r="D553" s="9"/>
      <c r="E553" s="9"/>
      <c r="F553" s="10"/>
      <c r="G553" s="9"/>
      <c r="H553" s="9"/>
      <c r="I553" s="9"/>
      <c r="J553" s="9"/>
      <c r="K553" s="9"/>
      <c r="L553" s="9"/>
      <c r="O553" s="9"/>
      <c r="P553" s="9"/>
      <c r="Q553" s="9"/>
      <c r="R553" s="9"/>
      <c r="S553" s="9"/>
      <c r="T553" s="9"/>
    </row>
    <row r="554" spans="3:20">
      <c r="C554" s="9"/>
      <c r="D554" s="9"/>
      <c r="E554" s="9"/>
      <c r="F554" s="10"/>
      <c r="G554" s="9"/>
      <c r="H554" s="9"/>
      <c r="I554" s="9"/>
      <c r="J554" s="9"/>
      <c r="K554" s="9"/>
      <c r="L554" s="9"/>
      <c r="O554" s="9"/>
      <c r="P554" s="9"/>
      <c r="Q554" s="9"/>
      <c r="R554" s="9"/>
      <c r="S554" s="9"/>
      <c r="T554" s="9"/>
    </row>
    <row r="555" spans="3:20">
      <c r="C555" s="9"/>
      <c r="D555" s="9"/>
      <c r="E555" s="9"/>
      <c r="F555" s="10"/>
      <c r="G555" s="9"/>
      <c r="H555" s="9"/>
      <c r="I555" s="9"/>
      <c r="J555" s="9"/>
      <c r="K555" s="9"/>
      <c r="L555" s="9"/>
      <c r="O555" s="9"/>
      <c r="P555" s="9"/>
      <c r="Q555" s="9"/>
      <c r="R555" s="9"/>
      <c r="S555" s="9"/>
      <c r="T555" s="9"/>
    </row>
    <row r="556" spans="3:20">
      <c r="C556" s="9"/>
      <c r="D556" s="9"/>
      <c r="E556" s="9"/>
      <c r="F556" s="10"/>
      <c r="G556" s="9"/>
      <c r="H556" s="9"/>
      <c r="I556" s="9"/>
      <c r="J556" s="9"/>
      <c r="K556" s="9"/>
      <c r="L556" s="9"/>
      <c r="O556" s="9"/>
      <c r="P556" s="9"/>
      <c r="Q556" s="9"/>
      <c r="R556" s="9"/>
      <c r="S556" s="9"/>
      <c r="T556" s="9"/>
    </row>
    <row r="557" spans="3:20">
      <c r="C557" s="9"/>
      <c r="D557" s="9"/>
      <c r="E557" s="9"/>
      <c r="F557" s="10"/>
      <c r="G557" s="9"/>
      <c r="H557" s="9"/>
      <c r="I557" s="9"/>
      <c r="J557" s="9"/>
      <c r="K557" s="9"/>
      <c r="L557" s="9"/>
      <c r="O557" s="9"/>
      <c r="P557" s="9"/>
      <c r="Q557" s="9"/>
      <c r="R557" s="9"/>
      <c r="S557" s="9"/>
      <c r="T557" s="9"/>
    </row>
    <row r="558" spans="3:20">
      <c r="C558" s="9"/>
      <c r="D558" s="9"/>
      <c r="E558" s="9"/>
      <c r="F558" s="10"/>
      <c r="G558" s="9"/>
      <c r="H558" s="9"/>
      <c r="I558" s="9"/>
      <c r="J558" s="9"/>
      <c r="K558" s="9"/>
      <c r="L558" s="9"/>
      <c r="O558" s="9"/>
      <c r="P558" s="9"/>
      <c r="Q558" s="9"/>
      <c r="R558" s="9"/>
      <c r="S558" s="9"/>
      <c r="T558" s="9"/>
    </row>
    <row r="559" spans="3:20">
      <c r="C559" s="9"/>
      <c r="D559" s="9"/>
      <c r="E559" s="9"/>
      <c r="F559" s="10"/>
      <c r="G559" s="9"/>
      <c r="H559" s="9"/>
      <c r="I559" s="9"/>
      <c r="J559" s="9"/>
      <c r="K559" s="9"/>
      <c r="L559" s="9"/>
      <c r="O559" s="9"/>
      <c r="P559" s="9"/>
      <c r="Q559" s="9"/>
      <c r="R559" s="9"/>
      <c r="S559" s="9"/>
      <c r="T559" s="9"/>
    </row>
    <row r="560" spans="3:20">
      <c r="C560" s="9"/>
      <c r="D560" s="9"/>
      <c r="E560" s="9"/>
      <c r="F560" s="10"/>
      <c r="G560" s="9"/>
      <c r="H560" s="9"/>
      <c r="I560" s="9"/>
      <c r="J560" s="9"/>
      <c r="K560" s="9"/>
      <c r="L560" s="9"/>
      <c r="O560" s="9"/>
      <c r="P560" s="9"/>
      <c r="Q560" s="9"/>
      <c r="R560" s="9"/>
      <c r="S560" s="9"/>
      <c r="T560" s="9"/>
    </row>
    <row r="561" spans="3:20">
      <c r="C561" s="9"/>
      <c r="D561" s="9"/>
      <c r="E561" s="9"/>
      <c r="F561" s="10"/>
      <c r="G561" s="9"/>
      <c r="H561" s="9"/>
      <c r="I561" s="9"/>
      <c r="J561" s="9"/>
      <c r="K561" s="9"/>
      <c r="L561" s="9"/>
      <c r="O561" s="9"/>
      <c r="P561" s="9"/>
      <c r="Q561" s="9"/>
      <c r="R561" s="9"/>
      <c r="S561" s="9"/>
      <c r="T561" s="9"/>
    </row>
    <row r="562" spans="3:20">
      <c r="C562" s="9"/>
      <c r="D562" s="9"/>
      <c r="E562" s="9"/>
      <c r="F562" s="10"/>
      <c r="G562" s="9"/>
      <c r="H562" s="9"/>
      <c r="I562" s="9"/>
      <c r="J562" s="9"/>
      <c r="K562" s="9"/>
      <c r="L562" s="9"/>
      <c r="O562" s="9"/>
      <c r="P562" s="9"/>
      <c r="Q562" s="9"/>
      <c r="R562" s="9"/>
      <c r="S562" s="9"/>
      <c r="T562" s="9"/>
    </row>
    <row r="563" spans="3:20">
      <c r="C563" s="9"/>
      <c r="D563" s="9"/>
      <c r="E563" s="9"/>
      <c r="F563" s="10"/>
      <c r="G563" s="9"/>
      <c r="H563" s="9"/>
      <c r="I563" s="9"/>
      <c r="J563" s="9"/>
      <c r="K563" s="9"/>
      <c r="L563" s="9"/>
      <c r="O563" s="9"/>
      <c r="P563" s="9"/>
      <c r="Q563" s="9"/>
      <c r="R563" s="9"/>
      <c r="S563" s="9"/>
      <c r="T563" s="9"/>
    </row>
    <row r="564" spans="3:20">
      <c r="C564" s="9"/>
      <c r="D564" s="9"/>
      <c r="E564" s="9"/>
      <c r="F564" s="10"/>
      <c r="G564" s="9"/>
      <c r="H564" s="9"/>
      <c r="I564" s="9"/>
      <c r="J564" s="9"/>
      <c r="K564" s="9"/>
      <c r="L564" s="9"/>
      <c r="O564" s="9"/>
      <c r="P564" s="9"/>
      <c r="Q564" s="9"/>
      <c r="R564" s="9"/>
      <c r="S564" s="9"/>
      <c r="T564" s="9"/>
    </row>
    <row r="565" spans="3:20">
      <c r="C565" s="9"/>
      <c r="D565" s="9"/>
      <c r="E565" s="9"/>
      <c r="F565" s="10"/>
      <c r="G565" s="9"/>
      <c r="H565" s="9"/>
      <c r="I565" s="9"/>
      <c r="J565" s="9"/>
      <c r="K565" s="9"/>
      <c r="L565" s="9"/>
      <c r="O565" s="9"/>
      <c r="P565" s="9"/>
      <c r="Q565" s="9"/>
      <c r="R565" s="9"/>
      <c r="S565" s="9"/>
      <c r="T565" s="9"/>
    </row>
    <row r="566" spans="3:20">
      <c r="C566" s="9"/>
      <c r="D566" s="9"/>
      <c r="E566" s="9"/>
      <c r="F566" s="10"/>
      <c r="G566" s="9"/>
      <c r="H566" s="9"/>
      <c r="I566" s="9"/>
      <c r="J566" s="9"/>
      <c r="K566" s="9"/>
      <c r="L566" s="9"/>
      <c r="O566" s="9"/>
      <c r="P566" s="9"/>
      <c r="Q566" s="9"/>
      <c r="R566" s="9"/>
      <c r="S566" s="9"/>
      <c r="T566" s="9"/>
    </row>
    <row r="567" spans="3:20">
      <c r="C567" s="9"/>
      <c r="D567" s="9"/>
      <c r="E567" s="9"/>
      <c r="F567" s="10"/>
      <c r="G567" s="9"/>
      <c r="H567" s="9"/>
      <c r="I567" s="9"/>
      <c r="J567" s="9"/>
      <c r="K567" s="9"/>
      <c r="L567" s="9"/>
      <c r="O567" s="9"/>
      <c r="P567" s="9"/>
      <c r="Q567" s="9"/>
      <c r="R567" s="9"/>
      <c r="S567" s="9"/>
      <c r="T567" s="9"/>
    </row>
    <row r="568" spans="3:20">
      <c r="C568" s="9"/>
      <c r="D568" s="9"/>
      <c r="E568" s="9"/>
      <c r="F568" s="10"/>
      <c r="G568" s="9"/>
      <c r="H568" s="9"/>
      <c r="I568" s="9"/>
      <c r="J568" s="9"/>
      <c r="K568" s="9"/>
      <c r="L568" s="9"/>
      <c r="O568" s="9"/>
      <c r="P568" s="9"/>
      <c r="Q568" s="9"/>
      <c r="R568" s="9"/>
      <c r="S568" s="9"/>
      <c r="T568" s="9"/>
    </row>
    <row r="569" spans="3:20">
      <c r="C569" s="9"/>
      <c r="D569" s="9"/>
      <c r="E569" s="9"/>
      <c r="F569" s="10"/>
      <c r="G569" s="9"/>
      <c r="H569" s="9"/>
      <c r="I569" s="9"/>
      <c r="J569" s="9"/>
      <c r="K569" s="9"/>
      <c r="L569" s="9"/>
      <c r="O569" s="9"/>
      <c r="P569" s="9"/>
      <c r="Q569" s="9"/>
      <c r="R569" s="9"/>
      <c r="S569" s="9"/>
      <c r="T569" s="9"/>
    </row>
    <row r="570" spans="3:20">
      <c r="C570" s="9"/>
      <c r="D570" s="9"/>
      <c r="E570" s="9"/>
      <c r="F570" s="10"/>
      <c r="G570" s="9"/>
      <c r="H570" s="9"/>
      <c r="I570" s="9"/>
      <c r="J570" s="9"/>
      <c r="K570" s="9"/>
      <c r="L570" s="9"/>
      <c r="O570" s="9"/>
      <c r="P570" s="9"/>
      <c r="Q570" s="9"/>
      <c r="R570" s="9"/>
      <c r="S570" s="9"/>
      <c r="T570" s="9"/>
    </row>
    <row r="571" spans="3:20">
      <c r="C571" s="9"/>
      <c r="D571" s="9"/>
      <c r="E571" s="9"/>
      <c r="F571" s="10"/>
      <c r="G571" s="9"/>
      <c r="H571" s="9"/>
      <c r="I571" s="9"/>
      <c r="J571" s="9"/>
      <c r="K571" s="9"/>
      <c r="L571" s="9"/>
      <c r="O571" s="9"/>
      <c r="P571" s="9"/>
      <c r="Q571" s="9"/>
      <c r="R571" s="9"/>
      <c r="S571" s="9"/>
      <c r="T571" s="9"/>
    </row>
    <row r="572" spans="3:20">
      <c r="C572" s="9"/>
      <c r="D572" s="9"/>
      <c r="E572" s="9"/>
      <c r="F572" s="10"/>
      <c r="G572" s="9"/>
      <c r="H572" s="9"/>
      <c r="I572" s="9"/>
      <c r="J572" s="9"/>
      <c r="K572" s="9"/>
      <c r="L572" s="9"/>
      <c r="O572" s="9"/>
      <c r="P572" s="9"/>
      <c r="Q572" s="9"/>
      <c r="R572" s="9"/>
      <c r="S572" s="9"/>
      <c r="T572" s="9"/>
    </row>
    <row r="573" spans="3:20">
      <c r="C573" s="9"/>
      <c r="D573" s="9"/>
      <c r="E573" s="9"/>
      <c r="F573" s="10"/>
      <c r="G573" s="9"/>
      <c r="H573" s="9"/>
      <c r="I573" s="9"/>
      <c r="J573" s="9"/>
      <c r="K573" s="9"/>
      <c r="L573" s="9"/>
      <c r="O573" s="9"/>
      <c r="P573" s="9"/>
      <c r="Q573" s="9"/>
      <c r="R573" s="9"/>
      <c r="S573" s="9"/>
      <c r="T573" s="9"/>
    </row>
    <row r="574" spans="3:20">
      <c r="C574" s="9"/>
      <c r="D574" s="9"/>
      <c r="E574" s="9"/>
      <c r="F574" s="10"/>
      <c r="G574" s="9"/>
      <c r="H574" s="9"/>
      <c r="I574" s="9"/>
      <c r="J574" s="9"/>
      <c r="K574" s="9"/>
      <c r="L574" s="9"/>
      <c r="O574" s="9"/>
      <c r="P574" s="9"/>
      <c r="Q574" s="9"/>
      <c r="R574" s="9"/>
      <c r="S574" s="9"/>
      <c r="T574" s="9"/>
    </row>
    <row r="575" spans="3:20">
      <c r="C575" s="9"/>
      <c r="D575" s="9"/>
      <c r="E575" s="9"/>
      <c r="F575" s="10"/>
      <c r="G575" s="9"/>
      <c r="H575" s="9"/>
      <c r="I575" s="9"/>
      <c r="J575" s="9"/>
      <c r="K575" s="9"/>
      <c r="L575" s="9"/>
      <c r="O575" s="9"/>
      <c r="P575" s="9"/>
      <c r="Q575" s="9"/>
      <c r="R575" s="9"/>
      <c r="S575" s="9"/>
      <c r="T575" s="9"/>
    </row>
    <row r="576" spans="3:20">
      <c r="C576" s="9"/>
      <c r="D576" s="9"/>
      <c r="E576" s="9"/>
      <c r="F576" s="10"/>
      <c r="G576" s="9"/>
      <c r="H576" s="9"/>
      <c r="I576" s="9"/>
      <c r="J576" s="9"/>
      <c r="K576" s="9"/>
      <c r="L576" s="9"/>
      <c r="O576" s="9"/>
      <c r="P576" s="9"/>
      <c r="Q576" s="9"/>
      <c r="R576" s="9"/>
      <c r="S576" s="9"/>
      <c r="T576" s="9"/>
    </row>
    <row r="577" spans="3:20">
      <c r="C577" s="9"/>
      <c r="D577" s="9"/>
      <c r="E577" s="9"/>
      <c r="F577" s="10"/>
      <c r="G577" s="9"/>
      <c r="H577" s="9"/>
      <c r="I577" s="9"/>
      <c r="J577" s="9"/>
      <c r="K577" s="9"/>
      <c r="L577" s="9"/>
      <c r="O577" s="9"/>
      <c r="P577" s="9"/>
      <c r="Q577" s="9"/>
      <c r="R577" s="9"/>
      <c r="S577" s="9"/>
      <c r="T577" s="9"/>
    </row>
    <row r="578" spans="3:20">
      <c r="C578" s="9"/>
      <c r="D578" s="9"/>
      <c r="E578" s="9"/>
      <c r="F578" s="10"/>
      <c r="G578" s="9"/>
      <c r="H578" s="9"/>
      <c r="I578" s="9"/>
      <c r="J578" s="9"/>
      <c r="K578" s="9"/>
      <c r="L578" s="9"/>
      <c r="O578" s="9"/>
      <c r="P578" s="9"/>
      <c r="Q578" s="9"/>
      <c r="R578" s="9"/>
      <c r="S578" s="9"/>
      <c r="T578" s="9"/>
    </row>
    <row r="579" spans="3:20">
      <c r="C579" s="9"/>
      <c r="D579" s="9"/>
      <c r="E579" s="9"/>
      <c r="F579" s="10"/>
      <c r="G579" s="9"/>
      <c r="H579" s="9"/>
      <c r="I579" s="9"/>
      <c r="J579" s="9"/>
      <c r="K579" s="9"/>
      <c r="L579" s="9"/>
      <c r="O579" s="9"/>
      <c r="P579" s="9"/>
      <c r="Q579" s="9"/>
      <c r="R579" s="9"/>
      <c r="S579" s="9"/>
      <c r="T579" s="9"/>
    </row>
    <row r="580" spans="3:20">
      <c r="C580" s="9"/>
      <c r="D580" s="9"/>
      <c r="E580" s="9"/>
      <c r="F580" s="10"/>
      <c r="G580" s="9"/>
      <c r="H580" s="9"/>
      <c r="I580" s="9"/>
      <c r="J580" s="9"/>
      <c r="K580" s="9"/>
      <c r="L580" s="9"/>
      <c r="O580" s="9"/>
      <c r="P580" s="9"/>
      <c r="Q580" s="9"/>
      <c r="R580" s="9"/>
      <c r="S580" s="9"/>
      <c r="T580" s="9"/>
    </row>
    <row r="581" spans="3:20">
      <c r="C581" s="9"/>
      <c r="D581" s="9"/>
      <c r="E581" s="9"/>
      <c r="F581" s="10"/>
      <c r="G581" s="9"/>
      <c r="H581" s="9"/>
      <c r="I581" s="9"/>
      <c r="J581" s="9"/>
      <c r="K581" s="9"/>
      <c r="L581" s="9"/>
      <c r="O581" s="9"/>
      <c r="P581" s="9"/>
      <c r="Q581" s="9"/>
      <c r="R581" s="9"/>
      <c r="S581" s="9"/>
      <c r="T581" s="9"/>
    </row>
    <row r="582" spans="3:20">
      <c r="C582" s="9"/>
      <c r="D582" s="9"/>
      <c r="E582" s="9"/>
      <c r="F582" s="10"/>
      <c r="G582" s="9"/>
      <c r="H582" s="9"/>
      <c r="I582" s="9"/>
      <c r="J582" s="9"/>
      <c r="K582" s="9"/>
      <c r="L582" s="9"/>
      <c r="O582" s="9"/>
      <c r="P582" s="9"/>
      <c r="Q582" s="9"/>
      <c r="R582" s="9"/>
      <c r="S582" s="9"/>
      <c r="T582" s="9"/>
    </row>
    <row r="583" spans="3:20">
      <c r="C583" s="9"/>
      <c r="D583" s="9"/>
      <c r="E583" s="9"/>
      <c r="F583" s="10"/>
      <c r="G583" s="9"/>
      <c r="H583" s="9"/>
      <c r="I583" s="9"/>
      <c r="J583" s="9"/>
      <c r="K583" s="9"/>
      <c r="L583" s="9"/>
      <c r="O583" s="9"/>
      <c r="P583" s="9"/>
      <c r="Q583" s="9"/>
      <c r="R583" s="9"/>
      <c r="S583" s="9"/>
      <c r="T583" s="9"/>
    </row>
    <row r="584" spans="3:20">
      <c r="C584" s="9"/>
      <c r="D584" s="9"/>
      <c r="E584" s="9"/>
      <c r="F584" s="10"/>
      <c r="G584" s="9"/>
      <c r="H584" s="9"/>
      <c r="I584" s="9"/>
      <c r="J584" s="9"/>
      <c r="K584" s="9"/>
      <c r="L584" s="9"/>
      <c r="O584" s="9"/>
      <c r="P584" s="9"/>
      <c r="Q584" s="9"/>
      <c r="R584" s="9"/>
      <c r="S584" s="9"/>
      <c r="T584" s="9"/>
    </row>
    <row r="585" spans="3:20">
      <c r="C585" s="9"/>
      <c r="D585" s="9"/>
      <c r="E585" s="9"/>
      <c r="F585" s="10"/>
      <c r="G585" s="9"/>
      <c r="H585" s="9"/>
      <c r="I585" s="9"/>
      <c r="J585" s="9"/>
      <c r="K585" s="9"/>
      <c r="L585" s="9"/>
      <c r="O585" s="9"/>
      <c r="P585" s="9"/>
      <c r="Q585" s="9"/>
      <c r="R585" s="9"/>
      <c r="S585" s="9"/>
      <c r="T585" s="9"/>
    </row>
    <row r="586" spans="3:20">
      <c r="C586" s="9"/>
      <c r="D586" s="9"/>
      <c r="E586" s="9"/>
      <c r="F586" s="10"/>
      <c r="G586" s="9"/>
      <c r="H586" s="9"/>
      <c r="I586" s="9"/>
      <c r="J586" s="9"/>
      <c r="K586" s="9"/>
      <c r="L586" s="9"/>
      <c r="O586" s="9"/>
      <c r="P586" s="9"/>
      <c r="Q586" s="9"/>
      <c r="R586" s="9"/>
      <c r="S586" s="9"/>
      <c r="T586" s="9"/>
    </row>
    <row r="587" spans="3:20">
      <c r="C587" s="9"/>
      <c r="D587" s="9"/>
      <c r="E587" s="9"/>
      <c r="F587" s="10"/>
      <c r="G587" s="9"/>
      <c r="H587" s="9"/>
      <c r="I587" s="9"/>
      <c r="J587" s="9"/>
      <c r="K587" s="9"/>
      <c r="L587" s="9"/>
      <c r="O587" s="9"/>
      <c r="P587" s="9"/>
      <c r="Q587" s="9"/>
      <c r="R587" s="9"/>
      <c r="S587" s="9"/>
      <c r="T587" s="9"/>
    </row>
    <row r="588" spans="3:20">
      <c r="C588" s="9"/>
      <c r="D588" s="9"/>
      <c r="E588" s="9"/>
      <c r="F588" s="10"/>
      <c r="G588" s="9"/>
      <c r="H588" s="9"/>
      <c r="I588" s="9"/>
      <c r="J588" s="9"/>
      <c r="K588" s="9"/>
      <c r="L588" s="9"/>
      <c r="O588" s="9"/>
      <c r="P588" s="9"/>
      <c r="Q588" s="9"/>
      <c r="R588" s="9"/>
      <c r="S588" s="9"/>
      <c r="T588" s="9"/>
    </row>
    <row r="589" spans="3:20">
      <c r="C589" s="9"/>
      <c r="D589" s="9"/>
      <c r="E589" s="9"/>
      <c r="F589" s="10"/>
      <c r="G589" s="9"/>
      <c r="H589" s="9"/>
      <c r="I589" s="9"/>
      <c r="J589" s="9"/>
      <c r="K589" s="9"/>
      <c r="L589" s="9"/>
      <c r="O589" s="9"/>
      <c r="P589" s="9"/>
      <c r="Q589" s="9"/>
      <c r="R589" s="9"/>
      <c r="S589" s="9"/>
      <c r="T589" s="9"/>
    </row>
    <row r="590" spans="3:20">
      <c r="C590" s="9"/>
      <c r="D590" s="9"/>
      <c r="E590" s="9"/>
      <c r="F590" s="10"/>
      <c r="G590" s="9"/>
      <c r="H590" s="9"/>
      <c r="I590" s="9"/>
      <c r="J590" s="9"/>
      <c r="K590" s="9"/>
      <c r="L590" s="9"/>
      <c r="O590" s="9"/>
      <c r="P590" s="9"/>
      <c r="Q590" s="9"/>
      <c r="R590" s="9"/>
      <c r="S590" s="9"/>
      <c r="T590" s="9"/>
    </row>
    <row r="591" spans="3:20">
      <c r="C591" s="9"/>
      <c r="D591" s="9"/>
      <c r="E591" s="9"/>
      <c r="F591" s="10"/>
      <c r="G591" s="9"/>
      <c r="H591" s="9"/>
      <c r="I591" s="9"/>
      <c r="J591" s="9"/>
      <c r="K591" s="9"/>
      <c r="L591" s="9"/>
      <c r="O591" s="9"/>
      <c r="P591" s="9"/>
      <c r="Q591" s="9"/>
      <c r="R591" s="9"/>
      <c r="S591" s="9"/>
      <c r="T591" s="9"/>
    </row>
    <row r="592" spans="3:20">
      <c r="C592" s="9"/>
      <c r="D592" s="9"/>
      <c r="E592" s="9"/>
      <c r="F592" s="10"/>
      <c r="G592" s="9"/>
      <c r="H592" s="9"/>
      <c r="I592" s="9"/>
      <c r="J592" s="9"/>
      <c r="K592" s="9"/>
      <c r="L592" s="9"/>
      <c r="O592" s="9"/>
      <c r="P592" s="9"/>
      <c r="Q592" s="9"/>
      <c r="R592" s="9"/>
      <c r="S592" s="9"/>
      <c r="T592" s="9"/>
    </row>
    <row r="593" spans="3:20">
      <c r="C593" s="9"/>
      <c r="D593" s="9"/>
      <c r="E593" s="9"/>
      <c r="F593" s="10"/>
      <c r="G593" s="9"/>
      <c r="H593" s="9"/>
      <c r="I593" s="9"/>
      <c r="J593" s="9"/>
      <c r="K593" s="9"/>
      <c r="L593" s="9"/>
      <c r="O593" s="9"/>
      <c r="P593" s="9"/>
      <c r="Q593" s="9"/>
      <c r="R593" s="9"/>
      <c r="S593" s="9"/>
      <c r="T593" s="9"/>
    </row>
    <row r="594" spans="3:20">
      <c r="C594" s="9"/>
      <c r="D594" s="9"/>
      <c r="E594" s="9"/>
      <c r="F594" s="10"/>
      <c r="G594" s="9"/>
      <c r="H594" s="9"/>
      <c r="I594" s="9"/>
      <c r="J594" s="9"/>
      <c r="K594" s="9"/>
      <c r="L594" s="9"/>
      <c r="O594" s="9"/>
      <c r="P594" s="9"/>
      <c r="Q594" s="9"/>
      <c r="R594" s="9"/>
      <c r="S594" s="9"/>
      <c r="T594" s="9"/>
    </row>
    <row r="595" spans="3:20">
      <c r="C595" s="9"/>
      <c r="D595" s="9"/>
      <c r="E595" s="9"/>
      <c r="F595" s="10"/>
      <c r="G595" s="9"/>
      <c r="H595" s="9"/>
      <c r="I595" s="9"/>
      <c r="J595" s="9"/>
      <c r="K595" s="9"/>
      <c r="L595" s="9"/>
      <c r="O595" s="9"/>
      <c r="P595" s="9"/>
      <c r="Q595" s="9"/>
      <c r="R595" s="9"/>
      <c r="S595" s="9"/>
      <c r="T595" s="9"/>
    </row>
    <row r="596" spans="3:20">
      <c r="C596" s="9"/>
      <c r="D596" s="9"/>
      <c r="E596" s="9"/>
      <c r="F596" s="10"/>
      <c r="G596" s="9"/>
      <c r="H596" s="9"/>
      <c r="I596" s="9"/>
      <c r="J596" s="9"/>
      <c r="K596" s="9"/>
      <c r="L596" s="9"/>
      <c r="O596" s="9"/>
      <c r="P596" s="9"/>
      <c r="Q596" s="9"/>
      <c r="R596" s="9"/>
      <c r="S596" s="9"/>
      <c r="T596" s="9"/>
    </row>
    <row r="597" spans="3:20">
      <c r="C597" s="9"/>
      <c r="D597" s="9"/>
      <c r="E597" s="9"/>
      <c r="F597" s="10"/>
      <c r="G597" s="9"/>
      <c r="H597" s="9"/>
      <c r="I597" s="9"/>
      <c r="J597" s="9"/>
      <c r="K597" s="9"/>
      <c r="L597" s="9"/>
      <c r="O597" s="9"/>
      <c r="P597" s="9"/>
      <c r="Q597" s="9"/>
      <c r="R597" s="9"/>
      <c r="S597" s="9"/>
      <c r="T597" s="9"/>
    </row>
    <row r="598" spans="3:20">
      <c r="C598" s="9"/>
      <c r="D598" s="9"/>
      <c r="E598" s="9"/>
      <c r="F598" s="10"/>
      <c r="G598" s="9"/>
      <c r="H598" s="9"/>
      <c r="I598" s="9"/>
      <c r="J598" s="9"/>
      <c r="K598" s="9"/>
      <c r="L598" s="9"/>
      <c r="O598" s="9"/>
      <c r="P598" s="9"/>
      <c r="Q598" s="9"/>
      <c r="R598" s="9"/>
      <c r="S598" s="9"/>
      <c r="T598" s="9"/>
    </row>
    <row r="599" spans="3:20">
      <c r="C599" s="9"/>
      <c r="D599" s="9"/>
      <c r="E599" s="9"/>
      <c r="F599" s="10"/>
      <c r="G599" s="9"/>
      <c r="H599" s="9"/>
      <c r="I599" s="9"/>
      <c r="J599" s="9"/>
      <c r="K599" s="9"/>
      <c r="L599" s="9"/>
      <c r="O599" s="9"/>
      <c r="P599" s="9"/>
      <c r="Q599" s="9"/>
      <c r="R599" s="9"/>
      <c r="S599" s="9"/>
      <c r="T599" s="9"/>
    </row>
    <row r="600" spans="3:20">
      <c r="C600" s="9"/>
      <c r="D600" s="9"/>
      <c r="E600" s="9"/>
      <c r="F600" s="10"/>
      <c r="G600" s="9"/>
      <c r="H600" s="9"/>
      <c r="I600" s="9"/>
      <c r="J600" s="9"/>
      <c r="K600" s="9"/>
      <c r="L600" s="9"/>
      <c r="O600" s="9"/>
      <c r="P600" s="9"/>
      <c r="Q600" s="9"/>
      <c r="R600" s="9"/>
      <c r="S600" s="9"/>
      <c r="T600" s="9"/>
    </row>
    <row r="601" spans="3:20">
      <c r="C601" s="9"/>
      <c r="D601" s="9"/>
      <c r="E601" s="9"/>
      <c r="F601" s="10"/>
      <c r="G601" s="9"/>
      <c r="H601" s="9"/>
      <c r="I601" s="9"/>
      <c r="J601" s="9"/>
      <c r="K601" s="9"/>
      <c r="L601" s="9"/>
      <c r="O601" s="9"/>
      <c r="P601" s="9"/>
      <c r="Q601" s="9"/>
      <c r="R601" s="9"/>
      <c r="S601" s="9"/>
      <c r="T601" s="9"/>
    </row>
    <row r="602" spans="3:20">
      <c r="C602" s="9"/>
      <c r="D602" s="9"/>
      <c r="E602" s="9"/>
      <c r="F602" s="10"/>
      <c r="G602" s="9"/>
      <c r="H602" s="9"/>
      <c r="I602" s="9"/>
      <c r="J602" s="9"/>
      <c r="K602" s="9"/>
      <c r="L602" s="9"/>
      <c r="O602" s="9"/>
      <c r="P602" s="9"/>
      <c r="Q602" s="9"/>
      <c r="R602" s="9"/>
      <c r="S602" s="9"/>
      <c r="T602" s="9"/>
    </row>
    <row r="603" spans="3:20">
      <c r="C603" s="9"/>
      <c r="D603" s="9"/>
      <c r="E603" s="9"/>
      <c r="F603" s="10"/>
      <c r="G603" s="9"/>
      <c r="H603" s="9"/>
      <c r="I603" s="9"/>
      <c r="J603" s="9"/>
      <c r="K603" s="9"/>
      <c r="L603" s="9"/>
      <c r="O603" s="9"/>
      <c r="P603" s="9"/>
      <c r="Q603" s="9"/>
      <c r="R603" s="9"/>
      <c r="S603" s="9"/>
      <c r="T603" s="9"/>
    </row>
    <row r="604" spans="3:20">
      <c r="C604" s="9"/>
      <c r="D604" s="9"/>
      <c r="E604" s="9"/>
      <c r="F604" s="10"/>
      <c r="G604" s="9"/>
      <c r="H604" s="9"/>
      <c r="I604" s="9"/>
      <c r="J604" s="9"/>
      <c r="K604" s="9"/>
      <c r="L604" s="9"/>
      <c r="O604" s="9"/>
      <c r="P604" s="9"/>
      <c r="Q604" s="9"/>
      <c r="R604" s="9"/>
      <c r="S604" s="9"/>
      <c r="T604" s="9"/>
    </row>
    <row r="605" spans="3:20">
      <c r="C605" s="9"/>
      <c r="D605" s="9"/>
      <c r="E605" s="9"/>
      <c r="F605" s="10"/>
      <c r="G605" s="9"/>
      <c r="H605" s="9"/>
      <c r="I605" s="9"/>
      <c r="J605" s="9"/>
      <c r="K605" s="9"/>
      <c r="L605" s="9"/>
      <c r="O605" s="9"/>
      <c r="P605" s="9"/>
      <c r="Q605" s="9"/>
      <c r="R605" s="9"/>
      <c r="S605" s="9"/>
      <c r="T605" s="9"/>
    </row>
    <row r="606" spans="3:20">
      <c r="C606" s="9"/>
      <c r="D606" s="9"/>
      <c r="E606" s="9"/>
      <c r="F606" s="10"/>
      <c r="G606" s="9"/>
      <c r="H606" s="9"/>
      <c r="I606" s="9"/>
      <c r="J606" s="9"/>
      <c r="K606" s="9"/>
      <c r="L606" s="9"/>
      <c r="O606" s="9"/>
      <c r="P606" s="9"/>
      <c r="Q606" s="9"/>
      <c r="R606" s="9"/>
      <c r="S606" s="9"/>
      <c r="T606" s="9"/>
    </row>
    <row r="607" spans="3:20">
      <c r="C607" s="9"/>
      <c r="D607" s="9"/>
      <c r="E607" s="9"/>
      <c r="F607" s="10"/>
      <c r="G607" s="9"/>
      <c r="H607" s="9"/>
      <c r="I607" s="9"/>
      <c r="J607" s="9"/>
      <c r="K607" s="9"/>
      <c r="L607" s="9"/>
      <c r="O607" s="9"/>
      <c r="P607" s="9"/>
      <c r="Q607" s="9"/>
      <c r="R607" s="9"/>
      <c r="S607" s="9"/>
      <c r="T607" s="9"/>
    </row>
    <row r="608" spans="3:20">
      <c r="C608" s="9"/>
      <c r="D608" s="9"/>
      <c r="E608" s="9"/>
      <c r="F608" s="10"/>
      <c r="G608" s="9"/>
      <c r="H608" s="9"/>
      <c r="I608" s="9"/>
      <c r="J608" s="9"/>
      <c r="K608" s="9"/>
      <c r="L608" s="9"/>
      <c r="O608" s="9"/>
      <c r="P608" s="9"/>
      <c r="Q608" s="9"/>
      <c r="R608" s="9"/>
      <c r="S608" s="9"/>
      <c r="T608" s="9"/>
    </row>
    <row r="609" spans="3:20">
      <c r="C609" s="9"/>
      <c r="D609" s="9"/>
      <c r="E609" s="9"/>
      <c r="F609" s="10"/>
      <c r="G609" s="9"/>
      <c r="H609" s="9"/>
      <c r="I609" s="9"/>
      <c r="J609" s="9"/>
      <c r="K609" s="9"/>
      <c r="L609" s="9"/>
      <c r="O609" s="9"/>
      <c r="P609" s="9"/>
      <c r="Q609" s="9"/>
      <c r="R609" s="9"/>
      <c r="S609" s="9"/>
      <c r="T609" s="9"/>
    </row>
    <row r="610" spans="3:20">
      <c r="C610" s="9"/>
      <c r="D610" s="9"/>
      <c r="E610" s="9"/>
      <c r="F610" s="10"/>
      <c r="G610" s="9"/>
      <c r="H610" s="9"/>
      <c r="I610" s="9"/>
      <c r="J610" s="9"/>
      <c r="K610" s="9"/>
      <c r="L610" s="9"/>
      <c r="O610" s="9"/>
      <c r="P610" s="9"/>
      <c r="Q610" s="9"/>
      <c r="R610" s="9"/>
      <c r="S610" s="9"/>
      <c r="T610" s="9"/>
    </row>
    <row r="611" spans="3:20">
      <c r="C611" s="9"/>
      <c r="D611" s="9"/>
      <c r="E611" s="9"/>
      <c r="F611" s="10"/>
      <c r="G611" s="9"/>
      <c r="H611" s="9"/>
      <c r="I611" s="9"/>
      <c r="J611" s="9"/>
      <c r="K611" s="9"/>
      <c r="L611" s="9"/>
      <c r="O611" s="9"/>
      <c r="P611" s="9"/>
      <c r="Q611" s="9"/>
      <c r="R611" s="9"/>
      <c r="S611" s="9"/>
      <c r="T611" s="9"/>
    </row>
    <row r="612" spans="3:20">
      <c r="C612" s="9"/>
      <c r="D612" s="9"/>
      <c r="E612" s="9"/>
      <c r="F612" s="10"/>
      <c r="G612" s="9"/>
      <c r="H612" s="9"/>
      <c r="I612" s="9"/>
      <c r="J612" s="9"/>
      <c r="K612" s="9"/>
      <c r="L612" s="9"/>
      <c r="O612" s="9"/>
      <c r="P612" s="9"/>
      <c r="Q612" s="9"/>
      <c r="R612" s="9"/>
      <c r="S612" s="9"/>
      <c r="T612" s="9"/>
    </row>
    <row r="613" spans="3:20">
      <c r="C613" s="9"/>
      <c r="D613" s="9"/>
      <c r="E613" s="9"/>
      <c r="F613" s="10"/>
      <c r="G613" s="9"/>
      <c r="H613" s="9"/>
      <c r="I613" s="9"/>
      <c r="J613" s="9"/>
      <c r="K613" s="9"/>
      <c r="L613" s="9"/>
      <c r="O613" s="9"/>
      <c r="P613" s="9"/>
      <c r="Q613" s="9"/>
      <c r="R613" s="9"/>
      <c r="S613" s="9"/>
      <c r="T613" s="9"/>
    </row>
    <row r="614" spans="3:20">
      <c r="C614" s="9"/>
      <c r="D614" s="9"/>
      <c r="E614" s="9"/>
      <c r="F614" s="10"/>
      <c r="G614" s="9"/>
      <c r="H614" s="9"/>
      <c r="I614" s="9"/>
      <c r="J614" s="9"/>
      <c r="K614" s="9"/>
      <c r="L614" s="9"/>
      <c r="O614" s="9"/>
      <c r="P614" s="9"/>
      <c r="Q614" s="9"/>
      <c r="R614" s="9"/>
      <c r="S614" s="9"/>
      <c r="T614" s="9"/>
    </row>
    <row r="615" spans="3:20">
      <c r="C615" s="9"/>
      <c r="D615" s="9"/>
      <c r="E615" s="9"/>
      <c r="F615" s="10"/>
      <c r="G615" s="9"/>
      <c r="H615" s="9"/>
      <c r="I615" s="9"/>
      <c r="J615" s="9"/>
      <c r="K615" s="9"/>
      <c r="L615" s="9"/>
      <c r="O615" s="9"/>
      <c r="P615" s="9"/>
      <c r="Q615" s="9"/>
      <c r="R615" s="9"/>
      <c r="S615" s="9"/>
      <c r="T615" s="9"/>
    </row>
    <row r="616" spans="3:20">
      <c r="C616" s="9"/>
      <c r="D616" s="9"/>
      <c r="E616" s="9"/>
      <c r="F616" s="10"/>
      <c r="G616" s="9"/>
      <c r="H616" s="9"/>
      <c r="I616" s="9"/>
      <c r="J616" s="9"/>
      <c r="K616" s="9"/>
      <c r="L616" s="9"/>
      <c r="O616" s="9"/>
      <c r="P616" s="9"/>
      <c r="Q616" s="9"/>
      <c r="R616" s="9"/>
      <c r="S616" s="9"/>
      <c r="T616" s="9"/>
    </row>
    <row r="617" spans="3:20">
      <c r="C617" s="9"/>
      <c r="D617" s="9"/>
      <c r="E617" s="9"/>
      <c r="F617" s="10"/>
      <c r="G617" s="9"/>
      <c r="H617" s="9"/>
      <c r="I617" s="9"/>
      <c r="J617" s="9"/>
      <c r="K617" s="9"/>
      <c r="L617" s="9"/>
      <c r="O617" s="9"/>
      <c r="P617" s="9"/>
      <c r="Q617" s="9"/>
      <c r="R617" s="9"/>
      <c r="S617" s="9"/>
      <c r="T617" s="9"/>
    </row>
    <row r="618" spans="3:20">
      <c r="C618" s="9"/>
      <c r="D618" s="9"/>
      <c r="E618" s="9"/>
      <c r="F618" s="10"/>
      <c r="G618" s="9"/>
      <c r="H618" s="9"/>
      <c r="I618" s="9"/>
      <c r="J618" s="9"/>
      <c r="K618" s="9"/>
      <c r="L618" s="9"/>
      <c r="O618" s="9"/>
      <c r="P618" s="9"/>
      <c r="Q618" s="9"/>
      <c r="R618" s="9"/>
      <c r="S618" s="9"/>
      <c r="T618" s="9"/>
    </row>
    <row r="619" spans="3:20">
      <c r="C619" s="9"/>
      <c r="D619" s="9"/>
      <c r="E619" s="9"/>
      <c r="F619" s="10"/>
      <c r="G619" s="9"/>
      <c r="H619" s="9"/>
      <c r="I619" s="9"/>
      <c r="J619" s="9"/>
      <c r="K619" s="9"/>
      <c r="L619" s="9"/>
      <c r="O619" s="9"/>
      <c r="P619" s="9"/>
      <c r="Q619" s="9"/>
      <c r="R619" s="9"/>
      <c r="S619" s="9"/>
      <c r="T619" s="9"/>
    </row>
    <row r="620" spans="3:20">
      <c r="C620" s="9"/>
      <c r="D620" s="9"/>
      <c r="E620" s="9"/>
      <c r="F620" s="10"/>
      <c r="G620" s="9"/>
      <c r="H620" s="9"/>
      <c r="I620" s="9"/>
      <c r="J620" s="9"/>
      <c r="K620" s="9"/>
      <c r="L620" s="9"/>
      <c r="O620" s="9"/>
      <c r="P620" s="9"/>
      <c r="Q620" s="9"/>
      <c r="R620" s="9"/>
      <c r="S620" s="9"/>
      <c r="T620" s="9"/>
    </row>
    <row r="621" spans="3:20">
      <c r="C621" s="9"/>
      <c r="D621" s="9"/>
      <c r="E621" s="9"/>
      <c r="F621" s="10"/>
      <c r="G621" s="9"/>
      <c r="H621" s="9"/>
      <c r="I621" s="9"/>
      <c r="J621" s="9"/>
      <c r="K621" s="9"/>
      <c r="L621" s="9"/>
      <c r="O621" s="9"/>
      <c r="P621" s="9"/>
      <c r="Q621" s="9"/>
      <c r="R621" s="9"/>
      <c r="S621" s="9"/>
      <c r="T621" s="9"/>
    </row>
    <row r="622" spans="3:20">
      <c r="C622" s="9"/>
      <c r="D622" s="9"/>
      <c r="E622" s="9"/>
      <c r="F622" s="10"/>
      <c r="G622" s="9"/>
      <c r="H622" s="9"/>
      <c r="I622" s="9"/>
      <c r="J622" s="9"/>
      <c r="K622" s="9"/>
      <c r="L622" s="9"/>
      <c r="O622" s="9"/>
      <c r="P622" s="9"/>
      <c r="Q622" s="9"/>
      <c r="R622" s="9"/>
      <c r="S622" s="9"/>
      <c r="T622" s="9"/>
    </row>
    <row r="623" spans="3:20">
      <c r="C623" s="9"/>
      <c r="D623" s="9"/>
      <c r="E623" s="9"/>
      <c r="F623" s="10"/>
      <c r="G623" s="9"/>
      <c r="H623" s="9"/>
      <c r="I623" s="9"/>
      <c r="J623" s="9"/>
      <c r="K623" s="9"/>
      <c r="L623" s="9"/>
      <c r="O623" s="9"/>
      <c r="P623" s="9"/>
      <c r="Q623" s="9"/>
      <c r="R623" s="9"/>
      <c r="S623" s="9"/>
      <c r="T623" s="9"/>
    </row>
    <row r="624" spans="3:20">
      <c r="C624" s="9"/>
      <c r="D624" s="9"/>
      <c r="E624" s="9"/>
      <c r="F624" s="10"/>
      <c r="G624" s="9"/>
      <c r="H624" s="9"/>
      <c r="I624" s="9"/>
      <c r="J624" s="9"/>
      <c r="K624" s="9"/>
      <c r="L624" s="9"/>
      <c r="O624" s="9"/>
      <c r="P624" s="9"/>
      <c r="Q624" s="9"/>
      <c r="R624" s="9"/>
      <c r="S624" s="9"/>
      <c r="T624" s="9"/>
    </row>
    <row r="625" spans="3:20">
      <c r="C625" s="9"/>
      <c r="D625" s="9"/>
      <c r="E625" s="9"/>
      <c r="F625" s="10"/>
      <c r="G625" s="9"/>
      <c r="H625" s="9"/>
      <c r="I625" s="9"/>
      <c r="J625" s="9"/>
      <c r="K625" s="9"/>
      <c r="L625" s="9"/>
      <c r="O625" s="9"/>
      <c r="P625" s="9"/>
      <c r="Q625" s="9"/>
      <c r="R625" s="9"/>
      <c r="S625" s="9"/>
      <c r="T625" s="9"/>
    </row>
    <row r="626" spans="3:20">
      <c r="C626" s="9"/>
      <c r="D626" s="9"/>
      <c r="E626" s="9"/>
      <c r="F626" s="10"/>
      <c r="G626" s="9"/>
      <c r="H626" s="9"/>
      <c r="I626" s="9"/>
      <c r="J626" s="9"/>
      <c r="K626" s="9"/>
      <c r="L626" s="9"/>
      <c r="O626" s="9"/>
      <c r="P626" s="9"/>
      <c r="Q626" s="9"/>
      <c r="R626" s="9"/>
      <c r="S626" s="9"/>
      <c r="T626" s="9"/>
    </row>
    <row r="627" spans="3:20">
      <c r="C627" s="9"/>
      <c r="D627" s="9"/>
      <c r="E627" s="9"/>
      <c r="F627" s="10"/>
      <c r="G627" s="9"/>
      <c r="H627" s="9"/>
      <c r="I627" s="9"/>
      <c r="J627" s="9"/>
      <c r="K627" s="9"/>
      <c r="L627" s="9"/>
      <c r="O627" s="9"/>
      <c r="P627" s="9"/>
      <c r="Q627" s="9"/>
      <c r="R627" s="9"/>
      <c r="S627" s="9"/>
      <c r="T627" s="9"/>
    </row>
    <row r="628" spans="3:20">
      <c r="C628" s="9"/>
      <c r="D628" s="9"/>
      <c r="E628" s="9"/>
      <c r="F628" s="10"/>
      <c r="G628" s="9"/>
      <c r="H628" s="9"/>
      <c r="I628" s="9"/>
      <c r="J628" s="9"/>
      <c r="K628" s="9"/>
      <c r="L628" s="9"/>
      <c r="O628" s="9"/>
      <c r="P628" s="9"/>
      <c r="Q628" s="9"/>
      <c r="R628" s="9"/>
      <c r="S628" s="9"/>
      <c r="T628" s="9"/>
    </row>
    <row r="629" spans="3:20">
      <c r="C629" s="9"/>
      <c r="D629" s="9"/>
      <c r="E629" s="9"/>
      <c r="F629" s="10"/>
      <c r="G629" s="9"/>
      <c r="H629" s="9"/>
      <c r="I629" s="9"/>
      <c r="J629" s="9"/>
      <c r="K629" s="9"/>
      <c r="L629" s="9"/>
      <c r="O629" s="9"/>
      <c r="P629" s="9"/>
      <c r="Q629" s="9"/>
      <c r="R629" s="9"/>
      <c r="S629" s="9"/>
      <c r="T629" s="9"/>
    </row>
    <row r="630" spans="3:20">
      <c r="C630" s="9"/>
      <c r="D630" s="9"/>
      <c r="E630" s="9"/>
      <c r="F630" s="10"/>
      <c r="G630" s="9"/>
      <c r="H630" s="9"/>
      <c r="I630" s="9"/>
      <c r="J630" s="9"/>
      <c r="K630" s="9"/>
      <c r="L630" s="9"/>
      <c r="O630" s="9"/>
      <c r="P630" s="9"/>
      <c r="Q630" s="9"/>
      <c r="R630" s="9"/>
      <c r="S630" s="9"/>
      <c r="T630" s="9"/>
    </row>
    <row r="631" spans="3:20">
      <c r="C631" s="9"/>
      <c r="D631" s="9"/>
      <c r="E631" s="9"/>
      <c r="F631" s="10"/>
      <c r="G631" s="9"/>
      <c r="H631" s="9"/>
      <c r="I631" s="9"/>
      <c r="J631" s="9"/>
      <c r="K631" s="9"/>
      <c r="L631" s="9"/>
      <c r="O631" s="9"/>
      <c r="P631" s="9"/>
      <c r="Q631" s="9"/>
      <c r="R631" s="9"/>
      <c r="S631" s="9"/>
      <c r="T631" s="9"/>
    </row>
    <row r="632" spans="3:20">
      <c r="C632" s="9"/>
      <c r="D632" s="9"/>
      <c r="E632" s="9"/>
      <c r="F632" s="10"/>
      <c r="G632" s="9"/>
      <c r="H632" s="9"/>
      <c r="I632" s="9"/>
      <c r="J632" s="9"/>
      <c r="K632" s="9"/>
      <c r="L632" s="9"/>
      <c r="O632" s="9"/>
      <c r="P632" s="9"/>
      <c r="Q632" s="9"/>
      <c r="R632" s="9"/>
      <c r="S632" s="9"/>
      <c r="T632" s="9"/>
    </row>
    <row r="633" spans="3:20">
      <c r="C633" s="9"/>
      <c r="D633" s="9"/>
      <c r="E633" s="9"/>
      <c r="F633" s="10"/>
      <c r="G633" s="9"/>
      <c r="H633" s="9"/>
      <c r="I633" s="9"/>
      <c r="J633" s="9"/>
      <c r="K633" s="9"/>
      <c r="L633" s="9"/>
      <c r="O633" s="9"/>
      <c r="P633" s="9"/>
      <c r="Q633" s="9"/>
      <c r="R633" s="9"/>
      <c r="S633" s="9"/>
      <c r="T633" s="9"/>
    </row>
    <row r="634" spans="3:20">
      <c r="C634" s="9"/>
      <c r="D634" s="9"/>
      <c r="E634" s="9"/>
      <c r="F634" s="10"/>
      <c r="G634" s="9"/>
      <c r="H634" s="9"/>
      <c r="I634" s="9"/>
      <c r="J634" s="9"/>
      <c r="K634" s="9"/>
      <c r="L634" s="9"/>
      <c r="O634" s="9"/>
      <c r="P634" s="9"/>
      <c r="Q634" s="9"/>
      <c r="R634" s="9"/>
      <c r="S634" s="9"/>
      <c r="T634" s="9"/>
    </row>
    <row r="635" spans="3:20">
      <c r="C635" s="9"/>
      <c r="D635" s="9"/>
      <c r="E635" s="9"/>
      <c r="F635" s="10"/>
      <c r="G635" s="9"/>
      <c r="H635" s="9"/>
      <c r="I635" s="9"/>
      <c r="J635" s="9"/>
      <c r="K635" s="9"/>
      <c r="L635" s="9"/>
      <c r="O635" s="9"/>
      <c r="P635" s="9"/>
      <c r="Q635" s="9"/>
      <c r="R635" s="9"/>
      <c r="S635" s="9"/>
      <c r="T635" s="9"/>
    </row>
    <row r="636" spans="3:20">
      <c r="C636" s="9"/>
      <c r="D636" s="9"/>
      <c r="E636" s="9"/>
      <c r="F636" s="10"/>
      <c r="G636" s="9"/>
      <c r="H636" s="9"/>
      <c r="I636" s="9"/>
      <c r="J636" s="9"/>
      <c r="K636" s="9"/>
      <c r="L636" s="9"/>
      <c r="O636" s="9"/>
      <c r="P636" s="9"/>
      <c r="Q636" s="9"/>
      <c r="R636" s="9"/>
      <c r="S636" s="9"/>
      <c r="T636" s="9"/>
    </row>
    <row r="637" spans="3:20">
      <c r="C637" s="9"/>
      <c r="D637" s="9"/>
      <c r="E637" s="9"/>
      <c r="F637" s="10"/>
      <c r="G637" s="9"/>
      <c r="H637" s="9"/>
      <c r="I637" s="9"/>
      <c r="J637" s="9"/>
      <c r="K637" s="9"/>
      <c r="L637" s="9"/>
      <c r="O637" s="9"/>
      <c r="P637" s="9"/>
      <c r="Q637" s="9"/>
      <c r="R637" s="9"/>
      <c r="S637" s="9"/>
      <c r="T637" s="9"/>
    </row>
    <row r="638" spans="3:20">
      <c r="C638" s="9"/>
      <c r="D638" s="9"/>
      <c r="E638" s="9"/>
      <c r="F638" s="10"/>
      <c r="G638" s="9"/>
      <c r="H638" s="9"/>
      <c r="I638" s="9"/>
      <c r="J638" s="9"/>
      <c r="K638" s="9"/>
      <c r="L638" s="9"/>
      <c r="O638" s="9"/>
      <c r="P638" s="9"/>
      <c r="Q638" s="9"/>
      <c r="R638" s="9"/>
      <c r="S638" s="9"/>
      <c r="T638" s="9"/>
    </row>
    <row r="639" spans="3:20">
      <c r="C639" s="9"/>
      <c r="D639" s="9"/>
      <c r="E639" s="9"/>
      <c r="F639" s="10"/>
      <c r="G639" s="9"/>
      <c r="H639" s="9"/>
      <c r="I639" s="9"/>
      <c r="J639" s="9"/>
      <c r="K639" s="9"/>
      <c r="L639" s="9"/>
      <c r="O639" s="9"/>
      <c r="P639" s="9"/>
      <c r="Q639" s="9"/>
      <c r="R639" s="9"/>
      <c r="S639" s="9"/>
      <c r="T639" s="9"/>
    </row>
    <row r="640" spans="3:20">
      <c r="C640" s="9"/>
      <c r="D640" s="9"/>
      <c r="E640" s="9"/>
      <c r="F640" s="10"/>
      <c r="G640" s="9"/>
      <c r="H640" s="9"/>
      <c r="I640" s="9"/>
      <c r="J640" s="9"/>
      <c r="K640" s="9"/>
      <c r="L640" s="9"/>
      <c r="O640" s="9"/>
      <c r="P640" s="9"/>
      <c r="Q640" s="9"/>
      <c r="R640" s="9"/>
      <c r="S640" s="9"/>
      <c r="T640" s="9"/>
    </row>
    <row r="641" spans="3:20">
      <c r="C641" s="9"/>
      <c r="D641" s="9"/>
      <c r="E641" s="9"/>
      <c r="F641" s="10"/>
      <c r="G641" s="9"/>
      <c r="H641" s="9"/>
      <c r="I641" s="9"/>
      <c r="J641" s="9"/>
      <c r="K641" s="9"/>
      <c r="L641" s="9"/>
      <c r="O641" s="9"/>
      <c r="P641" s="9"/>
      <c r="Q641" s="9"/>
      <c r="R641" s="9"/>
      <c r="S641" s="9"/>
      <c r="T641" s="9"/>
    </row>
    <row r="642" spans="3:20">
      <c r="C642" s="9"/>
      <c r="D642" s="9"/>
      <c r="E642" s="9"/>
      <c r="F642" s="10"/>
      <c r="G642" s="9"/>
      <c r="H642" s="9"/>
      <c r="I642" s="9"/>
      <c r="J642" s="9"/>
      <c r="K642" s="9"/>
      <c r="L642" s="9"/>
      <c r="O642" s="9"/>
      <c r="P642" s="9"/>
      <c r="Q642" s="9"/>
      <c r="R642" s="9"/>
      <c r="S642" s="9"/>
      <c r="T642" s="9"/>
    </row>
    <row r="643" spans="3:20">
      <c r="C643" s="9"/>
      <c r="D643" s="9"/>
      <c r="E643" s="9"/>
      <c r="F643" s="10"/>
      <c r="G643" s="9"/>
      <c r="H643" s="9"/>
      <c r="I643" s="9"/>
      <c r="J643" s="9"/>
      <c r="K643" s="9"/>
      <c r="L643" s="9"/>
      <c r="O643" s="9"/>
      <c r="P643" s="9"/>
      <c r="Q643" s="9"/>
      <c r="R643" s="9"/>
      <c r="S643" s="9"/>
      <c r="T643" s="9"/>
    </row>
    <row r="644" spans="3:20">
      <c r="C644" s="9"/>
      <c r="D644" s="9"/>
      <c r="E644" s="9"/>
      <c r="F644" s="10"/>
      <c r="G644" s="9"/>
      <c r="H644" s="9"/>
      <c r="I644" s="9"/>
      <c r="J644" s="9"/>
      <c r="K644" s="9"/>
      <c r="L644" s="9"/>
      <c r="O644" s="9"/>
      <c r="P644" s="9"/>
      <c r="Q644" s="9"/>
      <c r="R644" s="9"/>
      <c r="S644" s="9"/>
      <c r="T644" s="9"/>
    </row>
    <row r="645" spans="3:20">
      <c r="C645" s="9"/>
      <c r="D645" s="9"/>
      <c r="E645" s="9"/>
      <c r="F645" s="10"/>
      <c r="G645" s="9"/>
      <c r="H645" s="9"/>
      <c r="I645" s="9"/>
      <c r="J645" s="9"/>
      <c r="K645" s="9"/>
      <c r="L645" s="9"/>
      <c r="O645" s="9"/>
      <c r="P645" s="9"/>
      <c r="Q645" s="9"/>
      <c r="R645" s="9"/>
      <c r="S645" s="9"/>
      <c r="T645" s="9"/>
    </row>
    <row r="646" spans="3:20">
      <c r="C646" s="9"/>
      <c r="D646" s="9"/>
      <c r="E646" s="9"/>
      <c r="F646" s="10"/>
      <c r="G646" s="9"/>
      <c r="H646" s="9"/>
      <c r="I646" s="9"/>
      <c r="J646" s="9"/>
      <c r="K646" s="9"/>
      <c r="L646" s="9"/>
      <c r="O646" s="9"/>
      <c r="P646" s="9"/>
      <c r="Q646" s="9"/>
      <c r="R646" s="9"/>
      <c r="S646" s="9"/>
      <c r="T646" s="9"/>
    </row>
    <row r="647" spans="3:20">
      <c r="C647" s="9"/>
      <c r="D647" s="9"/>
      <c r="E647" s="9"/>
      <c r="F647" s="10"/>
      <c r="G647" s="9"/>
      <c r="H647" s="9"/>
      <c r="I647" s="9"/>
      <c r="J647" s="9"/>
      <c r="K647" s="9"/>
      <c r="L647" s="9"/>
      <c r="O647" s="9"/>
      <c r="P647" s="9"/>
      <c r="Q647" s="9"/>
      <c r="R647" s="9"/>
      <c r="S647" s="9"/>
      <c r="T647" s="9"/>
    </row>
    <row r="648" spans="3:20">
      <c r="C648" s="9"/>
      <c r="D648" s="9"/>
      <c r="E648" s="9"/>
      <c r="F648" s="10"/>
      <c r="G648" s="9"/>
      <c r="H648" s="9"/>
      <c r="I648" s="9"/>
      <c r="J648" s="9"/>
      <c r="K648" s="9"/>
      <c r="L648" s="9"/>
      <c r="O648" s="9"/>
      <c r="P648" s="9"/>
      <c r="Q648" s="9"/>
      <c r="R648" s="9"/>
      <c r="S648" s="9"/>
      <c r="T648" s="9"/>
    </row>
    <row r="649" spans="3:20">
      <c r="C649" s="9"/>
      <c r="D649" s="9"/>
      <c r="E649" s="9"/>
      <c r="F649" s="10"/>
      <c r="G649" s="9"/>
      <c r="H649" s="9"/>
      <c r="I649" s="9"/>
      <c r="J649" s="9"/>
      <c r="K649" s="9"/>
      <c r="L649" s="9"/>
      <c r="O649" s="9"/>
      <c r="P649" s="9"/>
      <c r="Q649" s="9"/>
      <c r="R649" s="9"/>
      <c r="S649" s="9"/>
      <c r="T649" s="9"/>
    </row>
    <row r="650" spans="3:20">
      <c r="C650" s="9"/>
      <c r="D650" s="9"/>
      <c r="E650" s="9"/>
      <c r="F650" s="10"/>
      <c r="G650" s="9"/>
      <c r="H650" s="9"/>
      <c r="I650" s="9"/>
      <c r="J650" s="9"/>
      <c r="K650" s="9"/>
      <c r="L650" s="9"/>
      <c r="O650" s="9"/>
      <c r="P650" s="9"/>
      <c r="Q650" s="9"/>
      <c r="R650" s="9"/>
      <c r="S650" s="9"/>
      <c r="T650" s="9"/>
    </row>
    <row r="651" spans="3:20">
      <c r="C651" s="9"/>
      <c r="D651" s="9"/>
      <c r="E651" s="9"/>
      <c r="F651" s="10"/>
      <c r="G651" s="9"/>
      <c r="H651" s="9"/>
      <c r="I651" s="9"/>
      <c r="J651" s="9"/>
      <c r="K651" s="9"/>
      <c r="L651" s="9"/>
      <c r="O651" s="9"/>
      <c r="P651" s="9"/>
      <c r="Q651" s="9"/>
      <c r="R651" s="9"/>
      <c r="S651" s="9"/>
      <c r="T651" s="9"/>
    </row>
    <row r="652" spans="3:20">
      <c r="C652" s="9"/>
      <c r="D652" s="9"/>
      <c r="E652" s="9"/>
      <c r="F652" s="10"/>
      <c r="G652" s="9"/>
      <c r="H652" s="9"/>
      <c r="I652" s="9"/>
      <c r="J652" s="9"/>
      <c r="K652" s="9"/>
      <c r="L652" s="9"/>
      <c r="O652" s="9"/>
      <c r="P652" s="9"/>
      <c r="Q652" s="9"/>
      <c r="R652" s="9"/>
      <c r="S652" s="9"/>
      <c r="T652" s="9"/>
    </row>
    <row r="653" spans="3:20">
      <c r="C653" s="9"/>
      <c r="D653" s="9"/>
      <c r="E653" s="9"/>
      <c r="F653" s="10"/>
      <c r="G653" s="9"/>
      <c r="H653" s="9"/>
      <c r="I653" s="9"/>
      <c r="J653" s="9"/>
      <c r="K653" s="9"/>
      <c r="L653" s="9"/>
      <c r="O653" s="9"/>
      <c r="P653" s="9"/>
      <c r="Q653" s="9"/>
      <c r="R653" s="9"/>
      <c r="S653" s="9"/>
      <c r="T653" s="9"/>
    </row>
    <row r="654" spans="3:20">
      <c r="C654" s="9"/>
      <c r="D654" s="9"/>
      <c r="E654" s="9"/>
      <c r="F654" s="10"/>
      <c r="G654" s="9"/>
      <c r="H654" s="9"/>
      <c r="I654" s="9"/>
      <c r="J654" s="9"/>
      <c r="K654" s="9"/>
      <c r="L654" s="9"/>
      <c r="O654" s="9"/>
      <c r="P654" s="9"/>
      <c r="Q654" s="9"/>
      <c r="R654" s="9"/>
      <c r="S654" s="9"/>
      <c r="T654" s="9"/>
    </row>
    <row r="655" spans="3:20">
      <c r="C655" s="9"/>
      <c r="D655" s="9"/>
      <c r="E655" s="9"/>
      <c r="F655" s="10"/>
      <c r="G655" s="9"/>
      <c r="H655" s="9"/>
      <c r="I655" s="9"/>
      <c r="J655" s="9"/>
      <c r="K655" s="9"/>
      <c r="L655" s="9"/>
      <c r="O655" s="9"/>
      <c r="P655" s="9"/>
      <c r="Q655" s="9"/>
      <c r="R655" s="9"/>
      <c r="S655" s="9"/>
      <c r="T655" s="9"/>
    </row>
    <row r="656" spans="3:20">
      <c r="C656" s="9"/>
      <c r="D656" s="9"/>
      <c r="E656" s="9"/>
      <c r="F656" s="10"/>
      <c r="G656" s="9"/>
      <c r="H656" s="9"/>
      <c r="I656" s="9"/>
      <c r="J656" s="9"/>
      <c r="K656" s="9"/>
      <c r="L656" s="9"/>
      <c r="O656" s="9"/>
      <c r="P656" s="9"/>
      <c r="Q656" s="9"/>
      <c r="R656" s="9"/>
      <c r="S656" s="9"/>
      <c r="T656" s="9"/>
    </row>
    <row r="657" spans="3:20">
      <c r="C657" s="9"/>
      <c r="D657" s="9"/>
      <c r="E657" s="9"/>
      <c r="F657" s="10"/>
      <c r="G657" s="9"/>
      <c r="H657" s="9"/>
      <c r="I657" s="9"/>
      <c r="J657" s="9"/>
      <c r="K657" s="9"/>
      <c r="L657" s="9"/>
      <c r="O657" s="9"/>
      <c r="P657" s="9"/>
      <c r="Q657" s="9"/>
      <c r="R657" s="9"/>
      <c r="S657" s="9"/>
      <c r="T657" s="9"/>
    </row>
    <row r="658" spans="3:20">
      <c r="C658" s="9"/>
      <c r="D658" s="9"/>
      <c r="E658" s="9"/>
      <c r="F658" s="10"/>
      <c r="G658" s="9"/>
      <c r="H658" s="9"/>
      <c r="I658" s="9"/>
      <c r="J658" s="9"/>
      <c r="K658" s="9"/>
      <c r="L658" s="9"/>
      <c r="O658" s="9"/>
      <c r="P658" s="9"/>
      <c r="Q658" s="9"/>
      <c r="R658" s="9"/>
      <c r="S658" s="9"/>
      <c r="T658" s="9"/>
    </row>
    <row r="659" spans="3:20">
      <c r="C659" s="9"/>
      <c r="D659" s="9"/>
      <c r="E659" s="9"/>
      <c r="F659" s="10"/>
      <c r="G659" s="9"/>
      <c r="H659" s="9"/>
      <c r="I659" s="9"/>
      <c r="J659" s="9"/>
      <c r="K659" s="9"/>
      <c r="L659" s="9"/>
      <c r="O659" s="9"/>
      <c r="P659" s="9"/>
      <c r="Q659" s="9"/>
      <c r="R659" s="9"/>
      <c r="S659" s="9"/>
      <c r="T659" s="9"/>
    </row>
    <row r="660" spans="3:20">
      <c r="C660" s="9"/>
      <c r="D660" s="9"/>
      <c r="E660" s="9"/>
      <c r="F660" s="10"/>
      <c r="G660" s="9"/>
      <c r="H660" s="9"/>
      <c r="I660" s="9"/>
      <c r="J660" s="9"/>
      <c r="K660" s="9"/>
      <c r="L660" s="9"/>
      <c r="O660" s="9"/>
      <c r="P660" s="9"/>
      <c r="Q660" s="9"/>
      <c r="R660" s="9"/>
      <c r="S660" s="9"/>
      <c r="T660" s="9"/>
    </row>
    <row r="661" spans="3:20">
      <c r="C661" s="9"/>
      <c r="D661" s="9"/>
      <c r="E661" s="9"/>
      <c r="F661" s="10"/>
      <c r="G661" s="9"/>
      <c r="H661" s="9"/>
      <c r="I661" s="9"/>
      <c r="J661" s="9"/>
      <c r="K661" s="9"/>
      <c r="L661" s="9"/>
      <c r="O661" s="9"/>
      <c r="P661" s="9"/>
      <c r="Q661" s="9"/>
      <c r="R661" s="9"/>
      <c r="S661" s="9"/>
      <c r="T661" s="9"/>
    </row>
    <row r="662" spans="3:20">
      <c r="C662" s="9"/>
      <c r="D662" s="9"/>
      <c r="E662" s="9"/>
      <c r="F662" s="10"/>
      <c r="G662" s="9"/>
      <c r="H662" s="9"/>
      <c r="I662" s="9"/>
      <c r="J662" s="9"/>
      <c r="K662" s="9"/>
      <c r="L662" s="9"/>
      <c r="O662" s="9"/>
      <c r="P662" s="9"/>
      <c r="Q662" s="9"/>
      <c r="R662" s="9"/>
      <c r="S662" s="9"/>
      <c r="T662" s="9"/>
    </row>
    <row r="663" spans="3:20">
      <c r="C663" s="9"/>
      <c r="D663" s="9"/>
      <c r="E663" s="9"/>
      <c r="F663" s="10"/>
      <c r="G663" s="9"/>
      <c r="H663" s="9"/>
      <c r="I663" s="9"/>
      <c r="J663" s="9"/>
      <c r="K663" s="9"/>
      <c r="L663" s="9"/>
      <c r="O663" s="9"/>
      <c r="P663" s="9"/>
      <c r="Q663" s="9"/>
      <c r="R663" s="9"/>
      <c r="S663" s="9"/>
      <c r="T663" s="9"/>
    </row>
    <row r="664" spans="3:20">
      <c r="C664" s="9"/>
      <c r="D664" s="9"/>
      <c r="E664" s="9"/>
      <c r="F664" s="10"/>
      <c r="G664" s="9"/>
      <c r="H664" s="9"/>
      <c r="I664" s="9"/>
      <c r="J664" s="9"/>
      <c r="K664" s="9"/>
      <c r="L664" s="9"/>
      <c r="O664" s="9"/>
      <c r="P664" s="9"/>
      <c r="Q664" s="9"/>
      <c r="R664" s="9"/>
      <c r="S664" s="9"/>
      <c r="T664" s="9"/>
    </row>
    <row r="665" spans="3:20">
      <c r="C665" s="9"/>
      <c r="D665" s="9"/>
      <c r="E665" s="9"/>
      <c r="F665" s="10"/>
      <c r="G665" s="9"/>
      <c r="H665" s="9"/>
      <c r="I665" s="9"/>
      <c r="J665" s="9"/>
      <c r="K665" s="9"/>
      <c r="L665" s="9"/>
      <c r="O665" s="9"/>
      <c r="P665" s="9"/>
      <c r="Q665" s="9"/>
      <c r="R665" s="9"/>
      <c r="S665" s="9"/>
      <c r="T665" s="9"/>
    </row>
    <row r="666" spans="3:20">
      <c r="C666" s="9"/>
      <c r="D666" s="9"/>
      <c r="E666" s="9"/>
      <c r="F666" s="10"/>
      <c r="G666" s="9"/>
      <c r="H666" s="9"/>
      <c r="I666" s="9"/>
      <c r="J666" s="9"/>
      <c r="K666" s="9"/>
      <c r="L666" s="9"/>
      <c r="O666" s="9"/>
      <c r="P666" s="9"/>
      <c r="Q666" s="9"/>
      <c r="R666" s="9"/>
      <c r="S666" s="9"/>
      <c r="T666" s="9"/>
    </row>
    <row r="667" spans="3:20">
      <c r="C667" s="9"/>
      <c r="D667" s="9"/>
      <c r="E667" s="9"/>
      <c r="F667" s="10"/>
      <c r="G667" s="9"/>
      <c r="H667" s="9"/>
      <c r="I667" s="9"/>
      <c r="J667" s="9"/>
      <c r="K667" s="9"/>
      <c r="L667" s="9"/>
      <c r="O667" s="9"/>
      <c r="P667" s="9"/>
      <c r="Q667" s="9"/>
      <c r="R667" s="9"/>
      <c r="S667" s="9"/>
      <c r="T667" s="9"/>
    </row>
    <row r="668" spans="3:20">
      <c r="C668" s="9"/>
      <c r="D668" s="9"/>
      <c r="E668" s="9"/>
      <c r="F668" s="10"/>
      <c r="G668" s="9"/>
      <c r="H668" s="9"/>
      <c r="I668" s="9"/>
      <c r="J668" s="9"/>
      <c r="K668" s="9"/>
      <c r="L668" s="9"/>
      <c r="O668" s="9"/>
      <c r="P668" s="9"/>
      <c r="Q668" s="9"/>
      <c r="R668" s="9"/>
      <c r="S668" s="9"/>
      <c r="T668" s="9"/>
    </row>
    <row r="669" spans="3:20">
      <c r="C669" s="9"/>
      <c r="D669" s="9"/>
      <c r="E669" s="9"/>
      <c r="F669" s="10"/>
      <c r="G669" s="9"/>
      <c r="H669" s="9"/>
      <c r="I669" s="9"/>
      <c r="J669" s="9"/>
      <c r="K669" s="9"/>
      <c r="L669" s="9"/>
      <c r="O669" s="9"/>
      <c r="P669" s="9"/>
      <c r="Q669" s="9"/>
      <c r="R669" s="9"/>
      <c r="S669" s="9"/>
      <c r="T669" s="9"/>
    </row>
    <row r="670" spans="3:20">
      <c r="C670" s="9"/>
      <c r="D670" s="9"/>
      <c r="E670" s="9"/>
      <c r="F670" s="10"/>
      <c r="G670" s="9"/>
      <c r="H670" s="9"/>
      <c r="I670" s="9"/>
      <c r="J670" s="9"/>
      <c r="K670" s="9"/>
      <c r="L670" s="9"/>
      <c r="O670" s="9"/>
      <c r="P670" s="9"/>
      <c r="Q670" s="9"/>
      <c r="R670" s="9"/>
      <c r="S670" s="9"/>
      <c r="T670" s="9"/>
    </row>
    <row r="671" spans="3:20">
      <c r="C671" s="9"/>
      <c r="D671" s="9"/>
      <c r="E671" s="9"/>
      <c r="F671" s="10"/>
      <c r="G671" s="9"/>
      <c r="H671" s="9"/>
      <c r="I671" s="9"/>
      <c r="J671" s="9"/>
      <c r="K671" s="9"/>
      <c r="L671" s="9"/>
      <c r="O671" s="9"/>
      <c r="P671" s="9"/>
      <c r="Q671" s="9"/>
      <c r="R671" s="9"/>
      <c r="S671" s="9"/>
      <c r="T671" s="9"/>
    </row>
    <row r="672" spans="3:20">
      <c r="C672" s="9"/>
      <c r="D672" s="9"/>
      <c r="E672" s="9"/>
      <c r="F672" s="10"/>
      <c r="G672" s="9"/>
      <c r="H672" s="9"/>
      <c r="I672" s="9"/>
      <c r="J672" s="9"/>
      <c r="K672" s="9"/>
      <c r="L672" s="9"/>
      <c r="O672" s="9"/>
      <c r="P672" s="9"/>
      <c r="Q672" s="9"/>
      <c r="R672" s="9"/>
      <c r="S672" s="9"/>
      <c r="T672" s="9"/>
    </row>
    <row r="673" spans="3:20">
      <c r="C673" s="9"/>
      <c r="D673" s="9"/>
      <c r="E673" s="9"/>
      <c r="F673" s="10"/>
      <c r="G673" s="9"/>
      <c r="H673" s="9"/>
      <c r="I673" s="9"/>
      <c r="J673" s="9"/>
      <c r="K673" s="9"/>
      <c r="L673" s="9"/>
      <c r="O673" s="9"/>
      <c r="P673" s="9"/>
      <c r="Q673" s="9"/>
      <c r="R673" s="9"/>
      <c r="S673" s="9"/>
      <c r="T673" s="9"/>
    </row>
    <row r="674" spans="3:20">
      <c r="C674" s="9"/>
      <c r="D674" s="9"/>
      <c r="E674" s="9"/>
      <c r="F674" s="10"/>
      <c r="G674" s="9"/>
      <c r="H674" s="9"/>
      <c r="I674" s="9"/>
      <c r="J674" s="9"/>
      <c r="K674" s="9"/>
      <c r="L674" s="9"/>
      <c r="O674" s="9"/>
      <c r="P674" s="9"/>
      <c r="Q674" s="9"/>
      <c r="R674" s="9"/>
      <c r="S674" s="9"/>
      <c r="T674" s="9"/>
    </row>
    <row r="675" spans="3:20">
      <c r="C675" s="9"/>
      <c r="D675" s="9"/>
      <c r="E675" s="9"/>
      <c r="F675" s="10"/>
      <c r="G675" s="9"/>
      <c r="H675" s="9"/>
      <c r="I675" s="9"/>
      <c r="J675" s="9"/>
      <c r="K675" s="9"/>
      <c r="L675" s="9"/>
      <c r="O675" s="9"/>
      <c r="P675" s="9"/>
      <c r="Q675" s="9"/>
      <c r="R675" s="9"/>
      <c r="S675" s="9"/>
      <c r="T675" s="9"/>
    </row>
    <row r="676" spans="3:20">
      <c r="C676" s="9"/>
      <c r="D676" s="9"/>
      <c r="E676" s="9"/>
      <c r="F676" s="10"/>
      <c r="G676" s="9"/>
      <c r="H676" s="9"/>
      <c r="I676" s="9"/>
      <c r="J676" s="9"/>
      <c r="K676" s="9"/>
      <c r="L676" s="9"/>
      <c r="O676" s="9"/>
      <c r="P676" s="9"/>
      <c r="Q676" s="9"/>
      <c r="R676" s="9"/>
      <c r="S676" s="9"/>
      <c r="T676" s="9"/>
    </row>
    <row r="677" spans="3:20">
      <c r="C677" s="9"/>
      <c r="D677" s="9"/>
      <c r="E677" s="9"/>
      <c r="F677" s="10"/>
      <c r="G677" s="9"/>
      <c r="H677" s="9"/>
      <c r="I677" s="9"/>
      <c r="J677" s="9"/>
      <c r="K677" s="9"/>
      <c r="L677" s="9"/>
      <c r="O677" s="9"/>
      <c r="P677" s="9"/>
      <c r="Q677" s="9"/>
      <c r="R677" s="9"/>
      <c r="S677" s="9"/>
      <c r="T677" s="9"/>
    </row>
    <row r="678" spans="3:20">
      <c r="C678" s="9"/>
      <c r="D678" s="9"/>
      <c r="E678" s="9"/>
      <c r="F678" s="10"/>
      <c r="G678" s="9"/>
      <c r="H678" s="9"/>
      <c r="I678" s="9"/>
      <c r="J678" s="9"/>
      <c r="K678" s="9"/>
      <c r="L678" s="9"/>
      <c r="O678" s="9"/>
      <c r="P678" s="9"/>
      <c r="Q678" s="9"/>
      <c r="R678" s="9"/>
      <c r="S678" s="9"/>
      <c r="T678" s="9"/>
    </row>
    <row r="679" spans="3:20">
      <c r="C679" s="9"/>
      <c r="D679" s="9"/>
      <c r="E679" s="9"/>
      <c r="F679" s="10"/>
      <c r="G679" s="9"/>
      <c r="H679" s="9"/>
      <c r="I679" s="9"/>
      <c r="J679" s="9"/>
      <c r="K679" s="9"/>
      <c r="L679" s="9"/>
      <c r="O679" s="9"/>
      <c r="P679" s="9"/>
      <c r="Q679" s="9"/>
      <c r="R679" s="9"/>
      <c r="S679" s="9"/>
      <c r="T679" s="9"/>
    </row>
    <row r="680" spans="3:20">
      <c r="C680" s="9"/>
      <c r="D680" s="9"/>
      <c r="E680" s="9"/>
      <c r="F680" s="10"/>
      <c r="G680" s="9"/>
      <c r="H680" s="9"/>
      <c r="I680" s="9"/>
      <c r="J680" s="9"/>
      <c r="K680" s="9"/>
      <c r="L680" s="9"/>
      <c r="O680" s="9"/>
      <c r="P680" s="9"/>
      <c r="Q680" s="9"/>
      <c r="R680" s="9"/>
      <c r="S680" s="9"/>
      <c r="T680" s="9"/>
    </row>
    <row r="681" spans="3:20">
      <c r="C681" s="9"/>
      <c r="D681" s="9"/>
      <c r="E681" s="9"/>
      <c r="F681" s="10"/>
      <c r="G681" s="9"/>
      <c r="H681" s="9"/>
      <c r="I681" s="9"/>
      <c r="J681" s="9"/>
      <c r="K681" s="9"/>
      <c r="L681" s="9"/>
      <c r="O681" s="9"/>
      <c r="P681" s="9"/>
      <c r="Q681" s="9"/>
      <c r="R681" s="9"/>
      <c r="S681" s="9"/>
      <c r="T681" s="9"/>
    </row>
    <row r="682" spans="3:20">
      <c r="C682" s="9"/>
      <c r="D682" s="9"/>
      <c r="E682" s="9"/>
      <c r="F682" s="10"/>
      <c r="G682" s="9"/>
      <c r="H682" s="9"/>
      <c r="I682" s="9"/>
      <c r="J682" s="9"/>
      <c r="K682" s="9"/>
      <c r="L682" s="9"/>
      <c r="O682" s="9"/>
      <c r="P682" s="9"/>
      <c r="Q682" s="9"/>
      <c r="R682" s="9"/>
      <c r="S682" s="9"/>
      <c r="T682" s="9"/>
    </row>
    <row r="683" spans="3:20">
      <c r="C683" s="9"/>
      <c r="D683" s="9"/>
      <c r="E683" s="9"/>
      <c r="F683" s="10"/>
      <c r="G683" s="9"/>
      <c r="H683" s="9"/>
      <c r="I683" s="9"/>
      <c r="J683" s="9"/>
      <c r="K683" s="9"/>
      <c r="L683" s="9"/>
      <c r="O683" s="9"/>
      <c r="P683" s="9"/>
      <c r="Q683" s="9"/>
      <c r="R683" s="9"/>
      <c r="S683" s="9"/>
      <c r="T683" s="9"/>
    </row>
    <row r="684" spans="3:20">
      <c r="C684" s="9"/>
      <c r="D684" s="9"/>
      <c r="E684" s="9"/>
      <c r="F684" s="10"/>
      <c r="G684" s="9"/>
      <c r="H684" s="9"/>
      <c r="I684" s="9"/>
      <c r="J684" s="9"/>
      <c r="K684" s="9"/>
      <c r="L684" s="9"/>
      <c r="O684" s="9"/>
      <c r="P684" s="9"/>
      <c r="Q684" s="9"/>
      <c r="R684" s="9"/>
      <c r="S684" s="9"/>
      <c r="T684" s="9"/>
    </row>
    <row r="685" spans="3:20">
      <c r="C685" s="9"/>
      <c r="D685" s="9"/>
      <c r="E685" s="9"/>
      <c r="F685" s="10"/>
      <c r="G685" s="9"/>
      <c r="H685" s="9"/>
      <c r="I685" s="9"/>
      <c r="J685" s="9"/>
      <c r="K685" s="9"/>
      <c r="L685" s="9"/>
      <c r="O685" s="9"/>
      <c r="P685" s="9"/>
      <c r="Q685" s="9"/>
      <c r="R685" s="9"/>
      <c r="S685" s="9"/>
      <c r="T685" s="9"/>
    </row>
    <row r="686" spans="3:20">
      <c r="C686" s="9"/>
      <c r="D686" s="9"/>
      <c r="E686" s="9"/>
      <c r="F686" s="10"/>
      <c r="G686" s="9"/>
      <c r="H686" s="9"/>
      <c r="I686" s="9"/>
      <c r="J686" s="9"/>
      <c r="K686" s="9"/>
      <c r="L686" s="9"/>
      <c r="O686" s="9"/>
      <c r="P686" s="9"/>
      <c r="Q686" s="9"/>
      <c r="R686" s="9"/>
      <c r="S686" s="9"/>
      <c r="T686" s="9"/>
    </row>
    <row r="687" spans="3:20">
      <c r="C687" s="9"/>
      <c r="D687" s="9"/>
      <c r="E687" s="9"/>
      <c r="F687" s="10"/>
      <c r="G687" s="9"/>
      <c r="H687" s="9"/>
      <c r="I687" s="9"/>
      <c r="J687" s="9"/>
      <c r="K687" s="9"/>
      <c r="L687" s="9"/>
      <c r="O687" s="9"/>
      <c r="P687" s="9"/>
      <c r="Q687" s="9"/>
      <c r="R687" s="9"/>
      <c r="S687" s="9"/>
      <c r="T687" s="9"/>
    </row>
    <row r="688" spans="3:20">
      <c r="C688" s="9"/>
      <c r="D688" s="9"/>
      <c r="E688" s="9"/>
      <c r="F688" s="10"/>
      <c r="G688" s="9"/>
      <c r="H688" s="9"/>
      <c r="I688" s="9"/>
      <c r="J688" s="9"/>
      <c r="K688" s="9"/>
      <c r="L688" s="9"/>
      <c r="O688" s="9"/>
      <c r="P688" s="9"/>
      <c r="Q688" s="9"/>
      <c r="R688" s="9"/>
      <c r="S688" s="9"/>
      <c r="T688" s="9"/>
    </row>
    <row r="689" spans="3:20">
      <c r="C689" s="9"/>
      <c r="D689" s="9"/>
      <c r="E689" s="9"/>
      <c r="F689" s="10"/>
      <c r="G689" s="9"/>
      <c r="H689" s="9"/>
      <c r="I689" s="9"/>
      <c r="J689" s="9"/>
      <c r="K689" s="9"/>
      <c r="L689" s="9"/>
      <c r="O689" s="9"/>
      <c r="P689" s="9"/>
      <c r="Q689" s="9"/>
      <c r="R689" s="9"/>
      <c r="S689" s="9"/>
      <c r="T689" s="9"/>
    </row>
    <row r="690" spans="3:20">
      <c r="C690" s="9"/>
      <c r="D690" s="9"/>
      <c r="E690" s="9"/>
      <c r="F690" s="10"/>
      <c r="G690" s="9"/>
      <c r="H690" s="9"/>
      <c r="I690" s="9"/>
      <c r="J690" s="9"/>
      <c r="K690" s="9"/>
      <c r="L690" s="9"/>
      <c r="O690" s="9"/>
      <c r="P690" s="9"/>
      <c r="Q690" s="9"/>
      <c r="R690" s="9"/>
      <c r="S690" s="9"/>
      <c r="T690" s="9"/>
    </row>
    <row r="691" spans="3:20">
      <c r="C691" s="9"/>
      <c r="D691" s="9"/>
      <c r="E691" s="9"/>
      <c r="F691" s="10"/>
      <c r="G691" s="9"/>
      <c r="H691" s="9"/>
      <c r="I691" s="9"/>
      <c r="J691" s="9"/>
      <c r="K691" s="9"/>
      <c r="L691" s="9"/>
      <c r="O691" s="9"/>
      <c r="P691" s="9"/>
      <c r="Q691" s="9"/>
      <c r="R691" s="9"/>
      <c r="S691" s="9"/>
      <c r="T691" s="9"/>
    </row>
    <row r="692" spans="3:20">
      <c r="C692" s="9"/>
      <c r="D692" s="9"/>
      <c r="E692" s="9"/>
      <c r="F692" s="10"/>
      <c r="G692" s="9"/>
      <c r="H692" s="9"/>
      <c r="I692" s="9"/>
      <c r="J692" s="9"/>
      <c r="K692" s="9"/>
      <c r="L692" s="9"/>
      <c r="O692" s="9"/>
      <c r="P692" s="9"/>
      <c r="Q692" s="9"/>
      <c r="R692" s="9"/>
      <c r="S692" s="9"/>
      <c r="T692" s="9"/>
    </row>
    <row r="693" spans="3:20">
      <c r="C693" s="9"/>
      <c r="D693" s="9"/>
      <c r="E693" s="9"/>
      <c r="F693" s="10"/>
      <c r="G693" s="9"/>
      <c r="H693" s="9"/>
      <c r="I693" s="9"/>
      <c r="J693" s="9"/>
      <c r="K693" s="9"/>
      <c r="L693" s="9"/>
      <c r="O693" s="9"/>
      <c r="P693" s="9"/>
      <c r="Q693" s="9"/>
      <c r="R693" s="9"/>
      <c r="S693" s="9"/>
      <c r="T693" s="9"/>
    </row>
    <row r="694" spans="3:20">
      <c r="C694" s="9"/>
      <c r="D694" s="9"/>
      <c r="E694" s="9"/>
      <c r="F694" s="10"/>
      <c r="G694" s="9"/>
      <c r="H694" s="9"/>
      <c r="I694" s="9"/>
      <c r="J694" s="9"/>
      <c r="K694" s="9"/>
      <c r="L694" s="9"/>
      <c r="O694" s="9"/>
      <c r="P694" s="9"/>
      <c r="Q694" s="9"/>
      <c r="R694" s="9"/>
      <c r="S694" s="9"/>
      <c r="T694" s="9"/>
    </row>
    <row r="695" spans="3:20">
      <c r="C695" s="9"/>
      <c r="D695" s="9"/>
      <c r="E695" s="9"/>
      <c r="F695" s="10"/>
      <c r="G695" s="9"/>
      <c r="H695" s="9"/>
      <c r="I695" s="9"/>
      <c r="J695" s="9"/>
      <c r="K695" s="9"/>
      <c r="L695" s="9"/>
      <c r="O695" s="9"/>
      <c r="P695" s="9"/>
      <c r="Q695" s="9"/>
      <c r="R695" s="9"/>
      <c r="S695" s="9"/>
      <c r="T695" s="9"/>
    </row>
    <row r="696" spans="3:20">
      <c r="C696" s="9"/>
      <c r="D696" s="9"/>
      <c r="E696" s="9"/>
      <c r="F696" s="10"/>
      <c r="G696" s="9"/>
      <c r="H696" s="9"/>
      <c r="I696" s="9"/>
      <c r="J696" s="9"/>
      <c r="K696" s="9"/>
      <c r="L696" s="9"/>
      <c r="O696" s="9"/>
      <c r="P696" s="9"/>
      <c r="Q696" s="9"/>
      <c r="R696" s="9"/>
      <c r="S696" s="9"/>
      <c r="T696" s="9"/>
    </row>
    <row r="697" spans="3:20">
      <c r="C697" s="9"/>
      <c r="D697" s="9"/>
      <c r="E697" s="9"/>
      <c r="F697" s="10"/>
      <c r="G697" s="9"/>
      <c r="H697" s="9"/>
      <c r="I697" s="9"/>
      <c r="J697" s="9"/>
      <c r="K697" s="9"/>
      <c r="L697" s="9"/>
      <c r="O697" s="9"/>
      <c r="P697" s="9"/>
      <c r="Q697" s="9"/>
      <c r="R697" s="9"/>
      <c r="S697" s="9"/>
      <c r="T697" s="9"/>
    </row>
    <row r="698" spans="3:20">
      <c r="C698" s="9"/>
      <c r="D698" s="9"/>
      <c r="E698" s="9"/>
      <c r="F698" s="10"/>
      <c r="G698" s="9"/>
      <c r="H698" s="9"/>
      <c r="I698" s="9"/>
      <c r="J698" s="9"/>
      <c r="K698" s="9"/>
      <c r="L698" s="9"/>
      <c r="O698" s="9"/>
      <c r="P698" s="9"/>
      <c r="Q698" s="9"/>
      <c r="R698" s="9"/>
      <c r="S698" s="9"/>
      <c r="T698" s="9"/>
    </row>
    <row r="699" spans="3:20">
      <c r="C699" s="9"/>
      <c r="D699" s="9"/>
      <c r="E699" s="9"/>
      <c r="F699" s="10"/>
      <c r="G699" s="9"/>
      <c r="H699" s="9"/>
      <c r="I699" s="9"/>
      <c r="J699" s="9"/>
      <c r="K699" s="9"/>
      <c r="L699" s="9"/>
      <c r="O699" s="9"/>
      <c r="P699" s="9"/>
      <c r="Q699" s="9"/>
      <c r="R699" s="9"/>
      <c r="S699" s="9"/>
      <c r="T699" s="9"/>
    </row>
    <row r="700" spans="3:20">
      <c r="C700" s="9"/>
      <c r="D700" s="9"/>
      <c r="E700" s="9"/>
      <c r="F700" s="10"/>
      <c r="G700" s="9"/>
      <c r="H700" s="9"/>
      <c r="I700" s="9"/>
      <c r="J700" s="9"/>
      <c r="K700" s="9"/>
      <c r="L700" s="9"/>
      <c r="O700" s="9"/>
      <c r="P700" s="9"/>
      <c r="Q700" s="9"/>
      <c r="R700" s="9"/>
      <c r="S700" s="9"/>
      <c r="T700" s="9"/>
    </row>
    <row r="701" spans="3:20">
      <c r="C701" s="9"/>
      <c r="D701" s="9"/>
      <c r="E701" s="9"/>
      <c r="F701" s="10"/>
      <c r="G701" s="9"/>
      <c r="H701" s="9"/>
      <c r="I701" s="9"/>
      <c r="J701" s="9"/>
      <c r="K701" s="9"/>
      <c r="L701" s="9"/>
      <c r="O701" s="9"/>
      <c r="P701" s="9"/>
      <c r="Q701" s="9"/>
      <c r="R701" s="9"/>
      <c r="S701" s="9"/>
      <c r="T701" s="9"/>
    </row>
    <row r="702" spans="3:20">
      <c r="C702" s="9"/>
      <c r="D702" s="9"/>
      <c r="E702" s="9"/>
      <c r="F702" s="10"/>
      <c r="G702" s="9"/>
      <c r="H702" s="9"/>
      <c r="I702" s="9"/>
      <c r="J702" s="9"/>
      <c r="K702" s="9"/>
      <c r="L702" s="9"/>
      <c r="O702" s="9"/>
      <c r="P702" s="9"/>
      <c r="Q702" s="9"/>
      <c r="R702" s="9"/>
      <c r="S702" s="9"/>
      <c r="T702" s="9"/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VU578"/>
  <sheetViews>
    <sheetView showGridLines="0" zoomScale="85" zoomScaleNormal="85" workbookViewId="0">
      <pane xSplit="1" topLeftCell="B1" activePane="topRight" state="frozen"/>
      <selection activeCell="A96" sqref="A96"/>
      <selection pane="topRight"/>
    </sheetView>
  </sheetViews>
  <sheetFormatPr defaultRowHeight="15"/>
  <cols>
    <col min="1" max="1" width="42.42578125" style="2" customWidth="1"/>
    <col min="2" max="2" width="3.7109375" style="2" customWidth="1"/>
    <col min="3" max="3" width="10.7109375" style="2" customWidth="1"/>
    <col min="4" max="4" width="9.28515625" style="2" customWidth="1"/>
    <col min="5" max="5" width="11" style="2" customWidth="1"/>
    <col min="6" max="17" width="10.42578125" style="2" customWidth="1"/>
    <col min="18" max="20" width="9.140625" style="2"/>
    <col min="244" max="244" width="42.42578125" customWidth="1"/>
    <col min="245" max="245" width="3.7109375" customWidth="1"/>
    <col min="246" max="246" width="12.28515625" customWidth="1"/>
    <col min="247" max="247" width="10.7109375" customWidth="1"/>
    <col min="248" max="248" width="10.28515625" customWidth="1"/>
    <col min="249" max="250" width="10" customWidth="1"/>
    <col min="251" max="251" width="9" customWidth="1"/>
    <col min="252" max="252" width="9.28515625" customWidth="1"/>
    <col min="253" max="255" width="9" customWidth="1"/>
    <col min="256" max="256" width="10.7109375" customWidth="1"/>
    <col min="257" max="261" width="11" customWidth="1"/>
    <col min="262" max="262" width="9.42578125" customWidth="1"/>
    <col min="263" max="267" width="9.42578125" bestFit="1" customWidth="1"/>
    <col min="269" max="269" width="9.28515625" bestFit="1" customWidth="1"/>
    <col min="500" max="500" width="42.42578125" customWidth="1"/>
    <col min="501" max="501" width="3.7109375" customWidth="1"/>
    <col min="502" max="502" width="12.28515625" customWidth="1"/>
    <col min="503" max="503" width="10.7109375" customWidth="1"/>
    <col min="504" max="504" width="10.28515625" customWidth="1"/>
    <col min="505" max="506" width="10" customWidth="1"/>
    <col min="507" max="507" width="9" customWidth="1"/>
    <col min="508" max="508" width="9.28515625" customWidth="1"/>
    <col min="509" max="511" width="9" customWidth="1"/>
    <col min="512" max="512" width="10.7109375" customWidth="1"/>
    <col min="513" max="517" width="11" customWidth="1"/>
    <col min="518" max="518" width="9.42578125" customWidth="1"/>
    <col min="519" max="523" width="9.42578125" bestFit="1" customWidth="1"/>
    <col min="525" max="525" width="9.28515625" bestFit="1" customWidth="1"/>
    <col min="756" max="756" width="42.42578125" customWidth="1"/>
    <col min="757" max="757" width="3.7109375" customWidth="1"/>
    <col min="758" max="758" width="12.28515625" customWidth="1"/>
    <col min="759" max="759" width="10.7109375" customWidth="1"/>
    <col min="760" max="760" width="10.28515625" customWidth="1"/>
    <col min="761" max="762" width="10" customWidth="1"/>
    <col min="763" max="763" width="9" customWidth="1"/>
    <col min="764" max="764" width="9.28515625" customWidth="1"/>
    <col min="765" max="767" width="9" customWidth="1"/>
    <col min="768" max="768" width="10.7109375" customWidth="1"/>
    <col min="769" max="773" width="11" customWidth="1"/>
    <col min="774" max="774" width="9.42578125" customWidth="1"/>
    <col min="775" max="779" width="9.42578125" bestFit="1" customWidth="1"/>
    <col min="781" max="781" width="9.28515625" bestFit="1" customWidth="1"/>
    <col min="1012" max="1012" width="42.42578125" customWidth="1"/>
    <col min="1013" max="1013" width="3.7109375" customWidth="1"/>
    <col min="1014" max="1014" width="12.28515625" customWidth="1"/>
    <col min="1015" max="1015" width="10.7109375" customWidth="1"/>
    <col min="1016" max="1016" width="10.28515625" customWidth="1"/>
    <col min="1017" max="1018" width="10" customWidth="1"/>
    <col min="1019" max="1019" width="9" customWidth="1"/>
    <col min="1020" max="1020" width="9.28515625" customWidth="1"/>
    <col min="1021" max="1023" width="9" customWidth="1"/>
    <col min="1024" max="1024" width="10.7109375" customWidth="1"/>
    <col min="1025" max="1029" width="11" customWidth="1"/>
    <col min="1030" max="1030" width="9.42578125" customWidth="1"/>
    <col min="1031" max="1035" width="9.42578125" bestFit="1" customWidth="1"/>
    <col min="1037" max="1037" width="9.28515625" bestFit="1" customWidth="1"/>
    <col min="1268" max="1268" width="42.42578125" customWidth="1"/>
    <col min="1269" max="1269" width="3.7109375" customWidth="1"/>
    <col min="1270" max="1270" width="12.28515625" customWidth="1"/>
    <col min="1271" max="1271" width="10.7109375" customWidth="1"/>
    <col min="1272" max="1272" width="10.28515625" customWidth="1"/>
    <col min="1273" max="1274" width="10" customWidth="1"/>
    <col min="1275" max="1275" width="9" customWidth="1"/>
    <col min="1276" max="1276" width="9.28515625" customWidth="1"/>
    <col min="1277" max="1279" width="9" customWidth="1"/>
    <col min="1280" max="1280" width="10.7109375" customWidth="1"/>
    <col min="1281" max="1285" width="11" customWidth="1"/>
    <col min="1286" max="1286" width="9.42578125" customWidth="1"/>
    <col min="1287" max="1291" width="9.42578125" bestFit="1" customWidth="1"/>
    <col min="1293" max="1293" width="9.28515625" bestFit="1" customWidth="1"/>
    <col min="1524" max="1524" width="42.42578125" customWidth="1"/>
    <col min="1525" max="1525" width="3.7109375" customWidth="1"/>
    <col min="1526" max="1526" width="12.28515625" customWidth="1"/>
    <col min="1527" max="1527" width="10.7109375" customWidth="1"/>
    <col min="1528" max="1528" width="10.28515625" customWidth="1"/>
    <col min="1529" max="1530" width="10" customWidth="1"/>
    <col min="1531" max="1531" width="9" customWidth="1"/>
    <col min="1532" max="1532" width="9.28515625" customWidth="1"/>
    <col min="1533" max="1535" width="9" customWidth="1"/>
    <col min="1536" max="1536" width="10.7109375" customWidth="1"/>
    <col min="1537" max="1541" width="11" customWidth="1"/>
    <col min="1542" max="1542" width="9.42578125" customWidth="1"/>
    <col min="1543" max="1547" width="9.42578125" bestFit="1" customWidth="1"/>
    <col min="1549" max="1549" width="9.28515625" bestFit="1" customWidth="1"/>
    <col min="1780" max="1780" width="42.42578125" customWidth="1"/>
    <col min="1781" max="1781" width="3.7109375" customWidth="1"/>
    <col min="1782" max="1782" width="12.28515625" customWidth="1"/>
    <col min="1783" max="1783" width="10.7109375" customWidth="1"/>
    <col min="1784" max="1784" width="10.28515625" customWidth="1"/>
    <col min="1785" max="1786" width="10" customWidth="1"/>
    <col min="1787" max="1787" width="9" customWidth="1"/>
    <col min="1788" max="1788" width="9.28515625" customWidth="1"/>
    <col min="1789" max="1791" width="9" customWidth="1"/>
    <col min="1792" max="1792" width="10.7109375" customWidth="1"/>
    <col min="1793" max="1797" width="11" customWidth="1"/>
    <col min="1798" max="1798" width="9.42578125" customWidth="1"/>
    <col min="1799" max="1803" width="9.42578125" bestFit="1" customWidth="1"/>
    <col min="1805" max="1805" width="9.28515625" bestFit="1" customWidth="1"/>
    <col min="2036" max="2036" width="42.42578125" customWidth="1"/>
    <col min="2037" max="2037" width="3.7109375" customWidth="1"/>
    <col min="2038" max="2038" width="12.28515625" customWidth="1"/>
    <col min="2039" max="2039" width="10.7109375" customWidth="1"/>
    <col min="2040" max="2040" width="10.28515625" customWidth="1"/>
    <col min="2041" max="2042" width="10" customWidth="1"/>
    <col min="2043" max="2043" width="9" customWidth="1"/>
    <col min="2044" max="2044" width="9.28515625" customWidth="1"/>
    <col min="2045" max="2047" width="9" customWidth="1"/>
    <col min="2048" max="2048" width="10.7109375" customWidth="1"/>
    <col min="2049" max="2053" width="11" customWidth="1"/>
    <col min="2054" max="2054" width="9.42578125" customWidth="1"/>
    <col min="2055" max="2059" width="9.42578125" bestFit="1" customWidth="1"/>
    <col min="2061" max="2061" width="9.28515625" bestFit="1" customWidth="1"/>
    <col min="2292" max="2292" width="42.42578125" customWidth="1"/>
    <col min="2293" max="2293" width="3.7109375" customWidth="1"/>
    <col min="2294" max="2294" width="12.28515625" customWidth="1"/>
    <col min="2295" max="2295" width="10.7109375" customWidth="1"/>
    <col min="2296" max="2296" width="10.28515625" customWidth="1"/>
    <col min="2297" max="2298" width="10" customWidth="1"/>
    <col min="2299" max="2299" width="9" customWidth="1"/>
    <col min="2300" max="2300" width="9.28515625" customWidth="1"/>
    <col min="2301" max="2303" width="9" customWidth="1"/>
    <col min="2304" max="2304" width="10.7109375" customWidth="1"/>
    <col min="2305" max="2309" width="11" customWidth="1"/>
    <col min="2310" max="2310" width="9.42578125" customWidth="1"/>
    <col min="2311" max="2315" width="9.42578125" bestFit="1" customWidth="1"/>
    <col min="2317" max="2317" width="9.28515625" bestFit="1" customWidth="1"/>
    <col min="2548" max="2548" width="42.42578125" customWidth="1"/>
    <col min="2549" max="2549" width="3.7109375" customWidth="1"/>
    <col min="2550" max="2550" width="12.28515625" customWidth="1"/>
    <col min="2551" max="2551" width="10.7109375" customWidth="1"/>
    <col min="2552" max="2552" width="10.28515625" customWidth="1"/>
    <col min="2553" max="2554" width="10" customWidth="1"/>
    <col min="2555" max="2555" width="9" customWidth="1"/>
    <col min="2556" max="2556" width="9.28515625" customWidth="1"/>
    <col min="2557" max="2559" width="9" customWidth="1"/>
    <col min="2560" max="2560" width="10.7109375" customWidth="1"/>
    <col min="2561" max="2565" width="11" customWidth="1"/>
    <col min="2566" max="2566" width="9.42578125" customWidth="1"/>
    <col min="2567" max="2571" width="9.42578125" bestFit="1" customWidth="1"/>
    <col min="2573" max="2573" width="9.28515625" bestFit="1" customWidth="1"/>
    <col min="2804" max="2804" width="42.42578125" customWidth="1"/>
    <col min="2805" max="2805" width="3.7109375" customWidth="1"/>
    <col min="2806" max="2806" width="12.28515625" customWidth="1"/>
    <col min="2807" max="2807" width="10.7109375" customWidth="1"/>
    <col min="2808" max="2808" width="10.28515625" customWidth="1"/>
    <col min="2809" max="2810" width="10" customWidth="1"/>
    <col min="2811" max="2811" width="9" customWidth="1"/>
    <col min="2812" max="2812" width="9.28515625" customWidth="1"/>
    <col min="2813" max="2815" width="9" customWidth="1"/>
    <col min="2816" max="2816" width="10.7109375" customWidth="1"/>
    <col min="2817" max="2821" width="11" customWidth="1"/>
    <col min="2822" max="2822" width="9.42578125" customWidth="1"/>
    <col min="2823" max="2827" width="9.42578125" bestFit="1" customWidth="1"/>
    <col min="2829" max="2829" width="9.28515625" bestFit="1" customWidth="1"/>
    <col min="3060" max="3060" width="42.42578125" customWidth="1"/>
    <col min="3061" max="3061" width="3.7109375" customWidth="1"/>
    <col min="3062" max="3062" width="12.28515625" customWidth="1"/>
    <col min="3063" max="3063" width="10.7109375" customWidth="1"/>
    <col min="3064" max="3064" width="10.28515625" customWidth="1"/>
    <col min="3065" max="3066" width="10" customWidth="1"/>
    <col min="3067" max="3067" width="9" customWidth="1"/>
    <col min="3068" max="3068" width="9.28515625" customWidth="1"/>
    <col min="3069" max="3071" width="9" customWidth="1"/>
    <col min="3072" max="3072" width="10.7109375" customWidth="1"/>
    <col min="3073" max="3077" width="11" customWidth="1"/>
    <col min="3078" max="3078" width="9.42578125" customWidth="1"/>
    <col min="3079" max="3083" width="9.42578125" bestFit="1" customWidth="1"/>
    <col min="3085" max="3085" width="9.28515625" bestFit="1" customWidth="1"/>
    <col min="3316" max="3316" width="42.42578125" customWidth="1"/>
    <col min="3317" max="3317" width="3.7109375" customWidth="1"/>
    <col min="3318" max="3318" width="12.28515625" customWidth="1"/>
    <col min="3319" max="3319" width="10.7109375" customWidth="1"/>
    <col min="3320" max="3320" width="10.28515625" customWidth="1"/>
    <col min="3321" max="3322" width="10" customWidth="1"/>
    <col min="3323" max="3323" width="9" customWidth="1"/>
    <col min="3324" max="3324" width="9.28515625" customWidth="1"/>
    <col min="3325" max="3327" width="9" customWidth="1"/>
    <col min="3328" max="3328" width="10.7109375" customWidth="1"/>
    <col min="3329" max="3333" width="11" customWidth="1"/>
    <col min="3334" max="3334" width="9.42578125" customWidth="1"/>
    <col min="3335" max="3339" width="9.42578125" bestFit="1" customWidth="1"/>
    <col min="3341" max="3341" width="9.28515625" bestFit="1" customWidth="1"/>
    <col min="3572" max="3572" width="42.42578125" customWidth="1"/>
    <col min="3573" max="3573" width="3.7109375" customWidth="1"/>
    <col min="3574" max="3574" width="12.28515625" customWidth="1"/>
    <col min="3575" max="3575" width="10.7109375" customWidth="1"/>
    <col min="3576" max="3576" width="10.28515625" customWidth="1"/>
    <col min="3577" max="3578" width="10" customWidth="1"/>
    <col min="3579" max="3579" width="9" customWidth="1"/>
    <col min="3580" max="3580" width="9.28515625" customWidth="1"/>
    <col min="3581" max="3583" width="9" customWidth="1"/>
    <col min="3584" max="3584" width="10.7109375" customWidth="1"/>
    <col min="3585" max="3589" width="11" customWidth="1"/>
    <col min="3590" max="3590" width="9.42578125" customWidth="1"/>
    <col min="3591" max="3595" width="9.42578125" bestFit="1" customWidth="1"/>
    <col min="3597" max="3597" width="9.28515625" bestFit="1" customWidth="1"/>
    <col min="3828" max="3828" width="42.42578125" customWidth="1"/>
    <col min="3829" max="3829" width="3.7109375" customWidth="1"/>
    <col min="3830" max="3830" width="12.28515625" customWidth="1"/>
    <col min="3831" max="3831" width="10.7109375" customWidth="1"/>
    <col min="3832" max="3832" width="10.28515625" customWidth="1"/>
    <col min="3833" max="3834" width="10" customWidth="1"/>
    <col min="3835" max="3835" width="9" customWidth="1"/>
    <col min="3836" max="3836" width="9.28515625" customWidth="1"/>
    <col min="3837" max="3839" width="9" customWidth="1"/>
    <col min="3840" max="3840" width="10.7109375" customWidth="1"/>
    <col min="3841" max="3845" width="11" customWidth="1"/>
    <col min="3846" max="3846" width="9.42578125" customWidth="1"/>
    <col min="3847" max="3851" width="9.42578125" bestFit="1" customWidth="1"/>
    <col min="3853" max="3853" width="9.28515625" bestFit="1" customWidth="1"/>
    <col min="4084" max="4084" width="42.42578125" customWidth="1"/>
    <col min="4085" max="4085" width="3.7109375" customWidth="1"/>
    <col min="4086" max="4086" width="12.28515625" customWidth="1"/>
    <col min="4087" max="4087" width="10.7109375" customWidth="1"/>
    <col min="4088" max="4088" width="10.28515625" customWidth="1"/>
    <col min="4089" max="4090" width="10" customWidth="1"/>
    <col min="4091" max="4091" width="9" customWidth="1"/>
    <col min="4092" max="4092" width="9.28515625" customWidth="1"/>
    <col min="4093" max="4095" width="9" customWidth="1"/>
    <col min="4096" max="4096" width="10.7109375" customWidth="1"/>
    <col min="4097" max="4101" width="11" customWidth="1"/>
    <col min="4102" max="4102" width="9.42578125" customWidth="1"/>
    <col min="4103" max="4107" width="9.42578125" bestFit="1" customWidth="1"/>
    <col min="4109" max="4109" width="9.28515625" bestFit="1" customWidth="1"/>
    <col min="4340" max="4340" width="42.42578125" customWidth="1"/>
    <col min="4341" max="4341" width="3.7109375" customWidth="1"/>
    <col min="4342" max="4342" width="12.28515625" customWidth="1"/>
    <col min="4343" max="4343" width="10.7109375" customWidth="1"/>
    <col min="4344" max="4344" width="10.28515625" customWidth="1"/>
    <col min="4345" max="4346" width="10" customWidth="1"/>
    <col min="4347" max="4347" width="9" customWidth="1"/>
    <col min="4348" max="4348" width="9.28515625" customWidth="1"/>
    <col min="4349" max="4351" width="9" customWidth="1"/>
    <col min="4352" max="4352" width="10.7109375" customWidth="1"/>
    <col min="4353" max="4357" width="11" customWidth="1"/>
    <col min="4358" max="4358" width="9.42578125" customWidth="1"/>
    <col min="4359" max="4363" width="9.42578125" bestFit="1" customWidth="1"/>
    <col min="4365" max="4365" width="9.28515625" bestFit="1" customWidth="1"/>
    <col min="4596" max="4596" width="42.42578125" customWidth="1"/>
    <col min="4597" max="4597" width="3.7109375" customWidth="1"/>
    <col min="4598" max="4598" width="12.28515625" customWidth="1"/>
    <col min="4599" max="4599" width="10.7109375" customWidth="1"/>
    <col min="4600" max="4600" width="10.28515625" customWidth="1"/>
    <col min="4601" max="4602" width="10" customWidth="1"/>
    <col min="4603" max="4603" width="9" customWidth="1"/>
    <col min="4604" max="4604" width="9.28515625" customWidth="1"/>
    <col min="4605" max="4607" width="9" customWidth="1"/>
    <col min="4608" max="4608" width="10.7109375" customWidth="1"/>
    <col min="4609" max="4613" width="11" customWidth="1"/>
    <col min="4614" max="4614" width="9.42578125" customWidth="1"/>
    <col min="4615" max="4619" width="9.42578125" bestFit="1" customWidth="1"/>
    <col min="4621" max="4621" width="9.28515625" bestFit="1" customWidth="1"/>
    <col min="4852" max="4852" width="42.42578125" customWidth="1"/>
    <col min="4853" max="4853" width="3.7109375" customWidth="1"/>
    <col min="4854" max="4854" width="12.28515625" customWidth="1"/>
    <col min="4855" max="4855" width="10.7109375" customWidth="1"/>
    <col min="4856" max="4856" width="10.28515625" customWidth="1"/>
    <col min="4857" max="4858" width="10" customWidth="1"/>
    <col min="4859" max="4859" width="9" customWidth="1"/>
    <col min="4860" max="4860" width="9.28515625" customWidth="1"/>
    <col min="4861" max="4863" width="9" customWidth="1"/>
    <col min="4864" max="4864" width="10.7109375" customWidth="1"/>
    <col min="4865" max="4869" width="11" customWidth="1"/>
    <col min="4870" max="4870" width="9.42578125" customWidth="1"/>
    <col min="4871" max="4875" width="9.42578125" bestFit="1" customWidth="1"/>
    <col min="4877" max="4877" width="9.28515625" bestFit="1" customWidth="1"/>
    <col min="5108" max="5108" width="42.42578125" customWidth="1"/>
    <col min="5109" max="5109" width="3.7109375" customWidth="1"/>
    <col min="5110" max="5110" width="12.28515625" customWidth="1"/>
    <col min="5111" max="5111" width="10.7109375" customWidth="1"/>
    <col min="5112" max="5112" width="10.28515625" customWidth="1"/>
    <col min="5113" max="5114" width="10" customWidth="1"/>
    <col min="5115" max="5115" width="9" customWidth="1"/>
    <col min="5116" max="5116" width="9.28515625" customWidth="1"/>
    <col min="5117" max="5119" width="9" customWidth="1"/>
    <col min="5120" max="5120" width="10.7109375" customWidth="1"/>
    <col min="5121" max="5125" width="11" customWidth="1"/>
    <col min="5126" max="5126" width="9.42578125" customWidth="1"/>
    <col min="5127" max="5131" width="9.42578125" bestFit="1" customWidth="1"/>
    <col min="5133" max="5133" width="9.28515625" bestFit="1" customWidth="1"/>
    <col min="5364" max="5364" width="42.42578125" customWidth="1"/>
    <col min="5365" max="5365" width="3.7109375" customWidth="1"/>
    <col min="5366" max="5366" width="12.28515625" customWidth="1"/>
    <col min="5367" max="5367" width="10.7109375" customWidth="1"/>
    <col min="5368" max="5368" width="10.28515625" customWidth="1"/>
    <col min="5369" max="5370" width="10" customWidth="1"/>
    <col min="5371" max="5371" width="9" customWidth="1"/>
    <col min="5372" max="5372" width="9.28515625" customWidth="1"/>
    <col min="5373" max="5375" width="9" customWidth="1"/>
    <col min="5376" max="5376" width="10.7109375" customWidth="1"/>
    <col min="5377" max="5381" width="11" customWidth="1"/>
    <col min="5382" max="5382" width="9.42578125" customWidth="1"/>
    <col min="5383" max="5387" width="9.42578125" bestFit="1" customWidth="1"/>
    <col min="5389" max="5389" width="9.28515625" bestFit="1" customWidth="1"/>
    <col min="5620" max="5620" width="42.42578125" customWidth="1"/>
    <col min="5621" max="5621" width="3.7109375" customWidth="1"/>
    <col min="5622" max="5622" width="12.28515625" customWidth="1"/>
    <col min="5623" max="5623" width="10.7109375" customWidth="1"/>
    <col min="5624" max="5624" width="10.28515625" customWidth="1"/>
    <col min="5625" max="5626" width="10" customWidth="1"/>
    <col min="5627" max="5627" width="9" customWidth="1"/>
    <col min="5628" max="5628" width="9.28515625" customWidth="1"/>
    <col min="5629" max="5631" width="9" customWidth="1"/>
    <col min="5632" max="5632" width="10.7109375" customWidth="1"/>
    <col min="5633" max="5637" width="11" customWidth="1"/>
    <col min="5638" max="5638" width="9.42578125" customWidth="1"/>
    <col min="5639" max="5643" width="9.42578125" bestFit="1" customWidth="1"/>
    <col min="5645" max="5645" width="9.28515625" bestFit="1" customWidth="1"/>
    <col min="5876" max="5876" width="42.42578125" customWidth="1"/>
    <col min="5877" max="5877" width="3.7109375" customWidth="1"/>
    <col min="5878" max="5878" width="12.28515625" customWidth="1"/>
    <col min="5879" max="5879" width="10.7109375" customWidth="1"/>
    <col min="5880" max="5880" width="10.28515625" customWidth="1"/>
    <col min="5881" max="5882" width="10" customWidth="1"/>
    <col min="5883" max="5883" width="9" customWidth="1"/>
    <col min="5884" max="5884" width="9.28515625" customWidth="1"/>
    <col min="5885" max="5887" width="9" customWidth="1"/>
    <col min="5888" max="5888" width="10.7109375" customWidth="1"/>
    <col min="5889" max="5893" width="11" customWidth="1"/>
    <col min="5894" max="5894" width="9.42578125" customWidth="1"/>
    <col min="5895" max="5899" width="9.42578125" bestFit="1" customWidth="1"/>
    <col min="5901" max="5901" width="9.28515625" bestFit="1" customWidth="1"/>
    <col min="6132" max="6132" width="42.42578125" customWidth="1"/>
    <col min="6133" max="6133" width="3.7109375" customWidth="1"/>
    <col min="6134" max="6134" width="12.28515625" customWidth="1"/>
    <col min="6135" max="6135" width="10.7109375" customWidth="1"/>
    <col min="6136" max="6136" width="10.28515625" customWidth="1"/>
    <col min="6137" max="6138" width="10" customWidth="1"/>
    <col min="6139" max="6139" width="9" customWidth="1"/>
    <col min="6140" max="6140" width="9.28515625" customWidth="1"/>
    <col min="6141" max="6143" width="9" customWidth="1"/>
    <col min="6144" max="6144" width="10.7109375" customWidth="1"/>
    <col min="6145" max="6149" width="11" customWidth="1"/>
    <col min="6150" max="6150" width="9.42578125" customWidth="1"/>
    <col min="6151" max="6155" width="9.42578125" bestFit="1" customWidth="1"/>
    <col min="6157" max="6157" width="9.28515625" bestFit="1" customWidth="1"/>
    <col min="6388" max="6388" width="42.42578125" customWidth="1"/>
    <col min="6389" max="6389" width="3.7109375" customWidth="1"/>
    <col min="6390" max="6390" width="12.28515625" customWidth="1"/>
    <col min="6391" max="6391" width="10.7109375" customWidth="1"/>
    <col min="6392" max="6392" width="10.28515625" customWidth="1"/>
    <col min="6393" max="6394" width="10" customWidth="1"/>
    <col min="6395" max="6395" width="9" customWidth="1"/>
    <col min="6396" max="6396" width="9.28515625" customWidth="1"/>
    <col min="6397" max="6399" width="9" customWidth="1"/>
    <col min="6400" max="6400" width="10.7109375" customWidth="1"/>
    <col min="6401" max="6405" width="11" customWidth="1"/>
    <col min="6406" max="6406" width="9.42578125" customWidth="1"/>
    <col min="6407" max="6411" width="9.42578125" bestFit="1" customWidth="1"/>
    <col min="6413" max="6413" width="9.28515625" bestFit="1" customWidth="1"/>
    <col min="6644" max="6644" width="42.42578125" customWidth="1"/>
    <col min="6645" max="6645" width="3.7109375" customWidth="1"/>
    <col min="6646" max="6646" width="12.28515625" customWidth="1"/>
    <col min="6647" max="6647" width="10.7109375" customWidth="1"/>
    <col min="6648" max="6648" width="10.28515625" customWidth="1"/>
    <col min="6649" max="6650" width="10" customWidth="1"/>
    <col min="6651" max="6651" width="9" customWidth="1"/>
    <col min="6652" max="6652" width="9.28515625" customWidth="1"/>
    <col min="6653" max="6655" width="9" customWidth="1"/>
    <col min="6656" max="6656" width="10.7109375" customWidth="1"/>
    <col min="6657" max="6661" width="11" customWidth="1"/>
    <col min="6662" max="6662" width="9.42578125" customWidth="1"/>
    <col min="6663" max="6667" width="9.42578125" bestFit="1" customWidth="1"/>
    <col min="6669" max="6669" width="9.28515625" bestFit="1" customWidth="1"/>
    <col min="6900" max="6900" width="42.42578125" customWidth="1"/>
    <col min="6901" max="6901" width="3.7109375" customWidth="1"/>
    <col min="6902" max="6902" width="12.28515625" customWidth="1"/>
    <col min="6903" max="6903" width="10.7109375" customWidth="1"/>
    <col min="6904" max="6904" width="10.28515625" customWidth="1"/>
    <col min="6905" max="6906" width="10" customWidth="1"/>
    <col min="6907" max="6907" width="9" customWidth="1"/>
    <col min="6908" max="6908" width="9.28515625" customWidth="1"/>
    <col min="6909" max="6911" width="9" customWidth="1"/>
    <col min="6912" max="6912" width="10.7109375" customWidth="1"/>
    <col min="6913" max="6917" width="11" customWidth="1"/>
    <col min="6918" max="6918" width="9.42578125" customWidth="1"/>
    <col min="6919" max="6923" width="9.42578125" bestFit="1" customWidth="1"/>
    <col min="6925" max="6925" width="9.28515625" bestFit="1" customWidth="1"/>
    <col min="7156" max="7156" width="42.42578125" customWidth="1"/>
    <col min="7157" max="7157" width="3.7109375" customWidth="1"/>
    <col min="7158" max="7158" width="12.28515625" customWidth="1"/>
    <col min="7159" max="7159" width="10.7109375" customWidth="1"/>
    <col min="7160" max="7160" width="10.28515625" customWidth="1"/>
    <col min="7161" max="7162" width="10" customWidth="1"/>
    <col min="7163" max="7163" width="9" customWidth="1"/>
    <col min="7164" max="7164" width="9.28515625" customWidth="1"/>
    <col min="7165" max="7167" width="9" customWidth="1"/>
    <col min="7168" max="7168" width="10.7109375" customWidth="1"/>
    <col min="7169" max="7173" width="11" customWidth="1"/>
    <col min="7174" max="7174" width="9.42578125" customWidth="1"/>
    <col min="7175" max="7179" width="9.42578125" bestFit="1" customWidth="1"/>
    <col min="7181" max="7181" width="9.28515625" bestFit="1" customWidth="1"/>
    <col min="7412" max="7412" width="42.42578125" customWidth="1"/>
    <col min="7413" max="7413" width="3.7109375" customWidth="1"/>
    <col min="7414" max="7414" width="12.28515625" customWidth="1"/>
    <col min="7415" max="7415" width="10.7109375" customWidth="1"/>
    <col min="7416" max="7416" width="10.28515625" customWidth="1"/>
    <col min="7417" max="7418" width="10" customWidth="1"/>
    <col min="7419" max="7419" width="9" customWidth="1"/>
    <col min="7420" max="7420" width="9.28515625" customWidth="1"/>
    <col min="7421" max="7423" width="9" customWidth="1"/>
    <col min="7424" max="7424" width="10.7109375" customWidth="1"/>
    <col min="7425" max="7429" width="11" customWidth="1"/>
    <col min="7430" max="7430" width="9.42578125" customWidth="1"/>
    <col min="7431" max="7435" width="9.42578125" bestFit="1" customWidth="1"/>
    <col min="7437" max="7437" width="9.28515625" bestFit="1" customWidth="1"/>
    <col min="7668" max="7668" width="42.42578125" customWidth="1"/>
    <col min="7669" max="7669" width="3.7109375" customWidth="1"/>
    <col min="7670" max="7670" width="12.28515625" customWidth="1"/>
    <col min="7671" max="7671" width="10.7109375" customWidth="1"/>
    <col min="7672" max="7672" width="10.28515625" customWidth="1"/>
    <col min="7673" max="7674" width="10" customWidth="1"/>
    <col min="7675" max="7675" width="9" customWidth="1"/>
    <col min="7676" max="7676" width="9.28515625" customWidth="1"/>
    <col min="7677" max="7679" width="9" customWidth="1"/>
    <col min="7680" max="7680" width="10.7109375" customWidth="1"/>
    <col min="7681" max="7685" width="11" customWidth="1"/>
    <col min="7686" max="7686" width="9.42578125" customWidth="1"/>
    <col min="7687" max="7691" width="9.42578125" bestFit="1" customWidth="1"/>
    <col min="7693" max="7693" width="9.28515625" bestFit="1" customWidth="1"/>
    <col min="7924" max="7924" width="42.42578125" customWidth="1"/>
    <col min="7925" max="7925" width="3.7109375" customWidth="1"/>
    <col min="7926" max="7926" width="12.28515625" customWidth="1"/>
    <col min="7927" max="7927" width="10.7109375" customWidth="1"/>
    <col min="7928" max="7928" width="10.28515625" customWidth="1"/>
    <col min="7929" max="7930" width="10" customWidth="1"/>
    <col min="7931" max="7931" width="9" customWidth="1"/>
    <col min="7932" max="7932" width="9.28515625" customWidth="1"/>
    <col min="7933" max="7935" width="9" customWidth="1"/>
    <col min="7936" max="7936" width="10.7109375" customWidth="1"/>
    <col min="7937" max="7941" width="11" customWidth="1"/>
    <col min="7942" max="7942" width="9.42578125" customWidth="1"/>
    <col min="7943" max="7947" width="9.42578125" bestFit="1" customWidth="1"/>
    <col min="7949" max="7949" width="9.28515625" bestFit="1" customWidth="1"/>
    <col min="8180" max="8180" width="42.42578125" customWidth="1"/>
    <col min="8181" max="8181" width="3.7109375" customWidth="1"/>
    <col min="8182" max="8182" width="12.28515625" customWidth="1"/>
    <col min="8183" max="8183" width="10.7109375" customWidth="1"/>
    <col min="8184" max="8184" width="10.28515625" customWidth="1"/>
    <col min="8185" max="8186" width="10" customWidth="1"/>
    <col min="8187" max="8187" width="9" customWidth="1"/>
    <col min="8188" max="8188" width="9.28515625" customWidth="1"/>
    <col min="8189" max="8191" width="9" customWidth="1"/>
    <col min="8192" max="8192" width="10.7109375" customWidth="1"/>
    <col min="8193" max="8197" width="11" customWidth="1"/>
    <col min="8198" max="8198" width="9.42578125" customWidth="1"/>
    <col min="8199" max="8203" width="9.42578125" bestFit="1" customWidth="1"/>
    <col min="8205" max="8205" width="9.28515625" bestFit="1" customWidth="1"/>
    <col min="8436" max="8436" width="42.42578125" customWidth="1"/>
    <col min="8437" max="8437" width="3.7109375" customWidth="1"/>
    <col min="8438" max="8438" width="12.28515625" customWidth="1"/>
    <col min="8439" max="8439" width="10.7109375" customWidth="1"/>
    <col min="8440" max="8440" width="10.28515625" customWidth="1"/>
    <col min="8441" max="8442" width="10" customWidth="1"/>
    <col min="8443" max="8443" width="9" customWidth="1"/>
    <col min="8444" max="8444" width="9.28515625" customWidth="1"/>
    <col min="8445" max="8447" width="9" customWidth="1"/>
    <col min="8448" max="8448" width="10.7109375" customWidth="1"/>
    <col min="8449" max="8453" width="11" customWidth="1"/>
    <col min="8454" max="8454" width="9.42578125" customWidth="1"/>
    <col min="8455" max="8459" width="9.42578125" bestFit="1" customWidth="1"/>
    <col min="8461" max="8461" width="9.28515625" bestFit="1" customWidth="1"/>
    <col min="8692" max="8692" width="42.42578125" customWidth="1"/>
    <col min="8693" max="8693" width="3.7109375" customWidth="1"/>
    <col min="8694" max="8694" width="12.28515625" customWidth="1"/>
    <col min="8695" max="8695" width="10.7109375" customWidth="1"/>
    <col min="8696" max="8696" width="10.28515625" customWidth="1"/>
    <col min="8697" max="8698" width="10" customWidth="1"/>
    <col min="8699" max="8699" width="9" customWidth="1"/>
    <col min="8700" max="8700" width="9.28515625" customWidth="1"/>
    <col min="8701" max="8703" width="9" customWidth="1"/>
    <col min="8704" max="8704" width="10.7109375" customWidth="1"/>
    <col min="8705" max="8709" width="11" customWidth="1"/>
    <col min="8710" max="8710" width="9.42578125" customWidth="1"/>
    <col min="8711" max="8715" width="9.42578125" bestFit="1" customWidth="1"/>
    <col min="8717" max="8717" width="9.28515625" bestFit="1" customWidth="1"/>
    <col min="8948" max="8948" width="42.42578125" customWidth="1"/>
    <col min="8949" max="8949" width="3.7109375" customWidth="1"/>
    <col min="8950" max="8950" width="12.28515625" customWidth="1"/>
    <col min="8951" max="8951" width="10.7109375" customWidth="1"/>
    <col min="8952" max="8952" width="10.28515625" customWidth="1"/>
    <col min="8953" max="8954" width="10" customWidth="1"/>
    <col min="8955" max="8955" width="9" customWidth="1"/>
    <col min="8956" max="8956" width="9.28515625" customWidth="1"/>
    <col min="8957" max="8959" width="9" customWidth="1"/>
    <col min="8960" max="8960" width="10.7109375" customWidth="1"/>
    <col min="8961" max="8965" width="11" customWidth="1"/>
    <col min="8966" max="8966" width="9.42578125" customWidth="1"/>
    <col min="8967" max="8971" width="9.42578125" bestFit="1" customWidth="1"/>
    <col min="8973" max="8973" width="9.28515625" bestFit="1" customWidth="1"/>
    <col min="9204" max="9204" width="42.42578125" customWidth="1"/>
    <col min="9205" max="9205" width="3.7109375" customWidth="1"/>
    <col min="9206" max="9206" width="12.28515625" customWidth="1"/>
    <col min="9207" max="9207" width="10.7109375" customWidth="1"/>
    <col min="9208" max="9208" width="10.28515625" customWidth="1"/>
    <col min="9209" max="9210" width="10" customWidth="1"/>
    <col min="9211" max="9211" width="9" customWidth="1"/>
    <col min="9212" max="9212" width="9.28515625" customWidth="1"/>
    <col min="9213" max="9215" width="9" customWidth="1"/>
    <col min="9216" max="9216" width="10.7109375" customWidth="1"/>
    <col min="9217" max="9221" width="11" customWidth="1"/>
    <col min="9222" max="9222" width="9.42578125" customWidth="1"/>
    <col min="9223" max="9227" width="9.42578125" bestFit="1" customWidth="1"/>
    <col min="9229" max="9229" width="9.28515625" bestFit="1" customWidth="1"/>
    <col min="9460" max="9460" width="42.42578125" customWidth="1"/>
    <col min="9461" max="9461" width="3.7109375" customWidth="1"/>
    <col min="9462" max="9462" width="12.28515625" customWidth="1"/>
    <col min="9463" max="9463" width="10.7109375" customWidth="1"/>
    <col min="9464" max="9464" width="10.28515625" customWidth="1"/>
    <col min="9465" max="9466" width="10" customWidth="1"/>
    <col min="9467" max="9467" width="9" customWidth="1"/>
    <col min="9468" max="9468" width="9.28515625" customWidth="1"/>
    <col min="9469" max="9471" width="9" customWidth="1"/>
    <col min="9472" max="9472" width="10.7109375" customWidth="1"/>
    <col min="9473" max="9477" width="11" customWidth="1"/>
    <col min="9478" max="9478" width="9.42578125" customWidth="1"/>
    <col min="9479" max="9483" width="9.42578125" bestFit="1" customWidth="1"/>
    <col min="9485" max="9485" width="9.28515625" bestFit="1" customWidth="1"/>
    <col min="9716" max="9716" width="42.42578125" customWidth="1"/>
    <col min="9717" max="9717" width="3.7109375" customWidth="1"/>
    <col min="9718" max="9718" width="12.28515625" customWidth="1"/>
    <col min="9719" max="9719" width="10.7109375" customWidth="1"/>
    <col min="9720" max="9720" width="10.28515625" customWidth="1"/>
    <col min="9721" max="9722" width="10" customWidth="1"/>
    <col min="9723" max="9723" width="9" customWidth="1"/>
    <col min="9724" max="9724" width="9.28515625" customWidth="1"/>
    <col min="9725" max="9727" width="9" customWidth="1"/>
    <col min="9728" max="9728" width="10.7109375" customWidth="1"/>
    <col min="9729" max="9733" width="11" customWidth="1"/>
    <col min="9734" max="9734" width="9.42578125" customWidth="1"/>
    <col min="9735" max="9739" width="9.42578125" bestFit="1" customWidth="1"/>
    <col min="9741" max="9741" width="9.28515625" bestFit="1" customWidth="1"/>
    <col min="9972" max="9972" width="42.42578125" customWidth="1"/>
    <col min="9973" max="9973" width="3.7109375" customWidth="1"/>
    <col min="9974" max="9974" width="12.28515625" customWidth="1"/>
    <col min="9975" max="9975" width="10.7109375" customWidth="1"/>
    <col min="9976" max="9976" width="10.28515625" customWidth="1"/>
    <col min="9977" max="9978" width="10" customWidth="1"/>
    <col min="9979" max="9979" width="9" customWidth="1"/>
    <col min="9980" max="9980" width="9.28515625" customWidth="1"/>
    <col min="9981" max="9983" width="9" customWidth="1"/>
    <col min="9984" max="9984" width="10.7109375" customWidth="1"/>
    <col min="9985" max="9989" width="11" customWidth="1"/>
    <col min="9990" max="9990" width="9.42578125" customWidth="1"/>
    <col min="9991" max="9995" width="9.42578125" bestFit="1" customWidth="1"/>
    <col min="9997" max="9997" width="9.28515625" bestFit="1" customWidth="1"/>
    <col min="10228" max="10228" width="42.42578125" customWidth="1"/>
    <col min="10229" max="10229" width="3.7109375" customWidth="1"/>
    <col min="10230" max="10230" width="12.28515625" customWidth="1"/>
    <col min="10231" max="10231" width="10.7109375" customWidth="1"/>
    <col min="10232" max="10232" width="10.28515625" customWidth="1"/>
    <col min="10233" max="10234" width="10" customWidth="1"/>
    <col min="10235" max="10235" width="9" customWidth="1"/>
    <col min="10236" max="10236" width="9.28515625" customWidth="1"/>
    <col min="10237" max="10239" width="9" customWidth="1"/>
    <col min="10240" max="10240" width="10.7109375" customWidth="1"/>
    <col min="10241" max="10245" width="11" customWidth="1"/>
    <col min="10246" max="10246" width="9.42578125" customWidth="1"/>
    <col min="10247" max="10251" width="9.42578125" bestFit="1" customWidth="1"/>
    <col min="10253" max="10253" width="9.28515625" bestFit="1" customWidth="1"/>
    <col min="10484" max="10484" width="42.42578125" customWidth="1"/>
    <col min="10485" max="10485" width="3.7109375" customWidth="1"/>
    <col min="10486" max="10486" width="12.28515625" customWidth="1"/>
    <col min="10487" max="10487" width="10.7109375" customWidth="1"/>
    <col min="10488" max="10488" width="10.28515625" customWidth="1"/>
    <col min="10489" max="10490" width="10" customWidth="1"/>
    <col min="10491" max="10491" width="9" customWidth="1"/>
    <col min="10492" max="10492" width="9.28515625" customWidth="1"/>
    <col min="10493" max="10495" width="9" customWidth="1"/>
    <col min="10496" max="10496" width="10.7109375" customWidth="1"/>
    <col min="10497" max="10501" width="11" customWidth="1"/>
    <col min="10502" max="10502" width="9.42578125" customWidth="1"/>
    <col min="10503" max="10507" width="9.42578125" bestFit="1" customWidth="1"/>
    <col min="10509" max="10509" width="9.28515625" bestFit="1" customWidth="1"/>
    <col min="10740" max="10740" width="42.42578125" customWidth="1"/>
    <col min="10741" max="10741" width="3.7109375" customWidth="1"/>
    <col min="10742" max="10742" width="12.28515625" customWidth="1"/>
    <col min="10743" max="10743" width="10.7109375" customWidth="1"/>
    <col min="10744" max="10744" width="10.28515625" customWidth="1"/>
    <col min="10745" max="10746" width="10" customWidth="1"/>
    <col min="10747" max="10747" width="9" customWidth="1"/>
    <col min="10748" max="10748" width="9.28515625" customWidth="1"/>
    <col min="10749" max="10751" width="9" customWidth="1"/>
    <col min="10752" max="10752" width="10.7109375" customWidth="1"/>
    <col min="10753" max="10757" width="11" customWidth="1"/>
    <col min="10758" max="10758" width="9.42578125" customWidth="1"/>
    <col min="10759" max="10763" width="9.42578125" bestFit="1" customWidth="1"/>
    <col min="10765" max="10765" width="9.28515625" bestFit="1" customWidth="1"/>
    <col min="10996" max="10996" width="42.42578125" customWidth="1"/>
    <col min="10997" max="10997" width="3.7109375" customWidth="1"/>
    <col min="10998" max="10998" width="12.28515625" customWidth="1"/>
    <col min="10999" max="10999" width="10.7109375" customWidth="1"/>
    <col min="11000" max="11000" width="10.28515625" customWidth="1"/>
    <col min="11001" max="11002" width="10" customWidth="1"/>
    <col min="11003" max="11003" width="9" customWidth="1"/>
    <col min="11004" max="11004" width="9.28515625" customWidth="1"/>
    <col min="11005" max="11007" width="9" customWidth="1"/>
    <col min="11008" max="11008" width="10.7109375" customWidth="1"/>
    <col min="11009" max="11013" width="11" customWidth="1"/>
    <col min="11014" max="11014" width="9.42578125" customWidth="1"/>
    <col min="11015" max="11019" width="9.42578125" bestFit="1" customWidth="1"/>
    <col min="11021" max="11021" width="9.28515625" bestFit="1" customWidth="1"/>
    <col min="11252" max="11252" width="42.42578125" customWidth="1"/>
    <col min="11253" max="11253" width="3.7109375" customWidth="1"/>
    <col min="11254" max="11254" width="12.28515625" customWidth="1"/>
    <col min="11255" max="11255" width="10.7109375" customWidth="1"/>
    <col min="11256" max="11256" width="10.28515625" customWidth="1"/>
    <col min="11257" max="11258" width="10" customWidth="1"/>
    <col min="11259" max="11259" width="9" customWidth="1"/>
    <col min="11260" max="11260" width="9.28515625" customWidth="1"/>
    <col min="11261" max="11263" width="9" customWidth="1"/>
    <col min="11264" max="11264" width="10.7109375" customWidth="1"/>
    <col min="11265" max="11269" width="11" customWidth="1"/>
    <col min="11270" max="11270" width="9.42578125" customWidth="1"/>
    <col min="11271" max="11275" width="9.42578125" bestFit="1" customWidth="1"/>
    <col min="11277" max="11277" width="9.28515625" bestFit="1" customWidth="1"/>
    <col min="11508" max="11508" width="42.42578125" customWidth="1"/>
    <col min="11509" max="11509" width="3.7109375" customWidth="1"/>
    <col min="11510" max="11510" width="12.28515625" customWidth="1"/>
    <col min="11511" max="11511" width="10.7109375" customWidth="1"/>
    <col min="11512" max="11512" width="10.28515625" customWidth="1"/>
    <col min="11513" max="11514" width="10" customWidth="1"/>
    <col min="11515" max="11515" width="9" customWidth="1"/>
    <col min="11516" max="11516" width="9.28515625" customWidth="1"/>
    <col min="11517" max="11519" width="9" customWidth="1"/>
    <col min="11520" max="11520" width="10.7109375" customWidth="1"/>
    <col min="11521" max="11525" width="11" customWidth="1"/>
    <col min="11526" max="11526" width="9.42578125" customWidth="1"/>
    <col min="11527" max="11531" width="9.42578125" bestFit="1" customWidth="1"/>
    <col min="11533" max="11533" width="9.28515625" bestFit="1" customWidth="1"/>
    <col min="11764" max="11764" width="42.42578125" customWidth="1"/>
    <col min="11765" max="11765" width="3.7109375" customWidth="1"/>
    <col min="11766" max="11766" width="12.28515625" customWidth="1"/>
    <col min="11767" max="11767" width="10.7109375" customWidth="1"/>
    <col min="11768" max="11768" width="10.28515625" customWidth="1"/>
    <col min="11769" max="11770" width="10" customWidth="1"/>
    <col min="11771" max="11771" width="9" customWidth="1"/>
    <col min="11772" max="11772" width="9.28515625" customWidth="1"/>
    <col min="11773" max="11775" width="9" customWidth="1"/>
    <col min="11776" max="11776" width="10.7109375" customWidth="1"/>
    <col min="11777" max="11781" width="11" customWidth="1"/>
    <col min="11782" max="11782" width="9.42578125" customWidth="1"/>
    <col min="11783" max="11787" width="9.42578125" bestFit="1" customWidth="1"/>
    <col min="11789" max="11789" width="9.28515625" bestFit="1" customWidth="1"/>
    <col min="12020" max="12020" width="42.42578125" customWidth="1"/>
    <col min="12021" max="12021" width="3.7109375" customWidth="1"/>
    <col min="12022" max="12022" width="12.28515625" customWidth="1"/>
    <col min="12023" max="12023" width="10.7109375" customWidth="1"/>
    <col min="12024" max="12024" width="10.28515625" customWidth="1"/>
    <col min="12025" max="12026" width="10" customWidth="1"/>
    <col min="12027" max="12027" width="9" customWidth="1"/>
    <col min="12028" max="12028" width="9.28515625" customWidth="1"/>
    <col min="12029" max="12031" width="9" customWidth="1"/>
    <col min="12032" max="12032" width="10.7109375" customWidth="1"/>
    <col min="12033" max="12037" width="11" customWidth="1"/>
    <col min="12038" max="12038" width="9.42578125" customWidth="1"/>
    <col min="12039" max="12043" width="9.42578125" bestFit="1" customWidth="1"/>
    <col min="12045" max="12045" width="9.28515625" bestFit="1" customWidth="1"/>
    <col min="12276" max="12276" width="42.42578125" customWidth="1"/>
    <col min="12277" max="12277" width="3.7109375" customWidth="1"/>
    <col min="12278" max="12278" width="12.28515625" customWidth="1"/>
    <col min="12279" max="12279" width="10.7109375" customWidth="1"/>
    <col min="12280" max="12280" width="10.28515625" customWidth="1"/>
    <col min="12281" max="12282" width="10" customWidth="1"/>
    <col min="12283" max="12283" width="9" customWidth="1"/>
    <col min="12284" max="12284" width="9.28515625" customWidth="1"/>
    <col min="12285" max="12287" width="9" customWidth="1"/>
    <col min="12288" max="12288" width="10.7109375" customWidth="1"/>
    <col min="12289" max="12293" width="11" customWidth="1"/>
    <col min="12294" max="12294" width="9.42578125" customWidth="1"/>
    <col min="12295" max="12299" width="9.42578125" bestFit="1" customWidth="1"/>
    <col min="12301" max="12301" width="9.28515625" bestFit="1" customWidth="1"/>
    <col min="12532" max="12532" width="42.42578125" customWidth="1"/>
    <col min="12533" max="12533" width="3.7109375" customWidth="1"/>
    <col min="12534" max="12534" width="12.28515625" customWidth="1"/>
    <col min="12535" max="12535" width="10.7109375" customWidth="1"/>
    <col min="12536" max="12536" width="10.28515625" customWidth="1"/>
    <col min="12537" max="12538" width="10" customWidth="1"/>
    <col min="12539" max="12539" width="9" customWidth="1"/>
    <col min="12540" max="12540" width="9.28515625" customWidth="1"/>
    <col min="12541" max="12543" width="9" customWidth="1"/>
    <col min="12544" max="12544" width="10.7109375" customWidth="1"/>
    <col min="12545" max="12549" width="11" customWidth="1"/>
    <col min="12550" max="12550" width="9.42578125" customWidth="1"/>
    <col min="12551" max="12555" width="9.42578125" bestFit="1" customWidth="1"/>
    <col min="12557" max="12557" width="9.28515625" bestFit="1" customWidth="1"/>
    <col min="12788" max="12788" width="42.42578125" customWidth="1"/>
    <col min="12789" max="12789" width="3.7109375" customWidth="1"/>
    <col min="12790" max="12790" width="12.28515625" customWidth="1"/>
    <col min="12791" max="12791" width="10.7109375" customWidth="1"/>
    <col min="12792" max="12792" width="10.28515625" customWidth="1"/>
    <col min="12793" max="12794" width="10" customWidth="1"/>
    <col min="12795" max="12795" width="9" customWidth="1"/>
    <col min="12796" max="12796" width="9.28515625" customWidth="1"/>
    <col min="12797" max="12799" width="9" customWidth="1"/>
    <col min="12800" max="12800" width="10.7109375" customWidth="1"/>
    <col min="12801" max="12805" width="11" customWidth="1"/>
    <col min="12806" max="12806" width="9.42578125" customWidth="1"/>
    <col min="12807" max="12811" width="9.42578125" bestFit="1" customWidth="1"/>
    <col min="12813" max="12813" width="9.28515625" bestFit="1" customWidth="1"/>
    <col min="13044" max="13044" width="42.42578125" customWidth="1"/>
    <col min="13045" max="13045" width="3.7109375" customWidth="1"/>
    <col min="13046" max="13046" width="12.28515625" customWidth="1"/>
    <col min="13047" max="13047" width="10.7109375" customWidth="1"/>
    <col min="13048" max="13048" width="10.28515625" customWidth="1"/>
    <col min="13049" max="13050" width="10" customWidth="1"/>
    <col min="13051" max="13051" width="9" customWidth="1"/>
    <col min="13052" max="13052" width="9.28515625" customWidth="1"/>
    <col min="13053" max="13055" width="9" customWidth="1"/>
    <col min="13056" max="13056" width="10.7109375" customWidth="1"/>
    <col min="13057" max="13061" width="11" customWidth="1"/>
    <col min="13062" max="13062" width="9.42578125" customWidth="1"/>
    <col min="13063" max="13067" width="9.42578125" bestFit="1" customWidth="1"/>
    <col min="13069" max="13069" width="9.28515625" bestFit="1" customWidth="1"/>
    <col min="13300" max="13300" width="42.42578125" customWidth="1"/>
    <col min="13301" max="13301" width="3.7109375" customWidth="1"/>
    <col min="13302" max="13302" width="12.28515625" customWidth="1"/>
    <col min="13303" max="13303" width="10.7109375" customWidth="1"/>
    <col min="13304" max="13304" width="10.28515625" customWidth="1"/>
    <col min="13305" max="13306" width="10" customWidth="1"/>
    <col min="13307" max="13307" width="9" customWidth="1"/>
    <col min="13308" max="13308" width="9.28515625" customWidth="1"/>
    <col min="13309" max="13311" width="9" customWidth="1"/>
    <col min="13312" max="13312" width="10.7109375" customWidth="1"/>
    <col min="13313" max="13317" width="11" customWidth="1"/>
    <col min="13318" max="13318" width="9.42578125" customWidth="1"/>
    <col min="13319" max="13323" width="9.42578125" bestFit="1" customWidth="1"/>
    <col min="13325" max="13325" width="9.28515625" bestFit="1" customWidth="1"/>
    <col min="13556" max="13556" width="42.42578125" customWidth="1"/>
    <col min="13557" max="13557" width="3.7109375" customWidth="1"/>
    <col min="13558" max="13558" width="12.28515625" customWidth="1"/>
    <col min="13559" max="13559" width="10.7109375" customWidth="1"/>
    <col min="13560" max="13560" width="10.28515625" customWidth="1"/>
    <col min="13561" max="13562" width="10" customWidth="1"/>
    <col min="13563" max="13563" width="9" customWidth="1"/>
    <col min="13564" max="13564" width="9.28515625" customWidth="1"/>
    <col min="13565" max="13567" width="9" customWidth="1"/>
    <col min="13568" max="13568" width="10.7109375" customWidth="1"/>
    <col min="13569" max="13573" width="11" customWidth="1"/>
    <col min="13574" max="13574" width="9.42578125" customWidth="1"/>
    <col min="13575" max="13579" width="9.42578125" bestFit="1" customWidth="1"/>
    <col min="13581" max="13581" width="9.28515625" bestFit="1" customWidth="1"/>
    <col min="13812" max="13812" width="42.42578125" customWidth="1"/>
    <col min="13813" max="13813" width="3.7109375" customWidth="1"/>
    <col min="13814" max="13814" width="12.28515625" customWidth="1"/>
    <col min="13815" max="13815" width="10.7109375" customWidth="1"/>
    <col min="13816" max="13816" width="10.28515625" customWidth="1"/>
    <col min="13817" max="13818" width="10" customWidth="1"/>
    <col min="13819" max="13819" width="9" customWidth="1"/>
    <col min="13820" max="13820" width="9.28515625" customWidth="1"/>
    <col min="13821" max="13823" width="9" customWidth="1"/>
    <col min="13824" max="13824" width="10.7109375" customWidth="1"/>
    <col min="13825" max="13829" width="11" customWidth="1"/>
    <col min="13830" max="13830" width="9.42578125" customWidth="1"/>
    <col min="13831" max="13835" width="9.42578125" bestFit="1" customWidth="1"/>
    <col min="13837" max="13837" width="9.28515625" bestFit="1" customWidth="1"/>
    <col min="14068" max="14068" width="42.42578125" customWidth="1"/>
    <col min="14069" max="14069" width="3.7109375" customWidth="1"/>
    <col min="14070" max="14070" width="12.28515625" customWidth="1"/>
    <col min="14071" max="14071" width="10.7109375" customWidth="1"/>
    <col min="14072" max="14072" width="10.28515625" customWidth="1"/>
    <col min="14073" max="14074" width="10" customWidth="1"/>
    <col min="14075" max="14075" width="9" customWidth="1"/>
    <col min="14076" max="14076" width="9.28515625" customWidth="1"/>
    <col min="14077" max="14079" width="9" customWidth="1"/>
    <col min="14080" max="14080" width="10.7109375" customWidth="1"/>
    <col min="14081" max="14085" width="11" customWidth="1"/>
    <col min="14086" max="14086" width="9.42578125" customWidth="1"/>
    <col min="14087" max="14091" width="9.42578125" bestFit="1" customWidth="1"/>
    <col min="14093" max="14093" width="9.28515625" bestFit="1" customWidth="1"/>
    <col min="14324" max="14324" width="42.42578125" customWidth="1"/>
    <col min="14325" max="14325" width="3.7109375" customWidth="1"/>
    <col min="14326" max="14326" width="12.28515625" customWidth="1"/>
    <col min="14327" max="14327" width="10.7109375" customWidth="1"/>
    <col min="14328" max="14328" width="10.28515625" customWidth="1"/>
    <col min="14329" max="14330" width="10" customWidth="1"/>
    <col min="14331" max="14331" width="9" customWidth="1"/>
    <col min="14332" max="14332" width="9.28515625" customWidth="1"/>
    <col min="14333" max="14335" width="9" customWidth="1"/>
    <col min="14336" max="14336" width="10.7109375" customWidth="1"/>
    <col min="14337" max="14341" width="11" customWidth="1"/>
    <col min="14342" max="14342" width="9.42578125" customWidth="1"/>
    <col min="14343" max="14347" width="9.42578125" bestFit="1" customWidth="1"/>
    <col min="14349" max="14349" width="9.28515625" bestFit="1" customWidth="1"/>
    <col min="14580" max="14580" width="42.42578125" customWidth="1"/>
    <col min="14581" max="14581" width="3.7109375" customWidth="1"/>
    <col min="14582" max="14582" width="12.28515625" customWidth="1"/>
    <col min="14583" max="14583" width="10.7109375" customWidth="1"/>
    <col min="14584" max="14584" width="10.28515625" customWidth="1"/>
    <col min="14585" max="14586" width="10" customWidth="1"/>
    <col min="14587" max="14587" width="9" customWidth="1"/>
    <col min="14588" max="14588" width="9.28515625" customWidth="1"/>
    <col min="14589" max="14591" width="9" customWidth="1"/>
    <col min="14592" max="14592" width="10.7109375" customWidth="1"/>
    <col min="14593" max="14597" width="11" customWidth="1"/>
    <col min="14598" max="14598" width="9.42578125" customWidth="1"/>
    <col min="14599" max="14603" width="9.42578125" bestFit="1" customWidth="1"/>
    <col min="14605" max="14605" width="9.28515625" bestFit="1" customWidth="1"/>
    <col min="14836" max="14836" width="42.42578125" customWidth="1"/>
    <col min="14837" max="14837" width="3.7109375" customWidth="1"/>
    <col min="14838" max="14838" width="12.28515625" customWidth="1"/>
    <col min="14839" max="14839" width="10.7109375" customWidth="1"/>
    <col min="14840" max="14840" width="10.28515625" customWidth="1"/>
    <col min="14841" max="14842" width="10" customWidth="1"/>
    <col min="14843" max="14843" width="9" customWidth="1"/>
    <col min="14844" max="14844" width="9.28515625" customWidth="1"/>
    <col min="14845" max="14847" width="9" customWidth="1"/>
    <col min="14848" max="14848" width="10.7109375" customWidth="1"/>
    <col min="14849" max="14853" width="11" customWidth="1"/>
    <col min="14854" max="14854" width="9.42578125" customWidth="1"/>
    <col min="14855" max="14859" width="9.42578125" bestFit="1" customWidth="1"/>
    <col min="14861" max="14861" width="9.28515625" bestFit="1" customWidth="1"/>
    <col min="15092" max="15092" width="42.42578125" customWidth="1"/>
    <col min="15093" max="15093" width="3.7109375" customWidth="1"/>
    <col min="15094" max="15094" width="12.28515625" customWidth="1"/>
    <col min="15095" max="15095" width="10.7109375" customWidth="1"/>
    <col min="15096" max="15096" width="10.28515625" customWidth="1"/>
    <col min="15097" max="15098" width="10" customWidth="1"/>
    <col min="15099" max="15099" width="9" customWidth="1"/>
    <col min="15100" max="15100" width="9.28515625" customWidth="1"/>
    <col min="15101" max="15103" width="9" customWidth="1"/>
    <col min="15104" max="15104" width="10.7109375" customWidth="1"/>
    <col min="15105" max="15109" width="11" customWidth="1"/>
    <col min="15110" max="15110" width="9.42578125" customWidth="1"/>
    <col min="15111" max="15115" width="9.42578125" bestFit="1" customWidth="1"/>
    <col min="15117" max="15117" width="9.28515625" bestFit="1" customWidth="1"/>
    <col min="15348" max="15348" width="42.42578125" customWidth="1"/>
    <col min="15349" max="15349" width="3.7109375" customWidth="1"/>
    <col min="15350" max="15350" width="12.28515625" customWidth="1"/>
    <col min="15351" max="15351" width="10.7109375" customWidth="1"/>
    <col min="15352" max="15352" width="10.28515625" customWidth="1"/>
    <col min="15353" max="15354" width="10" customWidth="1"/>
    <col min="15355" max="15355" width="9" customWidth="1"/>
    <col min="15356" max="15356" width="9.28515625" customWidth="1"/>
    <col min="15357" max="15359" width="9" customWidth="1"/>
    <col min="15360" max="15360" width="10.7109375" customWidth="1"/>
    <col min="15361" max="15365" width="11" customWidth="1"/>
    <col min="15366" max="15366" width="9.42578125" customWidth="1"/>
    <col min="15367" max="15371" width="9.42578125" bestFit="1" customWidth="1"/>
    <col min="15373" max="15373" width="9.28515625" bestFit="1" customWidth="1"/>
    <col min="15604" max="15604" width="42.42578125" customWidth="1"/>
    <col min="15605" max="15605" width="3.7109375" customWidth="1"/>
    <col min="15606" max="15606" width="12.28515625" customWidth="1"/>
    <col min="15607" max="15607" width="10.7109375" customWidth="1"/>
    <col min="15608" max="15608" width="10.28515625" customWidth="1"/>
    <col min="15609" max="15610" width="10" customWidth="1"/>
    <col min="15611" max="15611" width="9" customWidth="1"/>
    <col min="15612" max="15612" width="9.28515625" customWidth="1"/>
    <col min="15613" max="15615" width="9" customWidth="1"/>
    <col min="15616" max="15616" width="10.7109375" customWidth="1"/>
    <col min="15617" max="15621" width="11" customWidth="1"/>
    <col min="15622" max="15622" width="9.42578125" customWidth="1"/>
    <col min="15623" max="15627" width="9.42578125" bestFit="1" customWidth="1"/>
    <col min="15629" max="15629" width="9.28515625" bestFit="1" customWidth="1"/>
    <col min="15860" max="15860" width="42.42578125" customWidth="1"/>
    <col min="15861" max="15861" width="3.7109375" customWidth="1"/>
    <col min="15862" max="15862" width="12.28515625" customWidth="1"/>
    <col min="15863" max="15863" width="10.7109375" customWidth="1"/>
    <col min="15864" max="15864" width="10.28515625" customWidth="1"/>
    <col min="15865" max="15866" width="10" customWidth="1"/>
    <col min="15867" max="15867" width="9" customWidth="1"/>
    <col min="15868" max="15868" width="9.28515625" customWidth="1"/>
    <col min="15869" max="15871" width="9" customWidth="1"/>
    <col min="15872" max="15872" width="10.7109375" customWidth="1"/>
    <col min="15873" max="15877" width="11" customWidth="1"/>
    <col min="15878" max="15878" width="9.42578125" customWidth="1"/>
    <col min="15879" max="15883" width="9.42578125" bestFit="1" customWidth="1"/>
    <col min="15885" max="15885" width="9.28515625" bestFit="1" customWidth="1"/>
    <col min="16116" max="16116" width="42.42578125" customWidth="1"/>
    <col min="16117" max="16117" width="3.7109375" customWidth="1"/>
    <col min="16118" max="16118" width="12.28515625" customWidth="1"/>
    <col min="16119" max="16119" width="10.7109375" customWidth="1"/>
    <col min="16120" max="16120" width="10.28515625" customWidth="1"/>
    <col min="16121" max="16122" width="10" customWidth="1"/>
    <col min="16123" max="16123" width="9" customWidth="1"/>
    <col min="16124" max="16124" width="9.28515625" customWidth="1"/>
    <col min="16125" max="16127" width="9" customWidth="1"/>
    <col min="16128" max="16128" width="10.7109375" customWidth="1"/>
    <col min="16129" max="16133" width="11" customWidth="1"/>
    <col min="16134" max="16134" width="9.42578125" customWidth="1"/>
    <col min="16135" max="16139" width="9.42578125" bestFit="1" customWidth="1"/>
    <col min="16141" max="16141" width="9.28515625" bestFit="1" customWidth="1"/>
    <col min="16142" max="16384" width="9.140625" style="2"/>
  </cols>
  <sheetData>
    <row r="1" spans="1:20" ht="26.25" customHeight="1" thickBot="1">
      <c r="A1" s="1" t="s">
        <v>53</v>
      </c>
    </row>
    <row r="2" spans="1:20">
      <c r="C2" s="9"/>
      <c r="D2" s="9"/>
      <c r="E2" s="9"/>
      <c r="F2" s="10"/>
      <c r="G2" s="9"/>
      <c r="H2" s="9"/>
      <c r="I2" s="9"/>
      <c r="J2" s="9"/>
      <c r="K2" s="9"/>
      <c r="L2" s="9"/>
      <c r="O2" s="9"/>
      <c r="P2" s="9"/>
      <c r="Q2" s="9"/>
      <c r="R2" s="9"/>
      <c r="S2" s="9"/>
      <c r="T2" s="9"/>
    </row>
    <row r="3" spans="1:20">
      <c r="A3" s="23" t="s">
        <v>171</v>
      </c>
      <c r="B3" s="23"/>
      <c r="C3" s="24">
        <v>2008</v>
      </c>
      <c r="D3" s="24">
        <v>2009</v>
      </c>
      <c r="E3" s="24">
        <v>2010</v>
      </c>
      <c r="F3" s="24">
        <v>2011</v>
      </c>
      <c r="G3" s="24" t="s">
        <v>7</v>
      </c>
      <c r="H3" s="24" t="s">
        <v>8</v>
      </c>
      <c r="I3" s="24" t="s">
        <v>9</v>
      </c>
      <c r="J3" s="24" t="s">
        <v>10</v>
      </c>
      <c r="K3" s="24" t="s">
        <v>11</v>
      </c>
      <c r="L3" s="24" t="s">
        <v>12</v>
      </c>
      <c r="M3" s="24" t="s">
        <v>156</v>
      </c>
      <c r="N3" s="24" t="s">
        <v>157</v>
      </c>
      <c r="O3" s="24" t="s">
        <v>158</v>
      </c>
      <c r="P3" s="24" t="s">
        <v>159</v>
      </c>
      <c r="Q3" s="24" t="s">
        <v>160</v>
      </c>
      <c r="R3" s="9"/>
      <c r="S3" s="9"/>
      <c r="T3" s="9"/>
    </row>
    <row r="4" spans="1:20">
      <c r="A4" s="114" t="s">
        <v>31</v>
      </c>
      <c r="C4" s="9"/>
      <c r="D4" s="9"/>
      <c r="E4" s="9"/>
      <c r="F4" s="10"/>
      <c r="G4" s="9">
        <v>3416.5</v>
      </c>
      <c r="H4" s="9">
        <v>3975.5</v>
      </c>
      <c r="I4" s="9">
        <v>4459.5</v>
      </c>
      <c r="J4" s="9">
        <v>5035.3999999999996</v>
      </c>
      <c r="K4" s="9">
        <v>5592.1</v>
      </c>
      <c r="L4" s="9">
        <v>6273</v>
      </c>
      <c r="M4" s="9">
        <v>6972.9</v>
      </c>
      <c r="N4" s="9">
        <v>8010.4</v>
      </c>
      <c r="O4" s="9">
        <v>8891.1</v>
      </c>
      <c r="P4" s="9">
        <v>8198.6</v>
      </c>
      <c r="Q4" s="9">
        <v>7470.2</v>
      </c>
      <c r="R4" s="9"/>
      <c r="S4" s="9"/>
      <c r="T4" s="9"/>
    </row>
    <row r="5" spans="1:20">
      <c r="A5" s="114" t="s">
        <v>162</v>
      </c>
      <c r="C5" s="9"/>
      <c r="D5" s="9"/>
      <c r="E5" s="9"/>
      <c r="F5" s="10"/>
      <c r="G5" s="106">
        <v>67.5</v>
      </c>
      <c r="H5" s="106">
        <v>20.2</v>
      </c>
      <c r="I5" s="106">
        <v>19.399999999999999</v>
      </c>
      <c r="J5" s="106">
        <v>14.7</v>
      </c>
      <c r="K5" s="106">
        <v>18.100000000000001</v>
      </c>
      <c r="L5" s="106">
        <v>23.9</v>
      </c>
      <c r="M5" s="106">
        <v>26.4</v>
      </c>
      <c r="N5" s="106">
        <v>23.1</v>
      </c>
      <c r="O5" s="106">
        <v>31.9</v>
      </c>
      <c r="P5" s="106">
        <v>-32.1</v>
      </c>
      <c r="Q5" s="106">
        <v>-30.2</v>
      </c>
      <c r="R5" s="9"/>
      <c r="S5" s="9"/>
      <c r="T5" s="9"/>
    </row>
    <row r="6" spans="1:20">
      <c r="A6" s="114" t="s">
        <v>51</v>
      </c>
      <c r="C6" s="9"/>
      <c r="D6" s="9"/>
      <c r="E6" s="9"/>
      <c r="F6" s="10"/>
      <c r="G6" s="106">
        <v>-704.4</v>
      </c>
      <c r="H6" s="106">
        <v>-689.9</v>
      </c>
      <c r="I6" s="106">
        <v>-498.3</v>
      </c>
      <c r="J6" s="106">
        <v>-369.5</v>
      </c>
      <c r="K6" s="106">
        <v>-194.5</v>
      </c>
      <c r="L6" s="106">
        <v>-12.5</v>
      </c>
      <c r="M6" s="106">
        <v>196.6</v>
      </c>
      <c r="N6" s="106">
        <v>422.9</v>
      </c>
      <c r="O6" s="106">
        <v>725.8</v>
      </c>
      <c r="P6" s="106">
        <v>1013</v>
      </c>
      <c r="Q6" s="106">
        <v>1095</v>
      </c>
      <c r="R6" s="9"/>
      <c r="S6" s="9"/>
      <c r="T6" s="9"/>
    </row>
    <row r="7" spans="1:20">
      <c r="A7" s="114" t="s">
        <v>161</v>
      </c>
      <c r="C7" s="9"/>
      <c r="D7" s="9"/>
      <c r="E7" s="9"/>
      <c r="F7" s="10"/>
      <c r="G7" s="106">
        <v>-627.5</v>
      </c>
      <c r="H7" s="106">
        <v>-735.8</v>
      </c>
      <c r="I7" s="106">
        <v>-977.3</v>
      </c>
      <c r="J7" s="106">
        <v>-1228.2</v>
      </c>
      <c r="K7" s="106">
        <v>-1456</v>
      </c>
      <c r="L7" s="106">
        <v>-1766.5</v>
      </c>
      <c r="M7" s="106">
        <v>-2092.4</v>
      </c>
      <c r="N7" s="106">
        <v>-2538.8000000000002</v>
      </c>
      <c r="O7" s="106">
        <v>-2948.4</v>
      </c>
      <c r="P7" s="106">
        <v>-2831.8</v>
      </c>
      <c r="Q7" s="106">
        <v>-2629.7</v>
      </c>
      <c r="R7" s="9"/>
      <c r="S7" s="9"/>
      <c r="T7" s="9"/>
    </row>
    <row r="8" spans="1:20">
      <c r="A8" s="115" t="s">
        <v>139</v>
      </c>
      <c r="B8" s="5"/>
      <c r="C8" s="11">
        <v>690.70100000000002</v>
      </c>
      <c r="D8" s="11">
        <v>403.69499999999999</v>
      </c>
      <c r="E8" s="11">
        <v>1357.0650000000001</v>
      </c>
      <c r="F8" s="17">
        <v>1890.2670000000001</v>
      </c>
      <c r="G8" s="11">
        <f>SUM(G4:G7)</f>
        <v>2152.1</v>
      </c>
      <c r="H8" s="11">
        <f t="shared" ref="H8:Q8" si="0">SUM(H4:H7)</f>
        <v>2570</v>
      </c>
      <c r="I8" s="11">
        <f t="shared" si="0"/>
        <v>3003.2999999999993</v>
      </c>
      <c r="J8" s="11">
        <f t="shared" si="0"/>
        <v>3452.3999999999996</v>
      </c>
      <c r="K8" s="11">
        <f t="shared" si="0"/>
        <v>3959.7000000000007</v>
      </c>
      <c r="L8" s="11">
        <f t="shared" si="0"/>
        <v>4517.8999999999996</v>
      </c>
      <c r="M8" s="11">
        <f t="shared" si="0"/>
        <v>5103.5</v>
      </c>
      <c r="N8" s="11">
        <f t="shared" si="0"/>
        <v>5917.5999999999995</v>
      </c>
      <c r="O8" s="11">
        <f t="shared" si="0"/>
        <v>6700.4</v>
      </c>
      <c r="P8" s="11">
        <f t="shared" si="0"/>
        <v>6347.7</v>
      </c>
      <c r="Q8" s="11">
        <f t="shared" si="0"/>
        <v>5905.3</v>
      </c>
      <c r="R8" s="9"/>
      <c r="S8" s="9"/>
      <c r="T8" s="9"/>
    </row>
    <row r="9" spans="1:20">
      <c r="A9" s="114"/>
      <c r="C9" s="9"/>
      <c r="D9" s="9"/>
      <c r="E9" s="9"/>
      <c r="F9" s="10"/>
      <c r="G9" s="9"/>
      <c r="H9" s="9"/>
      <c r="I9" s="9"/>
      <c r="J9" s="9"/>
      <c r="K9" s="9"/>
      <c r="L9" s="9"/>
      <c r="O9" s="9"/>
      <c r="P9" s="9"/>
      <c r="Q9" s="9"/>
      <c r="R9" s="9"/>
      <c r="S9" s="9"/>
      <c r="T9" s="9"/>
    </row>
    <row r="10" spans="1:20">
      <c r="A10" s="114" t="s">
        <v>140</v>
      </c>
      <c r="C10" s="9"/>
      <c r="D10" s="9"/>
      <c r="E10" s="9"/>
      <c r="F10" s="10"/>
      <c r="G10" s="106">
        <v>-676</v>
      </c>
      <c r="H10" s="106">
        <v>-822</v>
      </c>
      <c r="I10" s="106">
        <v>-802</v>
      </c>
      <c r="J10" s="106">
        <v>-555</v>
      </c>
      <c r="K10" s="106">
        <v>-356</v>
      </c>
      <c r="L10" s="106">
        <v>-360</v>
      </c>
      <c r="M10" s="106">
        <v>-359</v>
      </c>
      <c r="N10" s="106">
        <v>-320</v>
      </c>
      <c r="O10" s="106">
        <v>-327</v>
      </c>
      <c r="P10" s="106">
        <v>-334</v>
      </c>
      <c r="Q10" s="106">
        <v>-200</v>
      </c>
      <c r="R10" s="9"/>
      <c r="S10" s="9"/>
      <c r="T10" s="9"/>
    </row>
    <row r="11" spans="1:20">
      <c r="A11" s="115" t="s">
        <v>141</v>
      </c>
      <c r="C11" s="107">
        <v>-1112.136</v>
      </c>
      <c r="D11" s="107">
        <v>-931.47699999999998</v>
      </c>
      <c r="E11" s="107">
        <v>-2237.4740000000002</v>
      </c>
      <c r="F11" s="107">
        <v>-658.73599999999999</v>
      </c>
      <c r="G11" s="107">
        <f>G10</f>
        <v>-676</v>
      </c>
      <c r="H11" s="107">
        <f t="shared" ref="H11:Q11" si="1">H10</f>
        <v>-822</v>
      </c>
      <c r="I11" s="107">
        <f t="shared" si="1"/>
        <v>-802</v>
      </c>
      <c r="J11" s="107">
        <f t="shared" si="1"/>
        <v>-555</v>
      </c>
      <c r="K11" s="107">
        <f t="shared" si="1"/>
        <v>-356</v>
      </c>
      <c r="L11" s="107">
        <f t="shared" si="1"/>
        <v>-360</v>
      </c>
      <c r="M11" s="107">
        <f t="shared" si="1"/>
        <v>-359</v>
      </c>
      <c r="N11" s="107">
        <f t="shared" si="1"/>
        <v>-320</v>
      </c>
      <c r="O11" s="107">
        <f t="shared" si="1"/>
        <v>-327</v>
      </c>
      <c r="P11" s="107">
        <f t="shared" si="1"/>
        <v>-334</v>
      </c>
      <c r="Q11" s="107">
        <f t="shared" si="1"/>
        <v>-200</v>
      </c>
      <c r="R11" s="9"/>
      <c r="S11" s="9"/>
      <c r="T11" s="9"/>
    </row>
    <row r="12" spans="1:20">
      <c r="A12" s="114"/>
      <c r="C12" s="9"/>
      <c r="D12" s="9"/>
      <c r="E12" s="9"/>
      <c r="F12" s="10"/>
      <c r="G12" s="9"/>
      <c r="H12" s="9"/>
      <c r="I12" s="9"/>
      <c r="J12" s="9"/>
      <c r="K12" s="9"/>
      <c r="L12" s="9"/>
      <c r="O12" s="9"/>
      <c r="P12" s="9"/>
      <c r="Q12" s="9"/>
      <c r="R12" s="9"/>
      <c r="S12" s="9"/>
      <c r="T12" s="9"/>
    </row>
    <row r="13" spans="1:20">
      <c r="A13" s="114"/>
      <c r="C13" s="9"/>
      <c r="D13" s="9"/>
      <c r="E13" s="9"/>
      <c r="F13" s="10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9"/>
      <c r="S13" s="9"/>
      <c r="T13" s="9"/>
    </row>
    <row r="14" spans="1:20">
      <c r="A14" s="114" t="s">
        <v>148</v>
      </c>
      <c r="C14" s="9"/>
      <c r="D14" s="9"/>
      <c r="E14" s="9"/>
      <c r="F14" s="10"/>
      <c r="G14" s="106">
        <v>271</v>
      </c>
      <c r="H14" s="106">
        <v>329</v>
      </c>
      <c r="I14" s="106">
        <v>321</v>
      </c>
      <c r="J14" s="106">
        <v>222</v>
      </c>
      <c r="K14" s="106">
        <v>143</v>
      </c>
      <c r="L14" s="106">
        <v>144</v>
      </c>
      <c r="M14" s="106">
        <v>143</v>
      </c>
      <c r="N14" s="106">
        <v>128</v>
      </c>
      <c r="O14" s="106">
        <v>131</v>
      </c>
      <c r="P14" s="106">
        <v>133</v>
      </c>
      <c r="Q14" s="106">
        <v>80</v>
      </c>
      <c r="R14" s="9"/>
      <c r="S14" s="9"/>
      <c r="T14" s="9"/>
    </row>
    <row r="15" spans="1:20">
      <c r="A15" s="114" t="s">
        <v>142</v>
      </c>
      <c r="C15" s="9"/>
      <c r="D15" s="9"/>
      <c r="E15" s="9"/>
      <c r="F15" s="10"/>
      <c r="G15" s="106">
        <v>-71</v>
      </c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9"/>
      <c r="S15" s="9"/>
      <c r="T15" s="9"/>
    </row>
    <row r="16" spans="1:20">
      <c r="A16" s="114" t="s">
        <v>179</v>
      </c>
      <c r="C16" s="112">
        <v>-604.65300000000002</v>
      </c>
      <c r="D16" s="112">
        <v>-603.38499999999999</v>
      </c>
      <c r="E16" s="112">
        <v>-851.89800000000002</v>
      </c>
      <c r="F16" s="112">
        <v>-806.76599999999996</v>
      </c>
      <c r="G16" s="106">
        <f>-F31*G43</f>
        <v>-719.49760000000003</v>
      </c>
      <c r="H16" s="106">
        <f t="shared" ref="H16:Q16" si="2">-G31*H43</f>
        <v>-1030.1600000000001</v>
      </c>
      <c r="I16" s="106">
        <f t="shared" si="2"/>
        <v>-1163.82</v>
      </c>
      <c r="J16" s="106">
        <f t="shared" si="2"/>
        <v>-1473.71</v>
      </c>
      <c r="K16" s="106">
        <f t="shared" si="2"/>
        <v>-1782.55</v>
      </c>
      <c r="L16" s="106">
        <f t="shared" si="2"/>
        <v>-2102.0299999999997</v>
      </c>
      <c r="M16" s="106">
        <f t="shared" si="2"/>
        <v>-2435.2999999999997</v>
      </c>
      <c r="N16" s="106">
        <f t="shared" si="2"/>
        <v>-2781.5899999999997</v>
      </c>
      <c r="O16" s="106">
        <f t="shared" si="2"/>
        <v>-3291.82</v>
      </c>
      <c r="P16" s="106">
        <f t="shared" si="2"/>
        <v>-3756.8299999999995</v>
      </c>
      <c r="Q16" s="106">
        <f t="shared" si="2"/>
        <v>-3643.7799999999993</v>
      </c>
      <c r="R16" s="9"/>
      <c r="S16" s="9"/>
      <c r="T16" s="9"/>
    </row>
    <row r="17" spans="1:20">
      <c r="A17" s="115" t="s">
        <v>147</v>
      </c>
      <c r="C17" s="107">
        <v>678.93799999999999</v>
      </c>
      <c r="D17" s="107">
        <v>1611.056</v>
      </c>
      <c r="E17" s="107">
        <v>-62.067</v>
      </c>
      <c r="F17" s="107">
        <v>-1646.8689999999999</v>
      </c>
      <c r="G17" s="107">
        <f>SUM(G14:G16)</f>
        <v>-519.49760000000003</v>
      </c>
      <c r="H17" s="107">
        <f t="shared" ref="H17:Q17" si="3">SUM(H14:H16)</f>
        <v>-701.16000000000008</v>
      </c>
      <c r="I17" s="107">
        <f t="shared" si="3"/>
        <v>-842.81999999999994</v>
      </c>
      <c r="J17" s="107">
        <f t="shared" si="3"/>
        <v>-1251.71</v>
      </c>
      <c r="K17" s="107">
        <f t="shared" si="3"/>
        <v>-1639.55</v>
      </c>
      <c r="L17" s="107">
        <f t="shared" si="3"/>
        <v>-1958.0299999999997</v>
      </c>
      <c r="M17" s="107">
        <f t="shared" si="3"/>
        <v>-2292.2999999999997</v>
      </c>
      <c r="N17" s="107">
        <f t="shared" si="3"/>
        <v>-2653.5899999999997</v>
      </c>
      <c r="O17" s="107">
        <f t="shared" si="3"/>
        <v>-3160.82</v>
      </c>
      <c r="P17" s="107">
        <f t="shared" si="3"/>
        <v>-3623.8299999999995</v>
      </c>
      <c r="Q17" s="107">
        <f t="shared" si="3"/>
        <v>-3563.7799999999993</v>
      </c>
      <c r="R17" s="9"/>
      <c r="S17" s="9"/>
      <c r="T17" s="9"/>
    </row>
    <row r="18" spans="1:20">
      <c r="A18" s="114"/>
      <c r="C18" s="9"/>
      <c r="D18" s="9"/>
      <c r="E18" s="9"/>
      <c r="F18" s="10"/>
      <c r="G18" s="9"/>
      <c r="H18" s="9"/>
      <c r="I18" s="9"/>
      <c r="J18" s="9"/>
      <c r="K18" s="9"/>
      <c r="L18" s="9"/>
      <c r="O18" s="9"/>
      <c r="P18" s="9"/>
      <c r="Q18" s="9"/>
      <c r="R18" s="9"/>
      <c r="S18" s="9"/>
      <c r="T18" s="9"/>
    </row>
    <row r="19" spans="1:20">
      <c r="A19" s="110" t="s">
        <v>163</v>
      </c>
      <c r="B19" s="13"/>
      <c r="C19" s="123">
        <f>C8+C11+C17</f>
        <v>257.50300000000004</v>
      </c>
      <c r="D19" s="123">
        <f>D8+D11+D17</f>
        <v>1083.2740000000001</v>
      </c>
      <c r="E19" s="123">
        <f>E8+E11+E17</f>
        <v>-942.47600000000011</v>
      </c>
      <c r="F19" s="123">
        <f>F8+F11+F17</f>
        <v>-415.33799999999997</v>
      </c>
      <c r="G19" s="123">
        <f t="shared" ref="G19:Q19" si="4">G8+G11+G17</f>
        <v>956.60239999999988</v>
      </c>
      <c r="H19" s="123">
        <f t="shared" si="4"/>
        <v>1046.8399999999999</v>
      </c>
      <c r="I19" s="123">
        <f t="shared" si="4"/>
        <v>1358.4799999999993</v>
      </c>
      <c r="J19" s="123">
        <f t="shared" si="4"/>
        <v>1645.6899999999996</v>
      </c>
      <c r="K19" s="123">
        <f t="shared" si="4"/>
        <v>1964.1500000000008</v>
      </c>
      <c r="L19" s="123">
        <f t="shared" si="4"/>
        <v>2199.87</v>
      </c>
      <c r="M19" s="123">
        <f t="shared" si="4"/>
        <v>2452.2000000000003</v>
      </c>
      <c r="N19" s="123">
        <f t="shared" si="4"/>
        <v>2944.0099999999998</v>
      </c>
      <c r="O19" s="123">
        <f t="shared" si="4"/>
        <v>3212.5799999999995</v>
      </c>
      <c r="P19" s="123">
        <f t="shared" si="4"/>
        <v>2389.8700000000003</v>
      </c>
      <c r="Q19" s="123">
        <f t="shared" si="4"/>
        <v>2141.5200000000009</v>
      </c>
      <c r="R19" s="9"/>
      <c r="S19" s="9"/>
      <c r="T19" s="9"/>
    </row>
    <row r="20" spans="1:20">
      <c r="A20" s="118" t="s">
        <v>169</v>
      </c>
      <c r="B20" s="120"/>
      <c r="C20" s="120"/>
      <c r="D20" s="121">
        <f>C21</f>
        <v>1038</v>
      </c>
      <c r="E20" s="121">
        <f>D21</f>
        <v>2121.2740000000003</v>
      </c>
      <c r="F20" s="121">
        <f>E21</f>
        <v>1178.7980000000002</v>
      </c>
      <c r="G20" s="121">
        <f>F21</f>
        <v>763.46000000000026</v>
      </c>
      <c r="H20" s="121">
        <f t="shared" ref="H20:Q20" si="5">G21</f>
        <v>1720.0624000000003</v>
      </c>
      <c r="I20" s="121">
        <f t="shared" si="5"/>
        <v>2766.9023999999999</v>
      </c>
      <c r="J20" s="121">
        <f t="shared" si="5"/>
        <v>4125.3823999999995</v>
      </c>
      <c r="K20" s="121">
        <f t="shared" si="5"/>
        <v>5771.0723999999991</v>
      </c>
      <c r="L20" s="121">
        <f t="shared" si="5"/>
        <v>7735.2223999999997</v>
      </c>
      <c r="M20" s="121">
        <f t="shared" si="5"/>
        <v>9935.0923999999995</v>
      </c>
      <c r="N20" s="121">
        <f t="shared" si="5"/>
        <v>12387.2924</v>
      </c>
      <c r="O20" s="121">
        <f t="shared" si="5"/>
        <v>15331.3024</v>
      </c>
      <c r="P20" s="121">
        <f t="shared" si="5"/>
        <v>18543.882399999999</v>
      </c>
      <c r="Q20" s="121">
        <f t="shared" si="5"/>
        <v>20933.752399999998</v>
      </c>
      <c r="R20" s="9"/>
      <c r="S20" s="9"/>
      <c r="T20" s="9"/>
    </row>
    <row r="21" spans="1:20">
      <c r="A21" s="117" t="s">
        <v>170</v>
      </c>
      <c r="B21" s="119"/>
      <c r="C21" s="122">
        <f>C34</f>
        <v>1038</v>
      </c>
      <c r="D21" s="122">
        <f>D19+D20</f>
        <v>2121.2740000000003</v>
      </c>
      <c r="E21" s="122">
        <f>E19+E20</f>
        <v>1178.7980000000002</v>
      </c>
      <c r="F21" s="122">
        <f>F20+F19</f>
        <v>763.46000000000026</v>
      </c>
      <c r="G21" s="122">
        <f t="shared" ref="G21:Q21" si="6">G20+G19</f>
        <v>1720.0624000000003</v>
      </c>
      <c r="H21" s="122">
        <f t="shared" si="6"/>
        <v>2766.9023999999999</v>
      </c>
      <c r="I21" s="122">
        <f t="shared" si="6"/>
        <v>4125.3823999999995</v>
      </c>
      <c r="J21" s="122">
        <f t="shared" si="6"/>
        <v>5771.0723999999991</v>
      </c>
      <c r="K21" s="122">
        <f t="shared" si="6"/>
        <v>7735.2223999999997</v>
      </c>
      <c r="L21" s="122">
        <f t="shared" si="6"/>
        <v>9935.0923999999995</v>
      </c>
      <c r="M21" s="122">
        <f t="shared" si="6"/>
        <v>12387.2924</v>
      </c>
      <c r="N21" s="122">
        <f t="shared" si="6"/>
        <v>15331.3024</v>
      </c>
      <c r="O21" s="122">
        <f t="shared" si="6"/>
        <v>18543.882399999999</v>
      </c>
      <c r="P21" s="122">
        <f t="shared" si="6"/>
        <v>20933.752399999998</v>
      </c>
      <c r="Q21" s="122">
        <f t="shared" si="6"/>
        <v>23075.272399999998</v>
      </c>
      <c r="R21" s="9"/>
      <c r="S21" s="9"/>
      <c r="T21" s="9"/>
    </row>
    <row r="22" spans="1:20">
      <c r="A22" s="116"/>
      <c r="B22" s="19"/>
      <c r="C22" s="31"/>
      <c r="D22" s="31"/>
      <c r="E22" s="31"/>
      <c r="F22" s="16"/>
      <c r="G22" s="31"/>
      <c r="H22" s="31"/>
      <c r="I22" s="31"/>
      <c r="J22" s="31"/>
      <c r="K22" s="31"/>
      <c r="L22" s="31"/>
      <c r="M22" s="19"/>
      <c r="N22" s="19"/>
      <c r="O22" s="31"/>
      <c r="P22" s="16"/>
      <c r="Q22" s="31"/>
      <c r="R22" s="9"/>
      <c r="S22" s="9"/>
      <c r="T22" s="9"/>
    </row>
    <row r="23" spans="1:20">
      <c r="A23" s="23" t="s">
        <v>172</v>
      </c>
      <c r="B23" s="23"/>
      <c r="C23" s="24">
        <f>C3</f>
        <v>2008</v>
      </c>
      <c r="D23" s="24">
        <f t="shared" ref="D23:Q23" si="7">D3</f>
        <v>2009</v>
      </c>
      <c r="E23" s="24">
        <f t="shared" si="7"/>
        <v>2010</v>
      </c>
      <c r="F23" s="24">
        <f t="shared" si="7"/>
        <v>2011</v>
      </c>
      <c r="G23" s="24" t="str">
        <f t="shared" si="7"/>
        <v>2012E</v>
      </c>
      <c r="H23" s="24" t="str">
        <f t="shared" si="7"/>
        <v>2013E</v>
      </c>
      <c r="I23" s="24" t="str">
        <f t="shared" si="7"/>
        <v>2014E</v>
      </c>
      <c r="J23" s="24" t="str">
        <f t="shared" si="7"/>
        <v>2015E</v>
      </c>
      <c r="K23" s="24" t="str">
        <f t="shared" si="7"/>
        <v>2016E</v>
      </c>
      <c r="L23" s="24" t="str">
        <f t="shared" si="7"/>
        <v>2017E</v>
      </c>
      <c r="M23" s="24" t="str">
        <f t="shared" si="7"/>
        <v>2018E</v>
      </c>
      <c r="N23" s="24" t="str">
        <f t="shared" si="7"/>
        <v>2019E</v>
      </c>
      <c r="O23" s="24" t="str">
        <f t="shared" si="7"/>
        <v>2020E</v>
      </c>
      <c r="P23" s="24" t="str">
        <f t="shared" si="7"/>
        <v>2021E</v>
      </c>
      <c r="Q23" s="24" t="str">
        <f t="shared" si="7"/>
        <v>2022E</v>
      </c>
      <c r="R23" s="9"/>
      <c r="S23" s="9"/>
      <c r="T23" s="9"/>
    </row>
    <row r="24" spans="1:20" hidden="1">
      <c r="C24" s="9"/>
      <c r="D24" s="9"/>
      <c r="E24" s="9"/>
      <c r="F24" s="10"/>
      <c r="G24" s="9"/>
      <c r="H24" s="9"/>
      <c r="I24" s="9"/>
      <c r="J24" s="9"/>
      <c r="K24" s="9"/>
      <c r="L24" s="9"/>
      <c r="O24" s="9"/>
      <c r="P24" s="9"/>
      <c r="Q24" s="9"/>
      <c r="R24" s="9"/>
      <c r="S24" s="9"/>
      <c r="T24" s="9"/>
    </row>
    <row r="25" spans="1:20">
      <c r="A25" s="2" t="s">
        <v>26</v>
      </c>
      <c r="C25" s="112">
        <v>2832.1219999999998</v>
      </c>
      <c r="D25" s="112">
        <v>4108.4050069048753</v>
      </c>
      <c r="E25" s="112">
        <v>5043.7052031915237</v>
      </c>
      <c r="F25" s="112">
        <v>5599.285476171649</v>
      </c>
      <c r="G25" s="112">
        <v>6186.9627990704257</v>
      </c>
      <c r="H25" s="112">
        <v>6961.3516278847055</v>
      </c>
      <c r="I25" s="112">
        <v>7702.1485615578777</v>
      </c>
      <c r="J25" s="112">
        <v>8264.8300126067297</v>
      </c>
      <c r="K25" s="112">
        <v>8958.2001482510714</v>
      </c>
      <c r="L25" s="112">
        <v>9872.6284112964222</v>
      </c>
      <c r="M25" s="112">
        <v>10883.259167639353</v>
      </c>
      <c r="N25" s="112">
        <v>11766.425694842315</v>
      </c>
      <c r="O25" s="112">
        <v>12985.458058620681</v>
      </c>
      <c r="P25" s="112">
        <v>11759.031333596393</v>
      </c>
      <c r="Q25" s="112">
        <v>10604.534107826212</v>
      </c>
      <c r="R25" s="9"/>
      <c r="S25" s="9"/>
      <c r="T25" s="9"/>
    </row>
    <row r="26" spans="1:20">
      <c r="A26" s="2" t="s">
        <v>28</v>
      </c>
      <c r="C26" s="112">
        <v>2614.7599999999998</v>
      </c>
      <c r="D26" s="112">
        <v>3810.4120069048754</v>
      </c>
      <c r="E26" s="112">
        <v>4657.4452031915234</v>
      </c>
      <c r="F26" s="112">
        <v>5134.2948596403985</v>
      </c>
      <c r="G26" s="112">
        <v>5673.1687339814907</v>
      </c>
      <c r="H26" s="112">
        <v>6383.2487254489988</v>
      </c>
      <c r="I26" s="112">
        <v>7062.5264484337622</v>
      </c>
      <c r="J26" s="112">
        <v>7578.4802239698465</v>
      </c>
      <c r="K26" s="112">
        <v>8214.2696900395295</v>
      </c>
      <c r="L26" s="112">
        <v>9052.75959208926</v>
      </c>
      <c r="M26" s="112">
        <v>9979.4628865306331</v>
      </c>
      <c r="N26" s="112">
        <v>10789.287172168759</v>
      </c>
      <c r="O26" s="112">
        <v>11907.085438700771</v>
      </c>
      <c r="P26" s="112">
        <v>10782.506872950791</v>
      </c>
      <c r="Q26" s="112">
        <v>9723.8844474705802</v>
      </c>
      <c r="R26" s="9"/>
      <c r="S26" s="9"/>
      <c r="T26" s="9"/>
    </row>
    <row r="27" spans="1:20" ht="6" customHeight="1"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9"/>
      <c r="S27" s="9"/>
      <c r="T27" s="9"/>
    </row>
    <row r="28" spans="1:20">
      <c r="A28" s="2" t="s">
        <v>31</v>
      </c>
      <c r="C28" s="112">
        <v>1600.7158181533769</v>
      </c>
      <c r="D28" s="112">
        <v>2104.14590455602</v>
      </c>
      <c r="E28" s="112">
        <v>2260.3201332875155</v>
      </c>
      <c r="F28" s="112">
        <v>2930.7325812054005</v>
      </c>
      <c r="G28" s="112">
        <v>3416.5245903844034</v>
      </c>
      <c r="H28" s="112">
        <v>3975.5338220720328</v>
      </c>
      <c r="I28" s="112">
        <v>4459.4876219897415</v>
      </c>
      <c r="J28" s="112">
        <v>5035.391864000856</v>
      </c>
      <c r="K28" s="112">
        <v>5592.1349390804216</v>
      </c>
      <c r="L28" s="112">
        <v>6272.9874575631002</v>
      </c>
      <c r="M28" s="112">
        <v>6972.9373748767021</v>
      </c>
      <c r="N28" s="112">
        <v>8010.4389784524574</v>
      </c>
      <c r="O28" s="112">
        <v>8891.1324881775272</v>
      </c>
      <c r="P28" s="112">
        <v>8198.5890745722754</v>
      </c>
      <c r="Q28" s="112">
        <v>7470.220181558595</v>
      </c>
      <c r="R28" s="9"/>
      <c r="S28" s="9"/>
      <c r="T28" s="9"/>
    </row>
    <row r="29" spans="1:20">
      <c r="A29" s="2" t="s">
        <v>177</v>
      </c>
      <c r="C29" s="32">
        <v>0.61218460514669681</v>
      </c>
      <c r="D29" s="32">
        <v>0.68269957390321245</v>
      </c>
      <c r="E29" s="32">
        <v>0.59859500057387116</v>
      </c>
      <c r="F29" s="32">
        <v>0.6402375166597154</v>
      </c>
      <c r="G29" s="32">
        <v>0.66052801482102197</v>
      </c>
      <c r="H29" s="32">
        <v>0.67582450286710838</v>
      </c>
      <c r="I29" s="32">
        <v>0.68267408396271345</v>
      </c>
      <c r="J29" s="32">
        <v>0.69296391269864754</v>
      </c>
      <c r="K29" s="32">
        <v>0.70293438423380394</v>
      </c>
      <c r="L29" s="32">
        <v>0.71329686435880657</v>
      </c>
      <c r="M29" s="32">
        <v>0.71722783889263697</v>
      </c>
      <c r="N29" s="32">
        <v>0.76097864185633124</v>
      </c>
      <c r="O29" s="32">
        <v>0.76391354425225222</v>
      </c>
      <c r="P29" s="32">
        <v>0.78014815183470754</v>
      </c>
      <c r="Q29" s="32">
        <v>0.78076224113079107</v>
      </c>
      <c r="R29" s="9"/>
      <c r="S29" s="9"/>
      <c r="T29" s="9"/>
    </row>
    <row r="30" spans="1:20" ht="5.25" customHeight="1">
      <c r="C30" s="9"/>
      <c r="D30" s="9"/>
      <c r="E30" s="9"/>
      <c r="F30" s="10"/>
      <c r="G30" s="9"/>
      <c r="H30" s="9"/>
      <c r="I30" s="9"/>
      <c r="J30" s="9"/>
      <c r="K30" s="9"/>
      <c r="L30" s="9"/>
      <c r="O30" s="9"/>
      <c r="P30" s="9"/>
      <c r="Q30" s="9"/>
      <c r="R30" s="9"/>
      <c r="S30" s="9"/>
      <c r="T30" s="9"/>
    </row>
    <row r="31" spans="1:20">
      <c r="A31" s="2" t="s">
        <v>33</v>
      </c>
      <c r="C31" s="9">
        <v>594.1</v>
      </c>
      <c r="D31" s="9">
        <v>708.74099999999999</v>
      </c>
      <c r="E31" s="9">
        <v>671.72199999999998</v>
      </c>
      <c r="F31" s="10">
        <v>899.37199999999996</v>
      </c>
      <c r="G31" s="9">
        <v>1287.7</v>
      </c>
      <c r="H31" s="9">
        <v>1662.6</v>
      </c>
      <c r="I31" s="9">
        <v>2105.3000000000002</v>
      </c>
      <c r="J31" s="9">
        <v>2546.5</v>
      </c>
      <c r="K31" s="9">
        <v>3002.9</v>
      </c>
      <c r="L31" s="9">
        <v>3479</v>
      </c>
      <c r="M31" s="9">
        <v>3973.7</v>
      </c>
      <c r="N31" s="9">
        <v>4702.6000000000004</v>
      </c>
      <c r="O31" s="9">
        <v>5366.9</v>
      </c>
      <c r="P31" s="9">
        <v>5205.3999999999996</v>
      </c>
      <c r="Q31" s="9">
        <v>4942.8</v>
      </c>
      <c r="R31" s="9"/>
      <c r="S31" s="9"/>
      <c r="T31" s="9"/>
    </row>
    <row r="32" spans="1:20">
      <c r="C32" s="9"/>
      <c r="D32" s="9"/>
      <c r="E32" s="9"/>
      <c r="F32" s="10"/>
      <c r="G32" s="9"/>
      <c r="H32" s="9"/>
      <c r="I32" s="9"/>
      <c r="J32" s="9"/>
      <c r="K32" s="9"/>
      <c r="L32" s="9"/>
      <c r="O32" s="9"/>
      <c r="P32" s="9"/>
      <c r="Q32" s="9"/>
      <c r="R32" s="9"/>
      <c r="S32" s="9"/>
      <c r="T32" s="9"/>
    </row>
    <row r="33" spans="1:20">
      <c r="A33" s="2" t="s">
        <v>63</v>
      </c>
      <c r="C33" s="9">
        <v>3722</v>
      </c>
      <c r="D33" s="9">
        <v>5035</v>
      </c>
      <c r="E33" s="9">
        <v>6711</v>
      </c>
      <c r="F33" s="10">
        <v>6948</v>
      </c>
      <c r="G33" s="9">
        <v>7248</v>
      </c>
      <c r="H33" s="9">
        <v>7591</v>
      </c>
      <c r="I33" s="9">
        <v>7936</v>
      </c>
      <c r="J33" s="9">
        <v>8181</v>
      </c>
      <c r="K33" s="9">
        <v>8346</v>
      </c>
      <c r="L33" s="9">
        <v>8510</v>
      </c>
      <c r="M33" s="9">
        <v>8675</v>
      </c>
      <c r="N33" s="9">
        <v>8824</v>
      </c>
      <c r="O33" s="9">
        <v>8976</v>
      </c>
      <c r="P33" s="9">
        <v>9130</v>
      </c>
      <c r="Q33" s="9">
        <v>9231</v>
      </c>
      <c r="R33" s="9"/>
      <c r="S33" s="9"/>
      <c r="T33" s="9"/>
    </row>
    <row r="34" spans="1:20">
      <c r="A34" s="2" t="s">
        <v>15</v>
      </c>
      <c r="C34" s="9">
        <v>1038</v>
      </c>
      <c r="D34" s="9">
        <v>2121</v>
      </c>
      <c r="E34" s="9">
        <v>1179</v>
      </c>
      <c r="F34" s="10">
        <v>763</v>
      </c>
      <c r="G34" s="9">
        <v>1746</v>
      </c>
      <c r="H34" s="9">
        <v>3862</v>
      </c>
      <c r="I34" s="9">
        <v>5488</v>
      </c>
      <c r="J34" s="9">
        <v>7493</v>
      </c>
      <c r="K34" s="9">
        <v>9705</v>
      </c>
      <c r="L34" s="9">
        <v>12218</v>
      </c>
      <c r="M34" s="9">
        <v>14912</v>
      </c>
      <c r="N34" s="9">
        <v>18450</v>
      </c>
      <c r="O34" s="9">
        <v>21818</v>
      </c>
      <c r="P34" s="9">
        <v>22876</v>
      </c>
      <c r="Q34" s="9">
        <v>24889</v>
      </c>
      <c r="R34" s="9"/>
      <c r="S34" s="9"/>
      <c r="T34" s="9"/>
    </row>
    <row r="35" spans="1:20" ht="12" customHeight="1">
      <c r="A35" s="2" t="s">
        <v>64</v>
      </c>
      <c r="C35" s="9">
        <f>C33-C34</f>
        <v>2684</v>
      </c>
      <c r="D35" s="9">
        <f t="shared" ref="D35:Q35" si="8">D33-D34</f>
        <v>2914</v>
      </c>
      <c r="E35" s="9">
        <f t="shared" si="8"/>
        <v>5532</v>
      </c>
      <c r="F35" s="9">
        <f t="shared" si="8"/>
        <v>6185</v>
      </c>
      <c r="G35" s="9">
        <f t="shared" si="8"/>
        <v>5502</v>
      </c>
      <c r="H35" s="9">
        <f t="shared" si="8"/>
        <v>3729</v>
      </c>
      <c r="I35" s="9">
        <f t="shared" si="8"/>
        <v>2448</v>
      </c>
      <c r="J35" s="9">
        <f t="shared" si="8"/>
        <v>688</v>
      </c>
      <c r="K35" s="9">
        <f t="shared" si="8"/>
        <v>-1359</v>
      </c>
      <c r="L35" s="9">
        <f t="shared" si="8"/>
        <v>-3708</v>
      </c>
      <c r="M35" s="9">
        <f t="shared" si="8"/>
        <v>-6237</v>
      </c>
      <c r="N35" s="9">
        <f t="shared" si="8"/>
        <v>-9626</v>
      </c>
      <c r="O35" s="9">
        <f t="shared" si="8"/>
        <v>-12842</v>
      </c>
      <c r="P35" s="9">
        <f t="shared" si="8"/>
        <v>-13746</v>
      </c>
      <c r="Q35" s="9">
        <f t="shared" si="8"/>
        <v>-15658</v>
      </c>
      <c r="R35" s="9"/>
      <c r="S35" s="9"/>
      <c r="T35" s="9"/>
    </row>
    <row r="36" spans="1:20" ht="12" customHeight="1"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ht="12" customHeight="1">
      <c r="A37" s="2" t="s">
        <v>24</v>
      </c>
      <c r="C37" s="9">
        <v>1579</v>
      </c>
      <c r="D37" s="9">
        <v>2890</v>
      </c>
      <c r="E37" s="9">
        <v>3109</v>
      </c>
      <c r="F37" s="10">
        <v>3205</v>
      </c>
      <c r="G37" s="9">
        <v>3729</v>
      </c>
      <c r="H37" s="9">
        <v>4362</v>
      </c>
      <c r="I37" s="9">
        <v>5303</v>
      </c>
      <c r="J37" s="9">
        <v>6376</v>
      </c>
      <c r="K37" s="9">
        <v>7596</v>
      </c>
      <c r="L37" s="9">
        <v>8973</v>
      </c>
      <c r="M37" s="9">
        <v>10512</v>
      </c>
      <c r="N37" s="9">
        <v>12433</v>
      </c>
      <c r="O37" s="9">
        <v>14508</v>
      </c>
      <c r="P37" s="9">
        <v>15956</v>
      </c>
      <c r="Q37" s="9">
        <v>17255</v>
      </c>
      <c r="R37" s="9"/>
      <c r="S37" s="9"/>
      <c r="T37" s="9"/>
    </row>
    <row r="38" spans="1:20" ht="12" customHeight="1"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2" customHeight="1">
      <c r="A39" s="2" t="s">
        <v>173</v>
      </c>
      <c r="C39" s="35">
        <f>C35/C28</f>
        <v>1.6767498450139171</v>
      </c>
      <c r="D39" s="35">
        <f t="shared" ref="D39:Q39" si="9">D35/D28</f>
        <v>1.3848849519847632</v>
      </c>
      <c r="E39" s="35">
        <f t="shared" si="9"/>
        <v>2.4474409259691901</v>
      </c>
      <c r="F39" s="35">
        <f t="shared" si="9"/>
        <v>2.1103938447554058</v>
      </c>
      <c r="G39" s="35">
        <f t="shared" si="9"/>
        <v>1.6104084295149046</v>
      </c>
      <c r="H39" s="35">
        <f t="shared" si="9"/>
        <v>0.93798724068116712</v>
      </c>
      <c r="I39" s="35">
        <f t="shared" si="9"/>
        <v>0.54894198784831416</v>
      </c>
      <c r="J39" s="35">
        <f t="shared" si="9"/>
        <v>0.13663286166835714</v>
      </c>
      <c r="K39" s="35">
        <f t="shared" si="9"/>
        <v>-0.24301988682402501</v>
      </c>
      <c r="L39" s="35">
        <f t="shared" si="9"/>
        <v>-0.59110591645283883</v>
      </c>
      <c r="M39" s="35">
        <f t="shared" si="9"/>
        <v>-0.89445805471761963</v>
      </c>
      <c r="N39" s="35">
        <f t="shared" si="9"/>
        <v>-1.2016819584910756</v>
      </c>
      <c r="O39" s="35">
        <f t="shared" si="9"/>
        <v>-1.4443604363196603</v>
      </c>
      <c r="P39" s="35">
        <f t="shared" si="9"/>
        <v>-1.6766299511989062</v>
      </c>
      <c r="Q39" s="35">
        <f t="shared" si="9"/>
        <v>-2.0960560223718998</v>
      </c>
      <c r="R39" s="9"/>
      <c r="S39" s="9"/>
      <c r="T39" s="9"/>
    </row>
    <row r="40" spans="1:20" ht="12" customHeight="1">
      <c r="A40" s="2" t="s">
        <v>174</v>
      </c>
      <c r="C40" s="35">
        <f>C33/C37</f>
        <v>2.3571880937302092</v>
      </c>
      <c r="D40" s="35">
        <f t="shared" ref="D40:Q40" si="10">D33/D37</f>
        <v>1.7422145328719723</v>
      </c>
      <c r="E40" s="35">
        <f t="shared" si="10"/>
        <v>2.1585718880669025</v>
      </c>
      <c r="F40" s="35">
        <f t="shared" si="10"/>
        <v>2.1678627145085803</v>
      </c>
      <c r="G40" s="35">
        <f t="shared" si="10"/>
        <v>1.9436846339501206</v>
      </c>
      <c r="H40" s="35">
        <f t="shared" si="10"/>
        <v>1.7402567629527739</v>
      </c>
      <c r="I40" s="35">
        <f t="shared" si="10"/>
        <v>1.4965114086366207</v>
      </c>
      <c r="J40" s="35">
        <f t="shared" si="10"/>
        <v>1.2830928481806776</v>
      </c>
      <c r="K40" s="35">
        <f t="shared" si="10"/>
        <v>1.0987361769352291</v>
      </c>
      <c r="L40" s="35">
        <f t="shared" si="10"/>
        <v>0.94840075782904265</v>
      </c>
      <c r="M40" s="35">
        <f t="shared" si="10"/>
        <v>0.82524733637747338</v>
      </c>
      <c r="N40" s="35">
        <f t="shared" si="10"/>
        <v>0.70972412129011497</v>
      </c>
      <c r="O40" s="35">
        <f t="shared" si="10"/>
        <v>0.61869313482216703</v>
      </c>
      <c r="P40" s="35">
        <f t="shared" si="10"/>
        <v>0.5721985460015041</v>
      </c>
      <c r="Q40" s="35">
        <f t="shared" si="10"/>
        <v>0.53497536945812807</v>
      </c>
      <c r="R40" s="9"/>
      <c r="S40" s="9"/>
      <c r="T40" s="9"/>
    </row>
    <row r="41" spans="1:20" ht="12" customHeight="1">
      <c r="A41" s="2" t="s">
        <v>176</v>
      </c>
      <c r="C41" s="35">
        <f>C35/C37</f>
        <v>1.6998100063331223</v>
      </c>
      <c r="D41" s="35">
        <f t="shared" ref="D41:Q41" si="11">D35/D37</f>
        <v>1.0083044982698961</v>
      </c>
      <c r="E41" s="35">
        <f t="shared" si="11"/>
        <v>1.779350273399807</v>
      </c>
      <c r="F41" s="35">
        <f t="shared" si="11"/>
        <v>1.9297971918876755</v>
      </c>
      <c r="G41" s="35">
        <f t="shared" si="11"/>
        <v>1.4754625905068384</v>
      </c>
      <c r="H41" s="35">
        <f t="shared" si="11"/>
        <v>0.85488308115543332</v>
      </c>
      <c r="I41" s="35">
        <f t="shared" si="11"/>
        <v>0.46162549500282857</v>
      </c>
      <c r="J41" s="35">
        <f t="shared" si="11"/>
        <v>0.10790464240903387</v>
      </c>
      <c r="K41" s="35">
        <f t="shared" si="11"/>
        <v>-0.17890995260663506</v>
      </c>
      <c r="L41" s="35">
        <f t="shared" si="11"/>
        <v>-0.41323971915747243</v>
      </c>
      <c r="M41" s="35">
        <f t="shared" si="11"/>
        <v>-0.59332191780821919</v>
      </c>
      <c r="N41" s="35">
        <f t="shared" si="11"/>
        <v>-0.77422987211453387</v>
      </c>
      <c r="O41" s="35">
        <f t="shared" si="11"/>
        <v>-0.8851668045216432</v>
      </c>
      <c r="P41" s="35">
        <f t="shared" si="11"/>
        <v>-0.86149410879919774</v>
      </c>
      <c r="Q41" s="35">
        <f t="shared" si="11"/>
        <v>-0.90744711677774559</v>
      </c>
      <c r="R41" s="9"/>
      <c r="S41" s="9"/>
      <c r="T41" s="9"/>
    </row>
    <row r="42" spans="1:20" ht="12" customHeight="1">
      <c r="A42" s="2" t="s">
        <v>175</v>
      </c>
      <c r="C42" s="32">
        <f>(C8+C11)/C33</f>
        <v>-0.11322810317033852</v>
      </c>
      <c r="D42" s="32">
        <f t="shared" ref="D42:Q42" si="12">(D8+D11)/D33</f>
        <v>-0.10482264150943395</v>
      </c>
      <c r="E42" s="32" t="s">
        <v>178</v>
      </c>
      <c r="F42" s="32">
        <f t="shared" si="12"/>
        <v>0.17724971214738053</v>
      </c>
      <c r="G42" s="32">
        <f t="shared" si="12"/>
        <v>0.20365618101545252</v>
      </c>
      <c r="H42" s="32">
        <f t="shared" si="12"/>
        <v>0.23027269134501382</v>
      </c>
      <c r="I42" s="32">
        <f t="shared" si="12"/>
        <v>0.27738155241935475</v>
      </c>
      <c r="J42" s="32">
        <f t="shared" si="12"/>
        <v>0.3541620828749541</v>
      </c>
      <c r="K42" s="32">
        <f t="shared" si="12"/>
        <v>0.43178768272226226</v>
      </c>
      <c r="L42" s="32">
        <f t="shared" si="12"/>
        <v>0.48858989424206811</v>
      </c>
      <c r="M42" s="32">
        <f t="shared" si="12"/>
        <v>0.54691642651296835</v>
      </c>
      <c r="N42" s="32">
        <f t="shared" si="12"/>
        <v>0.63436083408884858</v>
      </c>
      <c r="O42" s="32">
        <f t="shared" si="12"/>
        <v>0.71004901960784306</v>
      </c>
      <c r="P42" s="32">
        <f t="shared" si="12"/>
        <v>0.6586746987951807</v>
      </c>
      <c r="Q42" s="32">
        <f t="shared" si="12"/>
        <v>0.61805871519878675</v>
      </c>
      <c r="R42" s="9"/>
      <c r="S42" s="9"/>
      <c r="T42" s="9"/>
    </row>
    <row r="43" spans="1:20" ht="12" customHeight="1">
      <c r="A43" s="2" t="s">
        <v>180</v>
      </c>
      <c r="C43" s="32">
        <f>ABS(C16/C31)</f>
        <v>1.017763002861471</v>
      </c>
      <c r="D43" s="32">
        <f t="shared" ref="D43:E43" si="13">ABS(D16/D31)</f>
        <v>0.8513476714342757</v>
      </c>
      <c r="E43" s="32">
        <f t="shared" si="13"/>
        <v>1.2682300118203662</v>
      </c>
      <c r="F43" s="32">
        <f>ABS(F16/E31)</f>
        <v>1.2010415022881489</v>
      </c>
      <c r="G43" s="108">
        <v>0.8</v>
      </c>
      <c r="H43" s="108">
        <v>0.8</v>
      </c>
      <c r="I43" s="108">
        <v>0.7</v>
      </c>
      <c r="J43" s="108">
        <v>0.7</v>
      </c>
      <c r="K43" s="108">
        <v>0.7</v>
      </c>
      <c r="L43" s="108">
        <v>0.7</v>
      </c>
      <c r="M43" s="108">
        <v>0.7</v>
      </c>
      <c r="N43" s="108">
        <v>0.7</v>
      </c>
      <c r="O43" s="108">
        <v>0.7</v>
      </c>
      <c r="P43" s="108">
        <v>0.7</v>
      </c>
      <c r="Q43" s="108">
        <v>0.7</v>
      </c>
      <c r="R43" s="9"/>
      <c r="S43" s="9"/>
      <c r="T43" s="9"/>
    </row>
    <row r="44" spans="1:20" ht="12" customHeight="1">
      <c r="C44" s="9"/>
      <c r="D44" s="9"/>
      <c r="E44" s="9"/>
      <c r="F44" s="10"/>
      <c r="G44" s="9"/>
      <c r="H44" s="9"/>
      <c r="I44" s="9"/>
      <c r="J44" s="9"/>
      <c r="K44" s="9"/>
      <c r="L44" s="9"/>
      <c r="O44" s="9"/>
      <c r="P44" s="9"/>
      <c r="Q44" s="9"/>
      <c r="R44" s="9"/>
      <c r="S44" s="9"/>
      <c r="T44" s="9"/>
    </row>
    <row r="45" spans="1:20" ht="12" customHeight="1">
      <c r="C45" s="9"/>
      <c r="D45" s="9"/>
      <c r="E45" s="9"/>
      <c r="F45" s="10"/>
      <c r="G45" s="9"/>
      <c r="H45" s="9"/>
      <c r="I45" s="9"/>
      <c r="J45" s="9"/>
      <c r="K45" s="9"/>
      <c r="L45" s="9"/>
      <c r="O45" s="9"/>
      <c r="P45" s="9"/>
      <c r="Q45" s="9"/>
      <c r="R45" s="9"/>
      <c r="S45" s="9"/>
      <c r="T45" s="9"/>
    </row>
    <row r="46" spans="1:20" ht="12" customHeight="1">
      <c r="C46" s="9"/>
      <c r="D46" s="9"/>
      <c r="E46" s="9"/>
      <c r="F46" s="10"/>
      <c r="G46" s="9"/>
      <c r="H46" s="9"/>
      <c r="I46" s="9"/>
      <c r="J46" s="9"/>
      <c r="K46" s="9"/>
      <c r="L46" s="9"/>
      <c r="O46" s="9"/>
      <c r="P46" s="9"/>
      <c r="Q46" s="9"/>
      <c r="R46" s="9"/>
      <c r="S46" s="9"/>
      <c r="T46" s="9"/>
    </row>
    <row r="47" spans="1:20" ht="12" customHeight="1">
      <c r="C47" s="9"/>
      <c r="D47" s="9"/>
      <c r="E47" s="9"/>
      <c r="F47" s="136">
        <f>F23</f>
        <v>2011</v>
      </c>
      <c r="G47" s="10" t="str">
        <f t="shared" ref="G47:Q47" si="14">G23</f>
        <v>2012E</v>
      </c>
      <c r="H47" s="10" t="str">
        <f t="shared" si="14"/>
        <v>2013E</v>
      </c>
      <c r="I47" s="10" t="str">
        <f t="shared" si="14"/>
        <v>2014E</v>
      </c>
      <c r="J47" s="10" t="str">
        <f t="shared" si="14"/>
        <v>2015E</v>
      </c>
      <c r="K47" s="10" t="str">
        <f t="shared" si="14"/>
        <v>2016E</v>
      </c>
      <c r="L47" s="10" t="str">
        <f t="shared" si="14"/>
        <v>2017E</v>
      </c>
      <c r="M47" s="10" t="str">
        <f t="shared" si="14"/>
        <v>2018E</v>
      </c>
      <c r="N47" s="10" t="str">
        <f t="shared" si="14"/>
        <v>2019E</v>
      </c>
      <c r="O47" s="10" t="str">
        <f t="shared" si="14"/>
        <v>2020E</v>
      </c>
      <c r="P47" s="10" t="str">
        <f t="shared" si="14"/>
        <v>2021E</v>
      </c>
      <c r="Q47" s="10" t="str">
        <f t="shared" si="14"/>
        <v>2022E</v>
      </c>
      <c r="R47" s="9"/>
      <c r="S47" s="9"/>
      <c r="T47" s="9"/>
    </row>
    <row r="48" spans="1:20" ht="12" customHeight="1">
      <c r="C48" s="9"/>
      <c r="D48" s="9"/>
      <c r="E48" s="10" t="s">
        <v>33</v>
      </c>
      <c r="F48" s="10">
        <f>F31</f>
        <v>899.37199999999996</v>
      </c>
      <c r="G48" s="10">
        <f t="shared" ref="G48:Q48" si="15">G31</f>
        <v>1287.7</v>
      </c>
      <c r="H48" s="10">
        <f t="shared" si="15"/>
        <v>1662.6</v>
      </c>
      <c r="I48" s="10">
        <f t="shared" si="15"/>
        <v>2105.3000000000002</v>
      </c>
      <c r="J48" s="10">
        <f t="shared" si="15"/>
        <v>2546.5</v>
      </c>
      <c r="K48" s="10">
        <f t="shared" si="15"/>
        <v>3002.9</v>
      </c>
      <c r="L48" s="10">
        <f t="shared" si="15"/>
        <v>3479</v>
      </c>
      <c r="M48" s="10">
        <f t="shared" si="15"/>
        <v>3973.7</v>
      </c>
      <c r="N48" s="10">
        <f t="shared" si="15"/>
        <v>4702.6000000000004</v>
      </c>
      <c r="O48" s="10">
        <f t="shared" si="15"/>
        <v>5366.9</v>
      </c>
      <c r="P48" s="10">
        <f t="shared" si="15"/>
        <v>5205.3999999999996</v>
      </c>
      <c r="Q48" s="10">
        <f t="shared" si="15"/>
        <v>4942.8</v>
      </c>
      <c r="R48" s="9"/>
      <c r="S48" s="9"/>
      <c r="T48" s="9"/>
    </row>
    <row r="49" spans="3:20" ht="12" customHeight="1">
      <c r="C49" s="9"/>
      <c r="D49" s="9"/>
      <c r="E49" s="10" t="s">
        <v>197</v>
      </c>
      <c r="F49" s="32">
        <f>F43</f>
        <v>1.2010415022881489</v>
      </c>
      <c r="G49" s="32">
        <f t="shared" ref="G49:Q49" si="16">G43</f>
        <v>0.8</v>
      </c>
      <c r="H49" s="32">
        <f t="shared" si="16"/>
        <v>0.8</v>
      </c>
      <c r="I49" s="32">
        <f t="shared" si="16"/>
        <v>0.7</v>
      </c>
      <c r="J49" s="32">
        <f t="shared" si="16"/>
        <v>0.7</v>
      </c>
      <c r="K49" s="32">
        <f t="shared" si="16"/>
        <v>0.7</v>
      </c>
      <c r="L49" s="32">
        <f t="shared" si="16"/>
        <v>0.7</v>
      </c>
      <c r="M49" s="32">
        <f t="shared" si="16"/>
        <v>0.7</v>
      </c>
      <c r="N49" s="32">
        <f t="shared" si="16"/>
        <v>0.7</v>
      </c>
      <c r="O49" s="32">
        <f t="shared" si="16"/>
        <v>0.7</v>
      </c>
      <c r="P49" s="32">
        <f t="shared" si="16"/>
        <v>0.7</v>
      </c>
      <c r="Q49" s="32">
        <f t="shared" si="16"/>
        <v>0.7</v>
      </c>
      <c r="R49" s="9"/>
      <c r="S49" s="9"/>
      <c r="T49" s="9"/>
    </row>
    <row r="50" spans="3:20" ht="12" customHeight="1">
      <c r="C50" s="9"/>
      <c r="D50" s="9"/>
      <c r="E50" s="9"/>
      <c r="F50" s="10"/>
      <c r="G50" s="9"/>
      <c r="H50" s="9"/>
      <c r="I50" s="9"/>
      <c r="J50" s="9"/>
      <c r="K50" s="9"/>
      <c r="L50" s="9"/>
      <c r="O50" s="9"/>
      <c r="P50" s="9"/>
      <c r="Q50" s="9"/>
      <c r="R50" s="9"/>
      <c r="S50" s="9"/>
      <c r="T50" s="9"/>
    </row>
    <row r="51" spans="3:20" ht="12" customHeight="1">
      <c r="C51" s="9"/>
      <c r="D51" s="9"/>
      <c r="E51" s="9"/>
      <c r="F51" s="10"/>
      <c r="G51" s="9"/>
      <c r="H51" s="9"/>
      <c r="I51" s="9"/>
      <c r="J51" s="9"/>
      <c r="K51" s="9"/>
      <c r="L51" s="9"/>
      <c r="O51" s="9"/>
      <c r="P51" s="9"/>
      <c r="Q51" s="9"/>
      <c r="R51" s="9"/>
      <c r="S51" s="9"/>
      <c r="T51" s="9"/>
    </row>
    <row r="52" spans="3:20" ht="12" customHeight="1">
      <c r="C52" s="9"/>
      <c r="D52" s="9"/>
      <c r="E52" s="9"/>
      <c r="F52" s="10"/>
      <c r="G52" s="9"/>
      <c r="H52" s="9"/>
      <c r="I52" s="9"/>
      <c r="J52" s="9"/>
      <c r="K52" s="9"/>
      <c r="L52" s="9"/>
      <c r="O52" s="9"/>
      <c r="P52" s="9"/>
      <c r="Q52" s="9"/>
      <c r="R52" s="9"/>
      <c r="S52" s="9"/>
      <c r="T52" s="9"/>
    </row>
    <row r="53" spans="3:20" ht="12" customHeight="1">
      <c r="C53" s="9"/>
      <c r="D53" s="9"/>
      <c r="E53" s="9"/>
      <c r="F53" s="10"/>
      <c r="G53" s="9"/>
      <c r="H53" s="9"/>
      <c r="I53" s="9"/>
      <c r="J53" s="9"/>
      <c r="K53" s="9"/>
      <c r="L53" s="9"/>
      <c r="O53" s="9"/>
      <c r="P53" s="9"/>
      <c r="Q53" s="9"/>
      <c r="R53" s="9"/>
      <c r="S53" s="9"/>
      <c r="T53" s="9"/>
    </row>
    <row r="54" spans="3:20" ht="12" customHeight="1">
      <c r="C54" s="9"/>
      <c r="D54" s="9"/>
      <c r="E54" s="9"/>
      <c r="F54" s="10"/>
      <c r="G54" s="9"/>
      <c r="H54" s="9"/>
      <c r="I54" s="9"/>
      <c r="J54" s="9"/>
      <c r="K54" s="9"/>
      <c r="L54" s="9"/>
      <c r="O54" s="9"/>
      <c r="P54" s="9"/>
      <c r="Q54" s="9"/>
      <c r="R54" s="9"/>
      <c r="S54" s="9"/>
      <c r="T54" s="9"/>
    </row>
    <row r="55" spans="3:20" ht="12" customHeight="1">
      <c r="C55" s="9"/>
      <c r="D55" s="9"/>
      <c r="E55" s="9"/>
      <c r="F55" s="10"/>
      <c r="G55" s="9"/>
      <c r="H55" s="9"/>
      <c r="I55" s="9"/>
      <c r="J55" s="9"/>
      <c r="K55" s="9"/>
      <c r="L55" s="9"/>
      <c r="O55" s="9"/>
      <c r="P55" s="9"/>
      <c r="Q55" s="9"/>
      <c r="R55" s="9"/>
      <c r="S55" s="9"/>
      <c r="T55" s="9"/>
    </row>
    <row r="56" spans="3:20" ht="12" customHeight="1">
      <c r="C56" s="9"/>
      <c r="D56" s="9"/>
      <c r="E56" s="9"/>
      <c r="F56" s="10"/>
      <c r="G56" s="9"/>
      <c r="H56" s="9"/>
      <c r="I56" s="9"/>
      <c r="J56" s="9"/>
      <c r="K56" s="9"/>
      <c r="L56" s="9"/>
      <c r="O56" s="9"/>
      <c r="P56" s="9"/>
      <c r="Q56" s="9"/>
      <c r="R56" s="9"/>
      <c r="S56" s="9"/>
      <c r="T56" s="9"/>
    </row>
    <row r="57" spans="3:20" ht="12" customHeight="1">
      <c r="C57" s="9"/>
      <c r="D57" s="9"/>
      <c r="E57" s="9"/>
      <c r="F57" s="10"/>
      <c r="G57" s="9"/>
      <c r="H57" s="9"/>
      <c r="I57" s="9"/>
      <c r="J57" s="9"/>
      <c r="K57" s="9"/>
      <c r="L57" s="9"/>
      <c r="O57" s="9"/>
      <c r="P57" s="9"/>
      <c r="Q57" s="9"/>
      <c r="R57" s="9"/>
      <c r="S57" s="9"/>
      <c r="T57" s="9"/>
    </row>
    <row r="58" spans="3:20" ht="12" customHeight="1">
      <c r="C58" s="9"/>
      <c r="D58" s="9"/>
      <c r="E58" s="9"/>
      <c r="F58" s="10"/>
      <c r="G58" s="9"/>
      <c r="H58" s="9"/>
      <c r="I58" s="9"/>
      <c r="J58" s="9"/>
      <c r="K58" s="9"/>
      <c r="L58" s="9"/>
      <c r="O58" s="9"/>
      <c r="P58" s="9"/>
      <c r="Q58" s="9"/>
      <c r="R58" s="9"/>
      <c r="S58" s="9"/>
      <c r="T58" s="9"/>
    </row>
    <row r="59" spans="3:20" ht="12" customHeight="1">
      <c r="C59" s="9"/>
      <c r="D59" s="9"/>
      <c r="E59" s="9"/>
      <c r="F59" s="10"/>
      <c r="G59" s="9"/>
      <c r="H59" s="9"/>
      <c r="I59" s="9"/>
      <c r="J59" s="9"/>
      <c r="K59" s="9"/>
      <c r="L59" s="9"/>
      <c r="O59" s="9"/>
      <c r="P59" s="9"/>
      <c r="Q59" s="9"/>
      <c r="R59" s="9"/>
      <c r="S59" s="9"/>
      <c r="T59" s="9"/>
    </row>
    <row r="60" spans="3:20" ht="12" customHeight="1">
      <c r="C60" s="9"/>
      <c r="D60" s="9"/>
      <c r="E60" s="9"/>
      <c r="F60" s="10"/>
      <c r="G60" s="9"/>
      <c r="H60" s="9"/>
      <c r="I60" s="9"/>
      <c r="J60" s="9"/>
      <c r="K60" s="9"/>
      <c r="L60" s="9"/>
      <c r="O60" s="9"/>
      <c r="P60" s="9"/>
      <c r="Q60" s="9"/>
      <c r="R60" s="9"/>
      <c r="S60" s="9"/>
      <c r="T60" s="9"/>
    </row>
    <row r="61" spans="3:20" ht="12" customHeight="1">
      <c r="C61" s="9"/>
      <c r="D61" s="9"/>
      <c r="E61" s="9"/>
      <c r="F61" s="10"/>
      <c r="G61" s="9"/>
      <c r="H61" s="9"/>
      <c r="I61" s="9"/>
      <c r="J61" s="9"/>
      <c r="K61" s="9"/>
      <c r="L61" s="9"/>
      <c r="O61" s="9"/>
      <c r="P61" s="9"/>
      <c r="Q61" s="9"/>
      <c r="R61" s="9"/>
      <c r="S61" s="9"/>
      <c r="T61" s="9"/>
    </row>
    <row r="62" spans="3:20" ht="12" customHeight="1">
      <c r="C62" s="9"/>
      <c r="D62" s="9"/>
      <c r="E62" s="9"/>
      <c r="F62" s="10"/>
      <c r="G62" s="9"/>
      <c r="H62" s="9"/>
      <c r="I62" s="9"/>
      <c r="J62" s="9"/>
      <c r="K62" s="9"/>
      <c r="L62" s="9"/>
      <c r="O62" s="9"/>
      <c r="P62" s="9"/>
      <c r="Q62" s="9"/>
      <c r="R62" s="9"/>
      <c r="S62" s="9"/>
      <c r="T62" s="9"/>
    </row>
    <row r="63" spans="3:20" ht="12" customHeight="1">
      <c r="C63" s="9"/>
      <c r="D63" s="9"/>
      <c r="E63" s="9"/>
      <c r="F63" s="10"/>
      <c r="G63" s="9"/>
      <c r="H63" s="9"/>
      <c r="I63" s="9"/>
      <c r="J63" s="9"/>
      <c r="K63" s="9"/>
      <c r="L63" s="9"/>
      <c r="O63" s="9"/>
      <c r="P63" s="9"/>
      <c r="Q63" s="9"/>
      <c r="R63" s="9"/>
      <c r="S63" s="9"/>
      <c r="T63" s="9"/>
    </row>
    <row r="64" spans="3:20" ht="12" customHeight="1">
      <c r="C64" s="9"/>
      <c r="D64" s="9"/>
      <c r="E64" s="9"/>
      <c r="F64" s="10"/>
      <c r="G64" s="9"/>
      <c r="H64" s="9"/>
      <c r="I64" s="9"/>
      <c r="J64" s="9"/>
      <c r="K64" s="9"/>
      <c r="L64" s="9"/>
      <c r="O64" s="9"/>
      <c r="P64" s="9"/>
      <c r="Q64" s="9"/>
      <c r="R64" s="9"/>
      <c r="S64" s="9"/>
      <c r="T64" s="9"/>
    </row>
    <row r="65" spans="3:20" ht="12" customHeight="1">
      <c r="C65" s="9"/>
      <c r="D65" s="9"/>
      <c r="E65" s="9"/>
      <c r="F65" s="10"/>
      <c r="G65" s="9"/>
      <c r="H65" s="9"/>
      <c r="I65" s="9"/>
      <c r="J65" s="9"/>
      <c r="K65" s="9"/>
      <c r="L65" s="9"/>
      <c r="O65" s="9"/>
      <c r="P65" s="9"/>
      <c r="Q65" s="9"/>
      <c r="R65" s="9"/>
      <c r="S65" s="9"/>
      <c r="T65" s="9"/>
    </row>
    <row r="66" spans="3:20" ht="12" customHeight="1">
      <c r="C66" s="9"/>
      <c r="D66" s="9"/>
      <c r="E66" s="9"/>
      <c r="F66" s="10"/>
      <c r="G66" s="9"/>
      <c r="H66" s="9"/>
      <c r="I66" s="9"/>
      <c r="J66" s="9"/>
      <c r="K66" s="9"/>
      <c r="L66" s="9"/>
      <c r="O66" s="9"/>
      <c r="P66" s="9"/>
      <c r="Q66" s="9"/>
      <c r="R66" s="9"/>
      <c r="S66" s="9"/>
      <c r="T66" s="9"/>
    </row>
    <row r="67" spans="3:20" ht="12" customHeight="1">
      <c r="C67" s="9"/>
      <c r="D67" s="9"/>
      <c r="E67" s="9"/>
      <c r="F67" s="10"/>
      <c r="G67" s="9"/>
      <c r="H67" s="9"/>
      <c r="I67" s="9"/>
      <c r="J67" s="9"/>
      <c r="K67" s="9"/>
      <c r="L67" s="9"/>
      <c r="O67" s="9"/>
      <c r="P67" s="9"/>
      <c r="Q67" s="9"/>
      <c r="R67" s="9"/>
      <c r="S67" s="9"/>
      <c r="T67" s="9"/>
    </row>
    <row r="68" spans="3:20" ht="12" customHeight="1">
      <c r="C68" s="9"/>
      <c r="D68" s="9"/>
      <c r="E68" s="9"/>
      <c r="F68" s="10"/>
      <c r="G68" s="9"/>
      <c r="H68" s="9"/>
      <c r="I68" s="9"/>
      <c r="J68" s="9"/>
      <c r="K68" s="9"/>
      <c r="L68" s="9"/>
      <c r="O68" s="9"/>
      <c r="P68" s="9"/>
      <c r="Q68" s="9"/>
      <c r="R68" s="9"/>
      <c r="S68" s="9"/>
      <c r="T68" s="9"/>
    </row>
    <row r="69" spans="3:20" ht="12" customHeight="1">
      <c r="C69" s="9"/>
      <c r="D69" s="9"/>
      <c r="E69" s="9"/>
      <c r="F69" s="10"/>
      <c r="G69" s="9"/>
      <c r="H69" s="9"/>
      <c r="I69" s="9"/>
      <c r="J69" s="9"/>
      <c r="K69" s="9"/>
      <c r="L69" s="9"/>
      <c r="O69" s="9"/>
      <c r="P69" s="9"/>
      <c r="Q69" s="9"/>
      <c r="R69" s="9"/>
      <c r="S69" s="9"/>
      <c r="T69" s="9"/>
    </row>
    <row r="70" spans="3:20" ht="12" customHeight="1">
      <c r="C70" s="9"/>
      <c r="D70" s="9"/>
      <c r="E70" s="9"/>
      <c r="F70" s="10"/>
      <c r="G70" s="9"/>
      <c r="H70" s="9"/>
      <c r="I70" s="9"/>
      <c r="J70" s="9"/>
      <c r="K70" s="9"/>
      <c r="L70" s="9"/>
      <c r="O70" s="9"/>
      <c r="P70" s="9"/>
      <c r="Q70" s="9"/>
      <c r="R70" s="9"/>
      <c r="S70" s="9"/>
      <c r="T70" s="9"/>
    </row>
    <row r="71" spans="3:20" ht="12" customHeight="1">
      <c r="C71" s="9"/>
      <c r="D71" s="9"/>
      <c r="E71" s="9"/>
      <c r="F71" s="10"/>
      <c r="G71" s="9"/>
      <c r="H71" s="9"/>
      <c r="I71" s="9"/>
      <c r="J71" s="9"/>
      <c r="K71" s="9"/>
      <c r="L71" s="9"/>
      <c r="O71" s="9"/>
      <c r="P71" s="9"/>
      <c r="Q71" s="9"/>
      <c r="R71" s="9"/>
      <c r="S71" s="9"/>
      <c r="T71" s="9"/>
    </row>
    <row r="72" spans="3:20" ht="12" customHeight="1">
      <c r="C72" s="9"/>
      <c r="D72" s="9"/>
      <c r="E72" s="9"/>
      <c r="F72" s="10"/>
      <c r="G72" s="9"/>
      <c r="H72" s="9"/>
      <c r="I72" s="9"/>
      <c r="J72" s="9"/>
      <c r="K72" s="9"/>
      <c r="L72" s="9"/>
      <c r="O72" s="9"/>
      <c r="P72" s="9"/>
      <c r="Q72" s="9"/>
      <c r="R72" s="9"/>
      <c r="S72" s="9"/>
      <c r="T72" s="9"/>
    </row>
    <row r="73" spans="3:20" ht="12" customHeight="1">
      <c r="C73" s="9"/>
      <c r="D73" s="9"/>
      <c r="E73" s="9"/>
      <c r="F73" s="10"/>
      <c r="G73" s="9"/>
      <c r="H73" s="9"/>
      <c r="I73" s="9"/>
      <c r="J73" s="9"/>
      <c r="K73" s="9"/>
      <c r="L73" s="9"/>
      <c r="O73" s="9"/>
      <c r="P73" s="9"/>
      <c r="Q73" s="9"/>
      <c r="R73" s="9"/>
      <c r="S73" s="9"/>
      <c r="T73" s="9"/>
    </row>
    <row r="74" spans="3:20" ht="12" customHeight="1">
      <c r="C74" s="9"/>
      <c r="D74" s="9"/>
      <c r="E74" s="9"/>
      <c r="F74" s="10"/>
      <c r="G74" s="9"/>
      <c r="H74" s="9"/>
      <c r="I74" s="9"/>
      <c r="J74" s="9"/>
      <c r="K74" s="9"/>
      <c r="L74" s="9"/>
      <c r="O74" s="9"/>
      <c r="P74" s="9"/>
      <c r="Q74" s="9"/>
      <c r="R74" s="9"/>
      <c r="S74" s="9"/>
      <c r="T74" s="9"/>
    </row>
    <row r="75" spans="3:20" ht="12" customHeight="1">
      <c r="C75" s="9"/>
      <c r="D75" s="9"/>
      <c r="E75" s="9"/>
      <c r="F75" s="10"/>
      <c r="G75" s="9"/>
      <c r="H75" s="9"/>
      <c r="I75" s="9"/>
      <c r="J75" s="9"/>
      <c r="K75" s="9"/>
      <c r="L75" s="9"/>
      <c r="O75" s="9"/>
      <c r="P75" s="9"/>
      <c r="Q75" s="9"/>
      <c r="R75" s="9"/>
      <c r="S75" s="9"/>
      <c r="T75" s="9"/>
    </row>
    <row r="76" spans="3:20" ht="12" customHeight="1">
      <c r="C76" s="9"/>
      <c r="D76" s="9"/>
      <c r="E76" s="9"/>
      <c r="F76" s="10"/>
      <c r="G76" s="9"/>
      <c r="H76" s="9"/>
      <c r="I76" s="9"/>
      <c r="J76" s="9"/>
      <c r="K76" s="9"/>
      <c r="L76" s="9"/>
      <c r="O76" s="9"/>
      <c r="P76" s="9"/>
      <c r="Q76" s="9"/>
      <c r="R76" s="9"/>
      <c r="S76" s="9"/>
      <c r="T76" s="9"/>
    </row>
    <row r="77" spans="3:20" ht="12" customHeight="1">
      <c r="C77" s="9"/>
      <c r="D77" s="9"/>
      <c r="E77" s="9"/>
      <c r="F77" s="10"/>
      <c r="G77" s="9"/>
      <c r="H77" s="9"/>
      <c r="I77" s="9"/>
      <c r="J77" s="9"/>
      <c r="K77" s="9"/>
      <c r="L77" s="9"/>
      <c r="O77" s="9"/>
      <c r="P77" s="9"/>
      <c r="Q77" s="9"/>
      <c r="R77" s="9"/>
      <c r="S77" s="9"/>
      <c r="T77" s="9"/>
    </row>
    <row r="78" spans="3:20" ht="12" customHeight="1">
      <c r="C78" s="9"/>
      <c r="D78" s="9"/>
      <c r="E78" s="9"/>
      <c r="F78" s="10"/>
      <c r="G78" s="9"/>
      <c r="H78" s="9"/>
      <c r="I78" s="9"/>
      <c r="J78" s="9"/>
      <c r="K78" s="9"/>
      <c r="L78" s="9"/>
      <c r="O78" s="9"/>
      <c r="P78" s="9"/>
      <c r="Q78" s="9"/>
      <c r="R78" s="9"/>
      <c r="S78" s="9"/>
      <c r="T78" s="9"/>
    </row>
    <row r="79" spans="3:20" ht="12" customHeight="1">
      <c r="C79" s="9"/>
      <c r="D79" s="9"/>
      <c r="E79" s="9"/>
      <c r="F79" s="10"/>
      <c r="G79" s="9"/>
      <c r="H79" s="9"/>
      <c r="I79" s="9"/>
      <c r="J79" s="9"/>
      <c r="K79" s="9"/>
      <c r="L79" s="9"/>
      <c r="O79" s="9"/>
      <c r="P79" s="9"/>
      <c r="Q79" s="9"/>
      <c r="R79" s="9"/>
      <c r="S79" s="9"/>
      <c r="T79" s="9"/>
    </row>
    <row r="80" spans="3:20" ht="12" customHeight="1">
      <c r="C80" s="9"/>
      <c r="D80" s="9"/>
      <c r="E80" s="9"/>
      <c r="F80" s="10"/>
      <c r="G80" s="9"/>
      <c r="H80" s="9"/>
      <c r="I80" s="9"/>
      <c r="J80" s="9"/>
      <c r="K80" s="9"/>
      <c r="L80" s="9"/>
      <c r="O80" s="9"/>
      <c r="P80" s="9"/>
      <c r="Q80" s="9"/>
      <c r="R80" s="9"/>
      <c r="S80" s="9"/>
      <c r="T80" s="9"/>
    </row>
    <row r="81" spans="3:20">
      <c r="C81" s="9"/>
      <c r="D81" s="9"/>
      <c r="E81" s="9"/>
      <c r="F81" s="10"/>
      <c r="G81" s="9"/>
      <c r="H81" s="9"/>
      <c r="I81" s="9"/>
      <c r="J81" s="9"/>
      <c r="K81" s="9"/>
      <c r="L81" s="9"/>
      <c r="O81" s="9"/>
      <c r="P81" s="9"/>
      <c r="Q81" s="9"/>
      <c r="R81" s="9"/>
      <c r="S81" s="9"/>
      <c r="T81" s="9"/>
    </row>
    <row r="82" spans="3:20">
      <c r="C82" s="9"/>
      <c r="D82" s="9"/>
      <c r="E82" s="9"/>
      <c r="F82" s="10"/>
      <c r="G82" s="9"/>
      <c r="H82" s="9"/>
      <c r="I82" s="9"/>
      <c r="J82" s="9"/>
      <c r="K82" s="9"/>
      <c r="L82" s="9"/>
      <c r="O82" s="9"/>
      <c r="P82" s="9"/>
      <c r="Q82" s="9"/>
      <c r="R82" s="9"/>
      <c r="S82" s="9"/>
      <c r="T82" s="9"/>
    </row>
    <row r="83" spans="3:20">
      <c r="C83" s="9"/>
      <c r="D83" s="9"/>
      <c r="E83" s="9"/>
      <c r="F83" s="10"/>
      <c r="G83" s="9"/>
      <c r="H83" s="9"/>
      <c r="I83" s="9"/>
      <c r="J83" s="9"/>
      <c r="K83" s="9"/>
      <c r="L83" s="9"/>
      <c r="O83" s="9"/>
      <c r="P83" s="9"/>
      <c r="Q83" s="9"/>
      <c r="R83" s="9"/>
      <c r="S83" s="9"/>
      <c r="T83" s="9"/>
    </row>
    <row r="84" spans="3:20">
      <c r="C84" s="9"/>
      <c r="D84" s="9"/>
      <c r="E84" s="9"/>
      <c r="F84" s="10"/>
      <c r="G84" s="9"/>
      <c r="H84" s="9"/>
      <c r="I84" s="9"/>
      <c r="J84" s="9"/>
      <c r="K84" s="9"/>
      <c r="L84" s="9"/>
      <c r="O84" s="9"/>
      <c r="P84" s="9"/>
      <c r="Q84" s="9"/>
      <c r="R84" s="9"/>
      <c r="S84" s="9"/>
      <c r="T84" s="9"/>
    </row>
    <row r="85" spans="3:20">
      <c r="C85" s="9"/>
      <c r="D85" s="9"/>
      <c r="E85" s="9"/>
      <c r="F85" s="10"/>
      <c r="G85" s="9"/>
      <c r="H85" s="9"/>
      <c r="I85" s="9"/>
      <c r="J85" s="9"/>
      <c r="K85" s="9"/>
      <c r="L85" s="9"/>
      <c r="O85" s="9"/>
      <c r="P85" s="9"/>
      <c r="Q85" s="9"/>
      <c r="R85" s="9"/>
      <c r="S85" s="9"/>
      <c r="T85" s="9"/>
    </row>
    <row r="86" spans="3:20">
      <c r="C86" s="9"/>
      <c r="D86" s="9"/>
      <c r="E86" s="9"/>
      <c r="F86" s="10"/>
      <c r="G86" s="9"/>
      <c r="H86" s="9"/>
      <c r="I86" s="9"/>
      <c r="J86" s="9"/>
      <c r="K86" s="9"/>
      <c r="L86" s="9"/>
      <c r="O86" s="9"/>
      <c r="P86" s="9"/>
      <c r="Q86" s="9"/>
      <c r="R86" s="9"/>
      <c r="S86" s="9"/>
      <c r="T86" s="9"/>
    </row>
    <row r="87" spans="3:20">
      <c r="C87" s="9"/>
      <c r="D87" s="9"/>
      <c r="E87" s="9"/>
      <c r="F87" s="10"/>
      <c r="G87" s="9"/>
      <c r="H87" s="9"/>
      <c r="I87" s="9"/>
      <c r="J87" s="9"/>
      <c r="K87" s="9"/>
      <c r="L87" s="9"/>
      <c r="O87" s="9"/>
      <c r="P87" s="9"/>
      <c r="Q87" s="9"/>
      <c r="R87" s="9"/>
      <c r="S87" s="9"/>
      <c r="T87" s="9"/>
    </row>
    <row r="88" spans="3:20">
      <c r="C88" s="9"/>
      <c r="D88" s="9"/>
      <c r="E88" s="9"/>
      <c r="F88" s="10"/>
      <c r="G88" s="9"/>
      <c r="H88" s="9"/>
      <c r="I88" s="9"/>
      <c r="J88" s="9"/>
      <c r="K88" s="9"/>
      <c r="L88" s="9"/>
      <c r="O88" s="9"/>
      <c r="P88" s="9"/>
      <c r="Q88" s="9"/>
      <c r="R88" s="9"/>
      <c r="S88" s="9"/>
      <c r="T88" s="9"/>
    </row>
    <row r="89" spans="3:20">
      <c r="C89" s="9"/>
      <c r="D89" s="9"/>
      <c r="E89" s="9"/>
      <c r="F89" s="10"/>
      <c r="G89" s="9"/>
      <c r="H89" s="9"/>
      <c r="I89" s="9"/>
      <c r="J89" s="9"/>
      <c r="K89" s="9"/>
      <c r="L89" s="9"/>
      <c r="O89" s="9"/>
      <c r="P89" s="9"/>
      <c r="Q89" s="9"/>
      <c r="R89" s="9"/>
      <c r="S89" s="9"/>
      <c r="T89" s="9"/>
    </row>
    <row r="90" spans="3:20">
      <c r="C90" s="9"/>
      <c r="D90" s="9"/>
      <c r="E90" s="9"/>
      <c r="F90" s="10"/>
      <c r="G90" s="9"/>
      <c r="H90" s="9"/>
      <c r="I90" s="9"/>
      <c r="J90" s="9"/>
      <c r="K90" s="9"/>
      <c r="L90" s="9"/>
      <c r="O90" s="9"/>
      <c r="P90" s="9"/>
      <c r="Q90" s="9"/>
      <c r="R90" s="9"/>
      <c r="S90" s="9"/>
      <c r="T90" s="9"/>
    </row>
    <row r="91" spans="3:20">
      <c r="C91" s="9"/>
      <c r="D91" s="9"/>
      <c r="E91" s="9"/>
      <c r="F91" s="10"/>
      <c r="G91" s="9"/>
      <c r="H91" s="9"/>
      <c r="I91" s="9"/>
      <c r="J91" s="9"/>
      <c r="K91" s="9"/>
      <c r="L91" s="9"/>
      <c r="O91" s="9"/>
      <c r="P91" s="9"/>
      <c r="Q91" s="9"/>
      <c r="R91" s="9"/>
      <c r="S91" s="9"/>
      <c r="T91" s="9"/>
    </row>
    <row r="92" spans="3:20">
      <c r="C92" s="9"/>
      <c r="D92" s="9"/>
      <c r="E92" s="9"/>
      <c r="F92" s="10"/>
      <c r="G92" s="9"/>
      <c r="H92" s="9"/>
      <c r="I92" s="9"/>
      <c r="J92" s="9"/>
      <c r="K92" s="9"/>
      <c r="L92" s="9"/>
      <c r="O92" s="9"/>
      <c r="P92" s="9"/>
      <c r="Q92" s="9"/>
      <c r="R92" s="9"/>
      <c r="S92" s="9"/>
      <c r="T92" s="9"/>
    </row>
    <row r="93" spans="3:20">
      <c r="C93" s="9"/>
      <c r="D93" s="9"/>
      <c r="E93" s="9"/>
      <c r="F93" s="10"/>
      <c r="G93" s="9"/>
      <c r="H93" s="9"/>
      <c r="I93" s="9"/>
      <c r="J93" s="9"/>
      <c r="K93" s="9"/>
      <c r="L93" s="9"/>
      <c r="O93" s="9"/>
      <c r="P93" s="9"/>
      <c r="Q93" s="9"/>
      <c r="R93" s="9"/>
      <c r="S93" s="9"/>
      <c r="T93" s="9"/>
    </row>
    <row r="94" spans="3:20">
      <c r="C94" s="9"/>
      <c r="D94" s="9"/>
      <c r="E94" s="9"/>
      <c r="F94" s="10"/>
      <c r="G94" s="9"/>
      <c r="H94" s="9"/>
      <c r="I94" s="9"/>
      <c r="J94" s="9"/>
      <c r="K94" s="9"/>
      <c r="L94" s="9"/>
      <c r="O94" s="9"/>
      <c r="P94" s="9"/>
      <c r="Q94" s="9"/>
      <c r="R94" s="9"/>
      <c r="S94" s="9"/>
      <c r="T94" s="9"/>
    </row>
    <row r="95" spans="3:20">
      <c r="C95" s="9"/>
      <c r="D95" s="9"/>
      <c r="E95" s="9"/>
      <c r="F95" s="10"/>
      <c r="G95" s="9"/>
      <c r="H95" s="9"/>
      <c r="I95" s="9"/>
      <c r="J95" s="9"/>
      <c r="K95" s="9"/>
      <c r="L95" s="9"/>
      <c r="O95" s="9"/>
      <c r="P95" s="9"/>
      <c r="Q95" s="9"/>
      <c r="R95" s="9"/>
      <c r="S95" s="9"/>
      <c r="T95" s="9"/>
    </row>
    <row r="96" spans="3:20">
      <c r="C96" s="9"/>
      <c r="D96" s="9"/>
      <c r="E96" s="9"/>
      <c r="F96" s="10"/>
      <c r="G96" s="9"/>
      <c r="H96" s="9"/>
      <c r="I96" s="9"/>
      <c r="J96" s="9"/>
      <c r="K96" s="9"/>
      <c r="L96" s="9"/>
      <c r="O96" s="9"/>
      <c r="P96" s="9"/>
      <c r="Q96" s="9"/>
      <c r="R96" s="9"/>
      <c r="S96" s="9"/>
      <c r="T96" s="9"/>
    </row>
    <row r="97" spans="3:20">
      <c r="C97" s="9"/>
      <c r="D97" s="9"/>
      <c r="E97" s="9"/>
      <c r="F97" s="10"/>
      <c r="G97" s="9"/>
      <c r="H97" s="9"/>
      <c r="I97" s="9"/>
      <c r="J97" s="9"/>
      <c r="K97" s="9"/>
      <c r="L97" s="9"/>
      <c r="O97" s="9"/>
      <c r="P97" s="9"/>
      <c r="Q97" s="9"/>
      <c r="R97" s="9"/>
      <c r="S97" s="9"/>
      <c r="T97" s="9"/>
    </row>
    <row r="98" spans="3:20">
      <c r="C98" s="9"/>
      <c r="D98" s="9"/>
      <c r="E98" s="9"/>
      <c r="F98" s="10"/>
      <c r="G98" s="9"/>
      <c r="H98" s="9"/>
      <c r="I98" s="9"/>
      <c r="J98" s="9"/>
      <c r="K98" s="9"/>
      <c r="L98" s="9"/>
      <c r="O98" s="9"/>
      <c r="P98" s="9"/>
      <c r="Q98" s="9"/>
      <c r="R98" s="9"/>
      <c r="S98" s="9"/>
      <c r="T98" s="9"/>
    </row>
    <row r="99" spans="3:20">
      <c r="C99" s="9"/>
      <c r="D99" s="9"/>
      <c r="E99" s="9"/>
      <c r="F99" s="10"/>
      <c r="G99" s="9"/>
      <c r="H99" s="9"/>
      <c r="I99" s="9"/>
      <c r="J99" s="9"/>
      <c r="K99" s="9"/>
      <c r="L99" s="9"/>
      <c r="O99" s="9"/>
      <c r="P99" s="9"/>
      <c r="Q99" s="9"/>
      <c r="R99" s="9"/>
      <c r="S99" s="9"/>
      <c r="T99" s="9"/>
    </row>
    <row r="100" spans="3:20">
      <c r="C100" s="9"/>
      <c r="D100" s="9"/>
      <c r="E100" s="9"/>
      <c r="F100" s="10"/>
      <c r="G100" s="9"/>
      <c r="H100" s="9"/>
      <c r="I100" s="9"/>
      <c r="J100" s="9"/>
      <c r="K100" s="9"/>
      <c r="L100" s="9"/>
      <c r="O100" s="9"/>
      <c r="P100" s="9"/>
      <c r="Q100" s="9"/>
      <c r="R100" s="9"/>
      <c r="S100" s="9"/>
      <c r="T100" s="9"/>
    </row>
    <row r="101" spans="3:20">
      <c r="C101" s="9"/>
      <c r="D101" s="9"/>
      <c r="E101" s="9"/>
      <c r="F101" s="10"/>
      <c r="G101" s="9"/>
      <c r="H101" s="9"/>
      <c r="I101" s="9"/>
      <c r="J101" s="9"/>
      <c r="K101" s="9"/>
      <c r="L101" s="9"/>
      <c r="O101" s="9"/>
      <c r="P101" s="9"/>
      <c r="Q101" s="9"/>
      <c r="R101" s="9"/>
      <c r="S101" s="9"/>
      <c r="T101" s="9"/>
    </row>
    <row r="102" spans="3:20">
      <c r="C102" s="9"/>
      <c r="D102" s="9"/>
      <c r="E102" s="9"/>
      <c r="F102" s="10"/>
      <c r="G102" s="9"/>
      <c r="H102" s="9"/>
      <c r="I102" s="9"/>
      <c r="J102" s="9"/>
      <c r="K102" s="9"/>
      <c r="L102" s="9"/>
      <c r="O102" s="9"/>
      <c r="P102" s="9"/>
      <c r="Q102" s="9"/>
      <c r="R102" s="9"/>
      <c r="S102" s="9"/>
      <c r="T102" s="9"/>
    </row>
    <row r="103" spans="3:20">
      <c r="C103" s="9"/>
      <c r="D103" s="9"/>
      <c r="E103" s="9"/>
      <c r="F103" s="10"/>
      <c r="G103" s="9"/>
      <c r="H103" s="9"/>
      <c r="I103" s="9"/>
      <c r="J103" s="9"/>
      <c r="K103" s="9"/>
      <c r="L103" s="9"/>
      <c r="O103" s="9"/>
      <c r="P103" s="9"/>
      <c r="Q103" s="9"/>
      <c r="R103" s="9"/>
      <c r="S103" s="9"/>
      <c r="T103" s="9"/>
    </row>
    <row r="104" spans="3:20">
      <c r="C104" s="9"/>
      <c r="D104" s="9"/>
      <c r="E104" s="9"/>
      <c r="F104" s="10"/>
      <c r="G104" s="9"/>
      <c r="H104" s="9"/>
      <c r="I104" s="9"/>
      <c r="J104" s="9"/>
      <c r="K104" s="9"/>
      <c r="L104" s="9"/>
      <c r="O104" s="9"/>
      <c r="P104" s="9"/>
      <c r="Q104" s="9"/>
      <c r="R104" s="9"/>
      <c r="S104" s="9"/>
      <c r="T104" s="9"/>
    </row>
    <row r="105" spans="3:20">
      <c r="C105" s="9"/>
      <c r="D105" s="9"/>
      <c r="E105" s="9"/>
      <c r="F105" s="10"/>
      <c r="G105" s="9"/>
      <c r="H105" s="9"/>
      <c r="I105" s="9"/>
      <c r="J105" s="9"/>
      <c r="K105" s="9"/>
      <c r="L105" s="9"/>
      <c r="O105" s="9"/>
      <c r="P105" s="9"/>
      <c r="Q105" s="9"/>
      <c r="R105" s="9"/>
      <c r="S105" s="9"/>
      <c r="T105" s="9"/>
    </row>
    <row r="106" spans="3:20">
      <c r="C106" s="9"/>
      <c r="D106" s="9"/>
      <c r="E106" s="9"/>
      <c r="F106" s="10"/>
      <c r="G106" s="9"/>
      <c r="H106" s="9"/>
      <c r="I106" s="9"/>
      <c r="J106" s="9"/>
      <c r="K106" s="9"/>
      <c r="L106" s="9"/>
      <c r="O106" s="9"/>
      <c r="P106" s="9"/>
      <c r="Q106" s="9"/>
      <c r="R106" s="9"/>
      <c r="S106" s="9"/>
      <c r="T106" s="9"/>
    </row>
    <row r="107" spans="3:20">
      <c r="C107" s="9"/>
      <c r="D107" s="9"/>
      <c r="E107" s="9"/>
      <c r="F107" s="10"/>
      <c r="G107" s="9"/>
      <c r="H107" s="9"/>
      <c r="I107" s="9"/>
      <c r="J107" s="9"/>
      <c r="K107" s="9"/>
      <c r="L107" s="9"/>
      <c r="O107" s="9"/>
      <c r="P107" s="9"/>
      <c r="Q107" s="9"/>
      <c r="R107" s="9"/>
      <c r="S107" s="9"/>
      <c r="T107" s="9"/>
    </row>
    <row r="108" spans="3:20">
      <c r="C108" s="9"/>
      <c r="D108" s="9"/>
      <c r="E108" s="9"/>
      <c r="F108" s="10"/>
      <c r="G108" s="9"/>
      <c r="H108" s="9"/>
      <c r="I108" s="9"/>
      <c r="J108" s="9"/>
      <c r="K108" s="9"/>
      <c r="L108" s="9"/>
      <c r="O108" s="9"/>
      <c r="P108" s="9"/>
      <c r="Q108" s="9"/>
      <c r="R108" s="9"/>
      <c r="S108" s="9"/>
      <c r="T108" s="9"/>
    </row>
    <row r="109" spans="3:20">
      <c r="C109" s="9"/>
      <c r="D109" s="9"/>
      <c r="E109" s="9"/>
      <c r="F109" s="10"/>
      <c r="G109" s="9"/>
      <c r="H109" s="9"/>
      <c r="I109" s="9"/>
      <c r="J109" s="9"/>
      <c r="K109" s="9"/>
      <c r="L109" s="9"/>
      <c r="O109" s="9"/>
      <c r="P109" s="9"/>
      <c r="Q109" s="9"/>
      <c r="R109" s="9"/>
      <c r="S109" s="9"/>
      <c r="T109" s="9"/>
    </row>
    <row r="110" spans="3:20">
      <c r="C110" s="9"/>
      <c r="D110" s="9"/>
      <c r="E110" s="9"/>
      <c r="F110" s="10"/>
      <c r="G110" s="9"/>
      <c r="H110" s="9"/>
      <c r="I110" s="9"/>
      <c r="J110" s="9"/>
      <c r="K110" s="9"/>
      <c r="L110" s="9"/>
      <c r="O110" s="9"/>
      <c r="P110" s="9"/>
      <c r="Q110" s="9"/>
      <c r="R110" s="9"/>
      <c r="S110" s="9"/>
      <c r="T110" s="9"/>
    </row>
    <row r="111" spans="3:20">
      <c r="C111" s="9"/>
      <c r="D111" s="9"/>
      <c r="E111" s="9"/>
      <c r="F111" s="10"/>
      <c r="G111" s="9"/>
      <c r="H111" s="9"/>
      <c r="I111" s="9"/>
      <c r="J111" s="9"/>
      <c r="K111" s="9"/>
      <c r="L111" s="9"/>
      <c r="O111" s="9"/>
      <c r="P111" s="9"/>
      <c r="Q111" s="9"/>
      <c r="R111" s="9"/>
      <c r="S111" s="9"/>
      <c r="T111" s="9"/>
    </row>
    <row r="112" spans="3:20">
      <c r="C112" s="9"/>
      <c r="D112" s="9"/>
      <c r="E112" s="9"/>
      <c r="F112" s="10"/>
      <c r="G112" s="9"/>
      <c r="H112" s="9"/>
      <c r="I112" s="9"/>
      <c r="J112" s="9"/>
      <c r="K112" s="9"/>
      <c r="L112" s="9"/>
      <c r="O112" s="9"/>
      <c r="P112" s="9"/>
      <c r="Q112" s="9"/>
      <c r="R112" s="9"/>
      <c r="S112" s="9"/>
      <c r="T112" s="9"/>
    </row>
    <row r="113" spans="3:20">
      <c r="C113" s="9"/>
      <c r="D113" s="9"/>
      <c r="E113" s="9"/>
      <c r="F113" s="10"/>
      <c r="G113" s="9"/>
      <c r="H113" s="9"/>
      <c r="I113" s="9"/>
      <c r="J113" s="9"/>
      <c r="K113" s="9"/>
      <c r="L113" s="9"/>
      <c r="O113" s="9"/>
      <c r="P113" s="9"/>
      <c r="Q113" s="9"/>
      <c r="R113" s="9"/>
      <c r="S113" s="9"/>
      <c r="T113" s="9"/>
    </row>
    <row r="114" spans="3:20">
      <c r="C114" s="9"/>
      <c r="D114" s="9"/>
      <c r="E114" s="9"/>
      <c r="F114" s="10"/>
      <c r="G114" s="9"/>
      <c r="H114" s="9"/>
      <c r="I114" s="9"/>
      <c r="J114" s="9"/>
      <c r="K114" s="9"/>
      <c r="L114" s="9"/>
      <c r="O114" s="9"/>
      <c r="P114" s="9"/>
      <c r="Q114" s="9"/>
      <c r="R114" s="9"/>
      <c r="S114" s="9"/>
      <c r="T114" s="9"/>
    </row>
    <row r="115" spans="3:20">
      <c r="C115" s="9"/>
      <c r="D115" s="9"/>
      <c r="E115" s="9"/>
      <c r="F115" s="10"/>
      <c r="G115" s="9"/>
      <c r="H115" s="9"/>
      <c r="I115" s="9"/>
      <c r="J115" s="9"/>
      <c r="K115" s="9"/>
      <c r="L115" s="9"/>
      <c r="O115" s="9"/>
      <c r="P115" s="9"/>
      <c r="Q115" s="9"/>
      <c r="R115" s="9"/>
      <c r="S115" s="9"/>
      <c r="T115" s="9"/>
    </row>
    <row r="116" spans="3:20">
      <c r="C116" s="9"/>
      <c r="D116" s="9"/>
      <c r="E116" s="9"/>
      <c r="F116" s="10"/>
      <c r="G116" s="9"/>
      <c r="H116" s="9"/>
      <c r="I116" s="9"/>
      <c r="J116" s="9"/>
      <c r="K116" s="9"/>
      <c r="L116" s="9"/>
      <c r="O116" s="9"/>
      <c r="P116" s="9"/>
      <c r="Q116" s="9"/>
      <c r="R116" s="9"/>
      <c r="S116" s="9"/>
      <c r="T116" s="9"/>
    </row>
    <row r="117" spans="3:20">
      <c r="C117" s="9"/>
      <c r="D117" s="9"/>
      <c r="E117" s="9"/>
      <c r="F117" s="10"/>
      <c r="G117" s="9"/>
      <c r="H117" s="9"/>
      <c r="I117" s="9"/>
      <c r="J117" s="9"/>
      <c r="K117" s="9"/>
      <c r="L117" s="9"/>
      <c r="O117" s="9"/>
      <c r="P117" s="9"/>
      <c r="Q117" s="9"/>
      <c r="R117" s="9"/>
      <c r="S117" s="9"/>
      <c r="T117" s="9"/>
    </row>
    <row r="118" spans="3:20">
      <c r="C118" s="9"/>
      <c r="D118" s="9"/>
      <c r="E118" s="9"/>
      <c r="F118" s="10"/>
      <c r="G118" s="9"/>
      <c r="H118" s="9"/>
      <c r="I118" s="9"/>
      <c r="J118" s="9"/>
      <c r="K118" s="9"/>
      <c r="L118" s="9"/>
      <c r="O118" s="9"/>
      <c r="P118" s="9"/>
      <c r="Q118" s="9"/>
      <c r="R118" s="9"/>
      <c r="S118" s="9"/>
      <c r="T118" s="9"/>
    </row>
    <row r="119" spans="3:20">
      <c r="C119" s="9"/>
      <c r="D119" s="9"/>
      <c r="E119" s="9"/>
      <c r="F119" s="10"/>
      <c r="G119" s="9"/>
      <c r="H119" s="9"/>
      <c r="I119" s="9"/>
      <c r="J119" s="9"/>
      <c r="K119" s="9"/>
      <c r="L119" s="9"/>
      <c r="O119" s="9"/>
      <c r="P119" s="9"/>
      <c r="Q119" s="9"/>
      <c r="R119" s="9"/>
      <c r="S119" s="9"/>
      <c r="T119" s="9"/>
    </row>
    <row r="120" spans="3:20">
      <c r="C120" s="9"/>
      <c r="D120" s="9"/>
      <c r="E120" s="9"/>
      <c r="F120" s="10"/>
      <c r="G120" s="9"/>
      <c r="H120" s="9"/>
      <c r="I120" s="9"/>
      <c r="J120" s="9"/>
      <c r="K120" s="9"/>
      <c r="L120" s="9"/>
      <c r="O120" s="9"/>
      <c r="P120" s="9"/>
      <c r="Q120" s="9"/>
      <c r="R120" s="9"/>
      <c r="S120" s="9"/>
      <c r="T120" s="9"/>
    </row>
    <row r="121" spans="3:20">
      <c r="C121" s="9"/>
      <c r="D121" s="9"/>
      <c r="E121" s="9"/>
      <c r="F121" s="10"/>
      <c r="G121" s="9"/>
      <c r="H121" s="9"/>
      <c r="I121" s="9"/>
      <c r="J121" s="9"/>
      <c r="K121" s="9"/>
      <c r="L121" s="9"/>
      <c r="O121" s="9"/>
      <c r="P121" s="9"/>
      <c r="Q121" s="9"/>
      <c r="R121" s="9"/>
      <c r="S121" s="9"/>
      <c r="T121" s="9"/>
    </row>
    <row r="122" spans="3:20">
      <c r="C122" s="9"/>
      <c r="D122" s="9"/>
      <c r="E122" s="9"/>
      <c r="F122" s="10"/>
      <c r="G122" s="9"/>
      <c r="H122" s="9"/>
      <c r="I122" s="9"/>
      <c r="J122" s="9"/>
      <c r="K122" s="9"/>
      <c r="L122" s="9"/>
      <c r="O122" s="9"/>
      <c r="P122" s="9"/>
      <c r="Q122" s="9"/>
      <c r="R122" s="9"/>
      <c r="S122" s="9"/>
      <c r="T122" s="9"/>
    </row>
    <row r="123" spans="3:20">
      <c r="C123" s="9"/>
      <c r="D123" s="9"/>
      <c r="E123" s="9"/>
      <c r="F123" s="10"/>
      <c r="G123" s="9"/>
      <c r="H123" s="9"/>
      <c r="I123" s="9"/>
      <c r="J123" s="9"/>
      <c r="K123" s="9"/>
      <c r="L123" s="9"/>
      <c r="O123" s="9"/>
      <c r="P123" s="9"/>
      <c r="Q123" s="9"/>
      <c r="R123" s="9"/>
      <c r="S123" s="9"/>
      <c r="T123" s="9"/>
    </row>
    <row r="124" spans="3:20">
      <c r="C124" s="9"/>
      <c r="D124" s="9"/>
      <c r="E124" s="9"/>
      <c r="F124" s="10"/>
      <c r="G124" s="9"/>
      <c r="H124" s="9"/>
      <c r="I124" s="9"/>
      <c r="J124" s="9"/>
      <c r="K124" s="9"/>
      <c r="L124" s="9"/>
      <c r="O124" s="9"/>
      <c r="P124" s="9"/>
      <c r="Q124" s="9"/>
      <c r="R124" s="9"/>
      <c r="S124" s="9"/>
      <c r="T124" s="9"/>
    </row>
    <row r="125" spans="3:20">
      <c r="C125" s="9"/>
      <c r="D125" s="9"/>
      <c r="E125" s="9"/>
      <c r="F125" s="10"/>
      <c r="G125" s="9"/>
      <c r="H125" s="9"/>
      <c r="I125" s="9"/>
      <c r="J125" s="9"/>
      <c r="K125" s="9"/>
      <c r="L125" s="9"/>
      <c r="O125" s="9"/>
      <c r="P125" s="9"/>
      <c r="Q125" s="9"/>
      <c r="R125" s="9"/>
      <c r="S125" s="9"/>
      <c r="T125" s="9"/>
    </row>
    <row r="126" spans="3:20">
      <c r="C126" s="9"/>
      <c r="D126" s="9"/>
      <c r="E126" s="9"/>
      <c r="F126" s="10"/>
      <c r="G126" s="9"/>
      <c r="H126" s="9"/>
      <c r="I126" s="9"/>
      <c r="J126" s="9"/>
      <c r="K126" s="9"/>
      <c r="L126" s="9"/>
      <c r="O126" s="9"/>
      <c r="P126" s="9"/>
      <c r="Q126" s="9"/>
      <c r="R126" s="9"/>
      <c r="S126" s="9"/>
      <c r="T126" s="9"/>
    </row>
    <row r="127" spans="3:20">
      <c r="C127" s="9"/>
      <c r="D127" s="9"/>
      <c r="E127" s="9"/>
      <c r="F127" s="10"/>
      <c r="G127" s="9"/>
      <c r="H127" s="9"/>
      <c r="I127" s="9"/>
      <c r="J127" s="9"/>
      <c r="K127" s="9"/>
      <c r="L127" s="9"/>
      <c r="O127" s="9"/>
      <c r="P127" s="9"/>
      <c r="Q127" s="9"/>
      <c r="R127" s="9"/>
      <c r="S127" s="9"/>
      <c r="T127" s="9"/>
    </row>
    <row r="128" spans="3:20">
      <c r="C128" s="9"/>
      <c r="D128" s="9"/>
      <c r="E128" s="9"/>
      <c r="F128" s="10"/>
      <c r="G128" s="9"/>
      <c r="H128" s="9"/>
      <c r="I128" s="9"/>
      <c r="J128" s="9"/>
      <c r="K128" s="9"/>
      <c r="L128" s="9"/>
      <c r="O128" s="9"/>
      <c r="P128" s="9"/>
      <c r="Q128" s="9"/>
      <c r="R128" s="9"/>
      <c r="S128" s="9"/>
      <c r="T128" s="9"/>
    </row>
    <row r="129" spans="3:20">
      <c r="C129" s="9"/>
      <c r="D129" s="9"/>
      <c r="E129" s="9"/>
      <c r="F129" s="10"/>
      <c r="G129" s="9"/>
      <c r="H129" s="9"/>
      <c r="I129" s="9"/>
      <c r="J129" s="9"/>
      <c r="K129" s="9"/>
      <c r="L129" s="9"/>
      <c r="O129" s="9"/>
      <c r="P129" s="9"/>
      <c r="Q129" s="9"/>
      <c r="R129" s="9"/>
      <c r="S129" s="9"/>
      <c r="T129" s="9"/>
    </row>
    <row r="130" spans="3:20">
      <c r="C130" s="9"/>
      <c r="D130" s="9"/>
      <c r="E130" s="9"/>
      <c r="F130" s="10"/>
      <c r="G130" s="9"/>
      <c r="H130" s="9"/>
      <c r="I130" s="9"/>
      <c r="J130" s="9"/>
      <c r="K130" s="9"/>
      <c r="L130" s="9"/>
      <c r="O130" s="9"/>
      <c r="P130" s="9"/>
      <c r="Q130" s="9"/>
      <c r="R130" s="9"/>
      <c r="S130" s="9"/>
      <c r="T130" s="9"/>
    </row>
    <row r="131" spans="3:20">
      <c r="C131" s="9"/>
      <c r="D131" s="9"/>
      <c r="E131" s="9"/>
      <c r="F131" s="10"/>
      <c r="G131" s="9"/>
      <c r="H131" s="9"/>
      <c r="I131" s="9"/>
      <c r="J131" s="9"/>
      <c r="K131" s="9"/>
      <c r="L131" s="9"/>
      <c r="O131" s="9"/>
      <c r="P131" s="9"/>
      <c r="Q131" s="9"/>
      <c r="R131" s="9"/>
      <c r="S131" s="9"/>
      <c r="T131" s="9"/>
    </row>
    <row r="132" spans="3:20">
      <c r="C132" s="9"/>
      <c r="D132" s="9"/>
      <c r="E132" s="9"/>
      <c r="F132" s="10"/>
      <c r="G132" s="9"/>
      <c r="H132" s="9"/>
      <c r="I132" s="9"/>
      <c r="J132" s="9"/>
      <c r="K132" s="9"/>
      <c r="L132" s="9"/>
      <c r="O132" s="9"/>
      <c r="P132" s="9"/>
      <c r="Q132" s="9"/>
      <c r="R132" s="9"/>
      <c r="S132" s="9"/>
      <c r="T132" s="9"/>
    </row>
    <row r="133" spans="3:20">
      <c r="C133" s="9"/>
      <c r="D133" s="9"/>
      <c r="E133" s="9"/>
      <c r="F133" s="10"/>
      <c r="G133" s="9"/>
      <c r="H133" s="9"/>
      <c r="I133" s="9"/>
      <c r="J133" s="9"/>
      <c r="K133" s="9"/>
      <c r="L133" s="9"/>
      <c r="O133" s="9"/>
      <c r="P133" s="9"/>
      <c r="Q133" s="9"/>
      <c r="R133" s="9"/>
      <c r="S133" s="9"/>
      <c r="T133" s="9"/>
    </row>
    <row r="134" spans="3:20">
      <c r="C134" s="9"/>
      <c r="D134" s="9"/>
      <c r="E134" s="9"/>
      <c r="F134" s="10"/>
      <c r="G134" s="9"/>
      <c r="H134" s="9"/>
      <c r="I134" s="9"/>
      <c r="J134" s="9"/>
      <c r="K134" s="9"/>
      <c r="L134" s="9"/>
      <c r="O134" s="9"/>
      <c r="P134" s="9"/>
      <c r="Q134" s="9"/>
      <c r="R134" s="9"/>
      <c r="S134" s="9"/>
      <c r="T134" s="9"/>
    </row>
    <row r="135" spans="3:20">
      <c r="C135" s="9"/>
      <c r="D135" s="9"/>
      <c r="E135" s="9"/>
      <c r="F135" s="10"/>
      <c r="G135" s="9"/>
      <c r="H135" s="9"/>
      <c r="I135" s="9"/>
      <c r="J135" s="9"/>
      <c r="K135" s="9"/>
      <c r="L135" s="9"/>
      <c r="O135" s="9"/>
      <c r="P135" s="9"/>
      <c r="Q135" s="9"/>
      <c r="R135" s="9"/>
      <c r="S135" s="9"/>
      <c r="T135" s="9"/>
    </row>
    <row r="136" spans="3:20">
      <c r="C136" s="9"/>
      <c r="D136" s="9"/>
      <c r="E136" s="9"/>
      <c r="F136" s="10"/>
      <c r="G136" s="9"/>
      <c r="H136" s="9"/>
      <c r="I136" s="9"/>
      <c r="J136" s="9"/>
      <c r="K136" s="9"/>
      <c r="L136" s="9"/>
      <c r="O136" s="9"/>
      <c r="P136" s="9"/>
      <c r="Q136" s="9"/>
      <c r="R136" s="9"/>
      <c r="S136" s="9"/>
      <c r="T136" s="9"/>
    </row>
    <row r="137" spans="3:20">
      <c r="C137" s="9"/>
      <c r="D137" s="9"/>
      <c r="E137" s="9"/>
      <c r="F137" s="10"/>
      <c r="G137" s="9"/>
      <c r="H137" s="9"/>
      <c r="I137" s="9"/>
      <c r="J137" s="9"/>
      <c r="K137" s="9"/>
      <c r="L137" s="9"/>
      <c r="O137" s="9"/>
      <c r="P137" s="9"/>
      <c r="Q137" s="9"/>
      <c r="R137" s="9"/>
      <c r="S137" s="9"/>
      <c r="T137" s="9"/>
    </row>
    <row r="138" spans="3:20">
      <c r="C138" s="9"/>
      <c r="D138" s="9"/>
      <c r="E138" s="9"/>
      <c r="F138" s="10"/>
      <c r="G138" s="9"/>
      <c r="H138" s="9"/>
      <c r="I138" s="9"/>
      <c r="J138" s="9"/>
      <c r="K138" s="9"/>
      <c r="L138" s="9"/>
      <c r="O138" s="9"/>
      <c r="P138" s="9"/>
      <c r="Q138" s="9"/>
      <c r="R138" s="9"/>
      <c r="S138" s="9"/>
      <c r="T138" s="9"/>
    </row>
    <row r="139" spans="3:20">
      <c r="C139" s="9"/>
      <c r="D139" s="9"/>
      <c r="E139" s="9"/>
      <c r="F139" s="10"/>
      <c r="G139" s="9"/>
      <c r="H139" s="9"/>
      <c r="I139" s="9"/>
      <c r="J139" s="9"/>
      <c r="K139" s="9"/>
      <c r="L139" s="9"/>
      <c r="O139" s="9"/>
      <c r="P139" s="9"/>
      <c r="Q139" s="9"/>
      <c r="R139" s="9"/>
      <c r="S139" s="9"/>
      <c r="T139" s="9"/>
    </row>
    <row r="140" spans="3:20">
      <c r="C140" s="9"/>
      <c r="D140" s="9"/>
      <c r="E140" s="9"/>
      <c r="F140" s="10"/>
      <c r="G140" s="9"/>
      <c r="H140" s="9"/>
      <c r="I140" s="9"/>
      <c r="J140" s="9"/>
      <c r="K140" s="9"/>
      <c r="L140" s="9"/>
      <c r="O140" s="9"/>
      <c r="P140" s="9"/>
      <c r="Q140" s="9"/>
      <c r="R140" s="9"/>
      <c r="S140" s="9"/>
      <c r="T140" s="9"/>
    </row>
    <row r="141" spans="3:20">
      <c r="C141" s="9"/>
      <c r="D141" s="9"/>
      <c r="E141" s="9"/>
      <c r="F141" s="10"/>
      <c r="G141" s="9"/>
      <c r="H141" s="9"/>
      <c r="I141" s="9"/>
      <c r="J141" s="9"/>
      <c r="K141" s="9"/>
      <c r="L141" s="9"/>
      <c r="O141" s="9"/>
      <c r="P141" s="9"/>
      <c r="Q141" s="9"/>
      <c r="R141" s="9"/>
      <c r="S141" s="9"/>
      <c r="T141" s="9"/>
    </row>
    <row r="142" spans="3:20">
      <c r="C142" s="9"/>
      <c r="D142" s="9"/>
      <c r="E142" s="9"/>
      <c r="F142" s="10"/>
      <c r="G142" s="9"/>
      <c r="H142" s="9"/>
      <c r="I142" s="9"/>
      <c r="J142" s="9"/>
      <c r="K142" s="9"/>
      <c r="L142" s="9"/>
      <c r="O142" s="9"/>
      <c r="P142" s="9"/>
      <c r="Q142" s="9"/>
      <c r="R142" s="9"/>
      <c r="S142" s="9"/>
      <c r="T142" s="9"/>
    </row>
    <row r="143" spans="3:20">
      <c r="C143" s="9"/>
      <c r="D143" s="9"/>
      <c r="E143" s="9"/>
      <c r="F143" s="10"/>
      <c r="G143" s="9"/>
      <c r="H143" s="9"/>
      <c r="I143" s="9"/>
      <c r="J143" s="9"/>
      <c r="K143" s="9"/>
      <c r="L143" s="9"/>
      <c r="O143" s="9"/>
      <c r="P143" s="9"/>
      <c r="Q143" s="9"/>
      <c r="R143" s="9"/>
      <c r="S143" s="9"/>
      <c r="T143" s="9"/>
    </row>
    <row r="144" spans="3:20">
      <c r="C144" s="9"/>
      <c r="D144" s="9"/>
      <c r="E144" s="9"/>
      <c r="F144" s="10"/>
      <c r="G144" s="9"/>
      <c r="H144" s="9"/>
      <c r="I144" s="9"/>
      <c r="J144" s="9"/>
      <c r="K144" s="9"/>
      <c r="L144" s="9"/>
      <c r="O144" s="9"/>
      <c r="P144" s="9"/>
      <c r="Q144" s="9"/>
      <c r="R144" s="9"/>
      <c r="S144" s="9"/>
      <c r="T144" s="9"/>
    </row>
    <row r="145" spans="3:20">
      <c r="C145" s="9"/>
      <c r="D145" s="9"/>
      <c r="E145" s="9"/>
      <c r="F145" s="10"/>
      <c r="G145" s="9"/>
      <c r="H145" s="9"/>
      <c r="I145" s="9"/>
      <c r="J145" s="9"/>
      <c r="K145" s="9"/>
      <c r="L145" s="9"/>
      <c r="O145" s="9"/>
      <c r="P145" s="9"/>
      <c r="Q145" s="9"/>
      <c r="R145" s="9"/>
      <c r="S145" s="9"/>
      <c r="T145" s="9"/>
    </row>
    <row r="146" spans="3:20">
      <c r="C146" s="9"/>
      <c r="D146" s="9"/>
      <c r="E146" s="9"/>
      <c r="F146" s="10"/>
      <c r="G146" s="9"/>
      <c r="H146" s="9"/>
      <c r="I146" s="9"/>
      <c r="J146" s="9"/>
      <c r="K146" s="9"/>
      <c r="L146" s="9"/>
      <c r="O146" s="9"/>
      <c r="P146" s="9"/>
      <c r="Q146" s="9"/>
      <c r="R146" s="9"/>
      <c r="S146" s="9"/>
      <c r="T146" s="9"/>
    </row>
    <row r="147" spans="3:20">
      <c r="C147" s="9"/>
      <c r="D147" s="9"/>
      <c r="E147" s="9"/>
      <c r="F147" s="10"/>
      <c r="G147" s="9"/>
      <c r="H147" s="9"/>
      <c r="I147" s="9"/>
      <c r="J147" s="9"/>
      <c r="K147" s="9"/>
      <c r="L147" s="9"/>
      <c r="O147" s="9"/>
      <c r="P147" s="9"/>
      <c r="Q147" s="9"/>
      <c r="R147" s="9"/>
      <c r="S147" s="9"/>
      <c r="T147" s="9"/>
    </row>
    <row r="148" spans="3:20">
      <c r="C148" s="9"/>
      <c r="D148" s="9"/>
      <c r="E148" s="9"/>
      <c r="F148" s="10"/>
      <c r="G148" s="9"/>
      <c r="H148" s="9"/>
      <c r="I148" s="9"/>
      <c r="J148" s="9"/>
      <c r="K148" s="9"/>
      <c r="L148" s="9"/>
      <c r="O148" s="9"/>
      <c r="P148" s="9"/>
      <c r="Q148" s="9"/>
      <c r="R148" s="9"/>
      <c r="S148" s="9"/>
      <c r="T148" s="9"/>
    </row>
    <row r="149" spans="3:20">
      <c r="C149" s="9"/>
      <c r="D149" s="9"/>
      <c r="E149" s="9"/>
      <c r="F149" s="10"/>
      <c r="G149" s="9"/>
      <c r="H149" s="9"/>
      <c r="I149" s="9"/>
      <c r="J149" s="9"/>
      <c r="K149" s="9"/>
      <c r="L149" s="9"/>
      <c r="O149" s="9"/>
      <c r="P149" s="9"/>
      <c r="Q149" s="9"/>
      <c r="R149" s="9"/>
      <c r="S149" s="9"/>
      <c r="T149" s="9"/>
    </row>
    <row r="150" spans="3:20">
      <c r="C150" s="9"/>
      <c r="D150" s="9"/>
      <c r="E150" s="9"/>
      <c r="F150" s="10"/>
      <c r="G150" s="9"/>
      <c r="H150" s="9"/>
      <c r="I150" s="9"/>
      <c r="J150" s="9"/>
      <c r="K150" s="9"/>
      <c r="L150" s="9"/>
      <c r="O150" s="9"/>
      <c r="P150" s="9"/>
      <c r="Q150" s="9"/>
      <c r="R150" s="9"/>
      <c r="S150" s="9"/>
      <c r="T150" s="9"/>
    </row>
    <row r="151" spans="3:20">
      <c r="C151" s="9"/>
      <c r="D151" s="9"/>
      <c r="E151" s="9"/>
      <c r="F151" s="10"/>
      <c r="G151" s="9"/>
      <c r="H151" s="9"/>
      <c r="I151" s="9"/>
      <c r="J151" s="9"/>
      <c r="K151" s="9"/>
      <c r="L151" s="9"/>
      <c r="O151" s="9"/>
      <c r="P151" s="9"/>
      <c r="Q151" s="9"/>
      <c r="R151" s="9"/>
      <c r="S151" s="9"/>
      <c r="T151" s="9"/>
    </row>
    <row r="152" spans="3:20">
      <c r="C152" s="9"/>
      <c r="D152" s="9"/>
      <c r="E152" s="9"/>
      <c r="F152" s="10"/>
      <c r="G152" s="9"/>
      <c r="H152" s="9"/>
      <c r="I152" s="9"/>
      <c r="J152" s="9"/>
      <c r="K152" s="9"/>
      <c r="L152" s="9"/>
      <c r="O152" s="9"/>
      <c r="P152" s="9"/>
      <c r="Q152" s="9"/>
      <c r="R152" s="9"/>
      <c r="S152" s="9"/>
      <c r="T152" s="9"/>
    </row>
    <row r="153" spans="3:20">
      <c r="C153" s="9"/>
      <c r="D153" s="9"/>
      <c r="E153" s="9"/>
      <c r="F153" s="10"/>
      <c r="G153" s="9"/>
      <c r="H153" s="9"/>
      <c r="I153" s="9"/>
      <c r="J153" s="9"/>
      <c r="K153" s="9"/>
      <c r="L153" s="9"/>
      <c r="O153" s="9"/>
      <c r="P153" s="9"/>
      <c r="Q153" s="9"/>
      <c r="R153" s="9"/>
      <c r="S153" s="9"/>
      <c r="T153" s="9"/>
    </row>
    <row r="154" spans="3:20">
      <c r="C154" s="9"/>
      <c r="D154" s="9"/>
      <c r="E154" s="9"/>
      <c r="F154" s="10"/>
      <c r="G154" s="9"/>
      <c r="H154" s="9"/>
      <c r="I154" s="9"/>
      <c r="J154" s="9"/>
      <c r="K154" s="9"/>
      <c r="L154" s="9"/>
      <c r="O154" s="9"/>
      <c r="P154" s="9"/>
      <c r="Q154" s="9"/>
      <c r="R154" s="9"/>
      <c r="S154" s="9"/>
      <c r="T154" s="9"/>
    </row>
    <row r="155" spans="3:20">
      <c r="C155" s="9"/>
      <c r="D155" s="9"/>
      <c r="E155" s="9"/>
      <c r="F155" s="10"/>
      <c r="G155" s="9"/>
      <c r="H155" s="9"/>
      <c r="I155" s="9"/>
      <c r="J155" s="9"/>
      <c r="K155" s="9"/>
      <c r="L155" s="9"/>
      <c r="O155" s="9"/>
      <c r="P155" s="9"/>
      <c r="Q155" s="9"/>
      <c r="R155" s="9"/>
      <c r="S155" s="9"/>
      <c r="T155" s="9"/>
    </row>
    <row r="156" spans="3:20">
      <c r="C156" s="9"/>
      <c r="D156" s="9"/>
      <c r="E156" s="9"/>
      <c r="F156" s="10"/>
      <c r="G156" s="9"/>
      <c r="H156" s="9"/>
      <c r="I156" s="9"/>
      <c r="J156" s="9"/>
      <c r="K156" s="9"/>
      <c r="L156" s="9"/>
      <c r="O156" s="9"/>
      <c r="P156" s="9"/>
      <c r="Q156" s="9"/>
      <c r="R156" s="9"/>
      <c r="S156" s="9"/>
      <c r="T156" s="9"/>
    </row>
    <row r="157" spans="3:20">
      <c r="C157" s="9"/>
      <c r="D157" s="9"/>
      <c r="E157" s="9"/>
      <c r="F157" s="10"/>
      <c r="G157" s="9"/>
      <c r="H157" s="9"/>
      <c r="I157" s="9"/>
      <c r="J157" s="9"/>
      <c r="K157" s="9"/>
      <c r="L157" s="9"/>
      <c r="O157" s="9"/>
      <c r="P157" s="9"/>
      <c r="Q157" s="9"/>
      <c r="R157" s="9"/>
      <c r="S157" s="9"/>
      <c r="T157" s="9"/>
    </row>
    <row r="158" spans="3:20">
      <c r="C158" s="9"/>
      <c r="D158" s="9"/>
      <c r="E158" s="9"/>
      <c r="F158" s="10"/>
      <c r="G158" s="9"/>
      <c r="H158" s="9"/>
      <c r="I158" s="9"/>
      <c r="J158" s="9"/>
      <c r="K158" s="9"/>
      <c r="L158" s="9"/>
      <c r="O158" s="9"/>
      <c r="P158" s="9"/>
      <c r="Q158" s="9"/>
      <c r="R158" s="9"/>
      <c r="S158" s="9"/>
      <c r="T158" s="9"/>
    </row>
    <row r="159" spans="3:20">
      <c r="C159" s="9"/>
      <c r="D159" s="9"/>
      <c r="E159" s="9"/>
      <c r="F159" s="10"/>
      <c r="G159" s="9"/>
      <c r="H159" s="9"/>
      <c r="I159" s="9"/>
      <c r="J159" s="9"/>
      <c r="K159" s="9"/>
      <c r="L159" s="9"/>
      <c r="O159" s="9"/>
      <c r="P159" s="9"/>
      <c r="Q159" s="9"/>
      <c r="R159" s="9"/>
      <c r="S159" s="9"/>
      <c r="T159" s="9"/>
    </row>
    <row r="160" spans="3:20">
      <c r="C160" s="9"/>
      <c r="D160" s="9"/>
      <c r="E160" s="9"/>
      <c r="F160" s="10"/>
      <c r="G160" s="9"/>
      <c r="H160" s="9"/>
      <c r="I160" s="9"/>
      <c r="J160" s="9"/>
      <c r="K160" s="9"/>
      <c r="L160" s="9"/>
      <c r="O160" s="9"/>
      <c r="P160" s="9"/>
      <c r="Q160" s="9"/>
      <c r="R160" s="9"/>
      <c r="S160" s="9"/>
      <c r="T160" s="9"/>
    </row>
    <row r="161" spans="3:20">
      <c r="C161" s="9"/>
      <c r="D161" s="9"/>
      <c r="E161" s="9"/>
      <c r="F161" s="10"/>
      <c r="G161" s="9"/>
      <c r="H161" s="9"/>
      <c r="I161" s="9"/>
      <c r="J161" s="9"/>
      <c r="K161" s="9"/>
      <c r="L161" s="9"/>
      <c r="O161" s="9"/>
      <c r="P161" s="9"/>
      <c r="Q161" s="9"/>
      <c r="R161" s="9"/>
      <c r="S161" s="9"/>
      <c r="T161" s="9"/>
    </row>
    <row r="162" spans="3:20">
      <c r="C162" s="9"/>
      <c r="D162" s="9"/>
      <c r="E162" s="9"/>
      <c r="F162" s="10"/>
      <c r="G162" s="9"/>
      <c r="H162" s="9"/>
      <c r="I162" s="9"/>
      <c r="J162" s="9"/>
      <c r="K162" s="9"/>
      <c r="L162" s="9"/>
      <c r="O162" s="9"/>
      <c r="P162" s="9"/>
      <c r="Q162" s="9"/>
      <c r="R162" s="9"/>
      <c r="S162" s="9"/>
      <c r="T162" s="9"/>
    </row>
    <row r="163" spans="3:20">
      <c r="C163" s="9"/>
      <c r="D163" s="9"/>
      <c r="E163" s="9"/>
      <c r="F163" s="10"/>
      <c r="G163" s="9"/>
      <c r="H163" s="9"/>
      <c r="I163" s="9"/>
      <c r="J163" s="9"/>
      <c r="K163" s="9"/>
      <c r="L163" s="9"/>
      <c r="O163" s="9"/>
      <c r="P163" s="9"/>
      <c r="Q163" s="9"/>
      <c r="R163" s="9"/>
      <c r="S163" s="9"/>
      <c r="T163" s="9"/>
    </row>
    <row r="164" spans="3:20">
      <c r="C164" s="9"/>
      <c r="D164" s="9"/>
      <c r="E164" s="9"/>
      <c r="F164" s="10"/>
      <c r="G164" s="9"/>
      <c r="H164" s="9"/>
      <c r="I164" s="9"/>
      <c r="J164" s="9"/>
      <c r="K164" s="9"/>
      <c r="L164" s="9"/>
      <c r="O164" s="9"/>
      <c r="P164" s="9"/>
      <c r="Q164" s="9"/>
      <c r="R164" s="9"/>
      <c r="S164" s="9"/>
      <c r="T164" s="9"/>
    </row>
    <row r="165" spans="3:20">
      <c r="C165" s="9"/>
      <c r="D165" s="9"/>
      <c r="E165" s="9"/>
      <c r="F165" s="10"/>
      <c r="G165" s="9"/>
      <c r="H165" s="9"/>
      <c r="I165" s="9"/>
      <c r="J165" s="9"/>
      <c r="K165" s="9"/>
      <c r="L165" s="9"/>
      <c r="O165" s="9"/>
      <c r="P165" s="9"/>
      <c r="Q165" s="9"/>
      <c r="R165" s="9"/>
      <c r="S165" s="9"/>
      <c r="T165" s="9"/>
    </row>
    <row r="166" spans="3:20">
      <c r="C166" s="9"/>
      <c r="D166" s="9"/>
      <c r="E166" s="9"/>
      <c r="F166" s="10"/>
      <c r="G166" s="9"/>
      <c r="H166" s="9"/>
      <c r="I166" s="9"/>
      <c r="J166" s="9"/>
      <c r="K166" s="9"/>
      <c r="L166" s="9"/>
      <c r="O166" s="9"/>
      <c r="P166" s="9"/>
      <c r="Q166" s="9"/>
      <c r="R166" s="9"/>
      <c r="S166" s="9"/>
      <c r="T166" s="9"/>
    </row>
    <row r="167" spans="3:20">
      <c r="C167" s="9"/>
      <c r="D167" s="9"/>
      <c r="E167" s="9"/>
      <c r="F167" s="10"/>
      <c r="G167" s="9"/>
      <c r="H167" s="9"/>
      <c r="I167" s="9"/>
      <c r="J167" s="9"/>
      <c r="K167" s="9"/>
      <c r="L167" s="9"/>
      <c r="O167" s="9"/>
      <c r="P167" s="9"/>
      <c r="Q167" s="9"/>
      <c r="R167" s="9"/>
      <c r="S167" s="9"/>
      <c r="T167" s="9"/>
    </row>
    <row r="168" spans="3:20">
      <c r="C168" s="9"/>
      <c r="D168" s="9"/>
      <c r="E168" s="9"/>
      <c r="F168" s="10"/>
      <c r="G168" s="9"/>
      <c r="H168" s="9"/>
      <c r="I168" s="9"/>
      <c r="J168" s="9"/>
      <c r="K168" s="9"/>
      <c r="L168" s="9"/>
      <c r="O168" s="9"/>
      <c r="P168" s="9"/>
      <c r="Q168" s="9"/>
      <c r="R168" s="9"/>
      <c r="S168" s="9"/>
      <c r="T168" s="9"/>
    </row>
    <row r="169" spans="3:20">
      <c r="C169" s="9"/>
      <c r="D169" s="9"/>
      <c r="E169" s="9"/>
      <c r="F169" s="10"/>
      <c r="G169" s="9"/>
      <c r="H169" s="9"/>
      <c r="I169" s="9"/>
      <c r="J169" s="9"/>
      <c r="K169" s="9"/>
      <c r="L169" s="9"/>
      <c r="O169" s="9"/>
      <c r="P169" s="9"/>
      <c r="Q169" s="9"/>
      <c r="R169" s="9"/>
      <c r="S169" s="9"/>
      <c r="T169" s="9"/>
    </row>
    <row r="170" spans="3:20">
      <c r="C170" s="9"/>
      <c r="D170" s="9"/>
      <c r="E170" s="9"/>
      <c r="F170" s="10"/>
      <c r="G170" s="9"/>
      <c r="H170" s="9"/>
      <c r="I170" s="9"/>
      <c r="J170" s="9"/>
      <c r="K170" s="9"/>
      <c r="L170" s="9"/>
      <c r="O170" s="9"/>
      <c r="P170" s="9"/>
      <c r="Q170" s="9"/>
      <c r="R170" s="9"/>
      <c r="S170" s="9"/>
      <c r="T170" s="9"/>
    </row>
    <row r="171" spans="3:20">
      <c r="C171" s="9"/>
      <c r="D171" s="9"/>
      <c r="E171" s="9"/>
      <c r="F171" s="10"/>
      <c r="G171" s="9"/>
      <c r="H171" s="9"/>
      <c r="I171" s="9"/>
      <c r="J171" s="9"/>
      <c r="K171" s="9"/>
      <c r="L171" s="9"/>
      <c r="O171" s="9"/>
      <c r="P171" s="9"/>
      <c r="Q171" s="9"/>
      <c r="R171" s="9"/>
      <c r="S171" s="9"/>
      <c r="T171" s="9"/>
    </row>
    <row r="172" spans="3:20">
      <c r="C172" s="9"/>
      <c r="D172" s="9"/>
      <c r="E172" s="9"/>
      <c r="F172" s="10"/>
      <c r="G172" s="9"/>
      <c r="H172" s="9"/>
      <c r="I172" s="9"/>
      <c r="J172" s="9"/>
      <c r="K172" s="9"/>
      <c r="L172" s="9"/>
      <c r="O172" s="9"/>
      <c r="P172" s="9"/>
      <c r="Q172" s="9"/>
      <c r="R172" s="9"/>
      <c r="S172" s="9"/>
      <c r="T172" s="9"/>
    </row>
    <row r="173" spans="3:20">
      <c r="C173" s="9"/>
      <c r="D173" s="9"/>
      <c r="E173" s="9"/>
      <c r="F173" s="10"/>
      <c r="G173" s="9"/>
      <c r="H173" s="9"/>
      <c r="I173" s="9"/>
      <c r="J173" s="9"/>
      <c r="K173" s="9"/>
      <c r="L173" s="9"/>
      <c r="O173" s="9"/>
      <c r="P173" s="9"/>
      <c r="Q173" s="9"/>
      <c r="R173" s="9"/>
      <c r="S173" s="9"/>
      <c r="T173" s="9"/>
    </row>
    <row r="174" spans="3:20">
      <c r="C174" s="9"/>
      <c r="D174" s="9"/>
      <c r="E174" s="9"/>
      <c r="F174" s="10"/>
      <c r="G174" s="9"/>
      <c r="H174" s="9"/>
      <c r="I174" s="9"/>
      <c r="J174" s="9"/>
      <c r="K174" s="9"/>
      <c r="L174" s="9"/>
      <c r="O174" s="9"/>
      <c r="P174" s="9"/>
      <c r="Q174" s="9"/>
      <c r="R174" s="9"/>
      <c r="S174" s="9"/>
      <c r="T174" s="9"/>
    </row>
    <row r="175" spans="3:20">
      <c r="C175" s="9"/>
      <c r="D175" s="9"/>
      <c r="E175" s="9"/>
      <c r="F175" s="10"/>
      <c r="G175" s="9"/>
      <c r="H175" s="9"/>
      <c r="I175" s="9"/>
      <c r="J175" s="9"/>
      <c r="K175" s="9"/>
      <c r="L175" s="9"/>
      <c r="O175" s="9"/>
      <c r="P175" s="9"/>
      <c r="Q175" s="9"/>
      <c r="R175" s="9"/>
      <c r="S175" s="9"/>
      <c r="T175" s="9"/>
    </row>
    <row r="176" spans="3:20">
      <c r="C176" s="9"/>
      <c r="D176" s="9"/>
      <c r="E176" s="9"/>
      <c r="F176" s="10"/>
      <c r="G176" s="9"/>
      <c r="H176" s="9"/>
      <c r="I176" s="9"/>
      <c r="J176" s="9"/>
      <c r="K176" s="9"/>
      <c r="L176" s="9"/>
      <c r="O176" s="9"/>
      <c r="P176" s="9"/>
      <c r="Q176" s="9"/>
      <c r="R176" s="9"/>
      <c r="S176" s="9"/>
      <c r="T176" s="9"/>
    </row>
    <row r="177" spans="3:20">
      <c r="C177" s="9"/>
      <c r="D177" s="9"/>
      <c r="E177" s="9"/>
      <c r="F177" s="10"/>
      <c r="G177" s="9"/>
      <c r="H177" s="9"/>
      <c r="I177" s="9"/>
      <c r="J177" s="9"/>
      <c r="K177" s="9"/>
      <c r="L177" s="9"/>
      <c r="O177" s="9"/>
      <c r="P177" s="9"/>
      <c r="Q177" s="9"/>
      <c r="R177" s="9"/>
      <c r="S177" s="9"/>
      <c r="T177" s="9"/>
    </row>
    <row r="178" spans="3:20">
      <c r="C178" s="9"/>
      <c r="D178" s="9"/>
      <c r="E178" s="9"/>
      <c r="F178" s="10"/>
      <c r="G178" s="9"/>
      <c r="H178" s="9"/>
      <c r="I178" s="9"/>
      <c r="J178" s="9"/>
      <c r="K178" s="9"/>
      <c r="L178" s="9"/>
      <c r="O178" s="9"/>
      <c r="P178" s="9"/>
      <c r="Q178" s="9"/>
      <c r="R178" s="9"/>
      <c r="S178" s="9"/>
      <c r="T178" s="9"/>
    </row>
    <row r="179" spans="3:20">
      <c r="C179" s="9"/>
      <c r="D179" s="9"/>
      <c r="E179" s="9"/>
      <c r="F179" s="10"/>
      <c r="G179" s="9"/>
      <c r="H179" s="9"/>
      <c r="I179" s="9"/>
      <c r="J179" s="9"/>
      <c r="K179" s="9"/>
      <c r="L179" s="9"/>
      <c r="O179" s="9"/>
      <c r="P179" s="9"/>
      <c r="Q179" s="9"/>
      <c r="R179" s="9"/>
      <c r="S179" s="9"/>
      <c r="T179" s="9"/>
    </row>
    <row r="180" spans="3:20">
      <c r="C180" s="9"/>
      <c r="D180" s="9"/>
      <c r="E180" s="9"/>
      <c r="F180" s="10"/>
      <c r="G180" s="9"/>
      <c r="H180" s="9"/>
      <c r="I180" s="9"/>
      <c r="J180" s="9"/>
      <c r="K180" s="9"/>
      <c r="L180" s="9"/>
      <c r="O180" s="9"/>
      <c r="P180" s="9"/>
      <c r="Q180" s="9"/>
      <c r="R180" s="9"/>
      <c r="S180" s="9"/>
      <c r="T180" s="9"/>
    </row>
    <row r="181" spans="3:20">
      <c r="C181" s="9"/>
      <c r="D181" s="9"/>
      <c r="E181" s="9"/>
      <c r="F181" s="10"/>
      <c r="G181" s="9"/>
      <c r="H181" s="9"/>
      <c r="I181" s="9"/>
      <c r="J181" s="9"/>
      <c r="K181" s="9"/>
      <c r="L181" s="9"/>
      <c r="O181" s="9"/>
      <c r="P181" s="9"/>
      <c r="Q181" s="9"/>
      <c r="R181" s="9"/>
      <c r="S181" s="9"/>
      <c r="T181" s="9"/>
    </row>
    <row r="182" spans="3:20">
      <c r="C182" s="9"/>
      <c r="D182" s="9"/>
      <c r="E182" s="9"/>
      <c r="F182" s="10"/>
      <c r="G182" s="9"/>
      <c r="H182" s="9"/>
      <c r="I182" s="9"/>
      <c r="J182" s="9"/>
      <c r="K182" s="9"/>
      <c r="L182" s="9"/>
      <c r="O182" s="9"/>
      <c r="P182" s="9"/>
      <c r="Q182" s="9"/>
      <c r="R182" s="9"/>
      <c r="S182" s="9"/>
      <c r="T182" s="9"/>
    </row>
    <row r="183" spans="3:20">
      <c r="C183" s="9"/>
      <c r="D183" s="9"/>
      <c r="E183" s="9"/>
      <c r="F183" s="10"/>
      <c r="G183" s="9"/>
      <c r="H183" s="9"/>
      <c r="I183" s="9"/>
      <c r="J183" s="9"/>
      <c r="K183" s="9"/>
      <c r="L183" s="9"/>
      <c r="O183" s="9"/>
      <c r="P183" s="9"/>
      <c r="Q183" s="9"/>
      <c r="R183" s="9"/>
      <c r="S183" s="9"/>
      <c r="T183" s="9"/>
    </row>
    <row r="184" spans="3:20">
      <c r="C184" s="9"/>
      <c r="D184" s="9"/>
      <c r="E184" s="9"/>
      <c r="F184" s="10"/>
      <c r="G184" s="9"/>
      <c r="H184" s="9"/>
      <c r="I184" s="9"/>
      <c r="J184" s="9"/>
      <c r="K184" s="9"/>
      <c r="L184" s="9"/>
      <c r="O184" s="9"/>
      <c r="P184" s="9"/>
      <c r="Q184" s="9"/>
      <c r="R184" s="9"/>
      <c r="S184" s="9"/>
      <c r="T184" s="9"/>
    </row>
    <row r="185" spans="3:20">
      <c r="C185" s="9"/>
      <c r="D185" s="9"/>
      <c r="E185" s="9"/>
      <c r="F185" s="10"/>
      <c r="G185" s="9"/>
      <c r="H185" s="9"/>
      <c r="I185" s="9"/>
      <c r="J185" s="9"/>
      <c r="K185" s="9"/>
      <c r="L185" s="9"/>
      <c r="O185" s="9"/>
      <c r="P185" s="9"/>
      <c r="Q185" s="9"/>
      <c r="R185" s="9"/>
      <c r="S185" s="9"/>
      <c r="T185" s="9"/>
    </row>
    <row r="186" spans="3:20">
      <c r="C186" s="9"/>
      <c r="D186" s="9"/>
      <c r="E186" s="9"/>
      <c r="F186" s="10"/>
      <c r="G186" s="9"/>
      <c r="H186" s="9"/>
      <c r="I186" s="9"/>
      <c r="J186" s="9"/>
      <c r="K186" s="9"/>
      <c r="L186" s="9"/>
      <c r="O186" s="9"/>
      <c r="P186" s="9"/>
      <c r="Q186" s="9"/>
      <c r="R186" s="9"/>
      <c r="S186" s="9"/>
      <c r="T186" s="9"/>
    </row>
    <row r="187" spans="3:20">
      <c r="C187" s="9"/>
      <c r="D187" s="9"/>
      <c r="E187" s="9"/>
      <c r="F187" s="10"/>
      <c r="G187" s="9"/>
      <c r="H187" s="9"/>
      <c r="I187" s="9"/>
      <c r="J187" s="9"/>
      <c r="K187" s="9"/>
      <c r="L187" s="9"/>
      <c r="O187" s="9"/>
      <c r="P187" s="9"/>
      <c r="Q187" s="9"/>
      <c r="R187" s="9"/>
      <c r="S187" s="9"/>
      <c r="T187" s="9"/>
    </row>
    <row r="188" spans="3:20">
      <c r="C188" s="9"/>
      <c r="D188" s="9"/>
      <c r="E188" s="9"/>
      <c r="F188" s="10"/>
      <c r="G188" s="9"/>
      <c r="H188" s="9"/>
      <c r="I188" s="9"/>
      <c r="J188" s="9"/>
      <c r="K188" s="9"/>
      <c r="L188" s="9"/>
      <c r="O188" s="9"/>
      <c r="P188" s="9"/>
      <c r="Q188" s="9"/>
      <c r="R188" s="9"/>
      <c r="S188" s="9"/>
      <c r="T188" s="9"/>
    </row>
    <row r="189" spans="3:20">
      <c r="C189" s="9"/>
      <c r="D189" s="9"/>
      <c r="E189" s="9"/>
      <c r="F189" s="10"/>
      <c r="G189" s="9"/>
      <c r="H189" s="9"/>
      <c r="I189" s="9"/>
      <c r="J189" s="9"/>
      <c r="K189" s="9"/>
      <c r="L189" s="9"/>
      <c r="O189" s="9"/>
      <c r="P189" s="9"/>
      <c r="Q189" s="9"/>
      <c r="R189" s="9"/>
      <c r="S189" s="9"/>
      <c r="T189" s="9"/>
    </row>
    <row r="190" spans="3:20">
      <c r="C190" s="9"/>
      <c r="D190" s="9"/>
      <c r="E190" s="9"/>
      <c r="F190" s="10"/>
      <c r="G190" s="9"/>
      <c r="H190" s="9"/>
      <c r="I190" s="9"/>
      <c r="J190" s="9"/>
      <c r="K190" s="9"/>
      <c r="L190" s="9"/>
      <c r="O190" s="9"/>
      <c r="P190" s="9"/>
      <c r="Q190" s="9"/>
      <c r="R190" s="9"/>
      <c r="S190" s="9"/>
      <c r="T190" s="9"/>
    </row>
    <row r="191" spans="3:20">
      <c r="C191" s="9"/>
      <c r="D191" s="9"/>
      <c r="E191" s="9"/>
      <c r="F191" s="10"/>
      <c r="G191" s="9"/>
      <c r="H191" s="9"/>
      <c r="I191" s="9"/>
      <c r="J191" s="9"/>
      <c r="K191" s="9"/>
      <c r="L191" s="9"/>
      <c r="O191" s="9"/>
      <c r="P191" s="9"/>
      <c r="Q191" s="9"/>
      <c r="R191" s="9"/>
      <c r="S191" s="9"/>
      <c r="T191" s="9"/>
    </row>
    <row r="192" spans="3:20">
      <c r="C192" s="9"/>
      <c r="D192" s="9"/>
      <c r="E192" s="9"/>
      <c r="F192" s="10"/>
      <c r="G192" s="9"/>
      <c r="H192" s="9"/>
      <c r="I192" s="9"/>
      <c r="J192" s="9"/>
      <c r="K192" s="9"/>
      <c r="L192" s="9"/>
      <c r="O192" s="9"/>
      <c r="P192" s="9"/>
      <c r="Q192" s="9"/>
      <c r="R192" s="9"/>
      <c r="S192" s="9"/>
      <c r="T192" s="9"/>
    </row>
    <row r="193" spans="3:20">
      <c r="C193" s="9"/>
      <c r="D193" s="9"/>
      <c r="E193" s="9"/>
      <c r="F193" s="10"/>
      <c r="G193" s="9"/>
      <c r="H193" s="9"/>
      <c r="I193" s="9"/>
      <c r="J193" s="9"/>
      <c r="K193" s="9"/>
      <c r="L193" s="9"/>
      <c r="O193" s="9"/>
      <c r="P193" s="9"/>
      <c r="Q193" s="9"/>
      <c r="R193" s="9"/>
      <c r="S193" s="9"/>
      <c r="T193" s="9"/>
    </row>
    <row r="194" spans="3:20">
      <c r="C194" s="9"/>
      <c r="D194" s="9"/>
      <c r="E194" s="9"/>
      <c r="F194" s="10"/>
      <c r="G194" s="9"/>
      <c r="H194" s="9"/>
      <c r="I194" s="9"/>
      <c r="J194" s="9"/>
      <c r="K194" s="9"/>
      <c r="L194" s="9"/>
      <c r="O194" s="9"/>
      <c r="P194" s="9"/>
      <c r="Q194" s="9"/>
      <c r="R194" s="9"/>
      <c r="S194" s="9"/>
      <c r="T194" s="9"/>
    </row>
    <row r="195" spans="3:20">
      <c r="C195" s="9"/>
      <c r="D195" s="9"/>
      <c r="E195" s="9"/>
      <c r="F195" s="10"/>
      <c r="G195" s="9"/>
      <c r="H195" s="9"/>
      <c r="I195" s="9"/>
      <c r="J195" s="9"/>
      <c r="K195" s="9"/>
      <c r="L195" s="9"/>
      <c r="O195" s="9"/>
      <c r="P195" s="9"/>
      <c r="Q195" s="9"/>
      <c r="R195" s="9"/>
      <c r="S195" s="9"/>
      <c r="T195" s="9"/>
    </row>
    <row r="196" spans="3:20">
      <c r="C196" s="9"/>
      <c r="D196" s="9"/>
      <c r="E196" s="9"/>
      <c r="F196" s="10"/>
      <c r="G196" s="9"/>
      <c r="H196" s="9"/>
      <c r="I196" s="9"/>
      <c r="J196" s="9"/>
      <c r="K196" s="9"/>
      <c r="L196" s="9"/>
      <c r="O196" s="9"/>
      <c r="P196" s="9"/>
      <c r="Q196" s="9"/>
      <c r="R196" s="9"/>
      <c r="S196" s="9"/>
      <c r="T196" s="9"/>
    </row>
    <row r="197" spans="3:20">
      <c r="C197" s="9"/>
      <c r="D197" s="9"/>
      <c r="E197" s="9"/>
      <c r="F197" s="10"/>
      <c r="G197" s="9"/>
      <c r="H197" s="9"/>
      <c r="I197" s="9"/>
      <c r="J197" s="9"/>
      <c r="K197" s="9"/>
      <c r="L197" s="9"/>
      <c r="O197" s="9"/>
      <c r="P197" s="9"/>
      <c r="Q197" s="9"/>
      <c r="R197" s="9"/>
      <c r="S197" s="9"/>
      <c r="T197" s="9"/>
    </row>
    <row r="198" spans="3:20">
      <c r="C198" s="9"/>
      <c r="D198" s="9"/>
      <c r="E198" s="9"/>
      <c r="F198" s="10"/>
      <c r="G198" s="9"/>
      <c r="H198" s="9"/>
      <c r="I198" s="9"/>
      <c r="J198" s="9"/>
      <c r="K198" s="9"/>
      <c r="L198" s="9"/>
      <c r="O198" s="9"/>
      <c r="P198" s="9"/>
      <c r="Q198" s="9"/>
      <c r="R198" s="9"/>
      <c r="S198" s="9"/>
      <c r="T198" s="9"/>
    </row>
    <row r="199" spans="3:20">
      <c r="C199" s="9"/>
      <c r="D199" s="9"/>
      <c r="E199" s="9"/>
      <c r="F199" s="10"/>
      <c r="G199" s="9"/>
      <c r="H199" s="9"/>
      <c r="I199" s="9"/>
      <c r="J199" s="9"/>
      <c r="K199" s="9"/>
      <c r="L199" s="9"/>
      <c r="O199" s="9"/>
      <c r="P199" s="9"/>
      <c r="Q199" s="9"/>
      <c r="R199" s="9"/>
      <c r="S199" s="9"/>
      <c r="T199" s="9"/>
    </row>
    <row r="200" spans="3:20">
      <c r="C200" s="9"/>
      <c r="D200" s="9"/>
      <c r="E200" s="9"/>
      <c r="F200" s="10"/>
      <c r="G200" s="9"/>
      <c r="H200" s="9"/>
      <c r="I200" s="9"/>
      <c r="J200" s="9"/>
      <c r="K200" s="9"/>
      <c r="L200" s="9"/>
      <c r="O200" s="9"/>
      <c r="P200" s="9"/>
      <c r="Q200" s="9"/>
      <c r="R200" s="9"/>
      <c r="S200" s="9"/>
      <c r="T200" s="9"/>
    </row>
    <row r="201" spans="3:20">
      <c r="C201" s="9"/>
      <c r="D201" s="9"/>
      <c r="E201" s="9"/>
      <c r="F201" s="10"/>
      <c r="G201" s="9"/>
      <c r="H201" s="9"/>
      <c r="I201" s="9"/>
      <c r="J201" s="9"/>
      <c r="K201" s="9"/>
      <c r="L201" s="9"/>
      <c r="O201" s="9"/>
      <c r="P201" s="9"/>
      <c r="Q201" s="9"/>
      <c r="R201" s="9"/>
      <c r="S201" s="9"/>
      <c r="T201" s="9"/>
    </row>
    <row r="202" spans="3:20">
      <c r="C202" s="9"/>
      <c r="D202" s="9"/>
      <c r="E202" s="9"/>
      <c r="F202" s="10"/>
      <c r="G202" s="9"/>
      <c r="H202" s="9"/>
      <c r="I202" s="9"/>
      <c r="J202" s="9"/>
      <c r="K202" s="9"/>
      <c r="L202" s="9"/>
      <c r="O202" s="9"/>
      <c r="P202" s="9"/>
      <c r="Q202" s="9"/>
      <c r="R202" s="9"/>
      <c r="S202" s="9"/>
      <c r="T202" s="9"/>
    </row>
    <row r="203" spans="3:20">
      <c r="C203" s="9"/>
      <c r="D203" s="9"/>
      <c r="E203" s="9"/>
      <c r="F203" s="10"/>
      <c r="G203" s="9"/>
      <c r="H203" s="9"/>
      <c r="I203" s="9"/>
      <c r="J203" s="9"/>
      <c r="K203" s="9"/>
      <c r="L203" s="9"/>
      <c r="O203" s="9"/>
      <c r="P203" s="9"/>
      <c r="Q203" s="9"/>
      <c r="R203" s="9"/>
      <c r="S203" s="9"/>
      <c r="T203" s="9"/>
    </row>
    <row r="204" spans="3:20">
      <c r="C204" s="9"/>
      <c r="D204" s="9"/>
      <c r="E204" s="9"/>
      <c r="F204" s="10"/>
      <c r="G204" s="9"/>
      <c r="H204" s="9"/>
      <c r="I204" s="9"/>
      <c r="J204" s="9"/>
      <c r="K204" s="9"/>
      <c r="L204" s="9"/>
      <c r="O204" s="9"/>
      <c r="P204" s="9"/>
      <c r="Q204" s="9"/>
      <c r="R204" s="9"/>
      <c r="S204" s="9"/>
      <c r="T204" s="9"/>
    </row>
    <row r="205" spans="3:20">
      <c r="C205" s="9"/>
      <c r="D205" s="9"/>
      <c r="E205" s="9"/>
      <c r="F205" s="10"/>
      <c r="G205" s="9"/>
      <c r="H205" s="9"/>
      <c r="I205" s="9"/>
      <c r="J205" s="9"/>
      <c r="K205" s="9"/>
      <c r="L205" s="9"/>
      <c r="O205" s="9"/>
      <c r="P205" s="9"/>
      <c r="Q205" s="9"/>
      <c r="R205" s="9"/>
      <c r="S205" s="9"/>
      <c r="T205" s="9"/>
    </row>
    <row r="206" spans="3:20">
      <c r="C206" s="9"/>
      <c r="D206" s="9"/>
      <c r="E206" s="9"/>
      <c r="F206" s="10"/>
      <c r="G206" s="9"/>
      <c r="H206" s="9"/>
      <c r="I206" s="9"/>
      <c r="J206" s="9"/>
      <c r="K206" s="9"/>
      <c r="L206" s="9"/>
      <c r="O206" s="9"/>
      <c r="P206" s="9"/>
      <c r="Q206" s="9"/>
      <c r="R206" s="9"/>
      <c r="S206" s="9"/>
      <c r="T206" s="9"/>
    </row>
    <row r="207" spans="3:20">
      <c r="C207" s="9"/>
      <c r="D207" s="9"/>
      <c r="E207" s="9"/>
      <c r="F207" s="10"/>
      <c r="G207" s="9"/>
      <c r="H207" s="9"/>
      <c r="I207" s="9"/>
      <c r="J207" s="9"/>
      <c r="K207" s="9"/>
      <c r="L207" s="9"/>
      <c r="O207" s="9"/>
      <c r="P207" s="9"/>
      <c r="Q207" s="9"/>
      <c r="R207" s="9"/>
      <c r="S207" s="9"/>
      <c r="T207" s="9"/>
    </row>
    <row r="208" spans="3:20">
      <c r="C208" s="9"/>
      <c r="D208" s="9"/>
      <c r="E208" s="9"/>
      <c r="F208" s="10"/>
      <c r="G208" s="9"/>
      <c r="H208" s="9"/>
      <c r="I208" s="9"/>
      <c r="J208" s="9"/>
      <c r="K208" s="9"/>
      <c r="L208" s="9"/>
      <c r="O208" s="9"/>
      <c r="P208" s="9"/>
      <c r="Q208" s="9"/>
      <c r="R208" s="9"/>
      <c r="S208" s="9"/>
      <c r="T208" s="9"/>
    </row>
    <row r="209" spans="3:20">
      <c r="C209" s="9"/>
      <c r="D209" s="9"/>
      <c r="E209" s="9"/>
      <c r="F209" s="10"/>
      <c r="G209" s="9"/>
      <c r="H209" s="9"/>
      <c r="I209" s="9"/>
      <c r="J209" s="9"/>
      <c r="K209" s="9"/>
      <c r="L209" s="9"/>
      <c r="O209" s="9"/>
      <c r="P209" s="9"/>
      <c r="Q209" s="9"/>
      <c r="R209" s="9"/>
      <c r="S209" s="9"/>
      <c r="T209" s="9"/>
    </row>
    <row r="210" spans="3:20">
      <c r="C210" s="9"/>
      <c r="D210" s="9"/>
      <c r="E210" s="9"/>
      <c r="F210" s="10"/>
      <c r="G210" s="9"/>
      <c r="H210" s="9"/>
      <c r="I210" s="9"/>
      <c r="J210" s="9"/>
      <c r="K210" s="9"/>
      <c r="L210" s="9"/>
      <c r="O210" s="9"/>
      <c r="P210" s="9"/>
      <c r="Q210" s="9"/>
      <c r="R210" s="9"/>
      <c r="S210" s="9"/>
      <c r="T210" s="9"/>
    </row>
    <row r="211" spans="3:20">
      <c r="C211" s="9"/>
      <c r="D211" s="9"/>
      <c r="E211" s="9"/>
      <c r="F211" s="10"/>
      <c r="G211" s="9"/>
      <c r="H211" s="9"/>
      <c r="I211" s="9"/>
      <c r="J211" s="9"/>
      <c r="K211" s="9"/>
      <c r="L211" s="9"/>
      <c r="O211" s="9"/>
      <c r="P211" s="9"/>
      <c r="Q211" s="9"/>
      <c r="R211" s="9"/>
      <c r="S211" s="9"/>
      <c r="T211" s="9"/>
    </row>
    <row r="212" spans="3:20">
      <c r="C212" s="9"/>
      <c r="D212" s="9"/>
      <c r="E212" s="9"/>
      <c r="F212" s="10"/>
      <c r="G212" s="9"/>
      <c r="H212" s="9"/>
      <c r="I212" s="9"/>
      <c r="J212" s="9"/>
      <c r="K212" s="9"/>
      <c r="L212" s="9"/>
      <c r="O212" s="9"/>
      <c r="P212" s="9"/>
      <c r="Q212" s="9"/>
      <c r="R212" s="9"/>
      <c r="S212" s="9"/>
      <c r="T212" s="9"/>
    </row>
    <row r="213" spans="3:20">
      <c r="C213" s="9"/>
      <c r="D213" s="9"/>
      <c r="E213" s="9"/>
      <c r="F213" s="10"/>
      <c r="G213" s="9"/>
      <c r="H213" s="9"/>
      <c r="I213" s="9"/>
      <c r="J213" s="9"/>
      <c r="K213" s="9"/>
      <c r="L213" s="9"/>
      <c r="O213" s="9"/>
      <c r="P213" s="9"/>
      <c r="Q213" s="9"/>
      <c r="R213" s="9"/>
      <c r="S213" s="9"/>
      <c r="T213" s="9"/>
    </row>
    <row r="214" spans="3:20">
      <c r="C214" s="9"/>
      <c r="D214" s="9"/>
      <c r="E214" s="9"/>
      <c r="F214" s="10"/>
      <c r="G214" s="9"/>
      <c r="H214" s="9"/>
      <c r="I214" s="9"/>
      <c r="J214" s="9"/>
      <c r="K214" s="9"/>
      <c r="L214" s="9"/>
      <c r="O214" s="9"/>
      <c r="P214" s="9"/>
      <c r="Q214" s="9"/>
      <c r="R214" s="9"/>
      <c r="S214" s="9"/>
      <c r="T214" s="9"/>
    </row>
    <row r="215" spans="3:20">
      <c r="C215" s="9"/>
      <c r="D215" s="9"/>
      <c r="E215" s="9"/>
      <c r="F215" s="10"/>
      <c r="G215" s="9"/>
      <c r="H215" s="9"/>
      <c r="I215" s="9"/>
      <c r="J215" s="9"/>
      <c r="K215" s="9"/>
      <c r="L215" s="9"/>
      <c r="O215" s="9"/>
      <c r="P215" s="9"/>
      <c r="Q215" s="9"/>
      <c r="R215" s="9"/>
      <c r="S215" s="9"/>
      <c r="T215" s="9"/>
    </row>
    <row r="216" spans="3:20">
      <c r="C216" s="9"/>
      <c r="D216" s="9"/>
      <c r="E216" s="9"/>
      <c r="F216" s="10"/>
      <c r="G216" s="9"/>
      <c r="H216" s="9"/>
      <c r="I216" s="9"/>
      <c r="J216" s="9"/>
      <c r="K216" s="9"/>
      <c r="L216" s="9"/>
      <c r="O216" s="9"/>
      <c r="P216" s="9"/>
      <c r="Q216" s="9"/>
      <c r="R216" s="9"/>
      <c r="S216" s="9"/>
      <c r="T216" s="9"/>
    </row>
    <row r="217" spans="3:20">
      <c r="C217" s="9"/>
      <c r="D217" s="9"/>
      <c r="E217" s="9"/>
      <c r="F217" s="10"/>
      <c r="G217" s="9"/>
      <c r="H217" s="9"/>
      <c r="I217" s="9"/>
      <c r="J217" s="9"/>
      <c r="K217" s="9"/>
      <c r="L217" s="9"/>
      <c r="O217" s="9"/>
      <c r="P217" s="9"/>
      <c r="Q217" s="9"/>
      <c r="R217" s="9"/>
      <c r="S217" s="9"/>
      <c r="T217" s="9"/>
    </row>
    <row r="218" spans="3:20">
      <c r="C218" s="9"/>
      <c r="D218" s="9"/>
      <c r="E218" s="9"/>
      <c r="F218" s="10"/>
      <c r="G218" s="9"/>
      <c r="H218" s="9"/>
      <c r="I218" s="9"/>
      <c r="J218" s="9"/>
      <c r="K218" s="9"/>
      <c r="L218" s="9"/>
      <c r="O218" s="9"/>
      <c r="P218" s="9"/>
      <c r="Q218" s="9"/>
      <c r="R218" s="9"/>
      <c r="S218" s="9"/>
      <c r="T218" s="9"/>
    </row>
    <row r="219" spans="3:20">
      <c r="C219" s="9"/>
      <c r="D219" s="9"/>
      <c r="E219" s="9"/>
      <c r="F219" s="10"/>
      <c r="G219" s="9"/>
      <c r="H219" s="9"/>
      <c r="I219" s="9"/>
      <c r="J219" s="9"/>
      <c r="K219" s="9"/>
      <c r="L219" s="9"/>
      <c r="O219" s="9"/>
      <c r="P219" s="9"/>
      <c r="Q219" s="9"/>
      <c r="R219" s="9"/>
      <c r="S219" s="9"/>
      <c r="T219" s="9"/>
    </row>
    <row r="220" spans="3:20">
      <c r="C220" s="9"/>
      <c r="D220" s="9"/>
      <c r="E220" s="9"/>
      <c r="F220" s="10"/>
      <c r="G220" s="9"/>
      <c r="H220" s="9"/>
      <c r="I220" s="9"/>
      <c r="J220" s="9"/>
      <c r="K220" s="9"/>
      <c r="L220" s="9"/>
      <c r="O220" s="9"/>
      <c r="P220" s="9"/>
      <c r="Q220" s="9"/>
      <c r="R220" s="9"/>
      <c r="S220" s="9"/>
      <c r="T220" s="9"/>
    </row>
    <row r="221" spans="3:20">
      <c r="C221" s="9"/>
      <c r="D221" s="9"/>
      <c r="E221" s="9"/>
      <c r="F221" s="10"/>
      <c r="G221" s="9"/>
      <c r="H221" s="9"/>
      <c r="I221" s="9"/>
      <c r="J221" s="9"/>
      <c r="K221" s="9"/>
      <c r="L221" s="9"/>
      <c r="O221" s="9"/>
      <c r="P221" s="9"/>
      <c r="Q221" s="9"/>
      <c r="R221" s="9"/>
      <c r="S221" s="9"/>
      <c r="T221" s="9"/>
    </row>
    <row r="222" spans="3:20">
      <c r="C222" s="9"/>
      <c r="D222" s="9"/>
      <c r="E222" s="9"/>
      <c r="F222" s="10"/>
      <c r="G222" s="9"/>
      <c r="H222" s="9"/>
      <c r="I222" s="9"/>
      <c r="J222" s="9"/>
      <c r="K222" s="9"/>
      <c r="L222" s="9"/>
      <c r="O222" s="9"/>
      <c r="P222" s="9"/>
      <c r="Q222" s="9"/>
      <c r="R222" s="9"/>
      <c r="S222" s="9"/>
      <c r="T222" s="9"/>
    </row>
    <row r="223" spans="3:20">
      <c r="C223" s="9"/>
      <c r="D223" s="9"/>
      <c r="E223" s="9"/>
      <c r="F223" s="10"/>
      <c r="G223" s="9"/>
      <c r="H223" s="9"/>
      <c r="I223" s="9"/>
      <c r="J223" s="9"/>
      <c r="K223" s="9"/>
      <c r="L223" s="9"/>
      <c r="O223" s="9"/>
      <c r="P223" s="9"/>
      <c r="Q223" s="9"/>
      <c r="R223" s="9"/>
      <c r="S223" s="9"/>
      <c r="T223" s="9"/>
    </row>
    <row r="224" spans="3:20">
      <c r="C224" s="9"/>
      <c r="D224" s="9"/>
      <c r="E224" s="9"/>
      <c r="F224" s="10"/>
      <c r="G224" s="9"/>
      <c r="H224" s="9"/>
      <c r="I224" s="9"/>
      <c r="J224" s="9"/>
      <c r="K224" s="9"/>
      <c r="L224" s="9"/>
      <c r="O224" s="9"/>
      <c r="P224" s="9"/>
      <c r="Q224" s="9"/>
      <c r="R224" s="9"/>
      <c r="S224" s="9"/>
      <c r="T224" s="9"/>
    </row>
    <row r="225" spans="3:20">
      <c r="C225" s="9"/>
      <c r="D225" s="9"/>
      <c r="E225" s="9"/>
      <c r="F225" s="10"/>
      <c r="G225" s="9"/>
      <c r="H225" s="9"/>
      <c r="I225" s="9"/>
      <c r="J225" s="9"/>
      <c r="K225" s="9"/>
      <c r="L225" s="9"/>
      <c r="O225" s="9"/>
      <c r="P225" s="9"/>
      <c r="Q225" s="9"/>
      <c r="R225" s="9"/>
      <c r="S225" s="9"/>
      <c r="T225" s="9"/>
    </row>
    <row r="226" spans="3:20">
      <c r="C226" s="9"/>
      <c r="D226" s="9"/>
      <c r="E226" s="9"/>
      <c r="F226" s="10"/>
      <c r="G226" s="9"/>
      <c r="H226" s="9"/>
      <c r="I226" s="9"/>
      <c r="J226" s="9"/>
      <c r="K226" s="9"/>
      <c r="L226" s="9"/>
      <c r="O226" s="9"/>
      <c r="P226" s="9"/>
      <c r="Q226" s="9"/>
      <c r="R226" s="9"/>
      <c r="S226" s="9"/>
      <c r="T226" s="9"/>
    </row>
    <row r="227" spans="3:20">
      <c r="C227" s="9"/>
      <c r="D227" s="9"/>
      <c r="E227" s="9"/>
      <c r="F227" s="10"/>
      <c r="G227" s="9"/>
      <c r="H227" s="9"/>
      <c r="I227" s="9"/>
      <c r="J227" s="9"/>
      <c r="K227" s="9"/>
      <c r="L227" s="9"/>
      <c r="O227" s="9"/>
      <c r="P227" s="9"/>
      <c r="Q227" s="9"/>
      <c r="R227" s="9"/>
      <c r="S227" s="9"/>
      <c r="T227" s="9"/>
    </row>
    <row r="228" spans="3:20">
      <c r="C228" s="9"/>
      <c r="D228" s="9"/>
      <c r="E228" s="9"/>
      <c r="F228" s="10"/>
      <c r="G228" s="9"/>
      <c r="H228" s="9"/>
      <c r="I228" s="9"/>
      <c r="J228" s="9"/>
      <c r="K228" s="9"/>
      <c r="L228" s="9"/>
      <c r="O228" s="9"/>
      <c r="P228" s="9"/>
      <c r="Q228" s="9"/>
      <c r="R228" s="9"/>
      <c r="S228" s="9"/>
      <c r="T228" s="9"/>
    </row>
    <row r="229" spans="3:20">
      <c r="C229" s="9"/>
      <c r="D229" s="9"/>
      <c r="E229" s="9"/>
      <c r="F229" s="10"/>
      <c r="G229" s="9"/>
      <c r="H229" s="9"/>
      <c r="I229" s="9"/>
      <c r="J229" s="9"/>
      <c r="K229" s="9"/>
      <c r="L229" s="9"/>
      <c r="O229" s="9"/>
      <c r="P229" s="9"/>
      <c r="Q229" s="9"/>
      <c r="R229" s="9"/>
      <c r="S229" s="9"/>
      <c r="T229" s="9"/>
    </row>
    <row r="230" spans="3:20">
      <c r="C230" s="9"/>
      <c r="D230" s="9"/>
      <c r="E230" s="9"/>
      <c r="F230" s="10"/>
      <c r="G230" s="9"/>
      <c r="H230" s="9"/>
      <c r="I230" s="9"/>
      <c r="J230" s="9"/>
      <c r="K230" s="9"/>
      <c r="L230" s="9"/>
      <c r="O230" s="9"/>
      <c r="P230" s="9"/>
      <c r="Q230" s="9"/>
      <c r="R230" s="9"/>
      <c r="S230" s="9"/>
      <c r="T230" s="9"/>
    </row>
    <row r="231" spans="3:20">
      <c r="C231" s="9"/>
      <c r="D231" s="9"/>
      <c r="E231" s="9"/>
      <c r="F231" s="10"/>
      <c r="G231" s="9"/>
      <c r="H231" s="9"/>
      <c r="I231" s="9"/>
      <c r="J231" s="9"/>
      <c r="K231" s="9"/>
      <c r="L231" s="9"/>
      <c r="O231" s="9"/>
      <c r="P231" s="9"/>
      <c r="Q231" s="9"/>
      <c r="R231" s="9"/>
      <c r="S231" s="9"/>
      <c r="T231" s="9"/>
    </row>
    <row r="232" spans="3:20">
      <c r="C232" s="9"/>
      <c r="D232" s="9"/>
      <c r="E232" s="9"/>
      <c r="F232" s="10"/>
      <c r="G232" s="9"/>
      <c r="H232" s="9"/>
      <c r="I232" s="9"/>
      <c r="J232" s="9"/>
      <c r="K232" s="9"/>
      <c r="L232" s="9"/>
      <c r="O232" s="9"/>
      <c r="P232" s="9"/>
      <c r="Q232" s="9"/>
      <c r="R232" s="9"/>
      <c r="S232" s="9"/>
      <c r="T232" s="9"/>
    </row>
    <row r="233" spans="3:20">
      <c r="C233" s="9"/>
      <c r="D233" s="9"/>
      <c r="E233" s="9"/>
      <c r="F233" s="10"/>
      <c r="G233" s="9"/>
      <c r="H233" s="9"/>
      <c r="I233" s="9"/>
      <c r="J233" s="9"/>
      <c r="K233" s="9"/>
      <c r="L233" s="9"/>
      <c r="O233" s="9"/>
      <c r="P233" s="9"/>
      <c r="Q233" s="9"/>
      <c r="R233" s="9"/>
      <c r="S233" s="9"/>
      <c r="T233" s="9"/>
    </row>
    <row r="234" spans="3:20">
      <c r="C234" s="9"/>
      <c r="D234" s="9"/>
      <c r="E234" s="9"/>
      <c r="F234" s="10"/>
      <c r="G234" s="9"/>
      <c r="H234" s="9"/>
      <c r="I234" s="9"/>
      <c r="J234" s="9"/>
      <c r="K234" s="9"/>
      <c r="L234" s="9"/>
      <c r="O234" s="9"/>
      <c r="P234" s="9"/>
      <c r="Q234" s="9"/>
      <c r="R234" s="9"/>
      <c r="S234" s="9"/>
      <c r="T234" s="9"/>
    </row>
    <row r="235" spans="3:20">
      <c r="C235" s="9"/>
      <c r="D235" s="9"/>
      <c r="E235" s="9"/>
      <c r="F235" s="10"/>
      <c r="G235" s="9"/>
      <c r="H235" s="9"/>
      <c r="I235" s="9"/>
      <c r="J235" s="9"/>
      <c r="K235" s="9"/>
      <c r="L235" s="9"/>
      <c r="O235" s="9"/>
      <c r="P235" s="9"/>
      <c r="Q235" s="9"/>
      <c r="R235" s="9"/>
      <c r="S235" s="9"/>
      <c r="T235" s="9"/>
    </row>
    <row r="236" spans="3:20">
      <c r="C236" s="9"/>
      <c r="D236" s="9"/>
      <c r="E236" s="9"/>
      <c r="F236" s="10"/>
      <c r="G236" s="9"/>
      <c r="H236" s="9"/>
      <c r="I236" s="9"/>
      <c r="J236" s="9"/>
      <c r="K236" s="9"/>
      <c r="L236" s="9"/>
      <c r="O236" s="9"/>
      <c r="P236" s="9"/>
      <c r="Q236" s="9"/>
      <c r="R236" s="9"/>
      <c r="S236" s="9"/>
      <c r="T236" s="9"/>
    </row>
    <row r="237" spans="3:20">
      <c r="C237" s="9"/>
      <c r="D237" s="9"/>
      <c r="E237" s="9"/>
      <c r="F237" s="10"/>
      <c r="G237" s="9"/>
      <c r="H237" s="9"/>
      <c r="I237" s="9"/>
      <c r="J237" s="9"/>
      <c r="K237" s="9"/>
      <c r="L237" s="9"/>
      <c r="O237" s="9"/>
      <c r="P237" s="9"/>
      <c r="Q237" s="9"/>
      <c r="R237" s="9"/>
      <c r="S237" s="9"/>
      <c r="T237" s="9"/>
    </row>
    <row r="238" spans="3:20">
      <c r="C238" s="9"/>
      <c r="D238" s="9"/>
      <c r="E238" s="9"/>
      <c r="F238" s="10"/>
      <c r="G238" s="9"/>
      <c r="H238" s="9"/>
      <c r="I238" s="9"/>
      <c r="J238" s="9"/>
      <c r="K238" s="9"/>
      <c r="L238" s="9"/>
      <c r="O238" s="9"/>
      <c r="P238" s="9"/>
      <c r="Q238" s="9"/>
      <c r="R238" s="9"/>
      <c r="S238" s="9"/>
      <c r="T238" s="9"/>
    </row>
    <row r="239" spans="3:20">
      <c r="C239" s="9"/>
      <c r="D239" s="9"/>
      <c r="E239" s="9"/>
      <c r="F239" s="10"/>
      <c r="G239" s="9"/>
      <c r="H239" s="9"/>
      <c r="I239" s="9"/>
      <c r="J239" s="9"/>
      <c r="K239" s="9"/>
      <c r="L239" s="9"/>
      <c r="O239" s="9"/>
      <c r="P239" s="9"/>
      <c r="Q239" s="9"/>
      <c r="R239" s="9"/>
      <c r="S239" s="9"/>
      <c r="T239" s="9"/>
    </row>
    <row r="240" spans="3:20">
      <c r="C240" s="9"/>
      <c r="D240" s="9"/>
      <c r="E240" s="9"/>
      <c r="F240" s="10"/>
      <c r="G240" s="9"/>
      <c r="H240" s="9"/>
      <c r="I240" s="9"/>
      <c r="J240" s="9"/>
      <c r="K240" s="9"/>
      <c r="L240" s="9"/>
      <c r="O240" s="9"/>
      <c r="P240" s="9"/>
      <c r="Q240" s="9"/>
      <c r="R240" s="9"/>
      <c r="S240" s="9"/>
      <c r="T240" s="9"/>
    </row>
    <row r="241" spans="3:20">
      <c r="C241" s="9"/>
      <c r="D241" s="9"/>
      <c r="E241" s="9"/>
      <c r="F241" s="10"/>
      <c r="G241" s="9"/>
      <c r="H241" s="9"/>
      <c r="I241" s="9"/>
      <c r="J241" s="9"/>
      <c r="K241" s="9"/>
      <c r="L241" s="9"/>
      <c r="O241" s="9"/>
      <c r="P241" s="9"/>
      <c r="Q241" s="9"/>
      <c r="R241" s="9"/>
      <c r="S241" s="9"/>
      <c r="T241" s="9"/>
    </row>
    <row r="242" spans="3:20">
      <c r="C242" s="9"/>
      <c r="D242" s="9"/>
      <c r="E242" s="9"/>
      <c r="F242" s="10"/>
      <c r="G242" s="9"/>
      <c r="H242" s="9"/>
      <c r="I242" s="9"/>
      <c r="J242" s="9"/>
      <c r="K242" s="9"/>
      <c r="L242" s="9"/>
      <c r="O242" s="9"/>
      <c r="P242" s="9"/>
      <c r="Q242" s="9"/>
      <c r="R242" s="9"/>
      <c r="S242" s="9"/>
      <c r="T242" s="9"/>
    </row>
    <row r="243" spans="3:20">
      <c r="C243" s="9"/>
      <c r="D243" s="9"/>
      <c r="E243" s="9"/>
      <c r="F243" s="10"/>
      <c r="G243" s="9"/>
      <c r="H243" s="9"/>
      <c r="I243" s="9"/>
      <c r="J243" s="9"/>
      <c r="K243" s="9"/>
      <c r="L243" s="9"/>
      <c r="O243" s="9"/>
      <c r="P243" s="9"/>
      <c r="Q243" s="9"/>
      <c r="R243" s="9"/>
      <c r="S243" s="9"/>
      <c r="T243" s="9"/>
    </row>
    <row r="244" spans="3:20">
      <c r="C244" s="9"/>
      <c r="D244" s="9"/>
      <c r="E244" s="9"/>
      <c r="F244" s="10"/>
      <c r="G244" s="9"/>
      <c r="H244" s="9"/>
      <c r="I244" s="9"/>
      <c r="J244" s="9"/>
      <c r="K244" s="9"/>
      <c r="L244" s="9"/>
      <c r="O244" s="9"/>
      <c r="P244" s="9"/>
      <c r="Q244" s="9"/>
      <c r="R244" s="9"/>
      <c r="S244" s="9"/>
      <c r="T244" s="9"/>
    </row>
    <row r="245" spans="3:20">
      <c r="C245" s="9"/>
      <c r="D245" s="9"/>
      <c r="E245" s="9"/>
      <c r="F245" s="10"/>
      <c r="G245" s="9"/>
      <c r="H245" s="9"/>
      <c r="I245" s="9"/>
      <c r="J245" s="9"/>
      <c r="K245" s="9"/>
      <c r="L245" s="9"/>
      <c r="O245" s="9"/>
      <c r="P245" s="9"/>
      <c r="Q245" s="9"/>
      <c r="R245" s="9"/>
      <c r="S245" s="9"/>
      <c r="T245" s="9"/>
    </row>
    <row r="246" spans="3:20">
      <c r="C246" s="9"/>
      <c r="D246" s="9"/>
      <c r="E246" s="9"/>
      <c r="F246" s="10"/>
      <c r="G246" s="9"/>
      <c r="H246" s="9"/>
      <c r="I246" s="9"/>
      <c r="J246" s="9"/>
      <c r="K246" s="9"/>
      <c r="L246" s="9"/>
      <c r="O246" s="9"/>
      <c r="P246" s="9"/>
      <c r="Q246" s="9"/>
      <c r="R246" s="9"/>
      <c r="S246" s="9"/>
      <c r="T246" s="9"/>
    </row>
    <row r="247" spans="3:20">
      <c r="C247" s="9"/>
      <c r="D247" s="9"/>
      <c r="E247" s="9"/>
      <c r="F247" s="10"/>
      <c r="G247" s="9"/>
      <c r="H247" s="9"/>
      <c r="I247" s="9"/>
      <c r="J247" s="9"/>
      <c r="K247" s="9"/>
      <c r="L247" s="9"/>
      <c r="O247" s="9"/>
      <c r="P247" s="9"/>
      <c r="Q247" s="9"/>
      <c r="R247" s="9"/>
      <c r="S247" s="9"/>
      <c r="T247" s="9"/>
    </row>
    <row r="248" spans="3:20">
      <c r="C248" s="9"/>
      <c r="D248" s="9"/>
      <c r="E248" s="9"/>
      <c r="F248" s="10"/>
      <c r="G248" s="9"/>
      <c r="H248" s="9"/>
      <c r="I248" s="9"/>
      <c r="J248" s="9"/>
      <c r="K248" s="9"/>
      <c r="L248" s="9"/>
      <c r="O248" s="9"/>
      <c r="P248" s="9"/>
      <c r="Q248" s="9"/>
      <c r="R248" s="9"/>
      <c r="S248" s="9"/>
      <c r="T248" s="9"/>
    </row>
    <row r="249" spans="3:20">
      <c r="C249" s="9"/>
      <c r="D249" s="9"/>
      <c r="E249" s="9"/>
      <c r="F249" s="10"/>
      <c r="G249" s="9"/>
      <c r="H249" s="9"/>
      <c r="I249" s="9"/>
      <c r="J249" s="9"/>
      <c r="K249" s="9"/>
      <c r="L249" s="9"/>
      <c r="O249" s="9"/>
      <c r="P249" s="9"/>
      <c r="Q249" s="9"/>
      <c r="R249" s="9"/>
      <c r="S249" s="9"/>
      <c r="T249" s="9"/>
    </row>
    <row r="250" spans="3:20">
      <c r="C250" s="9"/>
      <c r="D250" s="9"/>
      <c r="E250" s="9"/>
      <c r="F250" s="10"/>
      <c r="G250" s="9"/>
      <c r="H250" s="9"/>
      <c r="I250" s="9"/>
      <c r="J250" s="9"/>
      <c r="K250" s="9"/>
      <c r="L250" s="9"/>
      <c r="O250" s="9"/>
      <c r="P250" s="9"/>
      <c r="Q250" s="9"/>
      <c r="R250" s="9"/>
      <c r="S250" s="9"/>
      <c r="T250" s="9"/>
    </row>
    <row r="251" spans="3:20">
      <c r="C251" s="9"/>
      <c r="D251" s="9"/>
      <c r="E251" s="9"/>
      <c r="F251" s="10"/>
      <c r="G251" s="9"/>
      <c r="H251" s="9"/>
      <c r="I251" s="9"/>
      <c r="J251" s="9"/>
      <c r="K251" s="9"/>
      <c r="L251" s="9"/>
      <c r="O251" s="9"/>
      <c r="P251" s="9"/>
      <c r="Q251" s="9"/>
      <c r="R251" s="9"/>
      <c r="S251" s="9"/>
      <c r="T251" s="9"/>
    </row>
    <row r="252" spans="3:20">
      <c r="C252" s="9"/>
      <c r="D252" s="9"/>
      <c r="E252" s="9"/>
      <c r="F252" s="10"/>
      <c r="G252" s="9"/>
      <c r="H252" s="9"/>
      <c r="I252" s="9"/>
      <c r="J252" s="9"/>
      <c r="K252" s="9"/>
      <c r="L252" s="9"/>
      <c r="O252" s="9"/>
      <c r="P252" s="9"/>
      <c r="Q252" s="9"/>
      <c r="R252" s="9"/>
      <c r="S252" s="9"/>
      <c r="T252" s="9"/>
    </row>
    <row r="253" spans="3:20">
      <c r="C253" s="9"/>
      <c r="D253" s="9"/>
      <c r="E253" s="9"/>
      <c r="F253" s="10"/>
      <c r="G253" s="9"/>
      <c r="H253" s="9"/>
      <c r="I253" s="9"/>
      <c r="J253" s="9"/>
      <c r="K253" s="9"/>
      <c r="L253" s="9"/>
      <c r="O253" s="9"/>
      <c r="P253" s="9"/>
      <c r="Q253" s="9"/>
      <c r="R253" s="9"/>
      <c r="S253" s="9"/>
      <c r="T253" s="9"/>
    </row>
    <row r="254" spans="3:20">
      <c r="C254" s="9"/>
      <c r="D254" s="9"/>
      <c r="E254" s="9"/>
      <c r="F254" s="10"/>
      <c r="G254" s="9"/>
      <c r="H254" s="9"/>
      <c r="I254" s="9"/>
      <c r="J254" s="9"/>
      <c r="K254" s="9"/>
      <c r="L254" s="9"/>
      <c r="O254" s="9"/>
      <c r="P254" s="9"/>
      <c r="Q254" s="9"/>
      <c r="R254" s="9"/>
      <c r="S254" s="9"/>
      <c r="T254" s="9"/>
    </row>
    <row r="255" spans="3:20">
      <c r="C255" s="9"/>
      <c r="D255" s="9"/>
      <c r="E255" s="9"/>
      <c r="F255" s="10"/>
      <c r="G255" s="9"/>
      <c r="H255" s="9"/>
      <c r="I255" s="9"/>
      <c r="J255" s="9"/>
      <c r="K255" s="9"/>
      <c r="L255" s="9"/>
      <c r="O255" s="9"/>
      <c r="P255" s="9"/>
      <c r="Q255" s="9"/>
      <c r="R255" s="9"/>
      <c r="S255" s="9"/>
      <c r="T255" s="9"/>
    </row>
    <row r="256" spans="3:20">
      <c r="C256" s="9"/>
      <c r="D256" s="9"/>
      <c r="E256" s="9"/>
      <c r="F256" s="10"/>
      <c r="G256" s="9"/>
      <c r="H256" s="9"/>
      <c r="I256" s="9"/>
      <c r="J256" s="9"/>
      <c r="K256" s="9"/>
      <c r="L256" s="9"/>
      <c r="O256" s="9"/>
      <c r="P256" s="9"/>
      <c r="Q256" s="9"/>
      <c r="R256" s="9"/>
      <c r="S256" s="9"/>
      <c r="T256" s="9"/>
    </row>
    <row r="257" spans="3:20">
      <c r="C257" s="9"/>
      <c r="D257" s="9"/>
      <c r="E257" s="9"/>
      <c r="F257" s="10"/>
      <c r="G257" s="9"/>
      <c r="H257" s="9"/>
      <c r="I257" s="9"/>
      <c r="J257" s="9"/>
      <c r="K257" s="9"/>
      <c r="L257" s="9"/>
      <c r="O257" s="9"/>
      <c r="P257" s="9"/>
      <c r="Q257" s="9"/>
      <c r="R257" s="9"/>
      <c r="S257" s="9"/>
      <c r="T257" s="9"/>
    </row>
    <row r="258" spans="3:20">
      <c r="C258" s="9"/>
      <c r="D258" s="9"/>
      <c r="E258" s="9"/>
      <c r="F258" s="10"/>
      <c r="G258" s="9"/>
      <c r="H258" s="9"/>
      <c r="I258" s="9"/>
      <c r="J258" s="9"/>
      <c r="K258" s="9"/>
      <c r="L258" s="9"/>
      <c r="O258" s="9"/>
      <c r="P258" s="9"/>
      <c r="Q258" s="9"/>
      <c r="R258" s="9"/>
      <c r="S258" s="9"/>
      <c r="T258" s="9"/>
    </row>
    <row r="259" spans="3:20">
      <c r="C259" s="9"/>
      <c r="D259" s="9"/>
      <c r="E259" s="9"/>
      <c r="F259" s="10"/>
      <c r="G259" s="9"/>
      <c r="H259" s="9"/>
      <c r="I259" s="9"/>
      <c r="J259" s="9"/>
      <c r="K259" s="9"/>
      <c r="L259" s="9"/>
      <c r="O259" s="9"/>
      <c r="P259" s="9"/>
      <c r="Q259" s="9"/>
      <c r="R259" s="9"/>
      <c r="S259" s="9"/>
      <c r="T259" s="9"/>
    </row>
    <row r="260" spans="3:20">
      <c r="C260" s="9"/>
      <c r="D260" s="9"/>
      <c r="E260" s="9"/>
      <c r="F260" s="10"/>
      <c r="G260" s="9"/>
      <c r="H260" s="9"/>
      <c r="I260" s="9"/>
      <c r="J260" s="9"/>
      <c r="K260" s="9"/>
      <c r="L260" s="9"/>
      <c r="O260" s="9"/>
      <c r="P260" s="9"/>
      <c r="Q260" s="9"/>
      <c r="R260" s="9"/>
      <c r="S260" s="9"/>
      <c r="T260" s="9"/>
    </row>
    <row r="261" spans="3:20">
      <c r="C261" s="9"/>
      <c r="D261" s="9"/>
      <c r="E261" s="9"/>
      <c r="F261" s="10"/>
      <c r="G261" s="9"/>
      <c r="H261" s="9"/>
      <c r="I261" s="9"/>
      <c r="J261" s="9"/>
      <c r="K261" s="9"/>
      <c r="L261" s="9"/>
      <c r="O261" s="9"/>
      <c r="P261" s="9"/>
      <c r="Q261" s="9"/>
      <c r="R261" s="9"/>
      <c r="S261" s="9"/>
      <c r="T261" s="9"/>
    </row>
    <row r="262" spans="3:20">
      <c r="C262" s="9"/>
      <c r="D262" s="9"/>
      <c r="E262" s="9"/>
      <c r="F262" s="10"/>
      <c r="G262" s="9"/>
      <c r="H262" s="9"/>
      <c r="I262" s="9"/>
      <c r="J262" s="9"/>
      <c r="K262" s="9"/>
      <c r="L262" s="9"/>
      <c r="O262" s="9"/>
      <c r="P262" s="9"/>
      <c r="Q262" s="9"/>
      <c r="R262" s="9"/>
      <c r="S262" s="9"/>
      <c r="T262" s="9"/>
    </row>
    <row r="263" spans="3:20">
      <c r="C263" s="9"/>
      <c r="D263" s="9"/>
      <c r="E263" s="9"/>
      <c r="F263" s="10"/>
      <c r="G263" s="9"/>
      <c r="H263" s="9"/>
      <c r="I263" s="9"/>
      <c r="J263" s="9"/>
      <c r="K263" s="9"/>
      <c r="L263" s="9"/>
      <c r="O263" s="9"/>
      <c r="P263" s="9"/>
      <c r="Q263" s="9"/>
      <c r="R263" s="9"/>
      <c r="S263" s="9"/>
      <c r="T263" s="9"/>
    </row>
    <row r="264" spans="3:20">
      <c r="C264" s="9"/>
      <c r="D264" s="9"/>
      <c r="E264" s="9"/>
      <c r="F264" s="10"/>
      <c r="G264" s="9"/>
      <c r="H264" s="9"/>
      <c r="I264" s="9"/>
      <c r="J264" s="9"/>
      <c r="K264" s="9"/>
      <c r="L264" s="9"/>
      <c r="O264" s="9"/>
      <c r="P264" s="9"/>
      <c r="Q264" s="9"/>
      <c r="R264" s="9"/>
      <c r="S264" s="9"/>
      <c r="T264" s="9"/>
    </row>
    <row r="265" spans="3:20">
      <c r="C265" s="9"/>
      <c r="D265" s="9"/>
      <c r="E265" s="9"/>
      <c r="F265" s="10"/>
      <c r="G265" s="9"/>
      <c r="H265" s="9"/>
      <c r="I265" s="9"/>
      <c r="J265" s="9"/>
      <c r="K265" s="9"/>
      <c r="L265" s="9"/>
      <c r="O265" s="9"/>
      <c r="P265" s="9"/>
      <c r="Q265" s="9"/>
      <c r="R265" s="9"/>
      <c r="S265" s="9"/>
      <c r="T265" s="9"/>
    </row>
    <row r="266" spans="3:20">
      <c r="C266" s="9"/>
      <c r="D266" s="9"/>
      <c r="E266" s="9"/>
      <c r="F266" s="10"/>
      <c r="G266" s="9"/>
      <c r="H266" s="9"/>
      <c r="I266" s="9"/>
      <c r="J266" s="9"/>
      <c r="K266" s="9"/>
      <c r="L266" s="9"/>
      <c r="O266" s="9"/>
      <c r="P266" s="9"/>
      <c r="Q266" s="9"/>
      <c r="R266" s="9"/>
      <c r="S266" s="9"/>
      <c r="T266" s="9"/>
    </row>
    <row r="267" spans="3:20">
      <c r="C267" s="9"/>
      <c r="D267" s="9"/>
      <c r="E267" s="9"/>
      <c r="F267" s="10"/>
      <c r="G267" s="9"/>
      <c r="H267" s="9"/>
      <c r="I267" s="9"/>
      <c r="J267" s="9"/>
      <c r="K267" s="9"/>
      <c r="L267" s="9"/>
      <c r="O267" s="9"/>
      <c r="P267" s="9"/>
      <c r="Q267" s="9"/>
      <c r="R267" s="9"/>
      <c r="S267" s="9"/>
      <c r="T267" s="9"/>
    </row>
    <row r="268" spans="3:20">
      <c r="C268" s="9"/>
      <c r="D268" s="9"/>
      <c r="E268" s="9"/>
      <c r="F268" s="10"/>
      <c r="G268" s="9"/>
      <c r="H268" s="9"/>
      <c r="I268" s="9"/>
      <c r="J268" s="9"/>
      <c r="K268" s="9"/>
      <c r="L268" s="9"/>
      <c r="O268" s="9"/>
      <c r="P268" s="9"/>
      <c r="Q268" s="9"/>
      <c r="R268" s="9"/>
      <c r="S268" s="9"/>
      <c r="T268" s="9"/>
    </row>
    <row r="269" spans="3:20">
      <c r="C269" s="9"/>
      <c r="D269" s="9"/>
      <c r="E269" s="9"/>
      <c r="F269" s="10"/>
      <c r="G269" s="9"/>
      <c r="H269" s="9"/>
      <c r="I269" s="9"/>
      <c r="J269" s="9"/>
      <c r="K269" s="9"/>
      <c r="L269" s="9"/>
      <c r="O269" s="9"/>
      <c r="P269" s="9"/>
      <c r="Q269" s="9"/>
      <c r="R269" s="9"/>
      <c r="S269" s="9"/>
      <c r="T269" s="9"/>
    </row>
    <row r="270" spans="3:20">
      <c r="C270" s="9"/>
      <c r="D270" s="9"/>
      <c r="E270" s="9"/>
      <c r="F270" s="10"/>
      <c r="G270" s="9"/>
      <c r="H270" s="9"/>
      <c r="I270" s="9"/>
      <c r="J270" s="9"/>
      <c r="K270" s="9"/>
      <c r="L270" s="9"/>
      <c r="O270" s="9"/>
      <c r="P270" s="9"/>
      <c r="Q270" s="9"/>
      <c r="R270" s="9"/>
      <c r="S270" s="9"/>
      <c r="T270" s="9"/>
    </row>
    <row r="271" spans="3:20">
      <c r="C271" s="9"/>
      <c r="D271" s="9"/>
      <c r="E271" s="9"/>
      <c r="F271" s="10"/>
      <c r="G271" s="9"/>
      <c r="H271" s="9"/>
      <c r="I271" s="9"/>
      <c r="J271" s="9"/>
      <c r="K271" s="9"/>
      <c r="L271" s="9"/>
      <c r="O271" s="9"/>
      <c r="P271" s="9"/>
      <c r="Q271" s="9"/>
      <c r="R271" s="9"/>
      <c r="S271" s="9"/>
      <c r="T271" s="9"/>
    </row>
    <row r="272" spans="3:20">
      <c r="C272" s="9"/>
      <c r="D272" s="9"/>
      <c r="E272" s="9"/>
      <c r="F272" s="10"/>
      <c r="G272" s="9"/>
      <c r="H272" s="9"/>
      <c r="I272" s="9"/>
      <c r="J272" s="9"/>
      <c r="K272" s="9"/>
      <c r="L272" s="9"/>
      <c r="O272" s="9"/>
      <c r="P272" s="9"/>
      <c r="Q272" s="9"/>
      <c r="R272" s="9"/>
      <c r="S272" s="9"/>
      <c r="T272" s="9"/>
    </row>
    <row r="273" spans="3:20">
      <c r="C273" s="9"/>
      <c r="D273" s="9"/>
      <c r="E273" s="9"/>
      <c r="F273" s="10"/>
      <c r="G273" s="9"/>
      <c r="H273" s="9"/>
      <c r="I273" s="9"/>
      <c r="J273" s="9"/>
      <c r="K273" s="9"/>
      <c r="L273" s="9"/>
      <c r="O273" s="9"/>
      <c r="P273" s="9"/>
      <c r="Q273" s="9"/>
      <c r="R273" s="9"/>
      <c r="S273" s="9"/>
      <c r="T273" s="9"/>
    </row>
    <row r="274" spans="3:20">
      <c r="C274" s="9"/>
      <c r="D274" s="9"/>
      <c r="E274" s="9"/>
      <c r="F274" s="10"/>
      <c r="G274" s="9"/>
      <c r="H274" s="9"/>
      <c r="I274" s="9"/>
      <c r="J274" s="9"/>
      <c r="K274" s="9"/>
      <c r="L274" s="9"/>
      <c r="O274" s="9"/>
      <c r="P274" s="9"/>
      <c r="Q274" s="9"/>
      <c r="R274" s="9"/>
      <c r="S274" s="9"/>
      <c r="T274" s="9"/>
    </row>
    <row r="275" spans="3:20">
      <c r="C275" s="9"/>
      <c r="D275" s="9"/>
      <c r="E275" s="9"/>
      <c r="F275" s="10"/>
      <c r="G275" s="9"/>
      <c r="H275" s="9"/>
      <c r="I275" s="9"/>
      <c r="J275" s="9"/>
      <c r="K275" s="9"/>
      <c r="L275" s="9"/>
      <c r="O275" s="9"/>
      <c r="P275" s="9"/>
      <c r="Q275" s="9"/>
      <c r="R275" s="9"/>
      <c r="S275" s="9"/>
      <c r="T275" s="9"/>
    </row>
    <row r="276" spans="3:20">
      <c r="C276" s="9"/>
      <c r="D276" s="9"/>
      <c r="E276" s="9"/>
      <c r="F276" s="10"/>
      <c r="G276" s="9"/>
      <c r="H276" s="9"/>
      <c r="I276" s="9"/>
      <c r="J276" s="9"/>
      <c r="K276" s="9"/>
      <c r="L276" s="9"/>
      <c r="O276" s="9"/>
      <c r="P276" s="9"/>
      <c r="Q276" s="9"/>
      <c r="R276" s="9"/>
      <c r="S276" s="9"/>
      <c r="T276" s="9"/>
    </row>
    <row r="277" spans="3:20">
      <c r="C277" s="9"/>
      <c r="D277" s="9"/>
      <c r="E277" s="9"/>
      <c r="F277" s="10"/>
      <c r="G277" s="9"/>
      <c r="H277" s="9"/>
      <c r="I277" s="9"/>
      <c r="J277" s="9"/>
      <c r="K277" s="9"/>
      <c r="L277" s="9"/>
      <c r="O277" s="9"/>
      <c r="P277" s="9"/>
      <c r="Q277" s="9"/>
      <c r="R277" s="9"/>
      <c r="S277" s="9"/>
      <c r="T277" s="9"/>
    </row>
    <row r="278" spans="3:20">
      <c r="C278" s="9"/>
      <c r="D278" s="9"/>
      <c r="E278" s="9"/>
      <c r="F278" s="10"/>
      <c r="G278" s="9"/>
      <c r="H278" s="9"/>
      <c r="I278" s="9"/>
      <c r="J278" s="9"/>
      <c r="K278" s="9"/>
      <c r="L278" s="9"/>
      <c r="O278" s="9"/>
      <c r="P278" s="9"/>
      <c r="Q278" s="9"/>
      <c r="R278" s="9"/>
      <c r="S278" s="9"/>
      <c r="T278" s="9"/>
    </row>
    <row r="279" spans="3:20">
      <c r="C279" s="9"/>
      <c r="D279" s="9"/>
      <c r="E279" s="9"/>
      <c r="F279" s="10"/>
      <c r="G279" s="9"/>
      <c r="H279" s="9"/>
      <c r="I279" s="9"/>
      <c r="J279" s="9"/>
      <c r="K279" s="9"/>
      <c r="L279" s="9"/>
      <c r="O279" s="9"/>
      <c r="P279" s="9"/>
      <c r="Q279" s="9"/>
      <c r="R279" s="9"/>
      <c r="S279" s="9"/>
      <c r="T279" s="9"/>
    </row>
    <row r="280" spans="3:20">
      <c r="C280" s="9"/>
      <c r="D280" s="9"/>
      <c r="E280" s="9"/>
      <c r="F280" s="10"/>
      <c r="G280" s="9"/>
      <c r="H280" s="9"/>
      <c r="I280" s="9"/>
      <c r="J280" s="9"/>
      <c r="K280" s="9"/>
      <c r="L280" s="9"/>
      <c r="O280" s="9"/>
      <c r="P280" s="9"/>
      <c r="Q280" s="9"/>
      <c r="R280" s="9"/>
      <c r="S280" s="9"/>
      <c r="T280" s="9"/>
    </row>
    <row r="281" spans="3:20">
      <c r="C281" s="9"/>
      <c r="D281" s="9"/>
      <c r="E281" s="9"/>
      <c r="F281" s="10"/>
      <c r="G281" s="9"/>
      <c r="H281" s="9"/>
      <c r="I281" s="9"/>
      <c r="J281" s="9"/>
      <c r="K281" s="9"/>
      <c r="L281" s="9"/>
      <c r="O281" s="9"/>
      <c r="P281" s="9"/>
      <c r="Q281" s="9"/>
      <c r="R281" s="9"/>
      <c r="S281" s="9"/>
      <c r="T281" s="9"/>
    </row>
    <row r="282" spans="3:20">
      <c r="C282" s="9"/>
      <c r="D282" s="9"/>
      <c r="E282" s="9"/>
      <c r="F282" s="10"/>
      <c r="G282" s="9"/>
      <c r="H282" s="9"/>
      <c r="I282" s="9"/>
      <c r="J282" s="9"/>
      <c r="K282" s="9"/>
      <c r="L282" s="9"/>
      <c r="O282" s="9"/>
      <c r="P282" s="9"/>
      <c r="Q282" s="9"/>
      <c r="R282" s="9"/>
      <c r="S282" s="9"/>
      <c r="T282" s="9"/>
    </row>
    <row r="283" spans="3:20">
      <c r="C283" s="9"/>
      <c r="D283" s="9"/>
      <c r="E283" s="9"/>
      <c r="F283" s="10"/>
      <c r="G283" s="9"/>
      <c r="H283" s="9"/>
      <c r="I283" s="9"/>
      <c r="J283" s="9"/>
      <c r="K283" s="9"/>
      <c r="L283" s="9"/>
      <c r="O283" s="9"/>
      <c r="P283" s="9"/>
      <c r="Q283" s="9"/>
      <c r="R283" s="9"/>
      <c r="S283" s="9"/>
      <c r="T283" s="9"/>
    </row>
    <row r="284" spans="3:20">
      <c r="C284" s="9"/>
      <c r="D284" s="9"/>
      <c r="E284" s="9"/>
      <c r="F284" s="10"/>
      <c r="G284" s="9"/>
      <c r="H284" s="9"/>
      <c r="I284" s="9"/>
      <c r="J284" s="9"/>
      <c r="K284" s="9"/>
      <c r="L284" s="9"/>
      <c r="O284" s="9"/>
      <c r="P284" s="9"/>
      <c r="Q284" s="9"/>
      <c r="R284" s="9"/>
      <c r="S284" s="9"/>
      <c r="T284" s="9"/>
    </row>
    <row r="285" spans="3:20">
      <c r="C285" s="9"/>
      <c r="D285" s="9"/>
      <c r="E285" s="9"/>
      <c r="F285" s="10"/>
      <c r="G285" s="9"/>
      <c r="H285" s="9"/>
      <c r="I285" s="9"/>
      <c r="J285" s="9"/>
      <c r="K285" s="9"/>
      <c r="L285" s="9"/>
      <c r="O285" s="9"/>
      <c r="P285" s="9"/>
      <c r="Q285" s="9"/>
      <c r="R285" s="9"/>
      <c r="S285" s="9"/>
      <c r="T285" s="9"/>
    </row>
    <row r="286" spans="3:20">
      <c r="C286" s="9"/>
      <c r="D286" s="9"/>
      <c r="E286" s="9"/>
      <c r="F286" s="10"/>
      <c r="G286" s="9"/>
      <c r="H286" s="9"/>
      <c r="I286" s="9"/>
      <c r="J286" s="9"/>
      <c r="K286" s="9"/>
      <c r="L286" s="9"/>
      <c r="O286" s="9"/>
      <c r="P286" s="9"/>
      <c r="Q286" s="9"/>
      <c r="R286" s="9"/>
      <c r="S286" s="9"/>
      <c r="T286" s="9"/>
    </row>
    <row r="287" spans="3:20">
      <c r="C287" s="9"/>
      <c r="D287" s="9"/>
      <c r="E287" s="9"/>
      <c r="F287" s="10"/>
      <c r="G287" s="9"/>
      <c r="H287" s="9"/>
      <c r="I287" s="9"/>
      <c r="J287" s="9"/>
      <c r="K287" s="9"/>
      <c r="L287" s="9"/>
      <c r="O287" s="9"/>
      <c r="P287" s="9"/>
      <c r="Q287" s="9"/>
      <c r="R287" s="9"/>
      <c r="S287" s="9"/>
      <c r="T287" s="9"/>
    </row>
    <row r="288" spans="3:20">
      <c r="C288" s="9"/>
      <c r="D288" s="9"/>
      <c r="E288" s="9"/>
      <c r="F288" s="10"/>
      <c r="G288" s="9"/>
      <c r="H288" s="9"/>
      <c r="I288" s="9"/>
      <c r="J288" s="9"/>
      <c r="K288" s="9"/>
      <c r="L288" s="9"/>
      <c r="O288" s="9"/>
      <c r="P288" s="9"/>
      <c r="Q288" s="9"/>
      <c r="R288" s="9"/>
      <c r="S288" s="9"/>
      <c r="T288" s="9"/>
    </row>
    <row r="289" spans="3:20">
      <c r="C289" s="9"/>
      <c r="D289" s="9"/>
      <c r="E289" s="9"/>
      <c r="F289" s="10"/>
      <c r="G289" s="9"/>
      <c r="H289" s="9"/>
      <c r="I289" s="9"/>
      <c r="J289" s="9"/>
      <c r="K289" s="9"/>
      <c r="L289" s="9"/>
      <c r="O289" s="9"/>
      <c r="P289" s="9"/>
      <c r="Q289" s="9"/>
      <c r="R289" s="9"/>
      <c r="S289" s="9"/>
      <c r="T289" s="9"/>
    </row>
    <row r="290" spans="3:20">
      <c r="C290" s="9"/>
      <c r="D290" s="9"/>
      <c r="E290" s="9"/>
      <c r="F290" s="10"/>
      <c r="G290" s="9"/>
      <c r="H290" s="9"/>
      <c r="I290" s="9"/>
      <c r="J290" s="9"/>
      <c r="K290" s="9"/>
      <c r="L290" s="9"/>
      <c r="O290" s="9"/>
      <c r="P290" s="9"/>
      <c r="Q290" s="9"/>
      <c r="R290" s="9"/>
      <c r="S290" s="9"/>
      <c r="T290" s="9"/>
    </row>
    <row r="291" spans="3:20">
      <c r="C291" s="9"/>
      <c r="D291" s="9"/>
      <c r="E291" s="9"/>
      <c r="F291" s="10"/>
      <c r="G291" s="9"/>
      <c r="H291" s="9"/>
      <c r="I291" s="9"/>
      <c r="J291" s="9"/>
      <c r="K291" s="9"/>
      <c r="L291" s="9"/>
      <c r="O291" s="9"/>
      <c r="P291" s="9"/>
      <c r="Q291" s="9"/>
      <c r="R291" s="9"/>
      <c r="S291" s="9"/>
      <c r="T291" s="9"/>
    </row>
    <row r="292" spans="3:20">
      <c r="C292" s="9"/>
      <c r="D292" s="9"/>
      <c r="E292" s="9"/>
      <c r="F292" s="10"/>
      <c r="G292" s="9"/>
      <c r="H292" s="9"/>
      <c r="I292" s="9"/>
      <c r="J292" s="9"/>
      <c r="K292" s="9"/>
      <c r="L292" s="9"/>
      <c r="O292" s="9"/>
      <c r="P292" s="9"/>
      <c r="Q292" s="9"/>
      <c r="R292" s="9"/>
      <c r="S292" s="9"/>
      <c r="T292" s="9"/>
    </row>
    <row r="293" spans="3:20">
      <c r="C293" s="9"/>
      <c r="D293" s="9"/>
      <c r="E293" s="9"/>
      <c r="F293" s="10"/>
      <c r="G293" s="9"/>
      <c r="H293" s="9"/>
      <c r="I293" s="9"/>
      <c r="J293" s="9"/>
      <c r="K293" s="9"/>
      <c r="L293" s="9"/>
      <c r="O293" s="9"/>
      <c r="P293" s="9"/>
      <c r="Q293" s="9"/>
      <c r="R293" s="9"/>
      <c r="S293" s="9"/>
      <c r="T293" s="9"/>
    </row>
    <row r="294" spans="3:20">
      <c r="C294" s="9"/>
      <c r="D294" s="9"/>
      <c r="E294" s="9"/>
      <c r="F294" s="10"/>
      <c r="G294" s="9"/>
      <c r="H294" s="9"/>
      <c r="I294" s="9"/>
      <c r="J294" s="9"/>
      <c r="K294" s="9"/>
      <c r="L294" s="9"/>
      <c r="O294" s="9"/>
      <c r="P294" s="9"/>
      <c r="Q294" s="9"/>
      <c r="R294" s="9"/>
      <c r="S294" s="9"/>
      <c r="T294" s="9"/>
    </row>
    <row r="295" spans="3:20">
      <c r="C295" s="9"/>
      <c r="D295" s="9"/>
      <c r="E295" s="9"/>
      <c r="F295" s="10"/>
      <c r="G295" s="9"/>
      <c r="H295" s="9"/>
      <c r="I295" s="9"/>
      <c r="J295" s="9"/>
      <c r="K295" s="9"/>
      <c r="L295" s="9"/>
      <c r="O295" s="9"/>
      <c r="P295" s="9"/>
      <c r="Q295" s="9"/>
      <c r="R295" s="9"/>
      <c r="S295" s="9"/>
      <c r="T295" s="9"/>
    </row>
    <row r="296" spans="3:20">
      <c r="C296" s="9"/>
      <c r="D296" s="9"/>
      <c r="E296" s="9"/>
      <c r="F296" s="10"/>
      <c r="G296" s="9"/>
      <c r="H296" s="9"/>
      <c r="I296" s="9"/>
      <c r="J296" s="9"/>
      <c r="K296" s="9"/>
      <c r="L296" s="9"/>
      <c r="O296" s="9"/>
      <c r="P296" s="9"/>
      <c r="Q296" s="9"/>
      <c r="R296" s="9"/>
      <c r="S296" s="9"/>
      <c r="T296" s="9"/>
    </row>
    <row r="297" spans="3:20">
      <c r="C297" s="9"/>
      <c r="D297" s="9"/>
      <c r="E297" s="9"/>
      <c r="F297" s="10"/>
      <c r="G297" s="9"/>
      <c r="H297" s="9"/>
      <c r="I297" s="9"/>
      <c r="J297" s="9"/>
      <c r="K297" s="9"/>
      <c r="L297" s="9"/>
      <c r="O297" s="9"/>
      <c r="P297" s="9"/>
      <c r="Q297" s="9"/>
      <c r="R297" s="9"/>
      <c r="S297" s="9"/>
      <c r="T297" s="9"/>
    </row>
    <row r="298" spans="3:20">
      <c r="C298" s="9"/>
      <c r="D298" s="9"/>
      <c r="E298" s="9"/>
      <c r="F298" s="10"/>
      <c r="G298" s="9"/>
      <c r="H298" s="9"/>
      <c r="I298" s="9"/>
      <c r="J298" s="9"/>
      <c r="K298" s="9"/>
      <c r="L298" s="9"/>
      <c r="O298" s="9"/>
      <c r="P298" s="9"/>
      <c r="Q298" s="9"/>
      <c r="R298" s="9"/>
      <c r="S298" s="9"/>
      <c r="T298" s="9"/>
    </row>
    <row r="299" spans="3:20">
      <c r="C299" s="9"/>
      <c r="D299" s="9"/>
      <c r="E299" s="9"/>
      <c r="F299" s="10"/>
      <c r="G299" s="9"/>
      <c r="H299" s="9"/>
      <c r="I299" s="9"/>
      <c r="J299" s="9"/>
      <c r="K299" s="9"/>
      <c r="L299" s="9"/>
      <c r="O299" s="9"/>
      <c r="P299" s="9"/>
      <c r="Q299" s="9"/>
      <c r="R299" s="9"/>
      <c r="S299" s="9"/>
      <c r="T299" s="9"/>
    </row>
    <row r="300" spans="3:20">
      <c r="C300" s="9"/>
      <c r="D300" s="9"/>
      <c r="E300" s="9"/>
      <c r="F300" s="10"/>
      <c r="G300" s="9"/>
      <c r="H300" s="9"/>
      <c r="I300" s="9"/>
      <c r="J300" s="9"/>
      <c r="K300" s="9"/>
      <c r="L300" s="9"/>
      <c r="O300" s="9"/>
      <c r="P300" s="9"/>
      <c r="Q300" s="9"/>
      <c r="R300" s="9"/>
      <c r="S300" s="9"/>
      <c r="T300" s="9"/>
    </row>
    <row r="301" spans="3:20">
      <c r="C301" s="9"/>
      <c r="D301" s="9"/>
      <c r="E301" s="9"/>
      <c r="F301" s="10"/>
      <c r="G301" s="9"/>
      <c r="H301" s="9"/>
      <c r="I301" s="9"/>
      <c r="J301" s="9"/>
      <c r="K301" s="9"/>
      <c r="L301" s="9"/>
      <c r="O301" s="9"/>
      <c r="P301" s="9"/>
      <c r="Q301" s="9"/>
      <c r="R301" s="9"/>
      <c r="S301" s="9"/>
      <c r="T301" s="9"/>
    </row>
    <row r="302" spans="3:20">
      <c r="C302" s="9"/>
      <c r="D302" s="9"/>
      <c r="E302" s="9"/>
      <c r="F302" s="10"/>
      <c r="G302" s="9"/>
      <c r="H302" s="9"/>
      <c r="I302" s="9"/>
      <c r="J302" s="9"/>
      <c r="K302" s="9"/>
      <c r="L302" s="9"/>
      <c r="O302" s="9"/>
      <c r="P302" s="9"/>
      <c r="Q302" s="9"/>
      <c r="R302" s="9"/>
      <c r="S302" s="9"/>
      <c r="T302" s="9"/>
    </row>
    <row r="303" spans="3:20">
      <c r="C303" s="9"/>
      <c r="D303" s="9"/>
      <c r="E303" s="9"/>
      <c r="F303" s="10"/>
      <c r="G303" s="9"/>
      <c r="H303" s="9"/>
      <c r="I303" s="9"/>
      <c r="J303" s="9"/>
      <c r="K303" s="9"/>
      <c r="L303" s="9"/>
      <c r="O303" s="9"/>
      <c r="P303" s="9"/>
      <c r="Q303" s="9"/>
      <c r="R303" s="9"/>
      <c r="S303" s="9"/>
      <c r="T303" s="9"/>
    </row>
    <row r="304" spans="3:20">
      <c r="C304" s="9"/>
      <c r="D304" s="9"/>
      <c r="E304" s="9"/>
      <c r="F304" s="10"/>
      <c r="G304" s="9"/>
      <c r="H304" s="9"/>
      <c r="I304" s="9"/>
      <c r="J304" s="9"/>
      <c r="K304" s="9"/>
      <c r="L304" s="9"/>
      <c r="O304" s="9"/>
      <c r="P304" s="9"/>
      <c r="Q304" s="9"/>
      <c r="R304" s="9"/>
      <c r="S304" s="9"/>
      <c r="T304" s="9"/>
    </row>
    <row r="305" spans="3:20">
      <c r="C305" s="9"/>
      <c r="D305" s="9"/>
      <c r="E305" s="9"/>
      <c r="F305" s="10"/>
      <c r="G305" s="9"/>
      <c r="H305" s="9"/>
      <c r="I305" s="9"/>
      <c r="J305" s="9"/>
      <c r="K305" s="9"/>
      <c r="L305" s="9"/>
      <c r="O305" s="9"/>
      <c r="P305" s="9"/>
      <c r="Q305" s="9"/>
      <c r="R305" s="9"/>
      <c r="S305" s="9"/>
      <c r="T305" s="9"/>
    </row>
    <row r="306" spans="3:20">
      <c r="C306" s="9"/>
      <c r="D306" s="9"/>
      <c r="E306" s="9"/>
      <c r="F306" s="10"/>
      <c r="G306" s="9"/>
      <c r="H306" s="9"/>
      <c r="I306" s="9"/>
      <c r="J306" s="9"/>
      <c r="K306" s="9"/>
      <c r="L306" s="9"/>
      <c r="O306" s="9"/>
      <c r="P306" s="9"/>
      <c r="Q306" s="9"/>
      <c r="R306" s="9"/>
      <c r="S306" s="9"/>
      <c r="T306" s="9"/>
    </row>
    <row r="307" spans="3:20">
      <c r="C307" s="9"/>
      <c r="D307" s="9"/>
      <c r="E307" s="9"/>
      <c r="F307" s="10"/>
      <c r="G307" s="9"/>
      <c r="H307" s="9"/>
      <c r="I307" s="9"/>
      <c r="J307" s="9"/>
      <c r="K307" s="9"/>
      <c r="L307" s="9"/>
      <c r="O307" s="9"/>
      <c r="P307" s="9"/>
      <c r="Q307" s="9"/>
      <c r="R307" s="9"/>
      <c r="S307" s="9"/>
      <c r="T307" s="9"/>
    </row>
    <row r="308" spans="3:20">
      <c r="C308" s="9"/>
      <c r="D308" s="9"/>
      <c r="E308" s="9"/>
      <c r="F308" s="10"/>
      <c r="G308" s="9"/>
      <c r="H308" s="9"/>
      <c r="I308" s="9"/>
      <c r="J308" s="9"/>
      <c r="K308" s="9"/>
      <c r="L308" s="9"/>
      <c r="O308" s="9"/>
      <c r="P308" s="9"/>
      <c r="Q308" s="9"/>
      <c r="R308" s="9"/>
      <c r="S308" s="9"/>
      <c r="T308" s="9"/>
    </row>
    <row r="309" spans="3:20">
      <c r="C309" s="9"/>
      <c r="D309" s="9"/>
      <c r="E309" s="9"/>
      <c r="F309" s="10"/>
      <c r="G309" s="9"/>
      <c r="H309" s="9"/>
      <c r="I309" s="9"/>
      <c r="J309" s="9"/>
      <c r="K309" s="9"/>
      <c r="L309" s="9"/>
      <c r="O309" s="9"/>
      <c r="P309" s="9"/>
      <c r="Q309" s="9"/>
      <c r="R309" s="9"/>
      <c r="S309" s="9"/>
      <c r="T309" s="9"/>
    </row>
    <row r="310" spans="3:20">
      <c r="C310" s="9"/>
      <c r="D310" s="9"/>
      <c r="E310" s="9"/>
      <c r="F310" s="10"/>
      <c r="G310" s="9"/>
      <c r="H310" s="9"/>
      <c r="I310" s="9"/>
      <c r="J310" s="9"/>
      <c r="K310" s="9"/>
      <c r="L310" s="9"/>
      <c r="O310" s="9"/>
      <c r="P310" s="9"/>
      <c r="Q310" s="9"/>
      <c r="R310" s="9"/>
      <c r="S310" s="9"/>
      <c r="T310" s="9"/>
    </row>
    <row r="311" spans="3:20">
      <c r="C311" s="9"/>
      <c r="D311" s="9"/>
      <c r="E311" s="9"/>
      <c r="F311" s="10"/>
      <c r="G311" s="9"/>
      <c r="H311" s="9"/>
      <c r="I311" s="9"/>
      <c r="J311" s="9"/>
      <c r="K311" s="9"/>
      <c r="L311" s="9"/>
      <c r="O311" s="9"/>
      <c r="P311" s="9"/>
      <c r="Q311" s="9"/>
      <c r="R311" s="9"/>
      <c r="S311" s="9"/>
      <c r="T311" s="9"/>
    </row>
    <row r="312" spans="3:20">
      <c r="C312" s="9"/>
      <c r="D312" s="9"/>
      <c r="E312" s="9"/>
      <c r="F312" s="10"/>
      <c r="G312" s="9"/>
      <c r="H312" s="9"/>
      <c r="I312" s="9"/>
      <c r="J312" s="9"/>
      <c r="K312" s="9"/>
      <c r="L312" s="9"/>
      <c r="O312" s="9"/>
      <c r="P312" s="9"/>
      <c r="Q312" s="9"/>
      <c r="R312" s="9"/>
      <c r="S312" s="9"/>
      <c r="T312" s="9"/>
    </row>
    <row r="313" spans="3:20">
      <c r="C313" s="9"/>
      <c r="D313" s="9"/>
      <c r="E313" s="9"/>
      <c r="F313" s="10"/>
      <c r="G313" s="9"/>
      <c r="H313" s="9"/>
      <c r="I313" s="9"/>
      <c r="J313" s="9"/>
      <c r="K313" s="9"/>
      <c r="L313" s="9"/>
      <c r="O313" s="9"/>
      <c r="P313" s="9"/>
      <c r="Q313" s="9"/>
      <c r="R313" s="9"/>
      <c r="S313" s="9"/>
      <c r="T313" s="9"/>
    </row>
    <row r="314" spans="3:20">
      <c r="C314" s="9"/>
      <c r="D314" s="9"/>
      <c r="E314" s="9"/>
      <c r="F314" s="10"/>
      <c r="G314" s="9"/>
      <c r="H314" s="9"/>
      <c r="I314" s="9"/>
      <c r="J314" s="9"/>
      <c r="K314" s="9"/>
      <c r="L314" s="9"/>
      <c r="O314" s="9"/>
      <c r="P314" s="9"/>
      <c r="Q314" s="9"/>
      <c r="R314" s="9"/>
      <c r="S314" s="9"/>
      <c r="T314" s="9"/>
    </row>
    <row r="315" spans="3:20">
      <c r="C315" s="9"/>
      <c r="D315" s="9"/>
      <c r="E315" s="9"/>
      <c r="F315" s="10"/>
      <c r="G315" s="9"/>
      <c r="H315" s="9"/>
      <c r="I315" s="9"/>
      <c r="J315" s="9"/>
      <c r="K315" s="9"/>
      <c r="L315" s="9"/>
      <c r="O315" s="9"/>
      <c r="P315" s="9"/>
      <c r="Q315" s="9"/>
      <c r="R315" s="9"/>
      <c r="S315" s="9"/>
      <c r="T315" s="9"/>
    </row>
    <row r="316" spans="3:20">
      <c r="C316" s="9"/>
      <c r="D316" s="9"/>
      <c r="E316" s="9"/>
      <c r="F316" s="10"/>
      <c r="G316" s="9"/>
      <c r="H316" s="9"/>
      <c r="I316" s="9"/>
      <c r="J316" s="9"/>
      <c r="K316" s="9"/>
      <c r="L316" s="9"/>
      <c r="O316" s="9"/>
      <c r="P316" s="9"/>
      <c r="Q316" s="9"/>
      <c r="R316" s="9"/>
      <c r="S316" s="9"/>
      <c r="T316" s="9"/>
    </row>
    <row r="317" spans="3:20">
      <c r="C317" s="9"/>
      <c r="D317" s="9"/>
      <c r="E317" s="9"/>
      <c r="F317" s="10"/>
      <c r="G317" s="9"/>
      <c r="H317" s="9"/>
      <c r="I317" s="9"/>
      <c r="J317" s="9"/>
      <c r="K317" s="9"/>
      <c r="L317" s="9"/>
      <c r="O317" s="9"/>
      <c r="P317" s="9"/>
      <c r="Q317" s="9"/>
      <c r="R317" s="9"/>
      <c r="S317" s="9"/>
      <c r="T317" s="9"/>
    </row>
    <row r="318" spans="3:20">
      <c r="C318" s="9"/>
      <c r="D318" s="9"/>
      <c r="E318" s="9"/>
      <c r="F318" s="10"/>
      <c r="G318" s="9"/>
      <c r="H318" s="9"/>
      <c r="I318" s="9"/>
      <c r="J318" s="9"/>
      <c r="K318" s="9"/>
      <c r="L318" s="9"/>
      <c r="O318" s="9"/>
      <c r="P318" s="9"/>
      <c r="Q318" s="9"/>
      <c r="R318" s="9"/>
      <c r="S318" s="9"/>
      <c r="T318" s="9"/>
    </row>
    <row r="319" spans="3:20">
      <c r="C319" s="9"/>
      <c r="D319" s="9"/>
      <c r="E319" s="9"/>
      <c r="F319" s="10"/>
      <c r="G319" s="9"/>
      <c r="H319" s="9"/>
      <c r="I319" s="9"/>
      <c r="J319" s="9"/>
      <c r="K319" s="9"/>
      <c r="L319" s="9"/>
      <c r="O319" s="9"/>
      <c r="P319" s="9"/>
      <c r="Q319" s="9"/>
      <c r="R319" s="9"/>
      <c r="S319" s="9"/>
      <c r="T319" s="9"/>
    </row>
    <row r="320" spans="3:20">
      <c r="C320" s="9"/>
      <c r="D320" s="9"/>
      <c r="E320" s="9"/>
      <c r="F320" s="10"/>
      <c r="G320" s="9"/>
      <c r="H320" s="9"/>
      <c r="I320" s="9"/>
      <c r="J320" s="9"/>
      <c r="K320" s="9"/>
      <c r="L320" s="9"/>
      <c r="O320" s="9"/>
      <c r="P320" s="9"/>
      <c r="Q320" s="9"/>
      <c r="R320" s="9"/>
      <c r="S320" s="9"/>
      <c r="T320" s="9"/>
    </row>
    <row r="321" spans="3:20">
      <c r="C321" s="9"/>
      <c r="D321" s="9"/>
      <c r="E321" s="9"/>
      <c r="F321" s="10"/>
      <c r="G321" s="9"/>
      <c r="H321" s="9"/>
      <c r="I321" s="9"/>
      <c r="J321" s="9"/>
      <c r="K321" s="9"/>
      <c r="L321" s="9"/>
      <c r="O321" s="9"/>
      <c r="P321" s="9"/>
      <c r="Q321" s="9"/>
      <c r="R321" s="9"/>
      <c r="S321" s="9"/>
      <c r="T321" s="9"/>
    </row>
    <row r="322" spans="3:20">
      <c r="C322" s="9"/>
      <c r="D322" s="9"/>
      <c r="E322" s="9"/>
      <c r="F322" s="10"/>
      <c r="G322" s="9"/>
      <c r="H322" s="9"/>
      <c r="I322" s="9"/>
      <c r="J322" s="9"/>
      <c r="K322" s="9"/>
      <c r="L322" s="9"/>
      <c r="O322" s="9"/>
      <c r="P322" s="9"/>
      <c r="Q322" s="9"/>
      <c r="R322" s="9"/>
      <c r="S322" s="9"/>
      <c r="T322" s="9"/>
    </row>
    <row r="323" spans="3:20">
      <c r="C323" s="9"/>
      <c r="D323" s="9"/>
      <c r="E323" s="9"/>
      <c r="F323" s="10"/>
      <c r="G323" s="9"/>
      <c r="H323" s="9"/>
      <c r="I323" s="9"/>
      <c r="J323" s="9"/>
      <c r="K323" s="9"/>
      <c r="L323" s="9"/>
      <c r="O323" s="9"/>
      <c r="P323" s="9"/>
      <c r="Q323" s="9"/>
      <c r="R323" s="9"/>
      <c r="S323" s="9"/>
      <c r="T323" s="9"/>
    </row>
    <row r="324" spans="3:20">
      <c r="C324" s="9"/>
      <c r="D324" s="9"/>
      <c r="E324" s="9"/>
      <c r="F324" s="10"/>
      <c r="G324" s="9"/>
      <c r="H324" s="9"/>
      <c r="I324" s="9"/>
      <c r="J324" s="9"/>
      <c r="K324" s="9"/>
      <c r="L324" s="9"/>
      <c r="O324" s="9"/>
      <c r="P324" s="9"/>
      <c r="Q324" s="9"/>
      <c r="R324" s="9"/>
      <c r="S324" s="9"/>
      <c r="T324" s="9"/>
    </row>
    <row r="325" spans="3:20">
      <c r="C325" s="9"/>
      <c r="D325" s="9"/>
      <c r="E325" s="9"/>
      <c r="F325" s="10"/>
      <c r="G325" s="9"/>
      <c r="H325" s="9"/>
      <c r="I325" s="9"/>
      <c r="J325" s="9"/>
      <c r="K325" s="9"/>
      <c r="L325" s="9"/>
      <c r="O325" s="9"/>
      <c r="P325" s="9"/>
      <c r="Q325" s="9"/>
      <c r="R325" s="9"/>
      <c r="S325" s="9"/>
      <c r="T325" s="9"/>
    </row>
    <row r="326" spans="3:20">
      <c r="C326" s="9"/>
      <c r="D326" s="9"/>
      <c r="E326" s="9"/>
      <c r="F326" s="10"/>
      <c r="G326" s="9"/>
      <c r="H326" s="9"/>
      <c r="I326" s="9"/>
      <c r="J326" s="9"/>
      <c r="K326" s="9"/>
      <c r="L326" s="9"/>
      <c r="O326" s="9"/>
      <c r="P326" s="9"/>
      <c r="Q326" s="9"/>
      <c r="R326" s="9"/>
      <c r="S326" s="9"/>
      <c r="T326" s="9"/>
    </row>
    <row r="327" spans="3:20">
      <c r="C327" s="9"/>
      <c r="D327" s="9"/>
      <c r="E327" s="9"/>
      <c r="F327" s="10"/>
      <c r="G327" s="9"/>
      <c r="H327" s="9"/>
      <c r="I327" s="9"/>
      <c r="J327" s="9"/>
      <c r="K327" s="9"/>
      <c r="L327" s="9"/>
      <c r="O327" s="9"/>
      <c r="P327" s="9"/>
      <c r="Q327" s="9"/>
      <c r="R327" s="9"/>
      <c r="S327" s="9"/>
      <c r="T327" s="9"/>
    </row>
    <row r="328" spans="3:20">
      <c r="C328" s="9"/>
      <c r="D328" s="9"/>
      <c r="E328" s="9"/>
      <c r="F328" s="10"/>
      <c r="G328" s="9"/>
      <c r="H328" s="9"/>
      <c r="I328" s="9"/>
      <c r="J328" s="9"/>
      <c r="K328" s="9"/>
      <c r="L328" s="9"/>
      <c r="O328" s="9"/>
      <c r="P328" s="9"/>
      <c r="Q328" s="9"/>
      <c r="R328" s="9"/>
      <c r="S328" s="9"/>
      <c r="T328" s="9"/>
    </row>
    <row r="329" spans="3:20">
      <c r="C329" s="9"/>
      <c r="D329" s="9"/>
      <c r="E329" s="9"/>
      <c r="F329" s="10"/>
      <c r="G329" s="9"/>
      <c r="H329" s="9"/>
      <c r="I329" s="9"/>
      <c r="J329" s="9"/>
      <c r="K329" s="9"/>
      <c r="L329" s="9"/>
      <c r="O329" s="9"/>
      <c r="P329" s="9"/>
      <c r="Q329" s="9"/>
      <c r="R329" s="9"/>
      <c r="S329" s="9"/>
      <c r="T329" s="9"/>
    </row>
    <row r="330" spans="3:20">
      <c r="C330" s="9"/>
      <c r="D330" s="9"/>
      <c r="E330" s="9"/>
      <c r="F330" s="10"/>
      <c r="G330" s="9"/>
      <c r="H330" s="9"/>
      <c r="I330" s="9"/>
      <c r="J330" s="9"/>
      <c r="K330" s="9"/>
      <c r="L330" s="9"/>
      <c r="O330" s="9"/>
      <c r="P330" s="9"/>
      <c r="Q330" s="9"/>
      <c r="R330" s="9"/>
      <c r="S330" s="9"/>
      <c r="T330" s="9"/>
    </row>
    <row r="331" spans="3:20">
      <c r="C331" s="9"/>
      <c r="D331" s="9"/>
      <c r="E331" s="9"/>
      <c r="F331" s="10"/>
      <c r="G331" s="9"/>
      <c r="H331" s="9"/>
      <c r="I331" s="9"/>
      <c r="J331" s="9"/>
      <c r="K331" s="9"/>
      <c r="L331" s="9"/>
      <c r="O331" s="9"/>
      <c r="P331" s="9"/>
      <c r="Q331" s="9"/>
      <c r="R331" s="9"/>
      <c r="S331" s="9"/>
      <c r="T331" s="9"/>
    </row>
    <row r="332" spans="3:20">
      <c r="C332" s="9"/>
      <c r="D332" s="9"/>
      <c r="E332" s="9"/>
      <c r="F332" s="10"/>
      <c r="G332" s="9"/>
      <c r="H332" s="9"/>
      <c r="I332" s="9"/>
      <c r="J332" s="9"/>
      <c r="K332" s="9"/>
      <c r="L332" s="9"/>
      <c r="O332" s="9"/>
      <c r="P332" s="9"/>
      <c r="Q332" s="9"/>
      <c r="R332" s="9"/>
      <c r="S332" s="9"/>
      <c r="T332" s="9"/>
    </row>
    <row r="333" spans="3:20">
      <c r="C333" s="9"/>
      <c r="D333" s="9"/>
      <c r="E333" s="9"/>
      <c r="F333" s="10"/>
      <c r="G333" s="9"/>
      <c r="H333" s="9"/>
      <c r="I333" s="9"/>
      <c r="J333" s="9"/>
      <c r="K333" s="9"/>
      <c r="L333" s="9"/>
      <c r="O333" s="9"/>
      <c r="P333" s="9"/>
      <c r="Q333" s="9"/>
      <c r="R333" s="9"/>
      <c r="S333" s="9"/>
      <c r="T333" s="9"/>
    </row>
    <row r="334" spans="3:20">
      <c r="C334" s="9"/>
      <c r="D334" s="9"/>
      <c r="E334" s="9"/>
      <c r="F334" s="10"/>
      <c r="G334" s="9"/>
      <c r="H334" s="9"/>
      <c r="I334" s="9"/>
      <c r="J334" s="9"/>
      <c r="K334" s="9"/>
      <c r="L334" s="9"/>
      <c r="O334" s="9"/>
      <c r="P334" s="9"/>
      <c r="Q334" s="9"/>
      <c r="R334" s="9"/>
      <c r="S334" s="9"/>
      <c r="T334" s="9"/>
    </row>
    <row r="335" spans="3:20">
      <c r="C335" s="9"/>
      <c r="D335" s="9"/>
      <c r="E335" s="9"/>
      <c r="F335" s="10"/>
      <c r="G335" s="9"/>
      <c r="H335" s="9"/>
      <c r="I335" s="9"/>
      <c r="J335" s="9"/>
      <c r="K335" s="9"/>
      <c r="L335" s="9"/>
      <c r="O335" s="9"/>
      <c r="P335" s="9"/>
      <c r="Q335" s="9"/>
      <c r="R335" s="9"/>
      <c r="S335" s="9"/>
      <c r="T335" s="9"/>
    </row>
    <row r="336" spans="3:20">
      <c r="C336" s="9"/>
      <c r="D336" s="9"/>
      <c r="E336" s="9"/>
      <c r="F336" s="10"/>
      <c r="G336" s="9"/>
      <c r="H336" s="9"/>
      <c r="I336" s="9"/>
      <c r="J336" s="9"/>
      <c r="K336" s="9"/>
      <c r="L336" s="9"/>
      <c r="O336" s="9"/>
      <c r="P336" s="9"/>
      <c r="Q336" s="9"/>
      <c r="R336" s="9"/>
      <c r="S336" s="9"/>
      <c r="T336" s="9"/>
    </row>
    <row r="337" spans="3:20">
      <c r="C337" s="9"/>
      <c r="D337" s="9"/>
      <c r="E337" s="9"/>
      <c r="F337" s="10"/>
      <c r="G337" s="9"/>
      <c r="H337" s="9"/>
      <c r="I337" s="9"/>
      <c r="J337" s="9"/>
      <c r="K337" s="9"/>
      <c r="L337" s="9"/>
      <c r="O337" s="9"/>
      <c r="P337" s="9"/>
      <c r="Q337" s="9"/>
      <c r="R337" s="9"/>
      <c r="S337" s="9"/>
      <c r="T337" s="9"/>
    </row>
    <row r="338" spans="3:20">
      <c r="C338" s="9"/>
      <c r="D338" s="9"/>
      <c r="E338" s="9"/>
      <c r="F338" s="10"/>
      <c r="G338" s="9"/>
      <c r="H338" s="9"/>
      <c r="I338" s="9"/>
      <c r="J338" s="9"/>
      <c r="K338" s="9"/>
      <c r="L338" s="9"/>
      <c r="O338" s="9"/>
      <c r="P338" s="9"/>
      <c r="Q338" s="9"/>
      <c r="R338" s="9"/>
      <c r="S338" s="9"/>
      <c r="T338" s="9"/>
    </row>
    <row r="339" spans="3:20">
      <c r="C339" s="9"/>
      <c r="D339" s="9"/>
      <c r="E339" s="9"/>
      <c r="F339" s="10"/>
      <c r="G339" s="9"/>
      <c r="H339" s="9"/>
      <c r="I339" s="9"/>
      <c r="J339" s="9"/>
      <c r="K339" s="9"/>
      <c r="L339" s="9"/>
      <c r="O339" s="9"/>
      <c r="P339" s="9"/>
      <c r="Q339" s="9"/>
      <c r="R339" s="9"/>
      <c r="S339" s="9"/>
      <c r="T339" s="9"/>
    </row>
    <row r="340" spans="3:20">
      <c r="C340" s="9"/>
      <c r="D340" s="9"/>
      <c r="E340" s="9"/>
      <c r="F340" s="10"/>
      <c r="G340" s="9"/>
      <c r="H340" s="9"/>
      <c r="I340" s="9"/>
      <c r="J340" s="9"/>
      <c r="K340" s="9"/>
      <c r="L340" s="9"/>
      <c r="O340" s="9"/>
      <c r="P340" s="9"/>
      <c r="Q340" s="9"/>
      <c r="R340" s="9"/>
      <c r="S340" s="9"/>
      <c r="T340" s="9"/>
    </row>
    <row r="341" spans="3:20">
      <c r="C341" s="9"/>
      <c r="D341" s="9"/>
      <c r="E341" s="9"/>
      <c r="F341" s="10"/>
      <c r="G341" s="9"/>
      <c r="H341" s="9"/>
      <c r="I341" s="9"/>
      <c r="J341" s="9"/>
      <c r="K341" s="9"/>
      <c r="L341" s="9"/>
      <c r="O341" s="9"/>
      <c r="P341" s="9"/>
      <c r="Q341" s="9"/>
      <c r="R341" s="9"/>
      <c r="S341" s="9"/>
      <c r="T341" s="9"/>
    </row>
    <row r="342" spans="3:20">
      <c r="C342" s="9"/>
      <c r="D342" s="9"/>
      <c r="E342" s="9"/>
      <c r="F342" s="10"/>
      <c r="G342" s="9"/>
      <c r="H342" s="9"/>
      <c r="I342" s="9"/>
      <c r="J342" s="9"/>
      <c r="K342" s="9"/>
      <c r="L342" s="9"/>
      <c r="O342" s="9"/>
      <c r="P342" s="9"/>
      <c r="Q342" s="9"/>
      <c r="R342" s="9"/>
      <c r="S342" s="9"/>
      <c r="T342" s="9"/>
    </row>
    <row r="343" spans="3:20">
      <c r="C343" s="9"/>
      <c r="D343" s="9"/>
      <c r="E343" s="9"/>
      <c r="F343" s="10"/>
      <c r="G343" s="9"/>
      <c r="H343" s="9"/>
      <c r="I343" s="9"/>
      <c r="J343" s="9"/>
      <c r="K343" s="9"/>
      <c r="L343" s="9"/>
      <c r="O343" s="9"/>
      <c r="P343" s="9"/>
      <c r="Q343" s="9"/>
      <c r="R343" s="9"/>
      <c r="S343" s="9"/>
      <c r="T343" s="9"/>
    </row>
    <row r="344" spans="3:20">
      <c r="C344" s="9"/>
      <c r="D344" s="9"/>
      <c r="E344" s="9"/>
      <c r="F344" s="10"/>
      <c r="G344" s="9"/>
      <c r="H344" s="9"/>
      <c r="I344" s="9"/>
      <c r="J344" s="9"/>
      <c r="K344" s="9"/>
      <c r="L344" s="9"/>
      <c r="O344" s="9"/>
      <c r="P344" s="9"/>
      <c r="Q344" s="9"/>
      <c r="R344" s="9"/>
      <c r="S344" s="9"/>
      <c r="T344" s="9"/>
    </row>
    <row r="345" spans="3:20">
      <c r="C345" s="9"/>
      <c r="D345" s="9"/>
      <c r="E345" s="9"/>
      <c r="F345" s="10"/>
      <c r="G345" s="9"/>
      <c r="H345" s="9"/>
      <c r="I345" s="9"/>
      <c r="J345" s="9"/>
      <c r="K345" s="9"/>
      <c r="L345" s="9"/>
      <c r="O345" s="9"/>
      <c r="P345" s="9"/>
      <c r="Q345" s="9"/>
      <c r="R345" s="9"/>
      <c r="S345" s="9"/>
      <c r="T345" s="9"/>
    </row>
    <row r="346" spans="3:20">
      <c r="C346" s="9"/>
      <c r="D346" s="9"/>
      <c r="E346" s="9"/>
      <c r="F346" s="10"/>
      <c r="G346" s="9"/>
      <c r="H346" s="9"/>
      <c r="I346" s="9"/>
      <c r="J346" s="9"/>
      <c r="K346" s="9"/>
      <c r="L346" s="9"/>
      <c r="O346" s="9"/>
      <c r="P346" s="9"/>
      <c r="Q346" s="9"/>
      <c r="R346" s="9"/>
      <c r="S346" s="9"/>
      <c r="T346" s="9"/>
    </row>
    <row r="347" spans="3:20">
      <c r="C347" s="9"/>
      <c r="D347" s="9"/>
      <c r="E347" s="9"/>
      <c r="F347" s="10"/>
      <c r="G347" s="9"/>
      <c r="H347" s="9"/>
      <c r="I347" s="9"/>
      <c r="J347" s="9"/>
      <c r="K347" s="9"/>
      <c r="L347" s="9"/>
      <c r="O347" s="9"/>
      <c r="P347" s="9"/>
      <c r="Q347" s="9"/>
      <c r="R347" s="9"/>
      <c r="S347" s="9"/>
      <c r="T347" s="9"/>
    </row>
    <row r="348" spans="3:20">
      <c r="C348" s="9"/>
      <c r="D348" s="9"/>
      <c r="E348" s="9"/>
      <c r="F348" s="10"/>
      <c r="G348" s="9"/>
      <c r="H348" s="9"/>
      <c r="I348" s="9"/>
      <c r="J348" s="9"/>
      <c r="K348" s="9"/>
      <c r="L348" s="9"/>
      <c r="O348" s="9"/>
      <c r="P348" s="9"/>
      <c r="Q348" s="9"/>
      <c r="R348" s="9"/>
      <c r="S348" s="9"/>
      <c r="T348" s="9"/>
    </row>
    <row r="349" spans="3:20">
      <c r="C349" s="9"/>
      <c r="D349" s="9"/>
      <c r="E349" s="9"/>
      <c r="F349" s="10"/>
      <c r="G349" s="9"/>
      <c r="H349" s="9"/>
      <c r="I349" s="9"/>
      <c r="J349" s="9"/>
      <c r="K349" s="9"/>
      <c r="L349" s="9"/>
      <c r="O349" s="9"/>
      <c r="P349" s="9"/>
      <c r="Q349" s="9"/>
      <c r="R349" s="9"/>
      <c r="S349" s="9"/>
      <c r="T349" s="9"/>
    </row>
    <row r="350" spans="3:20">
      <c r="C350" s="9"/>
      <c r="D350" s="9"/>
      <c r="E350" s="9"/>
      <c r="F350" s="10"/>
      <c r="G350" s="9"/>
      <c r="H350" s="9"/>
      <c r="I350" s="9"/>
      <c r="J350" s="9"/>
      <c r="K350" s="9"/>
      <c r="L350" s="9"/>
      <c r="O350" s="9"/>
      <c r="P350" s="9"/>
      <c r="Q350" s="9"/>
      <c r="R350" s="9"/>
      <c r="S350" s="9"/>
      <c r="T350" s="9"/>
    </row>
    <row r="351" spans="3:20">
      <c r="C351" s="9"/>
      <c r="D351" s="9"/>
      <c r="E351" s="9"/>
      <c r="F351" s="10"/>
      <c r="G351" s="9"/>
      <c r="H351" s="9"/>
      <c r="I351" s="9"/>
      <c r="J351" s="9"/>
      <c r="K351" s="9"/>
      <c r="L351" s="9"/>
      <c r="O351" s="9"/>
      <c r="P351" s="9"/>
      <c r="Q351" s="9"/>
      <c r="R351" s="9"/>
      <c r="S351" s="9"/>
      <c r="T351" s="9"/>
    </row>
    <row r="352" spans="3:20">
      <c r="C352" s="9"/>
      <c r="D352" s="9"/>
      <c r="E352" s="9"/>
      <c r="F352" s="10"/>
      <c r="G352" s="9"/>
      <c r="H352" s="9"/>
      <c r="I352" s="9"/>
      <c r="J352" s="9"/>
      <c r="K352" s="9"/>
      <c r="L352" s="9"/>
      <c r="O352" s="9"/>
      <c r="P352" s="9"/>
      <c r="Q352" s="9"/>
      <c r="R352" s="9"/>
      <c r="S352" s="9"/>
      <c r="T352" s="9"/>
    </row>
    <row r="353" spans="3:20">
      <c r="C353" s="9"/>
      <c r="D353" s="9"/>
      <c r="E353" s="9"/>
      <c r="F353" s="10"/>
      <c r="G353" s="9"/>
      <c r="H353" s="9"/>
      <c r="I353" s="9"/>
      <c r="J353" s="9"/>
      <c r="K353" s="9"/>
      <c r="L353" s="9"/>
      <c r="O353" s="9"/>
      <c r="P353" s="9"/>
      <c r="Q353" s="9"/>
      <c r="R353" s="9"/>
      <c r="S353" s="9"/>
      <c r="T353" s="9"/>
    </row>
    <row r="354" spans="3:20">
      <c r="C354" s="9"/>
      <c r="D354" s="9"/>
      <c r="E354" s="9"/>
      <c r="F354" s="10"/>
      <c r="G354" s="9"/>
      <c r="H354" s="9"/>
      <c r="I354" s="9"/>
      <c r="J354" s="9"/>
      <c r="K354" s="9"/>
      <c r="L354" s="9"/>
      <c r="O354" s="9"/>
      <c r="P354" s="9"/>
      <c r="Q354" s="9"/>
      <c r="R354" s="9"/>
      <c r="S354" s="9"/>
      <c r="T354" s="9"/>
    </row>
    <row r="355" spans="3:20">
      <c r="C355" s="9"/>
      <c r="D355" s="9"/>
      <c r="E355" s="9"/>
      <c r="F355" s="10"/>
      <c r="G355" s="9"/>
      <c r="H355" s="9"/>
      <c r="I355" s="9"/>
      <c r="J355" s="9"/>
      <c r="K355" s="9"/>
      <c r="L355" s="9"/>
      <c r="O355" s="9"/>
      <c r="P355" s="9"/>
      <c r="Q355" s="9"/>
      <c r="R355" s="9"/>
      <c r="S355" s="9"/>
      <c r="T355" s="9"/>
    </row>
    <row r="356" spans="3:20">
      <c r="C356" s="9"/>
      <c r="D356" s="9"/>
      <c r="E356" s="9"/>
      <c r="F356" s="10"/>
      <c r="G356" s="9"/>
      <c r="H356" s="9"/>
      <c r="I356" s="9"/>
      <c r="J356" s="9"/>
      <c r="K356" s="9"/>
      <c r="L356" s="9"/>
      <c r="O356" s="9"/>
      <c r="P356" s="9"/>
      <c r="Q356" s="9"/>
      <c r="R356" s="9"/>
      <c r="S356" s="9"/>
      <c r="T356" s="9"/>
    </row>
    <row r="357" spans="3:20">
      <c r="C357" s="9"/>
      <c r="D357" s="9"/>
      <c r="E357" s="9"/>
      <c r="F357" s="10"/>
      <c r="G357" s="9"/>
      <c r="H357" s="9"/>
      <c r="I357" s="9"/>
      <c r="J357" s="9"/>
      <c r="K357" s="9"/>
      <c r="L357" s="9"/>
      <c r="O357" s="9"/>
      <c r="P357" s="9"/>
      <c r="Q357" s="9"/>
      <c r="R357" s="9"/>
      <c r="S357" s="9"/>
      <c r="T357" s="9"/>
    </row>
    <row r="358" spans="3:20">
      <c r="C358" s="9"/>
      <c r="D358" s="9"/>
      <c r="E358" s="9"/>
      <c r="F358" s="10"/>
      <c r="G358" s="9"/>
      <c r="H358" s="9"/>
      <c r="I358" s="9"/>
      <c r="J358" s="9"/>
      <c r="K358" s="9"/>
      <c r="L358" s="9"/>
      <c r="O358" s="9"/>
      <c r="P358" s="9"/>
      <c r="Q358" s="9"/>
      <c r="R358" s="9"/>
      <c r="S358" s="9"/>
      <c r="T358" s="9"/>
    </row>
    <row r="359" spans="3:20">
      <c r="C359" s="9"/>
      <c r="D359" s="9"/>
      <c r="E359" s="9"/>
      <c r="F359" s="10"/>
      <c r="G359" s="9"/>
      <c r="H359" s="9"/>
      <c r="I359" s="9"/>
      <c r="J359" s="9"/>
      <c r="K359" s="9"/>
      <c r="L359" s="9"/>
      <c r="O359" s="9"/>
      <c r="P359" s="9"/>
      <c r="Q359" s="9"/>
      <c r="R359" s="9"/>
      <c r="S359" s="9"/>
      <c r="T359" s="9"/>
    </row>
    <row r="360" spans="3:20">
      <c r="C360" s="9"/>
      <c r="D360" s="9"/>
      <c r="E360" s="9"/>
      <c r="F360" s="10"/>
      <c r="G360" s="9"/>
      <c r="H360" s="9"/>
      <c r="I360" s="9"/>
      <c r="J360" s="9"/>
      <c r="K360" s="9"/>
      <c r="L360" s="9"/>
      <c r="O360" s="9"/>
      <c r="P360" s="9"/>
      <c r="Q360" s="9"/>
      <c r="R360" s="9"/>
      <c r="S360" s="9"/>
      <c r="T360" s="9"/>
    </row>
    <row r="361" spans="3:20">
      <c r="C361" s="9"/>
      <c r="D361" s="9"/>
      <c r="E361" s="9"/>
      <c r="F361" s="10"/>
      <c r="G361" s="9"/>
      <c r="H361" s="9"/>
      <c r="I361" s="9"/>
      <c r="J361" s="9"/>
      <c r="K361" s="9"/>
      <c r="L361" s="9"/>
      <c r="O361" s="9"/>
      <c r="P361" s="9"/>
      <c r="Q361" s="9"/>
      <c r="R361" s="9"/>
      <c r="S361" s="9"/>
      <c r="T361" s="9"/>
    </row>
    <row r="362" spans="3:20">
      <c r="C362" s="9"/>
      <c r="D362" s="9"/>
      <c r="E362" s="9"/>
      <c r="F362" s="10"/>
      <c r="G362" s="9"/>
      <c r="H362" s="9"/>
      <c r="I362" s="9"/>
      <c r="J362" s="9"/>
      <c r="K362" s="9"/>
      <c r="L362" s="9"/>
      <c r="O362" s="9"/>
      <c r="P362" s="9"/>
      <c r="Q362" s="9"/>
      <c r="R362" s="9"/>
      <c r="S362" s="9"/>
      <c r="T362" s="9"/>
    </row>
    <row r="363" spans="3:20">
      <c r="C363" s="9"/>
      <c r="D363" s="9"/>
      <c r="E363" s="9"/>
      <c r="F363" s="10"/>
      <c r="G363" s="9"/>
      <c r="H363" s="9"/>
      <c r="I363" s="9"/>
      <c r="J363" s="9"/>
      <c r="K363" s="9"/>
      <c r="L363" s="9"/>
      <c r="O363" s="9"/>
      <c r="P363" s="9"/>
      <c r="Q363" s="9"/>
      <c r="R363" s="9"/>
      <c r="S363" s="9"/>
      <c r="T363" s="9"/>
    </row>
    <row r="364" spans="3:20">
      <c r="C364" s="9"/>
      <c r="D364" s="9"/>
      <c r="E364" s="9"/>
      <c r="F364" s="10"/>
      <c r="G364" s="9"/>
      <c r="H364" s="9"/>
      <c r="I364" s="9"/>
      <c r="J364" s="9"/>
      <c r="K364" s="9"/>
      <c r="L364" s="9"/>
      <c r="O364" s="9"/>
      <c r="P364" s="9"/>
      <c r="Q364" s="9"/>
      <c r="R364" s="9"/>
      <c r="S364" s="9"/>
      <c r="T364" s="9"/>
    </row>
    <row r="365" spans="3:20">
      <c r="C365" s="9"/>
      <c r="D365" s="9"/>
      <c r="E365" s="9"/>
      <c r="F365" s="10"/>
      <c r="G365" s="9"/>
      <c r="H365" s="9"/>
      <c r="I365" s="9"/>
      <c r="J365" s="9"/>
      <c r="K365" s="9"/>
      <c r="L365" s="9"/>
      <c r="O365" s="9"/>
      <c r="P365" s="9"/>
      <c r="Q365" s="9"/>
      <c r="R365" s="9"/>
      <c r="S365" s="9"/>
      <c r="T365" s="9"/>
    </row>
    <row r="366" spans="3:20">
      <c r="C366" s="9"/>
      <c r="D366" s="9"/>
      <c r="E366" s="9"/>
      <c r="F366" s="10"/>
      <c r="G366" s="9"/>
      <c r="H366" s="9"/>
      <c r="I366" s="9"/>
      <c r="J366" s="9"/>
      <c r="K366" s="9"/>
      <c r="L366" s="9"/>
      <c r="O366" s="9"/>
      <c r="P366" s="9"/>
      <c r="Q366" s="9"/>
      <c r="R366" s="9"/>
      <c r="S366" s="9"/>
      <c r="T366" s="9"/>
    </row>
    <row r="367" spans="3:20">
      <c r="C367" s="9"/>
      <c r="D367" s="9"/>
      <c r="E367" s="9"/>
      <c r="F367" s="10"/>
      <c r="G367" s="9"/>
      <c r="H367" s="9"/>
      <c r="I367" s="9"/>
      <c r="J367" s="9"/>
      <c r="K367" s="9"/>
      <c r="L367" s="9"/>
      <c r="O367" s="9"/>
      <c r="P367" s="9"/>
      <c r="Q367" s="9"/>
      <c r="R367" s="9"/>
      <c r="S367" s="9"/>
      <c r="T367" s="9"/>
    </row>
    <row r="368" spans="3:20">
      <c r="C368" s="9"/>
      <c r="D368" s="9"/>
      <c r="E368" s="9"/>
      <c r="F368" s="10"/>
      <c r="G368" s="9"/>
      <c r="H368" s="9"/>
      <c r="I368" s="9"/>
      <c r="J368" s="9"/>
      <c r="K368" s="9"/>
      <c r="L368" s="9"/>
      <c r="O368" s="9"/>
      <c r="P368" s="9"/>
      <c r="Q368" s="9"/>
      <c r="R368" s="9"/>
      <c r="S368" s="9"/>
      <c r="T368" s="9"/>
    </row>
    <row r="369" spans="3:20">
      <c r="C369" s="9"/>
      <c r="D369" s="9"/>
      <c r="E369" s="9"/>
      <c r="F369" s="10"/>
      <c r="G369" s="9"/>
      <c r="H369" s="9"/>
      <c r="I369" s="9"/>
      <c r="J369" s="9"/>
      <c r="K369" s="9"/>
      <c r="L369" s="9"/>
      <c r="O369" s="9"/>
      <c r="P369" s="9"/>
      <c r="Q369" s="9"/>
      <c r="R369" s="9"/>
      <c r="S369" s="9"/>
      <c r="T369" s="9"/>
    </row>
    <row r="370" spans="3:20">
      <c r="C370" s="9"/>
      <c r="D370" s="9"/>
      <c r="E370" s="9"/>
      <c r="F370" s="10"/>
      <c r="G370" s="9"/>
      <c r="H370" s="9"/>
      <c r="I370" s="9"/>
      <c r="J370" s="9"/>
      <c r="K370" s="9"/>
      <c r="L370" s="9"/>
      <c r="O370" s="9"/>
      <c r="P370" s="9"/>
      <c r="Q370" s="9"/>
      <c r="R370" s="9"/>
      <c r="S370" s="9"/>
      <c r="T370" s="9"/>
    </row>
    <row r="371" spans="3:20">
      <c r="C371" s="9"/>
      <c r="D371" s="9"/>
      <c r="E371" s="9"/>
      <c r="F371" s="10"/>
      <c r="G371" s="9"/>
      <c r="H371" s="9"/>
      <c r="I371" s="9"/>
      <c r="J371" s="9"/>
      <c r="K371" s="9"/>
      <c r="L371" s="9"/>
      <c r="O371" s="9"/>
      <c r="P371" s="9"/>
      <c r="Q371" s="9"/>
      <c r="R371" s="9"/>
      <c r="S371" s="9"/>
      <c r="T371" s="9"/>
    </row>
    <row r="372" spans="3:20">
      <c r="C372" s="9"/>
      <c r="D372" s="9"/>
      <c r="E372" s="9"/>
      <c r="F372" s="10"/>
      <c r="G372" s="9"/>
      <c r="H372" s="9"/>
      <c r="I372" s="9"/>
      <c r="J372" s="9"/>
      <c r="K372" s="9"/>
      <c r="L372" s="9"/>
      <c r="O372" s="9"/>
      <c r="P372" s="9"/>
      <c r="Q372" s="9"/>
      <c r="R372" s="9"/>
      <c r="S372" s="9"/>
      <c r="T372" s="9"/>
    </row>
    <row r="373" spans="3:20">
      <c r="C373" s="9"/>
      <c r="D373" s="9"/>
      <c r="E373" s="9"/>
      <c r="F373" s="10"/>
      <c r="G373" s="9"/>
      <c r="H373" s="9"/>
      <c r="I373" s="9"/>
      <c r="J373" s="9"/>
      <c r="K373" s="9"/>
      <c r="L373" s="9"/>
      <c r="O373" s="9"/>
      <c r="P373" s="9"/>
      <c r="Q373" s="9"/>
      <c r="R373" s="9"/>
      <c r="S373" s="9"/>
      <c r="T373" s="9"/>
    </row>
    <row r="374" spans="3:20">
      <c r="C374" s="9"/>
      <c r="D374" s="9"/>
      <c r="E374" s="9"/>
      <c r="F374" s="10"/>
      <c r="G374" s="9"/>
      <c r="H374" s="9"/>
      <c r="I374" s="9"/>
      <c r="J374" s="9"/>
      <c r="K374" s="9"/>
      <c r="L374" s="9"/>
      <c r="O374" s="9"/>
      <c r="P374" s="9"/>
      <c r="Q374" s="9"/>
      <c r="R374" s="9"/>
      <c r="S374" s="9"/>
      <c r="T374" s="9"/>
    </row>
    <row r="375" spans="3:20">
      <c r="C375" s="9"/>
      <c r="D375" s="9"/>
      <c r="E375" s="9"/>
      <c r="F375" s="10"/>
      <c r="G375" s="9"/>
      <c r="H375" s="9"/>
      <c r="I375" s="9"/>
      <c r="J375" s="9"/>
      <c r="K375" s="9"/>
      <c r="L375" s="9"/>
      <c r="O375" s="9"/>
      <c r="P375" s="9"/>
      <c r="Q375" s="9"/>
      <c r="R375" s="9"/>
      <c r="S375" s="9"/>
      <c r="T375" s="9"/>
    </row>
    <row r="376" spans="3:20">
      <c r="C376" s="9"/>
      <c r="D376" s="9"/>
      <c r="E376" s="9"/>
      <c r="F376" s="10"/>
      <c r="G376" s="9"/>
      <c r="H376" s="9"/>
      <c r="I376" s="9"/>
      <c r="J376" s="9"/>
      <c r="K376" s="9"/>
      <c r="L376" s="9"/>
      <c r="O376" s="9"/>
      <c r="P376" s="9"/>
      <c r="Q376" s="9"/>
      <c r="R376" s="9"/>
      <c r="S376" s="9"/>
      <c r="T376" s="9"/>
    </row>
    <row r="377" spans="3:20">
      <c r="C377" s="9"/>
      <c r="D377" s="9"/>
      <c r="E377" s="9"/>
      <c r="F377" s="10"/>
      <c r="G377" s="9"/>
      <c r="H377" s="9"/>
      <c r="I377" s="9"/>
      <c r="J377" s="9"/>
      <c r="K377" s="9"/>
      <c r="L377" s="9"/>
      <c r="O377" s="9"/>
      <c r="P377" s="9"/>
      <c r="Q377" s="9"/>
      <c r="R377" s="9"/>
      <c r="S377" s="9"/>
      <c r="T377" s="9"/>
    </row>
    <row r="378" spans="3:20">
      <c r="C378" s="9"/>
      <c r="D378" s="9"/>
      <c r="E378" s="9"/>
      <c r="F378" s="10"/>
      <c r="G378" s="9"/>
      <c r="H378" s="9"/>
      <c r="I378" s="9"/>
      <c r="J378" s="9"/>
      <c r="K378" s="9"/>
      <c r="L378" s="9"/>
      <c r="O378" s="9"/>
      <c r="P378" s="9"/>
      <c r="Q378" s="9"/>
      <c r="R378" s="9"/>
      <c r="S378" s="9"/>
      <c r="T378" s="9"/>
    </row>
    <row r="379" spans="3:20">
      <c r="C379" s="9"/>
      <c r="D379" s="9"/>
      <c r="E379" s="9"/>
      <c r="F379" s="10"/>
      <c r="G379" s="9"/>
      <c r="H379" s="9"/>
      <c r="I379" s="9"/>
      <c r="J379" s="9"/>
      <c r="K379" s="9"/>
      <c r="L379" s="9"/>
      <c r="O379" s="9"/>
      <c r="P379" s="9"/>
      <c r="Q379" s="9"/>
      <c r="R379" s="9"/>
      <c r="S379" s="9"/>
      <c r="T379" s="9"/>
    </row>
    <row r="380" spans="3:20">
      <c r="C380" s="9"/>
      <c r="D380" s="9"/>
      <c r="E380" s="9"/>
      <c r="F380" s="10"/>
      <c r="G380" s="9"/>
      <c r="H380" s="9"/>
      <c r="I380" s="9"/>
      <c r="J380" s="9"/>
      <c r="K380" s="9"/>
      <c r="L380" s="9"/>
      <c r="O380" s="9"/>
      <c r="P380" s="9"/>
      <c r="Q380" s="9"/>
      <c r="R380" s="9"/>
      <c r="S380" s="9"/>
      <c r="T380" s="9"/>
    </row>
    <row r="381" spans="3:20">
      <c r="C381" s="9"/>
      <c r="D381" s="9"/>
      <c r="E381" s="9"/>
      <c r="F381" s="10"/>
      <c r="G381" s="9"/>
      <c r="H381" s="9"/>
      <c r="I381" s="9"/>
      <c r="J381" s="9"/>
      <c r="K381" s="9"/>
      <c r="L381" s="9"/>
      <c r="O381" s="9"/>
      <c r="P381" s="9"/>
      <c r="Q381" s="9"/>
      <c r="R381" s="9"/>
      <c r="S381" s="9"/>
      <c r="T381" s="9"/>
    </row>
    <row r="382" spans="3:20">
      <c r="C382" s="9"/>
      <c r="D382" s="9"/>
      <c r="E382" s="9"/>
      <c r="F382" s="10"/>
      <c r="G382" s="9"/>
      <c r="H382" s="9"/>
      <c r="I382" s="9"/>
      <c r="J382" s="9"/>
      <c r="K382" s="9"/>
      <c r="L382" s="9"/>
      <c r="O382" s="9"/>
      <c r="P382" s="9"/>
      <c r="Q382" s="9"/>
      <c r="R382" s="9"/>
      <c r="S382" s="9"/>
      <c r="T382" s="9"/>
    </row>
    <row r="383" spans="3:20">
      <c r="C383" s="9"/>
      <c r="D383" s="9"/>
      <c r="E383" s="9"/>
      <c r="F383" s="10"/>
      <c r="G383" s="9"/>
      <c r="H383" s="9"/>
      <c r="I383" s="9"/>
      <c r="J383" s="9"/>
      <c r="K383" s="9"/>
      <c r="L383" s="9"/>
      <c r="O383" s="9"/>
      <c r="P383" s="9"/>
      <c r="Q383" s="9"/>
      <c r="R383" s="9"/>
      <c r="S383" s="9"/>
      <c r="T383" s="9"/>
    </row>
    <row r="384" spans="3:20">
      <c r="C384" s="9"/>
      <c r="D384" s="9"/>
      <c r="E384" s="9"/>
      <c r="F384" s="10"/>
      <c r="G384" s="9"/>
      <c r="H384" s="9"/>
      <c r="I384" s="9"/>
      <c r="J384" s="9"/>
      <c r="K384" s="9"/>
      <c r="L384" s="9"/>
      <c r="O384" s="9"/>
      <c r="P384" s="9"/>
      <c r="Q384" s="9"/>
      <c r="R384" s="9"/>
      <c r="S384" s="9"/>
      <c r="T384" s="9"/>
    </row>
    <row r="385" spans="3:20">
      <c r="C385" s="9"/>
      <c r="D385" s="9"/>
      <c r="E385" s="9"/>
      <c r="F385" s="10"/>
      <c r="G385" s="9"/>
      <c r="H385" s="9"/>
      <c r="I385" s="9"/>
      <c r="J385" s="9"/>
      <c r="K385" s="9"/>
      <c r="L385" s="9"/>
      <c r="O385" s="9"/>
      <c r="P385" s="9"/>
      <c r="Q385" s="9"/>
      <c r="R385" s="9"/>
      <c r="S385" s="9"/>
      <c r="T385" s="9"/>
    </row>
    <row r="386" spans="3:20">
      <c r="C386" s="9"/>
      <c r="D386" s="9"/>
      <c r="E386" s="9"/>
      <c r="F386" s="10"/>
      <c r="G386" s="9"/>
      <c r="H386" s="9"/>
      <c r="I386" s="9"/>
      <c r="J386" s="9"/>
      <c r="K386" s="9"/>
      <c r="L386" s="9"/>
      <c r="O386" s="9"/>
      <c r="P386" s="9"/>
      <c r="Q386" s="9"/>
      <c r="R386" s="9"/>
      <c r="S386" s="9"/>
      <c r="T386" s="9"/>
    </row>
    <row r="387" spans="3:20">
      <c r="C387" s="9"/>
      <c r="D387" s="9"/>
      <c r="E387" s="9"/>
      <c r="F387" s="10"/>
      <c r="G387" s="9"/>
      <c r="H387" s="9"/>
      <c r="I387" s="9"/>
      <c r="J387" s="9"/>
      <c r="K387" s="9"/>
      <c r="L387" s="9"/>
      <c r="O387" s="9"/>
      <c r="P387" s="9"/>
      <c r="Q387" s="9"/>
      <c r="R387" s="9"/>
      <c r="S387" s="9"/>
      <c r="T387" s="9"/>
    </row>
    <row r="388" spans="3:20">
      <c r="C388" s="9"/>
      <c r="D388" s="9"/>
      <c r="E388" s="9"/>
      <c r="F388" s="10"/>
      <c r="G388" s="9"/>
      <c r="H388" s="9"/>
      <c r="I388" s="9"/>
      <c r="J388" s="9"/>
      <c r="K388" s="9"/>
      <c r="L388" s="9"/>
      <c r="O388" s="9"/>
      <c r="P388" s="9"/>
      <c r="Q388" s="9"/>
      <c r="R388" s="9"/>
      <c r="S388" s="9"/>
      <c r="T388" s="9"/>
    </row>
    <row r="389" spans="3:20">
      <c r="C389" s="9"/>
      <c r="D389" s="9"/>
      <c r="E389" s="9"/>
      <c r="F389" s="10"/>
      <c r="G389" s="9"/>
      <c r="H389" s="9"/>
      <c r="I389" s="9"/>
      <c r="J389" s="9"/>
      <c r="K389" s="9"/>
      <c r="L389" s="9"/>
      <c r="O389" s="9"/>
      <c r="P389" s="9"/>
      <c r="Q389" s="9"/>
      <c r="R389" s="9"/>
      <c r="S389" s="9"/>
      <c r="T389" s="9"/>
    </row>
    <row r="390" spans="3:20">
      <c r="C390" s="9"/>
      <c r="D390" s="9"/>
      <c r="E390" s="9"/>
      <c r="F390" s="10"/>
      <c r="G390" s="9"/>
      <c r="H390" s="9"/>
      <c r="I390" s="9"/>
      <c r="J390" s="9"/>
      <c r="K390" s="9"/>
      <c r="L390" s="9"/>
      <c r="O390" s="9"/>
      <c r="P390" s="9"/>
      <c r="Q390" s="9"/>
      <c r="R390" s="9"/>
      <c r="S390" s="9"/>
      <c r="T390" s="9"/>
    </row>
    <row r="391" spans="3:20">
      <c r="C391" s="9"/>
      <c r="D391" s="9"/>
      <c r="E391" s="9"/>
      <c r="F391" s="10"/>
      <c r="G391" s="9"/>
      <c r="H391" s="9"/>
      <c r="I391" s="9"/>
      <c r="J391" s="9"/>
      <c r="K391" s="9"/>
      <c r="L391" s="9"/>
      <c r="O391" s="9"/>
      <c r="P391" s="9"/>
      <c r="Q391" s="9"/>
      <c r="R391" s="9"/>
      <c r="S391" s="9"/>
      <c r="T391" s="9"/>
    </row>
    <row r="392" spans="3:20">
      <c r="C392" s="9"/>
      <c r="D392" s="9"/>
      <c r="E392" s="9"/>
      <c r="F392" s="10"/>
      <c r="G392" s="9"/>
      <c r="H392" s="9"/>
      <c r="I392" s="9"/>
      <c r="J392" s="9"/>
      <c r="K392" s="9"/>
      <c r="L392" s="9"/>
      <c r="O392" s="9"/>
      <c r="P392" s="9"/>
      <c r="Q392" s="9"/>
      <c r="R392" s="9"/>
      <c r="S392" s="9"/>
      <c r="T392" s="9"/>
    </row>
    <row r="393" spans="3:20">
      <c r="C393" s="9"/>
      <c r="D393" s="9"/>
      <c r="E393" s="9"/>
      <c r="F393" s="10"/>
      <c r="G393" s="9"/>
      <c r="H393" s="9"/>
      <c r="I393" s="9"/>
      <c r="J393" s="9"/>
      <c r="K393" s="9"/>
      <c r="L393" s="9"/>
      <c r="O393" s="9"/>
      <c r="P393" s="9"/>
      <c r="Q393" s="9"/>
      <c r="R393" s="9"/>
      <c r="S393" s="9"/>
      <c r="T393" s="9"/>
    </row>
    <row r="394" spans="3:20">
      <c r="C394" s="9"/>
      <c r="D394" s="9"/>
      <c r="E394" s="9"/>
      <c r="F394" s="10"/>
      <c r="G394" s="9"/>
      <c r="H394" s="9"/>
      <c r="I394" s="9"/>
      <c r="J394" s="9"/>
      <c r="K394" s="9"/>
      <c r="L394" s="9"/>
      <c r="O394" s="9"/>
      <c r="P394" s="9"/>
      <c r="Q394" s="9"/>
      <c r="R394" s="9"/>
      <c r="S394" s="9"/>
      <c r="T394" s="9"/>
    </row>
    <row r="395" spans="3:20">
      <c r="C395" s="9"/>
      <c r="D395" s="9"/>
      <c r="E395" s="9"/>
      <c r="F395" s="10"/>
      <c r="G395" s="9"/>
      <c r="H395" s="9"/>
      <c r="I395" s="9"/>
      <c r="J395" s="9"/>
      <c r="K395" s="9"/>
      <c r="L395" s="9"/>
      <c r="O395" s="9"/>
      <c r="P395" s="9"/>
      <c r="Q395" s="9"/>
      <c r="R395" s="9"/>
      <c r="S395" s="9"/>
      <c r="T395" s="9"/>
    </row>
    <row r="396" spans="3:20">
      <c r="C396" s="9"/>
      <c r="D396" s="9"/>
      <c r="E396" s="9"/>
      <c r="F396" s="10"/>
      <c r="G396" s="9"/>
      <c r="H396" s="9"/>
      <c r="I396" s="9"/>
      <c r="J396" s="9"/>
      <c r="K396" s="9"/>
      <c r="L396" s="9"/>
      <c r="O396" s="9"/>
      <c r="P396" s="9"/>
      <c r="Q396" s="9"/>
      <c r="R396" s="9"/>
      <c r="S396" s="9"/>
      <c r="T396" s="9"/>
    </row>
    <row r="397" spans="3:20">
      <c r="C397" s="9"/>
      <c r="D397" s="9"/>
      <c r="E397" s="9"/>
      <c r="F397" s="10"/>
      <c r="G397" s="9"/>
      <c r="H397" s="9"/>
      <c r="I397" s="9"/>
      <c r="J397" s="9"/>
      <c r="K397" s="9"/>
      <c r="L397" s="9"/>
      <c r="O397" s="9"/>
      <c r="P397" s="9"/>
      <c r="Q397" s="9"/>
      <c r="R397" s="9"/>
      <c r="S397" s="9"/>
      <c r="T397" s="9"/>
    </row>
    <row r="398" spans="3:20">
      <c r="C398" s="9"/>
      <c r="D398" s="9"/>
      <c r="E398" s="9"/>
      <c r="F398" s="10"/>
      <c r="G398" s="9"/>
      <c r="H398" s="9"/>
      <c r="I398" s="9"/>
      <c r="J398" s="9"/>
      <c r="K398" s="9"/>
      <c r="L398" s="9"/>
      <c r="O398" s="9"/>
      <c r="P398" s="9"/>
      <c r="Q398" s="9"/>
      <c r="R398" s="9"/>
      <c r="S398" s="9"/>
      <c r="T398" s="9"/>
    </row>
    <row r="399" spans="3:20">
      <c r="C399" s="9"/>
      <c r="D399" s="9"/>
      <c r="E399" s="9"/>
      <c r="F399" s="10"/>
      <c r="G399" s="9"/>
      <c r="H399" s="9"/>
      <c r="I399" s="9"/>
      <c r="J399" s="9"/>
      <c r="K399" s="9"/>
      <c r="L399" s="9"/>
      <c r="O399" s="9"/>
      <c r="P399" s="9"/>
      <c r="Q399" s="9"/>
      <c r="R399" s="9"/>
      <c r="S399" s="9"/>
      <c r="T399" s="9"/>
    </row>
    <row r="400" spans="3:20">
      <c r="C400" s="9"/>
      <c r="D400" s="9"/>
      <c r="E400" s="9"/>
      <c r="F400" s="10"/>
      <c r="G400" s="9"/>
      <c r="H400" s="9"/>
      <c r="I400" s="9"/>
      <c r="J400" s="9"/>
      <c r="K400" s="9"/>
      <c r="L400" s="9"/>
      <c r="O400" s="9"/>
      <c r="P400" s="9"/>
      <c r="Q400" s="9"/>
      <c r="R400" s="9"/>
      <c r="S400" s="9"/>
      <c r="T400" s="9"/>
    </row>
    <row r="401" spans="3:20">
      <c r="C401" s="9"/>
      <c r="D401" s="9"/>
      <c r="E401" s="9"/>
      <c r="F401" s="10"/>
      <c r="G401" s="9"/>
      <c r="H401" s="9"/>
      <c r="I401" s="9"/>
      <c r="J401" s="9"/>
      <c r="K401" s="9"/>
      <c r="L401" s="9"/>
      <c r="O401" s="9"/>
      <c r="P401" s="9"/>
      <c r="Q401" s="9"/>
      <c r="R401" s="9"/>
      <c r="S401" s="9"/>
      <c r="T401" s="9"/>
    </row>
    <row r="402" spans="3:20">
      <c r="C402" s="9"/>
      <c r="D402" s="9"/>
      <c r="E402" s="9"/>
      <c r="F402" s="10"/>
      <c r="G402" s="9"/>
      <c r="H402" s="9"/>
      <c r="I402" s="9"/>
      <c r="J402" s="9"/>
      <c r="K402" s="9"/>
      <c r="L402" s="9"/>
      <c r="O402" s="9"/>
      <c r="P402" s="9"/>
      <c r="Q402" s="9"/>
      <c r="R402" s="9"/>
      <c r="S402" s="9"/>
      <c r="T402" s="9"/>
    </row>
    <row r="403" spans="3:20">
      <c r="C403" s="9"/>
      <c r="D403" s="9"/>
      <c r="E403" s="9"/>
      <c r="F403" s="10"/>
      <c r="G403" s="9"/>
      <c r="H403" s="9"/>
      <c r="I403" s="9"/>
      <c r="J403" s="9"/>
      <c r="K403" s="9"/>
      <c r="L403" s="9"/>
      <c r="O403" s="9"/>
      <c r="P403" s="9"/>
      <c r="Q403" s="9"/>
      <c r="R403" s="9"/>
      <c r="S403" s="9"/>
      <c r="T403" s="9"/>
    </row>
    <row r="404" spans="3:20">
      <c r="C404" s="9"/>
      <c r="D404" s="9"/>
      <c r="E404" s="9"/>
      <c r="F404" s="10"/>
      <c r="G404" s="9"/>
      <c r="H404" s="9"/>
      <c r="I404" s="9"/>
      <c r="J404" s="9"/>
      <c r="K404" s="9"/>
      <c r="L404" s="9"/>
      <c r="O404" s="9"/>
      <c r="P404" s="9"/>
      <c r="Q404" s="9"/>
      <c r="R404" s="9"/>
      <c r="S404" s="9"/>
      <c r="T404" s="9"/>
    </row>
    <row r="405" spans="3:20">
      <c r="C405" s="9"/>
      <c r="D405" s="9"/>
      <c r="E405" s="9"/>
      <c r="F405" s="10"/>
      <c r="G405" s="9"/>
      <c r="H405" s="9"/>
      <c r="I405" s="9"/>
      <c r="J405" s="9"/>
      <c r="K405" s="9"/>
      <c r="L405" s="9"/>
      <c r="O405" s="9"/>
      <c r="P405" s="9"/>
      <c r="Q405" s="9"/>
      <c r="R405" s="9"/>
      <c r="S405" s="9"/>
      <c r="T405" s="9"/>
    </row>
    <row r="406" spans="3:20">
      <c r="C406" s="9"/>
      <c r="D406" s="9"/>
      <c r="E406" s="9"/>
      <c r="F406" s="10"/>
      <c r="G406" s="9"/>
      <c r="H406" s="9"/>
      <c r="I406" s="9"/>
      <c r="J406" s="9"/>
      <c r="K406" s="9"/>
      <c r="L406" s="9"/>
      <c r="O406" s="9"/>
      <c r="P406" s="9"/>
      <c r="Q406" s="9"/>
      <c r="R406" s="9"/>
      <c r="S406" s="9"/>
      <c r="T406" s="9"/>
    </row>
    <row r="407" spans="3:20">
      <c r="C407" s="9"/>
      <c r="D407" s="9"/>
      <c r="E407" s="9"/>
      <c r="F407" s="10"/>
      <c r="G407" s="9"/>
      <c r="H407" s="9"/>
      <c r="I407" s="9"/>
      <c r="J407" s="9"/>
      <c r="K407" s="9"/>
      <c r="L407" s="9"/>
      <c r="O407" s="9"/>
      <c r="P407" s="9"/>
      <c r="Q407" s="9"/>
      <c r="R407" s="9"/>
      <c r="S407" s="9"/>
      <c r="T407" s="9"/>
    </row>
    <row r="408" spans="3:20">
      <c r="C408" s="9"/>
      <c r="D408" s="9"/>
      <c r="E408" s="9"/>
      <c r="F408" s="10"/>
      <c r="G408" s="9"/>
      <c r="H408" s="9"/>
      <c r="I408" s="9"/>
      <c r="J408" s="9"/>
      <c r="K408" s="9"/>
      <c r="L408" s="9"/>
      <c r="O408" s="9"/>
      <c r="P408" s="9"/>
      <c r="Q408" s="9"/>
      <c r="R408" s="9"/>
      <c r="S408" s="9"/>
      <c r="T408" s="9"/>
    </row>
    <row r="409" spans="3:20">
      <c r="C409" s="9"/>
      <c r="D409" s="9"/>
      <c r="E409" s="9"/>
      <c r="F409" s="10"/>
      <c r="G409" s="9"/>
      <c r="H409" s="9"/>
      <c r="I409" s="9"/>
      <c r="J409" s="9"/>
      <c r="K409" s="9"/>
      <c r="L409" s="9"/>
      <c r="O409" s="9"/>
      <c r="P409" s="9"/>
      <c r="Q409" s="9"/>
      <c r="R409" s="9"/>
      <c r="S409" s="9"/>
      <c r="T409" s="9"/>
    </row>
    <row r="410" spans="3:20">
      <c r="C410" s="9"/>
      <c r="D410" s="9"/>
      <c r="E410" s="9"/>
      <c r="F410" s="10"/>
      <c r="G410" s="9"/>
      <c r="H410" s="9"/>
      <c r="I410" s="9"/>
      <c r="J410" s="9"/>
      <c r="K410" s="9"/>
      <c r="L410" s="9"/>
      <c r="O410" s="9"/>
      <c r="P410" s="9"/>
      <c r="Q410" s="9"/>
      <c r="R410" s="9"/>
      <c r="S410" s="9"/>
      <c r="T410" s="9"/>
    </row>
    <row r="411" spans="3:20">
      <c r="C411" s="9"/>
      <c r="D411" s="9"/>
      <c r="E411" s="9"/>
      <c r="F411" s="10"/>
      <c r="G411" s="9"/>
      <c r="H411" s="9"/>
      <c r="I411" s="9"/>
      <c r="J411" s="9"/>
      <c r="K411" s="9"/>
      <c r="L411" s="9"/>
      <c r="O411" s="9"/>
      <c r="P411" s="9"/>
      <c r="Q411" s="9"/>
      <c r="R411" s="9"/>
      <c r="S411" s="9"/>
      <c r="T411" s="9"/>
    </row>
    <row r="412" spans="3:20">
      <c r="C412" s="9"/>
      <c r="D412" s="9"/>
      <c r="E412" s="9"/>
      <c r="F412" s="10"/>
      <c r="G412" s="9"/>
      <c r="H412" s="9"/>
      <c r="I412" s="9"/>
      <c r="J412" s="9"/>
      <c r="K412" s="9"/>
      <c r="L412" s="9"/>
      <c r="O412" s="9"/>
      <c r="P412" s="9"/>
      <c r="Q412" s="9"/>
      <c r="R412" s="9"/>
      <c r="S412" s="9"/>
      <c r="T412" s="9"/>
    </row>
    <row r="413" spans="3:20">
      <c r="C413" s="9"/>
      <c r="D413" s="9"/>
      <c r="E413" s="9"/>
      <c r="F413" s="10"/>
      <c r="G413" s="9"/>
      <c r="H413" s="9"/>
      <c r="I413" s="9"/>
      <c r="J413" s="9"/>
      <c r="K413" s="9"/>
      <c r="L413" s="9"/>
      <c r="O413" s="9"/>
      <c r="P413" s="9"/>
      <c r="Q413" s="9"/>
      <c r="R413" s="9"/>
      <c r="S413" s="9"/>
      <c r="T413" s="9"/>
    </row>
    <row r="414" spans="3:20">
      <c r="C414" s="9"/>
      <c r="D414" s="9"/>
      <c r="E414" s="9"/>
      <c r="F414" s="10"/>
      <c r="G414" s="9"/>
      <c r="H414" s="9"/>
      <c r="I414" s="9"/>
      <c r="J414" s="9"/>
      <c r="K414" s="9"/>
      <c r="L414" s="9"/>
      <c r="O414" s="9"/>
      <c r="P414" s="9"/>
      <c r="Q414" s="9"/>
      <c r="R414" s="9"/>
      <c r="S414" s="9"/>
      <c r="T414" s="9"/>
    </row>
    <row r="415" spans="3:20">
      <c r="C415" s="9"/>
      <c r="D415" s="9"/>
      <c r="E415" s="9"/>
      <c r="F415" s="10"/>
      <c r="G415" s="9"/>
      <c r="H415" s="9"/>
      <c r="I415" s="9"/>
      <c r="J415" s="9"/>
      <c r="K415" s="9"/>
      <c r="L415" s="9"/>
      <c r="O415" s="9"/>
      <c r="P415" s="9"/>
      <c r="Q415" s="9"/>
      <c r="R415" s="9"/>
      <c r="S415" s="9"/>
      <c r="T415" s="9"/>
    </row>
    <row r="416" spans="3:20">
      <c r="C416" s="9"/>
      <c r="D416" s="9"/>
      <c r="E416" s="9"/>
      <c r="F416" s="10"/>
      <c r="G416" s="9"/>
      <c r="H416" s="9"/>
      <c r="I416" s="9"/>
      <c r="J416" s="9"/>
      <c r="K416" s="9"/>
      <c r="L416" s="9"/>
      <c r="O416" s="9"/>
      <c r="P416" s="9"/>
      <c r="Q416" s="9"/>
      <c r="R416" s="9"/>
      <c r="S416" s="9"/>
      <c r="T416" s="9"/>
    </row>
    <row r="417" spans="3:20">
      <c r="C417" s="9"/>
      <c r="D417" s="9"/>
      <c r="E417" s="9"/>
      <c r="F417" s="10"/>
      <c r="G417" s="9"/>
      <c r="H417" s="9"/>
      <c r="I417" s="9"/>
      <c r="J417" s="9"/>
      <c r="K417" s="9"/>
      <c r="L417" s="9"/>
      <c r="O417" s="9"/>
      <c r="P417" s="9"/>
      <c r="Q417" s="9"/>
      <c r="R417" s="9"/>
      <c r="S417" s="9"/>
      <c r="T417" s="9"/>
    </row>
    <row r="418" spans="3:20">
      <c r="C418" s="9"/>
      <c r="D418" s="9"/>
      <c r="E418" s="9"/>
      <c r="F418" s="10"/>
      <c r="G418" s="9"/>
      <c r="H418" s="9"/>
      <c r="I418" s="9"/>
      <c r="J418" s="9"/>
      <c r="K418" s="9"/>
      <c r="L418" s="9"/>
      <c r="O418" s="9"/>
      <c r="P418" s="9"/>
      <c r="Q418" s="9"/>
      <c r="R418" s="9"/>
      <c r="S418" s="9"/>
      <c r="T418" s="9"/>
    </row>
    <row r="419" spans="3:20">
      <c r="C419" s="9"/>
      <c r="D419" s="9"/>
      <c r="E419" s="9"/>
      <c r="F419" s="10"/>
      <c r="G419" s="9"/>
      <c r="H419" s="9"/>
      <c r="I419" s="9"/>
      <c r="J419" s="9"/>
      <c r="K419" s="9"/>
      <c r="L419" s="9"/>
      <c r="O419" s="9"/>
      <c r="P419" s="9"/>
      <c r="Q419" s="9"/>
      <c r="R419" s="9"/>
      <c r="S419" s="9"/>
      <c r="T419" s="9"/>
    </row>
    <row r="420" spans="3:20">
      <c r="C420" s="9"/>
      <c r="D420" s="9"/>
      <c r="E420" s="9"/>
      <c r="F420" s="10"/>
      <c r="G420" s="9"/>
      <c r="H420" s="9"/>
      <c r="I420" s="9"/>
      <c r="J420" s="9"/>
      <c r="K420" s="9"/>
      <c r="L420" s="9"/>
      <c r="O420" s="9"/>
      <c r="P420" s="9"/>
      <c r="Q420" s="9"/>
      <c r="R420" s="9"/>
      <c r="S420" s="9"/>
      <c r="T420" s="9"/>
    </row>
    <row r="421" spans="3:20">
      <c r="C421" s="9"/>
      <c r="D421" s="9"/>
      <c r="E421" s="9"/>
      <c r="F421" s="10"/>
      <c r="G421" s="9"/>
      <c r="H421" s="9"/>
      <c r="I421" s="9"/>
      <c r="J421" s="9"/>
      <c r="K421" s="9"/>
      <c r="L421" s="9"/>
      <c r="O421" s="9"/>
      <c r="P421" s="9"/>
      <c r="Q421" s="9"/>
      <c r="R421" s="9"/>
      <c r="S421" s="9"/>
      <c r="T421" s="9"/>
    </row>
    <row r="422" spans="3:20">
      <c r="C422" s="9"/>
      <c r="D422" s="9"/>
      <c r="E422" s="9"/>
      <c r="F422" s="10"/>
      <c r="G422" s="9"/>
      <c r="H422" s="9"/>
      <c r="I422" s="9"/>
      <c r="J422" s="9"/>
      <c r="K422" s="9"/>
      <c r="L422" s="9"/>
      <c r="O422" s="9"/>
      <c r="P422" s="9"/>
      <c r="Q422" s="9"/>
      <c r="R422" s="9"/>
      <c r="S422" s="9"/>
      <c r="T422" s="9"/>
    </row>
    <row r="423" spans="3:20">
      <c r="C423" s="9"/>
      <c r="D423" s="9"/>
      <c r="E423" s="9"/>
      <c r="F423" s="10"/>
      <c r="G423" s="9"/>
      <c r="H423" s="9"/>
      <c r="I423" s="9"/>
      <c r="J423" s="9"/>
      <c r="K423" s="9"/>
      <c r="L423" s="9"/>
      <c r="O423" s="9"/>
      <c r="P423" s="9"/>
      <c r="Q423" s="9"/>
      <c r="R423" s="9"/>
      <c r="S423" s="9"/>
      <c r="T423" s="9"/>
    </row>
    <row r="424" spans="3:20">
      <c r="C424" s="9"/>
      <c r="D424" s="9"/>
      <c r="E424" s="9"/>
      <c r="F424" s="10"/>
      <c r="G424" s="9"/>
      <c r="H424" s="9"/>
      <c r="I424" s="9"/>
      <c r="J424" s="9"/>
      <c r="K424" s="9"/>
      <c r="L424" s="9"/>
      <c r="O424" s="9"/>
      <c r="P424" s="9"/>
      <c r="Q424" s="9"/>
      <c r="R424" s="9"/>
      <c r="S424" s="9"/>
      <c r="T424" s="9"/>
    </row>
    <row r="425" spans="3:20">
      <c r="C425" s="9"/>
      <c r="D425" s="9"/>
      <c r="E425" s="9"/>
      <c r="F425" s="10"/>
      <c r="G425" s="9"/>
      <c r="H425" s="9"/>
      <c r="I425" s="9"/>
      <c r="J425" s="9"/>
      <c r="K425" s="9"/>
      <c r="L425" s="9"/>
      <c r="O425" s="9"/>
      <c r="P425" s="9"/>
      <c r="Q425" s="9"/>
      <c r="R425" s="9"/>
      <c r="S425" s="9"/>
      <c r="T425" s="9"/>
    </row>
    <row r="426" spans="3:20">
      <c r="C426" s="9"/>
      <c r="D426" s="9"/>
      <c r="E426" s="9"/>
      <c r="F426" s="10"/>
      <c r="G426" s="9"/>
      <c r="H426" s="9"/>
      <c r="I426" s="9"/>
      <c r="J426" s="9"/>
      <c r="K426" s="9"/>
      <c r="L426" s="9"/>
      <c r="O426" s="9"/>
      <c r="P426" s="9"/>
      <c r="Q426" s="9"/>
      <c r="R426" s="9"/>
      <c r="S426" s="9"/>
      <c r="T426" s="9"/>
    </row>
    <row r="427" spans="3:20">
      <c r="C427" s="9"/>
      <c r="D427" s="9"/>
      <c r="E427" s="9"/>
      <c r="F427" s="10"/>
      <c r="G427" s="9"/>
      <c r="H427" s="9"/>
      <c r="I427" s="9"/>
      <c r="J427" s="9"/>
      <c r="K427" s="9"/>
      <c r="L427" s="9"/>
      <c r="O427" s="9"/>
      <c r="P427" s="9"/>
      <c r="Q427" s="9"/>
      <c r="R427" s="9"/>
      <c r="S427" s="9"/>
      <c r="T427" s="9"/>
    </row>
    <row r="428" spans="3:20">
      <c r="C428" s="9"/>
      <c r="D428" s="9"/>
      <c r="E428" s="9"/>
      <c r="F428" s="10"/>
      <c r="G428" s="9"/>
      <c r="H428" s="9"/>
      <c r="I428" s="9"/>
      <c r="J428" s="9"/>
      <c r="K428" s="9"/>
      <c r="L428" s="9"/>
      <c r="O428" s="9"/>
      <c r="P428" s="9"/>
      <c r="Q428" s="9"/>
      <c r="R428" s="9"/>
      <c r="S428" s="9"/>
      <c r="T428" s="9"/>
    </row>
    <row r="429" spans="3:20">
      <c r="C429" s="9"/>
      <c r="D429" s="9"/>
      <c r="E429" s="9"/>
      <c r="F429" s="10"/>
      <c r="G429" s="9"/>
      <c r="H429" s="9"/>
      <c r="I429" s="9"/>
      <c r="J429" s="9"/>
      <c r="K429" s="9"/>
      <c r="L429" s="9"/>
      <c r="O429" s="9"/>
      <c r="P429" s="9"/>
      <c r="Q429" s="9"/>
      <c r="R429" s="9"/>
      <c r="S429" s="9"/>
      <c r="T429" s="9"/>
    </row>
    <row r="430" spans="3:20">
      <c r="C430" s="9"/>
      <c r="D430" s="9"/>
      <c r="E430" s="9"/>
      <c r="F430" s="10"/>
      <c r="G430" s="9"/>
      <c r="H430" s="9"/>
      <c r="I430" s="9"/>
      <c r="J430" s="9"/>
      <c r="K430" s="9"/>
      <c r="L430" s="9"/>
      <c r="O430" s="9"/>
      <c r="P430" s="9"/>
      <c r="Q430" s="9"/>
      <c r="R430" s="9"/>
      <c r="S430" s="9"/>
      <c r="T430" s="9"/>
    </row>
    <row r="431" spans="3:20">
      <c r="C431" s="9"/>
      <c r="D431" s="9"/>
      <c r="E431" s="9"/>
      <c r="F431" s="10"/>
      <c r="G431" s="9"/>
      <c r="H431" s="9"/>
      <c r="I431" s="9"/>
      <c r="J431" s="9"/>
      <c r="K431" s="9"/>
      <c r="L431" s="9"/>
      <c r="O431" s="9"/>
      <c r="P431" s="9"/>
      <c r="Q431" s="9"/>
      <c r="R431" s="9"/>
      <c r="S431" s="9"/>
      <c r="T431" s="9"/>
    </row>
    <row r="432" spans="3:20">
      <c r="C432" s="9"/>
      <c r="D432" s="9"/>
      <c r="E432" s="9"/>
      <c r="F432" s="10"/>
      <c r="G432" s="9"/>
      <c r="H432" s="9"/>
      <c r="I432" s="9"/>
      <c r="J432" s="9"/>
      <c r="K432" s="9"/>
      <c r="L432" s="9"/>
      <c r="O432" s="9"/>
      <c r="P432" s="9"/>
      <c r="Q432" s="9"/>
      <c r="R432" s="9"/>
      <c r="S432" s="9"/>
      <c r="T432" s="9"/>
    </row>
    <row r="433" spans="3:20">
      <c r="C433" s="9"/>
      <c r="D433" s="9"/>
      <c r="E433" s="9"/>
      <c r="F433" s="10"/>
      <c r="G433" s="9"/>
      <c r="H433" s="9"/>
      <c r="I433" s="9"/>
      <c r="J433" s="9"/>
      <c r="K433" s="9"/>
      <c r="L433" s="9"/>
      <c r="O433" s="9"/>
      <c r="P433" s="9"/>
      <c r="Q433" s="9"/>
      <c r="R433" s="9"/>
      <c r="S433" s="9"/>
      <c r="T433" s="9"/>
    </row>
    <row r="434" spans="3:20">
      <c r="C434" s="9"/>
      <c r="D434" s="9"/>
      <c r="E434" s="9"/>
      <c r="F434" s="10"/>
      <c r="G434" s="9"/>
      <c r="H434" s="9"/>
      <c r="I434" s="9"/>
      <c r="J434" s="9"/>
      <c r="K434" s="9"/>
      <c r="L434" s="9"/>
      <c r="O434" s="9"/>
      <c r="P434" s="9"/>
      <c r="Q434" s="9"/>
      <c r="R434" s="9"/>
      <c r="S434" s="9"/>
      <c r="T434" s="9"/>
    </row>
    <row r="435" spans="3:20">
      <c r="C435" s="9"/>
      <c r="D435" s="9"/>
      <c r="E435" s="9"/>
      <c r="F435" s="10"/>
      <c r="G435" s="9"/>
      <c r="H435" s="9"/>
      <c r="I435" s="9"/>
      <c r="J435" s="9"/>
      <c r="K435" s="9"/>
      <c r="L435" s="9"/>
      <c r="O435" s="9"/>
      <c r="P435" s="9"/>
      <c r="Q435" s="9"/>
      <c r="R435" s="9"/>
      <c r="S435" s="9"/>
      <c r="T435" s="9"/>
    </row>
    <row r="436" spans="3:20">
      <c r="C436" s="9"/>
      <c r="D436" s="9"/>
      <c r="E436" s="9"/>
      <c r="F436" s="10"/>
      <c r="G436" s="9"/>
      <c r="H436" s="9"/>
      <c r="I436" s="9"/>
      <c r="J436" s="9"/>
      <c r="K436" s="9"/>
      <c r="L436" s="9"/>
      <c r="O436" s="9"/>
      <c r="P436" s="9"/>
      <c r="Q436" s="9"/>
      <c r="R436" s="9"/>
      <c r="S436" s="9"/>
      <c r="T436" s="9"/>
    </row>
    <row r="437" spans="3:20">
      <c r="C437" s="9"/>
      <c r="D437" s="9"/>
      <c r="E437" s="9"/>
      <c r="F437" s="10"/>
      <c r="G437" s="9"/>
      <c r="H437" s="9"/>
      <c r="I437" s="9"/>
      <c r="J437" s="9"/>
      <c r="K437" s="9"/>
      <c r="L437" s="9"/>
      <c r="O437" s="9"/>
      <c r="P437" s="9"/>
      <c r="Q437" s="9"/>
      <c r="R437" s="9"/>
      <c r="S437" s="9"/>
      <c r="T437" s="9"/>
    </row>
    <row r="438" spans="3:20">
      <c r="C438" s="9"/>
      <c r="D438" s="9"/>
      <c r="E438" s="9"/>
      <c r="F438" s="10"/>
      <c r="G438" s="9"/>
      <c r="H438" s="9"/>
      <c r="I438" s="9"/>
      <c r="J438" s="9"/>
      <c r="K438" s="9"/>
      <c r="L438" s="9"/>
      <c r="O438" s="9"/>
      <c r="P438" s="9"/>
      <c r="Q438" s="9"/>
      <c r="R438" s="9"/>
      <c r="S438" s="9"/>
      <c r="T438" s="9"/>
    </row>
    <row r="439" spans="3:20">
      <c r="C439" s="9"/>
      <c r="D439" s="9"/>
      <c r="E439" s="9"/>
      <c r="F439" s="10"/>
      <c r="G439" s="9"/>
      <c r="H439" s="9"/>
      <c r="I439" s="9"/>
      <c r="J439" s="9"/>
      <c r="K439" s="9"/>
      <c r="L439" s="9"/>
      <c r="O439" s="9"/>
      <c r="P439" s="9"/>
      <c r="Q439" s="9"/>
      <c r="R439" s="9"/>
      <c r="S439" s="9"/>
      <c r="T439" s="9"/>
    </row>
    <row r="440" spans="3:20">
      <c r="C440" s="9"/>
      <c r="D440" s="9"/>
      <c r="E440" s="9"/>
      <c r="F440" s="10"/>
      <c r="G440" s="9"/>
      <c r="H440" s="9"/>
      <c r="I440" s="9"/>
      <c r="J440" s="9"/>
      <c r="K440" s="9"/>
      <c r="L440" s="9"/>
      <c r="O440" s="9"/>
      <c r="P440" s="9"/>
      <c r="Q440" s="9"/>
      <c r="R440" s="9"/>
      <c r="S440" s="9"/>
      <c r="T440" s="9"/>
    </row>
    <row r="441" spans="3:20">
      <c r="C441" s="9"/>
      <c r="D441" s="9"/>
      <c r="E441" s="9"/>
      <c r="F441" s="10"/>
      <c r="G441" s="9"/>
      <c r="H441" s="9"/>
      <c r="I441" s="9"/>
      <c r="J441" s="9"/>
      <c r="K441" s="9"/>
      <c r="L441" s="9"/>
      <c r="O441" s="9"/>
      <c r="P441" s="9"/>
      <c r="Q441" s="9"/>
      <c r="R441" s="9"/>
      <c r="S441" s="9"/>
      <c r="T441" s="9"/>
    </row>
    <row r="442" spans="3:20">
      <c r="C442" s="9"/>
      <c r="D442" s="9"/>
      <c r="E442" s="9"/>
      <c r="F442" s="10"/>
      <c r="G442" s="9"/>
      <c r="H442" s="9"/>
      <c r="I442" s="9"/>
      <c r="J442" s="9"/>
      <c r="K442" s="9"/>
      <c r="L442" s="9"/>
      <c r="O442" s="9"/>
      <c r="P442" s="9"/>
      <c r="Q442" s="9"/>
      <c r="R442" s="9"/>
      <c r="S442" s="9"/>
      <c r="T442" s="9"/>
    </row>
    <row r="443" spans="3:20">
      <c r="C443" s="9"/>
      <c r="D443" s="9"/>
      <c r="E443" s="9"/>
      <c r="F443" s="10"/>
      <c r="G443" s="9"/>
      <c r="H443" s="9"/>
      <c r="I443" s="9"/>
      <c r="J443" s="9"/>
      <c r="K443" s="9"/>
      <c r="L443" s="9"/>
      <c r="O443" s="9"/>
      <c r="P443" s="9"/>
      <c r="Q443" s="9"/>
      <c r="R443" s="9"/>
      <c r="S443" s="9"/>
      <c r="T443" s="9"/>
    </row>
    <row r="444" spans="3:20">
      <c r="C444" s="9"/>
      <c r="D444" s="9"/>
      <c r="E444" s="9"/>
      <c r="F444" s="10"/>
      <c r="G444" s="9"/>
      <c r="H444" s="9"/>
      <c r="I444" s="9"/>
      <c r="J444" s="9"/>
      <c r="K444" s="9"/>
      <c r="L444" s="9"/>
      <c r="O444" s="9"/>
      <c r="P444" s="9"/>
      <c r="Q444" s="9"/>
      <c r="R444" s="9"/>
      <c r="S444" s="9"/>
      <c r="T444" s="9"/>
    </row>
    <row r="445" spans="3:20">
      <c r="C445" s="9"/>
      <c r="D445" s="9"/>
      <c r="E445" s="9"/>
      <c r="F445" s="10"/>
      <c r="G445" s="9"/>
      <c r="H445" s="9"/>
      <c r="I445" s="9"/>
      <c r="J445" s="9"/>
      <c r="K445" s="9"/>
      <c r="L445" s="9"/>
      <c r="O445" s="9"/>
      <c r="P445" s="9"/>
      <c r="Q445" s="9"/>
      <c r="R445" s="9"/>
      <c r="S445" s="9"/>
      <c r="T445" s="9"/>
    </row>
    <row r="446" spans="3:20">
      <c r="C446" s="9"/>
      <c r="D446" s="9"/>
      <c r="E446" s="9"/>
      <c r="F446" s="10"/>
      <c r="G446" s="9"/>
      <c r="H446" s="9"/>
      <c r="I446" s="9"/>
      <c r="J446" s="9"/>
      <c r="K446" s="9"/>
      <c r="L446" s="9"/>
      <c r="O446" s="9"/>
      <c r="P446" s="9"/>
      <c r="Q446" s="9"/>
      <c r="R446" s="9"/>
      <c r="S446" s="9"/>
      <c r="T446" s="9"/>
    </row>
    <row r="447" spans="3:20">
      <c r="C447" s="9"/>
      <c r="D447" s="9"/>
      <c r="E447" s="9"/>
      <c r="F447" s="10"/>
      <c r="G447" s="9"/>
      <c r="H447" s="9"/>
      <c r="I447" s="9"/>
      <c r="J447" s="9"/>
      <c r="K447" s="9"/>
      <c r="L447" s="9"/>
      <c r="O447" s="9"/>
      <c r="P447" s="9"/>
      <c r="Q447" s="9"/>
      <c r="R447" s="9"/>
      <c r="S447" s="9"/>
      <c r="T447" s="9"/>
    </row>
    <row r="448" spans="3:20">
      <c r="C448" s="9"/>
      <c r="D448" s="9"/>
      <c r="E448" s="9"/>
      <c r="F448" s="10"/>
      <c r="G448" s="9"/>
      <c r="H448" s="9"/>
      <c r="I448" s="9"/>
      <c r="J448" s="9"/>
      <c r="K448" s="9"/>
      <c r="L448" s="9"/>
      <c r="O448" s="9"/>
      <c r="P448" s="9"/>
      <c r="Q448" s="9"/>
      <c r="R448" s="9"/>
      <c r="S448" s="9"/>
      <c r="T448" s="9"/>
    </row>
    <row r="449" spans="3:20">
      <c r="C449" s="9"/>
      <c r="D449" s="9"/>
      <c r="E449" s="9"/>
      <c r="F449" s="10"/>
      <c r="G449" s="9"/>
      <c r="H449" s="9"/>
      <c r="I449" s="9"/>
      <c r="J449" s="9"/>
      <c r="K449" s="9"/>
      <c r="L449" s="9"/>
      <c r="O449" s="9"/>
      <c r="P449" s="9"/>
      <c r="Q449" s="9"/>
      <c r="R449" s="9"/>
      <c r="S449" s="9"/>
      <c r="T449" s="9"/>
    </row>
    <row r="450" spans="3:20">
      <c r="C450" s="9"/>
      <c r="D450" s="9"/>
      <c r="E450" s="9"/>
      <c r="F450" s="10"/>
      <c r="G450" s="9"/>
      <c r="H450" s="9"/>
      <c r="I450" s="9"/>
      <c r="J450" s="9"/>
      <c r="K450" s="9"/>
      <c r="L450" s="9"/>
      <c r="O450" s="9"/>
      <c r="P450" s="9"/>
      <c r="Q450" s="9"/>
      <c r="R450" s="9"/>
      <c r="S450" s="9"/>
      <c r="T450" s="9"/>
    </row>
    <row r="451" spans="3:20">
      <c r="C451" s="9"/>
      <c r="D451" s="9"/>
      <c r="E451" s="9"/>
      <c r="F451" s="10"/>
      <c r="G451" s="9"/>
      <c r="H451" s="9"/>
      <c r="I451" s="9"/>
      <c r="J451" s="9"/>
      <c r="K451" s="9"/>
      <c r="L451" s="9"/>
      <c r="O451" s="9"/>
      <c r="P451" s="9"/>
      <c r="Q451" s="9"/>
      <c r="R451" s="9"/>
      <c r="S451" s="9"/>
      <c r="T451" s="9"/>
    </row>
    <row r="452" spans="3:20">
      <c r="C452" s="9"/>
      <c r="D452" s="9"/>
      <c r="E452" s="9"/>
      <c r="F452" s="10"/>
      <c r="G452" s="9"/>
      <c r="H452" s="9"/>
      <c r="I452" s="9"/>
      <c r="J452" s="9"/>
      <c r="K452" s="9"/>
      <c r="L452" s="9"/>
      <c r="O452" s="9"/>
      <c r="P452" s="9"/>
      <c r="Q452" s="9"/>
      <c r="R452" s="9"/>
      <c r="S452" s="9"/>
      <c r="T452" s="9"/>
    </row>
    <row r="453" spans="3:20">
      <c r="C453" s="9"/>
      <c r="D453" s="9"/>
      <c r="E453" s="9"/>
      <c r="F453" s="10"/>
      <c r="G453" s="9"/>
      <c r="H453" s="9"/>
      <c r="I453" s="9"/>
      <c r="J453" s="9"/>
      <c r="K453" s="9"/>
      <c r="L453" s="9"/>
      <c r="O453" s="9"/>
      <c r="P453" s="9"/>
      <c r="Q453" s="9"/>
      <c r="R453" s="9"/>
      <c r="S453" s="9"/>
      <c r="T453" s="9"/>
    </row>
    <row r="454" spans="3:20">
      <c r="C454" s="9"/>
      <c r="D454" s="9"/>
      <c r="E454" s="9"/>
      <c r="F454" s="10"/>
      <c r="G454" s="9"/>
      <c r="H454" s="9"/>
      <c r="I454" s="9"/>
      <c r="J454" s="9"/>
      <c r="K454" s="9"/>
      <c r="L454" s="9"/>
      <c r="O454" s="9"/>
      <c r="P454" s="9"/>
      <c r="Q454" s="9"/>
      <c r="R454" s="9"/>
      <c r="S454" s="9"/>
      <c r="T454" s="9"/>
    </row>
    <row r="455" spans="3:20">
      <c r="C455" s="9"/>
      <c r="D455" s="9"/>
      <c r="E455" s="9"/>
      <c r="F455" s="10"/>
      <c r="G455" s="9"/>
      <c r="H455" s="9"/>
      <c r="I455" s="9"/>
      <c r="J455" s="9"/>
      <c r="K455" s="9"/>
      <c r="L455" s="9"/>
      <c r="O455" s="9"/>
      <c r="P455" s="9"/>
      <c r="Q455" s="9"/>
      <c r="R455" s="9"/>
      <c r="S455" s="9"/>
      <c r="T455" s="9"/>
    </row>
    <row r="456" spans="3:20">
      <c r="C456" s="9"/>
      <c r="D456" s="9"/>
      <c r="E456" s="9"/>
      <c r="F456" s="10"/>
      <c r="G456" s="9"/>
      <c r="H456" s="9"/>
      <c r="I456" s="9"/>
      <c r="J456" s="9"/>
      <c r="K456" s="9"/>
      <c r="L456" s="9"/>
      <c r="O456" s="9"/>
      <c r="P456" s="9"/>
      <c r="Q456" s="9"/>
      <c r="R456" s="9"/>
      <c r="S456" s="9"/>
      <c r="T456" s="9"/>
    </row>
    <row r="457" spans="3:20">
      <c r="C457" s="9"/>
      <c r="D457" s="9"/>
      <c r="E457" s="9"/>
      <c r="F457" s="10"/>
      <c r="G457" s="9"/>
      <c r="H457" s="9"/>
      <c r="I457" s="9"/>
      <c r="J457" s="9"/>
      <c r="K457" s="9"/>
      <c r="L457" s="9"/>
      <c r="O457" s="9"/>
      <c r="P457" s="9"/>
      <c r="Q457" s="9"/>
      <c r="R457" s="9"/>
      <c r="S457" s="9"/>
      <c r="T457" s="9"/>
    </row>
    <row r="458" spans="3:20">
      <c r="C458" s="9"/>
      <c r="D458" s="9"/>
      <c r="E458" s="9"/>
      <c r="F458" s="10"/>
      <c r="G458" s="9"/>
      <c r="H458" s="9"/>
      <c r="I458" s="9"/>
      <c r="J458" s="9"/>
      <c r="K458" s="9"/>
      <c r="L458" s="9"/>
      <c r="O458" s="9"/>
      <c r="P458" s="9"/>
      <c r="Q458" s="9"/>
      <c r="R458" s="9"/>
      <c r="S458" s="9"/>
      <c r="T458" s="9"/>
    </row>
    <row r="459" spans="3:20">
      <c r="C459" s="9"/>
      <c r="D459" s="9"/>
      <c r="E459" s="9"/>
      <c r="F459" s="10"/>
      <c r="G459" s="9"/>
      <c r="H459" s="9"/>
      <c r="I459" s="9"/>
      <c r="J459" s="9"/>
      <c r="K459" s="9"/>
      <c r="L459" s="9"/>
      <c r="O459" s="9"/>
      <c r="P459" s="9"/>
      <c r="Q459" s="9"/>
      <c r="R459" s="9"/>
      <c r="S459" s="9"/>
      <c r="T459" s="9"/>
    </row>
    <row r="460" spans="3:20">
      <c r="C460" s="9"/>
      <c r="D460" s="9"/>
      <c r="E460" s="9"/>
      <c r="F460" s="10"/>
      <c r="G460" s="9"/>
      <c r="H460" s="9"/>
      <c r="I460" s="9"/>
      <c r="J460" s="9"/>
      <c r="K460" s="9"/>
      <c r="L460" s="9"/>
      <c r="O460" s="9"/>
      <c r="P460" s="9"/>
      <c r="Q460" s="9"/>
      <c r="R460" s="9"/>
      <c r="S460" s="9"/>
      <c r="T460" s="9"/>
    </row>
    <row r="461" spans="3:20">
      <c r="C461" s="9"/>
      <c r="D461" s="9"/>
      <c r="E461" s="9"/>
      <c r="F461" s="10"/>
      <c r="G461" s="9"/>
      <c r="H461" s="9"/>
      <c r="I461" s="9"/>
      <c r="J461" s="9"/>
      <c r="K461" s="9"/>
      <c r="L461" s="9"/>
      <c r="O461" s="9"/>
      <c r="P461" s="9"/>
      <c r="Q461" s="9"/>
      <c r="R461" s="9"/>
      <c r="S461" s="9"/>
      <c r="T461" s="9"/>
    </row>
    <row r="462" spans="3:20">
      <c r="C462" s="9"/>
      <c r="D462" s="9"/>
      <c r="E462" s="9"/>
      <c r="F462" s="10"/>
      <c r="G462" s="9"/>
      <c r="H462" s="9"/>
      <c r="I462" s="9"/>
      <c r="J462" s="9"/>
      <c r="K462" s="9"/>
      <c r="L462" s="9"/>
      <c r="O462" s="9"/>
      <c r="P462" s="9"/>
      <c r="Q462" s="9"/>
      <c r="R462" s="9"/>
      <c r="S462" s="9"/>
      <c r="T462" s="9"/>
    </row>
    <row r="463" spans="3:20">
      <c r="C463" s="9"/>
      <c r="D463" s="9"/>
      <c r="E463" s="9"/>
      <c r="F463" s="10"/>
      <c r="G463" s="9"/>
      <c r="H463" s="9"/>
      <c r="I463" s="9"/>
      <c r="J463" s="9"/>
      <c r="K463" s="9"/>
      <c r="L463" s="9"/>
      <c r="O463" s="9"/>
      <c r="P463" s="9"/>
      <c r="Q463" s="9"/>
      <c r="R463" s="9"/>
      <c r="S463" s="9"/>
      <c r="T463" s="9"/>
    </row>
    <row r="464" spans="3:20">
      <c r="C464" s="9"/>
      <c r="D464" s="9"/>
      <c r="E464" s="9"/>
      <c r="F464" s="10"/>
      <c r="G464" s="9"/>
      <c r="H464" s="9"/>
      <c r="I464" s="9"/>
      <c r="J464" s="9"/>
      <c r="K464" s="9"/>
      <c r="L464" s="9"/>
      <c r="O464" s="9"/>
      <c r="P464" s="9"/>
      <c r="Q464" s="9"/>
      <c r="R464" s="9"/>
      <c r="S464" s="9"/>
      <c r="T464" s="9"/>
    </row>
    <row r="465" spans="3:20">
      <c r="C465" s="9"/>
      <c r="D465" s="9"/>
      <c r="E465" s="9"/>
      <c r="F465" s="10"/>
      <c r="G465" s="9"/>
      <c r="H465" s="9"/>
      <c r="I465" s="9"/>
      <c r="J465" s="9"/>
      <c r="K465" s="9"/>
      <c r="L465" s="9"/>
      <c r="O465" s="9"/>
      <c r="P465" s="9"/>
      <c r="Q465" s="9"/>
      <c r="R465" s="9"/>
      <c r="S465" s="9"/>
      <c r="T465" s="9"/>
    </row>
    <row r="466" spans="3:20">
      <c r="C466" s="9"/>
      <c r="D466" s="9"/>
      <c r="E466" s="9"/>
      <c r="F466" s="10"/>
      <c r="G466" s="9"/>
      <c r="H466" s="9"/>
      <c r="I466" s="9"/>
      <c r="J466" s="9"/>
      <c r="K466" s="9"/>
      <c r="L466" s="9"/>
      <c r="O466" s="9"/>
      <c r="P466" s="9"/>
      <c r="Q466" s="9"/>
      <c r="R466" s="9"/>
      <c r="S466" s="9"/>
      <c r="T466" s="9"/>
    </row>
    <row r="467" spans="3:20">
      <c r="C467" s="9"/>
      <c r="D467" s="9"/>
      <c r="E467" s="9"/>
      <c r="F467" s="10"/>
      <c r="G467" s="9"/>
      <c r="H467" s="9"/>
      <c r="I467" s="9"/>
      <c r="J467" s="9"/>
      <c r="K467" s="9"/>
      <c r="L467" s="9"/>
      <c r="O467" s="9"/>
      <c r="P467" s="9"/>
      <c r="Q467" s="9"/>
      <c r="R467" s="9"/>
      <c r="S467" s="9"/>
      <c r="T467" s="9"/>
    </row>
    <row r="468" spans="3:20">
      <c r="C468" s="9"/>
      <c r="D468" s="9"/>
      <c r="E468" s="9"/>
      <c r="F468" s="10"/>
      <c r="G468" s="9"/>
      <c r="H468" s="9"/>
      <c r="I468" s="9"/>
      <c r="J468" s="9"/>
      <c r="K468" s="9"/>
      <c r="L468" s="9"/>
      <c r="O468" s="9"/>
      <c r="P468" s="9"/>
      <c r="Q468" s="9"/>
      <c r="R468" s="9"/>
      <c r="S468" s="9"/>
      <c r="T468" s="9"/>
    </row>
    <row r="469" spans="3:20">
      <c r="C469" s="9"/>
      <c r="D469" s="9"/>
      <c r="E469" s="9"/>
      <c r="F469" s="10"/>
      <c r="G469" s="9"/>
      <c r="H469" s="9"/>
      <c r="I469" s="9"/>
      <c r="J469" s="9"/>
      <c r="K469" s="9"/>
      <c r="L469" s="9"/>
      <c r="O469" s="9"/>
      <c r="P469" s="9"/>
      <c r="Q469" s="9"/>
      <c r="R469" s="9"/>
      <c r="S469" s="9"/>
      <c r="T469" s="9"/>
    </row>
    <row r="470" spans="3:20">
      <c r="C470" s="9"/>
      <c r="D470" s="9"/>
      <c r="E470" s="9"/>
      <c r="F470" s="10"/>
      <c r="G470" s="9"/>
      <c r="H470" s="9"/>
      <c r="I470" s="9"/>
      <c r="J470" s="9"/>
      <c r="K470" s="9"/>
      <c r="L470" s="9"/>
      <c r="O470" s="9"/>
      <c r="P470" s="9"/>
      <c r="Q470" s="9"/>
      <c r="R470" s="9"/>
      <c r="S470" s="9"/>
      <c r="T470" s="9"/>
    </row>
    <row r="471" spans="3:20">
      <c r="C471" s="9"/>
      <c r="D471" s="9"/>
      <c r="E471" s="9"/>
      <c r="F471" s="10"/>
      <c r="G471" s="9"/>
      <c r="H471" s="9"/>
      <c r="I471" s="9"/>
      <c r="J471" s="9"/>
      <c r="K471" s="9"/>
      <c r="L471" s="9"/>
      <c r="O471" s="9"/>
      <c r="P471" s="9"/>
      <c r="Q471" s="9"/>
      <c r="R471" s="9"/>
      <c r="S471" s="9"/>
      <c r="T471" s="9"/>
    </row>
    <row r="472" spans="3:20">
      <c r="C472" s="9"/>
      <c r="D472" s="9"/>
      <c r="E472" s="9"/>
      <c r="F472" s="10"/>
      <c r="G472" s="9"/>
      <c r="H472" s="9"/>
      <c r="I472" s="9"/>
      <c r="J472" s="9"/>
      <c r="K472" s="9"/>
      <c r="L472" s="9"/>
      <c r="O472" s="9"/>
      <c r="P472" s="9"/>
      <c r="Q472" s="9"/>
      <c r="R472" s="9"/>
      <c r="S472" s="9"/>
      <c r="T472" s="9"/>
    </row>
    <row r="473" spans="3:20">
      <c r="C473" s="9"/>
      <c r="D473" s="9"/>
      <c r="E473" s="9"/>
      <c r="F473" s="10"/>
      <c r="G473" s="9"/>
      <c r="H473" s="9"/>
      <c r="I473" s="9"/>
      <c r="J473" s="9"/>
      <c r="K473" s="9"/>
      <c r="L473" s="9"/>
      <c r="O473" s="9"/>
      <c r="P473" s="9"/>
      <c r="Q473" s="9"/>
      <c r="R473" s="9"/>
      <c r="S473" s="9"/>
      <c r="T473" s="9"/>
    </row>
    <row r="474" spans="3:20">
      <c r="C474" s="9"/>
      <c r="D474" s="9"/>
      <c r="E474" s="9"/>
      <c r="F474" s="10"/>
      <c r="G474" s="9"/>
      <c r="H474" s="9"/>
      <c r="I474" s="9"/>
      <c r="J474" s="9"/>
      <c r="K474" s="9"/>
      <c r="L474" s="9"/>
      <c r="O474" s="9"/>
      <c r="P474" s="9"/>
      <c r="Q474" s="9"/>
      <c r="R474" s="9"/>
      <c r="S474" s="9"/>
      <c r="T474" s="9"/>
    </row>
    <row r="475" spans="3:20">
      <c r="C475" s="9"/>
      <c r="D475" s="9"/>
      <c r="E475" s="9"/>
      <c r="F475" s="10"/>
      <c r="G475" s="9"/>
      <c r="H475" s="9"/>
      <c r="I475" s="9"/>
      <c r="J475" s="9"/>
      <c r="K475" s="9"/>
      <c r="L475" s="9"/>
      <c r="O475" s="9"/>
      <c r="P475" s="9"/>
      <c r="Q475" s="9"/>
      <c r="R475" s="9"/>
      <c r="S475" s="9"/>
      <c r="T475" s="9"/>
    </row>
    <row r="476" spans="3:20">
      <c r="C476" s="9"/>
      <c r="D476" s="9"/>
      <c r="E476" s="9"/>
      <c r="F476" s="10"/>
      <c r="G476" s="9"/>
      <c r="H476" s="9"/>
      <c r="I476" s="9"/>
      <c r="J476" s="9"/>
      <c r="K476" s="9"/>
      <c r="L476" s="9"/>
      <c r="O476" s="9"/>
      <c r="P476" s="9"/>
      <c r="Q476" s="9"/>
      <c r="R476" s="9"/>
      <c r="S476" s="9"/>
      <c r="T476" s="9"/>
    </row>
    <row r="477" spans="3:20">
      <c r="C477" s="9"/>
      <c r="D477" s="9"/>
      <c r="E477" s="9"/>
      <c r="F477" s="10"/>
      <c r="G477" s="9"/>
      <c r="H477" s="9"/>
      <c r="I477" s="9"/>
      <c r="J477" s="9"/>
      <c r="K477" s="9"/>
      <c r="L477" s="9"/>
      <c r="O477" s="9"/>
      <c r="P477" s="9"/>
      <c r="Q477" s="9"/>
      <c r="R477" s="9"/>
      <c r="S477" s="9"/>
      <c r="T477" s="9"/>
    </row>
    <row r="478" spans="3:20">
      <c r="C478" s="9"/>
      <c r="D478" s="9"/>
      <c r="E478" s="9"/>
      <c r="F478" s="10"/>
      <c r="G478" s="9"/>
      <c r="H478" s="9"/>
      <c r="I478" s="9"/>
      <c r="J478" s="9"/>
      <c r="K478" s="9"/>
      <c r="L478" s="9"/>
      <c r="O478" s="9"/>
      <c r="P478" s="9"/>
      <c r="Q478" s="9"/>
      <c r="R478" s="9"/>
      <c r="S478" s="9"/>
      <c r="T478" s="9"/>
    </row>
    <row r="479" spans="3:20">
      <c r="C479" s="9"/>
      <c r="D479" s="9"/>
      <c r="E479" s="9"/>
      <c r="F479" s="10"/>
      <c r="G479" s="9"/>
      <c r="H479" s="9"/>
      <c r="I479" s="9"/>
      <c r="J479" s="9"/>
      <c r="K479" s="9"/>
      <c r="L479" s="9"/>
      <c r="O479" s="9"/>
      <c r="P479" s="9"/>
      <c r="Q479" s="9"/>
      <c r="R479" s="9"/>
      <c r="S479" s="9"/>
      <c r="T479" s="9"/>
    </row>
    <row r="480" spans="3:20">
      <c r="C480" s="9"/>
      <c r="D480" s="9"/>
      <c r="E480" s="9"/>
      <c r="F480" s="10"/>
      <c r="G480" s="9"/>
      <c r="H480" s="9"/>
      <c r="I480" s="9"/>
      <c r="J480" s="9"/>
      <c r="K480" s="9"/>
      <c r="L480" s="9"/>
      <c r="O480" s="9"/>
      <c r="P480" s="9"/>
      <c r="Q480" s="9"/>
      <c r="R480" s="9"/>
      <c r="S480" s="9"/>
      <c r="T480" s="9"/>
    </row>
    <row r="481" spans="3:20">
      <c r="C481" s="9"/>
      <c r="D481" s="9"/>
      <c r="E481" s="9"/>
      <c r="F481" s="10"/>
      <c r="G481" s="9"/>
      <c r="H481" s="9"/>
      <c r="I481" s="9"/>
      <c r="J481" s="9"/>
      <c r="K481" s="9"/>
      <c r="L481" s="9"/>
      <c r="O481" s="9"/>
      <c r="P481" s="9"/>
      <c r="Q481" s="9"/>
      <c r="R481" s="9"/>
      <c r="S481" s="9"/>
      <c r="T481" s="9"/>
    </row>
    <row r="482" spans="3:20">
      <c r="C482" s="9"/>
      <c r="D482" s="9"/>
      <c r="E482" s="9"/>
      <c r="F482" s="10"/>
      <c r="G482" s="9"/>
      <c r="H482" s="9"/>
      <c r="I482" s="9"/>
      <c r="J482" s="9"/>
      <c r="K482" s="9"/>
      <c r="L482" s="9"/>
      <c r="O482" s="9"/>
      <c r="P482" s="9"/>
      <c r="Q482" s="9"/>
      <c r="R482" s="9"/>
      <c r="S482" s="9"/>
      <c r="T482" s="9"/>
    </row>
    <row r="483" spans="3:20">
      <c r="C483" s="9"/>
      <c r="D483" s="9"/>
      <c r="E483" s="9"/>
      <c r="F483" s="10"/>
      <c r="G483" s="9"/>
      <c r="H483" s="9"/>
      <c r="I483" s="9"/>
      <c r="J483" s="9"/>
      <c r="K483" s="9"/>
      <c r="L483" s="9"/>
      <c r="O483" s="9"/>
      <c r="P483" s="9"/>
      <c r="Q483" s="9"/>
      <c r="R483" s="9"/>
      <c r="S483" s="9"/>
      <c r="T483" s="9"/>
    </row>
    <row r="484" spans="3:20">
      <c r="C484" s="9"/>
      <c r="D484" s="9"/>
      <c r="E484" s="9"/>
      <c r="F484" s="10"/>
      <c r="G484" s="9"/>
      <c r="H484" s="9"/>
      <c r="I484" s="9"/>
      <c r="J484" s="9"/>
      <c r="K484" s="9"/>
      <c r="L484" s="9"/>
      <c r="O484" s="9"/>
      <c r="P484" s="9"/>
      <c r="Q484" s="9"/>
      <c r="R484" s="9"/>
      <c r="S484" s="9"/>
      <c r="T484" s="9"/>
    </row>
    <row r="485" spans="3:20">
      <c r="C485" s="9"/>
      <c r="D485" s="9"/>
      <c r="E485" s="9"/>
      <c r="F485" s="10"/>
      <c r="G485" s="9"/>
      <c r="H485" s="9"/>
      <c r="I485" s="9"/>
      <c r="J485" s="9"/>
      <c r="K485" s="9"/>
      <c r="L485" s="9"/>
      <c r="O485" s="9"/>
      <c r="P485" s="9"/>
      <c r="Q485" s="9"/>
      <c r="R485" s="9"/>
      <c r="S485" s="9"/>
      <c r="T485" s="9"/>
    </row>
    <row r="486" spans="3:20">
      <c r="C486" s="9"/>
      <c r="D486" s="9"/>
      <c r="E486" s="9"/>
      <c r="F486" s="10"/>
      <c r="G486" s="9"/>
      <c r="H486" s="9"/>
      <c r="I486" s="9"/>
      <c r="J486" s="9"/>
      <c r="K486" s="9"/>
      <c r="L486" s="9"/>
      <c r="O486" s="9"/>
      <c r="P486" s="9"/>
      <c r="Q486" s="9"/>
      <c r="R486" s="9"/>
      <c r="S486" s="9"/>
      <c r="T486" s="9"/>
    </row>
    <row r="487" spans="3:20">
      <c r="C487" s="9"/>
      <c r="D487" s="9"/>
      <c r="E487" s="9"/>
      <c r="F487" s="10"/>
      <c r="G487" s="9"/>
      <c r="H487" s="9"/>
      <c r="I487" s="9"/>
      <c r="J487" s="9"/>
      <c r="K487" s="9"/>
      <c r="L487" s="9"/>
      <c r="O487" s="9"/>
      <c r="P487" s="9"/>
      <c r="Q487" s="9"/>
      <c r="R487" s="9"/>
      <c r="S487" s="9"/>
      <c r="T487" s="9"/>
    </row>
    <row r="488" spans="3:20">
      <c r="C488" s="9"/>
      <c r="D488" s="9"/>
      <c r="E488" s="9"/>
      <c r="F488" s="10"/>
      <c r="G488" s="9"/>
      <c r="H488" s="9"/>
      <c r="I488" s="9"/>
      <c r="J488" s="9"/>
      <c r="K488" s="9"/>
      <c r="L488" s="9"/>
      <c r="O488" s="9"/>
      <c r="P488" s="9"/>
      <c r="Q488" s="9"/>
      <c r="R488" s="9"/>
      <c r="S488" s="9"/>
      <c r="T488" s="9"/>
    </row>
    <row r="489" spans="3:20">
      <c r="C489" s="9"/>
      <c r="D489" s="9"/>
      <c r="E489" s="9"/>
      <c r="F489" s="10"/>
      <c r="G489" s="9"/>
      <c r="H489" s="9"/>
      <c r="I489" s="9"/>
      <c r="J489" s="9"/>
      <c r="K489" s="9"/>
      <c r="L489" s="9"/>
      <c r="O489" s="9"/>
      <c r="P489" s="9"/>
      <c r="Q489" s="9"/>
      <c r="R489" s="9"/>
      <c r="S489" s="9"/>
      <c r="T489" s="9"/>
    </row>
    <row r="490" spans="3:20">
      <c r="C490" s="9"/>
      <c r="D490" s="9"/>
      <c r="E490" s="9"/>
      <c r="F490" s="10"/>
      <c r="G490" s="9"/>
      <c r="H490" s="9"/>
      <c r="I490" s="9"/>
      <c r="J490" s="9"/>
      <c r="K490" s="9"/>
      <c r="L490" s="9"/>
      <c r="O490" s="9"/>
      <c r="P490" s="9"/>
      <c r="Q490" s="9"/>
      <c r="R490" s="9"/>
      <c r="S490" s="9"/>
      <c r="T490" s="9"/>
    </row>
    <row r="491" spans="3:20">
      <c r="C491" s="9"/>
      <c r="D491" s="9"/>
      <c r="E491" s="9"/>
      <c r="F491" s="10"/>
      <c r="G491" s="9"/>
      <c r="H491" s="9"/>
      <c r="I491" s="9"/>
      <c r="J491" s="9"/>
      <c r="K491" s="9"/>
      <c r="L491" s="9"/>
      <c r="O491" s="9"/>
      <c r="P491" s="9"/>
      <c r="Q491" s="9"/>
      <c r="R491" s="9"/>
      <c r="S491" s="9"/>
      <c r="T491" s="9"/>
    </row>
    <row r="492" spans="3:20">
      <c r="C492" s="9"/>
      <c r="D492" s="9"/>
      <c r="E492" s="9"/>
      <c r="F492" s="10"/>
      <c r="G492" s="9"/>
      <c r="H492" s="9"/>
      <c r="I492" s="9"/>
      <c r="J492" s="9"/>
      <c r="K492" s="9"/>
      <c r="L492" s="9"/>
      <c r="O492" s="9"/>
      <c r="P492" s="9"/>
      <c r="Q492" s="9"/>
      <c r="R492" s="9"/>
      <c r="S492" s="9"/>
      <c r="T492" s="9"/>
    </row>
    <row r="493" spans="3:20">
      <c r="C493" s="9"/>
      <c r="D493" s="9"/>
      <c r="E493" s="9"/>
      <c r="F493" s="10"/>
      <c r="G493" s="9"/>
      <c r="H493" s="9"/>
      <c r="I493" s="9"/>
      <c r="J493" s="9"/>
      <c r="K493" s="9"/>
      <c r="L493" s="9"/>
      <c r="O493" s="9"/>
      <c r="P493" s="9"/>
      <c r="Q493" s="9"/>
      <c r="R493" s="9"/>
      <c r="S493" s="9"/>
      <c r="T493" s="9"/>
    </row>
    <row r="494" spans="3:20">
      <c r="C494" s="9"/>
      <c r="D494" s="9"/>
      <c r="E494" s="9"/>
      <c r="F494" s="10"/>
      <c r="G494" s="9"/>
      <c r="H494" s="9"/>
      <c r="I494" s="9"/>
      <c r="J494" s="9"/>
      <c r="K494" s="9"/>
      <c r="L494" s="9"/>
      <c r="O494" s="9"/>
      <c r="P494" s="9"/>
      <c r="Q494" s="9"/>
      <c r="R494" s="9"/>
      <c r="S494" s="9"/>
      <c r="T494" s="9"/>
    </row>
    <row r="495" spans="3:20">
      <c r="C495" s="9"/>
      <c r="D495" s="9"/>
      <c r="E495" s="9"/>
      <c r="F495" s="10"/>
      <c r="G495" s="9"/>
      <c r="H495" s="9"/>
      <c r="I495" s="9"/>
      <c r="J495" s="9"/>
      <c r="K495" s="9"/>
      <c r="L495" s="9"/>
      <c r="O495" s="9"/>
      <c r="P495" s="9"/>
      <c r="Q495" s="9"/>
      <c r="R495" s="9"/>
      <c r="S495" s="9"/>
      <c r="T495" s="9"/>
    </row>
    <row r="496" spans="3:20">
      <c r="C496" s="9"/>
      <c r="D496" s="9"/>
      <c r="E496" s="9"/>
      <c r="F496" s="10"/>
      <c r="G496" s="9"/>
      <c r="H496" s="9"/>
      <c r="I496" s="9"/>
      <c r="J496" s="9"/>
      <c r="K496" s="9"/>
      <c r="L496" s="9"/>
      <c r="O496" s="9"/>
      <c r="P496" s="9"/>
      <c r="Q496" s="9"/>
      <c r="R496" s="9"/>
      <c r="S496" s="9"/>
      <c r="T496" s="9"/>
    </row>
    <row r="497" spans="3:20">
      <c r="C497" s="9"/>
      <c r="D497" s="9"/>
      <c r="E497" s="9"/>
      <c r="F497" s="10"/>
      <c r="G497" s="9"/>
      <c r="H497" s="9"/>
      <c r="I497" s="9"/>
      <c r="J497" s="9"/>
      <c r="K497" s="9"/>
      <c r="L497" s="9"/>
      <c r="O497" s="9"/>
      <c r="P497" s="9"/>
      <c r="Q497" s="9"/>
      <c r="R497" s="9"/>
      <c r="S497" s="9"/>
      <c r="T497" s="9"/>
    </row>
    <row r="498" spans="3:20">
      <c r="C498" s="9"/>
      <c r="D498" s="9"/>
      <c r="E498" s="9"/>
      <c r="F498" s="10"/>
      <c r="G498" s="9"/>
      <c r="H498" s="9"/>
      <c r="I498" s="9"/>
      <c r="J498" s="9"/>
      <c r="K498" s="9"/>
      <c r="L498" s="9"/>
      <c r="O498" s="9"/>
      <c r="P498" s="9"/>
      <c r="Q498" s="9"/>
      <c r="R498" s="9"/>
      <c r="S498" s="9"/>
      <c r="T498" s="9"/>
    </row>
    <row r="499" spans="3:20">
      <c r="C499" s="9"/>
      <c r="D499" s="9"/>
      <c r="E499" s="9"/>
      <c r="F499" s="10"/>
      <c r="G499" s="9"/>
      <c r="H499" s="9"/>
      <c r="I499" s="9"/>
      <c r="J499" s="9"/>
      <c r="K499" s="9"/>
      <c r="L499" s="9"/>
      <c r="O499" s="9"/>
      <c r="P499" s="9"/>
      <c r="Q499" s="9"/>
      <c r="R499" s="9"/>
      <c r="S499" s="9"/>
      <c r="T499" s="9"/>
    </row>
    <row r="500" spans="3:20">
      <c r="C500" s="9"/>
      <c r="D500" s="9"/>
      <c r="E500" s="9"/>
      <c r="F500" s="10"/>
      <c r="G500" s="9"/>
      <c r="H500" s="9"/>
      <c r="I500" s="9"/>
      <c r="J500" s="9"/>
      <c r="K500" s="9"/>
      <c r="L500" s="9"/>
      <c r="O500" s="9"/>
      <c r="P500" s="9"/>
      <c r="Q500" s="9"/>
      <c r="R500" s="9"/>
      <c r="S500" s="9"/>
      <c r="T500" s="9"/>
    </row>
    <row r="501" spans="3:20">
      <c r="C501" s="9"/>
      <c r="D501" s="9"/>
      <c r="E501" s="9"/>
      <c r="F501" s="10"/>
      <c r="G501" s="9"/>
      <c r="H501" s="9"/>
      <c r="I501" s="9"/>
      <c r="J501" s="9"/>
      <c r="K501" s="9"/>
      <c r="L501" s="9"/>
      <c r="O501" s="9"/>
      <c r="P501" s="9"/>
      <c r="Q501" s="9"/>
      <c r="R501" s="9"/>
      <c r="S501" s="9"/>
      <c r="T501" s="9"/>
    </row>
    <row r="502" spans="3:20">
      <c r="C502" s="9"/>
      <c r="D502" s="9"/>
      <c r="E502" s="9"/>
      <c r="F502" s="10"/>
      <c r="G502" s="9"/>
      <c r="H502" s="9"/>
      <c r="I502" s="9"/>
      <c r="J502" s="9"/>
      <c r="K502" s="9"/>
      <c r="L502" s="9"/>
      <c r="O502" s="9"/>
      <c r="P502" s="9"/>
      <c r="Q502" s="9"/>
      <c r="R502" s="9"/>
      <c r="S502" s="9"/>
      <c r="T502" s="9"/>
    </row>
    <row r="503" spans="3:20">
      <c r="C503" s="9"/>
      <c r="D503" s="9"/>
      <c r="E503" s="9"/>
      <c r="F503" s="10"/>
      <c r="G503" s="9"/>
      <c r="H503" s="9"/>
      <c r="I503" s="9"/>
      <c r="J503" s="9"/>
      <c r="K503" s="9"/>
      <c r="L503" s="9"/>
      <c r="O503" s="9"/>
      <c r="P503" s="9"/>
      <c r="Q503" s="9"/>
      <c r="R503" s="9"/>
      <c r="S503" s="9"/>
      <c r="T503" s="9"/>
    </row>
    <row r="504" spans="3:20">
      <c r="C504" s="9"/>
      <c r="D504" s="9"/>
      <c r="E504" s="9"/>
      <c r="F504" s="10"/>
      <c r="G504" s="9"/>
      <c r="H504" s="9"/>
      <c r="I504" s="9"/>
      <c r="J504" s="9"/>
      <c r="K504" s="9"/>
      <c r="L504" s="9"/>
      <c r="O504" s="9"/>
      <c r="P504" s="9"/>
      <c r="Q504" s="9"/>
      <c r="R504" s="9"/>
      <c r="S504" s="9"/>
      <c r="T504" s="9"/>
    </row>
    <row r="505" spans="3:20">
      <c r="C505" s="9"/>
      <c r="D505" s="9"/>
      <c r="E505" s="9"/>
      <c r="F505" s="10"/>
      <c r="G505" s="9"/>
      <c r="H505" s="9"/>
      <c r="I505" s="9"/>
      <c r="J505" s="9"/>
      <c r="K505" s="9"/>
      <c r="L505" s="9"/>
      <c r="O505" s="9"/>
      <c r="P505" s="9"/>
      <c r="Q505" s="9"/>
      <c r="R505" s="9"/>
      <c r="S505" s="9"/>
      <c r="T505" s="9"/>
    </row>
    <row r="506" spans="3:20">
      <c r="C506" s="9"/>
      <c r="D506" s="9"/>
      <c r="E506" s="9"/>
      <c r="F506" s="10"/>
      <c r="G506" s="9"/>
      <c r="H506" s="9"/>
      <c r="I506" s="9"/>
      <c r="J506" s="9"/>
      <c r="K506" s="9"/>
      <c r="L506" s="9"/>
      <c r="O506" s="9"/>
      <c r="P506" s="9"/>
      <c r="Q506" s="9"/>
      <c r="R506" s="9"/>
      <c r="S506" s="9"/>
      <c r="T506" s="9"/>
    </row>
    <row r="507" spans="3:20">
      <c r="C507" s="9"/>
      <c r="D507" s="9"/>
      <c r="E507" s="9"/>
      <c r="F507" s="10"/>
      <c r="G507" s="9"/>
      <c r="H507" s="9"/>
      <c r="I507" s="9"/>
      <c r="J507" s="9"/>
      <c r="K507" s="9"/>
      <c r="L507" s="9"/>
      <c r="O507" s="9"/>
      <c r="P507" s="9"/>
      <c r="Q507" s="9"/>
      <c r="R507" s="9"/>
      <c r="S507" s="9"/>
      <c r="T507" s="9"/>
    </row>
    <row r="508" spans="3:20">
      <c r="C508" s="9"/>
      <c r="D508" s="9"/>
      <c r="E508" s="9"/>
      <c r="F508" s="10"/>
      <c r="G508" s="9"/>
      <c r="H508" s="9"/>
      <c r="I508" s="9"/>
      <c r="J508" s="9"/>
      <c r="K508" s="9"/>
      <c r="L508" s="9"/>
      <c r="O508" s="9"/>
      <c r="P508" s="9"/>
      <c r="Q508" s="9"/>
      <c r="R508" s="9"/>
      <c r="S508" s="9"/>
      <c r="T508" s="9"/>
    </row>
    <row r="509" spans="3:20">
      <c r="C509" s="9"/>
      <c r="D509" s="9"/>
      <c r="E509" s="9"/>
      <c r="F509" s="10"/>
      <c r="G509" s="9"/>
      <c r="H509" s="9"/>
      <c r="I509" s="9"/>
      <c r="J509" s="9"/>
      <c r="K509" s="9"/>
      <c r="L509" s="9"/>
      <c r="O509" s="9"/>
      <c r="P509" s="9"/>
      <c r="Q509" s="9"/>
      <c r="R509" s="9"/>
      <c r="S509" s="9"/>
      <c r="T509" s="9"/>
    </row>
    <row r="510" spans="3:20">
      <c r="C510" s="9"/>
      <c r="D510" s="9"/>
      <c r="E510" s="9"/>
      <c r="F510" s="10"/>
      <c r="G510" s="9"/>
      <c r="H510" s="9"/>
      <c r="I510" s="9"/>
      <c r="J510" s="9"/>
      <c r="K510" s="9"/>
      <c r="L510" s="9"/>
      <c r="O510" s="9"/>
      <c r="P510" s="9"/>
      <c r="Q510" s="9"/>
      <c r="R510" s="9"/>
      <c r="S510" s="9"/>
      <c r="T510" s="9"/>
    </row>
    <row r="511" spans="3:20">
      <c r="C511" s="9"/>
      <c r="D511" s="9"/>
      <c r="E511" s="9"/>
      <c r="F511" s="10"/>
      <c r="G511" s="9"/>
      <c r="H511" s="9"/>
      <c r="I511" s="9"/>
      <c r="J511" s="9"/>
      <c r="K511" s="9"/>
      <c r="L511" s="9"/>
      <c r="O511" s="9"/>
      <c r="P511" s="9"/>
      <c r="Q511" s="9"/>
      <c r="R511" s="9"/>
      <c r="S511" s="9"/>
      <c r="T511" s="9"/>
    </row>
    <row r="512" spans="3:20">
      <c r="C512" s="9"/>
      <c r="D512" s="9"/>
      <c r="E512" s="9"/>
      <c r="F512" s="10"/>
      <c r="G512" s="9"/>
      <c r="H512" s="9"/>
      <c r="I512" s="9"/>
      <c r="J512" s="9"/>
      <c r="K512" s="9"/>
      <c r="L512" s="9"/>
      <c r="O512" s="9"/>
      <c r="P512" s="9"/>
      <c r="Q512" s="9"/>
      <c r="R512" s="9"/>
      <c r="S512" s="9"/>
      <c r="T512" s="9"/>
    </row>
    <row r="513" spans="3:20">
      <c r="C513" s="9"/>
      <c r="D513" s="9"/>
      <c r="E513" s="9"/>
      <c r="F513" s="10"/>
      <c r="G513" s="9"/>
      <c r="H513" s="9"/>
      <c r="I513" s="9"/>
      <c r="J513" s="9"/>
      <c r="K513" s="9"/>
      <c r="L513" s="9"/>
      <c r="O513" s="9"/>
      <c r="P513" s="9"/>
      <c r="Q513" s="9"/>
      <c r="R513" s="9"/>
      <c r="S513" s="9"/>
      <c r="T513" s="9"/>
    </row>
    <row r="514" spans="3:20">
      <c r="C514" s="9"/>
      <c r="D514" s="9"/>
      <c r="E514" s="9"/>
      <c r="F514" s="10"/>
      <c r="G514" s="9"/>
      <c r="H514" s="9"/>
      <c r="I514" s="9"/>
      <c r="J514" s="9"/>
      <c r="K514" s="9"/>
      <c r="L514" s="9"/>
      <c r="O514" s="9"/>
      <c r="P514" s="9"/>
      <c r="Q514" s="9"/>
      <c r="R514" s="9"/>
      <c r="S514" s="9"/>
      <c r="T514" s="9"/>
    </row>
    <row r="515" spans="3:20">
      <c r="C515" s="9"/>
      <c r="D515" s="9"/>
      <c r="E515" s="9"/>
      <c r="F515" s="10"/>
      <c r="G515" s="9"/>
      <c r="H515" s="9"/>
      <c r="I515" s="9"/>
      <c r="J515" s="9"/>
      <c r="K515" s="9"/>
      <c r="L515" s="9"/>
      <c r="O515" s="9"/>
      <c r="P515" s="9"/>
      <c r="Q515" s="9"/>
      <c r="R515" s="9"/>
      <c r="S515" s="9"/>
      <c r="T515" s="9"/>
    </row>
    <row r="516" spans="3:20">
      <c r="C516" s="9"/>
      <c r="D516" s="9"/>
      <c r="E516" s="9"/>
      <c r="F516" s="10"/>
      <c r="G516" s="9"/>
      <c r="H516" s="9"/>
      <c r="I516" s="9"/>
      <c r="J516" s="9"/>
      <c r="K516" s="9"/>
      <c r="L516" s="9"/>
      <c r="O516" s="9"/>
      <c r="P516" s="9"/>
      <c r="Q516" s="9"/>
      <c r="R516" s="9"/>
      <c r="S516" s="9"/>
      <c r="T516" s="9"/>
    </row>
    <row r="517" spans="3:20">
      <c r="C517" s="9"/>
      <c r="D517" s="9"/>
      <c r="E517" s="9"/>
      <c r="F517" s="10"/>
      <c r="G517" s="9"/>
      <c r="H517" s="9"/>
      <c r="I517" s="9"/>
      <c r="J517" s="9"/>
      <c r="K517" s="9"/>
      <c r="L517" s="9"/>
      <c r="O517" s="9"/>
      <c r="P517" s="9"/>
      <c r="Q517" s="9"/>
      <c r="R517" s="9"/>
      <c r="S517" s="9"/>
      <c r="T517" s="9"/>
    </row>
    <row r="518" spans="3:20">
      <c r="C518" s="9"/>
      <c r="D518" s="9"/>
      <c r="E518" s="9"/>
      <c r="F518" s="10"/>
      <c r="G518" s="9"/>
      <c r="H518" s="9"/>
      <c r="I518" s="9"/>
      <c r="J518" s="9"/>
      <c r="K518" s="9"/>
      <c r="L518" s="9"/>
      <c r="O518" s="9"/>
      <c r="P518" s="9"/>
      <c r="Q518" s="9"/>
      <c r="R518" s="9"/>
      <c r="S518" s="9"/>
      <c r="T518" s="9"/>
    </row>
    <row r="519" spans="3:20">
      <c r="C519" s="9"/>
      <c r="D519" s="9"/>
      <c r="E519" s="9"/>
      <c r="F519" s="10"/>
      <c r="G519" s="9"/>
      <c r="H519" s="9"/>
      <c r="I519" s="9"/>
      <c r="J519" s="9"/>
      <c r="K519" s="9"/>
      <c r="L519" s="9"/>
      <c r="O519" s="9"/>
      <c r="P519" s="9"/>
      <c r="Q519" s="9"/>
      <c r="R519" s="9"/>
      <c r="S519" s="9"/>
      <c r="T519" s="9"/>
    </row>
    <row r="520" spans="3:20">
      <c r="C520" s="9"/>
      <c r="D520" s="9"/>
      <c r="E520" s="9"/>
      <c r="F520" s="10"/>
      <c r="G520" s="9"/>
      <c r="H520" s="9"/>
      <c r="I520" s="9"/>
      <c r="J520" s="9"/>
      <c r="K520" s="9"/>
      <c r="L520" s="9"/>
      <c r="O520" s="9"/>
      <c r="P520" s="9"/>
      <c r="Q520" s="9"/>
      <c r="R520" s="9"/>
      <c r="S520" s="9"/>
      <c r="T520" s="9"/>
    </row>
    <row r="521" spans="3:20">
      <c r="C521" s="9"/>
      <c r="D521" s="9"/>
      <c r="E521" s="9"/>
      <c r="F521" s="10"/>
      <c r="G521" s="9"/>
      <c r="H521" s="9"/>
      <c r="I521" s="9"/>
      <c r="J521" s="9"/>
      <c r="K521" s="9"/>
      <c r="L521" s="9"/>
      <c r="O521" s="9"/>
      <c r="P521" s="9"/>
      <c r="Q521" s="9"/>
      <c r="R521" s="9"/>
      <c r="S521" s="9"/>
      <c r="T521" s="9"/>
    </row>
    <row r="522" spans="3:20">
      <c r="C522" s="9"/>
      <c r="D522" s="9"/>
      <c r="E522" s="9"/>
      <c r="F522" s="10"/>
      <c r="G522" s="9"/>
      <c r="H522" s="9"/>
      <c r="I522" s="9"/>
      <c r="J522" s="9"/>
      <c r="K522" s="9"/>
      <c r="L522" s="9"/>
      <c r="O522" s="9"/>
      <c r="P522" s="9"/>
      <c r="Q522" s="9"/>
      <c r="R522" s="9"/>
      <c r="S522" s="9"/>
      <c r="T522" s="9"/>
    </row>
    <row r="523" spans="3:20">
      <c r="C523" s="9"/>
      <c r="D523" s="9"/>
      <c r="E523" s="9"/>
      <c r="F523" s="10"/>
      <c r="G523" s="9"/>
      <c r="H523" s="9"/>
      <c r="I523" s="9"/>
      <c r="J523" s="9"/>
      <c r="K523" s="9"/>
      <c r="L523" s="9"/>
      <c r="O523" s="9"/>
      <c r="P523" s="9"/>
      <c r="Q523" s="9"/>
      <c r="R523" s="9"/>
      <c r="S523" s="9"/>
      <c r="T523" s="9"/>
    </row>
    <row r="524" spans="3:20">
      <c r="C524" s="9"/>
      <c r="D524" s="9"/>
      <c r="E524" s="9"/>
      <c r="F524" s="10"/>
      <c r="G524" s="9"/>
      <c r="H524" s="9"/>
      <c r="I524" s="9"/>
      <c r="J524" s="9"/>
      <c r="K524" s="9"/>
      <c r="L524" s="9"/>
      <c r="O524" s="9"/>
      <c r="P524" s="9"/>
      <c r="Q524" s="9"/>
      <c r="R524" s="9"/>
      <c r="S524" s="9"/>
      <c r="T524" s="9"/>
    </row>
    <row r="525" spans="3:20">
      <c r="C525" s="9"/>
      <c r="D525" s="9"/>
      <c r="E525" s="9"/>
      <c r="F525" s="10"/>
      <c r="G525" s="9"/>
      <c r="H525" s="9"/>
      <c r="I525" s="9"/>
      <c r="J525" s="9"/>
      <c r="K525" s="9"/>
      <c r="L525" s="9"/>
      <c r="O525" s="9"/>
      <c r="P525" s="9"/>
      <c r="Q525" s="9"/>
      <c r="R525" s="9"/>
      <c r="S525" s="9"/>
      <c r="T525" s="9"/>
    </row>
    <row r="526" spans="3:20">
      <c r="C526" s="9"/>
      <c r="D526" s="9"/>
      <c r="E526" s="9"/>
      <c r="F526" s="10"/>
      <c r="G526" s="9"/>
      <c r="H526" s="9"/>
      <c r="I526" s="9"/>
      <c r="J526" s="9"/>
      <c r="K526" s="9"/>
      <c r="L526" s="9"/>
      <c r="O526" s="9"/>
      <c r="P526" s="9"/>
      <c r="Q526" s="9"/>
      <c r="R526" s="9"/>
      <c r="S526" s="9"/>
      <c r="T526" s="9"/>
    </row>
    <row r="527" spans="3:20">
      <c r="C527" s="9"/>
      <c r="D527" s="9"/>
      <c r="E527" s="9"/>
      <c r="F527" s="10"/>
      <c r="G527" s="9"/>
      <c r="H527" s="9"/>
      <c r="I527" s="9"/>
      <c r="J527" s="9"/>
      <c r="K527" s="9"/>
      <c r="L527" s="9"/>
      <c r="O527" s="9"/>
      <c r="P527" s="9"/>
      <c r="Q527" s="9"/>
      <c r="R527" s="9"/>
      <c r="S527" s="9"/>
      <c r="T527" s="9"/>
    </row>
    <row r="528" spans="3:20">
      <c r="C528" s="9"/>
      <c r="D528" s="9"/>
      <c r="E528" s="9"/>
      <c r="F528" s="10"/>
      <c r="G528" s="9"/>
      <c r="H528" s="9"/>
      <c r="I528" s="9"/>
      <c r="J528" s="9"/>
      <c r="K528" s="9"/>
      <c r="L528" s="9"/>
      <c r="O528" s="9"/>
      <c r="P528" s="9"/>
      <c r="Q528" s="9"/>
      <c r="R528" s="9"/>
      <c r="S528" s="9"/>
      <c r="T528" s="9"/>
    </row>
    <row r="529" spans="3:20">
      <c r="C529" s="9"/>
      <c r="D529" s="9"/>
      <c r="E529" s="9"/>
      <c r="F529" s="10"/>
      <c r="G529" s="9"/>
      <c r="H529" s="9"/>
      <c r="I529" s="9"/>
      <c r="J529" s="9"/>
      <c r="K529" s="9"/>
      <c r="L529" s="9"/>
      <c r="O529" s="9"/>
      <c r="P529" s="9"/>
      <c r="Q529" s="9"/>
      <c r="R529" s="9"/>
      <c r="S529" s="9"/>
      <c r="T529" s="9"/>
    </row>
    <row r="530" spans="3:20">
      <c r="C530" s="9"/>
      <c r="D530" s="9"/>
      <c r="E530" s="9"/>
      <c r="F530" s="10"/>
      <c r="G530" s="9"/>
      <c r="H530" s="9"/>
      <c r="I530" s="9"/>
      <c r="J530" s="9"/>
      <c r="K530" s="9"/>
      <c r="L530" s="9"/>
      <c r="O530" s="9"/>
      <c r="P530" s="9"/>
      <c r="Q530" s="9"/>
      <c r="R530" s="9"/>
      <c r="S530" s="9"/>
      <c r="T530" s="9"/>
    </row>
    <row r="531" spans="3:20">
      <c r="C531" s="9"/>
      <c r="D531" s="9"/>
      <c r="E531" s="9"/>
      <c r="F531" s="10"/>
      <c r="G531" s="9"/>
      <c r="H531" s="9"/>
      <c r="I531" s="9"/>
      <c r="J531" s="9"/>
      <c r="K531" s="9"/>
      <c r="L531" s="9"/>
      <c r="O531" s="9"/>
      <c r="P531" s="9"/>
      <c r="Q531" s="9"/>
      <c r="R531" s="9"/>
      <c r="S531" s="9"/>
      <c r="T531" s="9"/>
    </row>
    <row r="532" spans="3:20">
      <c r="C532" s="9"/>
      <c r="D532" s="9"/>
      <c r="E532" s="9"/>
      <c r="F532" s="10"/>
      <c r="G532" s="9"/>
      <c r="H532" s="9"/>
      <c r="I532" s="9"/>
      <c r="J532" s="9"/>
      <c r="K532" s="9"/>
      <c r="L532" s="9"/>
      <c r="O532" s="9"/>
      <c r="P532" s="9"/>
      <c r="Q532" s="9"/>
      <c r="R532" s="9"/>
      <c r="S532" s="9"/>
      <c r="T532" s="9"/>
    </row>
    <row r="533" spans="3:20">
      <c r="C533" s="9"/>
      <c r="D533" s="9"/>
      <c r="E533" s="9"/>
      <c r="F533" s="10"/>
      <c r="G533" s="9"/>
      <c r="H533" s="9"/>
      <c r="I533" s="9"/>
      <c r="J533" s="9"/>
      <c r="K533" s="9"/>
      <c r="L533" s="9"/>
      <c r="O533" s="9"/>
      <c r="P533" s="9"/>
      <c r="Q533" s="9"/>
      <c r="R533" s="9"/>
      <c r="S533" s="9"/>
      <c r="T533" s="9"/>
    </row>
    <row r="534" spans="3:20">
      <c r="C534" s="9"/>
      <c r="D534" s="9"/>
      <c r="E534" s="9"/>
      <c r="F534" s="10"/>
      <c r="G534" s="9"/>
      <c r="H534" s="9"/>
      <c r="I534" s="9"/>
      <c r="J534" s="9"/>
      <c r="K534" s="9"/>
      <c r="L534" s="9"/>
      <c r="O534" s="9"/>
      <c r="P534" s="9"/>
      <c r="Q534" s="9"/>
      <c r="R534" s="9"/>
      <c r="S534" s="9"/>
      <c r="T534" s="9"/>
    </row>
    <row r="535" spans="3:20">
      <c r="C535" s="9"/>
      <c r="D535" s="9"/>
      <c r="E535" s="9"/>
      <c r="F535" s="10"/>
      <c r="G535" s="9"/>
      <c r="H535" s="9"/>
      <c r="I535" s="9"/>
      <c r="J535" s="9"/>
      <c r="K535" s="9"/>
      <c r="L535" s="9"/>
      <c r="O535" s="9"/>
      <c r="P535" s="9"/>
      <c r="Q535" s="9"/>
      <c r="R535" s="9"/>
      <c r="S535" s="9"/>
      <c r="T535" s="9"/>
    </row>
    <row r="536" spans="3:20">
      <c r="C536" s="9"/>
      <c r="D536" s="9"/>
      <c r="E536" s="9"/>
      <c r="F536" s="10"/>
      <c r="G536" s="9"/>
      <c r="H536" s="9"/>
      <c r="I536" s="9"/>
      <c r="J536" s="9"/>
      <c r="K536" s="9"/>
      <c r="L536" s="9"/>
      <c r="O536" s="9"/>
      <c r="P536" s="9"/>
      <c r="Q536" s="9"/>
      <c r="R536" s="9"/>
      <c r="S536" s="9"/>
      <c r="T536" s="9"/>
    </row>
    <row r="537" spans="3:20">
      <c r="C537" s="9"/>
      <c r="D537" s="9"/>
      <c r="E537" s="9"/>
      <c r="F537" s="10"/>
      <c r="G537" s="9"/>
      <c r="H537" s="9"/>
      <c r="I537" s="9"/>
      <c r="J537" s="9"/>
      <c r="K537" s="9"/>
      <c r="L537" s="9"/>
      <c r="O537" s="9"/>
      <c r="P537" s="9"/>
      <c r="Q537" s="9"/>
      <c r="R537" s="9"/>
      <c r="S537" s="9"/>
      <c r="T537" s="9"/>
    </row>
    <row r="538" spans="3:20">
      <c r="C538" s="9"/>
      <c r="D538" s="9"/>
      <c r="E538" s="9"/>
      <c r="F538" s="10"/>
      <c r="G538" s="9"/>
      <c r="H538" s="9"/>
      <c r="I538" s="9"/>
      <c r="J538" s="9"/>
      <c r="K538" s="9"/>
      <c r="L538" s="9"/>
      <c r="O538" s="9"/>
      <c r="P538" s="9"/>
      <c r="Q538" s="9"/>
      <c r="R538" s="9"/>
      <c r="S538" s="9"/>
      <c r="T538" s="9"/>
    </row>
    <row r="539" spans="3:20">
      <c r="C539" s="9"/>
      <c r="D539" s="9"/>
      <c r="E539" s="9"/>
      <c r="F539" s="10"/>
      <c r="G539" s="9"/>
      <c r="H539" s="9"/>
      <c r="I539" s="9"/>
      <c r="J539" s="9"/>
      <c r="K539" s="9"/>
      <c r="L539" s="9"/>
      <c r="O539" s="9"/>
      <c r="P539" s="9"/>
      <c r="Q539" s="9"/>
      <c r="R539" s="9"/>
      <c r="S539" s="9"/>
      <c r="T539" s="9"/>
    </row>
    <row r="540" spans="3:20">
      <c r="C540" s="9"/>
      <c r="D540" s="9"/>
      <c r="E540" s="9"/>
      <c r="F540" s="10"/>
      <c r="G540" s="9"/>
      <c r="H540" s="9"/>
      <c r="I540" s="9"/>
      <c r="J540" s="9"/>
      <c r="K540" s="9"/>
      <c r="L540" s="9"/>
      <c r="O540" s="9"/>
      <c r="P540" s="9"/>
      <c r="Q540" s="9"/>
      <c r="R540" s="9"/>
      <c r="S540" s="9"/>
      <c r="T540" s="9"/>
    </row>
    <row r="541" spans="3:20">
      <c r="C541" s="9"/>
      <c r="D541" s="9"/>
      <c r="E541" s="9"/>
      <c r="F541" s="10"/>
      <c r="G541" s="9"/>
      <c r="H541" s="9"/>
      <c r="I541" s="9"/>
      <c r="J541" s="9"/>
      <c r="K541" s="9"/>
      <c r="L541" s="9"/>
      <c r="O541" s="9"/>
      <c r="P541" s="9"/>
      <c r="Q541" s="9"/>
      <c r="R541" s="9"/>
      <c r="S541" s="9"/>
      <c r="T541" s="9"/>
    </row>
    <row r="542" spans="3:20">
      <c r="C542" s="9"/>
      <c r="D542" s="9"/>
      <c r="E542" s="9"/>
      <c r="F542" s="10"/>
      <c r="G542" s="9"/>
      <c r="H542" s="9"/>
      <c r="I542" s="9"/>
      <c r="J542" s="9"/>
      <c r="K542" s="9"/>
      <c r="L542" s="9"/>
      <c r="O542" s="9"/>
      <c r="P542" s="9"/>
      <c r="Q542" s="9"/>
      <c r="R542" s="9"/>
      <c r="S542" s="9"/>
      <c r="T542" s="9"/>
    </row>
    <row r="543" spans="3:20">
      <c r="C543" s="9"/>
      <c r="D543" s="9"/>
      <c r="E543" s="9"/>
      <c r="F543" s="10"/>
      <c r="G543" s="9"/>
      <c r="H543" s="9"/>
      <c r="I543" s="9"/>
      <c r="J543" s="9"/>
      <c r="K543" s="9"/>
      <c r="L543" s="9"/>
      <c r="O543" s="9"/>
      <c r="P543" s="9"/>
      <c r="Q543" s="9"/>
      <c r="R543" s="9"/>
      <c r="S543" s="9"/>
      <c r="T543" s="9"/>
    </row>
    <row r="544" spans="3:20">
      <c r="C544" s="9"/>
      <c r="D544" s="9"/>
      <c r="E544" s="9"/>
      <c r="F544" s="10"/>
      <c r="G544" s="9"/>
      <c r="H544" s="9"/>
      <c r="I544" s="9"/>
      <c r="J544" s="9"/>
      <c r="K544" s="9"/>
      <c r="L544" s="9"/>
      <c r="O544" s="9"/>
      <c r="P544" s="9"/>
      <c r="Q544" s="9"/>
      <c r="R544" s="9"/>
      <c r="S544" s="9"/>
      <c r="T544" s="9"/>
    </row>
    <row r="545" spans="3:20">
      <c r="C545" s="9"/>
      <c r="D545" s="9"/>
      <c r="E545" s="9"/>
      <c r="F545" s="10"/>
      <c r="G545" s="9"/>
      <c r="H545" s="9"/>
      <c r="I545" s="9"/>
      <c r="J545" s="9"/>
      <c r="K545" s="9"/>
      <c r="L545" s="9"/>
      <c r="O545" s="9"/>
      <c r="P545" s="9"/>
      <c r="Q545" s="9"/>
      <c r="R545" s="9"/>
      <c r="S545" s="9"/>
      <c r="T545" s="9"/>
    </row>
    <row r="546" spans="3:20">
      <c r="C546" s="9"/>
      <c r="D546" s="9"/>
      <c r="E546" s="9"/>
      <c r="F546" s="10"/>
      <c r="G546" s="9"/>
      <c r="H546" s="9"/>
      <c r="I546" s="9"/>
      <c r="J546" s="9"/>
      <c r="K546" s="9"/>
      <c r="L546" s="9"/>
      <c r="O546" s="9"/>
      <c r="P546" s="9"/>
      <c r="Q546" s="9"/>
      <c r="R546" s="9"/>
      <c r="S546" s="9"/>
      <c r="T546" s="9"/>
    </row>
    <row r="547" spans="3:20">
      <c r="C547" s="9"/>
      <c r="D547" s="9"/>
      <c r="E547" s="9"/>
      <c r="F547" s="10"/>
      <c r="G547" s="9"/>
      <c r="H547" s="9"/>
      <c r="I547" s="9"/>
      <c r="J547" s="9"/>
      <c r="K547" s="9"/>
      <c r="L547" s="9"/>
      <c r="O547" s="9"/>
      <c r="P547" s="9"/>
      <c r="Q547" s="9"/>
      <c r="R547" s="9"/>
      <c r="S547" s="9"/>
      <c r="T547" s="9"/>
    </row>
    <row r="548" spans="3:20">
      <c r="C548" s="9"/>
      <c r="D548" s="9"/>
      <c r="E548" s="9"/>
      <c r="F548" s="10"/>
      <c r="G548" s="9"/>
      <c r="H548" s="9"/>
      <c r="I548" s="9"/>
      <c r="J548" s="9"/>
      <c r="K548" s="9"/>
      <c r="L548" s="9"/>
      <c r="O548" s="9"/>
      <c r="P548" s="9"/>
      <c r="Q548" s="9"/>
      <c r="R548" s="9"/>
      <c r="S548" s="9"/>
      <c r="T548" s="9"/>
    </row>
    <row r="549" spans="3:20">
      <c r="C549" s="9"/>
      <c r="D549" s="9"/>
      <c r="E549" s="9"/>
      <c r="F549" s="10"/>
      <c r="G549" s="9"/>
      <c r="H549" s="9"/>
      <c r="I549" s="9"/>
      <c r="J549" s="9"/>
      <c r="K549" s="9"/>
      <c r="L549" s="9"/>
      <c r="O549" s="9"/>
      <c r="P549" s="9"/>
      <c r="Q549" s="9"/>
      <c r="R549" s="9"/>
      <c r="S549" s="9"/>
      <c r="T549" s="9"/>
    </row>
    <row r="550" spans="3:20">
      <c r="C550" s="9"/>
      <c r="D550" s="9"/>
      <c r="E550" s="9"/>
      <c r="F550" s="10"/>
      <c r="G550" s="9"/>
      <c r="H550" s="9"/>
      <c r="I550" s="9"/>
      <c r="J550" s="9"/>
      <c r="K550" s="9"/>
      <c r="L550" s="9"/>
      <c r="O550" s="9"/>
      <c r="P550" s="9"/>
      <c r="Q550" s="9"/>
      <c r="R550" s="9"/>
      <c r="S550" s="9"/>
      <c r="T550" s="9"/>
    </row>
    <row r="551" spans="3:20">
      <c r="C551" s="9"/>
      <c r="D551" s="9"/>
      <c r="E551" s="9"/>
      <c r="F551" s="10"/>
      <c r="G551" s="9"/>
      <c r="H551" s="9"/>
      <c r="I551" s="9"/>
      <c r="J551" s="9"/>
      <c r="K551" s="9"/>
      <c r="L551" s="9"/>
      <c r="O551" s="9"/>
      <c r="P551" s="9"/>
      <c r="Q551" s="9"/>
      <c r="R551" s="9"/>
      <c r="S551" s="9"/>
      <c r="T551" s="9"/>
    </row>
    <row r="552" spans="3:20">
      <c r="C552" s="9"/>
      <c r="D552" s="9"/>
      <c r="E552" s="9"/>
      <c r="F552" s="10"/>
      <c r="G552" s="9"/>
      <c r="H552" s="9"/>
      <c r="I552" s="9"/>
      <c r="J552" s="9"/>
      <c r="K552" s="9"/>
      <c r="L552" s="9"/>
      <c r="O552" s="9"/>
      <c r="P552" s="9"/>
      <c r="Q552" s="9"/>
      <c r="R552" s="9"/>
      <c r="S552" s="9"/>
      <c r="T552" s="9"/>
    </row>
    <row r="553" spans="3:20">
      <c r="C553" s="9"/>
      <c r="D553" s="9"/>
      <c r="E553" s="9"/>
      <c r="F553" s="10"/>
      <c r="G553" s="9"/>
      <c r="H553" s="9"/>
      <c r="I553" s="9"/>
      <c r="J553" s="9"/>
      <c r="K553" s="9"/>
      <c r="L553" s="9"/>
      <c r="O553" s="9"/>
      <c r="P553" s="9"/>
      <c r="Q553" s="9"/>
      <c r="R553" s="9"/>
      <c r="S553" s="9"/>
      <c r="T553" s="9"/>
    </row>
    <row r="554" spans="3:20">
      <c r="C554" s="9"/>
      <c r="D554" s="9"/>
      <c r="E554" s="9"/>
      <c r="F554" s="10"/>
      <c r="G554" s="9"/>
      <c r="H554" s="9"/>
      <c r="I554" s="9"/>
      <c r="J554" s="9"/>
      <c r="K554" s="9"/>
      <c r="L554" s="9"/>
      <c r="O554" s="9"/>
      <c r="P554" s="9"/>
      <c r="Q554" s="9"/>
      <c r="R554" s="9"/>
      <c r="S554" s="9"/>
      <c r="T554" s="9"/>
    </row>
    <row r="555" spans="3:20">
      <c r="C555" s="9"/>
      <c r="D555" s="9"/>
      <c r="E555" s="9"/>
      <c r="F555" s="10"/>
      <c r="G555" s="9"/>
      <c r="H555" s="9"/>
      <c r="I555" s="9"/>
      <c r="J555" s="9"/>
      <c r="K555" s="9"/>
      <c r="L555" s="9"/>
      <c r="O555" s="9"/>
      <c r="P555" s="9"/>
      <c r="Q555" s="9"/>
      <c r="R555" s="9"/>
      <c r="S555" s="9"/>
      <c r="T555" s="9"/>
    </row>
    <row r="556" spans="3:20">
      <c r="C556" s="9"/>
      <c r="D556" s="9"/>
      <c r="E556" s="9"/>
      <c r="F556" s="10"/>
      <c r="G556" s="9"/>
      <c r="H556" s="9"/>
      <c r="I556" s="9"/>
      <c r="J556" s="9"/>
      <c r="K556" s="9"/>
      <c r="L556" s="9"/>
      <c r="O556" s="9"/>
      <c r="P556" s="9"/>
      <c r="Q556" s="9"/>
      <c r="R556" s="9"/>
      <c r="S556" s="9"/>
      <c r="T556" s="9"/>
    </row>
    <row r="557" spans="3:20">
      <c r="C557" s="9"/>
      <c r="D557" s="9"/>
      <c r="E557" s="9"/>
      <c r="F557" s="10"/>
      <c r="G557" s="9"/>
      <c r="H557" s="9"/>
      <c r="I557" s="9"/>
      <c r="J557" s="9"/>
      <c r="K557" s="9"/>
      <c r="L557" s="9"/>
      <c r="O557" s="9"/>
      <c r="P557" s="9"/>
      <c r="Q557" s="9"/>
      <c r="R557" s="9"/>
      <c r="S557" s="9"/>
      <c r="T557" s="9"/>
    </row>
    <row r="558" spans="3:20">
      <c r="C558" s="9"/>
      <c r="D558" s="9"/>
      <c r="E558" s="9"/>
      <c r="F558" s="10"/>
      <c r="G558" s="9"/>
      <c r="H558" s="9"/>
      <c r="I558" s="9"/>
      <c r="J558" s="9"/>
      <c r="K558" s="9"/>
      <c r="L558" s="9"/>
      <c r="O558" s="9"/>
      <c r="P558" s="9"/>
      <c r="Q558" s="9"/>
      <c r="R558" s="9"/>
      <c r="S558" s="9"/>
      <c r="T558" s="9"/>
    </row>
    <row r="559" spans="3:20">
      <c r="C559" s="9"/>
      <c r="D559" s="9"/>
      <c r="E559" s="9"/>
      <c r="F559" s="10"/>
      <c r="G559" s="9"/>
      <c r="H559" s="9"/>
      <c r="I559" s="9"/>
      <c r="J559" s="9"/>
      <c r="K559" s="9"/>
      <c r="L559" s="9"/>
      <c r="O559" s="9"/>
      <c r="P559" s="9"/>
      <c r="Q559" s="9"/>
      <c r="R559" s="9"/>
      <c r="S559" s="9"/>
      <c r="T559" s="9"/>
    </row>
    <row r="560" spans="3:20">
      <c r="C560" s="9"/>
      <c r="D560" s="9"/>
      <c r="E560" s="9"/>
      <c r="F560" s="10"/>
      <c r="G560" s="9"/>
      <c r="H560" s="9"/>
      <c r="I560" s="9"/>
      <c r="J560" s="9"/>
      <c r="K560" s="9"/>
      <c r="L560" s="9"/>
      <c r="O560" s="9"/>
      <c r="P560" s="9"/>
      <c r="Q560" s="9"/>
      <c r="R560" s="9"/>
      <c r="S560" s="9"/>
      <c r="T560" s="9"/>
    </row>
    <row r="561" spans="3:20">
      <c r="C561" s="9"/>
      <c r="D561" s="9"/>
      <c r="E561" s="9"/>
      <c r="F561" s="10"/>
      <c r="G561" s="9"/>
      <c r="H561" s="9"/>
      <c r="I561" s="9"/>
      <c r="J561" s="9"/>
      <c r="K561" s="9"/>
      <c r="L561" s="9"/>
      <c r="O561" s="9"/>
      <c r="P561" s="9"/>
      <c r="Q561" s="9"/>
      <c r="R561" s="9"/>
      <c r="S561" s="9"/>
      <c r="T561" s="9"/>
    </row>
    <row r="562" spans="3:20">
      <c r="C562" s="9"/>
      <c r="D562" s="9"/>
      <c r="E562" s="9"/>
      <c r="F562" s="10"/>
      <c r="G562" s="9"/>
      <c r="H562" s="9"/>
      <c r="I562" s="9"/>
      <c r="J562" s="9"/>
      <c r="K562" s="9"/>
      <c r="L562" s="9"/>
      <c r="O562" s="9"/>
      <c r="P562" s="9"/>
      <c r="Q562" s="9"/>
      <c r="R562" s="9"/>
      <c r="S562" s="9"/>
      <c r="T562" s="9"/>
    </row>
    <row r="563" spans="3:20">
      <c r="C563" s="9"/>
      <c r="D563" s="9"/>
      <c r="E563" s="9"/>
      <c r="F563" s="10"/>
      <c r="G563" s="9"/>
      <c r="H563" s="9"/>
      <c r="I563" s="9"/>
      <c r="J563" s="9"/>
      <c r="K563" s="9"/>
      <c r="L563" s="9"/>
      <c r="O563" s="9"/>
      <c r="P563" s="9"/>
      <c r="Q563" s="9"/>
      <c r="R563" s="9"/>
      <c r="S563" s="9"/>
      <c r="T563" s="9"/>
    </row>
    <row r="564" spans="3:20">
      <c r="C564" s="9"/>
      <c r="D564" s="9"/>
      <c r="E564" s="9"/>
      <c r="F564" s="10"/>
      <c r="G564" s="9"/>
      <c r="H564" s="9"/>
      <c r="I564" s="9"/>
      <c r="J564" s="9"/>
      <c r="K564" s="9"/>
      <c r="L564" s="9"/>
      <c r="O564" s="9"/>
      <c r="P564" s="9"/>
      <c r="Q564" s="9"/>
      <c r="R564" s="9"/>
      <c r="S564" s="9"/>
      <c r="T564" s="9"/>
    </row>
    <row r="565" spans="3:20">
      <c r="C565" s="9"/>
      <c r="D565" s="9"/>
      <c r="E565" s="9"/>
      <c r="F565" s="10"/>
      <c r="G565" s="9"/>
      <c r="H565" s="9"/>
      <c r="I565" s="9"/>
      <c r="J565" s="9"/>
      <c r="K565" s="9"/>
      <c r="L565" s="9"/>
      <c r="O565" s="9"/>
      <c r="P565" s="9"/>
      <c r="Q565" s="9"/>
      <c r="R565" s="9"/>
      <c r="S565" s="9"/>
      <c r="T565" s="9"/>
    </row>
    <row r="566" spans="3:20">
      <c r="C566" s="9"/>
      <c r="D566" s="9"/>
      <c r="E566" s="9"/>
      <c r="F566" s="10"/>
      <c r="G566" s="9"/>
      <c r="H566" s="9"/>
      <c r="I566" s="9"/>
      <c r="J566" s="9"/>
      <c r="K566" s="9"/>
      <c r="L566" s="9"/>
      <c r="O566" s="9"/>
      <c r="P566" s="9"/>
      <c r="Q566" s="9"/>
      <c r="R566" s="9"/>
      <c r="S566" s="9"/>
      <c r="T566" s="9"/>
    </row>
    <row r="567" spans="3:20">
      <c r="C567" s="9"/>
      <c r="D567" s="9"/>
      <c r="E567" s="9"/>
      <c r="F567" s="10"/>
      <c r="G567" s="9"/>
      <c r="H567" s="9"/>
      <c r="I567" s="9"/>
      <c r="J567" s="9"/>
      <c r="K567" s="9"/>
      <c r="L567" s="9"/>
      <c r="O567" s="9"/>
      <c r="P567" s="9"/>
      <c r="Q567" s="9"/>
      <c r="R567" s="9"/>
      <c r="S567" s="9"/>
      <c r="T567" s="9"/>
    </row>
    <row r="568" spans="3:20">
      <c r="C568" s="9"/>
      <c r="D568" s="9"/>
      <c r="E568" s="9"/>
      <c r="F568" s="10"/>
      <c r="G568" s="9"/>
      <c r="H568" s="9"/>
      <c r="I568" s="9"/>
      <c r="J568" s="9"/>
      <c r="K568" s="9"/>
      <c r="L568" s="9"/>
      <c r="O568" s="9"/>
      <c r="P568" s="9"/>
      <c r="Q568" s="9"/>
      <c r="R568" s="9"/>
      <c r="S568" s="9"/>
      <c r="T568" s="9"/>
    </row>
    <row r="569" spans="3:20">
      <c r="C569" s="9"/>
      <c r="D569" s="9"/>
      <c r="E569" s="9"/>
      <c r="F569" s="10"/>
      <c r="G569" s="9"/>
      <c r="H569" s="9"/>
      <c r="I569" s="9"/>
      <c r="J569" s="9"/>
      <c r="K569" s="9"/>
      <c r="L569" s="9"/>
      <c r="O569" s="9"/>
      <c r="P569" s="9"/>
      <c r="Q569" s="9"/>
      <c r="R569" s="9"/>
      <c r="S569" s="9"/>
      <c r="T569" s="9"/>
    </row>
    <row r="570" spans="3:20">
      <c r="C570" s="9"/>
      <c r="D570" s="9"/>
      <c r="E570" s="9"/>
      <c r="F570" s="10"/>
      <c r="G570" s="9"/>
      <c r="H570" s="9"/>
      <c r="I570" s="9"/>
      <c r="J570" s="9"/>
      <c r="K570" s="9"/>
      <c r="L570" s="9"/>
      <c r="O570" s="9"/>
      <c r="P570" s="9"/>
      <c r="Q570" s="9"/>
      <c r="R570" s="9"/>
      <c r="S570" s="9"/>
      <c r="T570" s="9"/>
    </row>
    <row r="571" spans="3:20">
      <c r="C571" s="9"/>
      <c r="D571" s="9"/>
      <c r="E571" s="9"/>
      <c r="F571" s="10"/>
      <c r="G571" s="9"/>
      <c r="H571" s="9"/>
      <c r="I571" s="9"/>
      <c r="J571" s="9"/>
      <c r="K571" s="9"/>
      <c r="L571" s="9"/>
      <c r="O571" s="9"/>
      <c r="P571" s="9"/>
      <c r="Q571" s="9"/>
      <c r="R571" s="9"/>
      <c r="S571" s="9"/>
      <c r="T571" s="9"/>
    </row>
    <row r="572" spans="3:20">
      <c r="C572" s="9"/>
      <c r="D572" s="9"/>
      <c r="E572" s="9"/>
      <c r="F572" s="10"/>
      <c r="G572" s="9"/>
      <c r="H572" s="9"/>
      <c r="I572" s="9"/>
      <c r="J572" s="9"/>
      <c r="K572" s="9"/>
      <c r="L572" s="9"/>
      <c r="O572" s="9"/>
      <c r="P572" s="9"/>
      <c r="Q572" s="9"/>
      <c r="R572" s="9"/>
      <c r="S572" s="9"/>
      <c r="T572" s="9"/>
    </row>
    <row r="573" spans="3:20">
      <c r="C573" s="9"/>
      <c r="D573" s="9"/>
      <c r="E573" s="9"/>
      <c r="F573" s="10"/>
      <c r="G573" s="9"/>
      <c r="H573" s="9"/>
      <c r="I573" s="9"/>
      <c r="J573" s="9"/>
      <c r="K573" s="9"/>
      <c r="L573" s="9"/>
      <c r="O573" s="9"/>
      <c r="P573" s="9"/>
      <c r="Q573" s="9"/>
      <c r="R573" s="9"/>
      <c r="S573" s="9"/>
      <c r="T573" s="9"/>
    </row>
    <row r="574" spans="3:20">
      <c r="C574" s="9"/>
      <c r="D574" s="9"/>
      <c r="E574" s="9"/>
      <c r="F574" s="10"/>
      <c r="G574" s="9"/>
      <c r="H574" s="9"/>
      <c r="I574" s="9"/>
      <c r="J574" s="9"/>
      <c r="K574" s="9"/>
      <c r="L574" s="9"/>
      <c r="O574" s="9"/>
      <c r="P574" s="9"/>
      <c r="Q574" s="9"/>
      <c r="R574" s="9"/>
      <c r="S574" s="9"/>
      <c r="T574" s="9"/>
    </row>
    <row r="575" spans="3:20">
      <c r="C575" s="9"/>
      <c r="D575" s="9"/>
      <c r="E575" s="9"/>
      <c r="F575" s="10"/>
      <c r="G575" s="9"/>
      <c r="H575" s="9"/>
      <c r="I575" s="9"/>
      <c r="J575" s="9"/>
      <c r="K575" s="9"/>
      <c r="L575" s="9"/>
      <c r="O575" s="9"/>
      <c r="P575" s="9"/>
      <c r="Q575" s="9"/>
      <c r="R575" s="9"/>
      <c r="S575" s="9"/>
      <c r="T575" s="9"/>
    </row>
    <row r="576" spans="3:20">
      <c r="C576" s="9"/>
      <c r="D576" s="9"/>
      <c r="E576" s="9"/>
      <c r="F576" s="10"/>
      <c r="G576" s="9"/>
      <c r="H576" s="9"/>
      <c r="I576" s="9"/>
      <c r="J576" s="9"/>
      <c r="K576" s="9"/>
      <c r="L576" s="9"/>
      <c r="O576" s="9"/>
      <c r="P576" s="9"/>
      <c r="Q576" s="9"/>
      <c r="R576" s="9"/>
      <c r="S576" s="9"/>
      <c r="T576" s="9"/>
    </row>
    <row r="577" spans="3:20">
      <c r="C577" s="9"/>
      <c r="D577" s="9"/>
      <c r="E577" s="9"/>
      <c r="F577" s="10"/>
      <c r="G577" s="9"/>
      <c r="H577" s="9"/>
      <c r="I577" s="9"/>
      <c r="J577" s="9"/>
      <c r="K577" s="9"/>
      <c r="L577" s="9"/>
      <c r="O577" s="9"/>
      <c r="P577" s="9"/>
      <c r="Q577" s="9"/>
      <c r="R577" s="9"/>
      <c r="S577" s="9"/>
      <c r="T577" s="9"/>
    </row>
    <row r="578" spans="3:20">
      <c r="C578" s="9"/>
      <c r="D578" s="9"/>
      <c r="E578" s="9"/>
      <c r="F578" s="10"/>
      <c r="G578" s="9"/>
      <c r="H578" s="9"/>
      <c r="I578" s="9"/>
      <c r="J578" s="9"/>
      <c r="K578" s="9"/>
      <c r="L578" s="9"/>
      <c r="O578" s="9"/>
      <c r="P578" s="9"/>
      <c r="Q578" s="9"/>
      <c r="R578" s="9"/>
      <c r="S578" s="9"/>
      <c r="T578" s="9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WVU575"/>
  <sheetViews>
    <sheetView showGridLines="0" zoomScale="85" zoomScaleNormal="85" workbookViewId="0">
      <pane xSplit="1" topLeftCell="B1" activePane="topRight" state="frozen"/>
      <selection activeCell="A96" sqref="A96"/>
      <selection pane="topRight"/>
    </sheetView>
  </sheetViews>
  <sheetFormatPr defaultRowHeight="15"/>
  <cols>
    <col min="1" max="1" width="42.42578125" style="2" customWidth="1"/>
    <col min="2" max="2" width="3.7109375" style="2" customWidth="1"/>
    <col min="3" max="3" width="10.7109375" style="2" customWidth="1"/>
    <col min="4" max="4" width="9.28515625" style="2" customWidth="1"/>
    <col min="5" max="5" width="11" style="2" customWidth="1"/>
    <col min="6" max="17" width="10.42578125" style="2" customWidth="1"/>
    <col min="18" max="20" width="9.140625" style="2"/>
    <col min="244" max="244" width="42.42578125" customWidth="1"/>
    <col min="245" max="245" width="3.7109375" customWidth="1"/>
    <col min="246" max="246" width="12.28515625" customWidth="1"/>
    <col min="247" max="247" width="10.7109375" customWidth="1"/>
    <col min="248" max="248" width="10.28515625" customWidth="1"/>
    <col min="249" max="250" width="10" customWidth="1"/>
    <col min="251" max="251" width="9" customWidth="1"/>
    <col min="252" max="252" width="9.28515625" customWidth="1"/>
    <col min="253" max="255" width="9" customWidth="1"/>
    <col min="256" max="256" width="10.7109375" customWidth="1"/>
    <col min="257" max="261" width="11" customWidth="1"/>
    <col min="262" max="262" width="9.42578125" customWidth="1"/>
    <col min="263" max="267" width="9.42578125" bestFit="1" customWidth="1"/>
    <col min="269" max="269" width="9.28515625" bestFit="1" customWidth="1"/>
    <col min="500" max="500" width="42.42578125" customWidth="1"/>
    <col min="501" max="501" width="3.7109375" customWidth="1"/>
    <col min="502" max="502" width="12.28515625" customWidth="1"/>
    <col min="503" max="503" width="10.7109375" customWidth="1"/>
    <col min="504" max="504" width="10.28515625" customWidth="1"/>
    <col min="505" max="506" width="10" customWidth="1"/>
    <col min="507" max="507" width="9" customWidth="1"/>
    <col min="508" max="508" width="9.28515625" customWidth="1"/>
    <col min="509" max="511" width="9" customWidth="1"/>
    <col min="512" max="512" width="10.7109375" customWidth="1"/>
    <col min="513" max="517" width="11" customWidth="1"/>
    <col min="518" max="518" width="9.42578125" customWidth="1"/>
    <col min="519" max="523" width="9.42578125" bestFit="1" customWidth="1"/>
    <col min="525" max="525" width="9.28515625" bestFit="1" customWidth="1"/>
    <col min="756" max="756" width="42.42578125" customWidth="1"/>
    <col min="757" max="757" width="3.7109375" customWidth="1"/>
    <col min="758" max="758" width="12.28515625" customWidth="1"/>
    <col min="759" max="759" width="10.7109375" customWidth="1"/>
    <col min="760" max="760" width="10.28515625" customWidth="1"/>
    <col min="761" max="762" width="10" customWidth="1"/>
    <col min="763" max="763" width="9" customWidth="1"/>
    <col min="764" max="764" width="9.28515625" customWidth="1"/>
    <col min="765" max="767" width="9" customWidth="1"/>
    <col min="768" max="768" width="10.7109375" customWidth="1"/>
    <col min="769" max="773" width="11" customWidth="1"/>
    <col min="774" max="774" width="9.42578125" customWidth="1"/>
    <col min="775" max="779" width="9.42578125" bestFit="1" customWidth="1"/>
    <col min="781" max="781" width="9.28515625" bestFit="1" customWidth="1"/>
    <col min="1012" max="1012" width="42.42578125" customWidth="1"/>
    <col min="1013" max="1013" width="3.7109375" customWidth="1"/>
    <col min="1014" max="1014" width="12.28515625" customWidth="1"/>
    <col min="1015" max="1015" width="10.7109375" customWidth="1"/>
    <col min="1016" max="1016" width="10.28515625" customWidth="1"/>
    <col min="1017" max="1018" width="10" customWidth="1"/>
    <col min="1019" max="1019" width="9" customWidth="1"/>
    <col min="1020" max="1020" width="9.28515625" customWidth="1"/>
    <col min="1021" max="1023" width="9" customWidth="1"/>
    <col min="1024" max="1024" width="10.7109375" customWidth="1"/>
    <col min="1025" max="1029" width="11" customWidth="1"/>
    <col min="1030" max="1030" width="9.42578125" customWidth="1"/>
    <col min="1031" max="1035" width="9.42578125" bestFit="1" customWidth="1"/>
    <col min="1037" max="1037" width="9.28515625" bestFit="1" customWidth="1"/>
    <col min="1268" max="1268" width="42.42578125" customWidth="1"/>
    <col min="1269" max="1269" width="3.7109375" customWidth="1"/>
    <col min="1270" max="1270" width="12.28515625" customWidth="1"/>
    <col min="1271" max="1271" width="10.7109375" customWidth="1"/>
    <col min="1272" max="1272" width="10.28515625" customWidth="1"/>
    <col min="1273" max="1274" width="10" customWidth="1"/>
    <col min="1275" max="1275" width="9" customWidth="1"/>
    <col min="1276" max="1276" width="9.28515625" customWidth="1"/>
    <col min="1277" max="1279" width="9" customWidth="1"/>
    <col min="1280" max="1280" width="10.7109375" customWidth="1"/>
    <col min="1281" max="1285" width="11" customWidth="1"/>
    <col min="1286" max="1286" width="9.42578125" customWidth="1"/>
    <col min="1287" max="1291" width="9.42578125" bestFit="1" customWidth="1"/>
    <col min="1293" max="1293" width="9.28515625" bestFit="1" customWidth="1"/>
    <col min="1524" max="1524" width="42.42578125" customWidth="1"/>
    <col min="1525" max="1525" width="3.7109375" customWidth="1"/>
    <col min="1526" max="1526" width="12.28515625" customWidth="1"/>
    <col min="1527" max="1527" width="10.7109375" customWidth="1"/>
    <col min="1528" max="1528" width="10.28515625" customWidth="1"/>
    <col min="1529" max="1530" width="10" customWidth="1"/>
    <col min="1531" max="1531" width="9" customWidth="1"/>
    <col min="1532" max="1532" width="9.28515625" customWidth="1"/>
    <col min="1533" max="1535" width="9" customWidth="1"/>
    <col min="1536" max="1536" width="10.7109375" customWidth="1"/>
    <col min="1537" max="1541" width="11" customWidth="1"/>
    <col min="1542" max="1542" width="9.42578125" customWidth="1"/>
    <col min="1543" max="1547" width="9.42578125" bestFit="1" customWidth="1"/>
    <col min="1549" max="1549" width="9.28515625" bestFit="1" customWidth="1"/>
    <col min="1780" max="1780" width="42.42578125" customWidth="1"/>
    <col min="1781" max="1781" width="3.7109375" customWidth="1"/>
    <col min="1782" max="1782" width="12.28515625" customWidth="1"/>
    <col min="1783" max="1783" width="10.7109375" customWidth="1"/>
    <col min="1784" max="1784" width="10.28515625" customWidth="1"/>
    <col min="1785" max="1786" width="10" customWidth="1"/>
    <col min="1787" max="1787" width="9" customWidth="1"/>
    <col min="1788" max="1788" width="9.28515625" customWidth="1"/>
    <col min="1789" max="1791" width="9" customWidth="1"/>
    <col min="1792" max="1792" width="10.7109375" customWidth="1"/>
    <col min="1793" max="1797" width="11" customWidth="1"/>
    <col min="1798" max="1798" width="9.42578125" customWidth="1"/>
    <col min="1799" max="1803" width="9.42578125" bestFit="1" customWidth="1"/>
    <col min="1805" max="1805" width="9.28515625" bestFit="1" customWidth="1"/>
    <col min="2036" max="2036" width="42.42578125" customWidth="1"/>
    <col min="2037" max="2037" width="3.7109375" customWidth="1"/>
    <col min="2038" max="2038" width="12.28515625" customWidth="1"/>
    <col min="2039" max="2039" width="10.7109375" customWidth="1"/>
    <col min="2040" max="2040" width="10.28515625" customWidth="1"/>
    <col min="2041" max="2042" width="10" customWidth="1"/>
    <col min="2043" max="2043" width="9" customWidth="1"/>
    <col min="2044" max="2044" width="9.28515625" customWidth="1"/>
    <col min="2045" max="2047" width="9" customWidth="1"/>
    <col min="2048" max="2048" width="10.7109375" customWidth="1"/>
    <col min="2049" max="2053" width="11" customWidth="1"/>
    <col min="2054" max="2054" width="9.42578125" customWidth="1"/>
    <col min="2055" max="2059" width="9.42578125" bestFit="1" customWidth="1"/>
    <col min="2061" max="2061" width="9.28515625" bestFit="1" customWidth="1"/>
    <col min="2292" max="2292" width="42.42578125" customWidth="1"/>
    <col min="2293" max="2293" width="3.7109375" customWidth="1"/>
    <col min="2294" max="2294" width="12.28515625" customWidth="1"/>
    <col min="2295" max="2295" width="10.7109375" customWidth="1"/>
    <col min="2296" max="2296" width="10.28515625" customWidth="1"/>
    <col min="2297" max="2298" width="10" customWidth="1"/>
    <col min="2299" max="2299" width="9" customWidth="1"/>
    <col min="2300" max="2300" width="9.28515625" customWidth="1"/>
    <col min="2301" max="2303" width="9" customWidth="1"/>
    <col min="2304" max="2304" width="10.7109375" customWidth="1"/>
    <col min="2305" max="2309" width="11" customWidth="1"/>
    <col min="2310" max="2310" width="9.42578125" customWidth="1"/>
    <col min="2311" max="2315" width="9.42578125" bestFit="1" customWidth="1"/>
    <col min="2317" max="2317" width="9.28515625" bestFit="1" customWidth="1"/>
    <col min="2548" max="2548" width="42.42578125" customWidth="1"/>
    <col min="2549" max="2549" width="3.7109375" customWidth="1"/>
    <col min="2550" max="2550" width="12.28515625" customWidth="1"/>
    <col min="2551" max="2551" width="10.7109375" customWidth="1"/>
    <col min="2552" max="2552" width="10.28515625" customWidth="1"/>
    <col min="2553" max="2554" width="10" customWidth="1"/>
    <col min="2555" max="2555" width="9" customWidth="1"/>
    <col min="2556" max="2556" width="9.28515625" customWidth="1"/>
    <col min="2557" max="2559" width="9" customWidth="1"/>
    <col min="2560" max="2560" width="10.7109375" customWidth="1"/>
    <col min="2561" max="2565" width="11" customWidth="1"/>
    <col min="2566" max="2566" width="9.42578125" customWidth="1"/>
    <col min="2567" max="2571" width="9.42578125" bestFit="1" customWidth="1"/>
    <col min="2573" max="2573" width="9.28515625" bestFit="1" customWidth="1"/>
    <col min="2804" max="2804" width="42.42578125" customWidth="1"/>
    <col min="2805" max="2805" width="3.7109375" customWidth="1"/>
    <col min="2806" max="2806" width="12.28515625" customWidth="1"/>
    <col min="2807" max="2807" width="10.7109375" customWidth="1"/>
    <col min="2808" max="2808" width="10.28515625" customWidth="1"/>
    <col min="2809" max="2810" width="10" customWidth="1"/>
    <col min="2811" max="2811" width="9" customWidth="1"/>
    <col min="2812" max="2812" width="9.28515625" customWidth="1"/>
    <col min="2813" max="2815" width="9" customWidth="1"/>
    <col min="2816" max="2816" width="10.7109375" customWidth="1"/>
    <col min="2817" max="2821" width="11" customWidth="1"/>
    <col min="2822" max="2822" width="9.42578125" customWidth="1"/>
    <col min="2823" max="2827" width="9.42578125" bestFit="1" customWidth="1"/>
    <col min="2829" max="2829" width="9.28515625" bestFit="1" customWidth="1"/>
    <col min="3060" max="3060" width="42.42578125" customWidth="1"/>
    <col min="3061" max="3061" width="3.7109375" customWidth="1"/>
    <col min="3062" max="3062" width="12.28515625" customWidth="1"/>
    <col min="3063" max="3063" width="10.7109375" customWidth="1"/>
    <col min="3064" max="3064" width="10.28515625" customWidth="1"/>
    <col min="3065" max="3066" width="10" customWidth="1"/>
    <col min="3067" max="3067" width="9" customWidth="1"/>
    <col min="3068" max="3068" width="9.28515625" customWidth="1"/>
    <col min="3069" max="3071" width="9" customWidth="1"/>
    <col min="3072" max="3072" width="10.7109375" customWidth="1"/>
    <col min="3073" max="3077" width="11" customWidth="1"/>
    <col min="3078" max="3078" width="9.42578125" customWidth="1"/>
    <col min="3079" max="3083" width="9.42578125" bestFit="1" customWidth="1"/>
    <col min="3085" max="3085" width="9.28515625" bestFit="1" customWidth="1"/>
    <col min="3316" max="3316" width="42.42578125" customWidth="1"/>
    <col min="3317" max="3317" width="3.7109375" customWidth="1"/>
    <col min="3318" max="3318" width="12.28515625" customWidth="1"/>
    <col min="3319" max="3319" width="10.7109375" customWidth="1"/>
    <col min="3320" max="3320" width="10.28515625" customWidth="1"/>
    <col min="3321" max="3322" width="10" customWidth="1"/>
    <col min="3323" max="3323" width="9" customWidth="1"/>
    <col min="3324" max="3324" width="9.28515625" customWidth="1"/>
    <col min="3325" max="3327" width="9" customWidth="1"/>
    <col min="3328" max="3328" width="10.7109375" customWidth="1"/>
    <col min="3329" max="3333" width="11" customWidth="1"/>
    <col min="3334" max="3334" width="9.42578125" customWidth="1"/>
    <col min="3335" max="3339" width="9.42578125" bestFit="1" customWidth="1"/>
    <col min="3341" max="3341" width="9.28515625" bestFit="1" customWidth="1"/>
    <col min="3572" max="3572" width="42.42578125" customWidth="1"/>
    <col min="3573" max="3573" width="3.7109375" customWidth="1"/>
    <col min="3574" max="3574" width="12.28515625" customWidth="1"/>
    <col min="3575" max="3575" width="10.7109375" customWidth="1"/>
    <col min="3576" max="3576" width="10.28515625" customWidth="1"/>
    <col min="3577" max="3578" width="10" customWidth="1"/>
    <col min="3579" max="3579" width="9" customWidth="1"/>
    <col min="3580" max="3580" width="9.28515625" customWidth="1"/>
    <col min="3581" max="3583" width="9" customWidth="1"/>
    <col min="3584" max="3584" width="10.7109375" customWidth="1"/>
    <col min="3585" max="3589" width="11" customWidth="1"/>
    <col min="3590" max="3590" width="9.42578125" customWidth="1"/>
    <col min="3591" max="3595" width="9.42578125" bestFit="1" customWidth="1"/>
    <col min="3597" max="3597" width="9.28515625" bestFit="1" customWidth="1"/>
    <col min="3828" max="3828" width="42.42578125" customWidth="1"/>
    <col min="3829" max="3829" width="3.7109375" customWidth="1"/>
    <col min="3830" max="3830" width="12.28515625" customWidth="1"/>
    <col min="3831" max="3831" width="10.7109375" customWidth="1"/>
    <col min="3832" max="3832" width="10.28515625" customWidth="1"/>
    <col min="3833" max="3834" width="10" customWidth="1"/>
    <col min="3835" max="3835" width="9" customWidth="1"/>
    <col min="3836" max="3836" width="9.28515625" customWidth="1"/>
    <col min="3837" max="3839" width="9" customWidth="1"/>
    <col min="3840" max="3840" width="10.7109375" customWidth="1"/>
    <col min="3841" max="3845" width="11" customWidth="1"/>
    <col min="3846" max="3846" width="9.42578125" customWidth="1"/>
    <col min="3847" max="3851" width="9.42578125" bestFit="1" customWidth="1"/>
    <col min="3853" max="3853" width="9.28515625" bestFit="1" customWidth="1"/>
    <col min="4084" max="4084" width="42.42578125" customWidth="1"/>
    <col min="4085" max="4085" width="3.7109375" customWidth="1"/>
    <col min="4086" max="4086" width="12.28515625" customWidth="1"/>
    <col min="4087" max="4087" width="10.7109375" customWidth="1"/>
    <col min="4088" max="4088" width="10.28515625" customWidth="1"/>
    <col min="4089" max="4090" width="10" customWidth="1"/>
    <col min="4091" max="4091" width="9" customWidth="1"/>
    <col min="4092" max="4092" width="9.28515625" customWidth="1"/>
    <col min="4093" max="4095" width="9" customWidth="1"/>
    <col min="4096" max="4096" width="10.7109375" customWidth="1"/>
    <col min="4097" max="4101" width="11" customWidth="1"/>
    <col min="4102" max="4102" width="9.42578125" customWidth="1"/>
    <col min="4103" max="4107" width="9.42578125" bestFit="1" customWidth="1"/>
    <col min="4109" max="4109" width="9.28515625" bestFit="1" customWidth="1"/>
    <col min="4340" max="4340" width="42.42578125" customWidth="1"/>
    <col min="4341" max="4341" width="3.7109375" customWidth="1"/>
    <col min="4342" max="4342" width="12.28515625" customWidth="1"/>
    <col min="4343" max="4343" width="10.7109375" customWidth="1"/>
    <col min="4344" max="4344" width="10.28515625" customWidth="1"/>
    <col min="4345" max="4346" width="10" customWidth="1"/>
    <col min="4347" max="4347" width="9" customWidth="1"/>
    <col min="4348" max="4348" width="9.28515625" customWidth="1"/>
    <col min="4349" max="4351" width="9" customWidth="1"/>
    <col min="4352" max="4352" width="10.7109375" customWidth="1"/>
    <col min="4353" max="4357" width="11" customWidth="1"/>
    <col min="4358" max="4358" width="9.42578125" customWidth="1"/>
    <col min="4359" max="4363" width="9.42578125" bestFit="1" customWidth="1"/>
    <col min="4365" max="4365" width="9.28515625" bestFit="1" customWidth="1"/>
    <col min="4596" max="4596" width="42.42578125" customWidth="1"/>
    <col min="4597" max="4597" width="3.7109375" customWidth="1"/>
    <col min="4598" max="4598" width="12.28515625" customWidth="1"/>
    <col min="4599" max="4599" width="10.7109375" customWidth="1"/>
    <col min="4600" max="4600" width="10.28515625" customWidth="1"/>
    <col min="4601" max="4602" width="10" customWidth="1"/>
    <col min="4603" max="4603" width="9" customWidth="1"/>
    <col min="4604" max="4604" width="9.28515625" customWidth="1"/>
    <col min="4605" max="4607" width="9" customWidth="1"/>
    <col min="4608" max="4608" width="10.7109375" customWidth="1"/>
    <col min="4609" max="4613" width="11" customWidth="1"/>
    <col min="4614" max="4614" width="9.42578125" customWidth="1"/>
    <col min="4615" max="4619" width="9.42578125" bestFit="1" customWidth="1"/>
    <col min="4621" max="4621" width="9.28515625" bestFit="1" customWidth="1"/>
    <col min="4852" max="4852" width="42.42578125" customWidth="1"/>
    <col min="4853" max="4853" width="3.7109375" customWidth="1"/>
    <col min="4854" max="4854" width="12.28515625" customWidth="1"/>
    <col min="4855" max="4855" width="10.7109375" customWidth="1"/>
    <col min="4856" max="4856" width="10.28515625" customWidth="1"/>
    <col min="4857" max="4858" width="10" customWidth="1"/>
    <col min="4859" max="4859" width="9" customWidth="1"/>
    <col min="4860" max="4860" width="9.28515625" customWidth="1"/>
    <col min="4861" max="4863" width="9" customWidth="1"/>
    <col min="4864" max="4864" width="10.7109375" customWidth="1"/>
    <col min="4865" max="4869" width="11" customWidth="1"/>
    <col min="4870" max="4870" width="9.42578125" customWidth="1"/>
    <col min="4871" max="4875" width="9.42578125" bestFit="1" customWidth="1"/>
    <col min="4877" max="4877" width="9.28515625" bestFit="1" customWidth="1"/>
    <col min="5108" max="5108" width="42.42578125" customWidth="1"/>
    <col min="5109" max="5109" width="3.7109375" customWidth="1"/>
    <col min="5110" max="5110" width="12.28515625" customWidth="1"/>
    <col min="5111" max="5111" width="10.7109375" customWidth="1"/>
    <col min="5112" max="5112" width="10.28515625" customWidth="1"/>
    <col min="5113" max="5114" width="10" customWidth="1"/>
    <col min="5115" max="5115" width="9" customWidth="1"/>
    <col min="5116" max="5116" width="9.28515625" customWidth="1"/>
    <col min="5117" max="5119" width="9" customWidth="1"/>
    <col min="5120" max="5120" width="10.7109375" customWidth="1"/>
    <col min="5121" max="5125" width="11" customWidth="1"/>
    <col min="5126" max="5126" width="9.42578125" customWidth="1"/>
    <col min="5127" max="5131" width="9.42578125" bestFit="1" customWidth="1"/>
    <col min="5133" max="5133" width="9.28515625" bestFit="1" customWidth="1"/>
    <col min="5364" max="5364" width="42.42578125" customWidth="1"/>
    <col min="5365" max="5365" width="3.7109375" customWidth="1"/>
    <col min="5366" max="5366" width="12.28515625" customWidth="1"/>
    <col min="5367" max="5367" width="10.7109375" customWidth="1"/>
    <col min="5368" max="5368" width="10.28515625" customWidth="1"/>
    <col min="5369" max="5370" width="10" customWidth="1"/>
    <col min="5371" max="5371" width="9" customWidth="1"/>
    <col min="5372" max="5372" width="9.28515625" customWidth="1"/>
    <col min="5373" max="5375" width="9" customWidth="1"/>
    <col min="5376" max="5376" width="10.7109375" customWidth="1"/>
    <col min="5377" max="5381" width="11" customWidth="1"/>
    <col min="5382" max="5382" width="9.42578125" customWidth="1"/>
    <col min="5383" max="5387" width="9.42578125" bestFit="1" customWidth="1"/>
    <col min="5389" max="5389" width="9.28515625" bestFit="1" customWidth="1"/>
    <col min="5620" max="5620" width="42.42578125" customWidth="1"/>
    <col min="5621" max="5621" width="3.7109375" customWidth="1"/>
    <col min="5622" max="5622" width="12.28515625" customWidth="1"/>
    <col min="5623" max="5623" width="10.7109375" customWidth="1"/>
    <col min="5624" max="5624" width="10.28515625" customWidth="1"/>
    <col min="5625" max="5626" width="10" customWidth="1"/>
    <col min="5627" max="5627" width="9" customWidth="1"/>
    <col min="5628" max="5628" width="9.28515625" customWidth="1"/>
    <col min="5629" max="5631" width="9" customWidth="1"/>
    <col min="5632" max="5632" width="10.7109375" customWidth="1"/>
    <col min="5633" max="5637" width="11" customWidth="1"/>
    <col min="5638" max="5638" width="9.42578125" customWidth="1"/>
    <col min="5639" max="5643" width="9.42578125" bestFit="1" customWidth="1"/>
    <col min="5645" max="5645" width="9.28515625" bestFit="1" customWidth="1"/>
    <col min="5876" max="5876" width="42.42578125" customWidth="1"/>
    <col min="5877" max="5877" width="3.7109375" customWidth="1"/>
    <col min="5878" max="5878" width="12.28515625" customWidth="1"/>
    <col min="5879" max="5879" width="10.7109375" customWidth="1"/>
    <col min="5880" max="5880" width="10.28515625" customWidth="1"/>
    <col min="5881" max="5882" width="10" customWidth="1"/>
    <col min="5883" max="5883" width="9" customWidth="1"/>
    <col min="5884" max="5884" width="9.28515625" customWidth="1"/>
    <col min="5885" max="5887" width="9" customWidth="1"/>
    <col min="5888" max="5888" width="10.7109375" customWidth="1"/>
    <col min="5889" max="5893" width="11" customWidth="1"/>
    <col min="5894" max="5894" width="9.42578125" customWidth="1"/>
    <col min="5895" max="5899" width="9.42578125" bestFit="1" customWidth="1"/>
    <col min="5901" max="5901" width="9.28515625" bestFit="1" customWidth="1"/>
    <col min="6132" max="6132" width="42.42578125" customWidth="1"/>
    <col min="6133" max="6133" width="3.7109375" customWidth="1"/>
    <col min="6134" max="6134" width="12.28515625" customWidth="1"/>
    <col min="6135" max="6135" width="10.7109375" customWidth="1"/>
    <col min="6136" max="6136" width="10.28515625" customWidth="1"/>
    <col min="6137" max="6138" width="10" customWidth="1"/>
    <col min="6139" max="6139" width="9" customWidth="1"/>
    <col min="6140" max="6140" width="9.28515625" customWidth="1"/>
    <col min="6141" max="6143" width="9" customWidth="1"/>
    <col min="6144" max="6144" width="10.7109375" customWidth="1"/>
    <col min="6145" max="6149" width="11" customWidth="1"/>
    <col min="6150" max="6150" width="9.42578125" customWidth="1"/>
    <col min="6151" max="6155" width="9.42578125" bestFit="1" customWidth="1"/>
    <col min="6157" max="6157" width="9.28515625" bestFit="1" customWidth="1"/>
    <col min="6388" max="6388" width="42.42578125" customWidth="1"/>
    <col min="6389" max="6389" width="3.7109375" customWidth="1"/>
    <col min="6390" max="6390" width="12.28515625" customWidth="1"/>
    <col min="6391" max="6391" width="10.7109375" customWidth="1"/>
    <col min="6392" max="6392" width="10.28515625" customWidth="1"/>
    <col min="6393" max="6394" width="10" customWidth="1"/>
    <col min="6395" max="6395" width="9" customWidth="1"/>
    <col min="6396" max="6396" width="9.28515625" customWidth="1"/>
    <col min="6397" max="6399" width="9" customWidth="1"/>
    <col min="6400" max="6400" width="10.7109375" customWidth="1"/>
    <col min="6401" max="6405" width="11" customWidth="1"/>
    <col min="6406" max="6406" width="9.42578125" customWidth="1"/>
    <col min="6407" max="6411" width="9.42578125" bestFit="1" customWidth="1"/>
    <col min="6413" max="6413" width="9.28515625" bestFit="1" customWidth="1"/>
    <col min="6644" max="6644" width="42.42578125" customWidth="1"/>
    <col min="6645" max="6645" width="3.7109375" customWidth="1"/>
    <col min="6646" max="6646" width="12.28515625" customWidth="1"/>
    <col min="6647" max="6647" width="10.7109375" customWidth="1"/>
    <col min="6648" max="6648" width="10.28515625" customWidth="1"/>
    <col min="6649" max="6650" width="10" customWidth="1"/>
    <col min="6651" max="6651" width="9" customWidth="1"/>
    <col min="6652" max="6652" width="9.28515625" customWidth="1"/>
    <col min="6653" max="6655" width="9" customWidth="1"/>
    <col min="6656" max="6656" width="10.7109375" customWidth="1"/>
    <col min="6657" max="6661" width="11" customWidth="1"/>
    <col min="6662" max="6662" width="9.42578125" customWidth="1"/>
    <col min="6663" max="6667" width="9.42578125" bestFit="1" customWidth="1"/>
    <col min="6669" max="6669" width="9.28515625" bestFit="1" customWidth="1"/>
    <col min="6900" max="6900" width="42.42578125" customWidth="1"/>
    <col min="6901" max="6901" width="3.7109375" customWidth="1"/>
    <col min="6902" max="6902" width="12.28515625" customWidth="1"/>
    <col min="6903" max="6903" width="10.7109375" customWidth="1"/>
    <col min="6904" max="6904" width="10.28515625" customWidth="1"/>
    <col min="6905" max="6906" width="10" customWidth="1"/>
    <col min="6907" max="6907" width="9" customWidth="1"/>
    <col min="6908" max="6908" width="9.28515625" customWidth="1"/>
    <col min="6909" max="6911" width="9" customWidth="1"/>
    <col min="6912" max="6912" width="10.7109375" customWidth="1"/>
    <col min="6913" max="6917" width="11" customWidth="1"/>
    <col min="6918" max="6918" width="9.42578125" customWidth="1"/>
    <col min="6919" max="6923" width="9.42578125" bestFit="1" customWidth="1"/>
    <col min="6925" max="6925" width="9.28515625" bestFit="1" customWidth="1"/>
    <col min="7156" max="7156" width="42.42578125" customWidth="1"/>
    <col min="7157" max="7157" width="3.7109375" customWidth="1"/>
    <col min="7158" max="7158" width="12.28515625" customWidth="1"/>
    <col min="7159" max="7159" width="10.7109375" customWidth="1"/>
    <col min="7160" max="7160" width="10.28515625" customWidth="1"/>
    <col min="7161" max="7162" width="10" customWidth="1"/>
    <col min="7163" max="7163" width="9" customWidth="1"/>
    <col min="7164" max="7164" width="9.28515625" customWidth="1"/>
    <col min="7165" max="7167" width="9" customWidth="1"/>
    <col min="7168" max="7168" width="10.7109375" customWidth="1"/>
    <col min="7169" max="7173" width="11" customWidth="1"/>
    <col min="7174" max="7174" width="9.42578125" customWidth="1"/>
    <col min="7175" max="7179" width="9.42578125" bestFit="1" customWidth="1"/>
    <col min="7181" max="7181" width="9.28515625" bestFit="1" customWidth="1"/>
    <col min="7412" max="7412" width="42.42578125" customWidth="1"/>
    <col min="7413" max="7413" width="3.7109375" customWidth="1"/>
    <col min="7414" max="7414" width="12.28515625" customWidth="1"/>
    <col min="7415" max="7415" width="10.7109375" customWidth="1"/>
    <col min="7416" max="7416" width="10.28515625" customWidth="1"/>
    <col min="7417" max="7418" width="10" customWidth="1"/>
    <col min="7419" max="7419" width="9" customWidth="1"/>
    <col min="7420" max="7420" width="9.28515625" customWidth="1"/>
    <col min="7421" max="7423" width="9" customWidth="1"/>
    <col min="7424" max="7424" width="10.7109375" customWidth="1"/>
    <col min="7425" max="7429" width="11" customWidth="1"/>
    <col min="7430" max="7430" width="9.42578125" customWidth="1"/>
    <col min="7431" max="7435" width="9.42578125" bestFit="1" customWidth="1"/>
    <col min="7437" max="7437" width="9.28515625" bestFit="1" customWidth="1"/>
    <col min="7668" max="7668" width="42.42578125" customWidth="1"/>
    <col min="7669" max="7669" width="3.7109375" customWidth="1"/>
    <col min="7670" max="7670" width="12.28515625" customWidth="1"/>
    <col min="7671" max="7671" width="10.7109375" customWidth="1"/>
    <col min="7672" max="7672" width="10.28515625" customWidth="1"/>
    <col min="7673" max="7674" width="10" customWidth="1"/>
    <col min="7675" max="7675" width="9" customWidth="1"/>
    <col min="7676" max="7676" width="9.28515625" customWidth="1"/>
    <col min="7677" max="7679" width="9" customWidth="1"/>
    <col min="7680" max="7680" width="10.7109375" customWidth="1"/>
    <col min="7681" max="7685" width="11" customWidth="1"/>
    <col min="7686" max="7686" width="9.42578125" customWidth="1"/>
    <col min="7687" max="7691" width="9.42578125" bestFit="1" customWidth="1"/>
    <col min="7693" max="7693" width="9.28515625" bestFit="1" customWidth="1"/>
    <col min="7924" max="7924" width="42.42578125" customWidth="1"/>
    <col min="7925" max="7925" width="3.7109375" customWidth="1"/>
    <col min="7926" max="7926" width="12.28515625" customWidth="1"/>
    <col min="7927" max="7927" width="10.7109375" customWidth="1"/>
    <col min="7928" max="7928" width="10.28515625" customWidth="1"/>
    <col min="7929" max="7930" width="10" customWidth="1"/>
    <col min="7931" max="7931" width="9" customWidth="1"/>
    <col min="7932" max="7932" width="9.28515625" customWidth="1"/>
    <col min="7933" max="7935" width="9" customWidth="1"/>
    <col min="7936" max="7936" width="10.7109375" customWidth="1"/>
    <col min="7937" max="7941" width="11" customWidth="1"/>
    <col min="7942" max="7942" width="9.42578125" customWidth="1"/>
    <col min="7943" max="7947" width="9.42578125" bestFit="1" customWidth="1"/>
    <col min="7949" max="7949" width="9.28515625" bestFit="1" customWidth="1"/>
    <col min="8180" max="8180" width="42.42578125" customWidth="1"/>
    <col min="8181" max="8181" width="3.7109375" customWidth="1"/>
    <col min="8182" max="8182" width="12.28515625" customWidth="1"/>
    <col min="8183" max="8183" width="10.7109375" customWidth="1"/>
    <col min="8184" max="8184" width="10.28515625" customWidth="1"/>
    <col min="8185" max="8186" width="10" customWidth="1"/>
    <col min="8187" max="8187" width="9" customWidth="1"/>
    <col min="8188" max="8188" width="9.28515625" customWidth="1"/>
    <col min="8189" max="8191" width="9" customWidth="1"/>
    <col min="8192" max="8192" width="10.7109375" customWidth="1"/>
    <col min="8193" max="8197" width="11" customWidth="1"/>
    <col min="8198" max="8198" width="9.42578125" customWidth="1"/>
    <col min="8199" max="8203" width="9.42578125" bestFit="1" customWidth="1"/>
    <col min="8205" max="8205" width="9.28515625" bestFit="1" customWidth="1"/>
    <col min="8436" max="8436" width="42.42578125" customWidth="1"/>
    <col min="8437" max="8437" width="3.7109375" customWidth="1"/>
    <col min="8438" max="8438" width="12.28515625" customWidth="1"/>
    <col min="8439" max="8439" width="10.7109375" customWidth="1"/>
    <col min="8440" max="8440" width="10.28515625" customWidth="1"/>
    <col min="8441" max="8442" width="10" customWidth="1"/>
    <col min="8443" max="8443" width="9" customWidth="1"/>
    <col min="8444" max="8444" width="9.28515625" customWidth="1"/>
    <col min="8445" max="8447" width="9" customWidth="1"/>
    <col min="8448" max="8448" width="10.7109375" customWidth="1"/>
    <col min="8449" max="8453" width="11" customWidth="1"/>
    <col min="8454" max="8454" width="9.42578125" customWidth="1"/>
    <col min="8455" max="8459" width="9.42578125" bestFit="1" customWidth="1"/>
    <col min="8461" max="8461" width="9.28515625" bestFit="1" customWidth="1"/>
    <col min="8692" max="8692" width="42.42578125" customWidth="1"/>
    <col min="8693" max="8693" width="3.7109375" customWidth="1"/>
    <col min="8694" max="8694" width="12.28515625" customWidth="1"/>
    <col min="8695" max="8695" width="10.7109375" customWidth="1"/>
    <col min="8696" max="8696" width="10.28515625" customWidth="1"/>
    <col min="8697" max="8698" width="10" customWidth="1"/>
    <col min="8699" max="8699" width="9" customWidth="1"/>
    <col min="8700" max="8700" width="9.28515625" customWidth="1"/>
    <col min="8701" max="8703" width="9" customWidth="1"/>
    <col min="8704" max="8704" width="10.7109375" customWidth="1"/>
    <col min="8705" max="8709" width="11" customWidth="1"/>
    <col min="8710" max="8710" width="9.42578125" customWidth="1"/>
    <col min="8711" max="8715" width="9.42578125" bestFit="1" customWidth="1"/>
    <col min="8717" max="8717" width="9.28515625" bestFit="1" customWidth="1"/>
    <col min="8948" max="8948" width="42.42578125" customWidth="1"/>
    <col min="8949" max="8949" width="3.7109375" customWidth="1"/>
    <col min="8950" max="8950" width="12.28515625" customWidth="1"/>
    <col min="8951" max="8951" width="10.7109375" customWidth="1"/>
    <col min="8952" max="8952" width="10.28515625" customWidth="1"/>
    <col min="8953" max="8954" width="10" customWidth="1"/>
    <col min="8955" max="8955" width="9" customWidth="1"/>
    <col min="8956" max="8956" width="9.28515625" customWidth="1"/>
    <col min="8957" max="8959" width="9" customWidth="1"/>
    <col min="8960" max="8960" width="10.7109375" customWidth="1"/>
    <col min="8961" max="8965" width="11" customWidth="1"/>
    <col min="8966" max="8966" width="9.42578125" customWidth="1"/>
    <col min="8967" max="8971" width="9.42578125" bestFit="1" customWidth="1"/>
    <col min="8973" max="8973" width="9.28515625" bestFit="1" customWidth="1"/>
    <col min="9204" max="9204" width="42.42578125" customWidth="1"/>
    <col min="9205" max="9205" width="3.7109375" customWidth="1"/>
    <col min="9206" max="9206" width="12.28515625" customWidth="1"/>
    <col min="9207" max="9207" width="10.7109375" customWidth="1"/>
    <col min="9208" max="9208" width="10.28515625" customWidth="1"/>
    <col min="9209" max="9210" width="10" customWidth="1"/>
    <col min="9211" max="9211" width="9" customWidth="1"/>
    <col min="9212" max="9212" width="9.28515625" customWidth="1"/>
    <col min="9213" max="9215" width="9" customWidth="1"/>
    <col min="9216" max="9216" width="10.7109375" customWidth="1"/>
    <col min="9217" max="9221" width="11" customWidth="1"/>
    <col min="9222" max="9222" width="9.42578125" customWidth="1"/>
    <col min="9223" max="9227" width="9.42578125" bestFit="1" customWidth="1"/>
    <col min="9229" max="9229" width="9.28515625" bestFit="1" customWidth="1"/>
    <col min="9460" max="9460" width="42.42578125" customWidth="1"/>
    <col min="9461" max="9461" width="3.7109375" customWidth="1"/>
    <col min="9462" max="9462" width="12.28515625" customWidth="1"/>
    <col min="9463" max="9463" width="10.7109375" customWidth="1"/>
    <col min="9464" max="9464" width="10.28515625" customWidth="1"/>
    <col min="9465" max="9466" width="10" customWidth="1"/>
    <col min="9467" max="9467" width="9" customWidth="1"/>
    <col min="9468" max="9468" width="9.28515625" customWidth="1"/>
    <col min="9469" max="9471" width="9" customWidth="1"/>
    <col min="9472" max="9472" width="10.7109375" customWidth="1"/>
    <col min="9473" max="9477" width="11" customWidth="1"/>
    <col min="9478" max="9478" width="9.42578125" customWidth="1"/>
    <col min="9479" max="9483" width="9.42578125" bestFit="1" customWidth="1"/>
    <col min="9485" max="9485" width="9.28515625" bestFit="1" customWidth="1"/>
    <col min="9716" max="9716" width="42.42578125" customWidth="1"/>
    <col min="9717" max="9717" width="3.7109375" customWidth="1"/>
    <col min="9718" max="9718" width="12.28515625" customWidth="1"/>
    <col min="9719" max="9719" width="10.7109375" customWidth="1"/>
    <col min="9720" max="9720" width="10.28515625" customWidth="1"/>
    <col min="9721" max="9722" width="10" customWidth="1"/>
    <col min="9723" max="9723" width="9" customWidth="1"/>
    <col min="9724" max="9724" width="9.28515625" customWidth="1"/>
    <col min="9725" max="9727" width="9" customWidth="1"/>
    <col min="9728" max="9728" width="10.7109375" customWidth="1"/>
    <col min="9729" max="9733" width="11" customWidth="1"/>
    <col min="9734" max="9734" width="9.42578125" customWidth="1"/>
    <col min="9735" max="9739" width="9.42578125" bestFit="1" customWidth="1"/>
    <col min="9741" max="9741" width="9.28515625" bestFit="1" customWidth="1"/>
    <col min="9972" max="9972" width="42.42578125" customWidth="1"/>
    <col min="9973" max="9973" width="3.7109375" customWidth="1"/>
    <col min="9974" max="9974" width="12.28515625" customWidth="1"/>
    <col min="9975" max="9975" width="10.7109375" customWidth="1"/>
    <col min="9976" max="9976" width="10.28515625" customWidth="1"/>
    <col min="9977" max="9978" width="10" customWidth="1"/>
    <col min="9979" max="9979" width="9" customWidth="1"/>
    <col min="9980" max="9980" width="9.28515625" customWidth="1"/>
    <col min="9981" max="9983" width="9" customWidth="1"/>
    <col min="9984" max="9984" width="10.7109375" customWidth="1"/>
    <col min="9985" max="9989" width="11" customWidth="1"/>
    <col min="9990" max="9990" width="9.42578125" customWidth="1"/>
    <col min="9991" max="9995" width="9.42578125" bestFit="1" customWidth="1"/>
    <col min="9997" max="9997" width="9.28515625" bestFit="1" customWidth="1"/>
    <col min="10228" max="10228" width="42.42578125" customWidth="1"/>
    <col min="10229" max="10229" width="3.7109375" customWidth="1"/>
    <col min="10230" max="10230" width="12.28515625" customWidth="1"/>
    <col min="10231" max="10231" width="10.7109375" customWidth="1"/>
    <col min="10232" max="10232" width="10.28515625" customWidth="1"/>
    <col min="10233" max="10234" width="10" customWidth="1"/>
    <col min="10235" max="10235" width="9" customWidth="1"/>
    <col min="10236" max="10236" width="9.28515625" customWidth="1"/>
    <col min="10237" max="10239" width="9" customWidth="1"/>
    <col min="10240" max="10240" width="10.7109375" customWidth="1"/>
    <col min="10241" max="10245" width="11" customWidth="1"/>
    <col min="10246" max="10246" width="9.42578125" customWidth="1"/>
    <col min="10247" max="10251" width="9.42578125" bestFit="1" customWidth="1"/>
    <col min="10253" max="10253" width="9.28515625" bestFit="1" customWidth="1"/>
    <col min="10484" max="10484" width="42.42578125" customWidth="1"/>
    <col min="10485" max="10485" width="3.7109375" customWidth="1"/>
    <col min="10486" max="10486" width="12.28515625" customWidth="1"/>
    <col min="10487" max="10487" width="10.7109375" customWidth="1"/>
    <col min="10488" max="10488" width="10.28515625" customWidth="1"/>
    <col min="10489" max="10490" width="10" customWidth="1"/>
    <col min="10491" max="10491" width="9" customWidth="1"/>
    <col min="10492" max="10492" width="9.28515625" customWidth="1"/>
    <col min="10493" max="10495" width="9" customWidth="1"/>
    <col min="10496" max="10496" width="10.7109375" customWidth="1"/>
    <col min="10497" max="10501" width="11" customWidth="1"/>
    <col min="10502" max="10502" width="9.42578125" customWidth="1"/>
    <col min="10503" max="10507" width="9.42578125" bestFit="1" customWidth="1"/>
    <col min="10509" max="10509" width="9.28515625" bestFit="1" customWidth="1"/>
    <col min="10740" max="10740" width="42.42578125" customWidth="1"/>
    <col min="10741" max="10741" width="3.7109375" customWidth="1"/>
    <col min="10742" max="10742" width="12.28515625" customWidth="1"/>
    <col min="10743" max="10743" width="10.7109375" customWidth="1"/>
    <col min="10744" max="10744" width="10.28515625" customWidth="1"/>
    <col min="10745" max="10746" width="10" customWidth="1"/>
    <col min="10747" max="10747" width="9" customWidth="1"/>
    <col min="10748" max="10748" width="9.28515625" customWidth="1"/>
    <col min="10749" max="10751" width="9" customWidth="1"/>
    <col min="10752" max="10752" width="10.7109375" customWidth="1"/>
    <col min="10753" max="10757" width="11" customWidth="1"/>
    <col min="10758" max="10758" width="9.42578125" customWidth="1"/>
    <col min="10759" max="10763" width="9.42578125" bestFit="1" customWidth="1"/>
    <col min="10765" max="10765" width="9.28515625" bestFit="1" customWidth="1"/>
    <col min="10996" max="10996" width="42.42578125" customWidth="1"/>
    <col min="10997" max="10997" width="3.7109375" customWidth="1"/>
    <col min="10998" max="10998" width="12.28515625" customWidth="1"/>
    <col min="10999" max="10999" width="10.7109375" customWidth="1"/>
    <col min="11000" max="11000" width="10.28515625" customWidth="1"/>
    <col min="11001" max="11002" width="10" customWidth="1"/>
    <col min="11003" max="11003" width="9" customWidth="1"/>
    <col min="11004" max="11004" width="9.28515625" customWidth="1"/>
    <col min="11005" max="11007" width="9" customWidth="1"/>
    <col min="11008" max="11008" width="10.7109375" customWidth="1"/>
    <col min="11009" max="11013" width="11" customWidth="1"/>
    <col min="11014" max="11014" width="9.42578125" customWidth="1"/>
    <col min="11015" max="11019" width="9.42578125" bestFit="1" customWidth="1"/>
    <col min="11021" max="11021" width="9.28515625" bestFit="1" customWidth="1"/>
    <col min="11252" max="11252" width="42.42578125" customWidth="1"/>
    <col min="11253" max="11253" width="3.7109375" customWidth="1"/>
    <col min="11254" max="11254" width="12.28515625" customWidth="1"/>
    <col min="11255" max="11255" width="10.7109375" customWidth="1"/>
    <col min="11256" max="11256" width="10.28515625" customWidth="1"/>
    <col min="11257" max="11258" width="10" customWidth="1"/>
    <col min="11259" max="11259" width="9" customWidth="1"/>
    <col min="11260" max="11260" width="9.28515625" customWidth="1"/>
    <col min="11261" max="11263" width="9" customWidth="1"/>
    <col min="11264" max="11264" width="10.7109375" customWidth="1"/>
    <col min="11265" max="11269" width="11" customWidth="1"/>
    <col min="11270" max="11270" width="9.42578125" customWidth="1"/>
    <col min="11271" max="11275" width="9.42578125" bestFit="1" customWidth="1"/>
    <col min="11277" max="11277" width="9.28515625" bestFit="1" customWidth="1"/>
    <col min="11508" max="11508" width="42.42578125" customWidth="1"/>
    <col min="11509" max="11509" width="3.7109375" customWidth="1"/>
    <col min="11510" max="11510" width="12.28515625" customWidth="1"/>
    <col min="11511" max="11511" width="10.7109375" customWidth="1"/>
    <col min="11512" max="11512" width="10.28515625" customWidth="1"/>
    <col min="11513" max="11514" width="10" customWidth="1"/>
    <col min="11515" max="11515" width="9" customWidth="1"/>
    <col min="11516" max="11516" width="9.28515625" customWidth="1"/>
    <col min="11517" max="11519" width="9" customWidth="1"/>
    <col min="11520" max="11520" width="10.7109375" customWidth="1"/>
    <col min="11521" max="11525" width="11" customWidth="1"/>
    <col min="11526" max="11526" width="9.42578125" customWidth="1"/>
    <col min="11527" max="11531" width="9.42578125" bestFit="1" customWidth="1"/>
    <col min="11533" max="11533" width="9.28515625" bestFit="1" customWidth="1"/>
    <col min="11764" max="11764" width="42.42578125" customWidth="1"/>
    <col min="11765" max="11765" width="3.7109375" customWidth="1"/>
    <col min="11766" max="11766" width="12.28515625" customWidth="1"/>
    <col min="11767" max="11767" width="10.7109375" customWidth="1"/>
    <col min="11768" max="11768" width="10.28515625" customWidth="1"/>
    <col min="11769" max="11770" width="10" customWidth="1"/>
    <col min="11771" max="11771" width="9" customWidth="1"/>
    <col min="11772" max="11772" width="9.28515625" customWidth="1"/>
    <col min="11773" max="11775" width="9" customWidth="1"/>
    <col min="11776" max="11776" width="10.7109375" customWidth="1"/>
    <col min="11777" max="11781" width="11" customWidth="1"/>
    <col min="11782" max="11782" width="9.42578125" customWidth="1"/>
    <col min="11783" max="11787" width="9.42578125" bestFit="1" customWidth="1"/>
    <col min="11789" max="11789" width="9.28515625" bestFit="1" customWidth="1"/>
    <col min="12020" max="12020" width="42.42578125" customWidth="1"/>
    <col min="12021" max="12021" width="3.7109375" customWidth="1"/>
    <col min="12022" max="12022" width="12.28515625" customWidth="1"/>
    <col min="12023" max="12023" width="10.7109375" customWidth="1"/>
    <col min="12024" max="12024" width="10.28515625" customWidth="1"/>
    <col min="12025" max="12026" width="10" customWidth="1"/>
    <col min="12027" max="12027" width="9" customWidth="1"/>
    <col min="12028" max="12028" width="9.28515625" customWidth="1"/>
    <col min="12029" max="12031" width="9" customWidth="1"/>
    <col min="12032" max="12032" width="10.7109375" customWidth="1"/>
    <col min="12033" max="12037" width="11" customWidth="1"/>
    <col min="12038" max="12038" width="9.42578125" customWidth="1"/>
    <col min="12039" max="12043" width="9.42578125" bestFit="1" customWidth="1"/>
    <col min="12045" max="12045" width="9.28515625" bestFit="1" customWidth="1"/>
    <col min="12276" max="12276" width="42.42578125" customWidth="1"/>
    <col min="12277" max="12277" width="3.7109375" customWidth="1"/>
    <col min="12278" max="12278" width="12.28515625" customWidth="1"/>
    <col min="12279" max="12279" width="10.7109375" customWidth="1"/>
    <col min="12280" max="12280" width="10.28515625" customWidth="1"/>
    <col min="12281" max="12282" width="10" customWidth="1"/>
    <col min="12283" max="12283" width="9" customWidth="1"/>
    <col min="12284" max="12284" width="9.28515625" customWidth="1"/>
    <col min="12285" max="12287" width="9" customWidth="1"/>
    <col min="12288" max="12288" width="10.7109375" customWidth="1"/>
    <col min="12289" max="12293" width="11" customWidth="1"/>
    <col min="12294" max="12294" width="9.42578125" customWidth="1"/>
    <col min="12295" max="12299" width="9.42578125" bestFit="1" customWidth="1"/>
    <col min="12301" max="12301" width="9.28515625" bestFit="1" customWidth="1"/>
    <col min="12532" max="12532" width="42.42578125" customWidth="1"/>
    <col min="12533" max="12533" width="3.7109375" customWidth="1"/>
    <col min="12534" max="12534" width="12.28515625" customWidth="1"/>
    <col min="12535" max="12535" width="10.7109375" customWidth="1"/>
    <col min="12536" max="12536" width="10.28515625" customWidth="1"/>
    <col min="12537" max="12538" width="10" customWidth="1"/>
    <col min="12539" max="12539" width="9" customWidth="1"/>
    <col min="12540" max="12540" width="9.28515625" customWidth="1"/>
    <col min="12541" max="12543" width="9" customWidth="1"/>
    <col min="12544" max="12544" width="10.7109375" customWidth="1"/>
    <col min="12545" max="12549" width="11" customWidth="1"/>
    <col min="12550" max="12550" width="9.42578125" customWidth="1"/>
    <col min="12551" max="12555" width="9.42578125" bestFit="1" customWidth="1"/>
    <col min="12557" max="12557" width="9.28515625" bestFit="1" customWidth="1"/>
    <col min="12788" max="12788" width="42.42578125" customWidth="1"/>
    <col min="12789" max="12789" width="3.7109375" customWidth="1"/>
    <col min="12790" max="12790" width="12.28515625" customWidth="1"/>
    <col min="12791" max="12791" width="10.7109375" customWidth="1"/>
    <col min="12792" max="12792" width="10.28515625" customWidth="1"/>
    <col min="12793" max="12794" width="10" customWidth="1"/>
    <col min="12795" max="12795" width="9" customWidth="1"/>
    <col min="12796" max="12796" width="9.28515625" customWidth="1"/>
    <col min="12797" max="12799" width="9" customWidth="1"/>
    <col min="12800" max="12800" width="10.7109375" customWidth="1"/>
    <col min="12801" max="12805" width="11" customWidth="1"/>
    <col min="12806" max="12806" width="9.42578125" customWidth="1"/>
    <col min="12807" max="12811" width="9.42578125" bestFit="1" customWidth="1"/>
    <col min="12813" max="12813" width="9.28515625" bestFit="1" customWidth="1"/>
    <col min="13044" max="13044" width="42.42578125" customWidth="1"/>
    <col min="13045" max="13045" width="3.7109375" customWidth="1"/>
    <col min="13046" max="13046" width="12.28515625" customWidth="1"/>
    <col min="13047" max="13047" width="10.7109375" customWidth="1"/>
    <col min="13048" max="13048" width="10.28515625" customWidth="1"/>
    <col min="13049" max="13050" width="10" customWidth="1"/>
    <col min="13051" max="13051" width="9" customWidth="1"/>
    <col min="13052" max="13052" width="9.28515625" customWidth="1"/>
    <col min="13053" max="13055" width="9" customWidth="1"/>
    <col min="13056" max="13056" width="10.7109375" customWidth="1"/>
    <col min="13057" max="13061" width="11" customWidth="1"/>
    <col min="13062" max="13062" width="9.42578125" customWidth="1"/>
    <col min="13063" max="13067" width="9.42578125" bestFit="1" customWidth="1"/>
    <col min="13069" max="13069" width="9.28515625" bestFit="1" customWidth="1"/>
    <col min="13300" max="13300" width="42.42578125" customWidth="1"/>
    <col min="13301" max="13301" width="3.7109375" customWidth="1"/>
    <col min="13302" max="13302" width="12.28515625" customWidth="1"/>
    <col min="13303" max="13303" width="10.7109375" customWidth="1"/>
    <col min="13304" max="13304" width="10.28515625" customWidth="1"/>
    <col min="13305" max="13306" width="10" customWidth="1"/>
    <col min="13307" max="13307" width="9" customWidth="1"/>
    <col min="13308" max="13308" width="9.28515625" customWidth="1"/>
    <col min="13309" max="13311" width="9" customWidth="1"/>
    <col min="13312" max="13312" width="10.7109375" customWidth="1"/>
    <col min="13313" max="13317" width="11" customWidth="1"/>
    <col min="13318" max="13318" width="9.42578125" customWidth="1"/>
    <col min="13319" max="13323" width="9.42578125" bestFit="1" customWidth="1"/>
    <col min="13325" max="13325" width="9.28515625" bestFit="1" customWidth="1"/>
    <col min="13556" max="13556" width="42.42578125" customWidth="1"/>
    <col min="13557" max="13557" width="3.7109375" customWidth="1"/>
    <col min="13558" max="13558" width="12.28515625" customWidth="1"/>
    <col min="13559" max="13559" width="10.7109375" customWidth="1"/>
    <col min="13560" max="13560" width="10.28515625" customWidth="1"/>
    <col min="13561" max="13562" width="10" customWidth="1"/>
    <col min="13563" max="13563" width="9" customWidth="1"/>
    <col min="13564" max="13564" width="9.28515625" customWidth="1"/>
    <col min="13565" max="13567" width="9" customWidth="1"/>
    <col min="13568" max="13568" width="10.7109375" customWidth="1"/>
    <col min="13569" max="13573" width="11" customWidth="1"/>
    <col min="13574" max="13574" width="9.42578125" customWidth="1"/>
    <col min="13575" max="13579" width="9.42578125" bestFit="1" customWidth="1"/>
    <col min="13581" max="13581" width="9.28515625" bestFit="1" customWidth="1"/>
    <col min="13812" max="13812" width="42.42578125" customWidth="1"/>
    <col min="13813" max="13813" width="3.7109375" customWidth="1"/>
    <col min="13814" max="13814" width="12.28515625" customWidth="1"/>
    <col min="13815" max="13815" width="10.7109375" customWidth="1"/>
    <col min="13816" max="13816" width="10.28515625" customWidth="1"/>
    <col min="13817" max="13818" width="10" customWidth="1"/>
    <col min="13819" max="13819" width="9" customWidth="1"/>
    <col min="13820" max="13820" width="9.28515625" customWidth="1"/>
    <col min="13821" max="13823" width="9" customWidth="1"/>
    <col min="13824" max="13824" width="10.7109375" customWidth="1"/>
    <col min="13825" max="13829" width="11" customWidth="1"/>
    <col min="13830" max="13830" width="9.42578125" customWidth="1"/>
    <col min="13831" max="13835" width="9.42578125" bestFit="1" customWidth="1"/>
    <col min="13837" max="13837" width="9.28515625" bestFit="1" customWidth="1"/>
    <col min="14068" max="14068" width="42.42578125" customWidth="1"/>
    <col min="14069" max="14069" width="3.7109375" customWidth="1"/>
    <col min="14070" max="14070" width="12.28515625" customWidth="1"/>
    <col min="14071" max="14071" width="10.7109375" customWidth="1"/>
    <col min="14072" max="14072" width="10.28515625" customWidth="1"/>
    <col min="14073" max="14074" width="10" customWidth="1"/>
    <col min="14075" max="14075" width="9" customWidth="1"/>
    <col min="14076" max="14076" width="9.28515625" customWidth="1"/>
    <col min="14077" max="14079" width="9" customWidth="1"/>
    <col min="14080" max="14080" width="10.7109375" customWidth="1"/>
    <col min="14081" max="14085" width="11" customWidth="1"/>
    <col min="14086" max="14086" width="9.42578125" customWidth="1"/>
    <col min="14087" max="14091" width="9.42578125" bestFit="1" customWidth="1"/>
    <col min="14093" max="14093" width="9.28515625" bestFit="1" customWidth="1"/>
    <col min="14324" max="14324" width="42.42578125" customWidth="1"/>
    <col min="14325" max="14325" width="3.7109375" customWidth="1"/>
    <col min="14326" max="14326" width="12.28515625" customWidth="1"/>
    <col min="14327" max="14327" width="10.7109375" customWidth="1"/>
    <col min="14328" max="14328" width="10.28515625" customWidth="1"/>
    <col min="14329" max="14330" width="10" customWidth="1"/>
    <col min="14331" max="14331" width="9" customWidth="1"/>
    <col min="14332" max="14332" width="9.28515625" customWidth="1"/>
    <col min="14333" max="14335" width="9" customWidth="1"/>
    <col min="14336" max="14336" width="10.7109375" customWidth="1"/>
    <col min="14337" max="14341" width="11" customWidth="1"/>
    <col min="14342" max="14342" width="9.42578125" customWidth="1"/>
    <col min="14343" max="14347" width="9.42578125" bestFit="1" customWidth="1"/>
    <col min="14349" max="14349" width="9.28515625" bestFit="1" customWidth="1"/>
    <col min="14580" max="14580" width="42.42578125" customWidth="1"/>
    <col min="14581" max="14581" width="3.7109375" customWidth="1"/>
    <col min="14582" max="14582" width="12.28515625" customWidth="1"/>
    <col min="14583" max="14583" width="10.7109375" customWidth="1"/>
    <col min="14584" max="14584" width="10.28515625" customWidth="1"/>
    <col min="14585" max="14586" width="10" customWidth="1"/>
    <col min="14587" max="14587" width="9" customWidth="1"/>
    <col min="14588" max="14588" width="9.28515625" customWidth="1"/>
    <col min="14589" max="14591" width="9" customWidth="1"/>
    <col min="14592" max="14592" width="10.7109375" customWidth="1"/>
    <col min="14593" max="14597" width="11" customWidth="1"/>
    <col min="14598" max="14598" width="9.42578125" customWidth="1"/>
    <col min="14599" max="14603" width="9.42578125" bestFit="1" customWidth="1"/>
    <col min="14605" max="14605" width="9.28515625" bestFit="1" customWidth="1"/>
    <col min="14836" max="14836" width="42.42578125" customWidth="1"/>
    <col min="14837" max="14837" width="3.7109375" customWidth="1"/>
    <col min="14838" max="14838" width="12.28515625" customWidth="1"/>
    <col min="14839" max="14839" width="10.7109375" customWidth="1"/>
    <col min="14840" max="14840" width="10.28515625" customWidth="1"/>
    <col min="14841" max="14842" width="10" customWidth="1"/>
    <col min="14843" max="14843" width="9" customWidth="1"/>
    <col min="14844" max="14844" width="9.28515625" customWidth="1"/>
    <col min="14845" max="14847" width="9" customWidth="1"/>
    <col min="14848" max="14848" width="10.7109375" customWidth="1"/>
    <col min="14849" max="14853" width="11" customWidth="1"/>
    <col min="14854" max="14854" width="9.42578125" customWidth="1"/>
    <col min="14855" max="14859" width="9.42578125" bestFit="1" customWidth="1"/>
    <col min="14861" max="14861" width="9.28515625" bestFit="1" customWidth="1"/>
    <col min="15092" max="15092" width="42.42578125" customWidth="1"/>
    <col min="15093" max="15093" width="3.7109375" customWidth="1"/>
    <col min="15094" max="15094" width="12.28515625" customWidth="1"/>
    <col min="15095" max="15095" width="10.7109375" customWidth="1"/>
    <col min="15096" max="15096" width="10.28515625" customWidth="1"/>
    <col min="15097" max="15098" width="10" customWidth="1"/>
    <col min="15099" max="15099" width="9" customWidth="1"/>
    <col min="15100" max="15100" width="9.28515625" customWidth="1"/>
    <col min="15101" max="15103" width="9" customWidth="1"/>
    <col min="15104" max="15104" width="10.7109375" customWidth="1"/>
    <col min="15105" max="15109" width="11" customWidth="1"/>
    <col min="15110" max="15110" width="9.42578125" customWidth="1"/>
    <col min="15111" max="15115" width="9.42578125" bestFit="1" customWidth="1"/>
    <col min="15117" max="15117" width="9.28515625" bestFit="1" customWidth="1"/>
    <col min="15348" max="15348" width="42.42578125" customWidth="1"/>
    <col min="15349" max="15349" width="3.7109375" customWidth="1"/>
    <col min="15350" max="15350" width="12.28515625" customWidth="1"/>
    <col min="15351" max="15351" width="10.7109375" customWidth="1"/>
    <col min="15352" max="15352" width="10.28515625" customWidth="1"/>
    <col min="15353" max="15354" width="10" customWidth="1"/>
    <col min="15355" max="15355" width="9" customWidth="1"/>
    <col min="15356" max="15356" width="9.28515625" customWidth="1"/>
    <col min="15357" max="15359" width="9" customWidth="1"/>
    <col min="15360" max="15360" width="10.7109375" customWidth="1"/>
    <col min="15361" max="15365" width="11" customWidth="1"/>
    <col min="15366" max="15366" width="9.42578125" customWidth="1"/>
    <col min="15367" max="15371" width="9.42578125" bestFit="1" customWidth="1"/>
    <col min="15373" max="15373" width="9.28515625" bestFit="1" customWidth="1"/>
    <col min="15604" max="15604" width="42.42578125" customWidth="1"/>
    <col min="15605" max="15605" width="3.7109375" customWidth="1"/>
    <col min="15606" max="15606" width="12.28515625" customWidth="1"/>
    <col min="15607" max="15607" width="10.7109375" customWidth="1"/>
    <col min="15608" max="15608" width="10.28515625" customWidth="1"/>
    <col min="15609" max="15610" width="10" customWidth="1"/>
    <col min="15611" max="15611" width="9" customWidth="1"/>
    <col min="15612" max="15612" width="9.28515625" customWidth="1"/>
    <col min="15613" max="15615" width="9" customWidth="1"/>
    <col min="15616" max="15616" width="10.7109375" customWidth="1"/>
    <col min="15617" max="15621" width="11" customWidth="1"/>
    <col min="15622" max="15622" width="9.42578125" customWidth="1"/>
    <col min="15623" max="15627" width="9.42578125" bestFit="1" customWidth="1"/>
    <col min="15629" max="15629" width="9.28515625" bestFit="1" customWidth="1"/>
    <col min="15860" max="15860" width="42.42578125" customWidth="1"/>
    <col min="15861" max="15861" width="3.7109375" customWidth="1"/>
    <col min="15862" max="15862" width="12.28515625" customWidth="1"/>
    <col min="15863" max="15863" width="10.7109375" customWidth="1"/>
    <col min="15864" max="15864" width="10.28515625" customWidth="1"/>
    <col min="15865" max="15866" width="10" customWidth="1"/>
    <col min="15867" max="15867" width="9" customWidth="1"/>
    <col min="15868" max="15868" width="9.28515625" customWidth="1"/>
    <col min="15869" max="15871" width="9" customWidth="1"/>
    <col min="15872" max="15872" width="10.7109375" customWidth="1"/>
    <col min="15873" max="15877" width="11" customWidth="1"/>
    <col min="15878" max="15878" width="9.42578125" customWidth="1"/>
    <col min="15879" max="15883" width="9.42578125" bestFit="1" customWidth="1"/>
    <col min="15885" max="15885" width="9.28515625" bestFit="1" customWidth="1"/>
    <col min="16116" max="16116" width="42.42578125" customWidth="1"/>
    <col min="16117" max="16117" width="3.7109375" customWidth="1"/>
    <col min="16118" max="16118" width="12.28515625" customWidth="1"/>
    <col min="16119" max="16119" width="10.7109375" customWidth="1"/>
    <col min="16120" max="16120" width="10.28515625" customWidth="1"/>
    <col min="16121" max="16122" width="10" customWidth="1"/>
    <col min="16123" max="16123" width="9" customWidth="1"/>
    <col min="16124" max="16124" width="9.28515625" customWidth="1"/>
    <col min="16125" max="16127" width="9" customWidth="1"/>
    <col min="16128" max="16128" width="10.7109375" customWidth="1"/>
    <col min="16129" max="16133" width="11" customWidth="1"/>
    <col min="16134" max="16134" width="9.42578125" customWidth="1"/>
    <col min="16135" max="16139" width="9.42578125" bestFit="1" customWidth="1"/>
    <col min="16141" max="16141" width="9.28515625" bestFit="1" customWidth="1"/>
    <col min="16142" max="16384" width="9.140625" style="2"/>
  </cols>
  <sheetData>
    <row r="1" spans="1:20" ht="26.25" customHeight="1" thickBot="1">
      <c r="A1" s="1" t="s">
        <v>182</v>
      </c>
    </row>
    <row r="2" spans="1:20">
      <c r="C2" s="9"/>
      <c r="D2" s="9"/>
      <c r="E2" s="9"/>
      <c r="F2" s="10"/>
      <c r="G2" s="9"/>
      <c r="H2" s="9"/>
      <c r="I2" s="9"/>
      <c r="J2" s="9"/>
      <c r="K2" s="9"/>
      <c r="L2" s="9"/>
      <c r="O2" s="9"/>
      <c r="P2" s="9"/>
      <c r="Q2" s="9"/>
      <c r="R2" s="9"/>
      <c r="S2" s="9"/>
      <c r="T2" s="9"/>
    </row>
    <row r="3" spans="1:20">
      <c r="A3" s="23" t="s">
        <v>171</v>
      </c>
      <c r="B3" s="23"/>
      <c r="C3" s="24">
        <v>2008</v>
      </c>
      <c r="D3" s="24">
        <v>2009</v>
      </c>
      <c r="E3" s="24">
        <v>2010</v>
      </c>
      <c r="F3" s="24">
        <v>2011</v>
      </c>
      <c r="G3" s="24" t="s">
        <v>7</v>
      </c>
      <c r="H3" s="24" t="s">
        <v>8</v>
      </c>
      <c r="I3" s="24" t="s">
        <v>9</v>
      </c>
      <c r="J3" s="24" t="s">
        <v>10</v>
      </c>
      <c r="K3" s="24" t="s">
        <v>11</v>
      </c>
      <c r="L3" s="24" t="s">
        <v>12</v>
      </c>
      <c r="M3" s="24" t="s">
        <v>156</v>
      </c>
      <c r="N3" s="24" t="s">
        <v>157</v>
      </c>
      <c r="O3" s="24" t="s">
        <v>158</v>
      </c>
      <c r="P3" s="24" t="s">
        <v>159</v>
      </c>
      <c r="Q3" s="24" t="s">
        <v>160</v>
      </c>
      <c r="R3" s="9"/>
      <c r="S3" s="9"/>
      <c r="T3" s="9"/>
    </row>
    <row r="4" spans="1:20">
      <c r="A4" s="114" t="s">
        <v>33</v>
      </c>
      <c r="C4" s="9"/>
      <c r="D4" s="9"/>
      <c r="E4" s="9">
        <v>2257.9760000000001</v>
      </c>
      <c r="F4" s="10">
        <v>2415.4499999999998</v>
      </c>
      <c r="G4" s="106">
        <v>2934</v>
      </c>
      <c r="H4" s="106">
        <v>2874</v>
      </c>
      <c r="I4" s="106">
        <v>3094</v>
      </c>
      <c r="J4" s="106">
        <v>3339</v>
      </c>
      <c r="K4" s="106">
        <f>J4*(1+(Cenário!Z9/100))</f>
        <v>3505.9500000000003</v>
      </c>
      <c r="L4" s="106">
        <f>K4*(1+(Cenário!AA9/100))</f>
        <v>3663.7177500000003</v>
      </c>
      <c r="M4" s="106">
        <f>L4*(1+(Cenário!AB9/100))</f>
        <v>3828.5850487500002</v>
      </c>
      <c r="N4" s="106">
        <f>M4*(1+(Cenário!AC9/100))</f>
        <v>4000.8713759437501</v>
      </c>
      <c r="O4" s="106">
        <f>N4*(1+(Cenário!AD9/100))</f>
        <v>4180.9105878612181</v>
      </c>
      <c r="P4" s="106">
        <f>O4*(1+(Cenário!AE9/100))</f>
        <v>4369.0515643149729</v>
      </c>
      <c r="Q4" s="106">
        <f>P4*(1+(Cenário!AF9/100))</f>
        <v>4565.6588847091462</v>
      </c>
      <c r="R4" s="9"/>
      <c r="S4" s="9"/>
      <c r="T4" s="9"/>
    </row>
    <row r="5" spans="1:20">
      <c r="A5" s="114" t="s">
        <v>50</v>
      </c>
      <c r="C5" s="9"/>
      <c r="D5" s="9"/>
      <c r="E5" s="9"/>
      <c r="F5" s="10"/>
      <c r="G5" s="106">
        <v>1015</v>
      </c>
      <c r="H5" s="106">
        <v>1050</v>
      </c>
      <c r="I5" s="106">
        <v>1066</v>
      </c>
      <c r="J5" s="106">
        <v>1081</v>
      </c>
      <c r="K5" s="106">
        <f>J5*(1+(Cenário!Z9/100))</f>
        <v>1135.05</v>
      </c>
      <c r="L5" s="106">
        <f>K5*(1+(Cenário!AA9/100))</f>
        <v>1186.1272499999998</v>
      </c>
      <c r="M5" s="106">
        <f>L5*(1+(Cenário!AB9/100))</f>
        <v>1239.5029762499996</v>
      </c>
      <c r="N5" s="106">
        <f>M5*(1+(Cenário!AC9/100))</f>
        <v>1295.2806101812496</v>
      </c>
      <c r="O5" s="106">
        <f>N5*(1+(Cenário!AD9/100))</f>
        <v>1353.5682376394057</v>
      </c>
      <c r="P5" s="106">
        <f>O5*(1+(Cenário!AE9/100))</f>
        <v>1414.4788083331789</v>
      </c>
      <c r="Q5" s="106">
        <f>P5*(1+(Cenário!AF9/100))</f>
        <v>1478.1303547081718</v>
      </c>
      <c r="R5" s="9"/>
      <c r="S5" s="9"/>
      <c r="T5" s="9"/>
    </row>
    <row r="6" spans="1:20">
      <c r="A6" s="114" t="s">
        <v>162</v>
      </c>
      <c r="B6" s="5"/>
      <c r="C6" s="11"/>
      <c r="D6" s="11"/>
      <c r="E6" s="11"/>
      <c r="F6" s="17"/>
      <c r="G6" s="106">
        <v>-133</v>
      </c>
      <c r="H6" s="106">
        <v>-116</v>
      </c>
      <c r="I6" s="106">
        <v>-128</v>
      </c>
      <c r="J6" s="106">
        <v>-77</v>
      </c>
      <c r="K6" s="106">
        <f>J6*(1+(Cenário!Z9/100))</f>
        <v>-80.850000000000009</v>
      </c>
      <c r="L6" s="106">
        <f>K6*(1+(Cenário!AA9/100))</f>
        <v>-84.488250000000008</v>
      </c>
      <c r="M6" s="106">
        <f>L6*(1+(Cenário!AB9/100))</f>
        <v>-88.290221250000002</v>
      </c>
      <c r="N6" s="106">
        <f>M6*(1+(Cenário!AC9/100))</f>
        <v>-92.263281206249999</v>
      </c>
      <c r="O6" s="106">
        <f>N6*(1+(Cenário!AD9/100))</f>
        <v>-96.41512886053124</v>
      </c>
      <c r="P6" s="106">
        <f>O6*(1+(Cenário!AE9/100))</f>
        <v>-100.75380965925514</v>
      </c>
      <c r="Q6" s="106">
        <f>P6*(1+(Cenário!AF9/100))</f>
        <v>-105.28773109392161</v>
      </c>
      <c r="R6" s="9"/>
      <c r="S6" s="9"/>
      <c r="T6" s="9"/>
    </row>
    <row r="7" spans="1:20">
      <c r="A7" s="115" t="s">
        <v>139</v>
      </c>
      <c r="C7" s="9"/>
      <c r="D7" s="9"/>
      <c r="E7" s="9"/>
      <c r="F7" s="10"/>
      <c r="G7" s="129">
        <f t="shared" ref="G7:Q7" si="0">SUM(G4:G6)</f>
        <v>3816</v>
      </c>
      <c r="H7" s="129">
        <f t="shared" si="0"/>
        <v>3808</v>
      </c>
      <c r="I7" s="129">
        <f t="shared" si="0"/>
        <v>4032</v>
      </c>
      <c r="J7" s="129">
        <f t="shared" si="0"/>
        <v>4343</v>
      </c>
      <c r="K7" s="129">
        <f t="shared" si="0"/>
        <v>4560.1499999999996</v>
      </c>
      <c r="L7" s="129">
        <f t="shared" si="0"/>
        <v>4765.3567499999999</v>
      </c>
      <c r="M7" s="129">
        <f t="shared" si="0"/>
        <v>4979.7978037499997</v>
      </c>
      <c r="N7" s="129">
        <f t="shared" si="0"/>
        <v>5203.8887049187497</v>
      </c>
      <c r="O7" s="129">
        <f t="shared" si="0"/>
        <v>5438.0636966400925</v>
      </c>
      <c r="P7" s="129">
        <f t="shared" si="0"/>
        <v>5682.7765629888963</v>
      </c>
      <c r="Q7" s="129">
        <f t="shared" si="0"/>
        <v>5938.5015083233957</v>
      </c>
      <c r="R7" s="9"/>
      <c r="S7" s="9"/>
      <c r="T7" s="9"/>
    </row>
    <row r="8" spans="1:20">
      <c r="A8" s="115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9"/>
      <c r="S8" s="9"/>
      <c r="T8" s="9"/>
    </row>
    <row r="9" spans="1:20">
      <c r="A9" s="114" t="s">
        <v>140</v>
      </c>
      <c r="C9" s="9"/>
      <c r="D9" s="9"/>
      <c r="E9" s="9"/>
      <c r="F9" s="10"/>
      <c r="G9" s="106">
        <v>-2755</v>
      </c>
      <c r="H9" s="106">
        <v>-1367</v>
      </c>
      <c r="I9" s="106">
        <v>-1382</v>
      </c>
      <c r="J9" s="106">
        <v>-1291</v>
      </c>
      <c r="K9" s="106">
        <f>J9*(1+(Cenário!Z9/100))</f>
        <v>-1355.55</v>
      </c>
      <c r="L9" s="106">
        <f>K9*(1+(Cenário!AA9/100))</f>
        <v>-1416.5497499999999</v>
      </c>
      <c r="M9" s="106">
        <f>L9*(1+(Cenário!AB9/100))</f>
        <v>-1480.2944887499998</v>
      </c>
      <c r="N9" s="106">
        <f>M9*(1+(Cenário!AC9/100))</f>
        <v>-1546.9077407437496</v>
      </c>
      <c r="O9" s="106">
        <f>N9*(1+(Cenário!AD9/100))</f>
        <v>-1616.5185890772182</v>
      </c>
      <c r="P9" s="106">
        <f>O9*(1+(Cenário!AE9/100))</f>
        <v>-1689.2619255856928</v>
      </c>
      <c r="Q9" s="106">
        <f>P9*(1+(Cenário!AF9/100))</f>
        <v>-1765.2787122370489</v>
      </c>
      <c r="R9" s="9"/>
      <c r="S9" s="9"/>
      <c r="T9" s="9"/>
    </row>
    <row r="10" spans="1:20">
      <c r="A10" s="115" t="s">
        <v>141</v>
      </c>
      <c r="C10" s="9"/>
      <c r="D10" s="9"/>
      <c r="E10" s="9"/>
      <c r="F10" s="10"/>
      <c r="G10" s="129">
        <f>G9</f>
        <v>-2755</v>
      </c>
      <c r="H10" s="129">
        <f t="shared" ref="H10:Q10" si="1">H9</f>
        <v>-1367</v>
      </c>
      <c r="I10" s="129">
        <f t="shared" si="1"/>
        <v>-1382</v>
      </c>
      <c r="J10" s="129">
        <f t="shared" si="1"/>
        <v>-1291</v>
      </c>
      <c r="K10" s="129">
        <f t="shared" si="1"/>
        <v>-1355.55</v>
      </c>
      <c r="L10" s="129">
        <f t="shared" si="1"/>
        <v>-1416.5497499999999</v>
      </c>
      <c r="M10" s="129">
        <f t="shared" si="1"/>
        <v>-1480.2944887499998</v>
      </c>
      <c r="N10" s="129">
        <f t="shared" si="1"/>
        <v>-1546.9077407437496</v>
      </c>
      <c r="O10" s="129">
        <f t="shared" si="1"/>
        <v>-1616.5185890772182</v>
      </c>
      <c r="P10" s="129">
        <f t="shared" si="1"/>
        <v>-1689.2619255856928</v>
      </c>
      <c r="Q10" s="129">
        <f t="shared" si="1"/>
        <v>-1765.2787122370489</v>
      </c>
      <c r="R10" s="9"/>
      <c r="S10" s="9"/>
      <c r="T10" s="9"/>
    </row>
    <row r="11" spans="1:20">
      <c r="A11" s="115"/>
      <c r="C11" s="9"/>
      <c r="D11" s="9"/>
      <c r="E11" s="9"/>
      <c r="F11" s="10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9"/>
      <c r="S11" s="9"/>
      <c r="T11" s="9"/>
    </row>
    <row r="12" spans="1:20">
      <c r="A12" s="114" t="s">
        <v>179</v>
      </c>
      <c r="C12" s="112"/>
      <c r="D12" s="112"/>
      <c r="E12" s="112">
        <v>-1828.8820000000001</v>
      </c>
      <c r="F12" s="112">
        <v>-2035.62</v>
      </c>
      <c r="G12" s="106">
        <f>-G4*G40</f>
        <v>-2347.2000000000003</v>
      </c>
      <c r="H12" s="106">
        <f>-H4*H40</f>
        <v>-2299.2000000000003</v>
      </c>
      <c r="I12" s="106">
        <f t="shared" ref="I12:Q12" si="2">-H4*I40</f>
        <v>-2299.2000000000003</v>
      </c>
      <c r="J12" s="106">
        <f t="shared" si="2"/>
        <v>-2475.2000000000003</v>
      </c>
      <c r="K12" s="106">
        <f t="shared" si="2"/>
        <v>-2671.2000000000003</v>
      </c>
      <c r="L12" s="106">
        <f t="shared" si="2"/>
        <v>-2804.76</v>
      </c>
      <c r="M12" s="106">
        <f t="shared" si="2"/>
        <v>-2930.9742000000006</v>
      </c>
      <c r="N12" s="106">
        <f t="shared" si="2"/>
        <v>-3062.8680390000004</v>
      </c>
      <c r="O12" s="106">
        <f t="shared" si="2"/>
        <v>-3200.6971007550001</v>
      </c>
      <c r="P12" s="106">
        <f t="shared" si="2"/>
        <v>-3344.7284702889747</v>
      </c>
      <c r="Q12" s="106">
        <f t="shared" si="2"/>
        <v>-3495.2412514519783</v>
      </c>
      <c r="R12" s="9"/>
      <c r="S12" s="9"/>
      <c r="T12" s="9"/>
    </row>
    <row r="13" spans="1:20">
      <c r="A13" s="115" t="s">
        <v>147</v>
      </c>
      <c r="C13" s="107"/>
      <c r="D13" s="107"/>
      <c r="E13" s="107"/>
      <c r="F13" s="107"/>
      <c r="G13" s="107">
        <f t="shared" ref="G13:Q13" si="3">SUM(G12:G12)</f>
        <v>-2347.2000000000003</v>
      </c>
      <c r="H13" s="107">
        <f t="shared" si="3"/>
        <v>-2299.2000000000003</v>
      </c>
      <c r="I13" s="107">
        <f t="shared" si="3"/>
        <v>-2299.2000000000003</v>
      </c>
      <c r="J13" s="107">
        <f t="shared" si="3"/>
        <v>-2475.2000000000003</v>
      </c>
      <c r="K13" s="107">
        <f t="shared" si="3"/>
        <v>-2671.2000000000003</v>
      </c>
      <c r="L13" s="107">
        <f t="shared" si="3"/>
        <v>-2804.76</v>
      </c>
      <c r="M13" s="107">
        <f t="shared" si="3"/>
        <v>-2930.9742000000006</v>
      </c>
      <c r="N13" s="107">
        <f t="shared" si="3"/>
        <v>-3062.8680390000004</v>
      </c>
      <c r="O13" s="107">
        <f t="shared" si="3"/>
        <v>-3200.6971007550001</v>
      </c>
      <c r="P13" s="107">
        <f t="shared" si="3"/>
        <v>-3344.7284702889747</v>
      </c>
      <c r="Q13" s="107">
        <f t="shared" si="3"/>
        <v>-3495.2412514519783</v>
      </c>
      <c r="R13" s="9"/>
      <c r="S13" s="9"/>
      <c r="T13" s="9"/>
    </row>
    <row r="14" spans="1:20">
      <c r="A14" s="114"/>
      <c r="C14" s="9"/>
      <c r="D14" s="9"/>
      <c r="E14" s="9"/>
      <c r="F14" s="10"/>
      <c r="G14" s="9"/>
      <c r="H14" s="9"/>
      <c r="I14" s="9"/>
      <c r="J14" s="9"/>
      <c r="K14" s="9"/>
      <c r="L14" s="9"/>
      <c r="O14" s="9"/>
      <c r="P14" s="9"/>
      <c r="Q14" s="9"/>
      <c r="R14" s="9"/>
      <c r="S14" s="9"/>
      <c r="T14" s="9"/>
    </row>
    <row r="15" spans="1:20">
      <c r="A15" s="110" t="s">
        <v>163</v>
      </c>
      <c r="B15" s="13"/>
      <c r="C15" s="123">
        <f>C6+C8+C13</f>
        <v>0</v>
      </c>
      <c r="D15" s="123">
        <f>D6+D8+D13</f>
        <v>0</v>
      </c>
      <c r="E15" s="123">
        <f>E6+E8+E13</f>
        <v>0</v>
      </c>
      <c r="F15" s="123">
        <f>F6+F8+F13</f>
        <v>0</v>
      </c>
      <c r="G15" s="123">
        <f>G7+G10+G13</f>
        <v>-1286.2000000000003</v>
      </c>
      <c r="H15" s="123">
        <f t="shared" ref="H15:Q15" si="4">H7+H10+H13</f>
        <v>141.79999999999973</v>
      </c>
      <c r="I15" s="123">
        <f t="shared" si="4"/>
        <v>350.79999999999973</v>
      </c>
      <c r="J15" s="123">
        <f t="shared" si="4"/>
        <v>576.79999999999973</v>
      </c>
      <c r="K15" s="123">
        <f t="shared" si="4"/>
        <v>533.39999999999918</v>
      </c>
      <c r="L15" s="123">
        <f t="shared" si="4"/>
        <v>544.04699999999957</v>
      </c>
      <c r="M15" s="123">
        <f t="shared" si="4"/>
        <v>568.52911499999936</v>
      </c>
      <c r="N15" s="123">
        <f t="shared" si="4"/>
        <v>594.11292517499942</v>
      </c>
      <c r="O15" s="123">
        <f t="shared" si="4"/>
        <v>620.8480068078743</v>
      </c>
      <c r="P15" s="123">
        <f t="shared" si="4"/>
        <v>648.7861671142291</v>
      </c>
      <c r="Q15" s="123">
        <f t="shared" si="4"/>
        <v>677.98154463436822</v>
      </c>
      <c r="R15" s="9"/>
      <c r="S15" s="9"/>
      <c r="T15" s="9"/>
    </row>
    <row r="16" spans="1:20">
      <c r="A16" s="118" t="s">
        <v>169</v>
      </c>
      <c r="B16" s="120"/>
      <c r="C16" s="120"/>
      <c r="D16" s="121">
        <f>C17</f>
        <v>0</v>
      </c>
      <c r="E16" s="121">
        <f>D17</f>
        <v>0</v>
      </c>
      <c r="F16" s="121">
        <f>E17</f>
        <v>0</v>
      </c>
      <c r="G16" s="121">
        <f>F17</f>
        <v>0</v>
      </c>
      <c r="H16" s="121">
        <f t="shared" ref="H16:Q16" si="5">G17</f>
        <v>-1286.2000000000003</v>
      </c>
      <c r="I16" s="121">
        <f t="shared" si="5"/>
        <v>-1144.4000000000005</v>
      </c>
      <c r="J16" s="121">
        <f t="shared" si="5"/>
        <v>-793.60000000000082</v>
      </c>
      <c r="K16" s="121">
        <f t="shared" si="5"/>
        <v>-216.80000000000109</v>
      </c>
      <c r="L16" s="121">
        <f t="shared" si="5"/>
        <v>316.59999999999809</v>
      </c>
      <c r="M16" s="121">
        <f t="shared" si="5"/>
        <v>860.64699999999766</v>
      </c>
      <c r="N16" s="121">
        <f t="shared" si="5"/>
        <v>1429.176114999997</v>
      </c>
      <c r="O16" s="121">
        <f t="shared" si="5"/>
        <v>2023.2890401749964</v>
      </c>
      <c r="P16" s="121">
        <f t="shared" si="5"/>
        <v>2644.1370469828707</v>
      </c>
      <c r="Q16" s="121">
        <f t="shared" si="5"/>
        <v>3292.9232140970998</v>
      </c>
      <c r="R16" s="9"/>
      <c r="S16" s="9"/>
      <c r="T16" s="9"/>
    </row>
    <row r="17" spans="1:20">
      <c r="A17" s="117" t="s">
        <v>170</v>
      </c>
      <c r="B17" s="119"/>
      <c r="C17" s="122">
        <f>C31</f>
        <v>0</v>
      </c>
      <c r="D17" s="122">
        <f>D15+D16</f>
        <v>0</v>
      </c>
      <c r="E17" s="122">
        <f>E15+E16</f>
        <v>0</v>
      </c>
      <c r="F17" s="122">
        <f>F16+F15</f>
        <v>0</v>
      </c>
      <c r="G17" s="122">
        <f t="shared" ref="G17:Q17" si="6">G16+G15</f>
        <v>-1286.2000000000003</v>
      </c>
      <c r="H17" s="122">
        <f t="shared" si="6"/>
        <v>-1144.4000000000005</v>
      </c>
      <c r="I17" s="122">
        <f t="shared" si="6"/>
        <v>-793.60000000000082</v>
      </c>
      <c r="J17" s="122">
        <f t="shared" si="6"/>
        <v>-216.80000000000109</v>
      </c>
      <c r="K17" s="122">
        <f t="shared" si="6"/>
        <v>316.59999999999809</v>
      </c>
      <c r="L17" s="122">
        <f t="shared" si="6"/>
        <v>860.64699999999766</v>
      </c>
      <c r="M17" s="122">
        <f t="shared" si="6"/>
        <v>1429.176114999997</v>
      </c>
      <c r="N17" s="122">
        <f t="shared" si="6"/>
        <v>2023.2890401749964</v>
      </c>
      <c r="O17" s="122">
        <f t="shared" si="6"/>
        <v>2644.1370469828707</v>
      </c>
      <c r="P17" s="122">
        <f t="shared" si="6"/>
        <v>3292.9232140970998</v>
      </c>
      <c r="Q17" s="122">
        <f t="shared" si="6"/>
        <v>3970.9047587314681</v>
      </c>
      <c r="R17" s="9"/>
      <c r="S17" s="9"/>
      <c r="T17" s="9"/>
    </row>
    <row r="18" spans="1:20">
      <c r="A18" s="116"/>
      <c r="B18" s="19"/>
      <c r="C18" s="31"/>
      <c r="D18" s="31"/>
      <c r="E18" s="31"/>
      <c r="F18" s="16"/>
      <c r="G18" s="31"/>
      <c r="H18" s="31"/>
      <c r="I18" s="31"/>
      <c r="J18" s="31"/>
      <c r="K18" s="31"/>
      <c r="L18" s="31"/>
      <c r="M18" s="19"/>
      <c r="N18" s="19"/>
      <c r="O18" s="31"/>
      <c r="P18" s="16"/>
      <c r="Q18" s="31"/>
      <c r="R18" s="9"/>
      <c r="S18" s="9"/>
      <c r="T18" s="9"/>
    </row>
    <row r="19" spans="1:20">
      <c r="A19" s="23" t="s">
        <v>172</v>
      </c>
      <c r="B19" s="23"/>
      <c r="C19" s="24">
        <f>C3</f>
        <v>2008</v>
      </c>
      <c r="D19" s="24">
        <f t="shared" ref="D19:Q19" si="7">D3</f>
        <v>2009</v>
      </c>
      <c r="E19" s="24">
        <f t="shared" si="7"/>
        <v>2010</v>
      </c>
      <c r="F19" s="24">
        <f t="shared" si="7"/>
        <v>2011</v>
      </c>
      <c r="G19" s="24" t="str">
        <f t="shared" si="7"/>
        <v>2012E</v>
      </c>
      <c r="H19" s="24" t="str">
        <f t="shared" si="7"/>
        <v>2013E</v>
      </c>
      <c r="I19" s="24" t="str">
        <f t="shared" si="7"/>
        <v>2014E</v>
      </c>
      <c r="J19" s="24" t="str">
        <f t="shared" si="7"/>
        <v>2015E</v>
      </c>
      <c r="K19" s="24" t="str">
        <f t="shared" si="7"/>
        <v>2016E</v>
      </c>
      <c r="L19" s="24" t="str">
        <f t="shared" si="7"/>
        <v>2017E</v>
      </c>
      <c r="M19" s="24" t="str">
        <f t="shared" si="7"/>
        <v>2018E</v>
      </c>
      <c r="N19" s="24" t="str">
        <f t="shared" si="7"/>
        <v>2019E</v>
      </c>
      <c r="O19" s="24" t="str">
        <f t="shared" si="7"/>
        <v>2020E</v>
      </c>
      <c r="P19" s="24" t="str">
        <f t="shared" si="7"/>
        <v>2021E</v>
      </c>
      <c r="Q19" s="24" t="str">
        <f t="shared" si="7"/>
        <v>2022E</v>
      </c>
      <c r="R19" s="9"/>
      <c r="S19" s="9"/>
      <c r="T19" s="9"/>
    </row>
    <row r="20" spans="1:20" hidden="1">
      <c r="C20" s="9"/>
      <c r="D20" s="9"/>
      <c r="E20" s="9"/>
      <c r="F20" s="10"/>
      <c r="G20" s="9"/>
      <c r="H20" s="9"/>
      <c r="I20" s="9"/>
      <c r="J20" s="9"/>
      <c r="K20" s="9"/>
      <c r="L20" s="9"/>
      <c r="O20" s="9"/>
      <c r="P20" s="9"/>
      <c r="Q20" s="9"/>
      <c r="R20" s="9"/>
      <c r="S20" s="9"/>
      <c r="T20" s="9"/>
    </row>
    <row r="21" spans="1:20">
      <c r="A21" s="2" t="s">
        <v>193</v>
      </c>
      <c r="C21" s="9"/>
      <c r="D21" s="9"/>
      <c r="E21" s="9"/>
      <c r="F21" s="10"/>
      <c r="G21" s="9">
        <f>ABS(G12)*0.144</f>
        <v>337.99680000000001</v>
      </c>
      <c r="H21" s="9">
        <f t="shared" ref="H21:Q21" si="8">ABS(H12)*0.144</f>
        <v>331.08480000000003</v>
      </c>
      <c r="I21" s="9">
        <f t="shared" si="8"/>
        <v>331.08480000000003</v>
      </c>
      <c r="J21" s="9">
        <f t="shared" si="8"/>
        <v>356.42880000000002</v>
      </c>
      <c r="K21" s="9">
        <f t="shared" si="8"/>
        <v>384.65280000000001</v>
      </c>
      <c r="L21" s="9">
        <f t="shared" si="8"/>
        <v>403.88544000000002</v>
      </c>
      <c r="M21" s="9">
        <f t="shared" si="8"/>
        <v>422.06028480000003</v>
      </c>
      <c r="N21" s="9">
        <f t="shared" si="8"/>
        <v>441.05299761600003</v>
      </c>
      <c r="O21" s="9">
        <f t="shared" si="8"/>
        <v>460.90038250871999</v>
      </c>
      <c r="P21" s="9">
        <f t="shared" si="8"/>
        <v>481.6408997216123</v>
      </c>
      <c r="Q21" s="9">
        <f t="shared" si="8"/>
        <v>503.31474020908485</v>
      </c>
      <c r="R21" s="9"/>
      <c r="S21" s="9"/>
      <c r="T21" s="9"/>
    </row>
    <row r="22" spans="1:20">
      <c r="A22" s="2" t="s">
        <v>199</v>
      </c>
      <c r="C22" s="112"/>
      <c r="D22" s="112"/>
      <c r="E22" s="112"/>
      <c r="F22" s="142"/>
      <c r="G22" s="112">
        <f>(G21-G30-G32)*0.6081</f>
        <v>111.17357392246221</v>
      </c>
      <c r="H22" s="112">
        <f t="shared" ref="H22:Q22" si="9">(H21-H30-H32)*0.6081</f>
        <v>93.293992788172517</v>
      </c>
      <c r="I22" s="112">
        <f t="shared" si="9"/>
        <v>99.009315243330022</v>
      </c>
      <c r="J22" s="112">
        <f t="shared" si="9"/>
        <v>121.98080502197251</v>
      </c>
      <c r="K22" s="112">
        <f t="shared" si="9"/>
        <v>146.39489894401501</v>
      </c>
      <c r="L22" s="112">
        <f t="shared" si="9"/>
        <v>164.57346831661499</v>
      </c>
      <c r="M22" s="112">
        <f t="shared" si="9"/>
        <v>182.108792428095</v>
      </c>
      <c r="N22" s="112">
        <f t="shared" si="9"/>
        <v>200.14146208010462</v>
      </c>
      <c r="O22" s="112">
        <f t="shared" si="9"/>
        <v>249.52951471324508</v>
      </c>
      <c r="P22" s="112">
        <f t="shared" si="9"/>
        <v>292.87539411798241</v>
      </c>
      <c r="Q22" s="112">
        <f t="shared" si="9"/>
        <v>306.05525651841447</v>
      </c>
      <c r="R22" s="9"/>
      <c r="S22" s="9"/>
      <c r="T22" s="9"/>
    </row>
    <row r="23" spans="1:20">
      <c r="R23" s="9"/>
      <c r="S23" s="9"/>
      <c r="T23" s="9"/>
    </row>
    <row r="24" spans="1:20">
      <c r="A24" s="23" t="s">
        <v>149</v>
      </c>
      <c r="B24" s="23"/>
      <c r="C24" s="24">
        <f t="shared" ref="C24:Q24" si="10">C19</f>
        <v>2008</v>
      </c>
      <c r="D24" s="24">
        <f t="shared" si="10"/>
        <v>2009</v>
      </c>
      <c r="E24" s="24">
        <f t="shared" si="10"/>
        <v>2010</v>
      </c>
      <c r="F24" s="24">
        <f t="shared" si="10"/>
        <v>2011</v>
      </c>
      <c r="G24" s="24" t="str">
        <f t="shared" si="10"/>
        <v>2012E</v>
      </c>
      <c r="H24" s="24" t="str">
        <f t="shared" si="10"/>
        <v>2013E</v>
      </c>
      <c r="I24" s="24" t="str">
        <f t="shared" si="10"/>
        <v>2014E</v>
      </c>
      <c r="J24" s="24" t="str">
        <f t="shared" si="10"/>
        <v>2015E</v>
      </c>
      <c r="K24" s="24" t="str">
        <f t="shared" si="10"/>
        <v>2016E</v>
      </c>
      <c r="L24" s="24" t="str">
        <f t="shared" si="10"/>
        <v>2017E</v>
      </c>
      <c r="M24" s="24" t="str">
        <f t="shared" si="10"/>
        <v>2018E</v>
      </c>
      <c r="N24" s="24" t="str">
        <f t="shared" si="10"/>
        <v>2019E</v>
      </c>
      <c r="O24" s="24" t="str">
        <f t="shared" si="10"/>
        <v>2020E</v>
      </c>
      <c r="P24" s="24" t="str">
        <f t="shared" si="10"/>
        <v>2021E</v>
      </c>
      <c r="Q24" s="24" t="str">
        <f t="shared" si="10"/>
        <v>2022E</v>
      </c>
      <c r="R24" s="9"/>
      <c r="S24" s="9"/>
      <c r="T24" s="9"/>
    </row>
    <row r="25" spans="1:20">
      <c r="A25" s="103" t="s">
        <v>150</v>
      </c>
      <c r="C25" s="9"/>
      <c r="D25" s="131">
        <f>D26+D27</f>
        <v>0.11416666666666667</v>
      </c>
      <c r="E25" s="131">
        <f t="shared" ref="E25:Q25" si="11">E26+E27</f>
        <v>0.115</v>
      </c>
      <c r="F25" s="131">
        <f t="shared" si="11"/>
        <v>0.13208333333333333</v>
      </c>
      <c r="G25" s="131">
        <f t="shared" si="11"/>
        <v>0.108125</v>
      </c>
      <c r="H25" s="131">
        <f t="shared" si="11"/>
        <v>0.1075</v>
      </c>
      <c r="I25" s="131">
        <f t="shared" si="11"/>
        <v>0.11</v>
      </c>
      <c r="J25" s="131">
        <f t="shared" si="11"/>
        <v>0.1075</v>
      </c>
      <c r="K25" s="131">
        <f t="shared" si="11"/>
        <v>0.105</v>
      </c>
      <c r="L25" s="131">
        <f t="shared" si="11"/>
        <v>0.105</v>
      </c>
      <c r="M25" s="131">
        <f t="shared" si="11"/>
        <v>0.105</v>
      </c>
      <c r="N25" s="131">
        <f t="shared" si="11"/>
        <v>0.105</v>
      </c>
      <c r="O25" s="131">
        <f t="shared" si="11"/>
        <v>0.105</v>
      </c>
      <c r="P25" s="131">
        <f t="shared" si="11"/>
        <v>0.105</v>
      </c>
      <c r="Q25" s="131">
        <f t="shared" si="11"/>
        <v>0.105</v>
      </c>
      <c r="R25" s="9"/>
      <c r="S25" s="9"/>
      <c r="T25" s="9"/>
    </row>
    <row r="26" spans="1:20">
      <c r="A26" s="103" t="s">
        <v>151</v>
      </c>
      <c r="C26" s="9"/>
      <c r="D26" s="131">
        <f>'AG Concessões'!D119</f>
        <v>9.9166666666666667E-2</v>
      </c>
      <c r="E26" s="131">
        <f>'AG Concessões'!E119</f>
        <v>0.1</v>
      </c>
      <c r="F26" s="131">
        <f>'AG Concessões'!F119</f>
        <v>0.11708333333333334</v>
      </c>
      <c r="G26" s="131">
        <f>'AG Concessões'!G119</f>
        <v>9.3124999999999999E-2</v>
      </c>
      <c r="H26" s="131">
        <f>'AG Concessões'!H119</f>
        <v>9.2499999999999999E-2</v>
      </c>
      <c r="I26" s="131">
        <f>'AG Concessões'!I119</f>
        <v>9.5000000000000001E-2</v>
      </c>
      <c r="J26" s="131">
        <f>'AG Concessões'!J119</f>
        <v>9.2499999999999999E-2</v>
      </c>
      <c r="K26" s="131">
        <f>'AG Concessões'!K119</f>
        <v>0.09</v>
      </c>
      <c r="L26" s="131">
        <f>'AG Concessões'!L119</f>
        <v>0.09</v>
      </c>
      <c r="M26" s="131">
        <f>'AG Concessões'!M119</f>
        <v>0.09</v>
      </c>
      <c r="N26" s="131">
        <f>'AG Concessões'!N119</f>
        <v>0.09</v>
      </c>
      <c r="O26" s="131">
        <f>'AG Concessões'!O119</f>
        <v>0.09</v>
      </c>
      <c r="P26" s="131">
        <f>'AG Concessões'!P119</f>
        <v>0.09</v>
      </c>
      <c r="Q26" s="131">
        <f>'AG Concessões'!Q119</f>
        <v>0.09</v>
      </c>
      <c r="R26" s="9"/>
      <c r="S26" s="9"/>
      <c r="T26" s="9"/>
    </row>
    <row r="27" spans="1:20">
      <c r="A27" s="103" t="s">
        <v>152</v>
      </c>
      <c r="C27" s="9"/>
      <c r="D27" s="132">
        <v>1.4999999999999999E-2</v>
      </c>
      <c r="E27" s="132">
        <v>1.4999999999999999E-2</v>
      </c>
      <c r="F27" s="132">
        <v>1.4999999999999999E-2</v>
      </c>
      <c r="G27" s="132">
        <v>1.4999999999999999E-2</v>
      </c>
      <c r="H27" s="132">
        <v>1.4999999999999999E-2</v>
      </c>
      <c r="I27" s="132">
        <v>1.4999999999999999E-2</v>
      </c>
      <c r="J27" s="132">
        <v>1.4999999999999999E-2</v>
      </c>
      <c r="K27" s="132">
        <v>1.4999999999999999E-2</v>
      </c>
      <c r="L27" s="132">
        <v>1.4999999999999999E-2</v>
      </c>
      <c r="M27" s="132">
        <v>1.4999999999999999E-2</v>
      </c>
      <c r="N27" s="132">
        <v>1.4999999999999999E-2</v>
      </c>
      <c r="O27" s="132">
        <v>1.4999999999999999E-2</v>
      </c>
      <c r="P27" s="132">
        <v>1.4999999999999999E-2</v>
      </c>
      <c r="Q27" s="132">
        <v>1.4999999999999999E-2</v>
      </c>
      <c r="R27" s="9"/>
      <c r="S27" s="9"/>
      <c r="T27" s="9"/>
    </row>
    <row r="28" spans="1:20">
      <c r="A28" s="103"/>
      <c r="C28" s="9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9"/>
      <c r="S28" s="9"/>
      <c r="T28" s="9"/>
    </row>
    <row r="29" spans="1:20">
      <c r="A29" s="103" t="s">
        <v>189</v>
      </c>
      <c r="C29" s="9"/>
      <c r="D29" s="32"/>
      <c r="E29" s="32"/>
      <c r="F29" s="32"/>
      <c r="G29" s="106">
        <f>F31</f>
        <v>828.30799999999999</v>
      </c>
      <c r="H29" s="106">
        <f>G31</f>
        <v>758.94317000000001</v>
      </c>
      <c r="I29" s="106">
        <f t="shared" ref="I29:Q29" si="12">H31</f>
        <v>657.40597000000002</v>
      </c>
      <c r="J29" s="106">
        <f t="shared" si="12"/>
        <v>555.86877000000004</v>
      </c>
      <c r="K29" s="106">
        <f t="shared" si="12"/>
        <v>454.33157000000006</v>
      </c>
      <c r="L29" s="106">
        <f t="shared" si="12"/>
        <v>352.79437000000007</v>
      </c>
      <c r="M29" s="106">
        <f t="shared" si="12"/>
        <v>251.25717000000009</v>
      </c>
      <c r="N29" s="106">
        <f t="shared" si="12"/>
        <v>149.7199700000001</v>
      </c>
      <c r="O29" s="106">
        <f t="shared" si="12"/>
        <v>48.182770000000104</v>
      </c>
      <c r="P29" s="106">
        <f t="shared" si="12"/>
        <v>0.16346000000010719</v>
      </c>
      <c r="Q29" s="106">
        <f t="shared" si="12"/>
        <v>0.16346000000010719</v>
      </c>
      <c r="R29" s="9"/>
      <c r="S29" s="9"/>
      <c r="T29" s="9"/>
    </row>
    <row r="30" spans="1:20">
      <c r="A30" s="103" t="s">
        <v>190</v>
      </c>
      <c r="C30" s="9"/>
      <c r="D30" s="32"/>
      <c r="E30" s="32"/>
      <c r="F30" s="32"/>
      <c r="G30" s="106">
        <f>(D31*0.02632)+(D31*0.05921)</f>
        <v>69.364829999999998</v>
      </c>
      <c r="H30" s="106">
        <f t="shared" ref="H30:N30" si="13">$D$31*$D$32</f>
        <v>101.5372</v>
      </c>
      <c r="I30" s="106">
        <f t="shared" si="13"/>
        <v>101.5372</v>
      </c>
      <c r="J30" s="106">
        <f t="shared" si="13"/>
        <v>101.5372</v>
      </c>
      <c r="K30" s="106">
        <f t="shared" si="13"/>
        <v>101.5372</v>
      </c>
      <c r="L30" s="106">
        <f t="shared" si="13"/>
        <v>101.5372</v>
      </c>
      <c r="M30" s="106">
        <f t="shared" si="13"/>
        <v>101.5372</v>
      </c>
      <c r="N30" s="106">
        <f t="shared" si="13"/>
        <v>101.5372</v>
      </c>
      <c r="O30" s="106">
        <f>$D$31*0.05921</f>
        <v>48.019309999999997</v>
      </c>
      <c r="P30" s="32"/>
      <c r="Q30" s="32"/>
      <c r="R30" s="9"/>
      <c r="S30" s="9"/>
      <c r="T30" s="9"/>
    </row>
    <row r="31" spans="1:20">
      <c r="A31" s="2" t="s">
        <v>191</v>
      </c>
      <c r="C31" s="9"/>
      <c r="D31" s="9">
        <v>811</v>
      </c>
      <c r="E31" s="9"/>
      <c r="F31" s="10">
        <v>828.30799999999999</v>
      </c>
      <c r="G31" s="9">
        <f>G29-G30</f>
        <v>758.94317000000001</v>
      </c>
      <c r="H31" s="9">
        <f>H29-H30</f>
        <v>657.40597000000002</v>
      </c>
      <c r="I31" s="9">
        <f t="shared" ref="I31:Q31" si="14">I29-I30</f>
        <v>555.86877000000004</v>
      </c>
      <c r="J31" s="9">
        <f t="shared" si="14"/>
        <v>454.33157000000006</v>
      </c>
      <c r="K31" s="9">
        <f t="shared" si="14"/>
        <v>352.79437000000007</v>
      </c>
      <c r="L31" s="9">
        <f t="shared" si="14"/>
        <v>251.25717000000009</v>
      </c>
      <c r="M31" s="9">
        <f t="shared" si="14"/>
        <v>149.7199700000001</v>
      </c>
      <c r="N31" s="9">
        <f t="shared" si="14"/>
        <v>48.182770000000104</v>
      </c>
      <c r="O31" s="9">
        <f t="shared" si="14"/>
        <v>0.16346000000010719</v>
      </c>
      <c r="P31" s="9">
        <f t="shared" si="14"/>
        <v>0.16346000000010719</v>
      </c>
      <c r="Q31" s="9">
        <f t="shared" si="14"/>
        <v>0.16346000000010719</v>
      </c>
      <c r="R31" s="9"/>
      <c r="S31" s="9"/>
      <c r="T31" s="9"/>
    </row>
    <row r="32" spans="1:20" ht="12" customHeight="1">
      <c r="A32" s="2" t="s">
        <v>192</v>
      </c>
      <c r="C32" s="9"/>
      <c r="D32" s="134">
        <v>0.12520000000000001</v>
      </c>
      <c r="E32" s="9"/>
      <c r="F32" s="9"/>
      <c r="G32" s="9">
        <f>AVERAGE(G29,G31)*G25</f>
        <v>85.810766378124995</v>
      </c>
      <c r="H32" s="9">
        <f t="shared" ref="H32:Q32" si="15">AVERAGE(H29,H31)*H25</f>
        <v>76.128766275000004</v>
      </c>
      <c r="I32" s="9">
        <f t="shared" si="15"/>
        <v>66.730110699999997</v>
      </c>
      <c r="J32" s="9">
        <f t="shared" si="15"/>
        <v>54.298268275000005</v>
      </c>
      <c r="K32" s="9">
        <f t="shared" si="15"/>
        <v>42.374111850000006</v>
      </c>
      <c r="L32" s="9">
        <f t="shared" si="15"/>
        <v>31.712705850000006</v>
      </c>
      <c r="M32" s="9">
        <f t="shared" si="15"/>
        <v>21.05129985000001</v>
      </c>
      <c r="N32" s="9">
        <f t="shared" si="15"/>
        <v>10.389893850000011</v>
      </c>
      <c r="O32" s="9">
        <f t="shared" si="15"/>
        <v>2.5381770750000112</v>
      </c>
      <c r="P32" s="9">
        <f t="shared" si="15"/>
        <v>1.7163300000011254E-2</v>
      </c>
      <c r="Q32" s="9">
        <f t="shared" si="15"/>
        <v>1.7163300000011254E-2</v>
      </c>
      <c r="R32" s="9"/>
      <c r="S32" s="9"/>
      <c r="T32" s="9"/>
    </row>
    <row r="33" spans="1:20" ht="12" customHeight="1">
      <c r="C33" s="9"/>
      <c r="D33" s="133"/>
      <c r="E33" s="9"/>
      <c r="F33" s="1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ht="12" customHeight="1">
      <c r="C34" s="9"/>
      <c r="D34" s="9"/>
      <c r="E34" s="9"/>
      <c r="F34" s="10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ht="12" customHeight="1"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ht="12" customHeight="1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9"/>
      <c r="S36" s="9"/>
      <c r="T36" s="9"/>
    </row>
    <row r="37" spans="1:20" ht="12" customHeight="1"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9"/>
      <c r="S37" s="9"/>
      <c r="T37" s="9"/>
    </row>
    <row r="38" spans="1:20" ht="12" customHeight="1"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9"/>
      <c r="S38" s="9"/>
      <c r="T38" s="9"/>
    </row>
    <row r="39" spans="1:20" ht="12" customHeight="1"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9"/>
      <c r="S39" s="9"/>
      <c r="T39" s="9"/>
    </row>
    <row r="40" spans="1:20" ht="12" customHeight="1">
      <c r="A40" s="2" t="s">
        <v>180</v>
      </c>
      <c r="C40" s="32" t="e">
        <f>ABS(C12/C28)</f>
        <v>#DIV/0!</v>
      </c>
      <c r="D40" s="32" t="e">
        <f>ABS(D12/D28)</f>
        <v>#DIV/0!</v>
      </c>
      <c r="E40" s="32">
        <f>ABS(E12/E4)</f>
        <v>0.80996520777900205</v>
      </c>
      <c r="F40" s="32">
        <f>ABS(F12/F4)</f>
        <v>0.84274979817425322</v>
      </c>
      <c r="G40" s="108">
        <v>0.8</v>
      </c>
      <c r="H40" s="108">
        <v>0.8</v>
      </c>
      <c r="I40" s="108">
        <v>0.8</v>
      </c>
      <c r="J40" s="108">
        <v>0.8</v>
      </c>
      <c r="K40" s="108">
        <v>0.8</v>
      </c>
      <c r="L40" s="108">
        <v>0.8</v>
      </c>
      <c r="M40" s="108">
        <v>0.8</v>
      </c>
      <c r="N40" s="108">
        <v>0.8</v>
      </c>
      <c r="O40" s="108">
        <v>0.8</v>
      </c>
      <c r="P40" s="108">
        <v>0.8</v>
      </c>
      <c r="Q40" s="108">
        <v>0.8</v>
      </c>
      <c r="R40" s="9"/>
      <c r="S40" s="9"/>
      <c r="T40" s="9"/>
    </row>
    <row r="41" spans="1:20" ht="12" customHeight="1">
      <c r="C41" s="9"/>
      <c r="D41" s="9"/>
      <c r="E41" s="9"/>
      <c r="F41" s="10"/>
      <c r="G41" s="9"/>
      <c r="H41" s="9"/>
      <c r="I41" s="9"/>
      <c r="J41" s="9"/>
      <c r="K41" s="9"/>
      <c r="L41" s="9"/>
      <c r="O41" s="9"/>
      <c r="P41" s="9"/>
      <c r="Q41" s="9"/>
      <c r="R41" s="9"/>
      <c r="S41" s="9"/>
      <c r="T41" s="9"/>
    </row>
    <row r="42" spans="1:20" ht="12" customHeight="1">
      <c r="C42" s="9"/>
      <c r="D42" s="9"/>
      <c r="E42" s="9"/>
      <c r="F42" s="10"/>
      <c r="G42" s="9"/>
      <c r="H42" s="9"/>
      <c r="I42" s="9"/>
      <c r="J42" s="9"/>
      <c r="K42" s="9"/>
      <c r="L42" s="9"/>
      <c r="O42" s="9"/>
      <c r="P42" s="9"/>
      <c r="Q42" s="9"/>
      <c r="R42" s="9"/>
      <c r="S42" s="9"/>
      <c r="T42" s="9"/>
    </row>
    <row r="43" spans="1:20" ht="12" customHeight="1">
      <c r="C43" s="9"/>
      <c r="D43" s="9"/>
      <c r="E43" s="9"/>
      <c r="F43" s="136">
        <f>F24</f>
        <v>2011</v>
      </c>
      <c r="G43" s="10" t="str">
        <f t="shared" ref="G43:Q43" si="16">G24</f>
        <v>2012E</v>
      </c>
      <c r="H43" s="10" t="str">
        <f t="shared" si="16"/>
        <v>2013E</v>
      </c>
      <c r="I43" s="10" t="str">
        <f t="shared" si="16"/>
        <v>2014E</v>
      </c>
      <c r="J43" s="10" t="str">
        <f t="shared" si="16"/>
        <v>2015E</v>
      </c>
      <c r="K43" s="10" t="str">
        <f t="shared" si="16"/>
        <v>2016E</v>
      </c>
      <c r="L43" s="10" t="str">
        <f t="shared" si="16"/>
        <v>2017E</v>
      </c>
      <c r="M43" s="10" t="str">
        <f t="shared" si="16"/>
        <v>2018E</v>
      </c>
      <c r="N43" s="10" t="str">
        <f t="shared" si="16"/>
        <v>2019E</v>
      </c>
      <c r="O43" s="10" t="str">
        <f t="shared" si="16"/>
        <v>2020E</v>
      </c>
      <c r="P43" s="10" t="str">
        <f t="shared" si="16"/>
        <v>2021E</v>
      </c>
      <c r="Q43" s="10" t="str">
        <f t="shared" si="16"/>
        <v>2022E</v>
      </c>
      <c r="R43" s="9"/>
      <c r="S43" s="9"/>
      <c r="T43" s="9"/>
    </row>
    <row r="44" spans="1:20" ht="12" customHeight="1">
      <c r="C44" s="9"/>
      <c r="D44" s="9"/>
      <c r="E44" s="10" t="s">
        <v>33</v>
      </c>
      <c r="F44" s="10">
        <f>F4</f>
        <v>2415.4499999999998</v>
      </c>
      <c r="G44" s="10">
        <f t="shared" ref="G44:Q44" si="17">G4</f>
        <v>2934</v>
      </c>
      <c r="H44" s="10">
        <f t="shared" si="17"/>
        <v>2874</v>
      </c>
      <c r="I44" s="10">
        <f t="shared" si="17"/>
        <v>3094</v>
      </c>
      <c r="J44" s="10">
        <f t="shared" si="17"/>
        <v>3339</v>
      </c>
      <c r="K44" s="10">
        <f t="shared" si="17"/>
        <v>3505.9500000000003</v>
      </c>
      <c r="L44" s="10">
        <f t="shared" si="17"/>
        <v>3663.7177500000003</v>
      </c>
      <c r="M44" s="10">
        <f t="shared" si="17"/>
        <v>3828.5850487500002</v>
      </c>
      <c r="N44" s="10">
        <f t="shared" si="17"/>
        <v>4000.8713759437501</v>
      </c>
      <c r="O44" s="10">
        <f t="shared" si="17"/>
        <v>4180.9105878612181</v>
      </c>
      <c r="P44" s="10">
        <f t="shared" si="17"/>
        <v>4369.0515643149729</v>
      </c>
      <c r="Q44" s="10">
        <f t="shared" si="17"/>
        <v>4565.6588847091462</v>
      </c>
      <c r="R44" s="9"/>
      <c r="S44" s="9"/>
      <c r="T44" s="9"/>
    </row>
    <row r="45" spans="1:20" ht="12" customHeight="1">
      <c r="C45" s="9"/>
      <c r="D45" s="9"/>
      <c r="E45" s="10" t="s">
        <v>197</v>
      </c>
      <c r="F45" s="32">
        <f>F40</f>
        <v>0.84274979817425322</v>
      </c>
      <c r="G45" s="32">
        <f t="shared" ref="G45:Q45" si="18">G40</f>
        <v>0.8</v>
      </c>
      <c r="H45" s="32">
        <f t="shared" si="18"/>
        <v>0.8</v>
      </c>
      <c r="I45" s="32">
        <f t="shared" si="18"/>
        <v>0.8</v>
      </c>
      <c r="J45" s="32">
        <f t="shared" si="18"/>
        <v>0.8</v>
      </c>
      <c r="K45" s="32">
        <f t="shared" si="18"/>
        <v>0.8</v>
      </c>
      <c r="L45" s="32">
        <f t="shared" si="18"/>
        <v>0.8</v>
      </c>
      <c r="M45" s="32">
        <f t="shared" si="18"/>
        <v>0.8</v>
      </c>
      <c r="N45" s="32">
        <f t="shared" si="18"/>
        <v>0.8</v>
      </c>
      <c r="O45" s="32">
        <f t="shared" si="18"/>
        <v>0.8</v>
      </c>
      <c r="P45" s="32">
        <f t="shared" si="18"/>
        <v>0.8</v>
      </c>
      <c r="Q45" s="32">
        <f t="shared" si="18"/>
        <v>0.8</v>
      </c>
      <c r="R45" s="9"/>
      <c r="S45" s="9"/>
      <c r="T45" s="9"/>
    </row>
    <row r="46" spans="1:20" ht="12" customHeight="1">
      <c r="C46" s="9"/>
      <c r="D46" s="9"/>
      <c r="E46" s="9"/>
      <c r="F46" s="10"/>
      <c r="G46" s="9"/>
      <c r="H46" s="9"/>
      <c r="I46" s="9"/>
      <c r="J46" s="9"/>
      <c r="K46" s="9"/>
      <c r="L46" s="9"/>
      <c r="O46" s="9"/>
      <c r="P46" s="9"/>
      <c r="Q46" s="9"/>
      <c r="R46" s="9"/>
      <c r="S46" s="9"/>
      <c r="T46" s="9"/>
    </row>
    <row r="47" spans="1:20" ht="12" customHeight="1">
      <c r="C47" s="9"/>
      <c r="D47" s="9"/>
      <c r="E47" s="9"/>
      <c r="F47" s="10"/>
      <c r="G47" s="9"/>
      <c r="H47" s="9"/>
      <c r="I47" s="9"/>
      <c r="J47" s="9"/>
      <c r="K47" s="9"/>
      <c r="L47" s="9"/>
      <c r="O47" s="9"/>
      <c r="P47" s="9"/>
      <c r="Q47" s="9"/>
      <c r="R47" s="9"/>
      <c r="S47" s="9"/>
      <c r="T47" s="9"/>
    </row>
    <row r="48" spans="1:20" ht="12" customHeight="1">
      <c r="C48" s="9"/>
      <c r="D48" s="9"/>
      <c r="E48" s="9"/>
      <c r="F48" s="10"/>
      <c r="G48" s="9"/>
      <c r="H48" s="9"/>
      <c r="I48" s="9"/>
      <c r="J48" s="9"/>
      <c r="K48" s="9"/>
      <c r="L48" s="9"/>
      <c r="O48" s="9"/>
      <c r="P48" s="9"/>
      <c r="Q48" s="9"/>
      <c r="R48" s="9"/>
      <c r="S48" s="9"/>
      <c r="T48" s="9"/>
    </row>
    <row r="49" spans="3:20" ht="12" customHeight="1">
      <c r="C49" s="9"/>
      <c r="D49" s="9"/>
      <c r="E49" s="9"/>
      <c r="F49" s="10"/>
      <c r="G49" s="9"/>
      <c r="H49" s="9"/>
      <c r="I49" s="9"/>
      <c r="J49" s="9"/>
      <c r="K49" s="9"/>
      <c r="L49" s="9"/>
      <c r="O49" s="9"/>
      <c r="P49" s="9"/>
      <c r="Q49" s="9"/>
      <c r="R49" s="9"/>
      <c r="S49" s="9"/>
      <c r="T49" s="9"/>
    </row>
    <row r="50" spans="3:20" ht="12" customHeight="1">
      <c r="C50" s="9"/>
      <c r="D50" s="9"/>
      <c r="E50" s="9"/>
      <c r="F50" s="10"/>
      <c r="G50" s="9"/>
      <c r="H50" s="9"/>
      <c r="I50" s="9"/>
      <c r="J50" s="9"/>
      <c r="K50" s="9"/>
      <c r="L50" s="9"/>
      <c r="O50" s="9"/>
      <c r="P50" s="9"/>
      <c r="Q50" s="9"/>
      <c r="R50" s="9"/>
      <c r="S50" s="9"/>
      <c r="T50" s="9"/>
    </row>
    <row r="51" spans="3:20" ht="12" customHeight="1">
      <c r="C51" s="9"/>
      <c r="D51" s="9"/>
      <c r="E51" s="9"/>
      <c r="F51" s="10"/>
      <c r="G51" s="9"/>
      <c r="H51" s="9"/>
      <c r="I51" s="9"/>
      <c r="J51" s="9"/>
      <c r="K51" s="9"/>
      <c r="L51" s="9"/>
      <c r="O51" s="9"/>
      <c r="P51" s="9"/>
      <c r="Q51" s="9"/>
      <c r="R51" s="9"/>
      <c r="S51" s="9"/>
      <c r="T51" s="9"/>
    </row>
    <row r="52" spans="3:20" ht="12" customHeight="1">
      <c r="C52" s="9"/>
      <c r="D52" s="9"/>
      <c r="E52" s="9"/>
      <c r="F52" s="10"/>
      <c r="G52" s="9"/>
      <c r="H52" s="9"/>
      <c r="I52" s="9"/>
      <c r="J52" s="9"/>
      <c r="K52" s="9"/>
      <c r="L52" s="9"/>
      <c r="O52" s="9"/>
      <c r="P52" s="9"/>
      <c r="Q52" s="9"/>
      <c r="R52" s="9"/>
      <c r="S52" s="9"/>
      <c r="T52" s="9"/>
    </row>
    <row r="53" spans="3:20" ht="12" customHeight="1">
      <c r="C53" s="9"/>
      <c r="D53" s="9"/>
      <c r="E53" s="9"/>
      <c r="F53" s="10"/>
      <c r="G53" s="9"/>
      <c r="H53" s="9"/>
      <c r="I53" s="9"/>
      <c r="J53" s="9"/>
      <c r="K53" s="9"/>
      <c r="L53" s="9"/>
      <c r="O53" s="9"/>
      <c r="P53" s="9"/>
      <c r="Q53" s="9"/>
      <c r="R53" s="9"/>
      <c r="S53" s="9"/>
      <c r="T53" s="9"/>
    </row>
    <row r="54" spans="3:20" ht="12" customHeight="1">
      <c r="C54" s="9"/>
      <c r="D54" s="9"/>
      <c r="E54" s="9"/>
      <c r="F54" s="10"/>
      <c r="G54" s="9"/>
      <c r="H54" s="9"/>
      <c r="I54" s="9"/>
      <c r="J54" s="9"/>
      <c r="K54" s="9"/>
      <c r="L54" s="9"/>
      <c r="O54" s="9"/>
      <c r="P54" s="9"/>
      <c r="Q54" s="9"/>
      <c r="R54" s="9"/>
      <c r="S54" s="9"/>
      <c r="T54" s="9"/>
    </row>
    <row r="55" spans="3:20" ht="12" customHeight="1">
      <c r="C55" s="9"/>
      <c r="D55" s="9"/>
      <c r="E55" s="9"/>
      <c r="F55" s="10"/>
      <c r="G55" s="9"/>
      <c r="H55" s="9"/>
      <c r="I55" s="9"/>
      <c r="J55" s="9"/>
      <c r="K55" s="9"/>
      <c r="L55" s="9"/>
      <c r="O55" s="9"/>
      <c r="P55" s="9"/>
      <c r="Q55" s="9"/>
      <c r="R55" s="9"/>
      <c r="S55" s="9"/>
      <c r="T55" s="9"/>
    </row>
    <row r="56" spans="3:20" ht="12" customHeight="1">
      <c r="C56" s="9"/>
      <c r="D56" s="9"/>
      <c r="E56" s="9"/>
      <c r="F56" s="10"/>
      <c r="G56" s="9"/>
      <c r="H56" s="9"/>
      <c r="I56" s="9"/>
      <c r="J56" s="9"/>
      <c r="K56" s="9"/>
      <c r="L56" s="9"/>
      <c r="O56" s="9"/>
      <c r="P56" s="9"/>
      <c r="Q56" s="9"/>
      <c r="R56" s="9"/>
      <c r="S56" s="9"/>
      <c r="T56" s="9"/>
    </row>
    <row r="57" spans="3:20" ht="12" customHeight="1">
      <c r="C57" s="9"/>
      <c r="D57" s="9"/>
      <c r="E57" s="9"/>
      <c r="F57" s="10"/>
      <c r="G57" s="9"/>
      <c r="H57" s="9"/>
      <c r="I57" s="9"/>
      <c r="J57" s="9"/>
      <c r="K57" s="9"/>
      <c r="L57" s="9"/>
      <c r="O57" s="9"/>
      <c r="P57" s="9"/>
      <c r="Q57" s="9"/>
      <c r="R57" s="9"/>
      <c r="S57" s="9"/>
      <c r="T57" s="9"/>
    </row>
    <row r="58" spans="3:20" ht="12" customHeight="1">
      <c r="C58" s="9"/>
      <c r="D58" s="9"/>
      <c r="E58" s="9"/>
      <c r="F58" s="10"/>
      <c r="G58" s="9"/>
      <c r="H58" s="9"/>
      <c r="I58" s="9"/>
      <c r="J58" s="9"/>
      <c r="K58" s="9"/>
      <c r="L58" s="9"/>
      <c r="O58" s="9"/>
      <c r="P58" s="9"/>
      <c r="Q58" s="9"/>
      <c r="R58" s="9"/>
      <c r="S58" s="9"/>
      <c r="T58" s="9"/>
    </row>
    <row r="59" spans="3:20" ht="12" customHeight="1">
      <c r="C59" s="9"/>
      <c r="D59" s="9"/>
      <c r="E59" s="9"/>
      <c r="F59" s="10"/>
      <c r="G59" s="9"/>
      <c r="H59" s="9"/>
      <c r="I59" s="9"/>
      <c r="J59" s="9"/>
      <c r="K59" s="9"/>
      <c r="L59" s="9"/>
      <c r="O59" s="9"/>
      <c r="P59" s="9"/>
      <c r="Q59" s="9"/>
      <c r="R59" s="9"/>
      <c r="S59" s="9"/>
      <c r="T59" s="9"/>
    </row>
    <row r="60" spans="3:20" ht="12" customHeight="1">
      <c r="C60" s="9"/>
      <c r="D60" s="9"/>
      <c r="E60" s="9"/>
      <c r="F60" s="10"/>
      <c r="G60" s="9"/>
      <c r="H60" s="9"/>
      <c r="I60" s="9"/>
      <c r="J60" s="9"/>
      <c r="K60" s="9"/>
      <c r="L60" s="9"/>
      <c r="O60" s="9"/>
      <c r="P60" s="9"/>
      <c r="Q60" s="9"/>
      <c r="R60" s="9"/>
      <c r="S60" s="9"/>
      <c r="T60" s="9"/>
    </row>
    <row r="61" spans="3:20" ht="12" customHeight="1">
      <c r="C61" s="9"/>
      <c r="D61" s="9"/>
      <c r="E61" s="9"/>
      <c r="F61" s="10"/>
      <c r="G61" s="9"/>
      <c r="H61" s="9"/>
      <c r="I61" s="9"/>
      <c r="J61" s="9"/>
      <c r="K61" s="9"/>
      <c r="L61" s="9"/>
      <c r="O61" s="9"/>
      <c r="P61" s="9"/>
      <c r="Q61" s="9"/>
      <c r="R61" s="9"/>
      <c r="S61" s="9"/>
      <c r="T61" s="9"/>
    </row>
    <row r="62" spans="3:20" ht="12" customHeight="1">
      <c r="C62" s="9"/>
      <c r="D62" s="9"/>
      <c r="E62" s="9"/>
      <c r="F62" s="10"/>
      <c r="G62" s="9"/>
      <c r="H62" s="9"/>
      <c r="I62" s="9"/>
      <c r="J62" s="9"/>
      <c r="K62" s="9"/>
      <c r="L62" s="9"/>
      <c r="O62" s="9"/>
      <c r="P62" s="9"/>
      <c r="Q62" s="9"/>
      <c r="R62" s="9"/>
      <c r="S62" s="9"/>
      <c r="T62" s="9"/>
    </row>
    <row r="63" spans="3:20" ht="12" customHeight="1">
      <c r="C63" s="9"/>
      <c r="D63" s="9"/>
      <c r="E63" s="9"/>
      <c r="F63" s="10"/>
      <c r="G63" s="9"/>
      <c r="H63" s="9"/>
      <c r="I63" s="9"/>
      <c r="J63" s="9"/>
      <c r="K63" s="9"/>
      <c r="L63" s="9"/>
      <c r="O63" s="9"/>
      <c r="P63" s="9"/>
      <c r="Q63" s="9"/>
      <c r="R63" s="9"/>
      <c r="S63" s="9"/>
      <c r="T63" s="9"/>
    </row>
    <row r="64" spans="3:20" ht="12" customHeight="1">
      <c r="C64" s="9"/>
      <c r="D64" s="9"/>
      <c r="E64" s="9"/>
      <c r="F64" s="10"/>
      <c r="G64" s="9"/>
      <c r="H64" s="9"/>
      <c r="I64" s="9"/>
      <c r="J64" s="9"/>
      <c r="K64" s="9"/>
      <c r="L64" s="9"/>
      <c r="O64" s="9"/>
      <c r="P64" s="9"/>
      <c r="Q64" s="9"/>
      <c r="R64" s="9"/>
      <c r="S64" s="9"/>
      <c r="T64" s="9"/>
    </row>
    <row r="65" spans="3:20" ht="12" customHeight="1">
      <c r="C65" s="9"/>
      <c r="D65" s="9"/>
      <c r="E65" s="9"/>
      <c r="F65" s="10"/>
      <c r="G65" s="9"/>
      <c r="H65" s="9"/>
      <c r="I65" s="9"/>
      <c r="J65" s="9"/>
      <c r="K65" s="9"/>
      <c r="L65" s="9"/>
      <c r="O65" s="9"/>
      <c r="P65" s="9"/>
      <c r="Q65" s="9"/>
      <c r="R65" s="9"/>
      <c r="S65" s="9"/>
      <c r="T65" s="9"/>
    </row>
    <row r="66" spans="3:20" ht="12" customHeight="1">
      <c r="C66" s="9"/>
      <c r="D66" s="9"/>
      <c r="E66" s="9"/>
      <c r="F66" s="10"/>
      <c r="G66" s="9"/>
      <c r="H66" s="9"/>
      <c r="I66" s="9"/>
      <c r="J66" s="9"/>
      <c r="K66" s="9"/>
      <c r="L66" s="9"/>
      <c r="O66" s="9"/>
      <c r="P66" s="9"/>
      <c r="Q66" s="9"/>
      <c r="R66" s="9"/>
      <c r="S66" s="9"/>
      <c r="T66" s="9"/>
    </row>
    <row r="67" spans="3:20" ht="12" customHeight="1">
      <c r="C67" s="9"/>
      <c r="D67" s="9"/>
      <c r="E67" s="9"/>
      <c r="F67" s="10"/>
      <c r="G67" s="9"/>
      <c r="H67" s="9"/>
      <c r="I67" s="9"/>
      <c r="J67" s="9"/>
      <c r="K67" s="9"/>
      <c r="L67" s="9"/>
      <c r="O67" s="9"/>
      <c r="P67" s="9"/>
      <c r="Q67" s="9"/>
      <c r="R67" s="9"/>
      <c r="S67" s="9"/>
      <c r="T67" s="9"/>
    </row>
    <row r="68" spans="3:20" ht="12" customHeight="1">
      <c r="C68" s="9"/>
      <c r="D68" s="9"/>
      <c r="E68" s="9"/>
      <c r="F68" s="10"/>
      <c r="G68" s="9"/>
      <c r="H68" s="9"/>
      <c r="I68" s="9"/>
      <c r="J68" s="9"/>
      <c r="K68" s="9"/>
      <c r="L68" s="9"/>
      <c r="O68" s="9"/>
      <c r="P68" s="9"/>
      <c r="Q68" s="9"/>
      <c r="R68" s="9"/>
      <c r="S68" s="9"/>
      <c r="T68" s="9"/>
    </row>
    <row r="69" spans="3:20" ht="12" customHeight="1">
      <c r="C69" s="9"/>
      <c r="D69" s="9"/>
      <c r="E69" s="9"/>
      <c r="F69" s="10"/>
      <c r="G69" s="9"/>
      <c r="H69" s="9"/>
      <c r="I69" s="9"/>
      <c r="J69" s="9"/>
      <c r="K69" s="9"/>
      <c r="L69" s="9"/>
      <c r="O69" s="9"/>
      <c r="P69" s="9"/>
      <c r="Q69" s="9"/>
      <c r="R69" s="9"/>
      <c r="S69" s="9"/>
      <c r="T69" s="9"/>
    </row>
    <row r="70" spans="3:20" ht="12" customHeight="1">
      <c r="C70" s="9"/>
      <c r="D70" s="9"/>
      <c r="E70" s="9"/>
      <c r="F70" s="10"/>
      <c r="G70" s="9"/>
      <c r="H70" s="9"/>
      <c r="I70" s="9"/>
      <c r="J70" s="9"/>
      <c r="K70" s="9"/>
      <c r="L70" s="9"/>
      <c r="O70" s="9"/>
      <c r="P70" s="9"/>
      <c r="Q70" s="9"/>
      <c r="R70" s="9"/>
      <c r="S70" s="9"/>
      <c r="T70" s="9"/>
    </row>
    <row r="71" spans="3:20" ht="12" customHeight="1">
      <c r="C71" s="9"/>
      <c r="D71" s="9"/>
      <c r="E71" s="9"/>
      <c r="F71" s="10"/>
      <c r="G71" s="9"/>
      <c r="H71" s="9"/>
      <c r="I71" s="9"/>
      <c r="J71" s="9"/>
      <c r="K71" s="9"/>
      <c r="L71" s="9"/>
      <c r="O71" s="9"/>
      <c r="P71" s="9"/>
      <c r="Q71" s="9"/>
      <c r="R71" s="9"/>
      <c r="S71" s="9"/>
      <c r="T71" s="9"/>
    </row>
    <row r="72" spans="3:20" ht="12" customHeight="1">
      <c r="C72" s="9"/>
      <c r="D72" s="9"/>
      <c r="E72" s="9"/>
      <c r="F72" s="10"/>
      <c r="G72" s="9"/>
      <c r="H72" s="9"/>
      <c r="I72" s="9"/>
      <c r="J72" s="9"/>
      <c r="K72" s="9"/>
      <c r="L72" s="9"/>
      <c r="O72" s="9"/>
      <c r="P72" s="9"/>
      <c r="Q72" s="9"/>
      <c r="R72" s="9"/>
      <c r="S72" s="9"/>
      <c r="T72" s="9"/>
    </row>
    <row r="73" spans="3:20" ht="12" customHeight="1">
      <c r="C73" s="9"/>
      <c r="D73" s="9"/>
      <c r="E73" s="9"/>
      <c r="F73" s="10"/>
      <c r="G73" s="9"/>
      <c r="H73" s="9"/>
      <c r="I73" s="9"/>
      <c r="J73" s="9"/>
      <c r="K73" s="9"/>
      <c r="L73" s="9"/>
      <c r="O73" s="9"/>
      <c r="P73" s="9"/>
      <c r="Q73" s="9"/>
      <c r="R73" s="9"/>
      <c r="S73" s="9"/>
      <c r="T73" s="9"/>
    </row>
    <row r="74" spans="3:20" ht="12" customHeight="1">
      <c r="C74" s="9"/>
      <c r="D74" s="9"/>
      <c r="E74" s="9"/>
      <c r="F74" s="10"/>
      <c r="G74" s="9"/>
      <c r="H74" s="9"/>
      <c r="I74" s="9"/>
      <c r="J74" s="9"/>
      <c r="K74" s="9"/>
      <c r="L74" s="9"/>
      <c r="O74" s="9"/>
      <c r="P74" s="9"/>
      <c r="Q74" s="9"/>
      <c r="R74" s="9"/>
      <c r="S74" s="9"/>
      <c r="T74" s="9"/>
    </row>
    <row r="75" spans="3:20" ht="12" customHeight="1">
      <c r="C75" s="9"/>
      <c r="D75" s="9"/>
      <c r="E75" s="9"/>
      <c r="F75" s="10"/>
      <c r="G75" s="9"/>
      <c r="H75" s="9"/>
      <c r="I75" s="9"/>
      <c r="J75" s="9"/>
      <c r="K75" s="9"/>
      <c r="L75" s="9"/>
      <c r="O75" s="9"/>
      <c r="P75" s="9"/>
      <c r="Q75" s="9"/>
      <c r="R75" s="9"/>
      <c r="S75" s="9"/>
      <c r="T75" s="9"/>
    </row>
    <row r="76" spans="3:20" ht="12" customHeight="1">
      <c r="C76" s="9"/>
      <c r="D76" s="9"/>
      <c r="E76" s="9"/>
      <c r="F76" s="10"/>
      <c r="G76" s="9"/>
      <c r="H76" s="9"/>
      <c r="I76" s="9"/>
      <c r="J76" s="9"/>
      <c r="K76" s="9"/>
      <c r="L76" s="9"/>
      <c r="O76" s="9"/>
      <c r="P76" s="9"/>
      <c r="Q76" s="9"/>
      <c r="R76" s="9"/>
      <c r="S76" s="9"/>
      <c r="T76" s="9"/>
    </row>
    <row r="77" spans="3:20" ht="12" customHeight="1">
      <c r="C77" s="9"/>
      <c r="D77" s="9"/>
      <c r="E77" s="9"/>
      <c r="F77" s="10"/>
      <c r="G77" s="9"/>
      <c r="H77" s="9"/>
      <c r="I77" s="9"/>
      <c r="J77" s="9"/>
      <c r="K77" s="9"/>
      <c r="L77" s="9"/>
      <c r="O77" s="9"/>
      <c r="P77" s="9"/>
      <c r="Q77" s="9"/>
      <c r="R77" s="9"/>
      <c r="S77" s="9"/>
      <c r="T77" s="9"/>
    </row>
    <row r="78" spans="3:20">
      <c r="C78" s="9"/>
      <c r="D78" s="9"/>
      <c r="E78" s="9"/>
      <c r="F78" s="10"/>
      <c r="G78" s="9"/>
      <c r="H78" s="9"/>
      <c r="I78" s="9"/>
      <c r="J78" s="9"/>
      <c r="K78" s="9"/>
      <c r="L78" s="9"/>
      <c r="O78" s="9"/>
      <c r="P78" s="9"/>
      <c r="Q78" s="9"/>
      <c r="R78" s="9"/>
      <c r="S78" s="9"/>
      <c r="T78" s="9"/>
    </row>
    <row r="79" spans="3:20">
      <c r="C79" s="9"/>
      <c r="D79" s="9"/>
      <c r="E79" s="9"/>
      <c r="F79" s="10"/>
      <c r="G79" s="9"/>
      <c r="H79" s="9"/>
      <c r="I79" s="9"/>
      <c r="J79" s="9"/>
      <c r="K79" s="9"/>
      <c r="L79" s="9"/>
      <c r="O79" s="9"/>
      <c r="P79" s="9"/>
      <c r="Q79" s="9"/>
      <c r="R79" s="9"/>
      <c r="S79" s="9"/>
      <c r="T79" s="9"/>
    </row>
    <row r="80" spans="3:20">
      <c r="C80" s="9"/>
      <c r="D80" s="9"/>
      <c r="E80" s="9"/>
      <c r="F80" s="10"/>
      <c r="G80" s="9"/>
      <c r="H80" s="9"/>
      <c r="I80" s="9"/>
      <c r="J80" s="9"/>
      <c r="K80" s="9"/>
      <c r="L80" s="9"/>
      <c r="O80" s="9"/>
      <c r="P80" s="9"/>
      <c r="Q80" s="9"/>
      <c r="R80" s="9"/>
      <c r="S80" s="9"/>
      <c r="T80" s="9"/>
    </row>
    <row r="81" spans="3:20">
      <c r="C81" s="9"/>
      <c r="D81" s="9"/>
      <c r="E81" s="9"/>
      <c r="F81" s="10"/>
      <c r="G81" s="9"/>
      <c r="H81" s="9"/>
      <c r="I81" s="9"/>
      <c r="J81" s="9"/>
      <c r="K81" s="9"/>
      <c r="L81" s="9"/>
      <c r="O81" s="9"/>
      <c r="P81" s="9"/>
      <c r="Q81" s="9"/>
      <c r="R81" s="9"/>
      <c r="S81" s="9"/>
      <c r="T81" s="9"/>
    </row>
    <row r="82" spans="3:20">
      <c r="C82" s="9"/>
      <c r="D82" s="9"/>
      <c r="E82" s="9"/>
      <c r="F82" s="10"/>
      <c r="G82" s="9"/>
      <c r="H82" s="9"/>
      <c r="I82" s="9"/>
      <c r="J82" s="9"/>
      <c r="K82" s="9"/>
      <c r="L82" s="9"/>
      <c r="O82" s="9"/>
      <c r="P82" s="9"/>
      <c r="Q82" s="9"/>
      <c r="R82" s="9"/>
      <c r="S82" s="9"/>
      <c r="T82" s="9"/>
    </row>
    <row r="83" spans="3:20">
      <c r="C83" s="9"/>
      <c r="D83" s="9"/>
      <c r="E83" s="9"/>
      <c r="F83" s="10"/>
      <c r="G83" s="9"/>
      <c r="H83" s="9"/>
      <c r="I83" s="9"/>
      <c r="J83" s="9"/>
      <c r="K83" s="9"/>
      <c r="L83" s="9"/>
      <c r="O83" s="9"/>
      <c r="P83" s="9"/>
      <c r="Q83" s="9"/>
      <c r="R83" s="9"/>
      <c r="S83" s="9"/>
      <c r="T83" s="9"/>
    </row>
    <row r="84" spans="3:20">
      <c r="C84" s="9"/>
      <c r="D84" s="9"/>
      <c r="E84" s="9"/>
      <c r="F84" s="10"/>
      <c r="G84" s="9"/>
      <c r="H84" s="9"/>
      <c r="I84" s="9"/>
      <c r="J84" s="9"/>
      <c r="K84" s="9"/>
      <c r="L84" s="9"/>
      <c r="O84" s="9"/>
      <c r="P84" s="9"/>
      <c r="Q84" s="9"/>
      <c r="R84" s="9"/>
      <c r="S84" s="9"/>
      <c r="T84" s="9"/>
    </row>
    <row r="85" spans="3:20">
      <c r="C85" s="9"/>
      <c r="D85" s="9"/>
      <c r="E85" s="9"/>
      <c r="F85" s="10"/>
      <c r="G85" s="9"/>
      <c r="H85" s="9"/>
      <c r="I85" s="9"/>
      <c r="J85" s="9"/>
      <c r="K85" s="9"/>
      <c r="L85" s="9"/>
      <c r="O85" s="9"/>
      <c r="P85" s="9"/>
      <c r="Q85" s="9"/>
      <c r="R85" s="9"/>
      <c r="S85" s="9"/>
      <c r="T85" s="9"/>
    </row>
    <row r="86" spans="3:20">
      <c r="C86" s="9"/>
      <c r="D86" s="9"/>
      <c r="E86" s="9"/>
      <c r="F86" s="10"/>
      <c r="G86" s="9"/>
      <c r="H86" s="9"/>
      <c r="I86" s="9"/>
      <c r="J86" s="9"/>
      <c r="K86" s="9"/>
      <c r="L86" s="9"/>
      <c r="O86" s="9"/>
      <c r="P86" s="9"/>
      <c r="Q86" s="9"/>
      <c r="R86" s="9"/>
      <c r="S86" s="9"/>
      <c r="T86" s="9"/>
    </row>
    <row r="87" spans="3:20">
      <c r="C87" s="9"/>
      <c r="D87" s="9"/>
      <c r="E87" s="9"/>
      <c r="F87" s="10"/>
      <c r="G87" s="9"/>
      <c r="H87" s="9"/>
      <c r="I87" s="9"/>
      <c r="J87" s="9"/>
      <c r="K87" s="9"/>
      <c r="L87" s="9"/>
      <c r="O87" s="9"/>
      <c r="P87" s="9"/>
      <c r="Q87" s="9"/>
      <c r="R87" s="9"/>
      <c r="S87" s="9"/>
      <c r="T87" s="9"/>
    </row>
    <row r="88" spans="3:20">
      <c r="C88" s="9"/>
      <c r="D88" s="9"/>
      <c r="E88" s="9"/>
      <c r="F88" s="10"/>
      <c r="G88" s="9"/>
      <c r="H88" s="9"/>
      <c r="I88" s="9"/>
      <c r="J88" s="9"/>
      <c r="K88" s="9"/>
      <c r="L88" s="9"/>
      <c r="O88" s="9"/>
      <c r="P88" s="9"/>
      <c r="Q88" s="9"/>
      <c r="R88" s="9"/>
      <c r="S88" s="9"/>
      <c r="T88" s="9"/>
    </row>
    <row r="89" spans="3:20">
      <c r="C89" s="9"/>
      <c r="D89" s="9"/>
      <c r="E89" s="9"/>
      <c r="F89" s="10"/>
      <c r="G89" s="9"/>
      <c r="H89" s="9"/>
      <c r="I89" s="9"/>
      <c r="J89" s="9"/>
      <c r="K89" s="9"/>
      <c r="L89" s="9"/>
      <c r="O89" s="9"/>
      <c r="P89" s="9"/>
      <c r="Q89" s="9"/>
      <c r="R89" s="9"/>
      <c r="S89" s="9"/>
      <c r="T89" s="9"/>
    </row>
    <row r="90" spans="3:20">
      <c r="C90" s="9"/>
      <c r="D90" s="9"/>
      <c r="E90" s="9"/>
      <c r="F90" s="10"/>
      <c r="G90" s="9"/>
      <c r="H90" s="9"/>
      <c r="I90" s="9"/>
      <c r="J90" s="9"/>
      <c r="K90" s="9"/>
      <c r="L90" s="9"/>
      <c r="O90" s="9"/>
      <c r="P90" s="9"/>
      <c r="Q90" s="9"/>
      <c r="R90" s="9"/>
      <c r="S90" s="9"/>
      <c r="T90" s="9"/>
    </row>
    <row r="91" spans="3:20">
      <c r="C91" s="9"/>
      <c r="D91" s="9"/>
      <c r="E91" s="9"/>
      <c r="F91" s="10"/>
      <c r="G91" s="9"/>
      <c r="H91" s="9"/>
      <c r="I91" s="9"/>
      <c r="J91" s="9"/>
      <c r="K91" s="9"/>
      <c r="L91" s="9"/>
      <c r="O91" s="9"/>
      <c r="P91" s="9"/>
      <c r="Q91" s="9"/>
      <c r="R91" s="9"/>
      <c r="S91" s="9"/>
      <c r="T91" s="9"/>
    </row>
    <row r="92" spans="3:20">
      <c r="C92" s="9"/>
      <c r="D92" s="9"/>
      <c r="E92" s="9"/>
      <c r="F92" s="10"/>
      <c r="G92" s="9"/>
      <c r="H92" s="9"/>
      <c r="I92" s="9"/>
      <c r="J92" s="9"/>
      <c r="K92" s="9"/>
      <c r="L92" s="9"/>
      <c r="O92" s="9"/>
      <c r="P92" s="9"/>
      <c r="Q92" s="9"/>
      <c r="R92" s="9"/>
      <c r="S92" s="9"/>
      <c r="T92" s="9"/>
    </row>
    <row r="93" spans="3:20">
      <c r="C93" s="9"/>
      <c r="D93" s="9"/>
      <c r="E93" s="9"/>
      <c r="F93" s="10"/>
      <c r="G93" s="9"/>
      <c r="H93" s="9"/>
      <c r="I93" s="9"/>
      <c r="J93" s="9"/>
      <c r="K93" s="9"/>
      <c r="L93" s="9"/>
      <c r="O93" s="9"/>
      <c r="P93" s="9"/>
      <c r="Q93" s="9"/>
      <c r="R93" s="9"/>
      <c r="S93" s="9"/>
      <c r="T93" s="9"/>
    </row>
    <row r="94" spans="3:20">
      <c r="C94" s="9"/>
      <c r="D94" s="9"/>
      <c r="E94" s="9"/>
      <c r="F94" s="10"/>
      <c r="G94" s="9"/>
      <c r="H94" s="9"/>
      <c r="I94" s="9"/>
      <c r="J94" s="9"/>
      <c r="K94" s="9"/>
      <c r="L94" s="9"/>
      <c r="O94" s="9"/>
      <c r="P94" s="9"/>
      <c r="Q94" s="9"/>
      <c r="R94" s="9"/>
      <c r="S94" s="9"/>
      <c r="T94" s="9"/>
    </row>
    <row r="95" spans="3:20">
      <c r="C95" s="9"/>
      <c r="D95" s="9"/>
      <c r="E95" s="9"/>
      <c r="F95" s="10"/>
      <c r="G95" s="9"/>
      <c r="H95" s="9"/>
      <c r="I95" s="9"/>
      <c r="J95" s="9"/>
      <c r="K95" s="9"/>
      <c r="L95" s="9"/>
      <c r="O95" s="9"/>
      <c r="P95" s="9"/>
      <c r="Q95" s="9"/>
      <c r="R95" s="9"/>
      <c r="S95" s="9"/>
      <c r="T95" s="9"/>
    </row>
    <row r="96" spans="3:20">
      <c r="C96" s="9"/>
      <c r="D96" s="9"/>
      <c r="E96" s="9"/>
      <c r="F96" s="10"/>
      <c r="G96" s="9"/>
      <c r="H96" s="9"/>
      <c r="I96" s="9"/>
      <c r="J96" s="9"/>
      <c r="K96" s="9"/>
      <c r="L96" s="9"/>
      <c r="O96" s="9"/>
      <c r="P96" s="9"/>
      <c r="Q96" s="9"/>
      <c r="R96" s="9"/>
      <c r="S96" s="9"/>
      <c r="T96" s="9"/>
    </row>
    <row r="97" spans="3:20">
      <c r="C97" s="9"/>
      <c r="D97" s="9"/>
      <c r="E97" s="9"/>
      <c r="F97" s="10"/>
      <c r="G97" s="9"/>
      <c r="H97" s="9"/>
      <c r="I97" s="9"/>
      <c r="J97" s="9"/>
      <c r="K97" s="9"/>
      <c r="L97" s="9"/>
      <c r="O97" s="9"/>
      <c r="P97" s="9"/>
      <c r="Q97" s="9"/>
      <c r="R97" s="9"/>
      <c r="S97" s="9"/>
      <c r="T97" s="9"/>
    </row>
    <row r="98" spans="3:20">
      <c r="C98" s="9"/>
      <c r="D98" s="9"/>
      <c r="E98" s="9"/>
      <c r="F98" s="10"/>
      <c r="G98" s="9"/>
      <c r="H98" s="9"/>
      <c r="I98" s="9"/>
      <c r="J98" s="9"/>
      <c r="K98" s="9"/>
      <c r="L98" s="9"/>
      <c r="O98" s="9"/>
      <c r="P98" s="9"/>
      <c r="Q98" s="9"/>
      <c r="R98" s="9"/>
      <c r="S98" s="9"/>
      <c r="T98" s="9"/>
    </row>
    <row r="99" spans="3:20">
      <c r="C99" s="9"/>
      <c r="D99" s="9"/>
      <c r="E99" s="9"/>
      <c r="F99" s="10"/>
      <c r="G99" s="9"/>
      <c r="H99" s="9"/>
      <c r="I99" s="9"/>
      <c r="J99" s="9"/>
      <c r="K99" s="9"/>
      <c r="L99" s="9"/>
      <c r="O99" s="9"/>
      <c r="P99" s="9"/>
      <c r="Q99" s="9"/>
      <c r="R99" s="9"/>
      <c r="S99" s="9"/>
      <c r="T99" s="9"/>
    </row>
    <row r="100" spans="3:20">
      <c r="C100" s="9"/>
      <c r="D100" s="9"/>
      <c r="E100" s="9"/>
      <c r="F100" s="10"/>
      <c r="G100" s="9"/>
      <c r="H100" s="9"/>
      <c r="I100" s="9"/>
      <c r="J100" s="9"/>
      <c r="K100" s="9"/>
      <c r="L100" s="9"/>
      <c r="O100" s="9"/>
      <c r="P100" s="9"/>
      <c r="Q100" s="9"/>
      <c r="R100" s="9"/>
      <c r="S100" s="9"/>
      <c r="T100" s="9"/>
    </row>
    <row r="101" spans="3:20">
      <c r="C101" s="9"/>
      <c r="D101" s="9"/>
      <c r="E101" s="9"/>
      <c r="F101" s="10"/>
      <c r="G101" s="9"/>
      <c r="H101" s="9"/>
      <c r="I101" s="9"/>
      <c r="J101" s="9"/>
      <c r="K101" s="9"/>
      <c r="L101" s="9"/>
      <c r="O101" s="9"/>
      <c r="P101" s="9"/>
      <c r="Q101" s="9"/>
      <c r="R101" s="9"/>
      <c r="S101" s="9"/>
      <c r="T101" s="9"/>
    </row>
    <row r="102" spans="3:20">
      <c r="C102" s="9"/>
      <c r="D102" s="9"/>
      <c r="E102" s="9"/>
      <c r="F102" s="10"/>
      <c r="G102" s="9"/>
      <c r="H102" s="9"/>
      <c r="I102" s="9"/>
      <c r="J102" s="9"/>
      <c r="K102" s="9"/>
      <c r="L102" s="9"/>
      <c r="O102" s="9"/>
      <c r="P102" s="9"/>
      <c r="Q102" s="9"/>
      <c r="R102" s="9"/>
      <c r="S102" s="9"/>
      <c r="T102" s="9"/>
    </row>
    <row r="103" spans="3:20">
      <c r="C103" s="9"/>
      <c r="D103" s="9"/>
      <c r="E103" s="9"/>
      <c r="F103" s="10"/>
      <c r="G103" s="9"/>
      <c r="H103" s="9"/>
      <c r="I103" s="9"/>
      <c r="J103" s="9"/>
      <c r="K103" s="9"/>
      <c r="L103" s="9"/>
      <c r="O103" s="9"/>
      <c r="P103" s="9"/>
      <c r="Q103" s="9"/>
      <c r="R103" s="9"/>
      <c r="S103" s="9"/>
      <c r="T103" s="9"/>
    </row>
    <row r="104" spans="3:20">
      <c r="C104" s="9"/>
      <c r="D104" s="9"/>
      <c r="E104" s="9"/>
      <c r="F104" s="10"/>
      <c r="G104" s="9"/>
      <c r="H104" s="9"/>
      <c r="I104" s="9"/>
      <c r="J104" s="9"/>
      <c r="K104" s="9"/>
      <c r="L104" s="9"/>
      <c r="O104" s="9"/>
      <c r="P104" s="9"/>
      <c r="Q104" s="9"/>
      <c r="R104" s="9"/>
      <c r="S104" s="9"/>
      <c r="T104" s="9"/>
    </row>
    <row r="105" spans="3:20">
      <c r="C105" s="9"/>
      <c r="D105" s="9"/>
      <c r="E105" s="9"/>
      <c r="F105" s="10"/>
      <c r="G105" s="9"/>
      <c r="H105" s="9"/>
      <c r="I105" s="9"/>
      <c r="J105" s="9"/>
      <c r="K105" s="9"/>
      <c r="L105" s="9"/>
      <c r="O105" s="9"/>
      <c r="P105" s="9"/>
      <c r="Q105" s="9"/>
      <c r="R105" s="9"/>
      <c r="S105" s="9"/>
      <c r="T105" s="9"/>
    </row>
    <row r="106" spans="3:20">
      <c r="C106" s="9"/>
      <c r="D106" s="9"/>
      <c r="E106" s="9"/>
      <c r="F106" s="10"/>
      <c r="G106" s="9"/>
      <c r="H106" s="9"/>
      <c r="I106" s="9"/>
      <c r="J106" s="9"/>
      <c r="K106" s="9"/>
      <c r="L106" s="9"/>
      <c r="O106" s="9"/>
      <c r="P106" s="9"/>
      <c r="Q106" s="9"/>
      <c r="R106" s="9"/>
      <c r="S106" s="9"/>
      <c r="T106" s="9"/>
    </row>
    <row r="107" spans="3:20">
      <c r="C107" s="9"/>
      <c r="D107" s="9"/>
      <c r="E107" s="9"/>
      <c r="F107" s="10"/>
      <c r="G107" s="9"/>
      <c r="H107" s="9"/>
      <c r="I107" s="9"/>
      <c r="J107" s="9"/>
      <c r="K107" s="9"/>
      <c r="L107" s="9"/>
      <c r="O107" s="9"/>
      <c r="P107" s="9"/>
      <c r="Q107" s="9"/>
      <c r="R107" s="9"/>
      <c r="S107" s="9"/>
      <c r="T107" s="9"/>
    </row>
    <row r="108" spans="3:20">
      <c r="C108" s="9"/>
      <c r="D108" s="9"/>
      <c r="E108" s="9"/>
      <c r="F108" s="10"/>
      <c r="G108" s="9"/>
      <c r="H108" s="9"/>
      <c r="I108" s="9"/>
      <c r="J108" s="9"/>
      <c r="K108" s="9"/>
      <c r="L108" s="9"/>
      <c r="O108" s="9"/>
      <c r="P108" s="9"/>
      <c r="Q108" s="9"/>
      <c r="R108" s="9"/>
      <c r="S108" s="9"/>
      <c r="T108" s="9"/>
    </row>
    <row r="109" spans="3:20">
      <c r="C109" s="9"/>
      <c r="D109" s="9"/>
      <c r="E109" s="9"/>
      <c r="F109" s="10"/>
      <c r="G109" s="9"/>
      <c r="H109" s="9"/>
      <c r="I109" s="9"/>
      <c r="J109" s="9"/>
      <c r="K109" s="9"/>
      <c r="L109" s="9"/>
      <c r="O109" s="9"/>
      <c r="P109" s="9"/>
      <c r="Q109" s="9"/>
      <c r="R109" s="9"/>
      <c r="S109" s="9"/>
      <c r="T109" s="9"/>
    </row>
    <row r="110" spans="3:20">
      <c r="C110" s="9"/>
      <c r="D110" s="9"/>
      <c r="E110" s="9"/>
      <c r="F110" s="10"/>
      <c r="G110" s="9"/>
      <c r="H110" s="9"/>
      <c r="I110" s="9"/>
      <c r="J110" s="9"/>
      <c r="K110" s="9"/>
      <c r="L110" s="9"/>
      <c r="O110" s="9"/>
      <c r="P110" s="9"/>
      <c r="Q110" s="9"/>
      <c r="R110" s="9"/>
      <c r="S110" s="9"/>
      <c r="T110" s="9"/>
    </row>
    <row r="111" spans="3:20">
      <c r="C111" s="9"/>
      <c r="D111" s="9"/>
      <c r="E111" s="9"/>
      <c r="F111" s="10"/>
      <c r="G111" s="9"/>
      <c r="H111" s="9"/>
      <c r="I111" s="9"/>
      <c r="J111" s="9"/>
      <c r="K111" s="9"/>
      <c r="L111" s="9"/>
      <c r="O111" s="9"/>
      <c r="P111" s="9"/>
      <c r="Q111" s="9"/>
      <c r="R111" s="9"/>
      <c r="S111" s="9"/>
      <c r="T111" s="9"/>
    </row>
    <row r="112" spans="3:20">
      <c r="C112" s="9"/>
      <c r="D112" s="9"/>
      <c r="E112" s="9"/>
      <c r="F112" s="10"/>
      <c r="G112" s="9"/>
      <c r="H112" s="9"/>
      <c r="I112" s="9"/>
      <c r="J112" s="9"/>
      <c r="K112" s="9"/>
      <c r="L112" s="9"/>
      <c r="O112" s="9"/>
      <c r="P112" s="9"/>
      <c r="Q112" s="9"/>
      <c r="R112" s="9"/>
      <c r="S112" s="9"/>
      <c r="T112" s="9"/>
    </row>
    <row r="113" spans="3:20">
      <c r="C113" s="9"/>
      <c r="D113" s="9"/>
      <c r="E113" s="9"/>
      <c r="F113" s="10"/>
      <c r="G113" s="9"/>
      <c r="H113" s="9"/>
      <c r="I113" s="9"/>
      <c r="J113" s="9"/>
      <c r="K113" s="9"/>
      <c r="L113" s="9"/>
      <c r="O113" s="9"/>
      <c r="P113" s="9"/>
      <c r="Q113" s="9"/>
      <c r="R113" s="9"/>
      <c r="S113" s="9"/>
      <c r="T113" s="9"/>
    </row>
    <row r="114" spans="3:20">
      <c r="C114" s="9"/>
      <c r="D114" s="9"/>
      <c r="E114" s="9"/>
      <c r="F114" s="10"/>
      <c r="G114" s="9"/>
      <c r="H114" s="9"/>
      <c r="I114" s="9"/>
      <c r="J114" s="9"/>
      <c r="K114" s="9"/>
      <c r="L114" s="9"/>
      <c r="O114" s="9"/>
      <c r="P114" s="9"/>
      <c r="Q114" s="9"/>
      <c r="R114" s="9"/>
      <c r="S114" s="9"/>
      <c r="T114" s="9"/>
    </row>
    <row r="115" spans="3:20">
      <c r="C115" s="9"/>
      <c r="D115" s="9"/>
      <c r="E115" s="9"/>
      <c r="F115" s="10"/>
      <c r="G115" s="9"/>
      <c r="H115" s="9"/>
      <c r="I115" s="9"/>
      <c r="J115" s="9"/>
      <c r="K115" s="9"/>
      <c r="L115" s="9"/>
      <c r="O115" s="9"/>
      <c r="P115" s="9"/>
      <c r="Q115" s="9"/>
      <c r="R115" s="9"/>
      <c r="S115" s="9"/>
      <c r="T115" s="9"/>
    </row>
    <row r="116" spans="3:20">
      <c r="C116" s="9"/>
      <c r="D116" s="9"/>
      <c r="E116" s="9"/>
      <c r="F116" s="10"/>
      <c r="G116" s="9"/>
      <c r="H116" s="9"/>
      <c r="I116" s="9"/>
      <c r="J116" s="9"/>
      <c r="K116" s="9"/>
      <c r="L116" s="9"/>
      <c r="O116" s="9"/>
      <c r="P116" s="9"/>
      <c r="Q116" s="9"/>
      <c r="R116" s="9"/>
      <c r="S116" s="9"/>
      <c r="T116" s="9"/>
    </row>
    <row r="117" spans="3:20">
      <c r="C117" s="9"/>
      <c r="D117" s="9"/>
      <c r="E117" s="9"/>
      <c r="F117" s="10"/>
      <c r="G117" s="9"/>
      <c r="H117" s="9"/>
      <c r="I117" s="9"/>
      <c r="J117" s="9"/>
      <c r="K117" s="9"/>
      <c r="L117" s="9"/>
      <c r="O117" s="9"/>
      <c r="P117" s="9"/>
      <c r="Q117" s="9"/>
      <c r="R117" s="9"/>
      <c r="S117" s="9"/>
      <c r="T117" s="9"/>
    </row>
    <row r="118" spans="3:20">
      <c r="C118" s="9"/>
      <c r="D118" s="9"/>
      <c r="E118" s="9"/>
      <c r="F118" s="10"/>
      <c r="G118" s="9"/>
      <c r="H118" s="9"/>
      <c r="I118" s="9"/>
      <c r="J118" s="9"/>
      <c r="K118" s="9"/>
      <c r="L118" s="9"/>
      <c r="O118" s="9"/>
      <c r="P118" s="9"/>
      <c r="Q118" s="9"/>
      <c r="R118" s="9"/>
      <c r="S118" s="9"/>
      <c r="T118" s="9"/>
    </row>
    <row r="119" spans="3:20">
      <c r="C119" s="9"/>
      <c r="D119" s="9"/>
      <c r="E119" s="9"/>
      <c r="F119" s="10"/>
      <c r="G119" s="9"/>
      <c r="H119" s="9"/>
      <c r="I119" s="9"/>
      <c r="J119" s="9"/>
      <c r="K119" s="9"/>
      <c r="L119" s="9"/>
      <c r="O119" s="9"/>
      <c r="P119" s="9"/>
      <c r="Q119" s="9"/>
      <c r="R119" s="9"/>
      <c r="S119" s="9"/>
      <c r="T119" s="9"/>
    </row>
    <row r="120" spans="3:20">
      <c r="C120" s="9"/>
      <c r="D120" s="9"/>
      <c r="E120" s="9"/>
      <c r="F120" s="10"/>
      <c r="G120" s="9"/>
      <c r="H120" s="9"/>
      <c r="I120" s="9"/>
      <c r="J120" s="9"/>
      <c r="K120" s="9"/>
      <c r="L120" s="9"/>
      <c r="O120" s="9"/>
      <c r="P120" s="9"/>
      <c r="Q120" s="9"/>
      <c r="R120" s="9"/>
      <c r="S120" s="9"/>
      <c r="T120" s="9"/>
    </row>
    <row r="121" spans="3:20">
      <c r="C121" s="9"/>
      <c r="D121" s="9"/>
      <c r="E121" s="9"/>
      <c r="F121" s="10"/>
      <c r="G121" s="9"/>
      <c r="H121" s="9"/>
      <c r="I121" s="9"/>
      <c r="J121" s="9"/>
      <c r="K121" s="9"/>
      <c r="L121" s="9"/>
      <c r="O121" s="9"/>
      <c r="P121" s="9"/>
      <c r="Q121" s="9"/>
      <c r="R121" s="9"/>
      <c r="S121" s="9"/>
      <c r="T121" s="9"/>
    </row>
    <row r="122" spans="3:20">
      <c r="C122" s="9"/>
      <c r="D122" s="9"/>
      <c r="E122" s="9"/>
      <c r="F122" s="10"/>
      <c r="G122" s="9"/>
      <c r="H122" s="9"/>
      <c r="I122" s="9"/>
      <c r="J122" s="9"/>
      <c r="K122" s="9"/>
      <c r="L122" s="9"/>
      <c r="O122" s="9"/>
      <c r="P122" s="9"/>
      <c r="Q122" s="9"/>
      <c r="R122" s="9"/>
      <c r="S122" s="9"/>
      <c r="T122" s="9"/>
    </row>
    <row r="123" spans="3:20">
      <c r="C123" s="9"/>
      <c r="D123" s="9"/>
      <c r="E123" s="9"/>
      <c r="F123" s="10"/>
      <c r="G123" s="9"/>
      <c r="H123" s="9"/>
      <c r="I123" s="9"/>
      <c r="J123" s="9"/>
      <c r="K123" s="9"/>
      <c r="L123" s="9"/>
      <c r="O123" s="9"/>
      <c r="P123" s="9"/>
      <c r="Q123" s="9"/>
      <c r="R123" s="9"/>
      <c r="S123" s="9"/>
      <c r="T123" s="9"/>
    </row>
    <row r="124" spans="3:20">
      <c r="C124" s="9"/>
      <c r="D124" s="9"/>
      <c r="E124" s="9"/>
      <c r="F124" s="10"/>
      <c r="G124" s="9"/>
      <c r="H124" s="9"/>
      <c r="I124" s="9"/>
      <c r="J124" s="9"/>
      <c r="K124" s="9"/>
      <c r="L124" s="9"/>
      <c r="O124" s="9"/>
      <c r="P124" s="9"/>
      <c r="Q124" s="9"/>
      <c r="R124" s="9"/>
      <c r="S124" s="9"/>
      <c r="T124" s="9"/>
    </row>
    <row r="125" spans="3:20">
      <c r="C125" s="9"/>
      <c r="D125" s="9"/>
      <c r="E125" s="9"/>
      <c r="F125" s="10"/>
      <c r="G125" s="9"/>
      <c r="H125" s="9"/>
      <c r="I125" s="9"/>
      <c r="J125" s="9"/>
      <c r="K125" s="9"/>
      <c r="L125" s="9"/>
      <c r="O125" s="9"/>
      <c r="P125" s="9"/>
      <c r="Q125" s="9"/>
      <c r="R125" s="9"/>
      <c r="S125" s="9"/>
      <c r="T125" s="9"/>
    </row>
    <row r="126" spans="3:20">
      <c r="C126" s="9"/>
      <c r="D126" s="9"/>
      <c r="E126" s="9"/>
      <c r="F126" s="10"/>
      <c r="G126" s="9"/>
      <c r="H126" s="9"/>
      <c r="I126" s="9"/>
      <c r="J126" s="9"/>
      <c r="K126" s="9"/>
      <c r="L126" s="9"/>
      <c r="O126" s="9"/>
      <c r="P126" s="9"/>
      <c r="Q126" s="9"/>
      <c r="R126" s="9"/>
      <c r="S126" s="9"/>
      <c r="T126" s="9"/>
    </row>
    <row r="127" spans="3:20">
      <c r="C127" s="9"/>
      <c r="D127" s="9"/>
      <c r="E127" s="9"/>
      <c r="F127" s="10"/>
      <c r="G127" s="9"/>
      <c r="H127" s="9"/>
      <c r="I127" s="9"/>
      <c r="J127" s="9"/>
      <c r="K127" s="9"/>
      <c r="L127" s="9"/>
      <c r="O127" s="9"/>
      <c r="P127" s="9"/>
      <c r="Q127" s="9"/>
      <c r="R127" s="9"/>
      <c r="S127" s="9"/>
      <c r="T127" s="9"/>
    </row>
    <row r="128" spans="3:20">
      <c r="C128" s="9"/>
      <c r="D128" s="9"/>
      <c r="E128" s="9"/>
      <c r="F128" s="10"/>
      <c r="G128" s="9"/>
      <c r="H128" s="9"/>
      <c r="I128" s="9"/>
      <c r="J128" s="9"/>
      <c r="K128" s="9"/>
      <c r="L128" s="9"/>
      <c r="O128" s="9"/>
      <c r="P128" s="9"/>
      <c r="Q128" s="9"/>
      <c r="R128" s="9"/>
      <c r="S128" s="9"/>
      <c r="T128" s="9"/>
    </row>
    <row r="129" spans="3:20">
      <c r="C129" s="9"/>
      <c r="D129" s="9"/>
      <c r="E129" s="9"/>
      <c r="F129" s="10"/>
      <c r="G129" s="9"/>
      <c r="H129" s="9"/>
      <c r="I129" s="9"/>
      <c r="J129" s="9"/>
      <c r="K129" s="9"/>
      <c r="L129" s="9"/>
      <c r="O129" s="9"/>
      <c r="P129" s="9"/>
      <c r="Q129" s="9"/>
      <c r="R129" s="9"/>
      <c r="S129" s="9"/>
      <c r="T129" s="9"/>
    </row>
    <row r="130" spans="3:20">
      <c r="C130" s="9"/>
      <c r="D130" s="9"/>
      <c r="E130" s="9"/>
      <c r="F130" s="10"/>
      <c r="G130" s="9"/>
      <c r="H130" s="9"/>
      <c r="I130" s="9"/>
      <c r="J130" s="9"/>
      <c r="K130" s="9"/>
      <c r="L130" s="9"/>
      <c r="O130" s="9"/>
      <c r="P130" s="9"/>
      <c r="Q130" s="9"/>
      <c r="R130" s="9"/>
      <c r="S130" s="9"/>
      <c r="T130" s="9"/>
    </row>
    <row r="131" spans="3:20">
      <c r="C131" s="9"/>
      <c r="D131" s="9"/>
      <c r="E131" s="9"/>
      <c r="F131" s="10"/>
      <c r="G131" s="9"/>
      <c r="H131" s="9"/>
      <c r="I131" s="9"/>
      <c r="J131" s="9"/>
      <c r="K131" s="9"/>
      <c r="L131" s="9"/>
      <c r="O131" s="9"/>
      <c r="P131" s="9"/>
      <c r="Q131" s="9"/>
      <c r="R131" s="9"/>
      <c r="S131" s="9"/>
      <c r="T131" s="9"/>
    </row>
    <row r="132" spans="3:20">
      <c r="C132" s="9"/>
      <c r="D132" s="9"/>
      <c r="E132" s="9"/>
      <c r="F132" s="10"/>
      <c r="G132" s="9"/>
      <c r="H132" s="9"/>
      <c r="I132" s="9"/>
      <c r="J132" s="9"/>
      <c r="K132" s="9"/>
      <c r="L132" s="9"/>
      <c r="O132" s="9"/>
      <c r="P132" s="9"/>
      <c r="Q132" s="9"/>
      <c r="R132" s="9"/>
      <c r="S132" s="9"/>
      <c r="T132" s="9"/>
    </row>
    <row r="133" spans="3:20">
      <c r="C133" s="9"/>
      <c r="D133" s="9"/>
      <c r="E133" s="9"/>
      <c r="F133" s="10"/>
      <c r="G133" s="9"/>
      <c r="H133" s="9"/>
      <c r="I133" s="9"/>
      <c r="J133" s="9"/>
      <c r="K133" s="9"/>
      <c r="L133" s="9"/>
      <c r="O133" s="9"/>
      <c r="P133" s="9"/>
      <c r="Q133" s="9"/>
      <c r="R133" s="9"/>
      <c r="S133" s="9"/>
      <c r="T133" s="9"/>
    </row>
    <row r="134" spans="3:20">
      <c r="C134" s="9"/>
      <c r="D134" s="9"/>
      <c r="E134" s="9"/>
      <c r="F134" s="10"/>
      <c r="G134" s="9"/>
      <c r="H134" s="9"/>
      <c r="I134" s="9"/>
      <c r="J134" s="9"/>
      <c r="K134" s="9"/>
      <c r="L134" s="9"/>
      <c r="O134" s="9"/>
      <c r="P134" s="9"/>
      <c r="Q134" s="9"/>
      <c r="R134" s="9"/>
      <c r="S134" s="9"/>
      <c r="T134" s="9"/>
    </row>
    <row r="135" spans="3:20">
      <c r="C135" s="9"/>
      <c r="D135" s="9"/>
      <c r="E135" s="9"/>
      <c r="F135" s="10"/>
      <c r="G135" s="9"/>
      <c r="H135" s="9"/>
      <c r="I135" s="9"/>
      <c r="J135" s="9"/>
      <c r="K135" s="9"/>
      <c r="L135" s="9"/>
      <c r="O135" s="9"/>
      <c r="P135" s="9"/>
      <c r="Q135" s="9"/>
      <c r="R135" s="9"/>
      <c r="S135" s="9"/>
      <c r="T135" s="9"/>
    </row>
    <row r="136" spans="3:20">
      <c r="C136" s="9"/>
      <c r="D136" s="9"/>
      <c r="E136" s="9"/>
      <c r="F136" s="10"/>
      <c r="G136" s="9"/>
      <c r="H136" s="9"/>
      <c r="I136" s="9"/>
      <c r="J136" s="9"/>
      <c r="K136" s="9"/>
      <c r="L136" s="9"/>
      <c r="O136" s="9"/>
      <c r="P136" s="9"/>
      <c r="Q136" s="9"/>
      <c r="R136" s="9"/>
      <c r="S136" s="9"/>
      <c r="T136" s="9"/>
    </row>
    <row r="137" spans="3:20">
      <c r="C137" s="9"/>
      <c r="D137" s="9"/>
      <c r="E137" s="9"/>
      <c r="F137" s="10"/>
      <c r="G137" s="9"/>
      <c r="H137" s="9"/>
      <c r="I137" s="9"/>
      <c r="J137" s="9"/>
      <c r="K137" s="9"/>
      <c r="L137" s="9"/>
      <c r="O137" s="9"/>
      <c r="P137" s="9"/>
      <c r="Q137" s="9"/>
      <c r="R137" s="9"/>
      <c r="S137" s="9"/>
      <c r="T137" s="9"/>
    </row>
    <row r="138" spans="3:20">
      <c r="C138" s="9"/>
      <c r="D138" s="9"/>
      <c r="E138" s="9"/>
      <c r="F138" s="10"/>
      <c r="G138" s="9"/>
      <c r="H138" s="9"/>
      <c r="I138" s="9"/>
      <c r="J138" s="9"/>
      <c r="K138" s="9"/>
      <c r="L138" s="9"/>
      <c r="O138" s="9"/>
      <c r="P138" s="9"/>
      <c r="Q138" s="9"/>
      <c r="R138" s="9"/>
      <c r="S138" s="9"/>
      <c r="T138" s="9"/>
    </row>
    <row r="139" spans="3:20">
      <c r="C139" s="9"/>
      <c r="D139" s="9"/>
      <c r="E139" s="9"/>
      <c r="F139" s="10"/>
      <c r="G139" s="9"/>
      <c r="H139" s="9"/>
      <c r="I139" s="9"/>
      <c r="J139" s="9"/>
      <c r="K139" s="9"/>
      <c r="L139" s="9"/>
      <c r="O139" s="9"/>
      <c r="P139" s="9"/>
      <c r="Q139" s="9"/>
      <c r="R139" s="9"/>
      <c r="S139" s="9"/>
      <c r="T139" s="9"/>
    </row>
    <row r="140" spans="3:20">
      <c r="C140" s="9"/>
      <c r="D140" s="9"/>
      <c r="E140" s="9"/>
      <c r="F140" s="10"/>
      <c r="G140" s="9"/>
      <c r="H140" s="9"/>
      <c r="I140" s="9"/>
      <c r="J140" s="9"/>
      <c r="K140" s="9"/>
      <c r="L140" s="9"/>
      <c r="O140" s="9"/>
      <c r="P140" s="9"/>
      <c r="Q140" s="9"/>
      <c r="R140" s="9"/>
      <c r="S140" s="9"/>
      <c r="T140" s="9"/>
    </row>
    <row r="141" spans="3:20">
      <c r="C141" s="9"/>
      <c r="D141" s="9"/>
      <c r="E141" s="9"/>
      <c r="F141" s="10"/>
      <c r="G141" s="9"/>
      <c r="H141" s="9"/>
      <c r="I141" s="9"/>
      <c r="J141" s="9"/>
      <c r="K141" s="9"/>
      <c r="L141" s="9"/>
      <c r="O141" s="9"/>
      <c r="P141" s="9"/>
      <c r="Q141" s="9"/>
      <c r="R141" s="9"/>
      <c r="S141" s="9"/>
      <c r="T141" s="9"/>
    </row>
    <row r="142" spans="3:20">
      <c r="C142" s="9"/>
      <c r="D142" s="9"/>
      <c r="E142" s="9"/>
      <c r="F142" s="10"/>
      <c r="G142" s="9"/>
      <c r="H142" s="9"/>
      <c r="I142" s="9"/>
      <c r="J142" s="9"/>
      <c r="K142" s="9"/>
      <c r="L142" s="9"/>
      <c r="O142" s="9"/>
      <c r="P142" s="9"/>
      <c r="Q142" s="9"/>
      <c r="R142" s="9"/>
      <c r="S142" s="9"/>
      <c r="T142" s="9"/>
    </row>
    <row r="143" spans="3:20">
      <c r="C143" s="9"/>
      <c r="D143" s="9"/>
      <c r="E143" s="9"/>
      <c r="F143" s="10"/>
      <c r="G143" s="9"/>
      <c r="H143" s="9"/>
      <c r="I143" s="9"/>
      <c r="J143" s="9"/>
      <c r="K143" s="9"/>
      <c r="L143" s="9"/>
      <c r="O143" s="9"/>
      <c r="P143" s="9"/>
      <c r="Q143" s="9"/>
      <c r="R143" s="9"/>
      <c r="S143" s="9"/>
      <c r="T143" s="9"/>
    </row>
    <row r="144" spans="3:20">
      <c r="C144" s="9"/>
      <c r="D144" s="9"/>
      <c r="E144" s="9"/>
      <c r="F144" s="10"/>
      <c r="G144" s="9"/>
      <c r="H144" s="9"/>
      <c r="I144" s="9"/>
      <c r="J144" s="9"/>
      <c r="K144" s="9"/>
      <c r="L144" s="9"/>
      <c r="O144" s="9"/>
      <c r="P144" s="9"/>
      <c r="Q144" s="9"/>
      <c r="R144" s="9"/>
      <c r="S144" s="9"/>
      <c r="T144" s="9"/>
    </row>
    <row r="145" spans="3:20">
      <c r="C145" s="9"/>
      <c r="D145" s="9"/>
      <c r="E145" s="9"/>
      <c r="F145" s="10"/>
      <c r="G145" s="9"/>
      <c r="H145" s="9"/>
      <c r="I145" s="9"/>
      <c r="J145" s="9"/>
      <c r="K145" s="9"/>
      <c r="L145" s="9"/>
      <c r="O145" s="9"/>
      <c r="P145" s="9"/>
      <c r="Q145" s="9"/>
      <c r="R145" s="9"/>
      <c r="S145" s="9"/>
      <c r="T145" s="9"/>
    </row>
    <row r="146" spans="3:20">
      <c r="C146" s="9"/>
      <c r="D146" s="9"/>
      <c r="E146" s="9"/>
      <c r="F146" s="10"/>
      <c r="G146" s="9"/>
      <c r="H146" s="9"/>
      <c r="I146" s="9"/>
      <c r="J146" s="9"/>
      <c r="K146" s="9"/>
      <c r="L146" s="9"/>
      <c r="O146" s="9"/>
      <c r="P146" s="9"/>
      <c r="Q146" s="9"/>
      <c r="R146" s="9"/>
      <c r="S146" s="9"/>
      <c r="T146" s="9"/>
    </row>
    <row r="147" spans="3:20">
      <c r="C147" s="9"/>
      <c r="D147" s="9"/>
      <c r="E147" s="9"/>
      <c r="F147" s="10"/>
      <c r="G147" s="9"/>
      <c r="H147" s="9"/>
      <c r="I147" s="9"/>
      <c r="J147" s="9"/>
      <c r="K147" s="9"/>
      <c r="L147" s="9"/>
      <c r="O147" s="9"/>
      <c r="P147" s="9"/>
      <c r="Q147" s="9"/>
      <c r="R147" s="9"/>
      <c r="S147" s="9"/>
      <c r="T147" s="9"/>
    </row>
    <row r="148" spans="3:20">
      <c r="C148" s="9"/>
      <c r="D148" s="9"/>
      <c r="E148" s="9"/>
      <c r="F148" s="10"/>
      <c r="G148" s="9"/>
      <c r="H148" s="9"/>
      <c r="I148" s="9"/>
      <c r="J148" s="9"/>
      <c r="K148" s="9"/>
      <c r="L148" s="9"/>
      <c r="O148" s="9"/>
      <c r="P148" s="9"/>
      <c r="Q148" s="9"/>
      <c r="R148" s="9"/>
      <c r="S148" s="9"/>
      <c r="T148" s="9"/>
    </row>
    <row r="149" spans="3:20">
      <c r="C149" s="9"/>
      <c r="D149" s="9"/>
      <c r="E149" s="9"/>
      <c r="F149" s="10"/>
      <c r="G149" s="9"/>
      <c r="H149" s="9"/>
      <c r="I149" s="9"/>
      <c r="J149" s="9"/>
      <c r="K149" s="9"/>
      <c r="L149" s="9"/>
      <c r="O149" s="9"/>
      <c r="P149" s="9"/>
      <c r="Q149" s="9"/>
      <c r="R149" s="9"/>
      <c r="S149" s="9"/>
      <c r="T149" s="9"/>
    </row>
    <row r="150" spans="3:20">
      <c r="C150" s="9"/>
      <c r="D150" s="9"/>
      <c r="E150" s="9"/>
      <c r="F150" s="10"/>
      <c r="G150" s="9"/>
      <c r="H150" s="9"/>
      <c r="I150" s="9"/>
      <c r="J150" s="9"/>
      <c r="K150" s="9"/>
      <c r="L150" s="9"/>
      <c r="O150" s="9"/>
      <c r="P150" s="9"/>
      <c r="Q150" s="9"/>
      <c r="R150" s="9"/>
      <c r="S150" s="9"/>
      <c r="T150" s="9"/>
    </row>
    <row r="151" spans="3:20">
      <c r="C151" s="9"/>
      <c r="D151" s="9"/>
      <c r="E151" s="9"/>
      <c r="F151" s="10"/>
      <c r="G151" s="9"/>
      <c r="H151" s="9"/>
      <c r="I151" s="9"/>
      <c r="J151" s="9"/>
      <c r="K151" s="9"/>
      <c r="L151" s="9"/>
      <c r="O151" s="9"/>
      <c r="P151" s="9"/>
      <c r="Q151" s="9"/>
      <c r="R151" s="9"/>
      <c r="S151" s="9"/>
      <c r="T151" s="9"/>
    </row>
    <row r="152" spans="3:20">
      <c r="C152" s="9"/>
      <c r="D152" s="9"/>
      <c r="E152" s="9"/>
      <c r="F152" s="10"/>
      <c r="G152" s="9"/>
      <c r="H152" s="9"/>
      <c r="I152" s="9"/>
      <c r="J152" s="9"/>
      <c r="K152" s="9"/>
      <c r="L152" s="9"/>
      <c r="O152" s="9"/>
      <c r="P152" s="9"/>
      <c r="Q152" s="9"/>
      <c r="R152" s="9"/>
      <c r="S152" s="9"/>
      <c r="T152" s="9"/>
    </row>
    <row r="153" spans="3:20">
      <c r="C153" s="9"/>
      <c r="D153" s="9"/>
      <c r="E153" s="9"/>
      <c r="F153" s="10"/>
      <c r="G153" s="9"/>
      <c r="H153" s="9"/>
      <c r="I153" s="9"/>
      <c r="J153" s="9"/>
      <c r="K153" s="9"/>
      <c r="L153" s="9"/>
      <c r="O153" s="9"/>
      <c r="P153" s="9"/>
      <c r="Q153" s="9"/>
      <c r="R153" s="9"/>
      <c r="S153" s="9"/>
      <c r="T153" s="9"/>
    </row>
    <row r="154" spans="3:20">
      <c r="C154" s="9"/>
      <c r="D154" s="9"/>
      <c r="E154" s="9"/>
      <c r="F154" s="10"/>
      <c r="G154" s="9"/>
      <c r="H154" s="9"/>
      <c r="I154" s="9"/>
      <c r="J154" s="9"/>
      <c r="K154" s="9"/>
      <c r="L154" s="9"/>
      <c r="O154" s="9"/>
      <c r="P154" s="9"/>
      <c r="Q154" s="9"/>
      <c r="R154" s="9"/>
      <c r="S154" s="9"/>
      <c r="T154" s="9"/>
    </row>
    <row r="155" spans="3:20">
      <c r="C155" s="9"/>
      <c r="D155" s="9"/>
      <c r="E155" s="9"/>
      <c r="F155" s="10"/>
      <c r="G155" s="9"/>
      <c r="H155" s="9"/>
      <c r="I155" s="9"/>
      <c r="J155" s="9"/>
      <c r="K155" s="9"/>
      <c r="L155" s="9"/>
      <c r="O155" s="9"/>
      <c r="P155" s="9"/>
      <c r="Q155" s="9"/>
      <c r="R155" s="9"/>
      <c r="S155" s="9"/>
      <c r="T155" s="9"/>
    </row>
    <row r="156" spans="3:20">
      <c r="C156" s="9"/>
      <c r="D156" s="9"/>
      <c r="E156" s="9"/>
      <c r="F156" s="10"/>
      <c r="G156" s="9"/>
      <c r="H156" s="9"/>
      <c r="I156" s="9"/>
      <c r="J156" s="9"/>
      <c r="K156" s="9"/>
      <c r="L156" s="9"/>
      <c r="O156" s="9"/>
      <c r="P156" s="9"/>
      <c r="Q156" s="9"/>
      <c r="R156" s="9"/>
      <c r="S156" s="9"/>
      <c r="T156" s="9"/>
    </row>
    <row r="157" spans="3:20">
      <c r="C157" s="9"/>
      <c r="D157" s="9"/>
      <c r="E157" s="9"/>
      <c r="F157" s="10"/>
      <c r="G157" s="9"/>
      <c r="H157" s="9"/>
      <c r="I157" s="9"/>
      <c r="J157" s="9"/>
      <c r="K157" s="9"/>
      <c r="L157" s="9"/>
      <c r="O157" s="9"/>
      <c r="P157" s="9"/>
      <c r="Q157" s="9"/>
      <c r="R157" s="9"/>
      <c r="S157" s="9"/>
      <c r="T157" s="9"/>
    </row>
    <row r="158" spans="3:20">
      <c r="C158" s="9"/>
      <c r="D158" s="9"/>
      <c r="E158" s="9"/>
      <c r="F158" s="10"/>
      <c r="G158" s="9"/>
      <c r="H158" s="9"/>
      <c r="I158" s="9"/>
      <c r="J158" s="9"/>
      <c r="K158" s="9"/>
      <c r="L158" s="9"/>
      <c r="O158" s="9"/>
      <c r="P158" s="9"/>
      <c r="Q158" s="9"/>
      <c r="R158" s="9"/>
      <c r="S158" s="9"/>
      <c r="T158" s="9"/>
    </row>
    <row r="159" spans="3:20">
      <c r="C159" s="9"/>
      <c r="D159" s="9"/>
      <c r="E159" s="9"/>
      <c r="F159" s="10"/>
      <c r="G159" s="9"/>
      <c r="H159" s="9"/>
      <c r="I159" s="9"/>
      <c r="J159" s="9"/>
      <c r="K159" s="9"/>
      <c r="L159" s="9"/>
      <c r="O159" s="9"/>
      <c r="P159" s="9"/>
      <c r="Q159" s="9"/>
      <c r="R159" s="9"/>
      <c r="S159" s="9"/>
      <c r="T159" s="9"/>
    </row>
    <row r="160" spans="3:20">
      <c r="C160" s="9"/>
      <c r="D160" s="9"/>
      <c r="E160" s="9"/>
      <c r="F160" s="10"/>
      <c r="G160" s="9"/>
      <c r="H160" s="9"/>
      <c r="I160" s="9"/>
      <c r="J160" s="9"/>
      <c r="K160" s="9"/>
      <c r="L160" s="9"/>
      <c r="O160" s="9"/>
      <c r="P160" s="9"/>
      <c r="Q160" s="9"/>
      <c r="R160" s="9"/>
      <c r="S160" s="9"/>
      <c r="T160" s="9"/>
    </row>
    <row r="161" spans="3:20">
      <c r="C161" s="9"/>
      <c r="D161" s="9"/>
      <c r="E161" s="9"/>
      <c r="F161" s="10"/>
      <c r="G161" s="9"/>
      <c r="H161" s="9"/>
      <c r="I161" s="9"/>
      <c r="J161" s="9"/>
      <c r="K161" s="9"/>
      <c r="L161" s="9"/>
      <c r="O161" s="9"/>
      <c r="P161" s="9"/>
      <c r="Q161" s="9"/>
      <c r="R161" s="9"/>
      <c r="S161" s="9"/>
      <c r="T161" s="9"/>
    </row>
    <row r="162" spans="3:20">
      <c r="C162" s="9"/>
      <c r="D162" s="9"/>
      <c r="E162" s="9"/>
      <c r="F162" s="10"/>
      <c r="G162" s="9"/>
      <c r="H162" s="9"/>
      <c r="I162" s="9"/>
      <c r="J162" s="9"/>
      <c r="K162" s="9"/>
      <c r="L162" s="9"/>
      <c r="O162" s="9"/>
      <c r="P162" s="9"/>
      <c r="Q162" s="9"/>
      <c r="R162" s="9"/>
      <c r="S162" s="9"/>
      <c r="T162" s="9"/>
    </row>
    <row r="163" spans="3:20">
      <c r="C163" s="9"/>
      <c r="D163" s="9"/>
      <c r="E163" s="9"/>
      <c r="F163" s="10"/>
      <c r="G163" s="9"/>
      <c r="H163" s="9"/>
      <c r="I163" s="9"/>
      <c r="J163" s="9"/>
      <c r="K163" s="9"/>
      <c r="L163" s="9"/>
      <c r="O163" s="9"/>
      <c r="P163" s="9"/>
      <c r="Q163" s="9"/>
      <c r="R163" s="9"/>
      <c r="S163" s="9"/>
      <c r="T163" s="9"/>
    </row>
    <row r="164" spans="3:20">
      <c r="C164" s="9"/>
      <c r="D164" s="9"/>
      <c r="E164" s="9"/>
      <c r="F164" s="10"/>
      <c r="G164" s="9"/>
      <c r="H164" s="9"/>
      <c r="I164" s="9"/>
      <c r="J164" s="9"/>
      <c r="K164" s="9"/>
      <c r="L164" s="9"/>
      <c r="O164" s="9"/>
      <c r="P164" s="9"/>
      <c r="Q164" s="9"/>
      <c r="R164" s="9"/>
      <c r="S164" s="9"/>
      <c r="T164" s="9"/>
    </row>
    <row r="165" spans="3:20">
      <c r="C165" s="9"/>
      <c r="D165" s="9"/>
      <c r="E165" s="9"/>
      <c r="F165" s="10"/>
      <c r="G165" s="9"/>
      <c r="H165" s="9"/>
      <c r="I165" s="9"/>
      <c r="J165" s="9"/>
      <c r="K165" s="9"/>
      <c r="L165" s="9"/>
      <c r="O165" s="9"/>
      <c r="P165" s="9"/>
      <c r="Q165" s="9"/>
      <c r="R165" s="9"/>
      <c r="S165" s="9"/>
      <c r="T165" s="9"/>
    </row>
    <row r="166" spans="3:20">
      <c r="C166" s="9"/>
      <c r="D166" s="9"/>
      <c r="E166" s="9"/>
      <c r="F166" s="10"/>
      <c r="G166" s="9"/>
      <c r="H166" s="9"/>
      <c r="I166" s="9"/>
      <c r="J166" s="9"/>
      <c r="K166" s="9"/>
      <c r="L166" s="9"/>
      <c r="O166" s="9"/>
      <c r="P166" s="9"/>
      <c r="Q166" s="9"/>
      <c r="R166" s="9"/>
      <c r="S166" s="9"/>
      <c r="T166" s="9"/>
    </row>
    <row r="167" spans="3:20">
      <c r="C167" s="9"/>
      <c r="D167" s="9"/>
      <c r="E167" s="9"/>
      <c r="F167" s="10"/>
      <c r="G167" s="9"/>
      <c r="H167" s="9"/>
      <c r="I167" s="9"/>
      <c r="J167" s="9"/>
      <c r="K167" s="9"/>
      <c r="L167" s="9"/>
      <c r="O167" s="9"/>
      <c r="P167" s="9"/>
      <c r="Q167" s="9"/>
      <c r="R167" s="9"/>
      <c r="S167" s="9"/>
      <c r="T167" s="9"/>
    </row>
    <row r="168" spans="3:20">
      <c r="C168" s="9"/>
      <c r="D168" s="9"/>
      <c r="E168" s="9"/>
      <c r="F168" s="10"/>
      <c r="G168" s="9"/>
      <c r="H168" s="9"/>
      <c r="I168" s="9"/>
      <c r="J168" s="9"/>
      <c r="K168" s="9"/>
      <c r="L168" s="9"/>
      <c r="O168" s="9"/>
      <c r="P168" s="9"/>
      <c r="Q168" s="9"/>
      <c r="R168" s="9"/>
      <c r="S168" s="9"/>
      <c r="T168" s="9"/>
    </row>
    <row r="169" spans="3:20">
      <c r="C169" s="9"/>
      <c r="D169" s="9"/>
      <c r="E169" s="9"/>
      <c r="F169" s="10"/>
      <c r="G169" s="9"/>
      <c r="H169" s="9"/>
      <c r="I169" s="9"/>
      <c r="J169" s="9"/>
      <c r="K169" s="9"/>
      <c r="L169" s="9"/>
      <c r="O169" s="9"/>
      <c r="P169" s="9"/>
      <c r="Q169" s="9"/>
      <c r="R169" s="9"/>
      <c r="S169" s="9"/>
      <c r="T169" s="9"/>
    </row>
    <row r="170" spans="3:20">
      <c r="C170" s="9"/>
      <c r="D170" s="9"/>
      <c r="E170" s="9"/>
      <c r="F170" s="10"/>
      <c r="G170" s="9"/>
      <c r="H170" s="9"/>
      <c r="I170" s="9"/>
      <c r="J170" s="9"/>
      <c r="K170" s="9"/>
      <c r="L170" s="9"/>
      <c r="O170" s="9"/>
      <c r="P170" s="9"/>
      <c r="Q170" s="9"/>
      <c r="R170" s="9"/>
      <c r="S170" s="9"/>
      <c r="T170" s="9"/>
    </row>
    <row r="171" spans="3:20">
      <c r="C171" s="9"/>
      <c r="D171" s="9"/>
      <c r="E171" s="9"/>
      <c r="F171" s="10"/>
      <c r="G171" s="9"/>
      <c r="H171" s="9"/>
      <c r="I171" s="9"/>
      <c r="J171" s="9"/>
      <c r="K171" s="9"/>
      <c r="L171" s="9"/>
      <c r="O171" s="9"/>
      <c r="P171" s="9"/>
      <c r="Q171" s="9"/>
      <c r="R171" s="9"/>
      <c r="S171" s="9"/>
      <c r="T171" s="9"/>
    </row>
    <row r="172" spans="3:20">
      <c r="C172" s="9"/>
      <c r="D172" s="9"/>
      <c r="E172" s="9"/>
      <c r="F172" s="10"/>
      <c r="G172" s="9"/>
      <c r="H172" s="9"/>
      <c r="I172" s="9"/>
      <c r="J172" s="9"/>
      <c r="K172" s="9"/>
      <c r="L172" s="9"/>
      <c r="O172" s="9"/>
      <c r="P172" s="9"/>
      <c r="Q172" s="9"/>
      <c r="R172" s="9"/>
      <c r="S172" s="9"/>
      <c r="T172" s="9"/>
    </row>
    <row r="173" spans="3:20">
      <c r="C173" s="9"/>
      <c r="D173" s="9"/>
      <c r="E173" s="9"/>
      <c r="F173" s="10"/>
      <c r="G173" s="9"/>
      <c r="H173" s="9"/>
      <c r="I173" s="9"/>
      <c r="J173" s="9"/>
      <c r="K173" s="9"/>
      <c r="L173" s="9"/>
      <c r="O173" s="9"/>
      <c r="P173" s="9"/>
      <c r="Q173" s="9"/>
      <c r="R173" s="9"/>
      <c r="S173" s="9"/>
      <c r="T173" s="9"/>
    </row>
    <row r="174" spans="3:20">
      <c r="C174" s="9"/>
      <c r="D174" s="9"/>
      <c r="E174" s="9"/>
      <c r="F174" s="10"/>
      <c r="G174" s="9"/>
      <c r="H174" s="9"/>
      <c r="I174" s="9"/>
      <c r="J174" s="9"/>
      <c r="K174" s="9"/>
      <c r="L174" s="9"/>
      <c r="O174" s="9"/>
      <c r="P174" s="9"/>
      <c r="Q174" s="9"/>
      <c r="R174" s="9"/>
      <c r="S174" s="9"/>
      <c r="T174" s="9"/>
    </row>
    <row r="175" spans="3:20">
      <c r="C175" s="9"/>
      <c r="D175" s="9"/>
      <c r="E175" s="9"/>
      <c r="F175" s="10"/>
      <c r="G175" s="9"/>
      <c r="H175" s="9"/>
      <c r="I175" s="9"/>
      <c r="J175" s="9"/>
      <c r="K175" s="9"/>
      <c r="L175" s="9"/>
      <c r="O175" s="9"/>
      <c r="P175" s="9"/>
      <c r="Q175" s="9"/>
      <c r="R175" s="9"/>
      <c r="S175" s="9"/>
      <c r="T175" s="9"/>
    </row>
    <row r="176" spans="3:20">
      <c r="C176" s="9"/>
      <c r="D176" s="9"/>
      <c r="E176" s="9"/>
      <c r="F176" s="10"/>
      <c r="G176" s="9"/>
      <c r="H176" s="9"/>
      <c r="I176" s="9"/>
      <c r="J176" s="9"/>
      <c r="K176" s="9"/>
      <c r="L176" s="9"/>
      <c r="O176" s="9"/>
      <c r="P176" s="9"/>
      <c r="Q176" s="9"/>
      <c r="R176" s="9"/>
      <c r="S176" s="9"/>
      <c r="T176" s="9"/>
    </row>
    <row r="177" spans="3:20">
      <c r="C177" s="9"/>
      <c r="D177" s="9"/>
      <c r="E177" s="9"/>
      <c r="F177" s="10"/>
      <c r="G177" s="9"/>
      <c r="H177" s="9"/>
      <c r="I177" s="9"/>
      <c r="J177" s="9"/>
      <c r="K177" s="9"/>
      <c r="L177" s="9"/>
      <c r="O177" s="9"/>
      <c r="P177" s="9"/>
      <c r="Q177" s="9"/>
      <c r="R177" s="9"/>
      <c r="S177" s="9"/>
      <c r="T177" s="9"/>
    </row>
    <row r="178" spans="3:20">
      <c r="C178" s="9"/>
      <c r="D178" s="9"/>
      <c r="E178" s="9"/>
      <c r="F178" s="10"/>
      <c r="G178" s="9"/>
      <c r="H178" s="9"/>
      <c r="I178" s="9"/>
      <c r="J178" s="9"/>
      <c r="K178" s="9"/>
      <c r="L178" s="9"/>
      <c r="O178" s="9"/>
      <c r="P178" s="9"/>
      <c r="Q178" s="9"/>
      <c r="R178" s="9"/>
      <c r="S178" s="9"/>
      <c r="T178" s="9"/>
    </row>
    <row r="179" spans="3:20">
      <c r="C179" s="9"/>
      <c r="D179" s="9"/>
      <c r="E179" s="9"/>
      <c r="F179" s="10"/>
      <c r="G179" s="9"/>
      <c r="H179" s="9"/>
      <c r="I179" s="9"/>
      <c r="J179" s="9"/>
      <c r="K179" s="9"/>
      <c r="L179" s="9"/>
      <c r="O179" s="9"/>
      <c r="P179" s="9"/>
      <c r="Q179" s="9"/>
      <c r="R179" s="9"/>
      <c r="S179" s="9"/>
      <c r="T179" s="9"/>
    </row>
    <row r="180" spans="3:20">
      <c r="C180" s="9"/>
      <c r="D180" s="9"/>
      <c r="E180" s="9"/>
      <c r="F180" s="10"/>
      <c r="G180" s="9"/>
      <c r="H180" s="9"/>
      <c r="I180" s="9"/>
      <c r="J180" s="9"/>
      <c r="K180" s="9"/>
      <c r="L180" s="9"/>
      <c r="O180" s="9"/>
      <c r="P180" s="9"/>
      <c r="Q180" s="9"/>
      <c r="R180" s="9"/>
      <c r="S180" s="9"/>
      <c r="T180" s="9"/>
    </row>
    <row r="181" spans="3:20">
      <c r="C181" s="9"/>
      <c r="D181" s="9"/>
      <c r="E181" s="9"/>
      <c r="F181" s="10"/>
      <c r="G181" s="9"/>
      <c r="H181" s="9"/>
      <c r="I181" s="9"/>
      <c r="J181" s="9"/>
      <c r="K181" s="9"/>
      <c r="L181" s="9"/>
      <c r="O181" s="9"/>
      <c r="P181" s="9"/>
      <c r="Q181" s="9"/>
      <c r="R181" s="9"/>
      <c r="S181" s="9"/>
      <c r="T181" s="9"/>
    </row>
    <row r="182" spans="3:20">
      <c r="C182" s="9"/>
      <c r="D182" s="9"/>
      <c r="E182" s="9"/>
      <c r="F182" s="10"/>
      <c r="G182" s="9"/>
      <c r="H182" s="9"/>
      <c r="I182" s="9"/>
      <c r="J182" s="9"/>
      <c r="K182" s="9"/>
      <c r="L182" s="9"/>
      <c r="O182" s="9"/>
      <c r="P182" s="9"/>
      <c r="Q182" s="9"/>
      <c r="R182" s="9"/>
      <c r="S182" s="9"/>
      <c r="T182" s="9"/>
    </row>
    <row r="183" spans="3:20">
      <c r="C183" s="9"/>
      <c r="D183" s="9"/>
      <c r="E183" s="9"/>
      <c r="F183" s="10"/>
      <c r="G183" s="9"/>
      <c r="H183" s="9"/>
      <c r="I183" s="9"/>
      <c r="J183" s="9"/>
      <c r="K183" s="9"/>
      <c r="L183" s="9"/>
      <c r="O183" s="9"/>
      <c r="P183" s="9"/>
      <c r="Q183" s="9"/>
      <c r="R183" s="9"/>
      <c r="S183" s="9"/>
      <c r="T183" s="9"/>
    </row>
    <row r="184" spans="3:20">
      <c r="C184" s="9"/>
      <c r="D184" s="9"/>
      <c r="E184" s="9"/>
      <c r="F184" s="10"/>
      <c r="G184" s="9"/>
      <c r="H184" s="9"/>
      <c r="I184" s="9"/>
      <c r="J184" s="9"/>
      <c r="K184" s="9"/>
      <c r="L184" s="9"/>
      <c r="O184" s="9"/>
      <c r="P184" s="9"/>
      <c r="Q184" s="9"/>
      <c r="R184" s="9"/>
      <c r="S184" s="9"/>
      <c r="T184" s="9"/>
    </row>
    <row r="185" spans="3:20">
      <c r="C185" s="9"/>
      <c r="D185" s="9"/>
      <c r="E185" s="9"/>
      <c r="F185" s="10"/>
      <c r="G185" s="9"/>
      <c r="H185" s="9"/>
      <c r="I185" s="9"/>
      <c r="J185" s="9"/>
      <c r="K185" s="9"/>
      <c r="L185" s="9"/>
      <c r="O185" s="9"/>
      <c r="P185" s="9"/>
      <c r="Q185" s="9"/>
      <c r="R185" s="9"/>
      <c r="S185" s="9"/>
      <c r="T185" s="9"/>
    </row>
    <row r="186" spans="3:20">
      <c r="C186" s="9"/>
      <c r="D186" s="9"/>
      <c r="E186" s="9"/>
      <c r="F186" s="10"/>
      <c r="G186" s="9"/>
      <c r="H186" s="9"/>
      <c r="I186" s="9"/>
      <c r="J186" s="9"/>
      <c r="K186" s="9"/>
      <c r="L186" s="9"/>
      <c r="O186" s="9"/>
      <c r="P186" s="9"/>
      <c r="Q186" s="9"/>
      <c r="R186" s="9"/>
      <c r="S186" s="9"/>
      <c r="T186" s="9"/>
    </row>
    <row r="187" spans="3:20">
      <c r="C187" s="9"/>
      <c r="D187" s="9"/>
      <c r="E187" s="9"/>
      <c r="F187" s="10"/>
      <c r="G187" s="9"/>
      <c r="H187" s="9"/>
      <c r="I187" s="9"/>
      <c r="J187" s="9"/>
      <c r="K187" s="9"/>
      <c r="L187" s="9"/>
      <c r="O187" s="9"/>
      <c r="P187" s="9"/>
      <c r="Q187" s="9"/>
      <c r="R187" s="9"/>
      <c r="S187" s="9"/>
      <c r="T187" s="9"/>
    </row>
    <row r="188" spans="3:20">
      <c r="C188" s="9"/>
      <c r="D188" s="9"/>
      <c r="E188" s="9"/>
      <c r="F188" s="10"/>
      <c r="G188" s="9"/>
      <c r="H188" s="9"/>
      <c r="I188" s="9"/>
      <c r="J188" s="9"/>
      <c r="K188" s="9"/>
      <c r="L188" s="9"/>
      <c r="O188" s="9"/>
      <c r="P188" s="9"/>
      <c r="Q188" s="9"/>
      <c r="R188" s="9"/>
      <c r="S188" s="9"/>
      <c r="T188" s="9"/>
    </row>
    <row r="189" spans="3:20">
      <c r="C189" s="9"/>
      <c r="D189" s="9"/>
      <c r="E189" s="9"/>
      <c r="F189" s="10"/>
      <c r="G189" s="9"/>
      <c r="H189" s="9"/>
      <c r="I189" s="9"/>
      <c r="J189" s="9"/>
      <c r="K189" s="9"/>
      <c r="L189" s="9"/>
      <c r="O189" s="9"/>
      <c r="P189" s="9"/>
      <c r="Q189" s="9"/>
      <c r="R189" s="9"/>
      <c r="S189" s="9"/>
      <c r="T189" s="9"/>
    </row>
    <row r="190" spans="3:20">
      <c r="C190" s="9"/>
      <c r="D190" s="9"/>
      <c r="E190" s="9"/>
      <c r="F190" s="10"/>
      <c r="G190" s="9"/>
      <c r="H190" s="9"/>
      <c r="I190" s="9"/>
      <c r="J190" s="9"/>
      <c r="K190" s="9"/>
      <c r="L190" s="9"/>
      <c r="O190" s="9"/>
      <c r="P190" s="9"/>
      <c r="Q190" s="9"/>
      <c r="R190" s="9"/>
      <c r="S190" s="9"/>
      <c r="T190" s="9"/>
    </row>
    <row r="191" spans="3:20">
      <c r="C191" s="9"/>
      <c r="D191" s="9"/>
      <c r="E191" s="9"/>
      <c r="F191" s="10"/>
      <c r="G191" s="9"/>
      <c r="H191" s="9"/>
      <c r="I191" s="9"/>
      <c r="J191" s="9"/>
      <c r="K191" s="9"/>
      <c r="L191" s="9"/>
      <c r="O191" s="9"/>
      <c r="P191" s="9"/>
      <c r="Q191" s="9"/>
      <c r="R191" s="9"/>
      <c r="S191" s="9"/>
      <c r="T191" s="9"/>
    </row>
    <row r="192" spans="3:20">
      <c r="C192" s="9"/>
      <c r="D192" s="9"/>
      <c r="E192" s="9"/>
      <c r="F192" s="10"/>
      <c r="G192" s="9"/>
      <c r="H192" s="9"/>
      <c r="I192" s="9"/>
      <c r="J192" s="9"/>
      <c r="K192" s="9"/>
      <c r="L192" s="9"/>
      <c r="O192" s="9"/>
      <c r="P192" s="9"/>
      <c r="Q192" s="9"/>
      <c r="R192" s="9"/>
      <c r="S192" s="9"/>
      <c r="T192" s="9"/>
    </row>
    <row r="193" spans="3:20">
      <c r="C193" s="9"/>
      <c r="D193" s="9"/>
      <c r="E193" s="9"/>
      <c r="F193" s="10"/>
      <c r="G193" s="9"/>
      <c r="H193" s="9"/>
      <c r="I193" s="9"/>
      <c r="J193" s="9"/>
      <c r="K193" s="9"/>
      <c r="L193" s="9"/>
      <c r="O193" s="9"/>
      <c r="P193" s="9"/>
      <c r="Q193" s="9"/>
      <c r="R193" s="9"/>
      <c r="S193" s="9"/>
      <c r="T193" s="9"/>
    </row>
    <row r="194" spans="3:20">
      <c r="C194" s="9"/>
      <c r="D194" s="9"/>
      <c r="E194" s="9"/>
      <c r="F194" s="10"/>
      <c r="G194" s="9"/>
      <c r="H194" s="9"/>
      <c r="I194" s="9"/>
      <c r="J194" s="9"/>
      <c r="K194" s="9"/>
      <c r="L194" s="9"/>
      <c r="O194" s="9"/>
      <c r="P194" s="9"/>
      <c r="Q194" s="9"/>
      <c r="R194" s="9"/>
      <c r="S194" s="9"/>
      <c r="T194" s="9"/>
    </row>
    <row r="195" spans="3:20">
      <c r="C195" s="9"/>
      <c r="D195" s="9"/>
      <c r="E195" s="9"/>
      <c r="F195" s="10"/>
      <c r="G195" s="9"/>
      <c r="H195" s="9"/>
      <c r="I195" s="9"/>
      <c r="J195" s="9"/>
      <c r="K195" s="9"/>
      <c r="L195" s="9"/>
      <c r="O195" s="9"/>
      <c r="P195" s="9"/>
      <c r="Q195" s="9"/>
      <c r="R195" s="9"/>
      <c r="S195" s="9"/>
      <c r="T195" s="9"/>
    </row>
    <row r="196" spans="3:20">
      <c r="C196" s="9"/>
      <c r="D196" s="9"/>
      <c r="E196" s="9"/>
      <c r="F196" s="10"/>
      <c r="G196" s="9"/>
      <c r="H196" s="9"/>
      <c r="I196" s="9"/>
      <c r="J196" s="9"/>
      <c r="K196" s="9"/>
      <c r="L196" s="9"/>
      <c r="O196" s="9"/>
      <c r="P196" s="9"/>
      <c r="Q196" s="9"/>
      <c r="R196" s="9"/>
      <c r="S196" s="9"/>
      <c r="T196" s="9"/>
    </row>
    <row r="197" spans="3:20">
      <c r="C197" s="9"/>
      <c r="D197" s="9"/>
      <c r="E197" s="9"/>
      <c r="F197" s="10"/>
      <c r="G197" s="9"/>
      <c r="H197" s="9"/>
      <c r="I197" s="9"/>
      <c r="J197" s="9"/>
      <c r="K197" s="9"/>
      <c r="L197" s="9"/>
      <c r="O197" s="9"/>
      <c r="P197" s="9"/>
      <c r="Q197" s="9"/>
      <c r="R197" s="9"/>
      <c r="S197" s="9"/>
      <c r="T197" s="9"/>
    </row>
    <row r="198" spans="3:20">
      <c r="C198" s="9"/>
      <c r="D198" s="9"/>
      <c r="E198" s="9"/>
      <c r="F198" s="10"/>
      <c r="G198" s="9"/>
      <c r="H198" s="9"/>
      <c r="I198" s="9"/>
      <c r="J198" s="9"/>
      <c r="K198" s="9"/>
      <c r="L198" s="9"/>
      <c r="O198" s="9"/>
      <c r="P198" s="9"/>
      <c r="Q198" s="9"/>
      <c r="R198" s="9"/>
      <c r="S198" s="9"/>
      <c r="T198" s="9"/>
    </row>
    <row r="199" spans="3:20">
      <c r="C199" s="9"/>
      <c r="D199" s="9"/>
      <c r="E199" s="9"/>
      <c r="F199" s="10"/>
      <c r="G199" s="9"/>
      <c r="H199" s="9"/>
      <c r="I199" s="9"/>
      <c r="J199" s="9"/>
      <c r="K199" s="9"/>
      <c r="L199" s="9"/>
      <c r="O199" s="9"/>
      <c r="P199" s="9"/>
      <c r="Q199" s="9"/>
      <c r="R199" s="9"/>
      <c r="S199" s="9"/>
      <c r="T199" s="9"/>
    </row>
    <row r="200" spans="3:20">
      <c r="C200" s="9"/>
      <c r="D200" s="9"/>
      <c r="E200" s="9"/>
      <c r="F200" s="10"/>
      <c r="G200" s="9"/>
      <c r="H200" s="9"/>
      <c r="I200" s="9"/>
      <c r="J200" s="9"/>
      <c r="K200" s="9"/>
      <c r="L200" s="9"/>
      <c r="O200" s="9"/>
      <c r="P200" s="9"/>
      <c r="Q200" s="9"/>
      <c r="R200" s="9"/>
      <c r="S200" s="9"/>
      <c r="T200" s="9"/>
    </row>
    <row r="201" spans="3:20">
      <c r="C201" s="9"/>
      <c r="D201" s="9"/>
      <c r="E201" s="9"/>
      <c r="F201" s="10"/>
      <c r="G201" s="9"/>
      <c r="H201" s="9"/>
      <c r="I201" s="9"/>
      <c r="J201" s="9"/>
      <c r="K201" s="9"/>
      <c r="L201" s="9"/>
      <c r="O201" s="9"/>
      <c r="P201" s="9"/>
      <c r="Q201" s="9"/>
      <c r="R201" s="9"/>
      <c r="S201" s="9"/>
      <c r="T201" s="9"/>
    </row>
    <row r="202" spans="3:20">
      <c r="C202" s="9"/>
      <c r="D202" s="9"/>
      <c r="E202" s="9"/>
      <c r="F202" s="10"/>
      <c r="G202" s="9"/>
      <c r="H202" s="9"/>
      <c r="I202" s="9"/>
      <c r="J202" s="9"/>
      <c r="K202" s="9"/>
      <c r="L202" s="9"/>
      <c r="O202" s="9"/>
      <c r="P202" s="9"/>
      <c r="Q202" s="9"/>
      <c r="R202" s="9"/>
      <c r="S202" s="9"/>
      <c r="T202" s="9"/>
    </row>
    <row r="203" spans="3:20">
      <c r="C203" s="9"/>
      <c r="D203" s="9"/>
      <c r="E203" s="9"/>
      <c r="F203" s="10"/>
      <c r="G203" s="9"/>
      <c r="H203" s="9"/>
      <c r="I203" s="9"/>
      <c r="J203" s="9"/>
      <c r="K203" s="9"/>
      <c r="L203" s="9"/>
      <c r="O203" s="9"/>
      <c r="P203" s="9"/>
      <c r="Q203" s="9"/>
      <c r="R203" s="9"/>
      <c r="S203" s="9"/>
      <c r="T203" s="9"/>
    </row>
    <row r="204" spans="3:20">
      <c r="C204" s="9"/>
      <c r="D204" s="9"/>
      <c r="E204" s="9"/>
      <c r="F204" s="10"/>
      <c r="G204" s="9"/>
      <c r="H204" s="9"/>
      <c r="I204" s="9"/>
      <c r="J204" s="9"/>
      <c r="K204" s="9"/>
      <c r="L204" s="9"/>
      <c r="O204" s="9"/>
      <c r="P204" s="9"/>
      <c r="Q204" s="9"/>
      <c r="R204" s="9"/>
      <c r="S204" s="9"/>
      <c r="T204" s="9"/>
    </row>
    <row r="205" spans="3:20">
      <c r="C205" s="9"/>
      <c r="D205" s="9"/>
      <c r="E205" s="9"/>
      <c r="F205" s="10"/>
      <c r="G205" s="9"/>
      <c r="H205" s="9"/>
      <c r="I205" s="9"/>
      <c r="J205" s="9"/>
      <c r="K205" s="9"/>
      <c r="L205" s="9"/>
      <c r="O205" s="9"/>
      <c r="P205" s="9"/>
      <c r="Q205" s="9"/>
      <c r="R205" s="9"/>
      <c r="S205" s="9"/>
      <c r="T205" s="9"/>
    </row>
    <row r="206" spans="3:20">
      <c r="C206" s="9"/>
      <c r="D206" s="9"/>
      <c r="E206" s="9"/>
      <c r="F206" s="10"/>
      <c r="G206" s="9"/>
      <c r="H206" s="9"/>
      <c r="I206" s="9"/>
      <c r="J206" s="9"/>
      <c r="K206" s="9"/>
      <c r="L206" s="9"/>
      <c r="O206" s="9"/>
      <c r="P206" s="9"/>
      <c r="Q206" s="9"/>
      <c r="R206" s="9"/>
      <c r="S206" s="9"/>
      <c r="T206" s="9"/>
    </row>
    <row r="207" spans="3:20">
      <c r="C207" s="9"/>
      <c r="D207" s="9"/>
      <c r="E207" s="9"/>
      <c r="F207" s="10"/>
      <c r="G207" s="9"/>
      <c r="H207" s="9"/>
      <c r="I207" s="9"/>
      <c r="J207" s="9"/>
      <c r="K207" s="9"/>
      <c r="L207" s="9"/>
      <c r="O207" s="9"/>
      <c r="P207" s="9"/>
      <c r="Q207" s="9"/>
      <c r="R207" s="9"/>
      <c r="S207" s="9"/>
      <c r="T207" s="9"/>
    </row>
    <row r="208" spans="3:20">
      <c r="C208" s="9"/>
      <c r="D208" s="9"/>
      <c r="E208" s="9"/>
      <c r="F208" s="10"/>
      <c r="G208" s="9"/>
      <c r="H208" s="9"/>
      <c r="I208" s="9"/>
      <c r="J208" s="9"/>
      <c r="K208" s="9"/>
      <c r="L208" s="9"/>
      <c r="O208" s="9"/>
      <c r="P208" s="9"/>
      <c r="Q208" s="9"/>
      <c r="R208" s="9"/>
      <c r="S208" s="9"/>
      <c r="T208" s="9"/>
    </row>
    <row r="209" spans="3:20">
      <c r="C209" s="9"/>
      <c r="D209" s="9"/>
      <c r="E209" s="9"/>
      <c r="F209" s="10"/>
      <c r="G209" s="9"/>
      <c r="H209" s="9"/>
      <c r="I209" s="9"/>
      <c r="J209" s="9"/>
      <c r="K209" s="9"/>
      <c r="L209" s="9"/>
      <c r="O209" s="9"/>
      <c r="P209" s="9"/>
      <c r="Q209" s="9"/>
      <c r="R209" s="9"/>
      <c r="S209" s="9"/>
      <c r="T209" s="9"/>
    </row>
    <row r="210" spans="3:20">
      <c r="C210" s="9"/>
      <c r="D210" s="9"/>
      <c r="E210" s="9"/>
      <c r="F210" s="10"/>
      <c r="G210" s="9"/>
      <c r="H210" s="9"/>
      <c r="I210" s="9"/>
      <c r="J210" s="9"/>
      <c r="K210" s="9"/>
      <c r="L210" s="9"/>
      <c r="O210" s="9"/>
      <c r="P210" s="9"/>
      <c r="Q210" s="9"/>
      <c r="R210" s="9"/>
      <c r="S210" s="9"/>
      <c r="T210" s="9"/>
    </row>
    <row r="211" spans="3:20">
      <c r="C211" s="9"/>
      <c r="D211" s="9"/>
      <c r="E211" s="9"/>
      <c r="F211" s="10"/>
      <c r="G211" s="9"/>
      <c r="H211" s="9"/>
      <c r="I211" s="9"/>
      <c r="J211" s="9"/>
      <c r="K211" s="9"/>
      <c r="L211" s="9"/>
      <c r="O211" s="9"/>
      <c r="P211" s="9"/>
      <c r="Q211" s="9"/>
      <c r="R211" s="9"/>
      <c r="S211" s="9"/>
      <c r="T211" s="9"/>
    </row>
    <row r="212" spans="3:20">
      <c r="C212" s="9"/>
      <c r="D212" s="9"/>
      <c r="E212" s="9"/>
      <c r="F212" s="10"/>
      <c r="G212" s="9"/>
      <c r="H212" s="9"/>
      <c r="I212" s="9"/>
      <c r="J212" s="9"/>
      <c r="K212" s="9"/>
      <c r="L212" s="9"/>
      <c r="O212" s="9"/>
      <c r="P212" s="9"/>
      <c r="Q212" s="9"/>
      <c r="R212" s="9"/>
      <c r="S212" s="9"/>
      <c r="T212" s="9"/>
    </row>
    <row r="213" spans="3:20">
      <c r="C213" s="9"/>
      <c r="D213" s="9"/>
      <c r="E213" s="9"/>
      <c r="F213" s="10"/>
      <c r="G213" s="9"/>
      <c r="H213" s="9"/>
      <c r="I213" s="9"/>
      <c r="J213" s="9"/>
      <c r="K213" s="9"/>
      <c r="L213" s="9"/>
      <c r="O213" s="9"/>
      <c r="P213" s="9"/>
      <c r="Q213" s="9"/>
      <c r="R213" s="9"/>
      <c r="S213" s="9"/>
      <c r="T213" s="9"/>
    </row>
    <row r="214" spans="3:20">
      <c r="C214" s="9"/>
      <c r="D214" s="9"/>
      <c r="E214" s="9"/>
      <c r="F214" s="10"/>
      <c r="G214" s="9"/>
      <c r="H214" s="9"/>
      <c r="I214" s="9"/>
      <c r="J214" s="9"/>
      <c r="K214" s="9"/>
      <c r="L214" s="9"/>
      <c r="O214" s="9"/>
      <c r="P214" s="9"/>
      <c r="Q214" s="9"/>
      <c r="R214" s="9"/>
      <c r="S214" s="9"/>
      <c r="T214" s="9"/>
    </row>
    <row r="215" spans="3:20">
      <c r="C215" s="9"/>
      <c r="D215" s="9"/>
      <c r="E215" s="9"/>
      <c r="F215" s="10"/>
      <c r="G215" s="9"/>
      <c r="H215" s="9"/>
      <c r="I215" s="9"/>
      <c r="J215" s="9"/>
      <c r="K215" s="9"/>
      <c r="L215" s="9"/>
      <c r="O215" s="9"/>
      <c r="P215" s="9"/>
      <c r="Q215" s="9"/>
      <c r="R215" s="9"/>
      <c r="S215" s="9"/>
      <c r="T215" s="9"/>
    </row>
    <row r="216" spans="3:20">
      <c r="C216" s="9"/>
      <c r="D216" s="9"/>
      <c r="E216" s="9"/>
      <c r="F216" s="10"/>
      <c r="G216" s="9"/>
      <c r="H216" s="9"/>
      <c r="I216" s="9"/>
      <c r="J216" s="9"/>
      <c r="K216" s="9"/>
      <c r="L216" s="9"/>
      <c r="O216" s="9"/>
      <c r="P216" s="9"/>
      <c r="Q216" s="9"/>
      <c r="R216" s="9"/>
      <c r="S216" s="9"/>
      <c r="T216" s="9"/>
    </row>
    <row r="217" spans="3:20">
      <c r="C217" s="9"/>
      <c r="D217" s="9"/>
      <c r="E217" s="9"/>
      <c r="F217" s="10"/>
      <c r="G217" s="9"/>
      <c r="H217" s="9"/>
      <c r="I217" s="9"/>
      <c r="J217" s="9"/>
      <c r="K217" s="9"/>
      <c r="L217" s="9"/>
      <c r="O217" s="9"/>
      <c r="P217" s="9"/>
      <c r="Q217" s="9"/>
      <c r="R217" s="9"/>
      <c r="S217" s="9"/>
      <c r="T217" s="9"/>
    </row>
    <row r="218" spans="3:20">
      <c r="C218" s="9"/>
      <c r="D218" s="9"/>
      <c r="E218" s="9"/>
      <c r="F218" s="10"/>
      <c r="G218" s="9"/>
      <c r="H218" s="9"/>
      <c r="I218" s="9"/>
      <c r="J218" s="9"/>
      <c r="K218" s="9"/>
      <c r="L218" s="9"/>
      <c r="O218" s="9"/>
      <c r="P218" s="9"/>
      <c r="Q218" s="9"/>
      <c r="R218" s="9"/>
      <c r="S218" s="9"/>
      <c r="T218" s="9"/>
    </row>
    <row r="219" spans="3:20">
      <c r="C219" s="9"/>
      <c r="D219" s="9"/>
      <c r="E219" s="9"/>
      <c r="F219" s="10"/>
      <c r="G219" s="9"/>
      <c r="H219" s="9"/>
      <c r="I219" s="9"/>
      <c r="J219" s="9"/>
      <c r="K219" s="9"/>
      <c r="L219" s="9"/>
      <c r="O219" s="9"/>
      <c r="P219" s="9"/>
      <c r="Q219" s="9"/>
      <c r="R219" s="9"/>
      <c r="S219" s="9"/>
      <c r="T219" s="9"/>
    </row>
    <row r="220" spans="3:20">
      <c r="C220" s="9"/>
      <c r="D220" s="9"/>
      <c r="E220" s="9"/>
      <c r="F220" s="10"/>
      <c r="G220" s="9"/>
      <c r="H220" s="9"/>
      <c r="I220" s="9"/>
      <c r="J220" s="9"/>
      <c r="K220" s="9"/>
      <c r="L220" s="9"/>
      <c r="O220" s="9"/>
      <c r="P220" s="9"/>
      <c r="Q220" s="9"/>
      <c r="R220" s="9"/>
      <c r="S220" s="9"/>
      <c r="T220" s="9"/>
    </row>
    <row r="221" spans="3:20">
      <c r="C221" s="9"/>
      <c r="D221" s="9"/>
      <c r="E221" s="9"/>
      <c r="F221" s="10"/>
      <c r="G221" s="9"/>
      <c r="H221" s="9"/>
      <c r="I221" s="9"/>
      <c r="J221" s="9"/>
      <c r="K221" s="9"/>
      <c r="L221" s="9"/>
      <c r="O221" s="9"/>
      <c r="P221" s="9"/>
      <c r="Q221" s="9"/>
      <c r="R221" s="9"/>
      <c r="S221" s="9"/>
      <c r="T221" s="9"/>
    </row>
    <row r="222" spans="3:20">
      <c r="C222" s="9"/>
      <c r="D222" s="9"/>
      <c r="E222" s="9"/>
      <c r="F222" s="10"/>
      <c r="G222" s="9"/>
      <c r="H222" s="9"/>
      <c r="I222" s="9"/>
      <c r="J222" s="9"/>
      <c r="K222" s="9"/>
      <c r="L222" s="9"/>
      <c r="O222" s="9"/>
      <c r="P222" s="9"/>
      <c r="Q222" s="9"/>
      <c r="R222" s="9"/>
      <c r="S222" s="9"/>
      <c r="T222" s="9"/>
    </row>
    <row r="223" spans="3:20">
      <c r="C223" s="9"/>
      <c r="D223" s="9"/>
      <c r="E223" s="9"/>
      <c r="F223" s="10"/>
      <c r="G223" s="9"/>
      <c r="H223" s="9"/>
      <c r="I223" s="9"/>
      <c r="J223" s="9"/>
      <c r="K223" s="9"/>
      <c r="L223" s="9"/>
      <c r="O223" s="9"/>
      <c r="P223" s="9"/>
      <c r="Q223" s="9"/>
      <c r="R223" s="9"/>
      <c r="S223" s="9"/>
      <c r="T223" s="9"/>
    </row>
    <row r="224" spans="3:20">
      <c r="C224" s="9"/>
      <c r="D224" s="9"/>
      <c r="E224" s="9"/>
      <c r="F224" s="10"/>
      <c r="G224" s="9"/>
      <c r="H224" s="9"/>
      <c r="I224" s="9"/>
      <c r="J224" s="9"/>
      <c r="K224" s="9"/>
      <c r="L224" s="9"/>
      <c r="O224" s="9"/>
      <c r="P224" s="9"/>
      <c r="Q224" s="9"/>
      <c r="R224" s="9"/>
      <c r="S224" s="9"/>
      <c r="T224" s="9"/>
    </row>
    <row r="225" spans="3:20">
      <c r="C225" s="9"/>
      <c r="D225" s="9"/>
      <c r="E225" s="9"/>
      <c r="F225" s="10"/>
      <c r="G225" s="9"/>
      <c r="H225" s="9"/>
      <c r="I225" s="9"/>
      <c r="J225" s="9"/>
      <c r="K225" s="9"/>
      <c r="L225" s="9"/>
      <c r="O225" s="9"/>
      <c r="P225" s="9"/>
      <c r="Q225" s="9"/>
      <c r="R225" s="9"/>
      <c r="S225" s="9"/>
      <c r="T225" s="9"/>
    </row>
    <row r="226" spans="3:20">
      <c r="C226" s="9"/>
      <c r="D226" s="9"/>
      <c r="E226" s="9"/>
      <c r="F226" s="10"/>
      <c r="G226" s="9"/>
      <c r="H226" s="9"/>
      <c r="I226" s="9"/>
      <c r="J226" s="9"/>
      <c r="K226" s="9"/>
      <c r="L226" s="9"/>
      <c r="O226" s="9"/>
      <c r="P226" s="9"/>
      <c r="Q226" s="9"/>
      <c r="R226" s="9"/>
      <c r="S226" s="9"/>
      <c r="T226" s="9"/>
    </row>
    <row r="227" spans="3:20">
      <c r="C227" s="9"/>
      <c r="D227" s="9"/>
      <c r="E227" s="9"/>
      <c r="F227" s="10"/>
      <c r="G227" s="9"/>
      <c r="H227" s="9"/>
      <c r="I227" s="9"/>
      <c r="J227" s="9"/>
      <c r="K227" s="9"/>
      <c r="L227" s="9"/>
      <c r="O227" s="9"/>
      <c r="P227" s="9"/>
      <c r="Q227" s="9"/>
      <c r="R227" s="9"/>
      <c r="S227" s="9"/>
      <c r="T227" s="9"/>
    </row>
    <row r="228" spans="3:20">
      <c r="C228" s="9"/>
      <c r="D228" s="9"/>
      <c r="E228" s="9"/>
      <c r="F228" s="10"/>
      <c r="G228" s="9"/>
      <c r="H228" s="9"/>
      <c r="I228" s="9"/>
      <c r="J228" s="9"/>
      <c r="K228" s="9"/>
      <c r="L228" s="9"/>
      <c r="O228" s="9"/>
      <c r="P228" s="9"/>
      <c r="Q228" s="9"/>
      <c r="R228" s="9"/>
      <c r="S228" s="9"/>
      <c r="T228" s="9"/>
    </row>
    <row r="229" spans="3:20">
      <c r="C229" s="9"/>
      <c r="D229" s="9"/>
      <c r="E229" s="9"/>
      <c r="F229" s="10"/>
      <c r="G229" s="9"/>
      <c r="H229" s="9"/>
      <c r="I229" s="9"/>
      <c r="J229" s="9"/>
      <c r="K229" s="9"/>
      <c r="L229" s="9"/>
      <c r="O229" s="9"/>
      <c r="P229" s="9"/>
      <c r="Q229" s="9"/>
      <c r="R229" s="9"/>
      <c r="S229" s="9"/>
      <c r="T229" s="9"/>
    </row>
    <row r="230" spans="3:20">
      <c r="C230" s="9"/>
      <c r="D230" s="9"/>
      <c r="E230" s="9"/>
      <c r="F230" s="10"/>
      <c r="G230" s="9"/>
      <c r="H230" s="9"/>
      <c r="I230" s="9"/>
      <c r="J230" s="9"/>
      <c r="K230" s="9"/>
      <c r="L230" s="9"/>
      <c r="O230" s="9"/>
      <c r="P230" s="9"/>
      <c r="Q230" s="9"/>
      <c r="R230" s="9"/>
      <c r="S230" s="9"/>
      <c r="T230" s="9"/>
    </row>
    <row r="231" spans="3:20">
      <c r="C231" s="9"/>
      <c r="D231" s="9"/>
      <c r="E231" s="9"/>
      <c r="F231" s="10"/>
      <c r="G231" s="9"/>
      <c r="H231" s="9"/>
      <c r="I231" s="9"/>
      <c r="J231" s="9"/>
      <c r="K231" s="9"/>
      <c r="L231" s="9"/>
      <c r="O231" s="9"/>
      <c r="P231" s="9"/>
      <c r="Q231" s="9"/>
      <c r="R231" s="9"/>
      <c r="S231" s="9"/>
      <c r="T231" s="9"/>
    </row>
    <row r="232" spans="3:20">
      <c r="C232" s="9"/>
      <c r="D232" s="9"/>
      <c r="E232" s="9"/>
      <c r="F232" s="10"/>
      <c r="G232" s="9"/>
      <c r="H232" s="9"/>
      <c r="I232" s="9"/>
      <c r="J232" s="9"/>
      <c r="K232" s="9"/>
      <c r="L232" s="9"/>
      <c r="O232" s="9"/>
      <c r="P232" s="9"/>
      <c r="Q232" s="9"/>
      <c r="R232" s="9"/>
      <c r="S232" s="9"/>
      <c r="T232" s="9"/>
    </row>
    <row r="233" spans="3:20">
      <c r="C233" s="9"/>
      <c r="D233" s="9"/>
      <c r="E233" s="9"/>
      <c r="F233" s="10"/>
      <c r="G233" s="9"/>
      <c r="H233" s="9"/>
      <c r="I233" s="9"/>
      <c r="J233" s="9"/>
      <c r="K233" s="9"/>
      <c r="L233" s="9"/>
      <c r="O233" s="9"/>
      <c r="P233" s="9"/>
      <c r="Q233" s="9"/>
      <c r="R233" s="9"/>
      <c r="S233" s="9"/>
      <c r="T233" s="9"/>
    </row>
    <row r="234" spans="3:20">
      <c r="C234" s="9"/>
      <c r="D234" s="9"/>
      <c r="E234" s="9"/>
      <c r="F234" s="10"/>
      <c r="G234" s="9"/>
      <c r="H234" s="9"/>
      <c r="I234" s="9"/>
      <c r="J234" s="9"/>
      <c r="K234" s="9"/>
      <c r="L234" s="9"/>
      <c r="O234" s="9"/>
      <c r="P234" s="9"/>
      <c r="Q234" s="9"/>
      <c r="R234" s="9"/>
      <c r="S234" s="9"/>
      <c r="T234" s="9"/>
    </row>
    <row r="235" spans="3:20">
      <c r="C235" s="9"/>
      <c r="D235" s="9"/>
      <c r="E235" s="9"/>
      <c r="F235" s="10"/>
      <c r="G235" s="9"/>
      <c r="H235" s="9"/>
      <c r="I235" s="9"/>
      <c r="J235" s="9"/>
      <c r="K235" s="9"/>
      <c r="L235" s="9"/>
      <c r="O235" s="9"/>
      <c r="P235" s="9"/>
      <c r="Q235" s="9"/>
      <c r="R235" s="9"/>
      <c r="S235" s="9"/>
      <c r="T235" s="9"/>
    </row>
    <row r="236" spans="3:20">
      <c r="C236" s="9"/>
      <c r="D236" s="9"/>
      <c r="E236" s="9"/>
      <c r="F236" s="10"/>
      <c r="G236" s="9"/>
      <c r="H236" s="9"/>
      <c r="I236" s="9"/>
      <c r="J236" s="9"/>
      <c r="K236" s="9"/>
      <c r="L236" s="9"/>
      <c r="O236" s="9"/>
      <c r="P236" s="9"/>
      <c r="Q236" s="9"/>
      <c r="R236" s="9"/>
      <c r="S236" s="9"/>
      <c r="T236" s="9"/>
    </row>
    <row r="237" spans="3:20">
      <c r="C237" s="9"/>
      <c r="D237" s="9"/>
      <c r="E237" s="9"/>
      <c r="F237" s="10"/>
      <c r="G237" s="9"/>
      <c r="H237" s="9"/>
      <c r="I237" s="9"/>
      <c r="J237" s="9"/>
      <c r="K237" s="9"/>
      <c r="L237" s="9"/>
      <c r="O237" s="9"/>
      <c r="P237" s="9"/>
      <c r="Q237" s="9"/>
      <c r="R237" s="9"/>
      <c r="S237" s="9"/>
      <c r="T237" s="9"/>
    </row>
    <row r="238" spans="3:20">
      <c r="C238" s="9"/>
      <c r="D238" s="9"/>
      <c r="E238" s="9"/>
      <c r="F238" s="10"/>
      <c r="G238" s="9"/>
      <c r="H238" s="9"/>
      <c r="I238" s="9"/>
      <c r="J238" s="9"/>
      <c r="K238" s="9"/>
      <c r="L238" s="9"/>
      <c r="O238" s="9"/>
      <c r="P238" s="9"/>
      <c r="Q238" s="9"/>
      <c r="R238" s="9"/>
      <c r="S238" s="9"/>
      <c r="T238" s="9"/>
    </row>
    <row r="239" spans="3:20">
      <c r="C239" s="9"/>
      <c r="D239" s="9"/>
      <c r="E239" s="9"/>
      <c r="F239" s="10"/>
      <c r="G239" s="9"/>
      <c r="H239" s="9"/>
      <c r="I239" s="9"/>
      <c r="J239" s="9"/>
      <c r="K239" s="9"/>
      <c r="L239" s="9"/>
      <c r="O239" s="9"/>
      <c r="P239" s="9"/>
      <c r="Q239" s="9"/>
      <c r="R239" s="9"/>
      <c r="S239" s="9"/>
      <c r="T239" s="9"/>
    </row>
    <row r="240" spans="3:20">
      <c r="C240" s="9"/>
      <c r="D240" s="9"/>
      <c r="E240" s="9"/>
      <c r="F240" s="10"/>
      <c r="G240" s="9"/>
      <c r="H240" s="9"/>
      <c r="I240" s="9"/>
      <c r="J240" s="9"/>
      <c r="K240" s="9"/>
      <c r="L240" s="9"/>
      <c r="O240" s="9"/>
      <c r="P240" s="9"/>
      <c r="Q240" s="9"/>
      <c r="R240" s="9"/>
      <c r="S240" s="9"/>
      <c r="T240" s="9"/>
    </row>
    <row r="241" spans="3:20">
      <c r="C241" s="9"/>
      <c r="D241" s="9"/>
      <c r="E241" s="9"/>
      <c r="F241" s="10"/>
      <c r="G241" s="9"/>
      <c r="H241" s="9"/>
      <c r="I241" s="9"/>
      <c r="J241" s="9"/>
      <c r="K241" s="9"/>
      <c r="L241" s="9"/>
      <c r="O241" s="9"/>
      <c r="P241" s="9"/>
      <c r="Q241" s="9"/>
      <c r="R241" s="9"/>
      <c r="S241" s="9"/>
      <c r="T241" s="9"/>
    </row>
    <row r="242" spans="3:20">
      <c r="C242" s="9"/>
      <c r="D242" s="9"/>
      <c r="E242" s="9"/>
      <c r="F242" s="10"/>
      <c r="G242" s="9"/>
      <c r="H242" s="9"/>
      <c r="I242" s="9"/>
      <c r="J242" s="9"/>
      <c r="K242" s="9"/>
      <c r="L242" s="9"/>
      <c r="O242" s="9"/>
      <c r="P242" s="9"/>
      <c r="Q242" s="9"/>
      <c r="R242" s="9"/>
      <c r="S242" s="9"/>
      <c r="T242" s="9"/>
    </row>
    <row r="243" spans="3:20">
      <c r="C243" s="9"/>
      <c r="D243" s="9"/>
      <c r="E243" s="9"/>
      <c r="F243" s="10"/>
      <c r="G243" s="9"/>
      <c r="H243" s="9"/>
      <c r="I243" s="9"/>
      <c r="J243" s="9"/>
      <c r="K243" s="9"/>
      <c r="L243" s="9"/>
      <c r="O243" s="9"/>
      <c r="P243" s="9"/>
      <c r="Q243" s="9"/>
      <c r="R243" s="9"/>
      <c r="S243" s="9"/>
      <c r="T243" s="9"/>
    </row>
    <row r="244" spans="3:20">
      <c r="C244" s="9"/>
      <c r="D244" s="9"/>
      <c r="E244" s="9"/>
      <c r="F244" s="10"/>
      <c r="G244" s="9"/>
      <c r="H244" s="9"/>
      <c r="I244" s="9"/>
      <c r="J244" s="9"/>
      <c r="K244" s="9"/>
      <c r="L244" s="9"/>
      <c r="O244" s="9"/>
      <c r="P244" s="9"/>
      <c r="Q244" s="9"/>
      <c r="R244" s="9"/>
      <c r="S244" s="9"/>
      <c r="T244" s="9"/>
    </row>
    <row r="245" spans="3:20">
      <c r="C245" s="9"/>
      <c r="D245" s="9"/>
      <c r="E245" s="9"/>
      <c r="F245" s="10"/>
      <c r="G245" s="9"/>
      <c r="H245" s="9"/>
      <c r="I245" s="9"/>
      <c r="J245" s="9"/>
      <c r="K245" s="9"/>
      <c r="L245" s="9"/>
      <c r="O245" s="9"/>
      <c r="P245" s="9"/>
      <c r="Q245" s="9"/>
      <c r="R245" s="9"/>
      <c r="S245" s="9"/>
      <c r="T245" s="9"/>
    </row>
    <row r="246" spans="3:20">
      <c r="C246" s="9"/>
      <c r="D246" s="9"/>
      <c r="E246" s="9"/>
      <c r="F246" s="10"/>
      <c r="G246" s="9"/>
      <c r="H246" s="9"/>
      <c r="I246" s="9"/>
      <c r="J246" s="9"/>
      <c r="K246" s="9"/>
      <c r="L246" s="9"/>
      <c r="O246" s="9"/>
      <c r="P246" s="9"/>
      <c r="Q246" s="9"/>
      <c r="R246" s="9"/>
      <c r="S246" s="9"/>
      <c r="T246" s="9"/>
    </row>
    <row r="247" spans="3:20">
      <c r="C247" s="9"/>
      <c r="D247" s="9"/>
      <c r="E247" s="9"/>
      <c r="F247" s="10"/>
      <c r="G247" s="9"/>
      <c r="H247" s="9"/>
      <c r="I247" s="9"/>
      <c r="J247" s="9"/>
      <c r="K247" s="9"/>
      <c r="L247" s="9"/>
      <c r="O247" s="9"/>
      <c r="P247" s="9"/>
      <c r="Q247" s="9"/>
      <c r="R247" s="9"/>
      <c r="S247" s="9"/>
      <c r="T247" s="9"/>
    </row>
    <row r="248" spans="3:20">
      <c r="C248" s="9"/>
      <c r="D248" s="9"/>
      <c r="E248" s="9"/>
      <c r="F248" s="10"/>
      <c r="G248" s="9"/>
      <c r="H248" s="9"/>
      <c r="I248" s="9"/>
      <c r="J248" s="9"/>
      <c r="K248" s="9"/>
      <c r="L248" s="9"/>
      <c r="O248" s="9"/>
      <c r="P248" s="9"/>
      <c r="Q248" s="9"/>
      <c r="R248" s="9"/>
      <c r="S248" s="9"/>
      <c r="T248" s="9"/>
    </row>
    <row r="249" spans="3:20">
      <c r="C249" s="9"/>
      <c r="D249" s="9"/>
      <c r="E249" s="9"/>
      <c r="F249" s="10"/>
      <c r="G249" s="9"/>
      <c r="H249" s="9"/>
      <c r="I249" s="9"/>
      <c r="J249" s="9"/>
      <c r="K249" s="9"/>
      <c r="L249" s="9"/>
      <c r="O249" s="9"/>
      <c r="P249" s="9"/>
      <c r="Q249" s="9"/>
      <c r="R249" s="9"/>
      <c r="S249" s="9"/>
      <c r="T249" s="9"/>
    </row>
    <row r="250" spans="3:20">
      <c r="C250" s="9"/>
      <c r="D250" s="9"/>
      <c r="E250" s="9"/>
      <c r="F250" s="10"/>
      <c r="G250" s="9"/>
      <c r="H250" s="9"/>
      <c r="I250" s="9"/>
      <c r="J250" s="9"/>
      <c r="K250" s="9"/>
      <c r="L250" s="9"/>
      <c r="O250" s="9"/>
      <c r="P250" s="9"/>
      <c r="Q250" s="9"/>
      <c r="R250" s="9"/>
      <c r="S250" s="9"/>
      <c r="T250" s="9"/>
    </row>
    <row r="251" spans="3:20">
      <c r="C251" s="9"/>
      <c r="D251" s="9"/>
      <c r="E251" s="9"/>
      <c r="F251" s="10"/>
      <c r="G251" s="9"/>
      <c r="H251" s="9"/>
      <c r="I251" s="9"/>
      <c r="J251" s="9"/>
      <c r="K251" s="9"/>
      <c r="L251" s="9"/>
      <c r="O251" s="9"/>
      <c r="P251" s="9"/>
      <c r="Q251" s="9"/>
      <c r="R251" s="9"/>
      <c r="S251" s="9"/>
      <c r="T251" s="9"/>
    </row>
    <row r="252" spans="3:20">
      <c r="C252" s="9"/>
      <c r="D252" s="9"/>
      <c r="E252" s="9"/>
      <c r="F252" s="10"/>
      <c r="G252" s="9"/>
      <c r="H252" s="9"/>
      <c r="I252" s="9"/>
      <c r="J252" s="9"/>
      <c r="K252" s="9"/>
      <c r="L252" s="9"/>
      <c r="O252" s="9"/>
      <c r="P252" s="9"/>
      <c r="Q252" s="9"/>
      <c r="R252" s="9"/>
      <c r="S252" s="9"/>
      <c r="T252" s="9"/>
    </row>
    <row r="253" spans="3:20">
      <c r="C253" s="9"/>
      <c r="D253" s="9"/>
      <c r="E253" s="9"/>
      <c r="F253" s="10"/>
      <c r="G253" s="9"/>
      <c r="H253" s="9"/>
      <c r="I253" s="9"/>
      <c r="J253" s="9"/>
      <c r="K253" s="9"/>
      <c r="L253" s="9"/>
      <c r="O253" s="9"/>
      <c r="P253" s="9"/>
      <c r="Q253" s="9"/>
      <c r="R253" s="9"/>
      <c r="S253" s="9"/>
      <c r="T253" s="9"/>
    </row>
    <row r="254" spans="3:20">
      <c r="C254" s="9"/>
      <c r="D254" s="9"/>
      <c r="E254" s="9"/>
      <c r="F254" s="10"/>
      <c r="G254" s="9"/>
      <c r="H254" s="9"/>
      <c r="I254" s="9"/>
      <c r="J254" s="9"/>
      <c r="K254" s="9"/>
      <c r="L254" s="9"/>
      <c r="O254" s="9"/>
      <c r="P254" s="9"/>
      <c r="Q254" s="9"/>
      <c r="R254" s="9"/>
      <c r="S254" s="9"/>
      <c r="T254" s="9"/>
    </row>
    <row r="255" spans="3:20">
      <c r="C255" s="9"/>
      <c r="D255" s="9"/>
      <c r="E255" s="9"/>
      <c r="F255" s="10"/>
      <c r="G255" s="9"/>
      <c r="H255" s="9"/>
      <c r="I255" s="9"/>
      <c r="J255" s="9"/>
      <c r="K255" s="9"/>
      <c r="L255" s="9"/>
      <c r="O255" s="9"/>
      <c r="P255" s="9"/>
      <c r="Q255" s="9"/>
      <c r="R255" s="9"/>
      <c r="S255" s="9"/>
      <c r="T255" s="9"/>
    </row>
    <row r="256" spans="3:20">
      <c r="C256" s="9"/>
      <c r="D256" s="9"/>
      <c r="E256" s="9"/>
      <c r="F256" s="10"/>
      <c r="G256" s="9"/>
      <c r="H256" s="9"/>
      <c r="I256" s="9"/>
      <c r="J256" s="9"/>
      <c r="K256" s="9"/>
      <c r="L256" s="9"/>
      <c r="O256" s="9"/>
      <c r="P256" s="9"/>
      <c r="Q256" s="9"/>
      <c r="R256" s="9"/>
      <c r="S256" s="9"/>
      <c r="T256" s="9"/>
    </row>
    <row r="257" spans="3:20">
      <c r="C257" s="9"/>
      <c r="D257" s="9"/>
      <c r="E257" s="9"/>
      <c r="F257" s="10"/>
      <c r="G257" s="9"/>
      <c r="H257" s="9"/>
      <c r="I257" s="9"/>
      <c r="J257" s="9"/>
      <c r="K257" s="9"/>
      <c r="L257" s="9"/>
      <c r="O257" s="9"/>
      <c r="P257" s="9"/>
      <c r="Q257" s="9"/>
      <c r="R257" s="9"/>
      <c r="S257" s="9"/>
      <c r="T257" s="9"/>
    </row>
    <row r="258" spans="3:20">
      <c r="C258" s="9"/>
      <c r="D258" s="9"/>
      <c r="E258" s="9"/>
      <c r="F258" s="10"/>
      <c r="G258" s="9"/>
      <c r="H258" s="9"/>
      <c r="I258" s="9"/>
      <c r="J258" s="9"/>
      <c r="K258" s="9"/>
      <c r="L258" s="9"/>
      <c r="O258" s="9"/>
      <c r="P258" s="9"/>
      <c r="Q258" s="9"/>
      <c r="R258" s="9"/>
      <c r="S258" s="9"/>
      <c r="T258" s="9"/>
    </row>
    <row r="259" spans="3:20">
      <c r="C259" s="9"/>
      <c r="D259" s="9"/>
      <c r="E259" s="9"/>
      <c r="F259" s="10"/>
      <c r="G259" s="9"/>
      <c r="H259" s="9"/>
      <c r="I259" s="9"/>
      <c r="J259" s="9"/>
      <c r="K259" s="9"/>
      <c r="L259" s="9"/>
      <c r="O259" s="9"/>
      <c r="P259" s="9"/>
      <c r="Q259" s="9"/>
      <c r="R259" s="9"/>
      <c r="S259" s="9"/>
      <c r="T259" s="9"/>
    </row>
    <row r="260" spans="3:20">
      <c r="C260" s="9"/>
      <c r="D260" s="9"/>
      <c r="E260" s="9"/>
      <c r="F260" s="10"/>
      <c r="G260" s="9"/>
      <c r="H260" s="9"/>
      <c r="I260" s="9"/>
      <c r="J260" s="9"/>
      <c r="K260" s="9"/>
      <c r="L260" s="9"/>
      <c r="O260" s="9"/>
      <c r="P260" s="9"/>
      <c r="Q260" s="9"/>
      <c r="R260" s="9"/>
      <c r="S260" s="9"/>
      <c r="T260" s="9"/>
    </row>
    <row r="261" spans="3:20">
      <c r="C261" s="9"/>
      <c r="D261" s="9"/>
      <c r="E261" s="9"/>
      <c r="F261" s="10"/>
      <c r="G261" s="9"/>
      <c r="H261" s="9"/>
      <c r="I261" s="9"/>
      <c r="J261" s="9"/>
      <c r="K261" s="9"/>
      <c r="L261" s="9"/>
      <c r="O261" s="9"/>
      <c r="P261" s="9"/>
      <c r="Q261" s="9"/>
      <c r="R261" s="9"/>
      <c r="S261" s="9"/>
      <c r="T261" s="9"/>
    </row>
    <row r="262" spans="3:20">
      <c r="C262" s="9"/>
      <c r="D262" s="9"/>
      <c r="E262" s="9"/>
      <c r="F262" s="10"/>
      <c r="G262" s="9"/>
      <c r="H262" s="9"/>
      <c r="I262" s="9"/>
      <c r="J262" s="9"/>
      <c r="K262" s="9"/>
      <c r="L262" s="9"/>
      <c r="O262" s="9"/>
      <c r="P262" s="9"/>
      <c r="Q262" s="9"/>
      <c r="R262" s="9"/>
      <c r="S262" s="9"/>
      <c r="T262" s="9"/>
    </row>
    <row r="263" spans="3:20">
      <c r="C263" s="9"/>
      <c r="D263" s="9"/>
      <c r="E263" s="9"/>
      <c r="F263" s="10"/>
      <c r="G263" s="9"/>
      <c r="H263" s="9"/>
      <c r="I263" s="9"/>
      <c r="J263" s="9"/>
      <c r="K263" s="9"/>
      <c r="L263" s="9"/>
      <c r="O263" s="9"/>
      <c r="P263" s="9"/>
      <c r="Q263" s="9"/>
      <c r="R263" s="9"/>
      <c r="S263" s="9"/>
      <c r="T263" s="9"/>
    </row>
    <row r="264" spans="3:20">
      <c r="C264" s="9"/>
      <c r="D264" s="9"/>
      <c r="E264" s="9"/>
      <c r="F264" s="10"/>
      <c r="G264" s="9"/>
      <c r="H264" s="9"/>
      <c r="I264" s="9"/>
      <c r="J264" s="9"/>
      <c r="K264" s="9"/>
      <c r="L264" s="9"/>
      <c r="O264" s="9"/>
      <c r="P264" s="9"/>
      <c r="Q264" s="9"/>
      <c r="R264" s="9"/>
      <c r="S264" s="9"/>
      <c r="T264" s="9"/>
    </row>
    <row r="265" spans="3:20">
      <c r="C265" s="9"/>
      <c r="D265" s="9"/>
      <c r="E265" s="9"/>
      <c r="F265" s="10"/>
      <c r="G265" s="9"/>
      <c r="H265" s="9"/>
      <c r="I265" s="9"/>
      <c r="J265" s="9"/>
      <c r="K265" s="9"/>
      <c r="L265" s="9"/>
      <c r="O265" s="9"/>
      <c r="P265" s="9"/>
      <c r="Q265" s="9"/>
      <c r="R265" s="9"/>
      <c r="S265" s="9"/>
      <c r="T265" s="9"/>
    </row>
    <row r="266" spans="3:20">
      <c r="C266" s="9"/>
      <c r="D266" s="9"/>
      <c r="E266" s="9"/>
      <c r="F266" s="10"/>
      <c r="G266" s="9"/>
      <c r="H266" s="9"/>
      <c r="I266" s="9"/>
      <c r="J266" s="9"/>
      <c r="K266" s="9"/>
      <c r="L266" s="9"/>
      <c r="O266" s="9"/>
      <c r="P266" s="9"/>
      <c r="Q266" s="9"/>
      <c r="R266" s="9"/>
      <c r="S266" s="9"/>
      <c r="T266" s="9"/>
    </row>
    <row r="267" spans="3:20">
      <c r="C267" s="9"/>
      <c r="D267" s="9"/>
      <c r="E267" s="9"/>
      <c r="F267" s="10"/>
      <c r="G267" s="9"/>
      <c r="H267" s="9"/>
      <c r="I267" s="9"/>
      <c r="J267" s="9"/>
      <c r="K267" s="9"/>
      <c r="L267" s="9"/>
      <c r="O267" s="9"/>
      <c r="P267" s="9"/>
      <c r="Q267" s="9"/>
      <c r="R267" s="9"/>
      <c r="S267" s="9"/>
      <c r="T267" s="9"/>
    </row>
    <row r="268" spans="3:20">
      <c r="C268" s="9"/>
      <c r="D268" s="9"/>
      <c r="E268" s="9"/>
      <c r="F268" s="10"/>
      <c r="G268" s="9"/>
      <c r="H268" s="9"/>
      <c r="I268" s="9"/>
      <c r="J268" s="9"/>
      <c r="K268" s="9"/>
      <c r="L268" s="9"/>
      <c r="O268" s="9"/>
      <c r="P268" s="9"/>
      <c r="Q268" s="9"/>
      <c r="R268" s="9"/>
      <c r="S268" s="9"/>
      <c r="T268" s="9"/>
    </row>
    <row r="269" spans="3:20">
      <c r="C269" s="9"/>
      <c r="D269" s="9"/>
      <c r="E269" s="9"/>
      <c r="F269" s="10"/>
      <c r="G269" s="9"/>
      <c r="H269" s="9"/>
      <c r="I269" s="9"/>
      <c r="J269" s="9"/>
      <c r="K269" s="9"/>
      <c r="L269" s="9"/>
      <c r="O269" s="9"/>
      <c r="P269" s="9"/>
      <c r="Q269" s="9"/>
      <c r="R269" s="9"/>
      <c r="S269" s="9"/>
      <c r="T269" s="9"/>
    </row>
    <row r="270" spans="3:20">
      <c r="C270" s="9"/>
      <c r="D270" s="9"/>
      <c r="E270" s="9"/>
      <c r="F270" s="10"/>
      <c r="G270" s="9"/>
      <c r="H270" s="9"/>
      <c r="I270" s="9"/>
      <c r="J270" s="9"/>
      <c r="K270" s="9"/>
      <c r="L270" s="9"/>
      <c r="O270" s="9"/>
      <c r="P270" s="9"/>
      <c r="Q270" s="9"/>
      <c r="R270" s="9"/>
      <c r="S270" s="9"/>
      <c r="T270" s="9"/>
    </row>
    <row r="271" spans="3:20">
      <c r="C271" s="9"/>
      <c r="D271" s="9"/>
      <c r="E271" s="9"/>
      <c r="F271" s="10"/>
      <c r="G271" s="9"/>
      <c r="H271" s="9"/>
      <c r="I271" s="9"/>
      <c r="J271" s="9"/>
      <c r="K271" s="9"/>
      <c r="L271" s="9"/>
      <c r="O271" s="9"/>
      <c r="P271" s="9"/>
      <c r="Q271" s="9"/>
      <c r="R271" s="9"/>
      <c r="S271" s="9"/>
      <c r="T271" s="9"/>
    </row>
    <row r="272" spans="3:20">
      <c r="C272" s="9"/>
      <c r="D272" s="9"/>
      <c r="E272" s="9"/>
      <c r="F272" s="10"/>
      <c r="G272" s="9"/>
      <c r="H272" s="9"/>
      <c r="I272" s="9"/>
      <c r="J272" s="9"/>
      <c r="K272" s="9"/>
      <c r="L272" s="9"/>
      <c r="O272" s="9"/>
      <c r="P272" s="9"/>
      <c r="Q272" s="9"/>
      <c r="R272" s="9"/>
      <c r="S272" s="9"/>
      <c r="T272" s="9"/>
    </row>
    <row r="273" spans="3:20">
      <c r="C273" s="9"/>
      <c r="D273" s="9"/>
      <c r="E273" s="9"/>
      <c r="F273" s="10"/>
      <c r="G273" s="9"/>
      <c r="H273" s="9"/>
      <c r="I273" s="9"/>
      <c r="J273" s="9"/>
      <c r="K273" s="9"/>
      <c r="L273" s="9"/>
      <c r="O273" s="9"/>
      <c r="P273" s="9"/>
      <c r="Q273" s="9"/>
      <c r="R273" s="9"/>
      <c r="S273" s="9"/>
      <c r="T273" s="9"/>
    </row>
    <row r="274" spans="3:20">
      <c r="C274" s="9"/>
      <c r="D274" s="9"/>
      <c r="E274" s="9"/>
      <c r="F274" s="10"/>
      <c r="G274" s="9"/>
      <c r="H274" s="9"/>
      <c r="I274" s="9"/>
      <c r="J274" s="9"/>
      <c r="K274" s="9"/>
      <c r="L274" s="9"/>
      <c r="O274" s="9"/>
      <c r="P274" s="9"/>
      <c r="Q274" s="9"/>
      <c r="R274" s="9"/>
      <c r="S274" s="9"/>
      <c r="T274" s="9"/>
    </row>
    <row r="275" spans="3:20">
      <c r="C275" s="9"/>
      <c r="D275" s="9"/>
      <c r="E275" s="9"/>
      <c r="F275" s="10"/>
      <c r="G275" s="9"/>
      <c r="H275" s="9"/>
      <c r="I275" s="9"/>
      <c r="J275" s="9"/>
      <c r="K275" s="9"/>
      <c r="L275" s="9"/>
      <c r="O275" s="9"/>
      <c r="P275" s="9"/>
      <c r="Q275" s="9"/>
      <c r="R275" s="9"/>
      <c r="S275" s="9"/>
      <c r="T275" s="9"/>
    </row>
    <row r="276" spans="3:20">
      <c r="C276" s="9"/>
      <c r="D276" s="9"/>
      <c r="E276" s="9"/>
      <c r="F276" s="10"/>
      <c r="G276" s="9"/>
      <c r="H276" s="9"/>
      <c r="I276" s="9"/>
      <c r="J276" s="9"/>
      <c r="K276" s="9"/>
      <c r="L276" s="9"/>
      <c r="O276" s="9"/>
      <c r="P276" s="9"/>
      <c r="Q276" s="9"/>
      <c r="R276" s="9"/>
      <c r="S276" s="9"/>
      <c r="T276" s="9"/>
    </row>
    <row r="277" spans="3:20">
      <c r="C277" s="9"/>
      <c r="D277" s="9"/>
      <c r="E277" s="9"/>
      <c r="F277" s="10"/>
      <c r="G277" s="9"/>
      <c r="H277" s="9"/>
      <c r="I277" s="9"/>
      <c r="J277" s="9"/>
      <c r="K277" s="9"/>
      <c r="L277" s="9"/>
      <c r="O277" s="9"/>
      <c r="P277" s="9"/>
      <c r="Q277" s="9"/>
      <c r="R277" s="9"/>
      <c r="S277" s="9"/>
      <c r="T277" s="9"/>
    </row>
    <row r="278" spans="3:20">
      <c r="C278" s="9"/>
      <c r="D278" s="9"/>
      <c r="E278" s="9"/>
      <c r="F278" s="10"/>
      <c r="G278" s="9"/>
      <c r="H278" s="9"/>
      <c r="I278" s="9"/>
      <c r="J278" s="9"/>
      <c r="K278" s="9"/>
      <c r="L278" s="9"/>
      <c r="O278" s="9"/>
      <c r="P278" s="9"/>
      <c r="Q278" s="9"/>
      <c r="R278" s="9"/>
      <c r="S278" s="9"/>
      <c r="T278" s="9"/>
    </row>
    <row r="279" spans="3:20">
      <c r="C279" s="9"/>
      <c r="D279" s="9"/>
      <c r="E279" s="9"/>
      <c r="F279" s="10"/>
      <c r="G279" s="9"/>
      <c r="H279" s="9"/>
      <c r="I279" s="9"/>
      <c r="J279" s="9"/>
      <c r="K279" s="9"/>
      <c r="L279" s="9"/>
      <c r="O279" s="9"/>
      <c r="P279" s="9"/>
      <c r="Q279" s="9"/>
      <c r="R279" s="9"/>
      <c r="S279" s="9"/>
      <c r="T279" s="9"/>
    </row>
    <row r="280" spans="3:20">
      <c r="C280" s="9"/>
      <c r="D280" s="9"/>
      <c r="E280" s="9"/>
      <c r="F280" s="10"/>
      <c r="G280" s="9"/>
      <c r="H280" s="9"/>
      <c r="I280" s="9"/>
      <c r="J280" s="9"/>
      <c r="K280" s="9"/>
      <c r="L280" s="9"/>
      <c r="O280" s="9"/>
      <c r="P280" s="9"/>
      <c r="Q280" s="9"/>
      <c r="R280" s="9"/>
      <c r="S280" s="9"/>
      <c r="T280" s="9"/>
    </row>
    <row r="281" spans="3:20">
      <c r="C281" s="9"/>
      <c r="D281" s="9"/>
      <c r="E281" s="9"/>
      <c r="F281" s="10"/>
      <c r="G281" s="9"/>
      <c r="H281" s="9"/>
      <c r="I281" s="9"/>
      <c r="J281" s="9"/>
      <c r="K281" s="9"/>
      <c r="L281" s="9"/>
      <c r="O281" s="9"/>
      <c r="P281" s="9"/>
      <c r="Q281" s="9"/>
      <c r="R281" s="9"/>
      <c r="S281" s="9"/>
      <c r="T281" s="9"/>
    </row>
    <row r="282" spans="3:20">
      <c r="C282" s="9"/>
      <c r="D282" s="9"/>
      <c r="E282" s="9"/>
      <c r="F282" s="10"/>
      <c r="G282" s="9"/>
      <c r="H282" s="9"/>
      <c r="I282" s="9"/>
      <c r="J282" s="9"/>
      <c r="K282" s="9"/>
      <c r="L282" s="9"/>
      <c r="O282" s="9"/>
      <c r="P282" s="9"/>
      <c r="Q282" s="9"/>
      <c r="R282" s="9"/>
      <c r="S282" s="9"/>
      <c r="T282" s="9"/>
    </row>
    <row r="283" spans="3:20">
      <c r="C283" s="9"/>
      <c r="D283" s="9"/>
      <c r="E283" s="9"/>
      <c r="F283" s="10"/>
      <c r="G283" s="9"/>
      <c r="H283" s="9"/>
      <c r="I283" s="9"/>
      <c r="J283" s="9"/>
      <c r="K283" s="9"/>
      <c r="L283" s="9"/>
      <c r="O283" s="9"/>
      <c r="P283" s="9"/>
      <c r="Q283" s="9"/>
      <c r="R283" s="9"/>
      <c r="S283" s="9"/>
      <c r="T283" s="9"/>
    </row>
    <row r="284" spans="3:20">
      <c r="C284" s="9"/>
      <c r="D284" s="9"/>
      <c r="E284" s="9"/>
      <c r="F284" s="10"/>
      <c r="G284" s="9"/>
      <c r="H284" s="9"/>
      <c r="I284" s="9"/>
      <c r="J284" s="9"/>
      <c r="K284" s="9"/>
      <c r="L284" s="9"/>
      <c r="O284" s="9"/>
      <c r="P284" s="9"/>
      <c r="Q284" s="9"/>
      <c r="R284" s="9"/>
      <c r="S284" s="9"/>
      <c r="T284" s="9"/>
    </row>
    <row r="285" spans="3:20">
      <c r="C285" s="9"/>
      <c r="D285" s="9"/>
      <c r="E285" s="9"/>
      <c r="F285" s="10"/>
      <c r="G285" s="9"/>
      <c r="H285" s="9"/>
      <c r="I285" s="9"/>
      <c r="J285" s="9"/>
      <c r="K285" s="9"/>
      <c r="L285" s="9"/>
      <c r="O285" s="9"/>
      <c r="P285" s="9"/>
      <c r="Q285" s="9"/>
      <c r="R285" s="9"/>
      <c r="S285" s="9"/>
      <c r="T285" s="9"/>
    </row>
    <row r="286" spans="3:20">
      <c r="C286" s="9"/>
      <c r="D286" s="9"/>
      <c r="E286" s="9"/>
      <c r="F286" s="10"/>
      <c r="G286" s="9"/>
      <c r="H286" s="9"/>
      <c r="I286" s="9"/>
      <c r="J286" s="9"/>
      <c r="K286" s="9"/>
      <c r="L286" s="9"/>
      <c r="O286" s="9"/>
      <c r="P286" s="9"/>
      <c r="Q286" s="9"/>
      <c r="R286" s="9"/>
      <c r="S286" s="9"/>
      <c r="T286" s="9"/>
    </row>
    <row r="287" spans="3:20">
      <c r="C287" s="9"/>
      <c r="D287" s="9"/>
      <c r="E287" s="9"/>
      <c r="F287" s="10"/>
      <c r="G287" s="9"/>
      <c r="H287" s="9"/>
      <c r="I287" s="9"/>
      <c r="J287" s="9"/>
      <c r="K287" s="9"/>
      <c r="L287" s="9"/>
      <c r="O287" s="9"/>
      <c r="P287" s="9"/>
      <c r="Q287" s="9"/>
      <c r="R287" s="9"/>
      <c r="S287" s="9"/>
      <c r="T287" s="9"/>
    </row>
    <row r="288" spans="3:20">
      <c r="C288" s="9"/>
      <c r="D288" s="9"/>
      <c r="E288" s="9"/>
      <c r="F288" s="10"/>
      <c r="G288" s="9"/>
      <c r="H288" s="9"/>
      <c r="I288" s="9"/>
      <c r="J288" s="9"/>
      <c r="K288" s="9"/>
      <c r="L288" s="9"/>
      <c r="O288" s="9"/>
      <c r="P288" s="9"/>
      <c r="Q288" s="9"/>
      <c r="R288" s="9"/>
      <c r="S288" s="9"/>
      <c r="T288" s="9"/>
    </row>
    <row r="289" spans="3:20">
      <c r="C289" s="9"/>
      <c r="D289" s="9"/>
      <c r="E289" s="9"/>
      <c r="F289" s="10"/>
      <c r="G289" s="9"/>
      <c r="H289" s="9"/>
      <c r="I289" s="9"/>
      <c r="J289" s="9"/>
      <c r="K289" s="9"/>
      <c r="L289" s="9"/>
      <c r="O289" s="9"/>
      <c r="P289" s="9"/>
      <c r="Q289" s="9"/>
      <c r="R289" s="9"/>
      <c r="S289" s="9"/>
      <c r="T289" s="9"/>
    </row>
    <row r="290" spans="3:20">
      <c r="C290" s="9"/>
      <c r="D290" s="9"/>
      <c r="E290" s="9"/>
      <c r="F290" s="10"/>
      <c r="G290" s="9"/>
      <c r="H290" s="9"/>
      <c r="I290" s="9"/>
      <c r="J290" s="9"/>
      <c r="K290" s="9"/>
      <c r="L290" s="9"/>
      <c r="O290" s="9"/>
      <c r="P290" s="9"/>
      <c r="Q290" s="9"/>
      <c r="R290" s="9"/>
      <c r="S290" s="9"/>
      <c r="T290" s="9"/>
    </row>
    <row r="291" spans="3:20">
      <c r="C291" s="9"/>
      <c r="D291" s="9"/>
      <c r="E291" s="9"/>
      <c r="F291" s="10"/>
      <c r="G291" s="9"/>
      <c r="H291" s="9"/>
      <c r="I291" s="9"/>
      <c r="J291" s="9"/>
      <c r="K291" s="9"/>
      <c r="L291" s="9"/>
      <c r="O291" s="9"/>
      <c r="P291" s="9"/>
      <c r="Q291" s="9"/>
      <c r="R291" s="9"/>
      <c r="S291" s="9"/>
      <c r="T291" s="9"/>
    </row>
    <row r="292" spans="3:20">
      <c r="C292" s="9"/>
      <c r="D292" s="9"/>
      <c r="E292" s="9"/>
      <c r="F292" s="10"/>
      <c r="G292" s="9"/>
      <c r="H292" s="9"/>
      <c r="I292" s="9"/>
      <c r="J292" s="9"/>
      <c r="K292" s="9"/>
      <c r="L292" s="9"/>
      <c r="O292" s="9"/>
      <c r="P292" s="9"/>
      <c r="Q292" s="9"/>
      <c r="R292" s="9"/>
      <c r="S292" s="9"/>
      <c r="T292" s="9"/>
    </row>
    <row r="293" spans="3:20">
      <c r="C293" s="9"/>
      <c r="D293" s="9"/>
      <c r="E293" s="9"/>
      <c r="F293" s="10"/>
      <c r="G293" s="9"/>
      <c r="H293" s="9"/>
      <c r="I293" s="9"/>
      <c r="J293" s="9"/>
      <c r="K293" s="9"/>
      <c r="L293" s="9"/>
      <c r="O293" s="9"/>
      <c r="P293" s="9"/>
      <c r="Q293" s="9"/>
      <c r="R293" s="9"/>
      <c r="S293" s="9"/>
      <c r="T293" s="9"/>
    </row>
    <row r="294" spans="3:20">
      <c r="C294" s="9"/>
      <c r="D294" s="9"/>
      <c r="E294" s="9"/>
      <c r="F294" s="10"/>
      <c r="G294" s="9"/>
      <c r="H294" s="9"/>
      <c r="I294" s="9"/>
      <c r="J294" s="9"/>
      <c r="K294" s="9"/>
      <c r="L294" s="9"/>
      <c r="O294" s="9"/>
      <c r="P294" s="9"/>
      <c r="Q294" s="9"/>
      <c r="R294" s="9"/>
      <c r="S294" s="9"/>
      <c r="T294" s="9"/>
    </row>
    <row r="295" spans="3:20">
      <c r="C295" s="9"/>
      <c r="D295" s="9"/>
      <c r="E295" s="9"/>
      <c r="F295" s="10"/>
      <c r="G295" s="9"/>
      <c r="H295" s="9"/>
      <c r="I295" s="9"/>
      <c r="J295" s="9"/>
      <c r="K295" s="9"/>
      <c r="L295" s="9"/>
      <c r="O295" s="9"/>
      <c r="P295" s="9"/>
      <c r="Q295" s="9"/>
      <c r="R295" s="9"/>
      <c r="S295" s="9"/>
      <c r="T295" s="9"/>
    </row>
    <row r="296" spans="3:20">
      <c r="C296" s="9"/>
      <c r="D296" s="9"/>
      <c r="E296" s="9"/>
      <c r="F296" s="10"/>
      <c r="G296" s="9"/>
      <c r="H296" s="9"/>
      <c r="I296" s="9"/>
      <c r="J296" s="9"/>
      <c r="K296" s="9"/>
      <c r="L296" s="9"/>
      <c r="O296" s="9"/>
      <c r="P296" s="9"/>
      <c r="Q296" s="9"/>
      <c r="R296" s="9"/>
      <c r="S296" s="9"/>
      <c r="T296" s="9"/>
    </row>
    <row r="297" spans="3:20">
      <c r="C297" s="9"/>
      <c r="D297" s="9"/>
      <c r="E297" s="9"/>
      <c r="F297" s="10"/>
      <c r="G297" s="9"/>
      <c r="H297" s="9"/>
      <c r="I297" s="9"/>
      <c r="J297" s="9"/>
      <c r="K297" s="9"/>
      <c r="L297" s="9"/>
      <c r="O297" s="9"/>
      <c r="P297" s="9"/>
      <c r="Q297" s="9"/>
      <c r="R297" s="9"/>
      <c r="S297" s="9"/>
      <c r="T297" s="9"/>
    </row>
    <row r="298" spans="3:20">
      <c r="C298" s="9"/>
      <c r="D298" s="9"/>
      <c r="E298" s="9"/>
      <c r="F298" s="10"/>
      <c r="G298" s="9"/>
      <c r="H298" s="9"/>
      <c r="I298" s="9"/>
      <c r="J298" s="9"/>
      <c r="K298" s="9"/>
      <c r="L298" s="9"/>
      <c r="O298" s="9"/>
      <c r="P298" s="9"/>
      <c r="Q298" s="9"/>
      <c r="R298" s="9"/>
      <c r="S298" s="9"/>
      <c r="T298" s="9"/>
    </row>
    <row r="299" spans="3:20">
      <c r="C299" s="9"/>
      <c r="D299" s="9"/>
      <c r="E299" s="9"/>
      <c r="F299" s="10"/>
      <c r="G299" s="9"/>
      <c r="H299" s="9"/>
      <c r="I299" s="9"/>
      <c r="J299" s="9"/>
      <c r="K299" s="9"/>
      <c r="L299" s="9"/>
      <c r="O299" s="9"/>
      <c r="P299" s="9"/>
      <c r="Q299" s="9"/>
      <c r="R299" s="9"/>
      <c r="S299" s="9"/>
      <c r="T299" s="9"/>
    </row>
    <row r="300" spans="3:20">
      <c r="C300" s="9"/>
      <c r="D300" s="9"/>
      <c r="E300" s="9"/>
      <c r="F300" s="10"/>
      <c r="G300" s="9"/>
      <c r="H300" s="9"/>
      <c r="I300" s="9"/>
      <c r="J300" s="9"/>
      <c r="K300" s="9"/>
      <c r="L300" s="9"/>
      <c r="O300" s="9"/>
      <c r="P300" s="9"/>
      <c r="Q300" s="9"/>
      <c r="R300" s="9"/>
      <c r="S300" s="9"/>
      <c r="T300" s="9"/>
    </row>
    <row r="301" spans="3:20">
      <c r="C301" s="9"/>
      <c r="D301" s="9"/>
      <c r="E301" s="9"/>
      <c r="F301" s="10"/>
      <c r="G301" s="9"/>
      <c r="H301" s="9"/>
      <c r="I301" s="9"/>
      <c r="J301" s="9"/>
      <c r="K301" s="9"/>
      <c r="L301" s="9"/>
      <c r="O301" s="9"/>
      <c r="P301" s="9"/>
      <c r="Q301" s="9"/>
      <c r="R301" s="9"/>
      <c r="S301" s="9"/>
      <c r="T301" s="9"/>
    </row>
    <row r="302" spans="3:20">
      <c r="C302" s="9"/>
      <c r="D302" s="9"/>
      <c r="E302" s="9"/>
      <c r="F302" s="10"/>
      <c r="G302" s="9"/>
      <c r="H302" s="9"/>
      <c r="I302" s="9"/>
      <c r="J302" s="9"/>
      <c r="K302" s="9"/>
      <c r="L302" s="9"/>
      <c r="O302" s="9"/>
      <c r="P302" s="9"/>
      <c r="Q302" s="9"/>
      <c r="R302" s="9"/>
      <c r="S302" s="9"/>
      <c r="T302" s="9"/>
    </row>
    <row r="303" spans="3:20">
      <c r="C303" s="9"/>
      <c r="D303" s="9"/>
      <c r="E303" s="9"/>
      <c r="F303" s="10"/>
      <c r="G303" s="9"/>
      <c r="H303" s="9"/>
      <c r="I303" s="9"/>
      <c r="J303" s="9"/>
      <c r="K303" s="9"/>
      <c r="L303" s="9"/>
      <c r="O303" s="9"/>
      <c r="P303" s="9"/>
      <c r="Q303" s="9"/>
      <c r="R303" s="9"/>
      <c r="S303" s="9"/>
      <c r="T303" s="9"/>
    </row>
    <row r="304" spans="3:20">
      <c r="C304" s="9"/>
      <c r="D304" s="9"/>
      <c r="E304" s="9"/>
      <c r="F304" s="10"/>
      <c r="G304" s="9"/>
      <c r="H304" s="9"/>
      <c r="I304" s="9"/>
      <c r="J304" s="9"/>
      <c r="K304" s="9"/>
      <c r="L304" s="9"/>
      <c r="O304" s="9"/>
      <c r="P304" s="9"/>
      <c r="Q304" s="9"/>
      <c r="R304" s="9"/>
      <c r="S304" s="9"/>
      <c r="T304" s="9"/>
    </row>
    <row r="305" spans="3:20">
      <c r="C305" s="9"/>
      <c r="D305" s="9"/>
      <c r="E305" s="9"/>
      <c r="F305" s="10"/>
      <c r="G305" s="9"/>
      <c r="H305" s="9"/>
      <c r="I305" s="9"/>
      <c r="J305" s="9"/>
      <c r="K305" s="9"/>
      <c r="L305" s="9"/>
      <c r="O305" s="9"/>
      <c r="P305" s="9"/>
      <c r="Q305" s="9"/>
      <c r="R305" s="9"/>
      <c r="S305" s="9"/>
      <c r="T305" s="9"/>
    </row>
    <row r="306" spans="3:20">
      <c r="C306" s="9"/>
      <c r="D306" s="9"/>
      <c r="E306" s="9"/>
      <c r="F306" s="10"/>
      <c r="G306" s="9"/>
      <c r="H306" s="9"/>
      <c r="I306" s="9"/>
      <c r="J306" s="9"/>
      <c r="K306" s="9"/>
      <c r="L306" s="9"/>
      <c r="O306" s="9"/>
      <c r="P306" s="9"/>
      <c r="Q306" s="9"/>
      <c r="R306" s="9"/>
      <c r="S306" s="9"/>
      <c r="T306" s="9"/>
    </row>
    <row r="307" spans="3:20">
      <c r="C307" s="9"/>
      <c r="D307" s="9"/>
      <c r="E307" s="9"/>
      <c r="F307" s="10"/>
      <c r="G307" s="9"/>
      <c r="H307" s="9"/>
      <c r="I307" s="9"/>
      <c r="J307" s="9"/>
      <c r="K307" s="9"/>
      <c r="L307" s="9"/>
      <c r="O307" s="9"/>
      <c r="P307" s="9"/>
      <c r="Q307" s="9"/>
      <c r="R307" s="9"/>
      <c r="S307" s="9"/>
      <c r="T307" s="9"/>
    </row>
    <row r="308" spans="3:20">
      <c r="C308" s="9"/>
      <c r="D308" s="9"/>
      <c r="E308" s="9"/>
      <c r="F308" s="10"/>
      <c r="G308" s="9"/>
      <c r="H308" s="9"/>
      <c r="I308" s="9"/>
      <c r="J308" s="9"/>
      <c r="K308" s="9"/>
      <c r="L308" s="9"/>
      <c r="O308" s="9"/>
      <c r="P308" s="9"/>
      <c r="Q308" s="9"/>
      <c r="R308" s="9"/>
      <c r="S308" s="9"/>
      <c r="T308" s="9"/>
    </row>
    <row r="309" spans="3:20">
      <c r="C309" s="9"/>
      <c r="D309" s="9"/>
      <c r="E309" s="9"/>
      <c r="F309" s="10"/>
      <c r="G309" s="9"/>
      <c r="H309" s="9"/>
      <c r="I309" s="9"/>
      <c r="J309" s="9"/>
      <c r="K309" s="9"/>
      <c r="L309" s="9"/>
      <c r="O309" s="9"/>
      <c r="P309" s="9"/>
      <c r="Q309" s="9"/>
      <c r="R309" s="9"/>
      <c r="S309" s="9"/>
      <c r="T309" s="9"/>
    </row>
    <row r="310" spans="3:20">
      <c r="C310" s="9"/>
      <c r="D310" s="9"/>
      <c r="E310" s="9"/>
      <c r="F310" s="10"/>
      <c r="G310" s="9"/>
      <c r="H310" s="9"/>
      <c r="I310" s="9"/>
      <c r="J310" s="9"/>
      <c r="K310" s="9"/>
      <c r="L310" s="9"/>
      <c r="O310" s="9"/>
      <c r="P310" s="9"/>
      <c r="Q310" s="9"/>
      <c r="R310" s="9"/>
      <c r="S310" s="9"/>
      <c r="T310" s="9"/>
    </row>
    <row r="311" spans="3:20">
      <c r="C311" s="9"/>
      <c r="D311" s="9"/>
      <c r="E311" s="9"/>
      <c r="F311" s="10"/>
      <c r="G311" s="9"/>
      <c r="H311" s="9"/>
      <c r="I311" s="9"/>
      <c r="J311" s="9"/>
      <c r="K311" s="9"/>
      <c r="L311" s="9"/>
      <c r="O311" s="9"/>
      <c r="P311" s="9"/>
      <c r="Q311" s="9"/>
      <c r="R311" s="9"/>
      <c r="S311" s="9"/>
      <c r="T311" s="9"/>
    </row>
    <row r="312" spans="3:20">
      <c r="C312" s="9"/>
      <c r="D312" s="9"/>
      <c r="E312" s="9"/>
      <c r="F312" s="10"/>
      <c r="G312" s="9"/>
      <c r="H312" s="9"/>
      <c r="I312" s="9"/>
      <c r="J312" s="9"/>
      <c r="K312" s="9"/>
      <c r="L312" s="9"/>
      <c r="O312" s="9"/>
      <c r="P312" s="9"/>
      <c r="Q312" s="9"/>
      <c r="R312" s="9"/>
      <c r="S312" s="9"/>
      <c r="T312" s="9"/>
    </row>
    <row r="313" spans="3:20">
      <c r="C313" s="9"/>
      <c r="D313" s="9"/>
      <c r="E313" s="9"/>
      <c r="F313" s="10"/>
      <c r="G313" s="9"/>
      <c r="H313" s="9"/>
      <c r="I313" s="9"/>
      <c r="J313" s="9"/>
      <c r="K313" s="9"/>
      <c r="L313" s="9"/>
      <c r="O313" s="9"/>
      <c r="P313" s="9"/>
      <c r="Q313" s="9"/>
      <c r="R313" s="9"/>
      <c r="S313" s="9"/>
      <c r="T313" s="9"/>
    </row>
    <row r="314" spans="3:20">
      <c r="C314" s="9"/>
      <c r="D314" s="9"/>
      <c r="E314" s="9"/>
      <c r="F314" s="10"/>
      <c r="G314" s="9"/>
      <c r="H314" s="9"/>
      <c r="I314" s="9"/>
      <c r="J314" s="9"/>
      <c r="K314" s="9"/>
      <c r="L314" s="9"/>
      <c r="O314" s="9"/>
      <c r="P314" s="9"/>
      <c r="Q314" s="9"/>
      <c r="R314" s="9"/>
      <c r="S314" s="9"/>
      <c r="T314" s="9"/>
    </row>
    <row r="315" spans="3:20">
      <c r="C315" s="9"/>
      <c r="D315" s="9"/>
      <c r="E315" s="9"/>
      <c r="F315" s="10"/>
      <c r="G315" s="9"/>
      <c r="H315" s="9"/>
      <c r="I315" s="9"/>
      <c r="J315" s="9"/>
      <c r="K315" s="9"/>
      <c r="L315" s="9"/>
      <c r="O315" s="9"/>
      <c r="P315" s="9"/>
      <c r="Q315" s="9"/>
      <c r="R315" s="9"/>
      <c r="S315" s="9"/>
      <c r="T315" s="9"/>
    </row>
    <row r="316" spans="3:20">
      <c r="C316" s="9"/>
      <c r="D316" s="9"/>
      <c r="E316" s="9"/>
      <c r="F316" s="10"/>
      <c r="G316" s="9"/>
      <c r="H316" s="9"/>
      <c r="I316" s="9"/>
      <c r="J316" s="9"/>
      <c r="K316" s="9"/>
      <c r="L316" s="9"/>
      <c r="O316" s="9"/>
      <c r="P316" s="9"/>
      <c r="Q316" s="9"/>
      <c r="R316" s="9"/>
      <c r="S316" s="9"/>
      <c r="T316" s="9"/>
    </row>
    <row r="317" spans="3:20">
      <c r="C317" s="9"/>
      <c r="D317" s="9"/>
      <c r="E317" s="9"/>
      <c r="F317" s="10"/>
      <c r="G317" s="9"/>
      <c r="H317" s="9"/>
      <c r="I317" s="9"/>
      <c r="J317" s="9"/>
      <c r="K317" s="9"/>
      <c r="L317" s="9"/>
      <c r="O317" s="9"/>
      <c r="P317" s="9"/>
      <c r="Q317" s="9"/>
      <c r="R317" s="9"/>
      <c r="S317" s="9"/>
      <c r="T317" s="9"/>
    </row>
    <row r="318" spans="3:20">
      <c r="C318" s="9"/>
      <c r="D318" s="9"/>
      <c r="E318" s="9"/>
      <c r="F318" s="10"/>
      <c r="G318" s="9"/>
      <c r="H318" s="9"/>
      <c r="I318" s="9"/>
      <c r="J318" s="9"/>
      <c r="K318" s="9"/>
      <c r="L318" s="9"/>
      <c r="O318" s="9"/>
      <c r="P318" s="9"/>
      <c r="Q318" s="9"/>
      <c r="R318" s="9"/>
      <c r="S318" s="9"/>
      <c r="T318" s="9"/>
    </row>
    <row r="319" spans="3:20">
      <c r="C319" s="9"/>
      <c r="D319" s="9"/>
      <c r="E319" s="9"/>
      <c r="F319" s="10"/>
      <c r="G319" s="9"/>
      <c r="H319" s="9"/>
      <c r="I319" s="9"/>
      <c r="J319" s="9"/>
      <c r="K319" s="9"/>
      <c r="L319" s="9"/>
      <c r="O319" s="9"/>
      <c r="P319" s="9"/>
      <c r="Q319" s="9"/>
      <c r="R319" s="9"/>
      <c r="S319" s="9"/>
      <c r="T319" s="9"/>
    </row>
    <row r="320" spans="3:20">
      <c r="C320" s="9"/>
      <c r="D320" s="9"/>
      <c r="E320" s="9"/>
      <c r="F320" s="10"/>
      <c r="G320" s="9"/>
      <c r="H320" s="9"/>
      <c r="I320" s="9"/>
      <c r="J320" s="9"/>
      <c r="K320" s="9"/>
      <c r="L320" s="9"/>
      <c r="O320" s="9"/>
      <c r="P320" s="9"/>
      <c r="Q320" s="9"/>
      <c r="R320" s="9"/>
      <c r="S320" s="9"/>
      <c r="T320" s="9"/>
    </row>
    <row r="321" spans="3:20">
      <c r="C321" s="9"/>
      <c r="D321" s="9"/>
      <c r="E321" s="9"/>
      <c r="F321" s="10"/>
      <c r="G321" s="9"/>
      <c r="H321" s="9"/>
      <c r="I321" s="9"/>
      <c r="J321" s="9"/>
      <c r="K321" s="9"/>
      <c r="L321" s="9"/>
      <c r="O321" s="9"/>
      <c r="P321" s="9"/>
      <c r="Q321" s="9"/>
      <c r="R321" s="9"/>
      <c r="S321" s="9"/>
      <c r="T321" s="9"/>
    </row>
    <row r="322" spans="3:20">
      <c r="C322" s="9"/>
      <c r="D322" s="9"/>
      <c r="E322" s="9"/>
      <c r="F322" s="10"/>
      <c r="G322" s="9"/>
      <c r="H322" s="9"/>
      <c r="I322" s="9"/>
      <c r="J322" s="9"/>
      <c r="K322" s="9"/>
      <c r="L322" s="9"/>
      <c r="O322" s="9"/>
      <c r="P322" s="9"/>
      <c r="Q322" s="9"/>
      <c r="R322" s="9"/>
      <c r="S322" s="9"/>
      <c r="T322" s="9"/>
    </row>
    <row r="323" spans="3:20">
      <c r="C323" s="9"/>
      <c r="D323" s="9"/>
      <c r="E323" s="9"/>
      <c r="F323" s="10"/>
      <c r="G323" s="9"/>
      <c r="H323" s="9"/>
      <c r="I323" s="9"/>
      <c r="J323" s="9"/>
      <c r="K323" s="9"/>
      <c r="L323" s="9"/>
      <c r="O323" s="9"/>
      <c r="P323" s="9"/>
      <c r="Q323" s="9"/>
      <c r="R323" s="9"/>
      <c r="S323" s="9"/>
      <c r="T323" s="9"/>
    </row>
    <row r="324" spans="3:20">
      <c r="C324" s="9"/>
      <c r="D324" s="9"/>
      <c r="E324" s="9"/>
      <c r="F324" s="10"/>
      <c r="G324" s="9"/>
      <c r="H324" s="9"/>
      <c r="I324" s="9"/>
      <c r="J324" s="9"/>
      <c r="K324" s="9"/>
      <c r="L324" s="9"/>
      <c r="O324" s="9"/>
      <c r="P324" s="9"/>
      <c r="Q324" s="9"/>
      <c r="R324" s="9"/>
      <c r="S324" s="9"/>
      <c r="T324" s="9"/>
    </row>
    <row r="325" spans="3:20">
      <c r="C325" s="9"/>
      <c r="D325" s="9"/>
      <c r="E325" s="9"/>
      <c r="F325" s="10"/>
      <c r="G325" s="9"/>
      <c r="H325" s="9"/>
      <c r="I325" s="9"/>
      <c r="J325" s="9"/>
      <c r="K325" s="9"/>
      <c r="L325" s="9"/>
      <c r="O325" s="9"/>
      <c r="P325" s="9"/>
      <c r="Q325" s="9"/>
      <c r="R325" s="9"/>
      <c r="S325" s="9"/>
      <c r="T325" s="9"/>
    </row>
    <row r="326" spans="3:20">
      <c r="C326" s="9"/>
      <c r="D326" s="9"/>
      <c r="E326" s="9"/>
      <c r="F326" s="10"/>
      <c r="G326" s="9"/>
      <c r="H326" s="9"/>
      <c r="I326" s="9"/>
      <c r="J326" s="9"/>
      <c r="K326" s="9"/>
      <c r="L326" s="9"/>
      <c r="O326" s="9"/>
      <c r="P326" s="9"/>
      <c r="Q326" s="9"/>
      <c r="R326" s="9"/>
      <c r="S326" s="9"/>
      <c r="T326" s="9"/>
    </row>
    <row r="327" spans="3:20">
      <c r="C327" s="9"/>
      <c r="D327" s="9"/>
      <c r="E327" s="9"/>
      <c r="F327" s="10"/>
      <c r="G327" s="9"/>
      <c r="H327" s="9"/>
      <c r="I327" s="9"/>
      <c r="J327" s="9"/>
      <c r="K327" s="9"/>
      <c r="L327" s="9"/>
      <c r="O327" s="9"/>
      <c r="P327" s="9"/>
      <c r="Q327" s="9"/>
      <c r="R327" s="9"/>
      <c r="S327" s="9"/>
      <c r="T327" s="9"/>
    </row>
    <row r="328" spans="3:20">
      <c r="C328" s="9"/>
      <c r="D328" s="9"/>
      <c r="E328" s="9"/>
      <c r="F328" s="10"/>
      <c r="G328" s="9"/>
      <c r="H328" s="9"/>
      <c r="I328" s="9"/>
      <c r="J328" s="9"/>
      <c r="K328" s="9"/>
      <c r="L328" s="9"/>
      <c r="O328" s="9"/>
      <c r="P328" s="9"/>
      <c r="Q328" s="9"/>
      <c r="R328" s="9"/>
      <c r="S328" s="9"/>
      <c r="T328" s="9"/>
    </row>
    <row r="329" spans="3:20">
      <c r="C329" s="9"/>
      <c r="D329" s="9"/>
      <c r="E329" s="9"/>
      <c r="F329" s="10"/>
      <c r="G329" s="9"/>
      <c r="H329" s="9"/>
      <c r="I329" s="9"/>
      <c r="J329" s="9"/>
      <c r="K329" s="9"/>
      <c r="L329" s="9"/>
      <c r="O329" s="9"/>
      <c r="P329" s="9"/>
      <c r="Q329" s="9"/>
      <c r="R329" s="9"/>
      <c r="S329" s="9"/>
      <c r="T329" s="9"/>
    </row>
    <row r="330" spans="3:20">
      <c r="C330" s="9"/>
      <c r="D330" s="9"/>
      <c r="E330" s="9"/>
      <c r="F330" s="10"/>
      <c r="G330" s="9"/>
      <c r="H330" s="9"/>
      <c r="I330" s="9"/>
      <c r="J330" s="9"/>
      <c r="K330" s="9"/>
      <c r="L330" s="9"/>
      <c r="O330" s="9"/>
      <c r="P330" s="9"/>
      <c r="Q330" s="9"/>
      <c r="R330" s="9"/>
      <c r="S330" s="9"/>
      <c r="T330" s="9"/>
    </row>
    <row r="331" spans="3:20">
      <c r="C331" s="9"/>
      <c r="D331" s="9"/>
      <c r="E331" s="9"/>
      <c r="F331" s="10"/>
      <c r="G331" s="9"/>
      <c r="H331" s="9"/>
      <c r="I331" s="9"/>
      <c r="J331" s="9"/>
      <c r="K331" s="9"/>
      <c r="L331" s="9"/>
      <c r="O331" s="9"/>
      <c r="P331" s="9"/>
      <c r="Q331" s="9"/>
      <c r="R331" s="9"/>
      <c r="S331" s="9"/>
      <c r="T331" s="9"/>
    </row>
    <row r="332" spans="3:20">
      <c r="C332" s="9"/>
      <c r="D332" s="9"/>
      <c r="E332" s="9"/>
      <c r="F332" s="10"/>
      <c r="G332" s="9"/>
      <c r="H332" s="9"/>
      <c r="I332" s="9"/>
      <c r="J332" s="9"/>
      <c r="K332" s="9"/>
      <c r="L332" s="9"/>
      <c r="O332" s="9"/>
      <c r="P332" s="9"/>
      <c r="Q332" s="9"/>
      <c r="R332" s="9"/>
      <c r="S332" s="9"/>
      <c r="T332" s="9"/>
    </row>
    <row r="333" spans="3:20">
      <c r="C333" s="9"/>
      <c r="D333" s="9"/>
      <c r="E333" s="9"/>
      <c r="F333" s="10"/>
      <c r="G333" s="9"/>
      <c r="H333" s="9"/>
      <c r="I333" s="9"/>
      <c r="J333" s="9"/>
      <c r="K333" s="9"/>
      <c r="L333" s="9"/>
      <c r="O333" s="9"/>
      <c r="P333" s="9"/>
      <c r="Q333" s="9"/>
      <c r="R333" s="9"/>
      <c r="S333" s="9"/>
      <c r="T333" s="9"/>
    </row>
    <row r="334" spans="3:20">
      <c r="C334" s="9"/>
      <c r="D334" s="9"/>
      <c r="E334" s="9"/>
      <c r="F334" s="10"/>
      <c r="G334" s="9"/>
      <c r="H334" s="9"/>
      <c r="I334" s="9"/>
      <c r="J334" s="9"/>
      <c r="K334" s="9"/>
      <c r="L334" s="9"/>
      <c r="O334" s="9"/>
      <c r="P334" s="9"/>
      <c r="Q334" s="9"/>
      <c r="R334" s="9"/>
      <c r="S334" s="9"/>
      <c r="T334" s="9"/>
    </row>
    <row r="335" spans="3:20">
      <c r="C335" s="9"/>
      <c r="D335" s="9"/>
      <c r="E335" s="9"/>
      <c r="F335" s="10"/>
      <c r="G335" s="9"/>
      <c r="H335" s="9"/>
      <c r="I335" s="9"/>
      <c r="J335" s="9"/>
      <c r="K335" s="9"/>
      <c r="L335" s="9"/>
      <c r="O335" s="9"/>
      <c r="P335" s="9"/>
      <c r="Q335" s="9"/>
      <c r="R335" s="9"/>
      <c r="S335" s="9"/>
      <c r="T335" s="9"/>
    </row>
    <row r="336" spans="3:20">
      <c r="C336" s="9"/>
      <c r="D336" s="9"/>
      <c r="E336" s="9"/>
      <c r="F336" s="10"/>
      <c r="G336" s="9"/>
      <c r="H336" s="9"/>
      <c r="I336" s="9"/>
      <c r="J336" s="9"/>
      <c r="K336" s="9"/>
      <c r="L336" s="9"/>
      <c r="O336" s="9"/>
      <c r="P336" s="9"/>
      <c r="Q336" s="9"/>
      <c r="R336" s="9"/>
      <c r="S336" s="9"/>
      <c r="T336" s="9"/>
    </row>
    <row r="337" spans="3:20">
      <c r="C337" s="9"/>
      <c r="D337" s="9"/>
      <c r="E337" s="9"/>
      <c r="F337" s="10"/>
      <c r="G337" s="9"/>
      <c r="H337" s="9"/>
      <c r="I337" s="9"/>
      <c r="J337" s="9"/>
      <c r="K337" s="9"/>
      <c r="L337" s="9"/>
      <c r="O337" s="9"/>
      <c r="P337" s="9"/>
      <c r="Q337" s="9"/>
      <c r="R337" s="9"/>
      <c r="S337" s="9"/>
      <c r="T337" s="9"/>
    </row>
    <row r="338" spans="3:20">
      <c r="C338" s="9"/>
      <c r="D338" s="9"/>
      <c r="E338" s="9"/>
      <c r="F338" s="10"/>
      <c r="G338" s="9"/>
      <c r="H338" s="9"/>
      <c r="I338" s="9"/>
      <c r="J338" s="9"/>
      <c r="K338" s="9"/>
      <c r="L338" s="9"/>
      <c r="O338" s="9"/>
      <c r="P338" s="9"/>
      <c r="Q338" s="9"/>
      <c r="R338" s="9"/>
      <c r="S338" s="9"/>
      <c r="T338" s="9"/>
    </row>
    <row r="339" spans="3:20">
      <c r="C339" s="9"/>
      <c r="D339" s="9"/>
      <c r="E339" s="9"/>
      <c r="F339" s="10"/>
      <c r="G339" s="9"/>
      <c r="H339" s="9"/>
      <c r="I339" s="9"/>
      <c r="J339" s="9"/>
      <c r="K339" s="9"/>
      <c r="L339" s="9"/>
      <c r="O339" s="9"/>
      <c r="P339" s="9"/>
      <c r="Q339" s="9"/>
      <c r="R339" s="9"/>
      <c r="S339" s="9"/>
      <c r="T339" s="9"/>
    </row>
    <row r="340" spans="3:20">
      <c r="C340" s="9"/>
      <c r="D340" s="9"/>
      <c r="E340" s="9"/>
      <c r="F340" s="10"/>
      <c r="G340" s="9"/>
      <c r="H340" s="9"/>
      <c r="I340" s="9"/>
      <c r="J340" s="9"/>
      <c r="K340" s="9"/>
      <c r="L340" s="9"/>
      <c r="O340" s="9"/>
      <c r="P340" s="9"/>
      <c r="Q340" s="9"/>
      <c r="R340" s="9"/>
      <c r="S340" s="9"/>
      <c r="T340" s="9"/>
    </row>
    <row r="341" spans="3:20">
      <c r="C341" s="9"/>
      <c r="D341" s="9"/>
      <c r="E341" s="9"/>
      <c r="F341" s="10"/>
      <c r="G341" s="9"/>
      <c r="H341" s="9"/>
      <c r="I341" s="9"/>
      <c r="J341" s="9"/>
      <c r="K341" s="9"/>
      <c r="L341" s="9"/>
      <c r="O341" s="9"/>
      <c r="P341" s="9"/>
      <c r="Q341" s="9"/>
      <c r="R341" s="9"/>
      <c r="S341" s="9"/>
      <c r="T341" s="9"/>
    </row>
    <row r="342" spans="3:20">
      <c r="C342" s="9"/>
      <c r="D342" s="9"/>
      <c r="E342" s="9"/>
      <c r="F342" s="10"/>
      <c r="G342" s="9"/>
      <c r="H342" s="9"/>
      <c r="I342" s="9"/>
      <c r="J342" s="9"/>
      <c r="K342" s="9"/>
      <c r="L342" s="9"/>
      <c r="O342" s="9"/>
      <c r="P342" s="9"/>
      <c r="Q342" s="9"/>
      <c r="R342" s="9"/>
      <c r="S342" s="9"/>
      <c r="T342" s="9"/>
    </row>
    <row r="343" spans="3:20">
      <c r="C343" s="9"/>
      <c r="D343" s="9"/>
      <c r="E343" s="9"/>
      <c r="F343" s="10"/>
      <c r="G343" s="9"/>
      <c r="H343" s="9"/>
      <c r="I343" s="9"/>
      <c r="J343" s="9"/>
      <c r="K343" s="9"/>
      <c r="L343" s="9"/>
      <c r="O343" s="9"/>
      <c r="P343" s="9"/>
      <c r="Q343" s="9"/>
      <c r="R343" s="9"/>
      <c r="S343" s="9"/>
      <c r="T343" s="9"/>
    </row>
    <row r="344" spans="3:20">
      <c r="C344" s="9"/>
      <c r="D344" s="9"/>
      <c r="E344" s="9"/>
      <c r="F344" s="10"/>
      <c r="G344" s="9"/>
      <c r="H344" s="9"/>
      <c r="I344" s="9"/>
      <c r="J344" s="9"/>
      <c r="K344" s="9"/>
      <c r="L344" s="9"/>
      <c r="O344" s="9"/>
      <c r="P344" s="9"/>
      <c r="Q344" s="9"/>
      <c r="R344" s="9"/>
      <c r="S344" s="9"/>
      <c r="T344" s="9"/>
    </row>
    <row r="345" spans="3:20">
      <c r="C345" s="9"/>
      <c r="D345" s="9"/>
      <c r="E345" s="9"/>
      <c r="F345" s="10"/>
      <c r="G345" s="9"/>
      <c r="H345" s="9"/>
      <c r="I345" s="9"/>
      <c r="J345" s="9"/>
      <c r="K345" s="9"/>
      <c r="L345" s="9"/>
      <c r="O345" s="9"/>
      <c r="P345" s="9"/>
      <c r="Q345" s="9"/>
      <c r="R345" s="9"/>
      <c r="S345" s="9"/>
      <c r="T345" s="9"/>
    </row>
    <row r="346" spans="3:20">
      <c r="C346" s="9"/>
      <c r="D346" s="9"/>
      <c r="E346" s="9"/>
      <c r="F346" s="10"/>
      <c r="G346" s="9"/>
      <c r="H346" s="9"/>
      <c r="I346" s="9"/>
      <c r="J346" s="9"/>
      <c r="K346" s="9"/>
      <c r="L346" s="9"/>
      <c r="O346" s="9"/>
      <c r="P346" s="9"/>
      <c r="Q346" s="9"/>
      <c r="R346" s="9"/>
      <c r="S346" s="9"/>
      <c r="T346" s="9"/>
    </row>
    <row r="347" spans="3:20">
      <c r="C347" s="9"/>
      <c r="D347" s="9"/>
      <c r="E347" s="9"/>
      <c r="F347" s="10"/>
      <c r="G347" s="9"/>
      <c r="H347" s="9"/>
      <c r="I347" s="9"/>
      <c r="J347" s="9"/>
      <c r="K347" s="9"/>
      <c r="L347" s="9"/>
      <c r="O347" s="9"/>
      <c r="P347" s="9"/>
      <c r="Q347" s="9"/>
      <c r="R347" s="9"/>
      <c r="S347" s="9"/>
      <c r="T347" s="9"/>
    </row>
    <row r="348" spans="3:20">
      <c r="C348" s="9"/>
      <c r="D348" s="9"/>
      <c r="E348" s="9"/>
      <c r="F348" s="10"/>
      <c r="G348" s="9"/>
      <c r="H348" s="9"/>
      <c r="I348" s="9"/>
      <c r="J348" s="9"/>
      <c r="K348" s="9"/>
      <c r="L348" s="9"/>
      <c r="O348" s="9"/>
      <c r="P348" s="9"/>
      <c r="Q348" s="9"/>
      <c r="R348" s="9"/>
      <c r="S348" s="9"/>
      <c r="T348" s="9"/>
    </row>
    <row r="349" spans="3:20">
      <c r="C349" s="9"/>
      <c r="D349" s="9"/>
      <c r="E349" s="9"/>
      <c r="F349" s="10"/>
      <c r="G349" s="9"/>
      <c r="H349" s="9"/>
      <c r="I349" s="9"/>
      <c r="J349" s="9"/>
      <c r="K349" s="9"/>
      <c r="L349" s="9"/>
      <c r="O349" s="9"/>
      <c r="P349" s="9"/>
      <c r="Q349" s="9"/>
      <c r="R349" s="9"/>
      <c r="S349" s="9"/>
      <c r="T349" s="9"/>
    </row>
    <row r="350" spans="3:20">
      <c r="C350" s="9"/>
      <c r="D350" s="9"/>
      <c r="E350" s="9"/>
      <c r="F350" s="10"/>
      <c r="G350" s="9"/>
      <c r="H350" s="9"/>
      <c r="I350" s="9"/>
      <c r="J350" s="9"/>
      <c r="K350" s="9"/>
      <c r="L350" s="9"/>
      <c r="O350" s="9"/>
      <c r="P350" s="9"/>
      <c r="Q350" s="9"/>
      <c r="R350" s="9"/>
      <c r="S350" s="9"/>
      <c r="T350" s="9"/>
    </row>
    <row r="351" spans="3:20">
      <c r="C351" s="9"/>
      <c r="D351" s="9"/>
      <c r="E351" s="9"/>
      <c r="F351" s="10"/>
      <c r="G351" s="9"/>
      <c r="H351" s="9"/>
      <c r="I351" s="9"/>
      <c r="J351" s="9"/>
      <c r="K351" s="9"/>
      <c r="L351" s="9"/>
      <c r="O351" s="9"/>
      <c r="P351" s="9"/>
      <c r="Q351" s="9"/>
      <c r="R351" s="9"/>
      <c r="S351" s="9"/>
      <c r="T351" s="9"/>
    </row>
    <row r="352" spans="3:20">
      <c r="C352" s="9"/>
      <c r="D352" s="9"/>
      <c r="E352" s="9"/>
      <c r="F352" s="10"/>
      <c r="G352" s="9"/>
      <c r="H352" s="9"/>
      <c r="I352" s="9"/>
      <c r="J352" s="9"/>
      <c r="K352" s="9"/>
      <c r="L352" s="9"/>
      <c r="O352" s="9"/>
      <c r="P352" s="9"/>
      <c r="Q352" s="9"/>
      <c r="R352" s="9"/>
      <c r="S352" s="9"/>
      <c r="T352" s="9"/>
    </row>
    <row r="353" spans="3:20">
      <c r="C353" s="9"/>
      <c r="D353" s="9"/>
      <c r="E353" s="9"/>
      <c r="F353" s="10"/>
      <c r="G353" s="9"/>
      <c r="H353" s="9"/>
      <c r="I353" s="9"/>
      <c r="J353" s="9"/>
      <c r="K353" s="9"/>
      <c r="L353" s="9"/>
      <c r="O353" s="9"/>
      <c r="P353" s="9"/>
      <c r="Q353" s="9"/>
      <c r="R353" s="9"/>
      <c r="S353" s="9"/>
      <c r="T353" s="9"/>
    </row>
    <row r="354" spans="3:20">
      <c r="C354" s="9"/>
      <c r="D354" s="9"/>
      <c r="E354" s="9"/>
      <c r="F354" s="10"/>
      <c r="G354" s="9"/>
      <c r="H354" s="9"/>
      <c r="I354" s="9"/>
      <c r="J354" s="9"/>
      <c r="K354" s="9"/>
      <c r="L354" s="9"/>
      <c r="O354" s="9"/>
      <c r="P354" s="9"/>
      <c r="Q354" s="9"/>
      <c r="R354" s="9"/>
      <c r="S354" s="9"/>
      <c r="T354" s="9"/>
    </row>
    <row r="355" spans="3:20">
      <c r="C355" s="9"/>
      <c r="D355" s="9"/>
      <c r="E355" s="9"/>
      <c r="F355" s="10"/>
      <c r="G355" s="9"/>
      <c r="H355" s="9"/>
      <c r="I355" s="9"/>
      <c r="J355" s="9"/>
      <c r="K355" s="9"/>
      <c r="L355" s="9"/>
      <c r="O355" s="9"/>
      <c r="P355" s="9"/>
      <c r="Q355" s="9"/>
      <c r="R355" s="9"/>
      <c r="S355" s="9"/>
      <c r="T355" s="9"/>
    </row>
    <row r="356" spans="3:20">
      <c r="C356" s="9"/>
      <c r="D356" s="9"/>
      <c r="E356" s="9"/>
      <c r="F356" s="10"/>
      <c r="G356" s="9"/>
      <c r="H356" s="9"/>
      <c r="I356" s="9"/>
      <c r="J356" s="9"/>
      <c r="K356" s="9"/>
      <c r="L356" s="9"/>
      <c r="O356" s="9"/>
      <c r="P356" s="9"/>
      <c r="Q356" s="9"/>
      <c r="R356" s="9"/>
      <c r="S356" s="9"/>
      <c r="T356" s="9"/>
    </row>
    <row r="357" spans="3:20">
      <c r="C357" s="9"/>
      <c r="D357" s="9"/>
      <c r="E357" s="9"/>
      <c r="F357" s="10"/>
      <c r="G357" s="9"/>
      <c r="H357" s="9"/>
      <c r="I357" s="9"/>
      <c r="J357" s="9"/>
      <c r="K357" s="9"/>
      <c r="L357" s="9"/>
      <c r="O357" s="9"/>
      <c r="P357" s="9"/>
      <c r="Q357" s="9"/>
      <c r="R357" s="9"/>
      <c r="S357" s="9"/>
      <c r="T357" s="9"/>
    </row>
    <row r="358" spans="3:20">
      <c r="C358" s="9"/>
      <c r="D358" s="9"/>
      <c r="E358" s="9"/>
      <c r="F358" s="10"/>
      <c r="G358" s="9"/>
      <c r="H358" s="9"/>
      <c r="I358" s="9"/>
      <c r="J358" s="9"/>
      <c r="K358" s="9"/>
      <c r="L358" s="9"/>
      <c r="O358" s="9"/>
      <c r="P358" s="9"/>
      <c r="Q358" s="9"/>
      <c r="R358" s="9"/>
      <c r="S358" s="9"/>
      <c r="T358" s="9"/>
    </row>
    <row r="359" spans="3:20">
      <c r="C359" s="9"/>
      <c r="D359" s="9"/>
      <c r="E359" s="9"/>
      <c r="F359" s="10"/>
      <c r="G359" s="9"/>
      <c r="H359" s="9"/>
      <c r="I359" s="9"/>
      <c r="J359" s="9"/>
      <c r="K359" s="9"/>
      <c r="L359" s="9"/>
      <c r="O359" s="9"/>
      <c r="P359" s="9"/>
      <c r="Q359" s="9"/>
      <c r="R359" s="9"/>
      <c r="S359" s="9"/>
      <c r="T359" s="9"/>
    </row>
    <row r="360" spans="3:20">
      <c r="C360" s="9"/>
      <c r="D360" s="9"/>
      <c r="E360" s="9"/>
      <c r="F360" s="10"/>
      <c r="G360" s="9"/>
      <c r="H360" s="9"/>
      <c r="I360" s="9"/>
      <c r="J360" s="9"/>
      <c r="K360" s="9"/>
      <c r="L360" s="9"/>
      <c r="O360" s="9"/>
      <c r="P360" s="9"/>
      <c r="Q360" s="9"/>
      <c r="R360" s="9"/>
      <c r="S360" s="9"/>
      <c r="T360" s="9"/>
    </row>
    <row r="361" spans="3:20">
      <c r="C361" s="9"/>
      <c r="D361" s="9"/>
      <c r="E361" s="9"/>
      <c r="F361" s="10"/>
      <c r="G361" s="9"/>
      <c r="H361" s="9"/>
      <c r="I361" s="9"/>
      <c r="J361" s="9"/>
      <c r="K361" s="9"/>
      <c r="L361" s="9"/>
      <c r="O361" s="9"/>
      <c r="P361" s="9"/>
      <c r="Q361" s="9"/>
      <c r="R361" s="9"/>
      <c r="S361" s="9"/>
      <c r="T361" s="9"/>
    </row>
    <row r="362" spans="3:20">
      <c r="C362" s="9"/>
      <c r="D362" s="9"/>
      <c r="E362" s="9"/>
      <c r="F362" s="10"/>
      <c r="G362" s="9"/>
      <c r="H362" s="9"/>
      <c r="I362" s="9"/>
      <c r="J362" s="9"/>
      <c r="K362" s="9"/>
      <c r="L362" s="9"/>
      <c r="O362" s="9"/>
      <c r="P362" s="9"/>
      <c r="Q362" s="9"/>
      <c r="R362" s="9"/>
      <c r="S362" s="9"/>
      <c r="T362" s="9"/>
    </row>
    <row r="363" spans="3:20">
      <c r="C363" s="9"/>
      <c r="D363" s="9"/>
      <c r="E363" s="9"/>
      <c r="F363" s="10"/>
      <c r="G363" s="9"/>
      <c r="H363" s="9"/>
      <c r="I363" s="9"/>
      <c r="J363" s="9"/>
      <c r="K363" s="9"/>
      <c r="L363" s="9"/>
      <c r="O363" s="9"/>
      <c r="P363" s="9"/>
      <c r="Q363" s="9"/>
      <c r="R363" s="9"/>
      <c r="S363" s="9"/>
      <c r="T363" s="9"/>
    </row>
    <row r="364" spans="3:20">
      <c r="C364" s="9"/>
      <c r="D364" s="9"/>
      <c r="E364" s="9"/>
      <c r="F364" s="10"/>
      <c r="G364" s="9"/>
      <c r="H364" s="9"/>
      <c r="I364" s="9"/>
      <c r="J364" s="9"/>
      <c r="K364" s="9"/>
      <c r="L364" s="9"/>
      <c r="O364" s="9"/>
      <c r="P364" s="9"/>
      <c r="Q364" s="9"/>
      <c r="R364" s="9"/>
      <c r="S364" s="9"/>
      <c r="T364" s="9"/>
    </row>
    <row r="365" spans="3:20">
      <c r="C365" s="9"/>
      <c r="D365" s="9"/>
      <c r="E365" s="9"/>
      <c r="F365" s="10"/>
      <c r="G365" s="9"/>
      <c r="H365" s="9"/>
      <c r="I365" s="9"/>
      <c r="J365" s="9"/>
      <c r="K365" s="9"/>
      <c r="L365" s="9"/>
      <c r="O365" s="9"/>
      <c r="P365" s="9"/>
      <c r="Q365" s="9"/>
      <c r="R365" s="9"/>
      <c r="S365" s="9"/>
      <c r="T365" s="9"/>
    </row>
    <row r="366" spans="3:20">
      <c r="C366" s="9"/>
      <c r="D366" s="9"/>
      <c r="E366" s="9"/>
      <c r="F366" s="10"/>
      <c r="G366" s="9"/>
      <c r="H366" s="9"/>
      <c r="I366" s="9"/>
      <c r="J366" s="9"/>
      <c r="K366" s="9"/>
      <c r="L366" s="9"/>
      <c r="O366" s="9"/>
      <c r="P366" s="9"/>
      <c r="Q366" s="9"/>
      <c r="R366" s="9"/>
      <c r="S366" s="9"/>
      <c r="T366" s="9"/>
    </row>
    <row r="367" spans="3:20">
      <c r="C367" s="9"/>
      <c r="D367" s="9"/>
      <c r="E367" s="9"/>
      <c r="F367" s="10"/>
      <c r="G367" s="9"/>
      <c r="H367" s="9"/>
      <c r="I367" s="9"/>
      <c r="J367" s="9"/>
      <c r="K367" s="9"/>
      <c r="L367" s="9"/>
      <c r="O367" s="9"/>
      <c r="P367" s="9"/>
      <c r="Q367" s="9"/>
      <c r="R367" s="9"/>
      <c r="S367" s="9"/>
      <c r="T367" s="9"/>
    </row>
    <row r="368" spans="3:20">
      <c r="C368" s="9"/>
      <c r="D368" s="9"/>
      <c r="E368" s="9"/>
      <c r="F368" s="10"/>
      <c r="G368" s="9"/>
      <c r="H368" s="9"/>
      <c r="I368" s="9"/>
      <c r="J368" s="9"/>
      <c r="K368" s="9"/>
      <c r="L368" s="9"/>
      <c r="O368" s="9"/>
      <c r="P368" s="9"/>
      <c r="Q368" s="9"/>
      <c r="R368" s="9"/>
      <c r="S368" s="9"/>
      <c r="T368" s="9"/>
    </row>
    <row r="369" spans="3:20">
      <c r="C369" s="9"/>
      <c r="D369" s="9"/>
      <c r="E369" s="9"/>
      <c r="F369" s="10"/>
      <c r="G369" s="9"/>
      <c r="H369" s="9"/>
      <c r="I369" s="9"/>
      <c r="J369" s="9"/>
      <c r="K369" s="9"/>
      <c r="L369" s="9"/>
      <c r="O369" s="9"/>
      <c r="P369" s="9"/>
      <c r="Q369" s="9"/>
      <c r="R369" s="9"/>
      <c r="S369" s="9"/>
      <c r="T369" s="9"/>
    </row>
    <row r="370" spans="3:20">
      <c r="C370" s="9"/>
      <c r="D370" s="9"/>
      <c r="E370" s="9"/>
      <c r="F370" s="10"/>
      <c r="G370" s="9"/>
      <c r="H370" s="9"/>
      <c r="I370" s="9"/>
      <c r="J370" s="9"/>
      <c r="K370" s="9"/>
      <c r="L370" s="9"/>
      <c r="O370" s="9"/>
      <c r="P370" s="9"/>
      <c r="Q370" s="9"/>
      <c r="R370" s="9"/>
      <c r="S370" s="9"/>
      <c r="T370" s="9"/>
    </row>
    <row r="371" spans="3:20">
      <c r="C371" s="9"/>
      <c r="D371" s="9"/>
      <c r="E371" s="9"/>
      <c r="F371" s="10"/>
      <c r="G371" s="9"/>
      <c r="H371" s="9"/>
      <c r="I371" s="9"/>
      <c r="J371" s="9"/>
      <c r="K371" s="9"/>
      <c r="L371" s="9"/>
      <c r="O371" s="9"/>
      <c r="P371" s="9"/>
      <c r="Q371" s="9"/>
      <c r="R371" s="9"/>
      <c r="S371" s="9"/>
      <c r="T371" s="9"/>
    </row>
    <row r="372" spans="3:20">
      <c r="C372" s="9"/>
      <c r="D372" s="9"/>
      <c r="E372" s="9"/>
      <c r="F372" s="10"/>
      <c r="G372" s="9"/>
      <c r="H372" s="9"/>
      <c r="I372" s="9"/>
      <c r="J372" s="9"/>
      <c r="K372" s="9"/>
      <c r="L372" s="9"/>
      <c r="O372" s="9"/>
      <c r="P372" s="9"/>
      <c r="Q372" s="9"/>
      <c r="R372" s="9"/>
      <c r="S372" s="9"/>
      <c r="T372" s="9"/>
    </row>
    <row r="373" spans="3:20">
      <c r="C373" s="9"/>
      <c r="D373" s="9"/>
      <c r="E373" s="9"/>
      <c r="F373" s="10"/>
      <c r="G373" s="9"/>
      <c r="H373" s="9"/>
      <c r="I373" s="9"/>
      <c r="J373" s="9"/>
      <c r="K373" s="9"/>
      <c r="L373" s="9"/>
      <c r="O373" s="9"/>
      <c r="P373" s="9"/>
      <c r="Q373" s="9"/>
      <c r="R373" s="9"/>
      <c r="S373" s="9"/>
      <c r="T373" s="9"/>
    </row>
    <row r="374" spans="3:20">
      <c r="C374" s="9"/>
      <c r="D374" s="9"/>
      <c r="E374" s="9"/>
      <c r="F374" s="10"/>
      <c r="G374" s="9"/>
      <c r="H374" s="9"/>
      <c r="I374" s="9"/>
      <c r="J374" s="9"/>
      <c r="K374" s="9"/>
      <c r="L374" s="9"/>
      <c r="O374" s="9"/>
      <c r="P374" s="9"/>
      <c r="Q374" s="9"/>
      <c r="R374" s="9"/>
      <c r="S374" s="9"/>
      <c r="T374" s="9"/>
    </row>
    <row r="375" spans="3:20">
      <c r="C375" s="9"/>
      <c r="D375" s="9"/>
      <c r="E375" s="9"/>
      <c r="F375" s="10"/>
      <c r="G375" s="9"/>
      <c r="H375" s="9"/>
      <c r="I375" s="9"/>
      <c r="J375" s="9"/>
      <c r="K375" s="9"/>
      <c r="L375" s="9"/>
      <c r="O375" s="9"/>
      <c r="P375" s="9"/>
      <c r="Q375" s="9"/>
      <c r="R375" s="9"/>
      <c r="S375" s="9"/>
      <c r="T375" s="9"/>
    </row>
    <row r="376" spans="3:20">
      <c r="C376" s="9"/>
      <c r="D376" s="9"/>
      <c r="E376" s="9"/>
      <c r="F376" s="10"/>
      <c r="G376" s="9"/>
      <c r="H376" s="9"/>
      <c r="I376" s="9"/>
      <c r="J376" s="9"/>
      <c r="K376" s="9"/>
      <c r="L376" s="9"/>
      <c r="O376" s="9"/>
      <c r="P376" s="9"/>
      <c r="Q376" s="9"/>
      <c r="R376" s="9"/>
      <c r="S376" s="9"/>
      <c r="T376" s="9"/>
    </row>
    <row r="377" spans="3:20">
      <c r="C377" s="9"/>
      <c r="D377" s="9"/>
      <c r="E377" s="9"/>
      <c r="F377" s="10"/>
      <c r="G377" s="9"/>
      <c r="H377" s="9"/>
      <c r="I377" s="9"/>
      <c r="J377" s="9"/>
      <c r="K377" s="9"/>
      <c r="L377" s="9"/>
      <c r="O377" s="9"/>
      <c r="P377" s="9"/>
      <c r="Q377" s="9"/>
      <c r="R377" s="9"/>
      <c r="S377" s="9"/>
      <c r="T377" s="9"/>
    </row>
    <row r="378" spans="3:20">
      <c r="C378" s="9"/>
      <c r="D378" s="9"/>
      <c r="E378" s="9"/>
      <c r="F378" s="10"/>
      <c r="G378" s="9"/>
      <c r="H378" s="9"/>
      <c r="I378" s="9"/>
      <c r="J378" s="9"/>
      <c r="K378" s="9"/>
      <c r="L378" s="9"/>
      <c r="O378" s="9"/>
      <c r="P378" s="9"/>
      <c r="Q378" s="9"/>
      <c r="R378" s="9"/>
      <c r="S378" s="9"/>
      <c r="T378" s="9"/>
    </row>
    <row r="379" spans="3:20">
      <c r="C379" s="9"/>
      <c r="D379" s="9"/>
      <c r="E379" s="9"/>
      <c r="F379" s="10"/>
      <c r="G379" s="9"/>
      <c r="H379" s="9"/>
      <c r="I379" s="9"/>
      <c r="J379" s="9"/>
      <c r="K379" s="9"/>
      <c r="L379" s="9"/>
      <c r="O379" s="9"/>
      <c r="P379" s="9"/>
      <c r="Q379" s="9"/>
      <c r="R379" s="9"/>
      <c r="S379" s="9"/>
      <c r="T379" s="9"/>
    </row>
    <row r="380" spans="3:20">
      <c r="C380" s="9"/>
      <c r="D380" s="9"/>
      <c r="E380" s="9"/>
      <c r="F380" s="10"/>
      <c r="G380" s="9"/>
      <c r="H380" s="9"/>
      <c r="I380" s="9"/>
      <c r="J380" s="9"/>
      <c r="K380" s="9"/>
      <c r="L380" s="9"/>
      <c r="O380" s="9"/>
      <c r="P380" s="9"/>
      <c r="Q380" s="9"/>
      <c r="R380" s="9"/>
      <c r="S380" s="9"/>
      <c r="T380" s="9"/>
    </row>
    <row r="381" spans="3:20">
      <c r="C381" s="9"/>
      <c r="D381" s="9"/>
      <c r="E381" s="9"/>
      <c r="F381" s="10"/>
      <c r="G381" s="9"/>
      <c r="H381" s="9"/>
      <c r="I381" s="9"/>
      <c r="J381" s="9"/>
      <c r="K381" s="9"/>
      <c r="L381" s="9"/>
      <c r="O381" s="9"/>
      <c r="P381" s="9"/>
      <c r="Q381" s="9"/>
      <c r="R381" s="9"/>
      <c r="S381" s="9"/>
      <c r="T381" s="9"/>
    </row>
    <row r="382" spans="3:20">
      <c r="C382" s="9"/>
      <c r="D382" s="9"/>
      <c r="E382" s="9"/>
      <c r="F382" s="10"/>
      <c r="G382" s="9"/>
      <c r="H382" s="9"/>
      <c r="I382" s="9"/>
      <c r="J382" s="9"/>
      <c r="K382" s="9"/>
      <c r="L382" s="9"/>
      <c r="O382" s="9"/>
      <c r="P382" s="9"/>
      <c r="Q382" s="9"/>
      <c r="R382" s="9"/>
      <c r="S382" s="9"/>
      <c r="T382" s="9"/>
    </row>
    <row r="383" spans="3:20">
      <c r="C383" s="9"/>
      <c r="D383" s="9"/>
      <c r="E383" s="9"/>
      <c r="F383" s="10"/>
      <c r="G383" s="9"/>
      <c r="H383" s="9"/>
      <c r="I383" s="9"/>
      <c r="J383" s="9"/>
      <c r="K383" s="9"/>
      <c r="L383" s="9"/>
      <c r="O383" s="9"/>
      <c r="P383" s="9"/>
      <c r="Q383" s="9"/>
      <c r="R383" s="9"/>
      <c r="S383" s="9"/>
      <c r="T383" s="9"/>
    </row>
    <row r="384" spans="3:20">
      <c r="C384" s="9"/>
      <c r="D384" s="9"/>
      <c r="E384" s="9"/>
      <c r="F384" s="10"/>
      <c r="G384" s="9"/>
      <c r="H384" s="9"/>
      <c r="I384" s="9"/>
      <c r="J384" s="9"/>
      <c r="K384" s="9"/>
      <c r="L384" s="9"/>
      <c r="O384" s="9"/>
      <c r="P384" s="9"/>
      <c r="Q384" s="9"/>
      <c r="R384" s="9"/>
      <c r="S384" s="9"/>
      <c r="T384" s="9"/>
    </row>
    <row r="385" spans="3:20">
      <c r="C385" s="9"/>
      <c r="D385" s="9"/>
      <c r="E385" s="9"/>
      <c r="F385" s="10"/>
      <c r="G385" s="9"/>
      <c r="H385" s="9"/>
      <c r="I385" s="9"/>
      <c r="J385" s="9"/>
      <c r="K385" s="9"/>
      <c r="L385" s="9"/>
      <c r="O385" s="9"/>
      <c r="P385" s="9"/>
      <c r="Q385" s="9"/>
      <c r="R385" s="9"/>
      <c r="S385" s="9"/>
      <c r="T385" s="9"/>
    </row>
    <row r="386" spans="3:20">
      <c r="C386" s="9"/>
      <c r="D386" s="9"/>
      <c r="E386" s="9"/>
      <c r="F386" s="10"/>
      <c r="G386" s="9"/>
      <c r="H386" s="9"/>
      <c r="I386" s="9"/>
      <c r="J386" s="9"/>
      <c r="K386" s="9"/>
      <c r="L386" s="9"/>
      <c r="O386" s="9"/>
      <c r="P386" s="9"/>
      <c r="Q386" s="9"/>
      <c r="R386" s="9"/>
      <c r="S386" s="9"/>
      <c r="T386" s="9"/>
    </row>
    <row r="387" spans="3:20">
      <c r="C387" s="9"/>
      <c r="D387" s="9"/>
      <c r="E387" s="9"/>
      <c r="F387" s="10"/>
      <c r="G387" s="9"/>
      <c r="H387" s="9"/>
      <c r="I387" s="9"/>
      <c r="J387" s="9"/>
      <c r="K387" s="9"/>
      <c r="L387" s="9"/>
      <c r="O387" s="9"/>
      <c r="P387" s="9"/>
      <c r="Q387" s="9"/>
      <c r="R387" s="9"/>
      <c r="S387" s="9"/>
      <c r="T387" s="9"/>
    </row>
    <row r="388" spans="3:20">
      <c r="C388" s="9"/>
      <c r="D388" s="9"/>
      <c r="E388" s="9"/>
      <c r="F388" s="10"/>
      <c r="G388" s="9"/>
      <c r="H388" s="9"/>
      <c r="I388" s="9"/>
      <c r="J388" s="9"/>
      <c r="K388" s="9"/>
      <c r="L388" s="9"/>
      <c r="O388" s="9"/>
      <c r="P388" s="9"/>
      <c r="Q388" s="9"/>
      <c r="R388" s="9"/>
      <c r="S388" s="9"/>
      <c r="T388" s="9"/>
    </row>
    <row r="389" spans="3:20">
      <c r="C389" s="9"/>
      <c r="D389" s="9"/>
      <c r="E389" s="9"/>
      <c r="F389" s="10"/>
      <c r="G389" s="9"/>
      <c r="H389" s="9"/>
      <c r="I389" s="9"/>
      <c r="J389" s="9"/>
      <c r="K389" s="9"/>
      <c r="L389" s="9"/>
      <c r="O389" s="9"/>
      <c r="P389" s="9"/>
      <c r="Q389" s="9"/>
      <c r="R389" s="9"/>
      <c r="S389" s="9"/>
      <c r="T389" s="9"/>
    </row>
    <row r="390" spans="3:20">
      <c r="C390" s="9"/>
      <c r="D390" s="9"/>
      <c r="E390" s="9"/>
      <c r="F390" s="10"/>
      <c r="G390" s="9"/>
      <c r="H390" s="9"/>
      <c r="I390" s="9"/>
      <c r="J390" s="9"/>
      <c r="K390" s="9"/>
      <c r="L390" s="9"/>
      <c r="O390" s="9"/>
      <c r="P390" s="9"/>
      <c r="Q390" s="9"/>
      <c r="R390" s="9"/>
      <c r="S390" s="9"/>
      <c r="T390" s="9"/>
    </row>
    <row r="391" spans="3:20">
      <c r="C391" s="9"/>
      <c r="D391" s="9"/>
      <c r="E391" s="9"/>
      <c r="F391" s="10"/>
      <c r="G391" s="9"/>
      <c r="H391" s="9"/>
      <c r="I391" s="9"/>
      <c r="J391" s="9"/>
      <c r="K391" s="9"/>
      <c r="L391" s="9"/>
      <c r="O391" s="9"/>
      <c r="P391" s="9"/>
      <c r="Q391" s="9"/>
      <c r="R391" s="9"/>
      <c r="S391" s="9"/>
      <c r="T391" s="9"/>
    </row>
    <row r="392" spans="3:20">
      <c r="C392" s="9"/>
      <c r="D392" s="9"/>
      <c r="E392" s="9"/>
      <c r="F392" s="10"/>
      <c r="G392" s="9"/>
      <c r="H392" s="9"/>
      <c r="I392" s="9"/>
      <c r="J392" s="9"/>
      <c r="K392" s="9"/>
      <c r="L392" s="9"/>
      <c r="O392" s="9"/>
      <c r="P392" s="9"/>
      <c r="Q392" s="9"/>
      <c r="R392" s="9"/>
      <c r="S392" s="9"/>
      <c r="T392" s="9"/>
    </row>
    <row r="393" spans="3:20">
      <c r="C393" s="9"/>
      <c r="D393" s="9"/>
      <c r="E393" s="9"/>
      <c r="F393" s="10"/>
      <c r="G393" s="9"/>
      <c r="H393" s="9"/>
      <c r="I393" s="9"/>
      <c r="J393" s="9"/>
      <c r="K393" s="9"/>
      <c r="L393" s="9"/>
      <c r="O393" s="9"/>
      <c r="P393" s="9"/>
      <c r="Q393" s="9"/>
      <c r="R393" s="9"/>
      <c r="S393" s="9"/>
      <c r="T393" s="9"/>
    </row>
    <row r="394" spans="3:20">
      <c r="C394" s="9"/>
      <c r="D394" s="9"/>
      <c r="E394" s="9"/>
      <c r="F394" s="10"/>
      <c r="G394" s="9"/>
      <c r="H394" s="9"/>
      <c r="I394" s="9"/>
      <c r="J394" s="9"/>
      <c r="K394" s="9"/>
      <c r="L394" s="9"/>
      <c r="O394" s="9"/>
      <c r="P394" s="9"/>
      <c r="Q394" s="9"/>
      <c r="R394" s="9"/>
      <c r="S394" s="9"/>
      <c r="T394" s="9"/>
    </row>
    <row r="395" spans="3:20">
      <c r="C395" s="9"/>
      <c r="D395" s="9"/>
      <c r="E395" s="9"/>
      <c r="F395" s="10"/>
      <c r="G395" s="9"/>
      <c r="H395" s="9"/>
      <c r="I395" s="9"/>
      <c r="J395" s="9"/>
      <c r="K395" s="9"/>
      <c r="L395" s="9"/>
      <c r="O395" s="9"/>
      <c r="P395" s="9"/>
      <c r="Q395" s="9"/>
      <c r="R395" s="9"/>
      <c r="S395" s="9"/>
      <c r="T395" s="9"/>
    </row>
    <row r="396" spans="3:20">
      <c r="C396" s="9"/>
      <c r="D396" s="9"/>
      <c r="E396" s="9"/>
      <c r="F396" s="10"/>
      <c r="G396" s="9"/>
      <c r="H396" s="9"/>
      <c r="I396" s="9"/>
      <c r="J396" s="9"/>
      <c r="K396" s="9"/>
      <c r="L396" s="9"/>
      <c r="O396" s="9"/>
      <c r="P396" s="9"/>
      <c r="Q396" s="9"/>
      <c r="R396" s="9"/>
      <c r="S396" s="9"/>
      <c r="T396" s="9"/>
    </row>
    <row r="397" spans="3:20">
      <c r="C397" s="9"/>
      <c r="D397" s="9"/>
      <c r="E397" s="9"/>
      <c r="F397" s="10"/>
      <c r="G397" s="9"/>
      <c r="H397" s="9"/>
      <c r="I397" s="9"/>
      <c r="J397" s="9"/>
      <c r="K397" s="9"/>
      <c r="L397" s="9"/>
      <c r="O397" s="9"/>
      <c r="P397" s="9"/>
      <c r="Q397" s="9"/>
      <c r="R397" s="9"/>
      <c r="S397" s="9"/>
      <c r="T397" s="9"/>
    </row>
    <row r="398" spans="3:20">
      <c r="C398" s="9"/>
      <c r="D398" s="9"/>
      <c r="E398" s="9"/>
      <c r="F398" s="10"/>
      <c r="G398" s="9"/>
      <c r="H398" s="9"/>
      <c r="I398" s="9"/>
      <c r="J398" s="9"/>
      <c r="K398" s="9"/>
      <c r="L398" s="9"/>
      <c r="O398" s="9"/>
      <c r="P398" s="9"/>
      <c r="Q398" s="9"/>
      <c r="R398" s="9"/>
      <c r="S398" s="9"/>
      <c r="T398" s="9"/>
    </row>
    <row r="399" spans="3:20">
      <c r="C399" s="9"/>
      <c r="D399" s="9"/>
      <c r="E399" s="9"/>
      <c r="F399" s="10"/>
      <c r="G399" s="9"/>
      <c r="H399" s="9"/>
      <c r="I399" s="9"/>
      <c r="J399" s="9"/>
      <c r="K399" s="9"/>
      <c r="L399" s="9"/>
      <c r="O399" s="9"/>
      <c r="P399" s="9"/>
      <c r="Q399" s="9"/>
      <c r="R399" s="9"/>
      <c r="S399" s="9"/>
      <c r="T399" s="9"/>
    </row>
    <row r="400" spans="3:20">
      <c r="C400" s="9"/>
      <c r="D400" s="9"/>
      <c r="E400" s="9"/>
      <c r="F400" s="10"/>
      <c r="G400" s="9"/>
      <c r="H400" s="9"/>
      <c r="I400" s="9"/>
      <c r="J400" s="9"/>
      <c r="K400" s="9"/>
      <c r="L400" s="9"/>
      <c r="O400" s="9"/>
      <c r="P400" s="9"/>
      <c r="Q400" s="9"/>
      <c r="R400" s="9"/>
      <c r="S400" s="9"/>
      <c r="T400" s="9"/>
    </row>
    <row r="401" spans="3:20">
      <c r="C401" s="9"/>
      <c r="D401" s="9"/>
      <c r="E401" s="9"/>
      <c r="F401" s="10"/>
      <c r="G401" s="9"/>
      <c r="H401" s="9"/>
      <c r="I401" s="9"/>
      <c r="J401" s="9"/>
      <c r="K401" s="9"/>
      <c r="L401" s="9"/>
      <c r="O401" s="9"/>
      <c r="P401" s="9"/>
      <c r="Q401" s="9"/>
      <c r="R401" s="9"/>
      <c r="S401" s="9"/>
      <c r="T401" s="9"/>
    </row>
    <row r="402" spans="3:20">
      <c r="C402" s="9"/>
      <c r="D402" s="9"/>
      <c r="E402" s="9"/>
      <c r="F402" s="10"/>
      <c r="G402" s="9"/>
      <c r="H402" s="9"/>
      <c r="I402" s="9"/>
      <c r="J402" s="9"/>
      <c r="K402" s="9"/>
      <c r="L402" s="9"/>
      <c r="O402" s="9"/>
      <c r="P402" s="9"/>
      <c r="Q402" s="9"/>
      <c r="R402" s="9"/>
      <c r="S402" s="9"/>
      <c r="T402" s="9"/>
    </row>
    <row r="403" spans="3:20">
      <c r="C403" s="9"/>
      <c r="D403" s="9"/>
      <c r="E403" s="9"/>
      <c r="F403" s="10"/>
      <c r="G403" s="9"/>
      <c r="H403" s="9"/>
      <c r="I403" s="9"/>
      <c r="J403" s="9"/>
      <c r="K403" s="9"/>
      <c r="L403" s="9"/>
      <c r="O403" s="9"/>
      <c r="P403" s="9"/>
      <c r="Q403" s="9"/>
      <c r="R403" s="9"/>
      <c r="S403" s="9"/>
      <c r="T403" s="9"/>
    </row>
    <row r="404" spans="3:20">
      <c r="C404" s="9"/>
      <c r="D404" s="9"/>
      <c r="E404" s="9"/>
      <c r="F404" s="10"/>
      <c r="G404" s="9"/>
      <c r="H404" s="9"/>
      <c r="I404" s="9"/>
      <c r="J404" s="9"/>
      <c r="K404" s="9"/>
      <c r="L404" s="9"/>
      <c r="O404" s="9"/>
      <c r="P404" s="9"/>
      <c r="Q404" s="9"/>
      <c r="R404" s="9"/>
      <c r="S404" s="9"/>
      <c r="T404" s="9"/>
    </row>
    <row r="405" spans="3:20">
      <c r="C405" s="9"/>
      <c r="D405" s="9"/>
      <c r="E405" s="9"/>
      <c r="F405" s="10"/>
      <c r="G405" s="9"/>
      <c r="H405" s="9"/>
      <c r="I405" s="9"/>
      <c r="J405" s="9"/>
      <c r="K405" s="9"/>
      <c r="L405" s="9"/>
      <c r="O405" s="9"/>
      <c r="P405" s="9"/>
      <c r="Q405" s="9"/>
      <c r="R405" s="9"/>
      <c r="S405" s="9"/>
      <c r="T405" s="9"/>
    </row>
    <row r="406" spans="3:20">
      <c r="C406" s="9"/>
      <c r="D406" s="9"/>
      <c r="E406" s="9"/>
      <c r="F406" s="10"/>
      <c r="G406" s="9"/>
      <c r="H406" s="9"/>
      <c r="I406" s="9"/>
      <c r="J406" s="9"/>
      <c r="K406" s="9"/>
      <c r="L406" s="9"/>
      <c r="O406" s="9"/>
      <c r="P406" s="9"/>
      <c r="Q406" s="9"/>
      <c r="R406" s="9"/>
      <c r="S406" s="9"/>
      <c r="T406" s="9"/>
    </row>
    <row r="407" spans="3:20">
      <c r="C407" s="9"/>
      <c r="D407" s="9"/>
      <c r="E407" s="9"/>
      <c r="F407" s="10"/>
      <c r="G407" s="9"/>
      <c r="H407" s="9"/>
      <c r="I407" s="9"/>
      <c r="J407" s="9"/>
      <c r="K407" s="9"/>
      <c r="L407" s="9"/>
      <c r="O407" s="9"/>
      <c r="P407" s="9"/>
      <c r="Q407" s="9"/>
      <c r="R407" s="9"/>
      <c r="S407" s="9"/>
      <c r="T407" s="9"/>
    </row>
    <row r="408" spans="3:20">
      <c r="C408" s="9"/>
      <c r="D408" s="9"/>
      <c r="E408" s="9"/>
      <c r="F408" s="10"/>
      <c r="G408" s="9"/>
      <c r="H408" s="9"/>
      <c r="I408" s="9"/>
      <c r="J408" s="9"/>
      <c r="K408" s="9"/>
      <c r="L408" s="9"/>
      <c r="O408" s="9"/>
      <c r="P408" s="9"/>
      <c r="Q408" s="9"/>
      <c r="R408" s="9"/>
      <c r="S408" s="9"/>
      <c r="T408" s="9"/>
    </row>
    <row r="409" spans="3:20">
      <c r="C409" s="9"/>
      <c r="D409" s="9"/>
      <c r="E409" s="9"/>
      <c r="F409" s="10"/>
      <c r="G409" s="9"/>
      <c r="H409" s="9"/>
      <c r="I409" s="9"/>
      <c r="J409" s="9"/>
      <c r="K409" s="9"/>
      <c r="L409" s="9"/>
      <c r="O409" s="9"/>
      <c r="P409" s="9"/>
      <c r="Q409" s="9"/>
      <c r="R409" s="9"/>
      <c r="S409" s="9"/>
      <c r="T409" s="9"/>
    </row>
    <row r="410" spans="3:20">
      <c r="C410" s="9"/>
      <c r="D410" s="9"/>
      <c r="E410" s="9"/>
      <c r="F410" s="10"/>
      <c r="G410" s="9"/>
      <c r="H410" s="9"/>
      <c r="I410" s="9"/>
      <c r="J410" s="9"/>
      <c r="K410" s="9"/>
      <c r="L410" s="9"/>
      <c r="O410" s="9"/>
      <c r="P410" s="9"/>
      <c r="Q410" s="9"/>
      <c r="R410" s="9"/>
      <c r="S410" s="9"/>
      <c r="T410" s="9"/>
    </row>
    <row r="411" spans="3:20">
      <c r="C411" s="9"/>
      <c r="D411" s="9"/>
      <c r="E411" s="9"/>
      <c r="F411" s="10"/>
      <c r="G411" s="9"/>
      <c r="H411" s="9"/>
      <c r="I411" s="9"/>
      <c r="J411" s="9"/>
      <c r="K411" s="9"/>
      <c r="L411" s="9"/>
      <c r="O411" s="9"/>
      <c r="P411" s="9"/>
      <c r="Q411" s="9"/>
      <c r="R411" s="9"/>
      <c r="S411" s="9"/>
      <c r="T411" s="9"/>
    </row>
    <row r="412" spans="3:20">
      <c r="C412" s="9"/>
      <c r="D412" s="9"/>
      <c r="E412" s="9"/>
      <c r="F412" s="10"/>
      <c r="G412" s="9"/>
      <c r="H412" s="9"/>
      <c r="I412" s="9"/>
      <c r="J412" s="9"/>
      <c r="K412" s="9"/>
      <c r="L412" s="9"/>
      <c r="O412" s="9"/>
      <c r="P412" s="9"/>
      <c r="Q412" s="9"/>
      <c r="R412" s="9"/>
      <c r="S412" s="9"/>
      <c r="T412" s="9"/>
    </row>
    <row r="413" spans="3:20">
      <c r="C413" s="9"/>
      <c r="D413" s="9"/>
      <c r="E413" s="9"/>
      <c r="F413" s="10"/>
      <c r="G413" s="9"/>
      <c r="H413" s="9"/>
      <c r="I413" s="9"/>
      <c r="J413" s="9"/>
      <c r="K413" s="9"/>
      <c r="L413" s="9"/>
      <c r="O413" s="9"/>
      <c r="P413" s="9"/>
      <c r="Q413" s="9"/>
      <c r="R413" s="9"/>
      <c r="S413" s="9"/>
      <c r="T413" s="9"/>
    </row>
    <row r="414" spans="3:20">
      <c r="C414" s="9"/>
      <c r="D414" s="9"/>
      <c r="E414" s="9"/>
      <c r="F414" s="10"/>
      <c r="G414" s="9"/>
      <c r="H414" s="9"/>
      <c r="I414" s="9"/>
      <c r="J414" s="9"/>
      <c r="K414" s="9"/>
      <c r="L414" s="9"/>
      <c r="O414" s="9"/>
      <c r="P414" s="9"/>
      <c r="Q414" s="9"/>
      <c r="R414" s="9"/>
      <c r="S414" s="9"/>
      <c r="T414" s="9"/>
    </row>
    <row r="415" spans="3:20">
      <c r="C415" s="9"/>
      <c r="D415" s="9"/>
      <c r="E415" s="9"/>
      <c r="F415" s="10"/>
      <c r="G415" s="9"/>
      <c r="H415" s="9"/>
      <c r="I415" s="9"/>
      <c r="J415" s="9"/>
      <c r="K415" s="9"/>
      <c r="L415" s="9"/>
      <c r="O415" s="9"/>
      <c r="P415" s="9"/>
      <c r="Q415" s="9"/>
      <c r="R415" s="9"/>
      <c r="S415" s="9"/>
      <c r="T415" s="9"/>
    </row>
    <row r="416" spans="3:20">
      <c r="C416" s="9"/>
      <c r="D416" s="9"/>
      <c r="E416" s="9"/>
      <c r="F416" s="10"/>
      <c r="G416" s="9"/>
      <c r="H416" s="9"/>
      <c r="I416" s="9"/>
      <c r="J416" s="9"/>
      <c r="K416" s="9"/>
      <c r="L416" s="9"/>
      <c r="O416" s="9"/>
      <c r="P416" s="9"/>
      <c r="Q416" s="9"/>
      <c r="R416" s="9"/>
      <c r="S416" s="9"/>
      <c r="T416" s="9"/>
    </row>
    <row r="417" spans="3:20">
      <c r="C417" s="9"/>
      <c r="D417" s="9"/>
      <c r="E417" s="9"/>
      <c r="F417" s="10"/>
      <c r="G417" s="9"/>
      <c r="H417" s="9"/>
      <c r="I417" s="9"/>
      <c r="J417" s="9"/>
      <c r="K417" s="9"/>
      <c r="L417" s="9"/>
      <c r="O417" s="9"/>
      <c r="P417" s="9"/>
      <c r="Q417" s="9"/>
      <c r="R417" s="9"/>
      <c r="S417" s="9"/>
      <c r="T417" s="9"/>
    </row>
    <row r="418" spans="3:20">
      <c r="C418" s="9"/>
      <c r="D418" s="9"/>
      <c r="E418" s="9"/>
      <c r="F418" s="10"/>
      <c r="G418" s="9"/>
      <c r="H418" s="9"/>
      <c r="I418" s="9"/>
      <c r="J418" s="9"/>
      <c r="K418" s="9"/>
      <c r="L418" s="9"/>
      <c r="O418" s="9"/>
      <c r="P418" s="9"/>
      <c r="Q418" s="9"/>
      <c r="R418" s="9"/>
      <c r="S418" s="9"/>
      <c r="T418" s="9"/>
    </row>
    <row r="419" spans="3:20">
      <c r="C419" s="9"/>
      <c r="D419" s="9"/>
      <c r="E419" s="9"/>
      <c r="F419" s="10"/>
      <c r="G419" s="9"/>
      <c r="H419" s="9"/>
      <c r="I419" s="9"/>
      <c r="J419" s="9"/>
      <c r="K419" s="9"/>
      <c r="L419" s="9"/>
      <c r="O419" s="9"/>
      <c r="P419" s="9"/>
      <c r="Q419" s="9"/>
      <c r="R419" s="9"/>
      <c r="S419" s="9"/>
      <c r="T419" s="9"/>
    </row>
    <row r="420" spans="3:20">
      <c r="C420" s="9"/>
      <c r="D420" s="9"/>
      <c r="E420" s="9"/>
      <c r="F420" s="10"/>
      <c r="G420" s="9"/>
      <c r="H420" s="9"/>
      <c r="I420" s="9"/>
      <c r="J420" s="9"/>
      <c r="K420" s="9"/>
      <c r="L420" s="9"/>
      <c r="O420" s="9"/>
      <c r="P420" s="9"/>
      <c r="Q420" s="9"/>
      <c r="R420" s="9"/>
      <c r="S420" s="9"/>
      <c r="T420" s="9"/>
    </row>
    <row r="421" spans="3:20">
      <c r="C421" s="9"/>
      <c r="D421" s="9"/>
      <c r="E421" s="9"/>
      <c r="F421" s="10"/>
      <c r="G421" s="9"/>
      <c r="H421" s="9"/>
      <c r="I421" s="9"/>
      <c r="J421" s="9"/>
      <c r="K421" s="9"/>
      <c r="L421" s="9"/>
      <c r="O421" s="9"/>
      <c r="P421" s="9"/>
      <c r="Q421" s="9"/>
      <c r="R421" s="9"/>
      <c r="S421" s="9"/>
      <c r="T421" s="9"/>
    </row>
    <row r="422" spans="3:20">
      <c r="C422" s="9"/>
      <c r="D422" s="9"/>
      <c r="E422" s="9"/>
      <c r="F422" s="10"/>
      <c r="G422" s="9"/>
      <c r="H422" s="9"/>
      <c r="I422" s="9"/>
      <c r="J422" s="9"/>
      <c r="K422" s="9"/>
      <c r="L422" s="9"/>
      <c r="O422" s="9"/>
      <c r="P422" s="9"/>
      <c r="Q422" s="9"/>
      <c r="R422" s="9"/>
      <c r="S422" s="9"/>
      <c r="T422" s="9"/>
    </row>
    <row r="423" spans="3:20">
      <c r="C423" s="9"/>
      <c r="D423" s="9"/>
      <c r="E423" s="9"/>
      <c r="F423" s="10"/>
      <c r="G423" s="9"/>
      <c r="H423" s="9"/>
      <c r="I423" s="9"/>
      <c r="J423" s="9"/>
      <c r="K423" s="9"/>
      <c r="L423" s="9"/>
      <c r="O423" s="9"/>
      <c r="P423" s="9"/>
      <c r="Q423" s="9"/>
      <c r="R423" s="9"/>
      <c r="S423" s="9"/>
      <c r="T423" s="9"/>
    </row>
    <row r="424" spans="3:20">
      <c r="C424" s="9"/>
      <c r="D424" s="9"/>
      <c r="E424" s="9"/>
      <c r="F424" s="10"/>
      <c r="G424" s="9"/>
      <c r="H424" s="9"/>
      <c r="I424" s="9"/>
      <c r="J424" s="9"/>
      <c r="K424" s="9"/>
      <c r="L424" s="9"/>
      <c r="O424" s="9"/>
      <c r="P424" s="9"/>
      <c r="Q424" s="9"/>
      <c r="R424" s="9"/>
      <c r="S424" s="9"/>
      <c r="T424" s="9"/>
    </row>
    <row r="425" spans="3:20">
      <c r="C425" s="9"/>
      <c r="D425" s="9"/>
      <c r="E425" s="9"/>
      <c r="F425" s="10"/>
      <c r="G425" s="9"/>
      <c r="H425" s="9"/>
      <c r="I425" s="9"/>
      <c r="J425" s="9"/>
      <c r="K425" s="9"/>
      <c r="L425" s="9"/>
      <c r="O425" s="9"/>
      <c r="P425" s="9"/>
      <c r="Q425" s="9"/>
      <c r="R425" s="9"/>
      <c r="S425" s="9"/>
      <c r="T425" s="9"/>
    </row>
    <row r="426" spans="3:20">
      <c r="C426" s="9"/>
      <c r="D426" s="9"/>
      <c r="E426" s="9"/>
      <c r="F426" s="10"/>
      <c r="G426" s="9"/>
      <c r="H426" s="9"/>
      <c r="I426" s="9"/>
      <c r="J426" s="9"/>
      <c r="K426" s="9"/>
      <c r="L426" s="9"/>
      <c r="O426" s="9"/>
      <c r="P426" s="9"/>
      <c r="Q426" s="9"/>
      <c r="R426" s="9"/>
      <c r="S426" s="9"/>
      <c r="T426" s="9"/>
    </row>
    <row r="427" spans="3:20">
      <c r="C427" s="9"/>
      <c r="D427" s="9"/>
      <c r="E427" s="9"/>
      <c r="F427" s="10"/>
      <c r="G427" s="9"/>
      <c r="H427" s="9"/>
      <c r="I427" s="9"/>
      <c r="J427" s="9"/>
      <c r="K427" s="9"/>
      <c r="L427" s="9"/>
      <c r="O427" s="9"/>
      <c r="P427" s="9"/>
      <c r="Q427" s="9"/>
      <c r="R427" s="9"/>
      <c r="S427" s="9"/>
      <c r="T427" s="9"/>
    </row>
    <row r="428" spans="3:20">
      <c r="C428" s="9"/>
      <c r="D428" s="9"/>
      <c r="E428" s="9"/>
      <c r="F428" s="10"/>
      <c r="G428" s="9"/>
      <c r="H428" s="9"/>
      <c r="I428" s="9"/>
      <c r="J428" s="9"/>
      <c r="K428" s="9"/>
      <c r="L428" s="9"/>
      <c r="O428" s="9"/>
      <c r="P428" s="9"/>
      <c r="Q428" s="9"/>
      <c r="R428" s="9"/>
      <c r="S428" s="9"/>
      <c r="T428" s="9"/>
    </row>
    <row r="429" spans="3:20">
      <c r="C429" s="9"/>
      <c r="D429" s="9"/>
      <c r="E429" s="9"/>
      <c r="F429" s="10"/>
      <c r="G429" s="9"/>
      <c r="H429" s="9"/>
      <c r="I429" s="9"/>
      <c r="J429" s="9"/>
      <c r="K429" s="9"/>
      <c r="L429" s="9"/>
      <c r="O429" s="9"/>
      <c r="P429" s="9"/>
      <c r="Q429" s="9"/>
      <c r="R429" s="9"/>
      <c r="S429" s="9"/>
      <c r="T429" s="9"/>
    </row>
    <row r="430" spans="3:20">
      <c r="C430" s="9"/>
      <c r="D430" s="9"/>
      <c r="E430" s="9"/>
      <c r="F430" s="10"/>
      <c r="G430" s="9"/>
      <c r="H430" s="9"/>
      <c r="I430" s="9"/>
      <c r="J430" s="9"/>
      <c r="K430" s="9"/>
      <c r="L430" s="9"/>
      <c r="O430" s="9"/>
      <c r="P430" s="9"/>
      <c r="Q430" s="9"/>
      <c r="R430" s="9"/>
      <c r="S430" s="9"/>
      <c r="T430" s="9"/>
    </row>
    <row r="431" spans="3:20">
      <c r="C431" s="9"/>
      <c r="D431" s="9"/>
      <c r="E431" s="9"/>
      <c r="F431" s="10"/>
      <c r="G431" s="9"/>
      <c r="H431" s="9"/>
      <c r="I431" s="9"/>
      <c r="J431" s="9"/>
      <c r="K431" s="9"/>
      <c r="L431" s="9"/>
      <c r="O431" s="9"/>
      <c r="P431" s="9"/>
      <c r="Q431" s="9"/>
      <c r="R431" s="9"/>
      <c r="S431" s="9"/>
      <c r="T431" s="9"/>
    </row>
    <row r="432" spans="3:20">
      <c r="C432" s="9"/>
      <c r="D432" s="9"/>
      <c r="E432" s="9"/>
      <c r="F432" s="10"/>
      <c r="G432" s="9"/>
      <c r="H432" s="9"/>
      <c r="I432" s="9"/>
      <c r="J432" s="9"/>
      <c r="K432" s="9"/>
      <c r="L432" s="9"/>
      <c r="O432" s="9"/>
      <c r="P432" s="9"/>
      <c r="Q432" s="9"/>
      <c r="R432" s="9"/>
      <c r="S432" s="9"/>
      <c r="T432" s="9"/>
    </row>
    <row r="433" spans="3:20">
      <c r="C433" s="9"/>
      <c r="D433" s="9"/>
      <c r="E433" s="9"/>
      <c r="F433" s="10"/>
      <c r="G433" s="9"/>
      <c r="H433" s="9"/>
      <c r="I433" s="9"/>
      <c r="J433" s="9"/>
      <c r="K433" s="9"/>
      <c r="L433" s="9"/>
      <c r="O433" s="9"/>
      <c r="P433" s="9"/>
      <c r="Q433" s="9"/>
      <c r="R433" s="9"/>
      <c r="S433" s="9"/>
      <c r="T433" s="9"/>
    </row>
    <row r="434" spans="3:20">
      <c r="C434" s="9"/>
      <c r="D434" s="9"/>
      <c r="E434" s="9"/>
      <c r="F434" s="10"/>
      <c r="G434" s="9"/>
      <c r="H434" s="9"/>
      <c r="I434" s="9"/>
      <c r="J434" s="9"/>
      <c r="K434" s="9"/>
      <c r="L434" s="9"/>
      <c r="O434" s="9"/>
      <c r="P434" s="9"/>
      <c r="Q434" s="9"/>
      <c r="R434" s="9"/>
      <c r="S434" s="9"/>
      <c r="T434" s="9"/>
    </row>
    <row r="435" spans="3:20">
      <c r="C435" s="9"/>
      <c r="D435" s="9"/>
      <c r="E435" s="9"/>
      <c r="F435" s="10"/>
      <c r="G435" s="9"/>
      <c r="H435" s="9"/>
      <c r="I435" s="9"/>
      <c r="J435" s="9"/>
      <c r="K435" s="9"/>
      <c r="L435" s="9"/>
      <c r="O435" s="9"/>
      <c r="P435" s="9"/>
      <c r="Q435" s="9"/>
      <c r="R435" s="9"/>
      <c r="S435" s="9"/>
      <c r="T435" s="9"/>
    </row>
    <row r="436" spans="3:20">
      <c r="C436" s="9"/>
      <c r="D436" s="9"/>
      <c r="E436" s="9"/>
      <c r="F436" s="10"/>
      <c r="G436" s="9"/>
      <c r="H436" s="9"/>
      <c r="I436" s="9"/>
      <c r="J436" s="9"/>
      <c r="K436" s="9"/>
      <c r="L436" s="9"/>
      <c r="O436" s="9"/>
      <c r="P436" s="9"/>
      <c r="Q436" s="9"/>
      <c r="R436" s="9"/>
      <c r="S436" s="9"/>
      <c r="T436" s="9"/>
    </row>
    <row r="437" spans="3:20">
      <c r="C437" s="9"/>
      <c r="D437" s="9"/>
      <c r="E437" s="9"/>
      <c r="F437" s="10"/>
      <c r="G437" s="9"/>
      <c r="H437" s="9"/>
      <c r="I437" s="9"/>
      <c r="J437" s="9"/>
      <c r="K437" s="9"/>
      <c r="L437" s="9"/>
      <c r="O437" s="9"/>
      <c r="P437" s="9"/>
      <c r="Q437" s="9"/>
      <c r="R437" s="9"/>
      <c r="S437" s="9"/>
      <c r="T437" s="9"/>
    </row>
    <row r="438" spans="3:20">
      <c r="C438" s="9"/>
      <c r="D438" s="9"/>
      <c r="E438" s="9"/>
      <c r="F438" s="10"/>
      <c r="G438" s="9"/>
      <c r="H438" s="9"/>
      <c r="I438" s="9"/>
      <c r="J438" s="9"/>
      <c r="K438" s="9"/>
      <c r="L438" s="9"/>
      <c r="O438" s="9"/>
      <c r="P438" s="9"/>
      <c r="Q438" s="9"/>
      <c r="R438" s="9"/>
      <c r="S438" s="9"/>
      <c r="T438" s="9"/>
    </row>
    <row r="439" spans="3:20">
      <c r="C439" s="9"/>
      <c r="D439" s="9"/>
      <c r="E439" s="9"/>
      <c r="F439" s="10"/>
      <c r="G439" s="9"/>
      <c r="H439" s="9"/>
      <c r="I439" s="9"/>
      <c r="J439" s="9"/>
      <c r="K439" s="9"/>
      <c r="L439" s="9"/>
      <c r="O439" s="9"/>
      <c r="P439" s="9"/>
      <c r="Q439" s="9"/>
      <c r="R439" s="9"/>
      <c r="S439" s="9"/>
      <c r="T439" s="9"/>
    </row>
    <row r="440" spans="3:20">
      <c r="C440" s="9"/>
      <c r="D440" s="9"/>
      <c r="E440" s="9"/>
      <c r="F440" s="10"/>
      <c r="G440" s="9"/>
      <c r="H440" s="9"/>
      <c r="I440" s="9"/>
      <c r="J440" s="9"/>
      <c r="K440" s="9"/>
      <c r="L440" s="9"/>
      <c r="O440" s="9"/>
      <c r="P440" s="9"/>
      <c r="Q440" s="9"/>
      <c r="R440" s="9"/>
      <c r="S440" s="9"/>
      <c r="T440" s="9"/>
    </row>
    <row r="441" spans="3:20">
      <c r="C441" s="9"/>
      <c r="D441" s="9"/>
      <c r="E441" s="9"/>
      <c r="F441" s="10"/>
      <c r="G441" s="9"/>
      <c r="H441" s="9"/>
      <c r="I441" s="9"/>
      <c r="J441" s="9"/>
      <c r="K441" s="9"/>
      <c r="L441" s="9"/>
      <c r="O441" s="9"/>
      <c r="P441" s="9"/>
      <c r="Q441" s="9"/>
      <c r="R441" s="9"/>
      <c r="S441" s="9"/>
      <c r="T441" s="9"/>
    </row>
    <row r="442" spans="3:20">
      <c r="C442" s="9"/>
      <c r="D442" s="9"/>
      <c r="E442" s="9"/>
      <c r="F442" s="10"/>
      <c r="G442" s="9"/>
      <c r="H442" s="9"/>
      <c r="I442" s="9"/>
      <c r="J442" s="9"/>
      <c r="K442" s="9"/>
      <c r="L442" s="9"/>
      <c r="O442" s="9"/>
      <c r="P442" s="9"/>
      <c r="Q442" s="9"/>
      <c r="R442" s="9"/>
      <c r="S442" s="9"/>
      <c r="T442" s="9"/>
    </row>
    <row r="443" spans="3:20">
      <c r="C443" s="9"/>
      <c r="D443" s="9"/>
      <c r="E443" s="9"/>
      <c r="F443" s="10"/>
      <c r="G443" s="9"/>
      <c r="H443" s="9"/>
      <c r="I443" s="9"/>
      <c r="J443" s="9"/>
      <c r="K443" s="9"/>
      <c r="L443" s="9"/>
      <c r="O443" s="9"/>
      <c r="P443" s="9"/>
      <c r="Q443" s="9"/>
      <c r="R443" s="9"/>
      <c r="S443" s="9"/>
      <c r="T443" s="9"/>
    </row>
    <row r="444" spans="3:20">
      <c r="C444" s="9"/>
      <c r="D444" s="9"/>
      <c r="E444" s="9"/>
      <c r="F444" s="10"/>
      <c r="G444" s="9"/>
      <c r="H444" s="9"/>
      <c r="I444" s="9"/>
      <c r="J444" s="9"/>
      <c r="K444" s="9"/>
      <c r="L444" s="9"/>
      <c r="O444" s="9"/>
      <c r="P444" s="9"/>
      <c r="Q444" s="9"/>
      <c r="R444" s="9"/>
      <c r="S444" s="9"/>
      <c r="T444" s="9"/>
    </row>
    <row r="445" spans="3:20">
      <c r="C445" s="9"/>
      <c r="D445" s="9"/>
      <c r="E445" s="9"/>
      <c r="F445" s="10"/>
      <c r="G445" s="9"/>
      <c r="H445" s="9"/>
      <c r="I445" s="9"/>
      <c r="J445" s="9"/>
      <c r="K445" s="9"/>
      <c r="L445" s="9"/>
      <c r="O445" s="9"/>
      <c r="P445" s="9"/>
      <c r="Q445" s="9"/>
      <c r="R445" s="9"/>
      <c r="S445" s="9"/>
      <c r="T445" s="9"/>
    </row>
    <row r="446" spans="3:20">
      <c r="C446" s="9"/>
      <c r="D446" s="9"/>
      <c r="E446" s="9"/>
      <c r="F446" s="10"/>
      <c r="G446" s="9"/>
      <c r="H446" s="9"/>
      <c r="I446" s="9"/>
      <c r="J446" s="9"/>
      <c r="K446" s="9"/>
      <c r="L446" s="9"/>
      <c r="O446" s="9"/>
      <c r="P446" s="9"/>
      <c r="Q446" s="9"/>
      <c r="R446" s="9"/>
      <c r="S446" s="9"/>
      <c r="T446" s="9"/>
    </row>
    <row r="447" spans="3:20">
      <c r="C447" s="9"/>
      <c r="D447" s="9"/>
      <c r="E447" s="9"/>
      <c r="F447" s="10"/>
      <c r="G447" s="9"/>
      <c r="H447" s="9"/>
      <c r="I447" s="9"/>
      <c r="J447" s="9"/>
      <c r="K447" s="9"/>
      <c r="L447" s="9"/>
      <c r="O447" s="9"/>
      <c r="P447" s="9"/>
      <c r="Q447" s="9"/>
      <c r="R447" s="9"/>
      <c r="S447" s="9"/>
      <c r="T447" s="9"/>
    </row>
    <row r="448" spans="3:20">
      <c r="C448" s="9"/>
      <c r="D448" s="9"/>
      <c r="E448" s="9"/>
      <c r="F448" s="10"/>
      <c r="G448" s="9"/>
      <c r="H448" s="9"/>
      <c r="I448" s="9"/>
      <c r="J448" s="9"/>
      <c r="K448" s="9"/>
      <c r="L448" s="9"/>
      <c r="O448" s="9"/>
      <c r="P448" s="9"/>
      <c r="Q448" s="9"/>
      <c r="R448" s="9"/>
      <c r="S448" s="9"/>
      <c r="T448" s="9"/>
    </row>
    <row r="449" spans="3:20">
      <c r="C449" s="9"/>
      <c r="D449" s="9"/>
      <c r="E449" s="9"/>
      <c r="F449" s="10"/>
      <c r="G449" s="9"/>
      <c r="H449" s="9"/>
      <c r="I449" s="9"/>
      <c r="J449" s="9"/>
      <c r="K449" s="9"/>
      <c r="L449" s="9"/>
      <c r="O449" s="9"/>
      <c r="P449" s="9"/>
      <c r="Q449" s="9"/>
      <c r="R449" s="9"/>
      <c r="S449" s="9"/>
      <c r="T449" s="9"/>
    </row>
    <row r="450" spans="3:20">
      <c r="C450" s="9"/>
      <c r="D450" s="9"/>
      <c r="E450" s="9"/>
      <c r="F450" s="10"/>
      <c r="G450" s="9"/>
      <c r="H450" s="9"/>
      <c r="I450" s="9"/>
      <c r="J450" s="9"/>
      <c r="K450" s="9"/>
      <c r="L450" s="9"/>
      <c r="O450" s="9"/>
      <c r="P450" s="9"/>
      <c r="Q450" s="9"/>
      <c r="R450" s="9"/>
      <c r="S450" s="9"/>
      <c r="T450" s="9"/>
    </row>
    <row r="451" spans="3:20">
      <c r="C451" s="9"/>
      <c r="D451" s="9"/>
      <c r="E451" s="9"/>
      <c r="F451" s="10"/>
      <c r="G451" s="9"/>
      <c r="H451" s="9"/>
      <c r="I451" s="9"/>
      <c r="J451" s="9"/>
      <c r="K451" s="9"/>
      <c r="L451" s="9"/>
      <c r="O451" s="9"/>
      <c r="P451" s="9"/>
      <c r="Q451" s="9"/>
      <c r="R451" s="9"/>
      <c r="S451" s="9"/>
      <c r="T451" s="9"/>
    </row>
    <row r="452" spans="3:20">
      <c r="C452" s="9"/>
      <c r="D452" s="9"/>
      <c r="E452" s="9"/>
      <c r="F452" s="10"/>
      <c r="G452" s="9"/>
      <c r="H452" s="9"/>
      <c r="I452" s="9"/>
      <c r="J452" s="9"/>
      <c r="K452" s="9"/>
      <c r="L452" s="9"/>
      <c r="O452" s="9"/>
      <c r="P452" s="9"/>
      <c r="Q452" s="9"/>
      <c r="R452" s="9"/>
      <c r="S452" s="9"/>
      <c r="T452" s="9"/>
    </row>
    <row r="453" spans="3:20">
      <c r="C453" s="9"/>
      <c r="D453" s="9"/>
      <c r="E453" s="9"/>
      <c r="F453" s="10"/>
      <c r="G453" s="9"/>
      <c r="H453" s="9"/>
      <c r="I453" s="9"/>
      <c r="J453" s="9"/>
      <c r="K453" s="9"/>
      <c r="L453" s="9"/>
      <c r="O453" s="9"/>
      <c r="P453" s="9"/>
      <c r="Q453" s="9"/>
      <c r="R453" s="9"/>
      <c r="S453" s="9"/>
      <c r="T453" s="9"/>
    </row>
    <row r="454" spans="3:20">
      <c r="C454" s="9"/>
      <c r="D454" s="9"/>
      <c r="E454" s="9"/>
      <c r="F454" s="10"/>
      <c r="G454" s="9"/>
      <c r="H454" s="9"/>
      <c r="I454" s="9"/>
      <c r="J454" s="9"/>
      <c r="K454" s="9"/>
      <c r="L454" s="9"/>
      <c r="O454" s="9"/>
      <c r="P454" s="9"/>
      <c r="Q454" s="9"/>
      <c r="R454" s="9"/>
      <c r="S454" s="9"/>
      <c r="T454" s="9"/>
    </row>
    <row r="455" spans="3:20">
      <c r="C455" s="9"/>
      <c r="D455" s="9"/>
      <c r="E455" s="9"/>
      <c r="F455" s="10"/>
      <c r="G455" s="9"/>
      <c r="H455" s="9"/>
      <c r="I455" s="9"/>
      <c r="J455" s="9"/>
      <c r="K455" s="9"/>
      <c r="L455" s="9"/>
      <c r="O455" s="9"/>
      <c r="P455" s="9"/>
      <c r="Q455" s="9"/>
      <c r="R455" s="9"/>
      <c r="S455" s="9"/>
      <c r="T455" s="9"/>
    </row>
    <row r="456" spans="3:20">
      <c r="C456" s="9"/>
      <c r="D456" s="9"/>
      <c r="E456" s="9"/>
      <c r="F456" s="10"/>
      <c r="G456" s="9"/>
      <c r="H456" s="9"/>
      <c r="I456" s="9"/>
      <c r="J456" s="9"/>
      <c r="K456" s="9"/>
      <c r="L456" s="9"/>
      <c r="O456" s="9"/>
      <c r="P456" s="9"/>
      <c r="Q456" s="9"/>
      <c r="R456" s="9"/>
      <c r="S456" s="9"/>
      <c r="T456" s="9"/>
    </row>
    <row r="457" spans="3:20">
      <c r="C457" s="9"/>
      <c r="D457" s="9"/>
      <c r="E457" s="9"/>
      <c r="F457" s="10"/>
      <c r="G457" s="9"/>
      <c r="H457" s="9"/>
      <c r="I457" s="9"/>
      <c r="J457" s="9"/>
      <c r="K457" s="9"/>
      <c r="L457" s="9"/>
      <c r="O457" s="9"/>
      <c r="P457" s="9"/>
      <c r="Q457" s="9"/>
      <c r="R457" s="9"/>
      <c r="S457" s="9"/>
      <c r="T457" s="9"/>
    </row>
    <row r="458" spans="3:20">
      <c r="C458" s="9"/>
      <c r="D458" s="9"/>
      <c r="E458" s="9"/>
      <c r="F458" s="10"/>
      <c r="G458" s="9"/>
      <c r="H458" s="9"/>
      <c r="I458" s="9"/>
      <c r="J458" s="9"/>
      <c r="K458" s="9"/>
      <c r="L458" s="9"/>
      <c r="O458" s="9"/>
      <c r="P458" s="9"/>
      <c r="Q458" s="9"/>
      <c r="R458" s="9"/>
      <c r="S458" s="9"/>
      <c r="T458" s="9"/>
    </row>
    <row r="459" spans="3:20">
      <c r="C459" s="9"/>
      <c r="D459" s="9"/>
      <c r="E459" s="9"/>
      <c r="F459" s="10"/>
      <c r="G459" s="9"/>
      <c r="H459" s="9"/>
      <c r="I459" s="9"/>
      <c r="J459" s="9"/>
      <c r="K459" s="9"/>
      <c r="L459" s="9"/>
      <c r="O459" s="9"/>
      <c r="P459" s="9"/>
      <c r="Q459" s="9"/>
      <c r="R459" s="9"/>
      <c r="S459" s="9"/>
      <c r="T459" s="9"/>
    </row>
    <row r="460" spans="3:20">
      <c r="C460" s="9"/>
      <c r="D460" s="9"/>
      <c r="E460" s="9"/>
      <c r="F460" s="10"/>
      <c r="G460" s="9"/>
      <c r="H460" s="9"/>
      <c r="I460" s="9"/>
      <c r="J460" s="9"/>
      <c r="K460" s="9"/>
      <c r="L460" s="9"/>
      <c r="O460" s="9"/>
      <c r="P460" s="9"/>
      <c r="Q460" s="9"/>
      <c r="R460" s="9"/>
      <c r="S460" s="9"/>
      <c r="T460" s="9"/>
    </row>
    <row r="461" spans="3:20">
      <c r="C461" s="9"/>
      <c r="D461" s="9"/>
      <c r="E461" s="9"/>
      <c r="F461" s="10"/>
      <c r="G461" s="9"/>
      <c r="H461" s="9"/>
      <c r="I461" s="9"/>
      <c r="J461" s="9"/>
      <c r="K461" s="9"/>
      <c r="L461" s="9"/>
      <c r="O461" s="9"/>
      <c r="P461" s="9"/>
      <c r="Q461" s="9"/>
      <c r="R461" s="9"/>
      <c r="S461" s="9"/>
      <c r="T461" s="9"/>
    </row>
    <row r="462" spans="3:20">
      <c r="C462" s="9"/>
      <c r="D462" s="9"/>
      <c r="E462" s="9"/>
      <c r="F462" s="10"/>
      <c r="G462" s="9"/>
      <c r="H462" s="9"/>
      <c r="I462" s="9"/>
      <c r="J462" s="9"/>
      <c r="K462" s="9"/>
      <c r="L462" s="9"/>
      <c r="O462" s="9"/>
      <c r="P462" s="9"/>
      <c r="Q462" s="9"/>
      <c r="R462" s="9"/>
      <c r="S462" s="9"/>
      <c r="T462" s="9"/>
    </row>
    <row r="463" spans="3:20">
      <c r="C463" s="9"/>
      <c r="D463" s="9"/>
      <c r="E463" s="9"/>
      <c r="F463" s="10"/>
      <c r="G463" s="9"/>
      <c r="H463" s="9"/>
      <c r="I463" s="9"/>
      <c r="J463" s="9"/>
      <c r="K463" s="9"/>
      <c r="L463" s="9"/>
      <c r="O463" s="9"/>
      <c r="P463" s="9"/>
      <c r="Q463" s="9"/>
      <c r="R463" s="9"/>
      <c r="S463" s="9"/>
      <c r="T463" s="9"/>
    </row>
    <row r="464" spans="3:20">
      <c r="C464" s="9"/>
      <c r="D464" s="9"/>
      <c r="E464" s="9"/>
      <c r="F464" s="10"/>
      <c r="G464" s="9"/>
      <c r="H464" s="9"/>
      <c r="I464" s="9"/>
      <c r="J464" s="9"/>
      <c r="K464" s="9"/>
      <c r="L464" s="9"/>
      <c r="O464" s="9"/>
      <c r="P464" s="9"/>
      <c r="Q464" s="9"/>
      <c r="R464" s="9"/>
      <c r="S464" s="9"/>
      <c r="T464" s="9"/>
    </row>
    <row r="465" spans="3:20">
      <c r="C465" s="9"/>
      <c r="D465" s="9"/>
      <c r="E465" s="9"/>
      <c r="F465" s="10"/>
      <c r="G465" s="9"/>
      <c r="H465" s="9"/>
      <c r="I465" s="9"/>
      <c r="J465" s="9"/>
      <c r="K465" s="9"/>
      <c r="L465" s="9"/>
      <c r="O465" s="9"/>
      <c r="P465" s="9"/>
      <c r="Q465" s="9"/>
      <c r="R465" s="9"/>
      <c r="S465" s="9"/>
      <c r="T465" s="9"/>
    </row>
    <row r="466" spans="3:20">
      <c r="C466" s="9"/>
      <c r="D466" s="9"/>
      <c r="E466" s="9"/>
      <c r="F466" s="10"/>
      <c r="G466" s="9"/>
      <c r="H466" s="9"/>
      <c r="I466" s="9"/>
      <c r="J466" s="9"/>
      <c r="K466" s="9"/>
      <c r="L466" s="9"/>
      <c r="O466" s="9"/>
      <c r="P466" s="9"/>
      <c r="Q466" s="9"/>
      <c r="R466" s="9"/>
      <c r="S466" s="9"/>
      <c r="T466" s="9"/>
    </row>
    <row r="467" spans="3:20">
      <c r="C467" s="9"/>
      <c r="D467" s="9"/>
      <c r="E467" s="9"/>
      <c r="F467" s="10"/>
      <c r="G467" s="9"/>
      <c r="H467" s="9"/>
      <c r="I467" s="9"/>
      <c r="J467" s="9"/>
      <c r="K467" s="9"/>
      <c r="L467" s="9"/>
      <c r="O467" s="9"/>
      <c r="P467" s="9"/>
      <c r="Q467" s="9"/>
      <c r="R467" s="9"/>
      <c r="S467" s="9"/>
      <c r="T467" s="9"/>
    </row>
    <row r="468" spans="3:20">
      <c r="C468" s="9"/>
      <c r="D468" s="9"/>
      <c r="E468" s="9"/>
      <c r="F468" s="10"/>
      <c r="G468" s="9"/>
      <c r="H468" s="9"/>
      <c r="I468" s="9"/>
      <c r="J468" s="9"/>
      <c r="K468" s="9"/>
      <c r="L468" s="9"/>
      <c r="O468" s="9"/>
      <c r="P468" s="9"/>
      <c r="Q468" s="9"/>
      <c r="R468" s="9"/>
      <c r="S468" s="9"/>
      <c r="T468" s="9"/>
    </row>
    <row r="469" spans="3:20">
      <c r="C469" s="9"/>
      <c r="D469" s="9"/>
      <c r="E469" s="9"/>
      <c r="F469" s="10"/>
      <c r="G469" s="9"/>
      <c r="H469" s="9"/>
      <c r="I469" s="9"/>
      <c r="J469" s="9"/>
      <c r="K469" s="9"/>
      <c r="L469" s="9"/>
      <c r="O469" s="9"/>
      <c r="P469" s="9"/>
      <c r="Q469" s="9"/>
      <c r="R469" s="9"/>
      <c r="S469" s="9"/>
      <c r="T469" s="9"/>
    </row>
    <row r="470" spans="3:20">
      <c r="C470" s="9"/>
      <c r="D470" s="9"/>
      <c r="E470" s="9"/>
      <c r="F470" s="10"/>
      <c r="G470" s="9"/>
      <c r="H470" s="9"/>
      <c r="I470" s="9"/>
      <c r="J470" s="9"/>
      <c r="K470" s="9"/>
      <c r="L470" s="9"/>
      <c r="O470" s="9"/>
      <c r="P470" s="9"/>
      <c r="Q470" s="9"/>
      <c r="R470" s="9"/>
      <c r="S470" s="9"/>
      <c r="T470" s="9"/>
    </row>
    <row r="471" spans="3:20">
      <c r="C471" s="9"/>
      <c r="D471" s="9"/>
      <c r="E471" s="9"/>
      <c r="F471" s="10"/>
      <c r="G471" s="9"/>
      <c r="H471" s="9"/>
      <c r="I471" s="9"/>
      <c r="J471" s="9"/>
      <c r="K471" s="9"/>
      <c r="L471" s="9"/>
      <c r="O471" s="9"/>
      <c r="P471" s="9"/>
      <c r="Q471" s="9"/>
      <c r="R471" s="9"/>
      <c r="S471" s="9"/>
      <c r="T471" s="9"/>
    </row>
    <row r="472" spans="3:20">
      <c r="C472" s="9"/>
      <c r="D472" s="9"/>
      <c r="E472" s="9"/>
      <c r="F472" s="10"/>
      <c r="G472" s="9"/>
      <c r="H472" s="9"/>
      <c r="I472" s="9"/>
      <c r="J472" s="9"/>
      <c r="K472" s="9"/>
      <c r="L472" s="9"/>
      <c r="O472" s="9"/>
      <c r="P472" s="9"/>
      <c r="Q472" s="9"/>
      <c r="R472" s="9"/>
      <c r="S472" s="9"/>
      <c r="T472" s="9"/>
    </row>
    <row r="473" spans="3:20">
      <c r="C473" s="9"/>
      <c r="D473" s="9"/>
      <c r="E473" s="9"/>
      <c r="F473" s="10"/>
      <c r="G473" s="9"/>
      <c r="H473" s="9"/>
      <c r="I473" s="9"/>
      <c r="J473" s="9"/>
      <c r="K473" s="9"/>
      <c r="L473" s="9"/>
      <c r="O473" s="9"/>
      <c r="P473" s="9"/>
      <c r="Q473" s="9"/>
      <c r="R473" s="9"/>
      <c r="S473" s="9"/>
      <c r="T473" s="9"/>
    </row>
    <row r="474" spans="3:20">
      <c r="C474" s="9"/>
      <c r="D474" s="9"/>
      <c r="E474" s="9"/>
      <c r="F474" s="10"/>
      <c r="G474" s="9"/>
      <c r="H474" s="9"/>
      <c r="I474" s="9"/>
      <c r="J474" s="9"/>
      <c r="K474" s="9"/>
      <c r="L474" s="9"/>
      <c r="O474" s="9"/>
      <c r="P474" s="9"/>
      <c r="Q474" s="9"/>
      <c r="R474" s="9"/>
      <c r="S474" s="9"/>
      <c r="T474" s="9"/>
    </row>
    <row r="475" spans="3:20">
      <c r="C475" s="9"/>
      <c r="D475" s="9"/>
      <c r="E475" s="9"/>
      <c r="F475" s="10"/>
      <c r="G475" s="9"/>
      <c r="H475" s="9"/>
      <c r="I475" s="9"/>
      <c r="J475" s="9"/>
      <c r="K475" s="9"/>
      <c r="L475" s="9"/>
      <c r="O475" s="9"/>
      <c r="P475" s="9"/>
      <c r="Q475" s="9"/>
      <c r="R475" s="9"/>
      <c r="S475" s="9"/>
      <c r="T475" s="9"/>
    </row>
    <row r="476" spans="3:20">
      <c r="C476" s="9"/>
      <c r="D476" s="9"/>
      <c r="E476" s="9"/>
      <c r="F476" s="10"/>
      <c r="G476" s="9"/>
      <c r="H476" s="9"/>
      <c r="I476" s="9"/>
      <c r="J476" s="9"/>
      <c r="K476" s="9"/>
      <c r="L476" s="9"/>
      <c r="O476" s="9"/>
      <c r="P476" s="9"/>
      <c r="Q476" s="9"/>
      <c r="R476" s="9"/>
      <c r="S476" s="9"/>
      <c r="T476" s="9"/>
    </row>
    <row r="477" spans="3:20">
      <c r="C477" s="9"/>
      <c r="D477" s="9"/>
      <c r="E477" s="9"/>
      <c r="F477" s="10"/>
      <c r="G477" s="9"/>
      <c r="H477" s="9"/>
      <c r="I477" s="9"/>
      <c r="J477" s="9"/>
      <c r="K477" s="9"/>
      <c r="L477" s="9"/>
      <c r="O477" s="9"/>
      <c r="P477" s="9"/>
      <c r="Q477" s="9"/>
      <c r="R477" s="9"/>
      <c r="S477" s="9"/>
      <c r="T477" s="9"/>
    </row>
    <row r="478" spans="3:20">
      <c r="C478" s="9"/>
      <c r="D478" s="9"/>
      <c r="E478" s="9"/>
      <c r="F478" s="10"/>
      <c r="G478" s="9"/>
      <c r="H478" s="9"/>
      <c r="I478" s="9"/>
      <c r="J478" s="9"/>
      <c r="K478" s="9"/>
      <c r="L478" s="9"/>
      <c r="O478" s="9"/>
      <c r="P478" s="9"/>
      <c r="Q478" s="9"/>
      <c r="R478" s="9"/>
      <c r="S478" s="9"/>
      <c r="T478" s="9"/>
    </row>
    <row r="479" spans="3:20">
      <c r="C479" s="9"/>
      <c r="D479" s="9"/>
      <c r="E479" s="9"/>
      <c r="F479" s="10"/>
      <c r="G479" s="9"/>
      <c r="H479" s="9"/>
      <c r="I479" s="9"/>
      <c r="J479" s="9"/>
      <c r="K479" s="9"/>
      <c r="L479" s="9"/>
      <c r="O479" s="9"/>
      <c r="P479" s="9"/>
      <c r="Q479" s="9"/>
      <c r="R479" s="9"/>
      <c r="S479" s="9"/>
      <c r="T479" s="9"/>
    </row>
    <row r="480" spans="3:20">
      <c r="C480" s="9"/>
      <c r="D480" s="9"/>
      <c r="E480" s="9"/>
      <c r="F480" s="10"/>
      <c r="G480" s="9"/>
      <c r="H480" s="9"/>
      <c r="I480" s="9"/>
      <c r="J480" s="9"/>
      <c r="K480" s="9"/>
      <c r="L480" s="9"/>
      <c r="O480" s="9"/>
      <c r="P480" s="9"/>
      <c r="Q480" s="9"/>
      <c r="R480" s="9"/>
      <c r="S480" s="9"/>
      <c r="T480" s="9"/>
    </row>
    <row r="481" spans="3:20">
      <c r="C481" s="9"/>
      <c r="D481" s="9"/>
      <c r="E481" s="9"/>
      <c r="F481" s="10"/>
      <c r="G481" s="9"/>
      <c r="H481" s="9"/>
      <c r="I481" s="9"/>
      <c r="J481" s="9"/>
      <c r="K481" s="9"/>
      <c r="L481" s="9"/>
      <c r="O481" s="9"/>
      <c r="P481" s="9"/>
      <c r="Q481" s="9"/>
      <c r="R481" s="9"/>
      <c r="S481" s="9"/>
      <c r="T481" s="9"/>
    </row>
    <row r="482" spans="3:20">
      <c r="C482" s="9"/>
      <c r="D482" s="9"/>
      <c r="E482" s="9"/>
      <c r="F482" s="10"/>
      <c r="G482" s="9"/>
      <c r="H482" s="9"/>
      <c r="I482" s="9"/>
      <c r="J482" s="9"/>
      <c r="K482" s="9"/>
      <c r="L482" s="9"/>
      <c r="O482" s="9"/>
      <c r="P482" s="9"/>
      <c r="Q482" s="9"/>
      <c r="R482" s="9"/>
      <c r="S482" s="9"/>
      <c r="T482" s="9"/>
    </row>
    <row r="483" spans="3:20">
      <c r="C483" s="9"/>
      <c r="D483" s="9"/>
      <c r="E483" s="9"/>
      <c r="F483" s="10"/>
      <c r="G483" s="9"/>
      <c r="H483" s="9"/>
      <c r="I483" s="9"/>
      <c r="J483" s="9"/>
      <c r="K483" s="9"/>
      <c r="L483" s="9"/>
      <c r="O483" s="9"/>
      <c r="P483" s="9"/>
      <c r="Q483" s="9"/>
      <c r="R483" s="9"/>
      <c r="S483" s="9"/>
      <c r="T483" s="9"/>
    </row>
    <row r="484" spans="3:20">
      <c r="C484" s="9"/>
      <c r="D484" s="9"/>
      <c r="E484" s="9"/>
      <c r="F484" s="10"/>
      <c r="G484" s="9"/>
      <c r="H484" s="9"/>
      <c r="I484" s="9"/>
      <c r="J484" s="9"/>
      <c r="K484" s="9"/>
      <c r="L484" s="9"/>
      <c r="O484" s="9"/>
      <c r="P484" s="9"/>
      <c r="Q484" s="9"/>
      <c r="R484" s="9"/>
      <c r="S484" s="9"/>
      <c r="T484" s="9"/>
    </row>
    <row r="485" spans="3:20">
      <c r="C485" s="9"/>
      <c r="D485" s="9"/>
      <c r="E485" s="9"/>
      <c r="F485" s="10"/>
      <c r="G485" s="9"/>
      <c r="H485" s="9"/>
      <c r="I485" s="9"/>
      <c r="J485" s="9"/>
      <c r="K485" s="9"/>
      <c r="L485" s="9"/>
      <c r="O485" s="9"/>
      <c r="P485" s="9"/>
      <c r="Q485" s="9"/>
      <c r="R485" s="9"/>
      <c r="S485" s="9"/>
      <c r="T485" s="9"/>
    </row>
    <row r="486" spans="3:20">
      <c r="C486" s="9"/>
      <c r="D486" s="9"/>
      <c r="E486" s="9"/>
      <c r="F486" s="10"/>
      <c r="G486" s="9"/>
      <c r="H486" s="9"/>
      <c r="I486" s="9"/>
      <c r="J486" s="9"/>
      <c r="K486" s="9"/>
      <c r="L486" s="9"/>
      <c r="O486" s="9"/>
      <c r="P486" s="9"/>
      <c r="Q486" s="9"/>
      <c r="R486" s="9"/>
      <c r="S486" s="9"/>
      <c r="T486" s="9"/>
    </row>
    <row r="487" spans="3:20">
      <c r="C487" s="9"/>
      <c r="D487" s="9"/>
      <c r="E487" s="9"/>
      <c r="F487" s="10"/>
      <c r="G487" s="9"/>
      <c r="H487" s="9"/>
      <c r="I487" s="9"/>
      <c r="J487" s="9"/>
      <c r="K487" s="9"/>
      <c r="L487" s="9"/>
      <c r="O487" s="9"/>
      <c r="P487" s="9"/>
      <c r="Q487" s="9"/>
      <c r="R487" s="9"/>
      <c r="S487" s="9"/>
      <c r="T487" s="9"/>
    </row>
    <row r="488" spans="3:20">
      <c r="C488" s="9"/>
      <c r="D488" s="9"/>
      <c r="E488" s="9"/>
      <c r="F488" s="10"/>
      <c r="G488" s="9"/>
      <c r="H488" s="9"/>
      <c r="I488" s="9"/>
      <c r="J488" s="9"/>
      <c r="K488" s="9"/>
      <c r="L488" s="9"/>
      <c r="O488" s="9"/>
      <c r="P488" s="9"/>
      <c r="Q488" s="9"/>
      <c r="R488" s="9"/>
      <c r="S488" s="9"/>
      <c r="T488" s="9"/>
    </row>
    <row r="489" spans="3:20">
      <c r="C489" s="9"/>
      <c r="D489" s="9"/>
      <c r="E489" s="9"/>
      <c r="F489" s="10"/>
      <c r="G489" s="9"/>
      <c r="H489" s="9"/>
      <c r="I489" s="9"/>
      <c r="J489" s="9"/>
      <c r="K489" s="9"/>
      <c r="L489" s="9"/>
      <c r="O489" s="9"/>
      <c r="P489" s="9"/>
      <c r="Q489" s="9"/>
      <c r="R489" s="9"/>
      <c r="S489" s="9"/>
      <c r="T489" s="9"/>
    </row>
    <row r="490" spans="3:20">
      <c r="C490" s="9"/>
      <c r="D490" s="9"/>
      <c r="E490" s="9"/>
      <c r="F490" s="10"/>
      <c r="G490" s="9"/>
      <c r="H490" s="9"/>
      <c r="I490" s="9"/>
      <c r="J490" s="9"/>
      <c r="K490" s="9"/>
      <c r="L490" s="9"/>
      <c r="O490" s="9"/>
      <c r="P490" s="9"/>
      <c r="Q490" s="9"/>
      <c r="R490" s="9"/>
      <c r="S490" s="9"/>
      <c r="T490" s="9"/>
    </row>
    <row r="491" spans="3:20">
      <c r="C491" s="9"/>
      <c r="D491" s="9"/>
      <c r="E491" s="9"/>
      <c r="F491" s="10"/>
      <c r="G491" s="9"/>
      <c r="H491" s="9"/>
      <c r="I491" s="9"/>
      <c r="J491" s="9"/>
      <c r="K491" s="9"/>
      <c r="L491" s="9"/>
      <c r="O491" s="9"/>
      <c r="P491" s="9"/>
      <c r="Q491" s="9"/>
      <c r="R491" s="9"/>
      <c r="S491" s="9"/>
      <c r="T491" s="9"/>
    </row>
    <row r="492" spans="3:20">
      <c r="C492" s="9"/>
      <c r="D492" s="9"/>
      <c r="E492" s="9"/>
      <c r="F492" s="10"/>
      <c r="G492" s="9"/>
      <c r="H492" s="9"/>
      <c r="I492" s="9"/>
      <c r="J492" s="9"/>
      <c r="K492" s="9"/>
      <c r="L492" s="9"/>
      <c r="O492" s="9"/>
      <c r="P492" s="9"/>
      <c r="Q492" s="9"/>
      <c r="R492" s="9"/>
      <c r="S492" s="9"/>
      <c r="T492" s="9"/>
    </row>
    <row r="493" spans="3:20">
      <c r="C493" s="9"/>
      <c r="D493" s="9"/>
      <c r="E493" s="9"/>
      <c r="F493" s="10"/>
      <c r="G493" s="9"/>
      <c r="H493" s="9"/>
      <c r="I493" s="9"/>
      <c r="J493" s="9"/>
      <c r="K493" s="9"/>
      <c r="L493" s="9"/>
      <c r="O493" s="9"/>
      <c r="P493" s="9"/>
      <c r="Q493" s="9"/>
      <c r="R493" s="9"/>
      <c r="S493" s="9"/>
      <c r="T493" s="9"/>
    </row>
    <row r="494" spans="3:20">
      <c r="C494" s="9"/>
      <c r="D494" s="9"/>
      <c r="E494" s="9"/>
      <c r="F494" s="10"/>
      <c r="G494" s="9"/>
      <c r="H494" s="9"/>
      <c r="I494" s="9"/>
      <c r="J494" s="9"/>
      <c r="K494" s="9"/>
      <c r="L494" s="9"/>
      <c r="O494" s="9"/>
      <c r="P494" s="9"/>
      <c r="Q494" s="9"/>
      <c r="R494" s="9"/>
      <c r="S494" s="9"/>
      <c r="T494" s="9"/>
    </row>
    <row r="495" spans="3:20">
      <c r="C495" s="9"/>
      <c r="D495" s="9"/>
      <c r="E495" s="9"/>
      <c r="F495" s="10"/>
      <c r="G495" s="9"/>
      <c r="H495" s="9"/>
      <c r="I495" s="9"/>
      <c r="J495" s="9"/>
      <c r="K495" s="9"/>
      <c r="L495" s="9"/>
      <c r="O495" s="9"/>
      <c r="P495" s="9"/>
      <c r="Q495" s="9"/>
      <c r="R495" s="9"/>
      <c r="S495" s="9"/>
      <c r="T495" s="9"/>
    </row>
    <row r="496" spans="3:20">
      <c r="C496" s="9"/>
      <c r="D496" s="9"/>
      <c r="E496" s="9"/>
      <c r="F496" s="10"/>
      <c r="G496" s="9"/>
      <c r="H496" s="9"/>
      <c r="I496" s="9"/>
      <c r="J496" s="9"/>
      <c r="K496" s="9"/>
      <c r="L496" s="9"/>
      <c r="O496" s="9"/>
      <c r="P496" s="9"/>
      <c r="Q496" s="9"/>
      <c r="R496" s="9"/>
      <c r="S496" s="9"/>
      <c r="T496" s="9"/>
    </row>
    <row r="497" spans="3:20">
      <c r="C497" s="9"/>
      <c r="D497" s="9"/>
      <c r="E497" s="9"/>
      <c r="F497" s="10"/>
      <c r="G497" s="9"/>
      <c r="H497" s="9"/>
      <c r="I497" s="9"/>
      <c r="J497" s="9"/>
      <c r="K497" s="9"/>
      <c r="L497" s="9"/>
      <c r="O497" s="9"/>
      <c r="P497" s="9"/>
      <c r="Q497" s="9"/>
      <c r="R497" s="9"/>
      <c r="S497" s="9"/>
      <c r="T497" s="9"/>
    </row>
    <row r="498" spans="3:20">
      <c r="C498" s="9"/>
      <c r="D498" s="9"/>
      <c r="E498" s="9"/>
      <c r="F498" s="10"/>
      <c r="G498" s="9"/>
      <c r="H498" s="9"/>
      <c r="I498" s="9"/>
      <c r="J498" s="9"/>
      <c r="K498" s="9"/>
      <c r="L498" s="9"/>
      <c r="O498" s="9"/>
      <c r="P498" s="9"/>
      <c r="Q498" s="9"/>
      <c r="R498" s="9"/>
      <c r="S498" s="9"/>
      <c r="T498" s="9"/>
    </row>
    <row r="499" spans="3:20">
      <c r="C499" s="9"/>
      <c r="D499" s="9"/>
      <c r="E499" s="9"/>
      <c r="F499" s="10"/>
      <c r="G499" s="9"/>
      <c r="H499" s="9"/>
      <c r="I499" s="9"/>
      <c r="J499" s="9"/>
      <c r="K499" s="9"/>
      <c r="L499" s="9"/>
      <c r="O499" s="9"/>
      <c r="P499" s="9"/>
      <c r="Q499" s="9"/>
      <c r="R499" s="9"/>
      <c r="S499" s="9"/>
      <c r="T499" s="9"/>
    </row>
    <row r="500" spans="3:20">
      <c r="C500" s="9"/>
      <c r="D500" s="9"/>
      <c r="E500" s="9"/>
      <c r="F500" s="10"/>
      <c r="G500" s="9"/>
      <c r="H500" s="9"/>
      <c r="I500" s="9"/>
      <c r="J500" s="9"/>
      <c r="K500" s="9"/>
      <c r="L500" s="9"/>
      <c r="O500" s="9"/>
      <c r="P500" s="9"/>
      <c r="Q500" s="9"/>
      <c r="R500" s="9"/>
      <c r="S500" s="9"/>
      <c r="T500" s="9"/>
    </row>
    <row r="501" spans="3:20">
      <c r="C501" s="9"/>
      <c r="D501" s="9"/>
      <c r="E501" s="9"/>
      <c r="F501" s="10"/>
      <c r="G501" s="9"/>
      <c r="H501" s="9"/>
      <c r="I501" s="9"/>
      <c r="J501" s="9"/>
      <c r="K501" s="9"/>
      <c r="L501" s="9"/>
      <c r="O501" s="9"/>
      <c r="P501" s="9"/>
      <c r="Q501" s="9"/>
      <c r="R501" s="9"/>
      <c r="S501" s="9"/>
      <c r="T501" s="9"/>
    </row>
    <row r="502" spans="3:20">
      <c r="C502" s="9"/>
      <c r="D502" s="9"/>
      <c r="E502" s="9"/>
      <c r="F502" s="10"/>
      <c r="G502" s="9"/>
      <c r="H502" s="9"/>
      <c r="I502" s="9"/>
      <c r="J502" s="9"/>
      <c r="K502" s="9"/>
      <c r="L502" s="9"/>
      <c r="O502" s="9"/>
      <c r="P502" s="9"/>
      <c r="Q502" s="9"/>
      <c r="R502" s="9"/>
      <c r="S502" s="9"/>
      <c r="T502" s="9"/>
    </row>
    <row r="503" spans="3:20">
      <c r="C503" s="9"/>
      <c r="D503" s="9"/>
      <c r="E503" s="9"/>
      <c r="F503" s="10"/>
      <c r="G503" s="9"/>
      <c r="H503" s="9"/>
      <c r="I503" s="9"/>
      <c r="J503" s="9"/>
      <c r="K503" s="9"/>
      <c r="L503" s="9"/>
      <c r="O503" s="9"/>
      <c r="P503" s="9"/>
      <c r="Q503" s="9"/>
      <c r="R503" s="9"/>
      <c r="S503" s="9"/>
      <c r="T503" s="9"/>
    </row>
    <row r="504" spans="3:20">
      <c r="C504" s="9"/>
      <c r="D504" s="9"/>
      <c r="E504" s="9"/>
      <c r="F504" s="10"/>
      <c r="G504" s="9"/>
      <c r="H504" s="9"/>
      <c r="I504" s="9"/>
      <c r="J504" s="9"/>
      <c r="K504" s="9"/>
      <c r="L504" s="9"/>
      <c r="O504" s="9"/>
      <c r="P504" s="9"/>
      <c r="Q504" s="9"/>
      <c r="R504" s="9"/>
      <c r="S504" s="9"/>
      <c r="T504" s="9"/>
    </row>
    <row r="505" spans="3:20">
      <c r="C505" s="9"/>
      <c r="D505" s="9"/>
      <c r="E505" s="9"/>
      <c r="F505" s="10"/>
      <c r="G505" s="9"/>
      <c r="H505" s="9"/>
      <c r="I505" s="9"/>
      <c r="J505" s="9"/>
      <c r="K505" s="9"/>
      <c r="L505" s="9"/>
      <c r="O505" s="9"/>
      <c r="P505" s="9"/>
      <c r="Q505" s="9"/>
      <c r="R505" s="9"/>
      <c r="S505" s="9"/>
      <c r="T505" s="9"/>
    </row>
    <row r="506" spans="3:20">
      <c r="C506" s="9"/>
      <c r="D506" s="9"/>
      <c r="E506" s="9"/>
      <c r="F506" s="10"/>
      <c r="G506" s="9"/>
      <c r="H506" s="9"/>
      <c r="I506" s="9"/>
      <c r="J506" s="9"/>
      <c r="K506" s="9"/>
      <c r="L506" s="9"/>
      <c r="O506" s="9"/>
      <c r="P506" s="9"/>
      <c r="Q506" s="9"/>
      <c r="R506" s="9"/>
      <c r="S506" s="9"/>
      <c r="T506" s="9"/>
    </row>
    <row r="507" spans="3:20">
      <c r="C507" s="9"/>
      <c r="D507" s="9"/>
      <c r="E507" s="9"/>
      <c r="F507" s="10"/>
      <c r="G507" s="9"/>
      <c r="H507" s="9"/>
      <c r="I507" s="9"/>
      <c r="J507" s="9"/>
      <c r="K507" s="9"/>
      <c r="L507" s="9"/>
      <c r="O507" s="9"/>
      <c r="P507" s="9"/>
      <c r="Q507" s="9"/>
      <c r="R507" s="9"/>
      <c r="S507" s="9"/>
      <c r="T507" s="9"/>
    </row>
    <row r="508" spans="3:20">
      <c r="C508" s="9"/>
      <c r="D508" s="9"/>
      <c r="E508" s="9"/>
      <c r="F508" s="10"/>
      <c r="G508" s="9"/>
      <c r="H508" s="9"/>
      <c r="I508" s="9"/>
      <c r="J508" s="9"/>
      <c r="K508" s="9"/>
      <c r="L508" s="9"/>
      <c r="O508" s="9"/>
      <c r="P508" s="9"/>
      <c r="Q508" s="9"/>
      <c r="R508" s="9"/>
      <c r="S508" s="9"/>
      <c r="T508" s="9"/>
    </row>
    <row r="509" spans="3:20">
      <c r="C509" s="9"/>
      <c r="D509" s="9"/>
      <c r="E509" s="9"/>
      <c r="F509" s="10"/>
      <c r="G509" s="9"/>
      <c r="H509" s="9"/>
      <c r="I509" s="9"/>
      <c r="J509" s="9"/>
      <c r="K509" s="9"/>
      <c r="L509" s="9"/>
      <c r="O509" s="9"/>
      <c r="P509" s="9"/>
      <c r="Q509" s="9"/>
      <c r="R509" s="9"/>
      <c r="S509" s="9"/>
      <c r="T509" s="9"/>
    </row>
    <row r="510" spans="3:20">
      <c r="C510" s="9"/>
      <c r="D510" s="9"/>
      <c r="E510" s="9"/>
      <c r="F510" s="10"/>
      <c r="G510" s="9"/>
      <c r="H510" s="9"/>
      <c r="I510" s="9"/>
      <c r="J510" s="9"/>
      <c r="K510" s="9"/>
      <c r="L510" s="9"/>
      <c r="O510" s="9"/>
      <c r="P510" s="9"/>
      <c r="Q510" s="9"/>
      <c r="R510" s="9"/>
      <c r="S510" s="9"/>
      <c r="T510" s="9"/>
    </row>
    <row r="511" spans="3:20">
      <c r="C511" s="9"/>
      <c r="D511" s="9"/>
      <c r="E511" s="9"/>
      <c r="F511" s="10"/>
      <c r="G511" s="9"/>
      <c r="H511" s="9"/>
      <c r="I511" s="9"/>
      <c r="J511" s="9"/>
      <c r="K511" s="9"/>
      <c r="L511" s="9"/>
      <c r="O511" s="9"/>
      <c r="P511" s="9"/>
      <c r="Q511" s="9"/>
      <c r="R511" s="9"/>
      <c r="S511" s="9"/>
      <c r="T511" s="9"/>
    </row>
    <row r="512" spans="3:20">
      <c r="C512" s="9"/>
      <c r="D512" s="9"/>
      <c r="E512" s="9"/>
      <c r="F512" s="10"/>
      <c r="G512" s="9"/>
      <c r="H512" s="9"/>
      <c r="I512" s="9"/>
      <c r="J512" s="9"/>
      <c r="K512" s="9"/>
      <c r="L512" s="9"/>
      <c r="O512" s="9"/>
      <c r="P512" s="9"/>
      <c r="Q512" s="9"/>
      <c r="R512" s="9"/>
      <c r="S512" s="9"/>
      <c r="T512" s="9"/>
    </row>
    <row r="513" spans="3:20">
      <c r="C513" s="9"/>
      <c r="D513" s="9"/>
      <c r="E513" s="9"/>
      <c r="F513" s="10"/>
      <c r="G513" s="9"/>
      <c r="H513" s="9"/>
      <c r="I513" s="9"/>
      <c r="J513" s="9"/>
      <c r="K513" s="9"/>
      <c r="L513" s="9"/>
      <c r="O513" s="9"/>
      <c r="P513" s="9"/>
      <c r="Q513" s="9"/>
      <c r="R513" s="9"/>
      <c r="S513" s="9"/>
      <c r="T513" s="9"/>
    </row>
    <row r="514" spans="3:20">
      <c r="C514" s="9"/>
      <c r="D514" s="9"/>
      <c r="E514" s="9"/>
      <c r="F514" s="10"/>
      <c r="G514" s="9"/>
      <c r="H514" s="9"/>
      <c r="I514" s="9"/>
      <c r="J514" s="9"/>
      <c r="K514" s="9"/>
      <c r="L514" s="9"/>
      <c r="O514" s="9"/>
      <c r="P514" s="9"/>
      <c r="Q514" s="9"/>
      <c r="R514" s="9"/>
      <c r="S514" s="9"/>
      <c r="T514" s="9"/>
    </row>
    <row r="515" spans="3:20">
      <c r="C515" s="9"/>
      <c r="D515" s="9"/>
      <c r="E515" s="9"/>
      <c r="F515" s="10"/>
      <c r="G515" s="9"/>
      <c r="H515" s="9"/>
      <c r="I515" s="9"/>
      <c r="J515" s="9"/>
      <c r="K515" s="9"/>
      <c r="L515" s="9"/>
      <c r="O515" s="9"/>
      <c r="P515" s="9"/>
      <c r="Q515" s="9"/>
      <c r="R515" s="9"/>
      <c r="S515" s="9"/>
      <c r="T515" s="9"/>
    </row>
    <row r="516" spans="3:20">
      <c r="C516" s="9"/>
      <c r="D516" s="9"/>
      <c r="E516" s="9"/>
      <c r="F516" s="10"/>
      <c r="G516" s="9"/>
      <c r="H516" s="9"/>
      <c r="I516" s="9"/>
      <c r="J516" s="9"/>
      <c r="K516" s="9"/>
      <c r="L516" s="9"/>
      <c r="O516" s="9"/>
      <c r="P516" s="9"/>
      <c r="Q516" s="9"/>
      <c r="R516" s="9"/>
      <c r="S516" s="9"/>
      <c r="T516" s="9"/>
    </row>
    <row r="517" spans="3:20">
      <c r="C517" s="9"/>
      <c r="D517" s="9"/>
      <c r="E517" s="9"/>
      <c r="F517" s="10"/>
      <c r="G517" s="9"/>
      <c r="H517" s="9"/>
      <c r="I517" s="9"/>
      <c r="J517" s="9"/>
      <c r="K517" s="9"/>
      <c r="L517" s="9"/>
      <c r="O517" s="9"/>
      <c r="P517" s="9"/>
      <c r="Q517" s="9"/>
      <c r="R517" s="9"/>
      <c r="S517" s="9"/>
      <c r="T517" s="9"/>
    </row>
    <row r="518" spans="3:20">
      <c r="C518" s="9"/>
      <c r="D518" s="9"/>
      <c r="E518" s="9"/>
      <c r="F518" s="10"/>
      <c r="G518" s="9"/>
      <c r="H518" s="9"/>
      <c r="I518" s="9"/>
      <c r="J518" s="9"/>
      <c r="K518" s="9"/>
      <c r="L518" s="9"/>
      <c r="O518" s="9"/>
      <c r="P518" s="9"/>
      <c r="Q518" s="9"/>
      <c r="R518" s="9"/>
      <c r="S518" s="9"/>
      <c r="T518" s="9"/>
    </row>
    <row r="519" spans="3:20">
      <c r="C519" s="9"/>
      <c r="D519" s="9"/>
      <c r="E519" s="9"/>
      <c r="F519" s="10"/>
      <c r="G519" s="9"/>
      <c r="H519" s="9"/>
      <c r="I519" s="9"/>
      <c r="J519" s="9"/>
      <c r="K519" s="9"/>
      <c r="L519" s="9"/>
      <c r="O519" s="9"/>
      <c r="P519" s="9"/>
      <c r="Q519" s="9"/>
      <c r="R519" s="9"/>
      <c r="S519" s="9"/>
      <c r="T519" s="9"/>
    </row>
    <row r="520" spans="3:20">
      <c r="C520" s="9"/>
      <c r="D520" s="9"/>
      <c r="E520" s="9"/>
      <c r="F520" s="10"/>
      <c r="G520" s="9"/>
      <c r="H520" s="9"/>
      <c r="I520" s="9"/>
      <c r="J520" s="9"/>
      <c r="K520" s="9"/>
      <c r="L520" s="9"/>
      <c r="O520" s="9"/>
      <c r="P520" s="9"/>
      <c r="Q520" s="9"/>
      <c r="R520" s="9"/>
      <c r="S520" s="9"/>
      <c r="T520" s="9"/>
    </row>
    <row r="521" spans="3:20">
      <c r="C521" s="9"/>
      <c r="D521" s="9"/>
      <c r="E521" s="9"/>
      <c r="F521" s="10"/>
      <c r="G521" s="9"/>
      <c r="H521" s="9"/>
      <c r="I521" s="9"/>
      <c r="J521" s="9"/>
      <c r="K521" s="9"/>
      <c r="L521" s="9"/>
      <c r="O521" s="9"/>
      <c r="P521" s="9"/>
      <c r="Q521" s="9"/>
      <c r="R521" s="9"/>
      <c r="S521" s="9"/>
      <c r="T521" s="9"/>
    </row>
    <row r="522" spans="3:20">
      <c r="C522" s="9"/>
      <c r="D522" s="9"/>
      <c r="E522" s="9"/>
      <c r="F522" s="10"/>
      <c r="G522" s="9"/>
      <c r="H522" s="9"/>
      <c r="I522" s="9"/>
      <c r="J522" s="9"/>
      <c r="K522" s="9"/>
      <c r="L522" s="9"/>
      <c r="O522" s="9"/>
      <c r="P522" s="9"/>
      <c r="Q522" s="9"/>
      <c r="R522" s="9"/>
      <c r="S522" s="9"/>
      <c r="T522" s="9"/>
    </row>
    <row r="523" spans="3:20">
      <c r="C523" s="9"/>
      <c r="D523" s="9"/>
      <c r="E523" s="9"/>
      <c r="F523" s="10"/>
      <c r="G523" s="9"/>
      <c r="H523" s="9"/>
      <c r="I523" s="9"/>
      <c r="J523" s="9"/>
      <c r="K523" s="9"/>
      <c r="L523" s="9"/>
      <c r="O523" s="9"/>
      <c r="P523" s="9"/>
      <c r="Q523" s="9"/>
      <c r="R523" s="9"/>
      <c r="S523" s="9"/>
      <c r="T523" s="9"/>
    </row>
    <row r="524" spans="3:20">
      <c r="C524" s="9"/>
      <c r="D524" s="9"/>
      <c r="E524" s="9"/>
      <c r="F524" s="10"/>
      <c r="G524" s="9"/>
      <c r="H524" s="9"/>
      <c r="I524" s="9"/>
      <c r="J524" s="9"/>
      <c r="K524" s="9"/>
      <c r="L524" s="9"/>
      <c r="O524" s="9"/>
      <c r="P524" s="9"/>
      <c r="Q524" s="9"/>
      <c r="R524" s="9"/>
      <c r="S524" s="9"/>
      <c r="T524" s="9"/>
    </row>
    <row r="525" spans="3:20">
      <c r="C525" s="9"/>
      <c r="D525" s="9"/>
      <c r="E525" s="9"/>
      <c r="F525" s="10"/>
      <c r="G525" s="9"/>
      <c r="H525" s="9"/>
      <c r="I525" s="9"/>
      <c r="J525" s="9"/>
      <c r="K525" s="9"/>
      <c r="L525" s="9"/>
      <c r="O525" s="9"/>
      <c r="P525" s="9"/>
      <c r="Q525" s="9"/>
      <c r="R525" s="9"/>
      <c r="S525" s="9"/>
      <c r="T525" s="9"/>
    </row>
    <row r="526" spans="3:20">
      <c r="C526" s="9"/>
      <c r="D526" s="9"/>
      <c r="E526" s="9"/>
      <c r="F526" s="10"/>
      <c r="G526" s="9"/>
      <c r="H526" s="9"/>
      <c r="I526" s="9"/>
      <c r="J526" s="9"/>
      <c r="K526" s="9"/>
      <c r="L526" s="9"/>
      <c r="O526" s="9"/>
      <c r="P526" s="9"/>
      <c r="Q526" s="9"/>
      <c r="R526" s="9"/>
      <c r="S526" s="9"/>
      <c r="T526" s="9"/>
    </row>
    <row r="527" spans="3:20">
      <c r="C527" s="9"/>
      <c r="D527" s="9"/>
      <c r="E527" s="9"/>
      <c r="F527" s="10"/>
      <c r="G527" s="9"/>
      <c r="H527" s="9"/>
      <c r="I527" s="9"/>
      <c r="J527" s="9"/>
      <c r="K527" s="9"/>
      <c r="L527" s="9"/>
      <c r="O527" s="9"/>
      <c r="P527" s="9"/>
      <c r="Q527" s="9"/>
      <c r="R527" s="9"/>
      <c r="S527" s="9"/>
      <c r="T527" s="9"/>
    </row>
    <row r="528" spans="3:20">
      <c r="C528" s="9"/>
      <c r="D528" s="9"/>
      <c r="E528" s="9"/>
      <c r="F528" s="10"/>
      <c r="G528" s="9"/>
      <c r="H528" s="9"/>
      <c r="I528" s="9"/>
      <c r="J528" s="9"/>
      <c r="K528" s="9"/>
      <c r="L528" s="9"/>
      <c r="O528" s="9"/>
      <c r="P528" s="9"/>
      <c r="Q528" s="9"/>
      <c r="R528" s="9"/>
      <c r="S528" s="9"/>
      <c r="T528" s="9"/>
    </row>
    <row r="529" spans="3:20">
      <c r="C529" s="9"/>
      <c r="D529" s="9"/>
      <c r="E529" s="9"/>
      <c r="F529" s="10"/>
      <c r="G529" s="9"/>
      <c r="H529" s="9"/>
      <c r="I529" s="9"/>
      <c r="J529" s="9"/>
      <c r="K529" s="9"/>
      <c r="L529" s="9"/>
      <c r="O529" s="9"/>
      <c r="P529" s="9"/>
      <c r="Q529" s="9"/>
      <c r="R529" s="9"/>
      <c r="S529" s="9"/>
      <c r="T529" s="9"/>
    </row>
    <row r="530" spans="3:20">
      <c r="C530" s="9"/>
      <c r="D530" s="9"/>
      <c r="E530" s="9"/>
      <c r="F530" s="10"/>
      <c r="G530" s="9"/>
      <c r="H530" s="9"/>
      <c r="I530" s="9"/>
      <c r="J530" s="9"/>
      <c r="K530" s="9"/>
      <c r="L530" s="9"/>
      <c r="O530" s="9"/>
      <c r="P530" s="9"/>
      <c r="Q530" s="9"/>
      <c r="R530" s="9"/>
      <c r="S530" s="9"/>
      <c r="T530" s="9"/>
    </row>
    <row r="531" spans="3:20">
      <c r="C531" s="9"/>
      <c r="D531" s="9"/>
      <c r="E531" s="9"/>
      <c r="F531" s="10"/>
      <c r="G531" s="9"/>
      <c r="H531" s="9"/>
      <c r="I531" s="9"/>
      <c r="J531" s="9"/>
      <c r="K531" s="9"/>
      <c r="L531" s="9"/>
      <c r="O531" s="9"/>
      <c r="P531" s="9"/>
      <c r="Q531" s="9"/>
      <c r="R531" s="9"/>
      <c r="S531" s="9"/>
      <c r="T531" s="9"/>
    </row>
    <row r="532" spans="3:20">
      <c r="C532" s="9"/>
      <c r="D532" s="9"/>
      <c r="E532" s="9"/>
      <c r="F532" s="10"/>
      <c r="G532" s="9"/>
      <c r="H532" s="9"/>
      <c r="I532" s="9"/>
      <c r="J532" s="9"/>
      <c r="K532" s="9"/>
      <c r="L532" s="9"/>
      <c r="O532" s="9"/>
      <c r="P532" s="9"/>
      <c r="Q532" s="9"/>
      <c r="R532" s="9"/>
      <c r="S532" s="9"/>
      <c r="T532" s="9"/>
    </row>
    <row r="533" spans="3:20">
      <c r="C533" s="9"/>
      <c r="D533" s="9"/>
      <c r="E533" s="9"/>
      <c r="F533" s="10"/>
      <c r="G533" s="9"/>
      <c r="H533" s="9"/>
      <c r="I533" s="9"/>
      <c r="J533" s="9"/>
      <c r="K533" s="9"/>
      <c r="L533" s="9"/>
      <c r="O533" s="9"/>
      <c r="P533" s="9"/>
      <c r="Q533" s="9"/>
      <c r="R533" s="9"/>
      <c r="S533" s="9"/>
      <c r="T533" s="9"/>
    </row>
    <row r="534" spans="3:20">
      <c r="C534" s="9"/>
      <c r="D534" s="9"/>
      <c r="E534" s="9"/>
      <c r="F534" s="10"/>
      <c r="G534" s="9"/>
      <c r="H534" s="9"/>
      <c r="I534" s="9"/>
      <c r="J534" s="9"/>
      <c r="K534" s="9"/>
      <c r="L534" s="9"/>
      <c r="O534" s="9"/>
      <c r="P534" s="9"/>
      <c r="Q534" s="9"/>
      <c r="R534" s="9"/>
      <c r="S534" s="9"/>
      <c r="T534" s="9"/>
    </row>
    <row r="535" spans="3:20">
      <c r="C535" s="9"/>
      <c r="D535" s="9"/>
      <c r="E535" s="9"/>
      <c r="F535" s="10"/>
      <c r="G535" s="9"/>
      <c r="H535" s="9"/>
      <c r="I535" s="9"/>
      <c r="J535" s="9"/>
      <c r="K535" s="9"/>
      <c r="L535" s="9"/>
      <c r="O535" s="9"/>
      <c r="P535" s="9"/>
      <c r="Q535" s="9"/>
      <c r="R535" s="9"/>
      <c r="S535" s="9"/>
      <c r="T535" s="9"/>
    </row>
    <row r="536" spans="3:20">
      <c r="C536" s="9"/>
      <c r="D536" s="9"/>
      <c r="E536" s="9"/>
      <c r="F536" s="10"/>
      <c r="G536" s="9"/>
      <c r="H536" s="9"/>
      <c r="I536" s="9"/>
      <c r="J536" s="9"/>
      <c r="K536" s="9"/>
      <c r="L536" s="9"/>
      <c r="O536" s="9"/>
      <c r="P536" s="9"/>
      <c r="Q536" s="9"/>
      <c r="R536" s="9"/>
      <c r="S536" s="9"/>
      <c r="T536" s="9"/>
    </row>
    <row r="537" spans="3:20">
      <c r="C537" s="9"/>
      <c r="D537" s="9"/>
      <c r="E537" s="9"/>
      <c r="F537" s="10"/>
      <c r="G537" s="9"/>
      <c r="H537" s="9"/>
      <c r="I537" s="9"/>
      <c r="J537" s="9"/>
      <c r="K537" s="9"/>
      <c r="L537" s="9"/>
      <c r="O537" s="9"/>
      <c r="P537" s="9"/>
      <c r="Q537" s="9"/>
      <c r="R537" s="9"/>
      <c r="S537" s="9"/>
      <c r="T537" s="9"/>
    </row>
    <row r="538" spans="3:20">
      <c r="C538" s="9"/>
      <c r="D538" s="9"/>
      <c r="E538" s="9"/>
      <c r="F538" s="10"/>
      <c r="G538" s="9"/>
      <c r="H538" s="9"/>
      <c r="I538" s="9"/>
      <c r="J538" s="9"/>
      <c r="K538" s="9"/>
      <c r="L538" s="9"/>
      <c r="O538" s="9"/>
      <c r="P538" s="9"/>
      <c r="Q538" s="9"/>
      <c r="R538" s="9"/>
      <c r="S538" s="9"/>
      <c r="T538" s="9"/>
    </row>
    <row r="539" spans="3:20">
      <c r="C539" s="9"/>
      <c r="D539" s="9"/>
      <c r="E539" s="9"/>
      <c r="F539" s="10"/>
      <c r="G539" s="9"/>
      <c r="H539" s="9"/>
      <c r="I539" s="9"/>
      <c r="J539" s="9"/>
      <c r="K539" s="9"/>
      <c r="L539" s="9"/>
      <c r="O539" s="9"/>
      <c r="P539" s="9"/>
      <c r="Q539" s="9"/>
      <c r="R539" s="9"/>
      <c r="S539" s="9"/>
      <c r="T539" s="9"/>
    </row>
    <row r="540" spans="3:20">
      <c r="C540" s="9"/>
      <c r="D540" s="9"/>
      <c r="E540" s="9"/>
      <c r="F540" s="10"/>
      <c r="G540" s="9"/>
      <c r="H540" s="9"/>
      <c r="I540" s="9"/>
      <c r="J540" s="9"/>
      <c r="K540" s="9"/>
      <c r="L540" s="9"/>
      <c r="O540" s="9"/>
      <c r="P540" s="9"/>
      <c r="Q540" s="9"/>
      <c r="R540" s="9"/>
      <c r="S540" s="9"/>
      <c r="T540" s="9"/>
    </row>
    <row r="541" spans="3:20">
      <c r="C541" s="9"/>
      <c r="D541" s="9"/>
      <c r="E541" s="9"/>
      <c r="F541" s="10"/>
      <c r="G541" s="9"/>
      <c r="H541" s="9"/>
      <c r="I541" s="9"/>
      <c r="J541" s="9"/>
      <c r="K541" s="9"/>
      <c r="L541" s="9"/>
      <c r="O541" s="9"/>
      <c r="P541" s="9"/>
      <c r="Q541" s="9"/>
      <c r="R541" s="9"/>
      <c r="S541" s="9"/>
      <c r="T541" s="9"/>
    </row>
    <row r="542" spans="3:20">
      <c r="C542" s="9"/>
      <c r="D542" s="9"/>
      <c r="E542" s="9"/>
      <c r="F542" s="10"/>
      <c r="G542" s="9"/>
      <c r="H542" s="9"/>
      <c r="I542" s="9"/>
      <c r="J542" s="9"/>
      <c r="K542" s="9"/>
      <c r="L542" s="9"/>
      <c r="O542" s="9"/>
      <c r="P542" s="9"/>
      <c r="Q542" s="9"/>
      <c r="R542" s="9"/>
      <c r="S542" s="9"/>
      <c r="T542" s="9"/>
    </row>
    <row r="543" spans="3:20">
      <c r="C543" s="9"/>
      <c r="D543" s="9"/>
      <c r="E543" s="9"/>
      <c r="F543" s="10"/>
      <c r="G543" s="9"/>
      <c r="H543" s="9"/>
      <c r="I543" s="9"/>
      <c r="J543" s="9"/>
      <c r="K543" s="9"/>
      <c r="L543" s="9"/>
      <c r="O543" s="9"/>
      <c r="P543" s="9"/>
      <c r="Q543" s="9"/>
      <c r="R543" s="9"/>
      <c r="S543" s="9"/>
      <c r="T543" s="9"/>
    </row>
    <row r="544" spans="3:20">
      <c r="C544" s="9"/>
      <c r="D544" s="9"/>
      <c r="E544" s="9"/>
      <c r="F544" s="10"/>
      <c r="G544" s="9"/>
      <c r="H544" s="9"/>
      <c r="I544" s="9"/>
      <c r="J544" s="9"/>
      <c r="K544" s="9"/>
      <c r="L544" s="9"/>
      <c r="O544" s="9"/>
      <c r="P544" s="9"/>
      <c r="Q544" s="9"/>
      <c r="R544" s="9"/>
      <c r="S544" s="9"/>
      <c r="T544" s="9"/>
    </row>
    <row r="545" spans="3:20">
      <c r="C545" s="9"/>
      <c r="D545" s="9"/>
      <c r="E545" s="9"/>
      <c r="F545" s="10"/>
      <c r="G545" s="9"/>
      <c r="H545" s="9"/>
      <c r="I545" s="9"/>
      <c r="J545" s="9"/>
      <c r="K545" s="9"/>
      <c r="L545" s="9"/>
      <c r="O545" s="9"/>
      <c r="P545" s="9"/>
      <c r="Q545" s="9"/>
      <c r="R545" s="9"/>
      <c r="S545" s="9"/>
      <c r="T545" s="9"/>
    </row>
    <row r="546" spans="3:20">
      <c r="C546" s="9"/>
      <c r="D546" s="9"/>
      <c r="E546" s="9"/>
      <c r="F546" s="10"/>
      <c r="G546" s="9"/>
      <c r="H546" s="9"/>
      <c r="I546" s="9"/>
      <c r="J546" s="9"/>
      <c r="K546" s="9"/>
      <c r="L546" s="9"/>
      <c r="O546" s="9"/>
      <c r="P546" s="9"/>
      <c r="Q546" s="9"/>
      <c r="R546" s="9"/>
      <c r="S546" s="9"/>
      <c r="T546" s="9"/>
    </row>
    <row r="547" spans="3:20">
      <c r="C547" s="9"/>
      <c r="D547" s="9"/>
      <c r="E547" s="9"/>
      <c r="F547" s="10"/>
      <c r="G547" s="9"/>
      <c r="H547" s="9"/>
      <c r="I547" s="9"/>
      <c r="J547" s="9"/>
      <c r="K547" s="9"/>
      <c r="L547" s="9"/>
      <c r="O547" s="9"/>
      <c r="P547" s="9"/>
      <c r="Q547" s="9"/>
      <c r="R547" s="9"/>
      <c r="S547" s="9"/>
      <c r="T547" s="9"/>
    </row>
    <row r="548" spans="3:20">
      <c r="C548" s="9"/>
      <c r="D548" s="9"/>
      <c r="E548" s="9"/>
      <c r="F548" s="10"/>
      <c r="G548" s="9"/>
      <c r="H548" s="9"/>
      <c r="I548" s="9"/>
      <c r="J548" s="9"/>
      <c r="K548" s="9"/>
      <c r="L548" s="9"/>
      <c r="O548" s="9"/>
      <c r="P548" s="9"/>
      <c r="Q548" s="9"/>
      <c r="R548" s="9"/>
      <c r="S548" s="9"/>
      <c r="T548" s="9"/>
    </row>
    <row r="549" spans="3:20">
      <c r="C549" s="9"/>
      <c r="D549" s="9"/>
      <c r="E549" s="9"/>
      <c r="F549" s="10"/>
      <c r="G549" s="9"/>
      <c r="H549" s="9"/>
      <c r="I549" s="9"/>
      <c r="J549" s="9"/>
      <c r="K549" s="9"/>
      <c r="L549" s="9"/>
      <c r="O549" s="9"/>
      <c r="P549" s="9"/>
      <c r="Q549" s="9"/>
      <c r="R549" s="9"/>
      <c r="S549" s="9"/>
      <c r="T549" s="9"/>
    </row>
    <row r="550" spans="3:20">
      <c r="C550" s="9"/>
      <c r="D550" s="9"/>
      <c r="E550" s="9"/>
      <c r="F550" s="10"/>
      <c r="G550" s="9"/>
      <c r="H550" s="9"/>
      <c r="I550" s="9"/>
      <c r="J550" s="9"/>
      <c r="K550" s="9"/>
      <c r="L550" s="9"/>
      <c r="O550" s="9"/>
      <c r="P550" s="9"/>
      <c r="Q550" s="9"/>
      <c r="R550" s="9"/>
      <c r="S550" s="9"/>
      <c r="T550" s="9"/>
    </row>
    <row r="551" spans="3:20">
      <c r="C551" s="9"/>
      <c r="D551" s="9"/>
      <c r="E551" s="9"/>
      <c r="F551" s="10"/>
      <c r="G551" s="9"/>
      <c r="H551" s="9"/>
      <c r="I551" s="9"/>
      <c r="J551" s="9"/>
      <c r="K551" s="9"/>
      <c r="L551" s="9"/>
      <c r="O551" s="9"/>
      <c r="P551" s="9"/>
      <c r="Q551" s="9"/>
      <c r="R551" s="9"/>
      <c r="S551" s="9"/>
      <c r="T551" s="9"/>
    </row>
    <row r="552" spans="3:20">
      <c r="C552" s="9"/>
      <c r="D552" s="9"/>
      <c r="E552" s="9"/>
      <c r="F552" s="10"/>
      <c r="G552" s="9"/>
      <c r="H552" s="9"/>
      <c r="I552" s="9"/>
      <c r="J552" s="9"/>
      <c r="K552" s="9"/>
      <c r="L552" s="9"/>
      <c r="O552" s="9"/>
      <c r="P552" s="9"/>
      <c r="Q552" s="9"/>
      <c r="R552" s="9"/>
      <c r="S552" s="9"/>
      <c r="T552" s="9"/>
    </row>
    <row r="553" spans="3:20">
      <c r="C553" s="9"/>
      <c r="D553" s="9"/>
      <c r="E553" s="9"/>
      <c r="F553" s="10"/>
      <c r="G553" s="9"/>
      <c r="H553" s="9"/>
      <c r="I553" s="9"/>
      <c r="J553" s="9"/>
      <c r="K553" s="9"/>
      <c r="L553" s="9"/>
      <c r="O553" s="9"/>
      <c r="P553" s="9"/>
      <c r="Q553" s="9"/>
      <c r="R553" s="9"/>
      <c r="S553" s="9"/>
      <c r="T553" s="9"/>
    </row>
    <row r="554" spans="3:20">
      <c r="C554" s="9"/>
      <c r="D554" s="9"/>
      <c r="E554" s="9"/>
      <c r="F554" s="10"/>
      <c r="G554" s="9"/>
      <c r="H554" s="9"/>
      <c r="I554" s="9"/>
      <c r="J554" s="9"/>
      <c r="K554" s="9"/>
      <c r="L554" s="9"/>
      <c r="O554" s="9"/>
      <c r="P554" s="9"/>
      <c r="Q554" s="9"/>
      <c r="R554" s="9"/>
      <c r="S554" s="9"/>
      <c r="T554" s="9"/>
    </row>
    <row r="555" spans="3:20">
      <c r="C555" s="9"/>
      <c r="D555" s="9"/>
      <c r="E555" s="9"/>
      <c r="F555" s="10"/>
      <c r="G555" s="9"/>
      <c r="H555" s="9"/>
      <c r="I555" s="9"/>
      <c r="J555" s="9"/>
      <c r="K555" s="9"/>
      <c r="L555" s="9"/>
      <c r="O555" s="9"/>
      <c r="P555" s="9"/>
      <c r="Q555" s="9"/>
      <c r="R555" s="9"/>
      <c r="S555" s="9"/>
      <c r="T555" s="9"/>
    </row>
    <row r="556" spans="3:20">
      <c r="C556" s="9"/>
      <c r="D556" s="9"/>
      <c r="E556" s="9"/>
      <c r="F556" s="10"/>
      <c r="G556" s="9"/>
      <c r="H556" s="9"/>
      <c r="I556" s="9"/>
      <c r="J556" s="9"/>
      <c r="K556" s="9"/>
      <c r="L556" s="9"/>
      <c r="O556" s="9"/>
      <c r="P556" s="9"/>
      <c r="Q556" s="9"/>
      <c r="R556" s="9"/>
      <c r="S556" s="9"/>
      <c r="T556" s="9"/>
    </row>
    <row r="557" spans="3:20">
      <c r="C557" s="9"/>
      <c r="D557" s="9"/>
      <c r="E557" s="9"/>
      <c r="F557" s="10"/>
      <c r="G557" s="9"/>
      <c r="H557" s="9"/>
      <c r="I557" s="9"/>
      <c r="J557" s="9"/>
      <c r="K557" s="9"/>
      <c r="L557" s="9"/>
      <c r="O557" s="9"/>
      <c r="P557" s="9"/>
      <c r="Q557" s="9"/>
      <c r="R557" s="9"/>
      <c r="S557" s="9"/>
      <c r="T557" s="9"/>
    </row>
    <row r="558" spans="3:20">
      <c r="C558" s="9"/>
      <c r="D558" s="9"/>
      <c r="E558" s="9"/>
      <c r="F558" s="10"/>
      <c r="G558" s="9"/>
      <c r="H558" s="9"/>
      <c r="I558" s="9"/>
      <c r="J558" s="9"/>
      <c r="K558" s="9"/>
      <c r="L558" s="9"/>
      <c r="O558" s="9"/>
      <c r="P558" s="9"/>
      <c r="Q558" s="9"/>
      <c r="R558" s="9"/>
      <c r="S558" s="9"/>
      <c r="T558" s="9"/>
    </row>
    <row r="559" spans="3:20">
      <c r="C559" s="9"/>
      <c r="D559" s="9"/>
      <c r="E559" s="9"/>
      <c r="F559" s="10"/>
      <c r="G559" s="9"/>
      <c r="H559" s="9"/>
      <c r="I559" s="9"/>
      <c r="J559" s="9"/>
      <c r="K559" s="9"/>
      <c r="L559" s="9"/>
      <c r="O559" s="9"/>
      <c r="P559" s="9"/>
      <c r="Q559" s="9"/>
      <c r="R559" s="9"/>
      <c r="S559" s="9"/>
      <c r="T559" s="9"/>
    </row>
    <row r="560" spans="3:20">
      <c r="C560" s="9"/>
      <c r="D560" s="9"/>
      <c r="E560" s="9"/>
      <c r="F560" s="10"/>
      <c r="G560" s="9"/>
      <c r="H560" s="9"/>
      <c r="I560" s="9"/>
      <c r="J560" s="9"/>
      <c r="K560" s="9"/>
      <c r="L560" s="9"/>
      <c r="O560" s="9"/>
      <c r="P560" s="9"/>
      <c r="Q560" s="9"/>
      <c r="R560" s="9"/>
      <c r="S560" s="9"/>
      <c r="T560" s="9"/>
    </row>
    <row r="561" spans="3:20">
      <c r="C561" s="9"/>
      <c r="D561" s="9"/>
      <c r="E561" s="9"/>
      <c r="F561" s="10"/>
      <c r="G561" s="9"/>
      <c r="H561" s="9"/>
      <c r="I561" s="9"/>
      <c r="J561" s="9"/>
      <c r="K561" s="9"/>
      <c r="L561" s="9"/>
      <c r="O561" s="9"/>
      <c r="P561" s="9"/>
      <c r="Q561" s="9"/>
      <c r="R561" s="9"/>
      <c r="S561" s="9"/>
      <c r="T561" s="9"/>
    </row>
    <row r="562" spans="3:20">
      <c r="C562" s="9"/>
      <c r="D562" s="9"/>
      <c r="E562" s="9"/>
      <c r="F562" s="10"/>
      <c r="G562" s="9"/>
      <c r="H562" s="9"/>
      <c r="I562" s="9"/>
      <c r="J562" s="9"/>
      <c r="K562" s="9"/>
      <c r="L562" s="9"/>
      <c r="O562" s="9"/>
      <c r="P562" s="9"/>
      <c r="Q562" s="9"/>
      <c r="R562" s="9"/>
      <c r="S562" s="9"/>
      <c r="T562" s="9"/>
    </row>
    <row r="563" spans="3:20">
      <c r="C563" s="9"/>
      <c r="D563" s="9"/>
      <c r="E563" s="9"/>
      <c r="F563" s="10"/>
      <c r="G563" s="9"/>
      <c r="H563" s="9"/>
      <c r="I563" s="9"/>
      <c r="J563" s="9"/>
      <c r="K563" s="9"/>
      <c r="L563" s="9"/>
      <c r="O563" s="9"/>
      <c r="P563" s="9"/>
      <c r="Q563" s="9"/>
      <c r="R563" s="9"/>
      <c r="S563" s="9"/>
      <c r="T563" s="9"/>
    </row>
    <row r="564" spans="3:20">
      <c r="C564" s="9"/>
      <c r="D564" s="9"/>
      <c r="E564" s="9"/>
      <c r="F564" s="10"/>
      <c r="G564" s="9"/>
      <c r="H564" s="9"/>
      <c r="I564" s="9"/>
      <c r="J564" s="9"/>
      <c r="K564" s="9"/>
      <c r="L564" s="9"/>
      <c r="O564" s="9"/>
      <c r="P564" s="9"/>
      <c r="Q564" s="9"/>
      <c r="R564" s="9"/>
      <c r="S564" s="9"/>
      <c r="T564" s="9"/>
    </row>
    <row r="565" spans="3:20">
      <c r="C565" s="9"/>
      <c r="D565" s="9"/>
      <c r="E565" s="9"/>
      <c r="F565" s="10"/>
      <c r="G565" s="9"/>
      <c r="H565" s="9"/>
      <c r="I565" s="9"/>
      <c r="J565" s="9"/>
      <c r="K565" s="9"/>
      <c r="L565" s="9"/>
      <c r="O565" s="9"/>
      <c r="P565" s="9"/>
      <c r="Q565" s="9"/>
      <c r="R565" s="9"/>
      <c r="S565" s="9"/>
      <c r="T565" s="9"/>
    </row>
    <row r="566" spans="3:20">
      <c r="C566" s="9"/>
      <c r="D566" s="9"/>
      <c r="E566" s="9"/>
      <c r="F566" s="10"/>
      <c r="G566" s="9"/>
      <c r="H566" s="9"/>
      <c r="I566" s="9"/>
      <c r="J566" s="9"/>
      <c r="K566" s="9"/>
      <c r="L566" s="9"/>
      <c r="O566" s="9"/>
      <c r="P566" s="9"/>
      <c r="Q566" s="9"/>
      <c r="R566" s="9"/>
      <c r="S566" s="9"/>
      <c r="T566" s="9"/>
    </row>
    <row r="567" spans="3:20">
      <c r="C567" s="9"/>
      <c r="D567" s="9"/>
      <c r="E567" s="9"/>
      <c r="F567" s="10"/>
      <c r="G567" s="9"/>
      <c r="H567" s="9"/>
      <c r="I567" s="9"/>
      <c r="J567" s="9"/>
      <c r="K567" s="9"/>
      <c r="L567" s="9"/>
      <c r="O567" s="9"/>
      <c r="P567" s="9"/>
      <c r="Q567" s="9"/>
      <c r="R567" s="9"/>
      <c r="S567" s="9"/>
      <c r="T567" s="9"/>
    </row>
    <row r="568" spans="3:20">
      <c r="C568" s="9"/>
      <c r="D568" s="9"/>
      <c r="E568" s="9"/>
      <c r="F568" s="10"/>
      <c r="G568" s="9"/>
      <c r="H568" s="9"/>
      <c r="I568" s="9"/>
      <c r="J568" s="9"/>
      <c r="K568" s="9"/>
      <c r="L568" s="9"/>
      <c r="O568" s="9"/>
      <c r="P568" s="9"/>
      <c r="Q568" s="9"/>
      <c r="R568" s="9"/>
      <c r="S568" s="9"/>
      <c r="T568" s="9"/>
    </row>
    <row r="569" spans="3:20">
      <c r="C569" s="9"/>
      <c r="D569" s="9"/>
      <c r="E569" s="9"/>
      <c r="F569" s="10"/>
      <c r="G569" s="9"/>
      <c r="H569" s="9"/>
      <c r="I569" s="9"/>
      <c r="J569" s="9"/>
      <c r="K569" s="9"/>
      <c r="L569" s="9"/>
      <c r="O569" s="9"/>
      <c r="P569" s="9"/>
      <c r="Q569" s="9"/>
      <c r="R569" s="9"/>
      <c r="S569" s="9"/>
      <c r="T569" s="9"/>
    </row>
    <row r="570" spans="3:20">
      <c r="C570" s="9"/>
      <c r="D570" s="9"/>
      <c r="E570" s="9"/>
      <c r="F570" s="10"/>
      <c r="G570" s="9"/>
      <c r="H570" s="9"/>
      <c r="I570" s="9"/>
      <c r="J570" s="9"/>
      <c r="K570" s="9"/>
      <c r="L570" s="9"/>
      <c r="O570" s="9"/>
      <c r="P570" s="9"/>
      <c r="Q570" s="9"/>
      <c r="R570" s="9"/>
      <c r="S570" s="9"/>
      <c r="T570" s="9"/>
    </row>
    <row r="571" spans="3:20">
      <c r="C571" s="9"/>
      <c r="D571" s="9"/>
      <c r="E571" s="9"/>
      <c r="F571" s="10"/>
      <c r="G571" s="9"/>
      <c r="H571" s="9"/>
      <c r="I571" s="9"/>
      <c r="J571" s="9"/>
      <c r="K571" s="9"/>
      <c r="L571" s="9"/>
      <c r="O571" s="9"/>
      <c r="P571" s="9"/>
      <c r="Q571" s="9"/>
      <c r="R571" s="9"/>
      <c r="S571" s="9"/>
      <c r="T571" s="9"/>
    </row>
    <row r="572" spans="3:20">
      <c r="C572" s="9"/>
      <c r="D572" s="9"/>
      <c r="E572" s="9"/>
      <c r="F572" s="10"/>
      <c r="G572" s="9"/>
      <c r="H572" s="9"/>
      <c r="I572" s="9"/>
      <c r="J572" s="9"/>
      <c r="K572" s="9"/>
      <c r="L572" s="9"/>
      <c r="O572" s="9"/>
      <c r="P572" s="9"/>
      <c r="Q572" s="9"/>
      <c r="R572" s="9"/>
      <c r="S572" s="9"/>
      <c r="T572" s="9"/>
    </row>
    <row r="573" spans="3:20">
      <c r="C573" s="9"/>
      <c r="D573" s="9"/>
      <c r="E573" s="9"/>
      <c r="F573" s="10"/>
      <c r="G573" s="9"/>
      <c r="H573" s="9"/>
      <c r="I573" s="9"/>
      <c r="J573" s="9"/>
      <c r="K573" s="9"/>
      <c r="L573" s="9"/>
      <c r="O573" s="9"/>
      <c r="P573" s="9"/>
      <c r="Q573" s="9"/>
      <c r="R573" s="9"/>
      <c r="S573" s="9"/>
      <c r="T573" s="9"/>
    </row>
    <row r="574" spans="3:20">
      <c r="C574" s="9"/>
      <c r="D574" s="9"/>
      <c r="E574" s="9"/>
      <c r="F574" s="10"/>
      <c r="G574" s="9"/>
      <c r="H574" s="9"/>
      <c r="I574" s="9"/>
      <c r="J574" s="9"/>
      <c r="K574" s="9"/>
      <c r="L574" s="9"/>
      <c r="O574" s="9"/>
      <c r="P574" s="9"/>
      <c r="Q574" s="9"/>
      <c r="R574" s="9"/>
      <c r="S574" s="9"/>
      <c r="T574" s="9"/>
    </row>
    <row r="575" spans="3:20">
      <c r="C575" s="9"/>
      <c r="D575" s="9"/>
      <c r="E575" s="9"/>
      <c r="F575" s="10"/>
      <c r="G575" s="9"/>
      <c r="H575" s="9"/>
      <c r="I575" s="9"/>
      <c r="J575" s="9"/>
      <c r="K575" s="9"/>
      <c r="L575" s="9"/>
      <c r="O575" s="9"/>
      <c r="P575" s="9"/>
      <c r="Q575" s="9"/>
      <c r="R575" s="9"/>
      <c r="S575" s="9"/>
      <c r="T575" s="9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45"/>
  <sheetViews>
    <sheetView showGridLines="0" zoomScale="85" zoomScaleNormal="85" workbookViewId="0">
      <pane xSplit="1" ySplit="4" topLeftCell="J5" activePane="bottomRight" state="frozen"/>
      <selection activeCell="N15" sqref="N15"/>
      <selection pane="topRight" activeCell="N15" sqref="N15"/>
      <selection pane="bottomLeft" activeCell="N15" sqref="N15"/>
      <selection pane="bottomRight"/>
    </sheetView>
  </sheetViews>
  <sheetFormatPr defaultColWidth="1.85546875" defaultRowHeight="12.75"/>
  <cols>
    <col min="1" max="1" width="43.5703125" style="71" bestFit="1" customWidth="1"/>
    <col min="2" max="2" width="43.5703125" style="71" hidden="1" customWidth="1"/>
    <col min="3" max="13" width="9.28515625" style="100" customWidth="1"/>
    <col min="14" max="14" width="9.42578125" style="100" customWidth="1"/>
    <col min="15" max="18" width="9.28515625" style="100" customWidth="1"/>
    <col min="19" max="22" width="9.42578125" style="100" customWidth="1"/>
    <col min="23" max="28" width="9.28515625" style="100" customWidth="1"/>
    <col min="29" max="42" width="10.28515625" style="100" bestFit="1" customWidth="1"/>
    <col min="43" max="16384" width="1.85546875" style="71"/>
  </cols>
  <sheetData>
    <row r="1" spans="1:42" ht="60" customHeight="1">
      <c r="F1" s="143"/>
      <c r="G1" s="143"/>
      <c r="H1" s="143"/>
      <c r="I1" s="143"/>
      <c r="J1" s="143"/>
      <c r="K1" s="143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42" ht="33.75" customHeight="1">
      <c r="A2" s="70" t="s">
        <v>72</v>
      </c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</row>
    <row r="3" spans="1:42" ht="33.75" customHeight="1" thickBot="1">
      <c r="A3" s="70"/>
      <c r="B3" s="70"/>
      <c r="C3" s="69" t="s">
        <v>73</v>
      </c>
      <c r="D3" s="69" t="s">
        <v>74</v>
      </c>
      <c r="E3" s="69" t="s">
        <v>75</v>
      </c>
      <c r="F3" s="69" t="s">
        <v>76</v>
      </c>
      <c r="G3" s="69" t="s">
        <v>77</v>
      </c>
      <c r="H3" s="69" t="s">
        <v>78</v>
      </c>
      <c r="I3" s="69" t="s">
        <v>79</v>
      </c>
      <c r="J3" s="69" t="s">
        <v>80</v>
      </c>
      <c r="K3" s="69" t="s">
        <v>81</v>
      </c>
      <c r="L3" s="69" t="s">
        <v>82</v>
      </c>
      <c r="M3" s="69" t="s">
        <v>83</v>
      </c>
      <c r="N3" s="69" t="s">
        <v>84</v>
      </c>
      <c r="O3" s="69" t="s">
        <v>85</v>
      </c>
      <c r="P3" s="69" t="s">
        <v>86</v>
      </c>
      <c r="Q3" s="69" t="s">
        <v>87</v>
      </c>
      <c r="R3" s="69" t="s">
        <v>88</v>
      </c>
      <c r="S3" s="69" t="s">
        <v>89</v>
      </c>
      <c r="T3" s="69" t="s">
        <v>90</v>
      </c>
      <c r="U3" s="69" t="s">
        <v>91</v>
      </c>
      <c r="V3" s="69" t="s">
        <v>92</v>
      </c>
      <c r="W3" s="69" t="s">
        <v>93</v>
      </c>
      <c r="X3" s="69" t="s">
        <v>94</v>
      </c>
      <c r="Y3" s="69" t="s">
        <v>95</v>
      </c>
      <c r="Z3" s="69" t="s">
        <v>96</v>
      </c>
      <c r="AA3" s="69" t="s">
        <v>97</v>
      </c>
      <c r="AB3" s="69" t="s">
        <v>98</v>
      </c>
      <c r="AC3" s="69" t="s">
        <v>99</v>
      </c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</row>
    <row r="4" spans="1:42" s="64" customFormat="1" ht="16.5" thickBot="1">
      <c r="A4" s="68"/>
      <c r="B4" s="67"/>
      <c r="C4" s="98">
        <v>2000</v>
      </c>
      <c r="D4" s="98">
        <v>2001</v>
      </c>
      <c r="E4" s="98">
        <v>2002</v>
      </c>
      <c r="F4" s="98">
        <v>2003</v>
      </c>
      <c r="G4" s="98">
        <v>2004</v>
      </c>
      <c r="H4" s="98">
        <v>2005</v>
      </c>
      <c r="I4" s="98">
        <v>2006</v>
      </c>
      <c r="J4" s="98">
        <v>2007</v>
      </c>
      <c r="K4" s="98">
        <v>2008</v>
      </c>
      <c r="L4" s="98">
        <v>2009</v>
      </c>
      <c r="M4" s="98">
        <v>2010</v>
      </c>
      <c r="N4" s="66" t="s">
        <v>100</v>
      </c>
      <c r="O4" s="66" t="s">
        <v>101</v>
      </c>
      <c r="P4" s="66" t="s">
        <v>102</v>
      </c>
      <c r="Q4" s="66" t="s">
        <v>103</v>
      </c>
      <c r="R4" s="65">
        <v>2011</v>
      </c>
      <c r="S4" s="66" t="s">
        <v>104</v>
      </c>
      <c r="T4" s="66" t="s">
        <v>105</v>
      </c>
      <c r="U4" s="66" t="s">
        <v>106</v>
      </c>
      <c r="V4" s="66" t="s">
        <v>107</v>
      </c>
      <c r="W4" s="65">
        <v>2012</v>
      </c>
      <c r="X4" s="65">
        <v>2013</v>
      </c>
      <c r="Y4" s="65">
        <v>2014</v>
      </c>
      <c r="Z4" s="65">
        <v>2015</v>
      </c>
      <c r="AA4" s="65">
        <v>2016</v>
      </c>
      <c r="AB4" s="65">
        <v>2017</v>
      </c>
      <c r="AC4" s="65">
        <v>2018</v>
      </c>
      <c r="AD4" s="65">
        <v>2019</v>
      </c>
      <c r="AE4" s="65">
        <v>2020</v>
      </c>
      <c r="AF4" s="65">
        <v>2021</v>
      </c>
      <c r="AG4" s="65">
        <v>2022</v>
      </c>
      <c r="AH4" s="65"/>
      <c r="AI4" s="65"/>
      <c r="AJ4" s="65"/>
      <c r="AK4" s="65"/>
      <c r="AL4" s="65"/>
      <c r="AM4" s="65"/>
      <c r="AN4" s="65"/>
      <c r="AO4" s="65"/>
      <c r="AP4" s="65"/>
    </row>
    <row r="5" spans="1:42" s="59" customFormat="1" ht="15.75">
      <c r="A5" s="63" t="s">
        <v>108</v>
      </c>
      <c r="B5" s="62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0"/>
      <c r="O5" s="60"/>
      <c r="P5" s="60"/>
      <c r="Q5" s="60"/>
      <c r="R5" s="97"/>
      <c r="S5" s="60"/>
      <c r="T5" s="60"/>
      <c r="U5" s="60"/>
      <c r="V5" s="60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</row>
    <row r="6" spans="1:42" s="59" customFormat="1" ht="15">
      <c r="A6" s="96" t="s">
        <v>109</v>
      </c>
      <c r="B6" s="58" t="s">
        <v>110</v>
      </c>
      <c r="C6" s="95">
        <f>'[6]Cen. Basico'!C6</f>
        <v>4.3099999999999996</v>
      </c>
      <c r="D6" s="95">
        <f>'[6]Cen. Basico'!D6</f>
        <v>1.31</v>
      </c>
      <c r="E6" s="95">
        <f>'[6]Cen. Basico'!E6</f>
        <v>2.66</v>
      </c>
      <c r="F6" s="95">
        <f>'[6]Cen. Basico'!F6</f>
        <v>1.1499999999999999</v>
      </c>
      <c r="G6" s="95">
        <f>'[6]Cen. Basico'!G6</f>
        <v>5.71</v>
      </c>
      <c r="H6" s="95">
        <f>'[6]Cen. Basico'!H6</f>
        <v>3.16</v>
      </c>
      <c r="I6" s="95">
        <f>'[6]Cen. Basico'!I6</f>
        <v>3.97</v>
      </c>
      <c r="J6" s="95">
        <f>'[6]Cen. Basico'!J6</f>
        <v>6.1</v>
      </c>
      <c r="K6" s="95">
        <f>'[6]Cen. Basico'!K6</f>
        <v>5.2</v>
      </c>
      <c r="L6" s="95">
        <f>'[6]Cen. Basico'!L6</f>
        <v>-0.3</v>
      </c>
      <c r="M6" s="95">
        <f>'[6]Cen. Basico'!M6</f>
        <v>7.5</v>
      </c>
      <c r="N6" s="57">
        <f>'[6]Cen. Basico'!N6</f>
        <v>4.235653966354147</v>
      </c>
      <c r="O6" s="57">
        <f>'[6]Cen. Basico'!O6</f>
        <v>3.3143580012650276</v>
      </c>
      <c r="P6" s="57">
        <f>'[6]Cen. Basico'!P6</f>
        <v>2.1219663970130753</v>
      </c>
      <c r="Q6" s="57">
        <f>'[6]Cen. Basico'!Q6</f>
        <v>1.4000000000000001</v>
      </c>
      <c r="R6" s="94">
        <f>'[6]Cen. Basico'!R6</f>
        <v>2.7</v>
      </c>
      <c r="S6" s="57">
        <f>'[6]Cen. Basico'!S6</f>
        <v>1.5</v>
      </c>
      <c r="T6" s="57">
        <f>'[6]Cen. Basico'!T6</f>
        <v>2</v>
      </c>
      <c r="U6" s="57">
        <f>'[6]Cen. Basico'!U6</f>
        <v>4</v>
      </c>
      <c r="V6" s="57">
        <f>'[6]Cen. Basico'!V6</f>
        <v>5.5</v>
      </c>
      <c r="W6" s="94">
        <f>'[6]Cen. Basico'!W6</f>
        <v>3.3</v>
      </c>
      <c r="X6" s="94">
        <f>'[6]Cen. Basico'!X6</f>
        <v>4</v>
      </c>
      <c r="Y6" s="94">
        <f>'[6]Cen. Basico'!Y6</f>
        <v>4</v>
      </c>
      <c r="Z6" s="94">
        <f>'[6]Cen. Basico'!Z6</f>
        <v>4</v>
      </c>
      <c r="AA6" s="94">
        <f>'[6]Cen. Basico'!AA6</f>
        <v>4.5</v>
      </c>
      <c r="AB6" s="94">
        <f>'[6]Cen. Basico'!AB6</f>
        <v>4.5</v>
      </c>
      <c r="AC6" s="94">
        <f>'[6]Cen. Basico'!AC6</f>
        <v>4.5</v>
      </c>
      <c r="AD6" s="94">
        <v>4.5</v>
      </c>
      <c r="AE6" s="94">
        <v>4.5</v>
      </c>
      <c r="AF6" s="94">
        <v>4.5</v>
      </c>
      <c r="AG6" s="94">
        <v>4.5</v>
      </c>
      <c r="AH6" s="94"/>
      <c r="AI6" s="94"/>
      <c r="AJ6" s="94"/>
      <c r="AK6" s="94"/>
      <c r="AL6" s="94"/>
      <c r="AM6" s="94"/>
      <c r="AN6" s="94"/>
      <c r="AO6" s="94"/>
      <c r="AP6" s="94"/>
    </row>
    <row r="7" spans="1:42" s="59" customFormat="1" ht="15">
      <c r="A7" s="96"/>
      <c r="B7" s="58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57"/>
      <c r="O7" s="57"/>
      <c r="P7" s="57"/>
      <c r="Q7" s="57"/>
      <c r="R7" s="94"/>
      <c r="S7" s="57"/>
      <c r="T7" s="57"/>
      <c r="U7" s="57"/>
      <c r="V7" s="57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</row>
    <row r="8" spans="1:42" s="59" customFormat="1" ht="15.75">
      <c r="A8" s="56" t="s">
        <v>111</v>
      </c>
      <c r="B8" s="93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92"/>
      <c r="O8" s="92"/>
      <c r="P8" s="92"/>
      <c r="Q8" s="92"/>
      <c r="R8" s="54"/>
      <c r="S8" s="92"/>
      <c r="T8" s="92"/>
      <c r="U8" s="92"/>
      <c r="V8" s="92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</row>
    <row r="9" spans="1:42" s="59" customFormat="1" ht="15">
      <c r="A9" s="96" t="s">
        <v>112</v>
      </c>
      <c r="B9" s="58" t="s">
        <v>113</v>
      </c>
      <c r="C9" s="95">
        <f>'[6]Cen. Basico'!C9</f>
        <v>6</v>
      </c>
      <c r="D9" s="95">
        <f>'[6]Cen. Basico'!D9</f>
        <v>7.7</v>
      </c>
      <c r="E9" s="95">
        <f>'[6]Cen. Basico'!E9</f>
        <v>12.5</v>
      </c>
      <c r="F9" s="95">
        <f>'[6]Cen. Basico'!F9</f>
        <v>9.3000000000000007</v>
      </c>
      <c r="G9" s="95">
        <f>'[6]Cen. Basico'!G9</f>
        <v>7.6</v>
      </c>
      <c r="H9" s="95">
        <f>'[6]Cen. Basico'!H9</f>
        <v>5.7</v>
      </c>
      <c r="I9" s="95">
        <f>'[6]Cen. Basico'!I9</f>
        <v>3.14</v>
      </c>
      <c r="J9" s="95">
        <f>'[6]Cen. Basico'!J9</f>
        <v>4.46</v>
      </c>
      <c r="K9" s="95">
        <f>'[6]Cen. Basico'!K9</f>
        <v>5.9</v>
      </c>
      <c r="L9" s="95">
        <f>'[6]Cen. Basico'!L9</f>
        <v>4.3</v>
      </c>
      <c r="M9" s="95">
        <f>'[6]Cen. Basico'!M9</f>
        <v>5.91</v>
      </c>
      <c r="N9" s="57">
        <f>'[6]Cen. Basico'!N9</f>
        <v>2.4395694559999903</v>
      </c>
      <c r="O9" s="57">
        <f>'[6]Cen. Basico'!O9</f>
        <v>1.3954844285000156</v>
      </c>
      <c r="P9" s="57">
        <f>'[6]Cen. Basico'!P9</f>
        <v>1.0634041376000214</v>
      </c>
      <c r="Q9" s="57">
        <f>'[6]Cen. Basico'!Q9</f>
        <v>1.4569971799999859</v>
      </c>
      <c r="R9" s="94">
        <f>'[6]Cen. Basico'!R9</f>
        <v>6.5</v>
      </c>
      <c r="S9" s="57">
        <f>'[6]Cen. Basico'!S9</f>
        <v>1.3358002879999997</v>
      </c>
      <c r="T9" s="57">
        <f>'[6]Cen. Basico'!T9</f>
        <v>1.1039295000000005</v>
      </c>
      <c r="U9" s="57">
        <f>'[6]Cen. Basico'!U9</f>
        <v>1.0033035999999607</v>
      </c>
      <c r="V9" s="57">
        <f>'[6]Cen. Basico'!V9</f>
        <v>1.558013749999998</v>
      </c>
      <c r="W9" s="94">
        <f>'[6]Cen. Basico'!W9</f>
        <v>5.2</v>
      </c>
      <c r="X9" s="94">
        <f>'[6]Cen. Basico'!X9</f>
        <v>5.3</v>
      </c>
      <c r="Y9" s="94">
        <f>'[6]Cen. Basico'!Y9</f>
        <v>5</v>
      </c>
      <c r="Z9" s="94">
        <f>'[6]Cen. Basico'!Z9</f>
        <v>5</v>
      </c>
      <c r="AA9" s="94">
        <f>'[6]Cen. Basico'!AA9</f>
        <v>4.5</v>
      </c>
      <c r="AB9" s="94">
        <f>'[6]Cen. Basico'!AB9</f>
        <v>4.5</v>
      </c>
      <c r="AC9" s="94">
        <f>'[6]Cen. Basico'!AC9</f>
        <v>4.5</v>
      </c>
      <c r="AD9" s="94">
        <v>4.5</v>
      </c>
      <c r="AE9" s="94">
        <v>4.5</v>
      </c>
      <c r="AF9" s="94">
        <v>4.5</v>
      </c>
      <c r="AG9" s="94">
        <v>4.5</v>
      </c>
      <c r="AH9" s="94"/>
      <c r="AI9" s="94"/>
      <c r="AJ9" s="94"/>
      <c r="AK9" s="94"/>
      <c r="AL9" s="94"/>
      <c r="AM9" s="94"/>
      <c r="AN9" s="94"/>
      <c r="AO9" s="94"/>
      <c r="AP9" s="94"/>
    </row>
    <row r="10" spans="1:42" s="59" customFormat="1" ht="15">
      <c r="A10" s="96" t="s">
        <v>114</v>
      </c>
      <c r="B10" s="58" t="s">
        <v>115</v>
      </c>
      <c r="C10" s="95">
        <f>'[6]Cen. Basico'!C10</f>
        <v>9.81</v>
      </c>
      <c r="D10" s="95">
        <f>'[6]Cen. Basico'!D10</f>
        <v>10.4</v>
      </c>
      <c r="E10" s="95">
        <f>'[6]Cen. Basico'!E10</f>
        <v>25.3</v>
      </c>
      <c r="F10" s="95">
        <f>'[6]Cen. Basico'!F10</f>
        <v>8.7100000000000009</v>
      </c>
      <c r="G10" s="95">
        <f>'[6]Cen. Basico'!G10</f>
        <v>12.41</v>
      </c>
      <c r="H10" s="95">
        <f>'[6]Cen. Basico'!H10</f>
        <v>1.2</v>
      </c>
      <c r="I10" s="95">
        <f>'[6]Cen. Basico'!I10</f>
        <v>3.85</v>
      </c>
      <c r="J10" s="95">
        <f>'[6]Cen. Basico'!J10</f>
        <v>7.75</v>
      </c>
      <c r="K10" s="95">
        <f>'[6]Cen. Basico'!K10</f>
        <v>9.8075050358176661</v>
      </c>
      <c r="L10" s="95">
        <f>'[6]Cen. Basico'!L10</f>
        <v>-1.7239482010694696</v>
      </c>
      <c r="M10" s="95">
        <f>'[6]Cen. Basico'!M10</f>
        <v>11.3</v>
      </c>
      <c r="N10" s="57">
        <f>'[6]Cen. Basico'!N10</f>
        <v>2.4395694559999903</v>
      </c>
      <c r="O10" s="57">
        <f>'[6]Cen. Basico'!O10</f>
        <v>1.3954844285000156</v>
      </c>
      <c r="P10" s="57">
        <f>'[6]Cen. Basico'!P10</f>
        <v>0.97154856799999134</v>
      </c>
      <c r="Q10" s="57">
        <f>'[6]Cen. Basico'!Q10</f>
        <v>0.91141081999999152</v>
      </c>
      <c r="R10" s="94">
        <f>'[6]Cen. Basico'!R10</f>
        <v>5.0999999999999996</v>
      </c>
      <c r="S10" s="57">
        <f>'[6]Cen. Basico'!S10</f>
        <v>0.49041954999997639</v>
      </c>
      <c r="T10" s="57">
        <f>'[6]Cen. Basico'!T10</f>
        <v>1.8104192000000019</v>
      </c>
      <c r="U10" s="57">
        <f>'[6]Cen. Basico'!U10</f>
        <v>1.5882943999999677</v>
      </c>
      <c r="V10" s="57">
        <f>'[6]Cen. Basico'!V10</f>
        <v>1.5075124999999634</v>
      </c>
      <c r="W10" s="94">
        <f>'[6]Cen. Basico'!W10</f>
        <v>5.5</v>
      </c>
      <c r="X10" s="94">
        <f>'[6]Cen. Basico'!X10</f>
        <v>5.3</v>
      </c>
      <c r="Y10" s="94">
        <f>'[6]Cen. Basico'!Y10</f>
        <v>5</v>
      </c>
      <c r="Z10" s="94">
        <f>'[6]Cen. Basico'!Z10</f>
        <v>5</v>
      </c>
      <c r="AA10" s="94">
        <f>'[6]Cen. Basico'!AA10</f>
        <v>4.5</v>
      </c>
      <c r="AB10" s="94">
        <f>'[6]Cen. Basico'!AB10</f>
        <v>4.5</v>
      </c>
      <c r="AC10" s="94">
        <f>'[6]Cen. Basico'!AC10</f>
        <v>4.5</v>
      </c>
      <c r="AD10" s="94">
        <v>4.5</v>
      </c>
      <c r="AE10" s="94">
        <v>4.5</v>
      </c>
      <c r="AF10" s="94">
        <v>4.5</v>
      </c>
      <c r="AG10" s="94">
        <v>4.5</v>
      </c>
      <c r="AH10" s="94"/>
      <c r="AI10" s="94"/>
      <c r="AJ10" s="94"/>
      <c r="AK10" s="94"/>
      <c r="AL10" s="94"/>
      <c r="AM10" s="94"/>
      <c r="AN10" s="94"/>
      <c r="AO10" s="94"/>
      <c r="AP10" s="94"/>
    </row>
    <row r="11" spans="1:42" s="59" customFormat="1" ht="15">
      <c r="A11" s="96"/>
      <c r="B11" s="58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57"/>
      <c r="O11" s="57"/>
      <c r="P11" s="57"/>
      <c r="Q11" s="57"/>
      <c r="R11" s="94"/>
      <c r="S11" s="57"/>
      <c r="T11" s="57"/>
      <c r="U11" s="57"/>
      <c r="V11" s="57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</row>
    <row r="12" spans="1:42" s="59" customFormat="1" ht="15.75">
      <c r="A12" s="56" t="s">
        <v>116</v>
      </c>
      <c r="B12" s="93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92"/>
      <c r="O12" s="92"/>
      <c r="P12" s="92"/>
      <c r="Q12" s="92"/>
      <c r="R12" s="54"/>
      <c r="S12" s="92"/>
      <c r="T12" s="92"/>
      <c r="U12" s="92"/>
      <c r="V12" s="92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</row>
    <row r="13" spans="1:42" s="59" customFormat="1" ht="15">
      <c r="A13" s="96" t="s">
        <v>117</v>
      </c>
      <c r="B13" s="58" t="s">
        <v>118</v>
      </c>
      <c r="C13" s="95">
        <f>'[6]Cen. Basico'!C13</f>
        <v>9</v>
      </c>
      <c r="D13" s="95">
        <f>'[6]Cen. Basico'!D13</f>
        <v>19</v>
      </c>
      <c r="E13" s="95">
        <f>'[6]Cen. Basico'!E13</f>
        <v>53.54671280276817</v>
      </c>
      <c r="F13" s="95">
        <f>'[6]Cen. Basico'!F13</f>
        <v>-18.176702307259429</v>
      </c>
      <c r="G13" s="95">
        <f>'[6]Cen. Basico'!G13</f>
        <v>-8.1268171120033372</v>
      </c>
      <c r="H13" s="95">
        <f>'[6]Cen. Basico'!H13</f>
        <v>-11.818113321277879</v>
      </c>
      <c r="I13" s="95">
        <f>'[6]Cen. Basico'!I13</f>
        <v>-8.6598026231469287</v>
      </c>
      <c r="J13" s="95">
        <f>'[6]Cen. Basico'!J13</f>
        <v>-17.151543498596812</v>
      </c>
      <c r="K13" s="95">
        <f>'[6]Cen. Basico'!K13</f>
        <v>31.936995427087457</v>
      </c>
      <c r="L13" s="95">
        <f>'[6]Cen. Basico'!L13</f>
        <v>-25.494223363286274</v>
      </c>
      <c r="M13" s="95">
        <f>'[6]Cen. Basico'!M13</f>
        <v>3.833333333333333</v>
      </c>
      <c r="N13" s="57" t="str">
        <f>'[6]Cen. Basico'!N13</f>
        <v/>
      </c>
      <c r="O13" s="57" t="str">
        <f>'[6]Cen. Basico'!O13</f>
        <v/>
      </c>
      <c r="P13" s="57" t="str">
        <f>'[6]Cen. Basico'!P13</f>
        <v/>
      </c>
      <c r="Q13" s="57" t="str">
        <f>'[6]Cen. Basico'!Q13</f>
        <v/>
      </c>
      <c r="R13" s="94">
        <f>'[6]Cen. Basico'!R13</f>
        <v>4.4117647058823373</v>
      </c>
      <c r="S13" s="57" t="str">
        <f>'[6]Cen. Basico'!S13</f>
        <v/>
      </c>
      <c r="T13" s="57" t="str">
        <f>'[6]Cen. Basico'!T13</f>
        <v/>
      </c>
      <c r="U13" s="57" t="str">
        <f>'[6]Cen. Basico'!U13</f>
        <v/>
      </c>
      <c r="V13" s="57" t="str">
        <f>'[6]Cen. Basico'!V13</f>
        <v/>
      </c>
      <c r="W13" s="94">
        <f>'[6]Cen. Basico'!W13</f>
        <v>3.1372549019607954</v>
      </c>
      <c r="X13" s="94">
        <f>'[6]Cen. Basico'!X13</f>
        <v>3.2352941176470473</v>
      </c>
      <c r="Y13" s="94">
        <f>'[6]Cen. Basico'!Y13</f>
        <v>2.941176470588247</v>
      </c>
      <c r="Z13" s="94">
        <f>'[6]Cen. Basico'!Z13</f>
        <v>2.941176470588247</v>
      </c>
      <c r="AA13" s="94">
        <f>'[6]Cen. Basico'!AA13</f>
        <v>2.450980392156854</v>
      </c>
      <c r="AB13" s="94">
        <f>'[6]Cen. Basico'!AB13</f>
        <v>2.450980392156854</v>
      </c>
      <c r="AC13" s="94">
        <f>'[6]Cen. Basico'!AC13</f>
        <v>2.450980392156854</v>
      </c>
      <c r="AD13" s="94">
        <v>2.450980392156854</v>
      </c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</row>
    <row r="14" spans="1:42" s="59" customFormat="1" ht="15">
      <c r="A14" s="96" t="s">
        <v>119</v>
      </c>
      <c r="B14" s="58" t="s">
        <v>120</v>
      </c>
      <c r="C14" s="91">
        <f>'[6]Cen. Basico'!C14</f>
        <v>1.9554</v>
      </c>
      <c r="D14" s="91">
        <f>'[6]Cen. Basico'!D14</f>
        <v>2.3203999999999998</v>
      </c>
      <c r="E14" s="91">
        <f>'[6]Cen. Basico'!E14</f>
        <v>3.5333000000000001</v>
      </c>
      <c r="F14" s="91">
        <f>'[6]Cen. Basico'!F14</f>
        <v>2.8892000000000002</v>
      </c>
      <c r="G14" s="91">
        <f>'[6]Cen. Basico'!G14</f>
        <v>2.6543999999999999</v>
      </c>
      <c r="H14" s="91">
        <f>'[6]Cen. Basico'!H14</f>
        <v>2.3407</v>
      </c>
      <c r="I14" s="91">
        <f>'[6]Cen. Basico'!I14</f>
        <v>2.1379999999999999</v>
      </c>
      <c r="J14" s="91">
        <f>'[6]Cen. Basico'!J14</f>
        <v>1.7713000000000001</v>
      </c>
      <c r="K14" s="91">
        <f>'[6]Cen. Basico'!K14</f>
        <v>2.3370000000000002</v>
      </c>
      <c r="L14" s="91">
        <f>'[6]Cen. Basico'!L14</f>
        <v>1.7412000000000001</v>
      </c>
      <c r="M14" s="91">
        <f>'[6]Cen. Basico'!M14</f>
        <v>1.6661999999999999</v>
      </c>
      <c r="N14" s="53">
        <f>'[6]Cen. Basico'!N14</f>
        <v>1.6287</v>
      </c>
      <c r="O14" s="53">
        <f>'[6]Cen. Basico'!O14</f>
        <v>1.5611000000000002</v>
      </c>
      <c r="P14" s="53">
        <f>'[6]Cen. Basico'!P14</f>
        <v>1.8544</v>
      </c>
      <c r="Q14" s="53">
        <f>'[6]Cen. Basico'!Q14</f>
        <v>1.8757999999999999</v>
      </c>
      <c r="R14" s="90">
        <f>'[6]Cen. Basico'!R14</f>
        <v>1.8757999999999999</v>
      </c>
      <c r="S14" s="53">
        <f>'[6]Cen. Basico'!S14</f>
        <v>1.7325049547298677</v>
      </c>
      <c r="T14" s="53">
        <f>'[6]Cen. Basico'!T14</f>
        <v>1.7444211885834964</v>
      </c>
      <c r="U14" s="53">
        <f>'[6]Cen. Basico'!U14</f>
        <v>1.7461652192074018</v>
      </c>
      <c r="V14" s="53">
        <f>'[6]Cen. Basico'!V14</f>
        <v>1.7462308376313491</v>
      </c>
      <c r="W14" s="90">
        <f>'[6]Cen. Basico'!W14</f>
        <v>1.7462308376313491</v>
      </c>
      <c r="X14" s="90">
        <f>'[6]Cen. Basico'!X14</f>
        <v>1.802726541201775</v>
      </c>
      <c r="Y14" s="90">
        <f>'[6]Cen. Basico'!Y14</f>
        <v>1.8557479100606509</v>
      </c>
      <c r="Z14" s="90">
        <f>'[6]Cen. Basico'!Z14</f>
        <v>1.9103287309447878</v>
      </c>
      <c r="AA14" s="90">
        <f>'[6]Cen. Basico'!AA14</f>
        <v>1.9571505135659835</v>
      </c>
      <c r="AB14" s="90">
        <f>'[6]Cen. Basico'!AB14</f>
        <v>2.0051198888984829</v>
      </c>
      <c r="AC14" s="90">
        <f>'[6]Cen. Basico'!AC14</f>
        <v>2.0542649842146221</v>
      </c>
      <c r="AD14" s="90">
        <v>2.0542649842146221</v>
      </c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</row>
    <row r="15" spans="1:42" s="59" customFormat="1" ht="15">
      <c r="A15" s="96" t="s">
        <v>121</v>
      </c>
      <c r="B15" s="58" t="s">
        <v>122</v>
      </c>
      <c r="C15" s="91">
        <f>'[6]Cen. Basico'!C15</f>
        <v>1.8301416666666668</v>
      </c>
      <c r="D15" s="91">
        <f>'[6]Cen. Basico'!D15</f>
        <v>2.3504999999999998</v>
      </c>
      <c r="E15" s="91">
        <f>'[6]Cen. Basico'!E15</f>
        <v>2.9284261904761903</v>
      </c>
      <c r="F15" s="91">
        <f>'[6]Cen. Basico'!F15</f>
        <v>3.071526086956522</v>
      </c>
      <c r="G15" s="91">
        <f>'[6]Cen. Basico'!G15</f>
        <v>2.9249320158102763</v>
      </c>
      <c r="H15" s="91">
        <f>'[6]Cen. Basico'!H15</f>
        <v>2.4340872509960145</v>
      </c>
      <c r="I15" s="91">
        <f>'[6]Cen. Basico'!I15</f>
        <v>2.177</v>
      </c>
      <c r="J15" s="91">
        <f>'[6]Cen. Basico'!J15</f>
        <v>1.948</v>
      </c>
      <c r="K15" s="91">
        <f>'[6]Cen. Basico'!K15</f>
        <v>1.8374673228346452</v>
      </c>
      <c r="L15" s="91">
        <f>'[6]Cen. Basico'!L15</f>
        <v>2</v>
      </c>
      <c r="M15" s="91">
        <f>'[6]Cen. Basico'!M15</f>
        <v>1.7593000000000001</v>
      </c>
      <c r="N15" s="53">
        <f>'[6]Cen. Basico'!N15</f>
        <v>1.6591</v>
      </c>
      <c r="O15" s="53">
        <f>'[6]Cen. Basico'!O15</f>
        <v>1.587</v>
      </c>
      <c r="P15" s="53">
        <f>'[6]Cen. Basico'!P15</f>
        <v>1.7498</v>
      </c>
      <c r="Q15" s="53">
        <f>'[6]Cen. Basico'!Q15</f>
        <v>1.8369</v>
      </c>
      <c r="R15" s="90">
        <f>'[6]Cen. Basico'!R15</f>
        <v>1.6746000000000001</v>
      </c>
      <c r="S15" s="53">
        <f>'[6]Cen. Basico'!S15</f>
        <v>1.7360218184755585</v>
      </c>
      <c r="T15" s="53">
        <f>'[6]Cen. Basico'!T15</f>
        <v>1.7414761987942005</v>
      </c>
      <c r="U15" s="53">
        <f>'[6]Cen. Basico'!U15</f>
        <v>1.7458395161576161</v>
      </c>
      <c r="V15" s="53">
        <f>'[6]Cen. Basico'!V15</f>
        <v>1.7464520151110368</v>
      </c>
      <c r="W15" s="90">
        <f>'[6]Cen. Basico'!W15</f>
        <v>1.7424473871346027</v>
      </c>
      <c r="X15" s="90">
        <f>'[6]Cen. Basico'!X15</f>
        <v>1.7744786894165621</v>
      </c>
      <c r="Y15" s="90">
        <f>'[6]Cen. Basico'!Y15</f>
        <v>1.8292372256312128</v>
      </c>
      <c r="Z15" s="90">
        <f>'[6]Cen. Basico'!Z15</f>
        <v>1.8830383205027195</v>
      </c>
      <c r="AA15" s="90">
        <f>'[6]Cen. Basico'!AA15</f>
        <v>1.9337396222553855</v>
      </c>
      <c r="AB15" s="90">
        <f>'[6]Cen. Basico'!AB15</f>
        <v>1.9811352012322332</v>
      </c>
      <c r="AC15" s="90">
        <f>'[6]Cen. Basico'!AC15</f>
        <v>2.0296924365565525</v>
      </c>
      <c r="AD15" s="90">
        <v>2.0296924365565525</v>
      </c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</row>
    <row r="16" spans="1:42" s="59" customFormat="1" ht="15">
      <c r="A16" s="96"/>
      <c r="B16" s="58"/>
      <c r="C16" s="52"/>
      <c r="D16" s="52"/>
      <c r="E16" s="52"/>
      <c r="F16" s="52"/>
      <c r="G16" s="52"/>
      <c r="H16" s="52"/>
      <c r="I16" s="52"/>
      <c r="J16" s="52"/>
      <c r="K16" s="52"/>
      <c r="L16" s="55"/>
      <c r="M16" s="55"/>
      <c r="N16" s="92"/>
      <c r="O16" s="92"/>
      <c r="P16" s="92"/>
      <c r="Q16" s="92"/>
      <c r="R16" s="89"/>
      <c r="S16" s="92"/>
      <c r="T16" s="92"/>
      <c r="U16" s="92"/>
      <c r="V16" s="92"/>
      <c r="W16" s="89"/>
      <c r="X16" s="89"/>
      <c r="Y16" s="89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</row>
    <row r="17" spans="1:42" s="59" customFormat="1" ht="15.75">
      <c r="A17" s="56" t="s">
        <v>123</v>
      </c>
      <c r="B17" s="93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92"/>
      <c r="O17" s="92"/>
      <c r="P17" s="92"/>
      <c r="Q17" s="92"/>
      <c r="R17" s="89"/>
      <c r="S17" s="92"/>
      <c r="T17" s="92"/>
      <c r="U17" s="92"/>
      <c r="V17" s="92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</row>
    <row r="18" spans="1:42" s="59" customFormat="1" ht="15">
      <c r="A18" s="96" t="s">
        <v>124</v>
      </c>
      <c r="B18" s="58" t="s">
        <v>125</v>
      </c>
      <c r="C18" s="95">
        <f>'[6]Cen. Basico'!C18</f>
        <v>15.75</v>
      </c>
      <c r="D18" s="95">
        <f>'[6]Cen. Basico'!D18</f>
        <v>19</v>
      </c>
      <c r="E18" s="95">
        <f>'[6]Cen. Basico'!E18</f>
        <v>25</v>
      </c>
      <c r="F18" s="95">
        <f>'[6]Cen. Basico'!F18</f>
        <v>16.5</v>
      </c>
      <c r="G18" s="95">
        <f>'[6]Cen. Basico'!G18</f>
        <v>17.75</v>
      </c>
      <c r="H18" s="91">
        <f>'[6]Cen. Basico'!H18</f>
        <v>18</v>
      </c>
      <c r="I18" s="91">
        <f>'[6]Cen. Basico'!I18</f>
        <v>13.25</v>
      </c>
      <c r="J18" s="91">
        <f>'[6]Cen. Basico'!J18</f>
        <v>11.25</v>
      </c>
      <c r="K18" s="91">
        <f>'[6]Cen. Basico'!K18</f>
        <v>13.75</v>
      </c>
      <c r="L18" s="91">
        <f>'[6]Cen. Basico'!L18</f>
        <v>8.75</v>
      </c>
      <c r="M18" s="91">
        <f>'[6]Cen. Basico'!M18</f>
        <v>10.75</v>
      </c>
      <c r="N18" s="53">
        <f>'[6]Cen. Basico'!N18</f>
        <v>11.75</v>
      </c>
      <c r="O18" s="53">
        <f>'[6]Cen. Basico'!O18</f>
        <v>12.25</v>
      </c>
      <c r="P18" s="53">
        <f>'[6]Cen. Basico'!P18</f>
        <v>12</v>
      </c>
      <c r="Q18" s="53">
        <f>'[6]Cen. Basico'!Q18</f>
        <v>11</v>
      </c>
      <c r="R18" s="90">
        <f>'[6]Cen. Basico'!R18</f>
        <v>11</v>
      </c>
      <c r="S18" s="53">
        <f>'[6]Cen. Basico'!S18</f>
        <v>9.75</v>
      </c>
      <c r="T18" s="53">
        <f>'[6]Cen. Basico'!T18</f>
        <v>9</v>
      </c>
      <c r="U18" s="53">
        <f>'[6]Cen. Basico'!U18</f>
        <v>9</v>
      </c>
      <c r="V18" s="53">
        <f>'[6]Cen. Basico'!V18</f>
        <v>9</v>
      </c>
      <c r="W18" s="90">
        <f>'[6]Cen. Basico'!W18</f>
        <v>9</v>
      </c>
      <c r="X18" s="90">
        <f>'[6]Cen. Basico'!X18</f>
        <v>9.5</v>
      </c>
      <c r="Y18" s="90">
        <f>'[6]Cen. Basico'!Y18</f>
        <v>9.5</v>
      </c>
      <c r="Z18" s="90">
        <f>'[6]Cen. Basico'!Z18</f>
        <v>9</v>
      </c>
      <c r="AA18" s="90">
        <f>'[6]Cen. Basico'!AA18</f>
        <v>9</v>
      </c>
      <c r="AB18" s="90">
        <f>'[6]Cen. Basico'!AB18</f>
        <v>9</v>
      </c>
      <c r="AC18" s="90">
        <f>'[6]Cen. Basico'!AC18</f>
        <v>9</v>
      </c>
      <c r="AD18" s="90">
        <v>9</v>
      </c>
      <c r="AE18" s="90">
        <v>9</v>
      </c>
      <c r="AF18" s="90">
        <v>9</v>
      </c>
      <c r="AG18" s="90">
        <v>9</v>
      </c>
      <c r="AH18" s="90"/>
      <c r="AI18" s="90"/>
      <c r="AJ18" s="90"/>
      <c r="AK18" s="90"/>
      <c r="AL18" s="90"/>
      <c r="AM18" s="90"/>
      <c r="AN18" s="90"/>
      <c r="AO18" s="90"/>
      <c r="AP18" s="90"/>
    </row>
    <row r="19" spans="1:42" s="59" customFormat="1" ht="15">
      <c r="A19" s="96" t="s">
        <v>126</v>
      </c>
      <c r="B19" s="58" t="s">
        <v>127</v>
      </c>
      <c r="C19" s="95">
        <f>'[6]Cen. Basico'!C19</f>
        <v>17.600000000000001</v>
      </c>
      <c r="D19" s="95">
        <f>'[6]Cen. Basico'!D19</f>
        <v>17.399999999999999</v>
      </c>
      <c r="E19" s="95">
        <f>'[6]Cen. Basico'!E19</f>
        <v>19.100000000000001</v>
      </c>
      <c r="F19" s="95">
        <f>'[6]Cen. Basico'!F19</f>
        <v>23.35</v>
      </c>
      <c r="G19" s="95">
        <f>'[6]Cen. Basico'!G19</f>
        <v>16.25</v>
      </c>
      <c r="H19" s="91">
        <f>'[6]Cen. Basico'!H19</f>
        <v>19.100000000000001</v>
      </c>
      <c r="I19" s="91">
        <f>'[6]Cen. Basico'!I19</f>
        <v>15.06</v>
      </c>
      <c r="J19" s="91">
        <f>'[6]Cen. Basico'!J19</f>
        <v>11.979166666666666</v>
      </c>
      <c r="K19" s="91">
        <f>'[6]Cen. Basico'!K19</f>
        <v>12.541666666666666</v>
      </c>
      <c r="L19" s="91">
        <f>'[6]Cen. Basico'!L19</f>
        <v>9.9166666666666661</v>
      </c>
      <c r="M19" s="91">
        <f>'[6]Cen. Basico'!M19</f>
        <v>10</v>
      </c>
      <c r="N19" s="53">
        <f>'[6]Cen. Basico'!N19</f>
        <v>11.416666666666666</v>
      </c>
      <c r="O19" s="53">
        <f>'[6]Cen. Basico'!O19</f>
        <v>12.083333333333334</v>
      </c>
      <c r="P19" s="53">
        <f>'[6]Cen. Basico'!P19</f>
        <v>12.166666666666666</v>
      </c>
      <c r="Q19" s="53">
        <f>'[6]Cen. Basico'!Q19</f>
        <v>11.166666666666666</v>
      </c>
      <c r="R19" s="90">
        <f>'[6]Cen. Basico'!R19</f>
        <v>11.708333333333334</v>
      </c>
      <c r="S19" s="53">
        <f>'[6]Cen. Basico'!S19</f>
        <v>10.25</v>
      </c>
      <c r="T19" s="53">
        <f>'[6]Cen. Basico'!T19</f>
        <v>9</v>
      </c>
      <c r="U19" s="53">
        <f>'[6]Cen. Basico'!U19</f>
        <v>9</v>
      </c>
      <c r="V19" s="53">
        <f>'[6]Cen. Basico'!V19</f>
        <v>9</v>
      </c>
      <c r="W19" s="90">
        <f>'[6]Cen. Basico'!W19</f>
        <v>9.3125</v>
      </c>
      <c r="X19" s="90">
        <f>'[6]Cen. Basico'!X19</f>
        <v>9.25</v>
      </c>
      <c r="Y19" s="90">
        <f>'[6]Cen. Basico'!Y19</f>
        <v>9.5</v>
      </c>
      <c r="Z19" s="90">
        <f>'[6]Cen. Basico'!Z19</f>
        <v>9.25</v>
      </c>
      <c r="AA19" s="90">
        <f>'[6]Cen. Basico'!AA19</f>
        <v>9</v>
      </c>
      <c r="AB19" s="90">
        <f>'[6]Cen. Basico'!AB19</f>
        <v>9</v>
      </c>
      <c r="AC19" s="90">
        <f>'[6]Cen. Basico'!AC19</f>
        <v>9</v>
      </c>
      <c r="AD19" s="90">
        <v>9</v>
      </c>
      <c r="AE19" s="90">
        <v>9</v>
      </c>
      <c r="AF19" s="90">
        <v>9</v>
      </c>
      <c r="AG19" s="90">
        <v>9</v>
      </c>
      <c r="AH19" s="90"/>
      <c r="AI19" s="90"/>
      <c r="AJ19" s="90"/>
      <c r="AK19" s="90"/>
      <c r="AL19" s="90"/>
      <c r="AM19" s="90"/>
      <c r="AN19" s="90"/>
      <c r="AO19" s="90"/>
      <c r="AP19" s="90"/>
    </row>
    <row r="20" spans="1:42" s="88" customFormat="1" ht="15">
      <c r="A20" s="96" t="s">
        <v>128</v>
      </c>
      <c r="B20" s="58" t="s">
        <v>129</v>
      </c>
      <c r="C20" s="95">
        <f>'[6]Cen. Basico'!C20</f>
        <v>10.943396226415093</v>
      </c>
      <c r="D20" s="95">
        <f>'[6]Cen. Basico'!D20</f>
        <v>9.0064995357474373</v>
      </c>
      <c r="E20" s="95">
        <f>'[6]Cen. Basico'!E20</f>
        <v>5.8666666666666645</v>
      </c>
      <c r="F20" s="95">
        <f>'[6]Cen. Basico'!F20</f>
        <v>12.854528819762123</v>
      </c>
      <c r="G20" s="95">
        <f>'[6]Cen. Basico'!G20</f>
        <v>8.0390334572490794</v>
      </c>
      <c r="H20" s="91">
        <f>'[6]Cen. Basico'!H20</f>
        <v>12.67738883632925</v>
      </c>
      <c r="I20" s="91">
        <f>'[6]Cen. Basico'!I20</f>
        <v>11.557106845064947</v>
      </c>
      <c r="J20" s="91">
        <f>'[6]Cen. Basico'!J20</f>
        <v>7.198130065734909</v>
      </c>
      <c r="K20" s="91">
        <f>'[6]Cen. Basico'!K20</f>
        <v>6.2716399118665445</v>
      </c>
      <c r="L20" s="91">
        <f>'[6]Cen. Basico'!L20</f>
        <v>8.75</v>
      </c>
      <c r="M20" s="91">
        <f>'[6]Cen. Basico'!M20</f>
        <v>3.8617694268718861</v>
      </c>
      <c r="N20" s="53" t="str">
        <f>'[6]Cen. Basico'!N20</f>
        <v/>
      </c>
      <c r="O20" s="53" t="str">
        <f>'[6]Cen. Basico'!O20</f>
        <v/>
      </c>
      <c r="P20" s="53" t="str">
        <f>'[6]Cen. Basico'!P20</f>
        <v/>
      </c>
      <c r="Q20" s="53" t="str">
        <f>'[6]Cen. Basico'!Q20</f>
        <v/>
      </c>
      <c r="R20" s="90">
        <f>'[6]Cen. Basico'!R20</f>
        <v>4.8904538341158155</v>
      </c>
      <c r="S20" s="53">
        <f>'[6]Cen. Basico'!S20</f>
        <v>0</v>
      </c>
      <c r="T20" s="53">
        <f>'[6]Cen. Basico'!T20</f>
        <v>0</v>
      </c>
      <c r="U20" s="53">
        <f>'[6]Cen. Basico'!U20</f>
        <v>0</v>
      </c>
      <c r="V20" s="53">
        <f>'[6]Cen. Basico'!V20</f>
        <v>0</v>
      </c>
      <c r="W20" s="90">
        <f>'[6]Cen. Basico'!W20</f>
        <v>3.9092205323193685</v>
      </c>
      <c r="X20" s="90">
        <f>'[6]Cen. Basico'!X20</f>
        <v>3.7511870845204243</v>
      </c>
      <c r="Y20" s="90">
        <f>'[6]Cen. Basico'!Y20</f>
        <v>4.2857142857142705</v>
      </c>
      <c r="Z20" s="90">
        <f>'[6]Cen. Basico'!Z20</f>
        <v>4.0476190476190554</v>
      </c>
      <c r="AA20" s="90">
        <f>'[6]Cen. Basico'!AA20</f>
        <v>4.3062200956937913</v>
      </c>
      <c r="AB20" s="90">
        <f>'[6]Cen. Basico'!AB20</f>
        <v>4.3062200956937913</v>
      </c>
      <c r="AC20" s="90">
        <f>'[6]Cen. Basico'!AC20</f>
        <v>4.3062200956937913</v>
      </c>
      <c r="AD20" s="90">
        <v>4.3062200956937913</v>
      </c>
      <c r="AE20" s="90">
        <v>4.3062200956937913</v>
      </c>
      <c r="AF20" s="90">
        <v>4.3062200956937913</v>
      </c>
      <c r="AG20" s="90">
        <v>4.3062200956937913</v>
      </c>
      <c r="AH20" s="90"/>
      <c r="AI20" s="90"/>
      <c r="AJ20" s="90"/>
      <c r="AK20" s="90"/>
      <c r="AL20" s="90"/>
      <c r="AM20" s="90"/>
      <c r="AN20" s="90"/>
      <c r="AO20" s="90"/>
      <c r="AP20" s="90"/>
    </row>
    <row r="21" spans="1:42" s="88" customFormat="1" ht="15">
      <c r="A21" s="96" t="s">
        <v>130</v>
      </c>
      <c r="B21" s="58" t="s">
        <v>131</v>
      </c>
      <c r="C21" s="95">
        <f>'[6]Cen. Basico'!C21</f>
        <v>7.094071578180472</v>
      </c>
      <c r="D21" s="95">
        <f>'[6]Cen. Basico'!D21</f>
        <v>6.3405797101449224</v>
      </c>
      <c r="E21" s="95">
        <f>'[6]Cen. Basico'!E21</f>
        <v>-4.9481245011971264</v>
      </c>
      <c r="F21" s="95">
        <f>'[6]Cen. Basico'!F21</f>
        <v>13.467022353049396</v>
      </c>
      <c r="G21" s="95">
        <f>'[6]Cen. Basico'!G21</f>
        <v>3.4160661862823627</v>
      </c>
      <c r="H21" s="91">
        <f>'[6]Cen. Basico'!H21</f>
        <v>17.687747035573121</v>
      </c>
      <c r="I21" s="91">
        <f>'[6]Cen. Basico'!I21</f>
        <v>10.79441502166587</v>
      </c>
      <c r="J21" s="91">
        <f>'[6]Cen. Basico'!J21</f>
        <v>3.9249806651198815</v>
      </c>
      <c r="K21" s="91">
        <f>'[6]Cen. Basico'!K21</f>
        <v>2.4899587964931635</v>
      </c>
      <c r="L21" s="91">
        <f>'[6]Cen. Basico'!L21</f>
        <v>9.9166666666666661</v>
      </c>
      <c r="M21" s="91">
        <f>'[6]Cen. Basico'!M21</f>
        <v>-1.1680143755615324</v>
      </c>
      <c r="N21" s="53" t="str">
        <f>'[6]Cen. Basico'!N21</f>
        <v/>
      </c>
      <c r="O21" s="53" t="str">
        <f>'[6]Cen. Basico'!O21</f>
        <v/>
      </c>
      <c r="P21" s="53" t="str">
        <f>'[6]Cen. Basico'!P21</f>
        <v/>
      </c>
      <c r="Q21" s="53" t="str">
        <f>'[6]Cen. Basico'!Q21</f>
        <v/>
      </c>
      <c r="R21" s="90">
        <f>'[6]Cen. Basico'!R21</f>
        <v>6.2876625436092848</v>
      </c>
      <c r="S21" s="53">
        <f>'[6]Cen. Basico'!S21</f>
        <v>0</v>
      </c>
      <c r="T21" s="53">
        <f>'[6]Cen. Basico'!T21</f>
        <v>0</v>
      </c>
      <c r="U21" s="53">
        <f>'[6]Cen. Basico'!U21</f>
        <v>0</v>
      </c>
      <c r="V21" s="53">
        <f>'[6]Cen. Basico'!V21</f>
        <v>0</v>
      </c>
      <c r="W21" s="90">
        <f>'[6]Cen. Basico'!W21</f>
        <v>3.6137440758293726</v>
      </c>
      <c r="X21" s="90">
        <f>'[6]Cen. Basico'!X21</f>
        <v>3.7511870845204243</v>
      </c>
      <c r="Y21" s="90">
        <f>'[6]Cen. Basico'!Y21</f>
        <v>4.2857142857142705</v>
      </c>
      <c r="Z21" s="90">
        <f>'[6]Cen. Basico'!Z21</f>
        <v>4.0476190476190554</v>
      </c>
      <c r="AA21" s="90">
        <f>'[6]Cen. Basico'!AA21</f>
        <v>4.3062200956937913</v>
      </c>
      <c r="AB21" s="90">
        <f>'[6]Cen. Basico'!AB21</f>
        <v>4.3062200956937913</v>
      </c>
      <c r="AC21" s="90">
        <f>'[6]Cen. Basico'!AC21</f>
        <v>4.3062200956937913</v>
      </c>
      <c r="AD21" s="90">
        <v>4.3062200956937913</v>
      </c>
      <c r="AE21" s="90">
        <v>4.3062200956937913</v>
      </c>
      <c r="AF21" s="90">
        <v>4.3062200956937913</v>
      </c>
      <c r="AG21" s="90">
        <v>4.3062200956937913</v>
      </c>
      <c r="AH21" s="90"/>
      <c r="AI21" s="90"/>
      <c r="AJ21" s="90"/>
      <c r="AK21" s="90"/>
      <c r="AL21" s="90"/>
      <c r="AM21" s="90"/>
      <c r="AN21" s="90"/>
      <c r="AO21" s="90"/>
      <c r="AP21" s="90"/>
    </row>
    <row r="22" spans="1:42" s="59" customFormat="1" ht="15">
      <c r="A22" s="96" t="s">
        <v>132</v>
      </c>
      <c r="B22" s="58" t="s">
        <v>133</v>
      </c>
      <c r="C22" s="95">
        <f>'[6]Cen. Basico'!C22</f>
        <v>7.8899082568807177</v>
      </c>
      <c r="D22" s="95">
        <f>'[6]Cen. Basico'!D22</f>
        <v>-1.3445378151260567</v>
      </c>
      <c r="E22" s="95">
        <f>'[6]Cen. Basico'!E22</f>
        <v>-22.434028169014088</v>
      </c>
      <c r="F22" s="95">
        <f>'[6]Cen. Basico'!F22</f>
        <v>50.751685006877587</v>
      </c>
      <c r="G22" s="95">
        <f>'[6]Cen. Basico'!G22</f>
        <v>26.53311482820979</v>
      </c>
      <c r="H22" s="91">
        <f>'[6]Cen. Basico'!H22</f>
        <v>35.061750758320166</v>
      </c>
      <c r="I22" s="91">
        <f>'[6]Cen. Basico'!I22</f>
        <v>25.968635173058942</v>
      </c>
      <c r="J22" s="91">
        <f>'[6]Cen. Basico'!J22</f>
        <v>35.16143980880333</v>
      </c>
      <c r="K22" s="91">
        <f>'[6]Cen. Basico'!K22</f>
        <v>-14.70044751105406</v>
      </c>
      <c r="L22" s="91">
        <f>'[6]Cen. Basico'!L22</f>
        <v>5.3851070629594044</v>
      </c>
      <c r="M22" s="91">
        <f>'[6]Cen. Basico'!M22</f>
        <v>5.9390048154093211</v>
      </c>
      <c r="N22" s="53" t="str">
        <f>'[6]Cen. Basico'!N22</f>
        <v/>
      </c>
      <c r="O22" s="53" t="str">
        <f>'[6]Cen. Basico'!O22</f>
        <v/>
      </c>
      <c r="P22" s="53" t="str">
        <f>'[6]Cen. Basico'!P22</f>
        <v/>
      </c>
      <c r="Q22" s="53" t="str">
        <f>'[6]Cen. Basico'!Q22</f>
        <v/>
      </c>
      <c r="R22" s="90">
        <f>'[6]Cen. Basico'!R22</f>
        <v>6.9882629107981487</v>
      </c>
      <c r="S22" s="53">
        <f>'[6]Cen. Basico'!S22</f>
        <v>0</v>
      </c>
      <c r="T22" s="53">
        <f>'[6]Cen. Basico'!T22</f>
        <v>0</v>
      </c>
      <c r="U22" s="53">
        <f>'[6]Cen. Basico'!U22</f>
        <v>0</v>
      </c>
      <c r="V22" s="53">
        <f>'[6]Cen. Basico'!V22</f>
        <v>0</v>
      </c>
      <c r="W22" s="90">
        <f>'[6]Cen. Basico'!W22</f>
        <v>5.9874049429657683</v>
      </c>
      <c r="X22" s="90">
        <f>'[6]Cen. Basico'!X22</f>
        <v>5.8262108262108425</v>
      </c>
      <c r="Y22" s="90">
        <f>'[6]Cen. Basico'!Y22</f>
        <v>6.3714285714285612</v>
      </c>
      <c r="Z22" s="90">
        <f>'[6]Cen. Basico'!Z22</f>
        <v>6.1285714285714166</v>
      </c>
      <c r="AA22" s="90">
        <f>'[6]Cen. Basico'!AA22</f>
        <v>6.3923444976076826</v>
      </c>
      <c r="AB22" s="90">
        <f>'[6]Cen. Basico'!AB22</f>
        <v>6.3923444976076826</v>
      </c>
      <c r="AC22" s="90">
        <f>'[6]Cen. Basico'!AC22</f>
        <v>6.3923444976076826</v>
      </c>
      <c r="AD22" s="90">
        <v>6.3923444976076826</v>
      </c>
      <c r="AE22" s="90">
        <v>6.3923444976076826</v>
      </c>
      <c r="AF22" s="90">
        <v>6.3923444976076826</v>
      </c>
      <c r="AG22" s="90">
        <v>6.3923444976076826</v>
      </c>
      <c r="AH22" s="90"/>
      <c r="AI22" s="90"/>
      <c r="AJ22" s="90"/>
      <c r="AK22" s="90"/>
      <c r="AL22" s="90"/>
      <c r="AM22" s="90"/>
      <c r="AN22" s="90"/>
      <c r="AO22" s="90"/>
      <c r="AP22" s="90"/>
    </row>
    <row r="23" spans="1:42" s="59" customFormat="1" ht="15">
      <c r="A23" s="96"/>
      <c r="B23" s="58"/>
      <c r="C23" s="95"/>
      <c r="D23" s="95"/>
      <c r="E23" s="95"/>
      <c r="F23" s="95"/>
      <c r="G23" s="95"/>
      <c r="H23" s="95"/>
      <c r="I23" s="50"/>
      <c r="J23" s="50"/>
      <c r="K23" s="50"/>
      <c r="L23" s="50"/>
      <c r="M23" s="50"/>
      <c r="N23" s="87"/>
      <c r="O23" s="87"/>
      <c r="P23" s="87"/>
      <c r="Q23" s="87"/>
      <c r="R23" s="94"/>
      <c r="S23" s="87"/>
      <c r="T23" s="87"/>
      <c r="U23" s="87"/>
      <c r="V23" s="87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</row>
    <row r="24" spans="1:42" s="59" customFormat="1" ht="15.75">
      <c r="A24" s="56" t="s">
        <v>134</v>
      </c>
      <c r="B24" s="93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57"/>
      <c r="O24" s="57"/>
      <c r="P24" s="57"/>
      <c r="Q24" s="57"/>
      <c r="R24" s="94"/>
      <c r="S24" s="57"/>
      <c r="T24" s="57"/>
      <c r="U24" s="57"/>
      <c r="V24" s="57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</row>
    <row r="25" spans="1:42" s="59" customFormat="1" ht="15">
      <c r="A25" s="49" t="s">
        <v>135</v>
      </c>
      <c r="B25" s="86" t="s">
        <v>136</v>
      </c>
      <c r="C25" s="95"/>
      <c r="D25" s="95"/>
      <c r="E25" s="95"/>
      <c r="F25" s="95"/>
      <c r="G25" s="95"/>
      <c r="H25" s="95">
        <f>'[6]Cen. Basico'!H25</f>
        <v>3.7856020480411199</v>
      </c>
      <c r="I25" s="95">
        <f>'[6]Cen. Basico'!I25</f>
        <v>3.2038800807049701</v>
      </c>
      <c r="J25" s="95">
        <f>'[6]Cen. Basico'!J25</f>
        <v>3.3095299556460298</v>
      </c>
      <c r="K25" s="95">
        <f>'[6]Cen. Basico'!K25</f>
        <v>3.4165001908603299</v>
      </c>
      <c r="L25" s="95">
        <f>'[6]Cen. Basico'!L25</f>
        <v>1.99940620673638</v>
      </c>
      <c r="M25" s="95">
        <f>'[6]Cen. Basico'!M25</f>
        <v>2.6974469385988602</v>
      </c>
      <c r="N25" s="57" t="str">
        <f>'[6]Cen. Basico'!N25</f>
        <v/>
      </c>
      <c r="O25" s="57" t="str">
        <f>'[6]Cen. Basico'!O25</f>
        <v/>
      </c>
      <c r="P25" s="57" t="str">
        <f>'[6]Cen. Basico'!P25</f>
        <v/>
      </c>
      <c r="Q25" s="57" t="str">
        <f>'[6]Cen. Basico'!Q25</f>
        <v/>
      </c>
      <c r="R25" s="94">
        <f>'[6]Cen. Basico'!R25</f>
        <v>3.1</v>
      </c>
      <c r="S25" s="57">
        <f>'[6]Cen. Basico'!S25</f>
        <v>0</v>
      </c>
      <c r="T25" s="57">
        <f>'[6]Cen. Basico'!T25</f>
        <v>0</v>
      </c>
      <c r="U25" s="57">
        <f>'[6]Cen. Basico'!U25</f>
        <v>0</v>
      </c>
      <c r="V25" s="57">
        <f>'[6]Cen. Basico'!V25</f>
        <v>0</v>
      </c>
      <c r="W25" s="94">
        <f>'[6]Cen. Basico'!W25</f>
        <v>3.1</v>
      </c>
      <c r="X25" s="94">
        <f>'[6]Cen. Basico'!X25</f>
        <v>3.1</v>
      </c>
      <c r="Y25" s="94">
        <f>'[6]Cen. Basico'!Y25</f>
        <v>2.9</v>
      </c>
      <c r="Z25" s="94">
        <f>'[6]Cen. Basico'!Z25</f>
        <v>2.9</v>
      </c>
      <c r="AA25" s="94">
        <f>'[6]Cen. Basico'!AA25</f>
        <v>2.9</v>
      </c>
      <c r="AB25" s="94">
        <f>'[6]Cen. Basico'!AB25</f>
        <v>2.9</v>
      </c>
      <c r="AC25" s="94">
        <f>'[6]Cen. Basico'!AC25</f>
        <v>2.9</v>
      </c>
      <c r="AD25" s="94">
        <v>2.9</v>
      </c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</row>
    <row r="26" spans="1:42" s="59" customFormat="1" ht="15">
      <c r="A26" s="48" t="s">
        <v>137</v>
      </c>
      <c r="B26" s="101" t="s">
        <v>138</v>
      </c>
      <c r="C26" s="95"/>
      <c r="D26" s="95"/>
      <c r="E26" s="95"/>
      <c r="F26" s="95"/>
      <c r="G26" s="95"/>
      <c r="H26" s="95">
        <f>'[6]Cen. Basico'!H26</f>
        <v>48.436441560724198</v>
      </c>
      <c r="I26" s="95">
        <f>'[6]Cen. Basico'!I26</f>
        <v>47.269900642196902</v>
      </c>
      <c r="J26" s="95">
        <f>'[6]Cen. Basico'!J26</f>
        <v>45.531981590161287</v>
      </c>
      <c r="K26" s="95">
        <f>'[6]Cen. Basico'!K26</f>
        <v>38.527709958386239</v>
      </c>
      <c r="L26" s="95">
        <f>'[6]Cen. Basico'!L26</f>
        <v>42.06671115426785</v>
      </c>
      <c r="M26" s="95">
        <f>'[6]Cen. Basico'!M26</f>
        <v>39.145541202068927</v>
      </c>
      <c r="N26" s="57" t="str">
        <f>'[6]Cen. Basico'!N26</f>
        <v/>
      </c>
      <c r="O26" s="57" t="str">
        <f>'[6]Cen. Basico'!O26</f>
        <v/>
      </c>
      <c r="P26" s="57" t="str">
        <f>'[6]Cen. Basico'!P26</f>
        <v/>
      </c>
      <c r="Q26" s="57" t="str">
        <f>'[6]Cen. Basico'!Q26</f>
        <v/>
      </c>
      <c r="R26" s="94">
        <f>'[6]Cen. Basico'!R26</f>
        <v>36.485857927514466</v>
      </c>
      <c r="S26" s="57">
        <f>'[6]Cen. Basico'!S26</f>
        <v>0</v>
      </c>
      <c r="T26" s="57">
        <f>'[6]Cen. Basico'!T26</f>
        <v>0</v>
      </c>
      <c r="U26" s="57">
        <f>'[6]Cen. Basico'!U26</f>
        <v>0</v>
      </c>
      <c r="V26" s="57">
        <f>'[6]Cen. Basico'!V26</f>
        <v>0</v>
      </c>
      <c r="W26" s="94">
        <f>'[6]Cen. Basico'!W26</f>
        <v>36.041273789175101</v>
      </c>
      <c r="X26" s="94">
        <f>'[6]Cen. Basico'!X26</f>
        <v>34.219655431870777</v>
      </c>
      <c r="Y26" s="94">
        <f>'[6]Cen. Basico'!Y26</f>
        <v>32.421877974031204</v>
      </c>
      <c r="Z26" s="94">
        <f>'[6]Cen. Basico'!Z26</f>
        <v>30.486714162393987</v>
      </c>
      <c r="AA26" s="94">
        <f>'[6]Cen. Basico'!AA26</f>
        <v>28.462305889314834</v>
      </c>
      <c r="AB26" s="94">
        <f>'[6]Cen. Basico'!AB26</f>
        <v>25.982158641269915</v>
      </c>
      <c r="AC26" s="94">
        <f>'[6]Cen. Basico'!AC26</f>
        <v>23.456712485358437</v>
      </c>
      <c r="AD26" s="94">
        <v>23.456712485358437</v>
      </c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</row>
    <row r="27" spans="1:42" s="59" customFormat="1" ht="15.75" thickBot="1">
      <c r="A27" s="73"/>
      <c r="B27" s="85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84"/>
      <c r="O27" s="84"/>
      <c r="P27" s="84"/>
      <c r="Q27" s="84"/>
      <c r="R27" s="46"/>
      <c r="S27" s="84"/>
      <c r="T27" s="84"/>
      <c r="U27" s="84"/>
      <c r="V27" s="84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</row>
    <row r="28" spans="1:42" s="83" customFormat="1"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</row>
    <row r="29" spans="1:42" s="83" customFormat="1">
      <c r="C29" s="45"/>
      <c r="D29" s="45"/>
      <c r="E29" s="82"/>
      <c r="F29" s="82"/>
      <c r="G29" s="82"/>
      <c r="H29" s="44"/>
      <c r="I29" s="81"/>
      <c r="J29" s="81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</row>
    <row r="30" spans="1:42" s="83" customFormat="1">
      <c r="B30" s="80"/>
      <c r="C30" s="45"/>
      <c r="D30" s="45"/>
      <c r="E30" s="82"/>
      <c r="F30" s="82"/>
      <c r="G30" s="82"/>
      <c r="H30" s="44"/>
      <c r="I30" s="42"/>
      <c r="J30" s="79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</row>
    <row r="31" spans="1:42" s="83" customFormat="1">
      <c r="B31" s="80"/>
      <c r="C31" s="45"/>
      <c r="D31" s="45"/>
      <c r="E31" s="82"/>
      <c r="F31" s="82"/>
      <c r="G31" s="82"/>
      <c r="H31" s="44"/>
      <c r="I31" s="45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</row>
    <row r="32" spans="1:42" s="83" customFormat="1">
      <c r="B32" s="80"/>
      <c r="C32" s="45"/>
      <c r="D32" s="45"/>
      <c r="E32" s="41"/>
      <c r="F32" s="41"/>
      <c r="G32" s="41"/>
      <c r="H32" s="44"/>
      <c r="I32" s="78"/>
      <c r="J32" s="43"/>
      <c r="K32" s="43"/>
      <c r="L32" s="43"/>
      <c r="M32" s="43"/>
      <c r="N32" s="43"/>
      <c r="O32" s="43"/>
      <c r="P32" s="43"/>
      <c r="Q32" s="43"/>
      <c r="S32" s="43"/>
      <c r="T32" s="43"/>
      <c r="U32" s="43"/>
      <c r="V32" s="43"/>
      <c r="W32" s="43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</row>
    <row r="33" spans="2:42" s="83" customFormat="1">
      <c r="B33" s="80"/>
      <c r="C33" s="45"/>
      <c r="D33" s="45"/>
      <c r="E33" s="45"/>
      <c r="F33" s="45"/>
      <c r="G33" s="45"/>
      <c r="H33" s="44"/>
      <c r="I33" s="43"/>
      <c r="J33" s="43"/>
      <c r="K33" s="79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</row>
    <row r="34" spans="2:42" s="83" customFormat="1">
      <c r="B34" s="80"/>
      <c r="C34" s="45"/>
      <c r="D34" s="45"/>
      <c r="E34" s="45"/>
      <c r="F34" s="45"/>
      <c r="G34" s="44"/>
      <c r="H34" s="44"/>
      <c r="I34" s="45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</row>
    <row r="35" spans="2:42">
      <c r="B35" s="80"/>
      <c r="J35" s="40"/>
      <c r="K35" s="40"/>
      <c r="L35" s="40"/>
      <c r="M35" s="40"/>
      <c r="N35" s="40"/>
      <c r="O35" s="40"/>
      <c r="P35" s="40"/>
      <c r="Q35" s="40"/>
      <c r="R35" s="43"/>
      <c r="S35" s="40"/>
      <c r="T35" s="40"/>
      <c r="U35" s="40"/>
      <c r="V35" s="40"/>
      <c r="W35" s="40"/>
    </row>
    <row r="36" spans="2:42">
      <c r="B36" s="80"/>
      <c r="J36" s="40"/>
      <c r="K36" s="77"/>
      <c r="L36" s="77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</row>
    <row r="37" spans="2:42">
      <c r="B37" s="80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40"/>
      <c r="S37" s="39"/>
      <c r="T37" s="39"/>
      <c r="U37" s="39"/>
      <c r="V37" s="39"/>
      <c r="W37" s="40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</row>
    <row r="38" spans="2:42">
      <c r="B38" s="80"/>
      <c r="G38" s="38"/>
      <c r="H38" s="76"/>
      <c r="I38" s="75"/>
      <c r="J38" s="75"/>
      <c r="K38" s="75"/>
      <c r="L38" s="75"/>
      <c r="M38" s="75"/>
      <c r="N38" s="75"/>
      <c r="O38" s="75"/>
      <c r="P38" s="75"/>
      <c r="Q38" s="75"/>
      <c r="R38" s="40"/>
      <c r="S38" s="75"/>
      <c r="T38" s="75"/>
      <c r="U38" s="75"/>
      <c r="V38" s="75"/>
      <c r="W38" s="40"/>
    </row>
    <row r="39" spans="2:42">
      <c r="B39" s="80"/>
      <c r="G39" s="37"/>
      <c r="H39" s="76"/>
      <c r="I39" s="75"/>
      <c r="J39" s="75"/>
      <c r="R39" s="40"/>
    </row>
    <row r="42" spans="2:42">
      <c r="G42" s="37"/>
      <c r="H42" s="37"/>
    </row>
    <row r="43" spans="2:42">
      <c r="G43" s="37"/>
      <c r="H43" s="37"/>
    </row>
    <row r="44" spans="2:42">
      <c r="G44" s="37"/>
      <c r="H44" s="37"/>
    </row>
    <row r="45" spans="2:42">
      <c r="H45" s="37"/>
    </row>
  </sheetData>
  <mergeCells count="1">
    <mergeCell ref="F1:K1"/>
  </mergeCells>
  <pageMargins left="0.75" right="0.73" top="0.57999999999999996" bottom="0.6" header="0.5" footer="0.5"/>
  <pageSetup orientation="landscape" horizontalDpi="300" verticalDpi="300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AGPar</vt:lpstr>
      <vt:lpstr>AG Concessões</vt:lpstr>
      <vt:lpstr>Cash Flow CCR</vt:lpstr>
      <vt:lpstr>Cash Flow Cemig</vt:lpstr>
      <vt:lpstr>Cenário</vt:lpstr>
      <vt:lpstr>Cenário!Print_Area</vt:lpstr>
    </vt:vector>
  </TitlesOfParts>
  <Company>BTG Pactual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chermama</dc:creator>
  <cp:lastModifiedBy>chermama</cp:lastModifiedBy>
  <dcterms:created xsi:type="dcterms:W3CDTF">2012-04-18T12:23:41Z</dcterms:created>
  <dcterms:modified xsi:type="dcterms:W3CDTF">2012-05-07T20:32:34Z</dcterms:modified>
</cp:coreProperties>
</file>